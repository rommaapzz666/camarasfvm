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C5063CD4-C447-41AE-B313-C4EB1B81D0BC}" xr6:coauthVersionLast="47" xr6:coauthVersionMax="47" xr10:uidLastSave="{00000000-0000-0000-0000-000000000000}"/>
  <bookViews>
    <workbookView xWindow="28680" yWindow="-120" windowWidth="29040" windowHeight="16440" firstSheet="2" activeTab="4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1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D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C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C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E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A369" i="11" l="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C24" i="14" s="1"/>
  <c r="AD2" i="10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E24" i="14" s="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3" i="14" l="1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<sst xmlns="http://schemas.openxmlformats.org/spreadsheetml/2006/main" count="4020" uniqueCount="1333">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</sst>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0" zoomScaleNormal="80" workbookViewId="0">
      <pane xSplit="14" ySplit="4" topLeftCell="AK197" activePane="bottomRight" state="frozen"/>
      <selection pane="topRight" activeCell="M1" sqref="M1"/>
      <selection pane="bottomLeft" activeCell="A5" sqref="A5"/>
      <selection pane="bottomRight" activeCell="AK207" sqref="AK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16</v>
      </c>
      <c r="M5" s="17">
        <f t="shared" ref="M5:M68" si="6">COUNTIF(O5:AP5,"APAGADO")</f>
        <v>12</v>
      </c>
      <c r="N5" s="18">
        <f t="shared" ref="N5:N68" si="7">(L5)/(M5+L5)</f>
        <v>0.5714285714285714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22</v>
      </c>
      <c r="M30" s="17">
        <f t="shared" si="6"/>
        <v>6</v>
      </c>
      <c r="N30" s="18">
        <f t="shared" si="7"/>
        <v>0.7857142857142857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5</v>
      </c>
      <c r="M80" s="17">
        <f t="shared" si="9"/>
        <v>23</v>
      </c>
      <c r="N80" s="18">
        <f t="shared" si="10"/>
        <v>0.17857142857142858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10</v>
      </c>
      <c r="M90" s="17">
        <f t="shared" si="9"/>
        <v>18</v>
      </c>
      <c r="N90" s="18">
        <f t="shared" si="10"/>
        <v>0.35714285714285715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5</v>
      </c>
      <c r="M91" s="17">
        <f t="shared" si="9"/>
        <v>23</v>
      </c>
      <c r="N91" s="18">
        <f t="shared" si="10"/>
        <v>0.17857142857142858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5</v>
      </c>
      <c r="M92" s="17">
        <f t="shared" si="9"/>
        <v>23</v>
      </c>
      <c r="N92" s="18">
        <f t="shared" si="10"/>
        <v>0.17857142857142858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22</v>
      </c>
      <c r="M106" s="17">
        <f t="shared" si="9"/>
        <v>6</v>
      </c>
      <c r="N106" s="18">
        <f t="shared" si="10"/>
        <v>0.7857142857142857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22</v>
      </c>
      <c r="M107" s="17">
        <f t="shared" si="9"/>
        <v>6</v>
      </c>
      <c r="N107" s="18">
        <f t="shared" si="10"/>
        <v>0.7857142857142857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22</v>
      </c>
      <c r="M108" s="17">
        <f t="shared" si="9"/>
        <v>6</v>
      </c>
      <c r="N108" s="18">
        <f t="shared" si="10"/>
        <v>0.7857142857142857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22</v>
      </c>
      <c r="M109" s="17">
        <f t="shared" si="9"/>
        <v>6</v>
      </c>
      <c r="N109" s="18">
        <f t="shared" si="10"/>
        <v>0.7857142857142857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25</v>
      </c>
      <c r="M112" s="17">
        <f t="shared" si="9"/>
        <v>3</v>
      </c>
      <c r="N112" s="18">
        <f t="shared" si="10"/>
        <v>0.8928571428571429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21</v>
      </c>
      <c r="M122" s="17">
        <f t="shared" si="9"/>
        <v>7</v>
      </c>
      <c r="N122" s="18">
        <f t="shared" si="10"/>
        <v>0.75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21</v>
      </c>
      <c r="M123" s="17">
        <f t="shared" si="9"/>
        <v>7</v>
      </c>
      <c r="N123" s="18">
        <f t="shared" si="10"/>
        <v>0.75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5</v>
      </c>
      <c r="M133" s="17">
        <f t="shared" ref="M133:M196" si="12">COUNTIF(O133:AP133,"APAGADO")</f>
        <v>23</v>
      </c>
      <c r="N133" s="18">
        <f t="shared" ref="N133:N196" si="13">(L133)/(M133+L133)</f>
        <v>0.17857142857142858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12</v>
      </c>
      <c r="M153" s="17">
        <f t="shared" si="12"/>
        <v>16</v>
      </c>
      <c r="N153" s="18">
        <f t="shared" si="13"/>
        <v>0.42857142857142855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6</v>
      </c>
      <c r="M156" s="17">
        <f t="shared" si="12"/>
        <v>22</v>
      </c>
      <c r="N156" s="18">
        <f t="shared" si="13"/>
        <v>0.21428571428571427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8</v>
      </c>
      <c r="M159" s="17">
        <f t="shared" si="12"/>
        <v>20</v>
      </c>
      <c r="N159" s="18">
        <f t="shared" si="13"/>
        <v>0.2857142857142857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20</v>
      </c>
      <c r="M169" s="17">
        <f t="shared" si="12"/>
        <v>8</v>
      </c>
      <c r="N169" s="18">
        <f t="shared" si="13"/>
        <v>0.7142857142857143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12</v>
      </c>
      <c r="M171" s="17">
        <f t="shared" si="12"/>
        <v>16</v>
      </c>
      <c r="N171" s="18">
        <f t="shared" si="13"/>
        <v>0.42857142857142855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16</v>
      </c>
      <c r="M174" s="17">
        <f t="shared" si="12"/>
        <v>12</v>
      </c>
      <c r="N174" s="18">
        <f t="shared" si="13"/>
        <v>0.5714285714285714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22</v>
      </c>
      <c r="M180" s="17">
        <f t="shared" si="12"/>
        <v>6</v>
      </c>
      <c r="N180" s="18">
        <f t="shared" si="13"/>
        <v>0.7857142857142857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5</v>
      </c>
      <c r="M191" s="17">
        <f t="shared" si="12"/>
        <v>23</v>
      </c>
      <c r="N191" s="18">
        <f t="shared" si="13"/>
        <v>0.17857142857142858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5</v>
      </c>
      <c r="M192" s="17">
        <f t="shared" si="12"/>
        <v>23</v>
      </c>
      <c r="N192" s="18">
        <f t="shared" si="13"/>
        <v>0.17857142857142858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9</v>
      </c>
      <c r="M193" s="17">
        <f t="shared" si="12"/>
        <v>19</v>
      </c>
      <c r="N193" s="18">
        <f t="shared" si="13"/>
        <v>0.32142857142857145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17</v>
      </c>
      <c r="M197" s="17">
        <f t="shared" ref="M197:M262" si="15">COUNTIF(O197:AP197,"APAGADO")</f>
        <v>11</v>
      </c>
      <c r="N197" s="18">
        <f t="shared" ref="N197:N262" si="16">(L197)/(M197+L197)</f>
        <v>0.6071428571428571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6</v>
      </c>
      <c r="M206" s="17">
        <f t="shared" si="15"/>
        <v>22</v>
      </c>
      <c r="N206" s="18">
        <f t="shared" si="16"/>
        <v>0.21428571428571427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25</v>
      </c>
      <c r="M207" s="17">
        <f t="shared" si="15"/>
        <v>3</v>
      </c>
      <c r="N207" s="18">
        <f t="shared" si="16"/>
        <v>0.8928571428571429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23</v>
      </c>
      <c r="M211" s="17">
        <f t="shared" si="15"/>
        <v>5</v>
      </c>
      <c r="N211" s="18">
        <f t="shared" si="16"/>
        <v>0.8214285714285714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23</v>
      </c>
      <c r="M212" s="17">
        <f t="shared" si="15"/>
        <v>5</v>
      </c>
      <c r="N212" s="18">
        <f t="shared" si="16"/>
        <v>0.8214285714285714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16</v>
      </c>
      <c r="M224" s="17">
        <f t="shared" si="15"/>
        <v>12</v>
      </c>
      <c r="N224" s="18">
        <f t="shared" si="16"/>
        <v>0.5714285714285714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22</v>
      </c>
      <c r="M237" s="17">
        <f t="shared" si="15"/>
        <v>6</v>
      </c>
      <c r="N237" s="18">
        <f t="shared" si="16"/>
        <v>0.7857142857142857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18</v>
      </c>
      <c r="M240" s="17">
        <f t="shared" si="15"/>
        <v>10</v>
      </c>
      <c r="N240" s="18">
        <f t="shared" si="16"/>
        <v>0.6428571428571429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12</v>
      </c>
      <c r="M281" s="17">
        <f t="shared" si="18"/>
        <v>16</v>
      </c>
      <c r="N281" s="18">
        <f t="shared" si="19"/>
        <v>0.42857142857142855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8</v>
      </c>
      <c r="M282" s="17">
        <f t="shared" si="18"/>
        <v>20</v>
      </c>
      <c r="N282" s="18">
        <f t="shared" si="19"/>
        <v>0.2857142857142857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23</v>
      </c>
      <c r="M284" s="17">
        <f t="shared" si="18"/>
        <v>5</v>
      </c>
      <c r="N284" s="18">
        <f t="shared" si="19"/>
        <v>0.8214285714285714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23</v>
      </c>
      <c r="M285" s="17">
        <f t="shared" si="18"/>
        <v>5</v>
      </c>
      <c r="N285" s="18">
        <f t="shared" si="19"/>
        <v>0.8214285714285714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16</v>
      </c>
      <c r="M305" s="17">
        <f t="shared" si="18"/>
        <v>12</v>
      </c>
      <c r="N305" s="18">
        <f t="shared" si="19"/>
        <v>0.5714285714285714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22</v>
      </c>
      <c r="M324" s="17">
        <f t="shared" si="18"/>
        <v>6</v>
      </c>
      <c r="N324" s="18">
        <f t="shared" si="19"/>
        <v>0.7857142857142857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23</v>
      </c>
      <c r="M355" s="17">
        <f t="shared" si="21"/>
        <v>5</v>
      </c>
      <c r="N355" s="18">
        <f t="shared" si="22"/>
        <v>0.8214285714285714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15</v>
      </c>
      <c r="M369" s="17">
        <f t="shared" si="21"/>
        <v>13</v>
      </c>
      <c r="N369" s="18">
        <f t="shared" si="22"/>
        <v>0.5357142857142857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x14ac:dyDescent="0.3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3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3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3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tabSelected="1"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193" sqref="A193:XFD19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0</v>
      </c>
      <c r="AD2" s="26">
        <f t="shared" ref="AD2" si="0">COUNTIFS(AD4:AD367, "=APAGADO",AC4:AC367,"=Fibra Optica")</f>
        <v>0</v>
      </c>
      <c r="AE2" s="26">
        <f t="shared" ref="AE2" si="1">COUNTIFS(AE4:AE367, "=APAGADO",AC4:AC367,"=Fibra Optica")</f>
        <v>0</v>
      </c>
      <c r="AF2" s="26">
        <f t="shared" ref="AF2" si="2">COUNTIFS(AF4:AF367, "=APAGADO",AC4:AC367,"=Fibra Optica")</f>
        <v>0</v>
      </c>
      <c r="AG2" s="26">
        <f t="shared" ref="AG2" si="3">COUNTIFS(AG4:AG367, "=APAGADO",AC4:AC367,"=Fibra Optica")</f>
        <v>0</v>
      </c>
      <c r="AH2" s="26">
        <f t="shared" ref="AH2" si="4">COUNTIFS(AH4:AH367, "=APAGADO",AD4:AD367,"=Fibra Optica")</f>
        <v>0</v>
      </c>
      <c r="AI2" s="26">
        <f t="shared" ref="AI2" si="5">COUNTIFS(AI4:AI367, "=APAGADO",AE4:AE367,"=Fibra Optica")</f>
        <v>0</v>
      </c>
      <c r="AJ2" s="26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7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B3" sqref="AB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7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7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C1" zoomScale="140" zoomScaleNormal="140"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24" sqref="D24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3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3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3">
      <c r="A25" s="25">
        <f>'APAGADOS RADIO'!AC3</f>
        <v>44644</v>
      </c>
      <c r="B25" s="30"/>
      <c r="C25" s="30"/>
      <c r="F25">
        <f>'RESUMEN TOTAL'!C1</f>
        <v>368</v>
      </c>
    </row>
    <row r="26" spans="1:6" x14ac:dyDescent="0.3">
      <c r="A26" s="25">
        <f>'APAGADOS RADIO'!AD3</f>
        <v>44645</v>
      </c>
      <c r="B26" s="30"/>
      <c r="C26" s="30"/>
      <c r="F26">
        <f>'RESUMEN TOTAL'!C1</f>
        <v>368</v>
      </c>
    </row>
    <row r="27" spans="1:6" x14ac:dyDescent="0.3">
      <c r="A27" s="25">
        <f>'APAGADOS RADIO'!AE3</f>
        <v>44646</v>
      </c>
      <c r="F27">
        <f>'RESUMEN TOTAL'!C1</f>
        <v>368</v>
      </c>
    </row>
    <row r="28" spans="1:6" x14ac:dyDescent="0.3">
      <c r="A28" s="25">
        <f>'APAGADOS RADIO'!AF3</f>
        <v>44647</v>
      </c>
      <c r="F28">
        <f>'RESUMEN TOTAL'!C1</f>
        <v>368</v>
      </c>
    </row>
    <row r="29" spans="1:6" x14ac:dyDescent="0.3">
      <c r="A29" s="25">
        <f>'APAGADOS RADIO'!AG3</f>
        <v>44648</v>
      </c>
      <c r="F29">
        <f>'RESUMEN TOTAL'!C1</f>
        <v>368</v>
      </c>
    </row>
    <row r="30" spans="1:6" x14ac:dyDescent="0.3">
      <c r="A30" s="25">
        <f>'APAGADOS RADIO'!AH3</f>
        <v>44649</v>
      </c>
      <c r="F30">
        <f>'RESUMEN TOTAL'!C1</f>
        <v>368</v>
      </c>
    </row>
    <row r="31" spans="1:6" x14ac:dyDescent="0.3">
      <c r="A31" s="25">
        <f>'APAGADOS RADIO'!AI3</f>
        <v>44650</v>
      </c>
      <c r="F31">
        <f>'RESUMEN TOTAL'!C1</f>
        <v>368</v>
      </c>
    </row>
    <row r="32" spans="1:6" x14ac:dyDescent="0.3">
      <c r="A32" s="25">
        <f>'APAGADOS RADIO'!AJ3</f>
        <v>44651</v>
      </c>
      <c r="F32">
        <f>'RESUMEN TOTAL'!C1</f>
        <v>368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2022-03-23T14:06:25Z</dcterms:modified>
</cp:coreProperties>
</file>