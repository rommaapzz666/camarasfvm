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1BE0F09A-C0F4-4740-A800-9F8FD319B1A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5" i="14"/>
  <c r="D6" i="14"/>
  <c r="D7" i="14"/>
  <c r="D8" i="14"/>
  <c r="D9" i="14"/>
  <c r="D10" i="14"/>
  <c r="D11" i="14"/>
  <c r="D12" i="14"/>
  <c r="D13" i="14"/>
  <c r="D14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J56" i="2"/>
  <c r="L56" i="2" s="1"/>
  <c r="J57" i="2"/>
  <c r="J58" i="2"/>
  <c r="J59" i="2"/>
  <c r="L59" i="2" s="1"/>
  <c r="J60" i="2"/>
  <c r="J61" i="2"/>
  <c r="L61" i="2" s="1"/>
  <c r="J62" i="2"/>
  <c r="L62" i="2" s="1"/>
  <c r="J63" i="2"/>
  <c r="J64" i="2"/>
  <c r="J65" i="2"/>
  <c r="J66" i="2"/>
  <c r="L66" i="2" s="1"/>
  <c r="J67" i="2"/>
  <c r="L67" i="2" s="1"/>
  <c r="J68" i="2"/>
  <c r="J69" i="2"/>
  <c r="L69" i="2" s="1"/>
  <c r="J70" i="2"/>
  <c r="J71" i="2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L78" i="2" s="1"/>
  <c r="J79" i="2"/>
  <c r="J80" i="2"/>
  <c r="J81" i="2"/>
  <c r="L81" i="2" s="1"/>
  <c r="J82" i="2"/>
  <c r="L82" i="2" s="1"/>
  <c r="J83" i="2"/>
  <c r="L83" i="2" s="1"/>
  <c r="J84" i="2"/>
  <c r="J85" i="2"/>
  <c r="L85" i="2" s="1"/>
  <c r="J86" i="2"/>
  <c r="L86" i="2" s="1"/>
  <c r="J87" i="2"/>
  <c r="J88" i="2"/>
  <c r="J89" i="2"/>
  <c r="L89" i="2" s="1"/>
  <c r="J90" i="2"/>
  <c r="L90" i="2" s="1"/>
  <c r="J91" i="2"/>
  <c r="J92" i="2"/>
  <c r="J93" i="2"/>
  <c r="L93" i="2" s="1"/>
  <c r="J94" i="2"/>
  <c r="L94" i="2" s="1"/>
  <c r="J95" i="2"/>
  <c r="J96" i="2"/>
  <c r="L96" i="2" s="1"/>
  <c r="J97" i="2"/>
  <c r="L97" i="2" s="1"/>
  <c r="J98" i="2"/>
  <c r="L98" i="2" s="1"/>
  <c r="J99" i="2"/>
  <c r="L99" i="2" s="1"/>
  <c r="J100" i="2"/>
  <c r="J101" i="2"/>
  <c r="J102" i="2"/>
  <c r="J103" i="2"/>
  <c r="J104" i="2"/>
  <c r="J105" i="2"/>
  <c r="J106" i="2"/>
  <c r="J107" i="2"/>
  <c r="J108" i="2"/>
  <c r="J109" i="2"/>
  <c r="L109" i="2" s="1"/>
  <c r="J110" i="2"/>
  <c r="L110" i="2" s="1"/>
  <c r="J111" i="2"/>
  <c r="J112" i="2"/>
  <c r="J113" i="2"/>
  <c r="L113" i="2" s="1"/>
  <c r="J114" i="2"/>
  <c r="L114" i="2" s="1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L124" i="2" s="1"/>
  <c r="J125" i="2"/>
  <c r="L125" i="2" s="1"/>
  <c r="J126" i="2"/>
  <c r="L126" i="2" s="1"/>
  <c r="J127" i="2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L137" i="2" s="1"/>
  <c r="J138" i="2"/>
  <c r="J139" i="2"/>
  <c r="J140" i="2"/>
  <c r="J141" i="2"/>
  <c r="J142" i="2"/>
  <c r="L142" i="2" s="1"/>
  <c r="J143" i="2"/>
  <c r="J144" i="2"/>
  <c r="L144" i="2" s="1"/>
  <c r="J145" i="2"/>
  <c r="L145" i="2" s="1"/>
  <c r="J146" i="2"/>
  <c r="L146" i="2" s="1"/>
  <c r="J147" i="2"/>
  <c r="L147" i="2" s="1"/>
  <c r="J148" i="2"/>
  <c r="J149" i="2"/>
  <c r="J150" i="2"/>
  <c r="J151" i="2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J160" i="2"/>
  <c r="L160" i="2" s="1"/>
  <c r="J161" i="2"/>
  <c r="L161" i="2" s="1"/>
  <c r="J162" i="2"/>
  <c r="L162" i="2" s="1"/>
  <c r="J163" i="2"/>
  <c r="L163" i="2" s="1"/>
  <c r="J164" i="2"/>
  <c r="J165" i="2"/>
  <c r="L165" i="2" s="1"/>
  <c r="J166" i="2"/>
  <c r="J167" i="2"/>
  <c r="J168" i="2"/>
  <c r="J169" i="2"/>
  <c r="L169" i="2" s="1"/>
  <c r="J170" i="2"/>
  <c r="J171" i="2"/>
  <c r="J172" i="2"/>
  <c r="J173" i="2"/>
  <c r="J174" i="2"/>
  <c r="J175" i="2"/>
  <c r="J176" i="2"/>
  <c r="L176" i="2" s="1"/>
  <c r="J177" i="2"/>
  <c r="L177" i="2" s="1"/>
  <c r="J178" i="2"/>
  <c r="J179" i="2"/>
  <c r="L179" i="2" s="1"/>
  <c r="J180" i="2"/>
  <c r="J181" i="2"/>
  <c r="L181" i="2" s="1"/>
  <c r="J182" i="2"/>
  <c r="L182" i="2" s="1"/>
  <c r="J183" i="2"/>
  <c r="J184" i="2"/>
  <c r="L184" i="2" s="1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L195" i="2" s="1"/>
  <c r="J196" i="2"/>
  <c r="J197" i="2"/>
  <c r="J198" i="2"/>
  <c r="J199" i="2"/>
  <c r="J200" i="2"/>
  <c r="L200" i="2" s="1"/>
  <c r="J201" i="2"/>
  <c r="J202" i="2"/>
  <c r="J203" i="2"/>
  <c r="J204" i="2"/>
  <c r="J205" i="2"/>
  <c r="J206" i="2"/>
  <c r="J207" i="2"/>
  <c r="J208" i="2"/>
  <c r="L208" i="2" s="1"/>
  <c r="J209" i="2"/>
  <c r="L209" i="2" s="1"/>
  <c r="J210" i="2"/>
  <c r="J211" i="2"/>
  <c r="L211" i="2" s="1"/>
  <c r="J212" i="2"/>
  <c r="J213" i="2"/>
  <c r="L213" i="2" s="1"/>
  <c r="J214" i="2"/>
  <c r="L214" i="2" s="1"/>
  <c r="J215" i="2"/>
  <c r="J216" i="2"/>
  <c r="L216" i="2" s="1"/>
  <c r="J217" i="2"/>
  <c r="L217" i="2" s="1"/>
  <c r="J218" i="2"/>
  <c r="J219" i="2"/>
  <c r="L219" i="2" s="1"/>
  <c r="J220" i="2"/>
  <c r="J221" i="2"/>
  <c r="L221" i="2" s="1"/>
  <c r="J222" i="2"/>
  <c r="L222" i="2" s="1"/>
  <c r="J223" i="2"/>
  <c r="J224" i="2"/>
  <c r="J225" i="2"/>
  <c r="L225" i="2" s="1"/>
  <c r="J226" i="2"/>
  <c r="J227" i="2"/>
  <c r="L227" i="2" s="1"/>
  <c r="J228" i="2"/>
  <c r="J229" i="2"/>
  <c r="L229" i="2" s="1"/>
  <c r="J230" i="2"/>
  <c r="J231" i="2"/>
  <c r="J232" i="2"/>
  <c r="L232" i="2" s="1"/>
  <c r="J233" i="2"/>
  <c r="L233" i="2" s="1"/>
  <c r="J234" i="2"/>
  <c r="J235" i="2"/>
  <c r="L235" i="2" s="1"/>
  <c r="J236" i="2"/>
  <c r="J237" i="2"/>
  <c r="L237" i="2" s="1"/>
  <c r="J238" i="2"/>
  <c r="J239" i="2"/>
  <c r="J240" i="2"/>
  <c r="L240" i="2" s="1"/>
  <c r="J241" i="2"/>
  <c r="L241" i="2" s="1"/>
  <c r="J242" i="2"/>
  <c r="J243" i="2"/>
  <c r="L243" i="2" s="1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L256" i="2" s="1"/>
  <c r="J257" i="2"/>
  <c r="L257" i="2" s="1"/>
  <c r="J258" i="2"/>
  <c r="J259" i="2"/>
  <c r="J260" i="2"/>
  <c r="L260" i="2" s="1"/>
  <c r="J261" i="2"/>
  <c r="L261" i="2" s="1"/>
  <c r="J262" i="2"/>
  <c r="L262" i="2" s="1"/>
  <c r="J263" i="2"/>
  <c r="J264" i="2"/>
  <c r="L264" i="2" s="1"/>
  <c r="J265" i="2"/>
  <c r="L265" i="2" s="1"/>
  <c r="J266" i="2"/>
  <c r="J267" i="2"/>
  <c r="L267" i="2" s="1"/>
  <c r="J268" i="2"/>
  <c r="L268" i="2" s="1"/>
  <c r="J269" i="2"/>
  <c r="L269" i="2" s="1"/>
  <c r="J270" i="2"/>
  <c r="J271" i="2"/>
  <c r="J272" i="2"/>
  <c r="J273" i="2"/>
  <c r="L273" i="2" s="1"/>
  <c r="J274" i="2"/>
  <c r="J275" i="2"/>
  <c r="L275" i="2" s="1"/>
  <c r="J276" i="2"/>
  <c r="J277" i="2"/>
  <c r="J278" i="2"/>
  <c r="J279" i="2"/>
  <c r="J280" i="2"/>
  <c r="J281" i="2"/>
  <c r="L281" i="2" s="1"/>
  <c r="J282" i="2"/>
  <c r="J283" i="2"/>
  <c r="L283" i="2" s="1"/>
  <c r="J284" i="2"/>
  <c r="J285" i="2"/>
  <c r="L285" i="2" s="1"/>
  <c r="J286" i="2"/>
  <c r="J287" i="2"/>
  <c r="J288" i="2"/>
  <c r="L288" i="2" s="1"/>
  <c r="J289" i="2"/>
  <c r="L289" i="2" s="1"/>
  <c r="J290" i="2"/>
  <c r="J291" i="2"/>
  <c r="L291" i="2" s="1"/>
  <c r="J292" i="2"/>
  <c r="J293" i="2"/>
  <c r="L293" i="2" s="1"/>
  <c r="J294" i="2"/>
  <c r="J295" i="2"/>
  <c r="J296" i="2"/>
  <c r="L296" i="2" s="1"/>
  <c r="J297" i="2"/>
  <c r="L297" i="2" s="1"/>
  <c r="J298" i="2"/>
  <c r="J299" i="2"/>
  <c r="L299" i="2" s="1"/>
  <c r="J300" i="2"/>
  <c r="L300" i="2" s="1"/>
  <c r="J301" i="2"/>
  <c r="L301" i="2" s="1"/>
  <c r="J302" i="2"/>
  <c r="J303" i="2"/>
  <c r="J304" i="2"/>
  <c r="J305" i="2"/>
  <c r="J306" i="2"/>
  <c r="J307" i="2"/>
  <c r="L307" i="2" s="1"/>
  <c r="J308" i="2"/>
  <c r="L308" i="2" s="1"/>
  <c r="J309" i="2"/>
  <c r="L309" i="2" s="1"/>
  <c r="J310" i="2"/>
  <c r="L310" i="2" s="1"/>
  <c r="J311" i="2"/>
  <c r="J312" i="2"/>
  <c r="L312" i="2" s="1"/>
  <c r="J313" i="2"/>
  <c r="L313" i="2" s="1"/>
  <c r="J314" i="2"/>
  <c r="J315" i="2"/>
  <c r="L315" i="2" s="1"/>
  <c r="J316" i="2"/>
  <c r="J317" i="2"/>
  <c r="L317" i="2" s="1"/>
  <c r="J318" i="2"/>
  <c r="L318" i="2" s="1"/>
  <c r="J319" i="2"/>
  <c r="J320" i="2"/>
  <c r="J321" i="2"/>
  <c r="L321" i="2" s="1"/>
  <c r="J322" i="2"/>
  <c r="J323" i="2"/>
  <c r="L323" i="2" s="1"/>
  <c r="J324" i="2"/>
  <c r="L324" i="2" s="1"/>
  <c r="J325" i="2"/>
  <c r="L325" i="2" s="1"/>
  <c r="J326" i="2"/>
  <c r="L326" i="2" s="1"/>
  <c r="J327" i="2"/>
  <c r="J328" i="2"/>
  <c r="L328" i="2" s="1"/>
  <c r="J329" i="2"/>
  <c r="L329" i="2" s="1"/>
  <c r="J330" i="2"/>
  <c r="J331" i="2"/>
  <c r="L331" i="2" s="1"/>
  <c r="J332" i="2"/>
  <c r="L332" i="2" s="1"/>
  <c r="J333" i="2"/>
  <c r="J334" i="2"/>
  <c r="L334" i="2" s="1"/>
  <c r="J335" i="2"/>
  <c r="J336" i="2"/>
  <c r="J337" i="2"/>
  <c r="L337" i="2" s="1"/>
  <c r="J338" i="2"/>
  <c r="J339" i="2"/>
  <c r="L339" i="2" s="1"/>
  <c r="J340" i="2"/>
  <c r="J341" i="2"/>
  <c r="J342" i="2"/>
  <c r="L342" i="2" s="1"/>
  <c r="J343" i="2"/>
  <c r="J344" i="2"/>
  <c r="L344" i="2" s="1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L355" i="2" s="1"/>
  <c r="J356" i="2"/>
  <c r="J357" i="2"/>
  <c r="J358" i="2"/>
  <c r="L358" i="2" s="1"/>
  <c r="J359" i="2"/>
  <c r="J360" i="2"/>
  <c r="J361" i="2"/>
  <c r="L361" i="2" s="1"/>
  <c r="J362" i="2"/>
  <c r="J363" i="2"/>
  <c r="L363" i="2" s="1"/>
  <c r="J364" i="2"/>
  <c r="J365" i="2"/>
  <c r="J366" i="2"/>
  <c r="L366" i="2" s="1"/>
  <c r="J367" i="2"/>
  <c r="J368" i="2"/>
  <c r="L368" i="2" s="1"/>
  <c r="J47" i="2"/>
  <c r="L47" i="2" s="1"/>
  <c r="K46" i="2"/>
  <c r="J46" i="2"/>
  <c r="K45" i="2"/>
  <c r="J45" i="2"/>
  <c r="K44" i="2"/>
  <c r="J44" i="2"/>
  <c r="K43" i="2"/>
  <c r="J43" i="2"/>
  <c r="L43" i="2" s="1"/>
  <c r="K42" i="2"/>
  <c r="J42" i="2"/>
  <c r="L42" i="2" s="1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L29" i="2" s="1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L20" i="2" s="1"/>
  <c r="J20" i="2"/>
  <c r="K19" i="2"/>
  <c r="J19" i="2"/>
  <c r="L19" i="2" s="1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203" i="2" l="1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P1" i="11" l="1"/>
  <c r="AB1" i="11"/>
  <c r="V1" i="11"/>
  <c r="G1" i="11"/>
  <c r="B3" i="14" s="1"/>
  <c r="Q1" i="11"/>
  <c r="K1" i="11"/>
  <c r="AA1" i="11"/>
  <c r="L1" i="11"/>
  <c r="AC1" i="11"/>
  <c r="F1" i="11"/>
  <c r="B2" i="14" s="1"/>
  <c r="U1" i="11"/>
  <c r="AE1" i="11"/>
  <c r="AF1" i="11"/>
  <c r="X1" i="11"/>
  <c r="AD1" i="11"/>
  <c r="O1" i="11"/>
  <c r="Y1" i="11"/>
  <c r="Z1" i="11"/>
  <c r="S1" i="11"/>
  <c r="M1" i="11"/>
  <c r="H1" i="11"/>
  <c r="B4" i="14" s="1"/>
  <c r="T1" i="11"/>
  <c r="N1" i="11"/>
  <c r="I1" i="11"/>
  <c r="J1" i="11"/>
  <c r="W1" i="11"/>
  <c r="AA1" i="10"/>
  <c r="F1" i="10"/>
  <c r="C2" i="14" s="1"/>
  <c r="AE1" i="10"/>
  <c r="AF1" i="10"/>
  <c r="AB1" i="10"/>
  <c r="AC1" i="10"/>
  <c r="AD1" i="10"/>
  <c r="AG1" i="10"/>
  <c r="I1" i="10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4" i="14" l="1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<sst xmlns="http://schemas.openxmlformats.org/spreadsheetml/2006/main" count="2455" uniqueCount="952">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</sst>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2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O201" activePane="bottomRight" state="frozen"/>
      <selection pane="topRight" activeCell="M1" sqref="M1"/>
      <selection pane="bottomLeft" activeCell="A5" sqref="A5"/>
      <selection pane="bottomRight" activeCell="O207" sqref="O207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</v>
      </c>
      <c r="Q1" s="8">
        <f t="shared" si="0"/>
        <v>0</v>
      </c>
      <c r="R1" s="8">
        <f t="shared" si="0"/>
        <v>0</v>
      </c>
      <c r="S1" s="8">
        <f t="shared" si="0"/>
        <v>0</v>
      </c>
      <c r="T1" s="8">
        <f t="shared" si="0"/>
        <v>0</v>
      </c>
      <c r="U1" s="8">
        <f t="shared" si="0"/>
        <v>0</v>
      </c>
      <c r="V1" s="8">
        <f t="shared" si="0"/>
        <v>0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364</v>
      </c>
      <c r="Q2" s="16">
        <f t="shared" si="1"/>
        <v>364</v>
      </c>
      <c r="R2" s="16">
        <f t="shared" si="1"/>
        <v>364</v>
      </c>
      <c r="S2" s="16">
        <f t="shared" si="1"/>
        <v>364</v>
      </c>
      <c r="T2" s="16">
        <f t="shared" si="1"/>
        <v>364</v>
      </c>
      <c r="U2" s="16">
        <f t="shared" si="1"/>
        <v>364</v>
      </c>
      <c r="V2" s="16">
        <f t="shared" si="1"/>
        <v>364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0</v>
      </c>
      <c r="Q3" s="21">
        <f t="shared" si="2"/>
        <v>0</v>
      </c>
      <c r="R3" s="21">
        <f t="shared" si="2"/>
        <v>0</v>
      </c>
      <c r="S3" s="21">
        <f t="shared" si="2"/>
        <v>0</v>
      </c>
      <c r="T3" s="21">
        <f t="shared" si="2"/>
        <v>0</v>
      </c>
      <c r="U3" s="21">
        <f t="shared" si="2"/>
        <v>0</v>
      </c>
      <c r="V3" s="21">
        <f t="shared" si="2"/>
        <v>0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26</v>
      </c>
      <c r="K5" s="27">
        <f t="shared" ref="K5:K68" si="4">COUNTIF(M5:AN5,"APAGADO")</f>
        <v>2</v>
      </c>
      <c r="L5" s="28">
        <f t="shared" ref="L5:L68" si="5">(J5)/(K5+J5)</f>
        <v>0.9285714285714286</v>
      </c>
      <c r="M5" s="29" t="s">
        <v>947</v>
      </c>
      <c r="N5" s="29"/>
      <c r="O5" s="29" t="s">
        <v>947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25</v>
      </c>
      <c r="K7" s="27">
        <f t="shared" si="4"/>
        <v>3</v>
      </c>
      <c r="L7" s="28">
        <f t="shared" si="5"/>
        <v>0.8928571428571429</v>
      </c>
      <c r="M7" s="13" t="s">
        <v>947</v>
      </c>
      <c r="N7" s="13" t="s">
        <v>947</v>
      </c>
      <c r="O7" s="13" t="s">
        <v>947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28</v>
      </c>
      <c r="K8" s="27">
        <f t="shared" si="4"/>
        <v>0</v>
      </c>
      <c r="L8" s="28">
        <f t="shared" si="5"/>
        <v>1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25</v>
      </c>
      <c r="K10" s="27">
        <f t="shared" si="4"/>
        <v>3</v>
      </c>
      <c r="L10" s="28">
        <f t="shared" si="5"/>
        <v>0.8928571428571429</v>
      </c>
      <c r="M10" s="13" t="s">
        <v>947</v>
      </c>
      <c r="N10" s="13" t="s">
        <v>947</v>
      </c>
      <c r="O10" s="13" t="s">
        <v>947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25</v>
      </c>
      <c r="K13" s="27">
        <f t="shared" si="4"/>
        <v>3</v>
      </c>
      <c r="L13" s="28">
        <f t="shared" si="5"/>
        <v>0.8928571428571429</v>
      </c>
      <c r="M13" s="13" t="s">
        <v>947</v>
      </c>
      <c r="N13" s="13" t="s">
        <v>947</v>
      </c>
      <c r="O13" s="13" t="s">
        <v>947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25</v>
      </c>
      <c r="K14" s="27">
        <f t="shared" si="4"/>
        <v>3</v>
      </c>
      <c r="L14" s="28">
        <f t="shared" si="5"/>
        <v>0.8928571428571429</v>
      </c>
      <c r="M14" s="13" t="s">
        <v>947</v>
      </c>
      <c r="N14" s="13" t="s">
        <v>947</v>
      </c>
      <c r="O14" s="13" t="s">
        <v>947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25</v>
      </c>
      <c r="K17" s="27">
        <f t="shared" si="4"/>
        <v>3</v>
      </c>
      <c r="L17" s="28">
        <f t="shared" si="5"/>
        <v>0.8928571428571429</v>
      </c>
      <c r="M17" s="13" t="s">
        <v>947</v>
      </c>
      <c r="N17" s="13" t="s">
        <v>947</v>
      </c>
      <c r="O17" s="13" t="s">
        <v>947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25</v>
      </c>
      <c r="K18" s="27">
        <f t="shared" si="4"/>
        <v>3</v>
      </c>
      <c r="L18" s="28">
        <f t="shared" si="5"/>
        <v>0.8928571428571429</v>
      </c>
      <c r="M18" s="13" t="s">
        <v>947</v>
      </c>
      <c r="N18" s="13" t="s">
        <v>947</v>
      </c>
      <c r="O18" s="13" t="s">
        <v>947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28</v>
      </c>
      <c r="K19" s="27">
        <f t="shared" si="4"/>
        <v>0</v>
      </c>
      <c r="L19" s="28">
        <f t="shared" si="5"/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25</v>
      </c>
      <c r="K24" s="27">
        <f t="shared" si="4"/>
        <v>3</v>
      </c>
      <c r="L24" s="28">
        <f t="shared" si="5"/>
        <v>0.8928571428571429</v>
      </c>
      <c r="M24" s="13" t="s">
        <v>947</v>
      </c>
      <c r="N24" s="13" t="s">
        <v>947</v>
      </c>
      <c r="O24" s="13" t="s">
        <v>947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25</v>
      </c>
      <c r="K57" s="27">
        <f t="shared" si="4"/>
        <v>3</v>
      </c>
      <c r="L57" s="28">
        <f t="shared" si="5"/>
        <v>0.8928571428571429</v>
      </c>
      <c r="M57" s="13" t="s">
        <v>947</v>
      </c>
      <c r="N57" s="13" t="s">
        <v>947</v>
      </c>
      <c r="O57" s="13" t="s">
        <v>947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25</v>
      </c>
      <c r="K60" s="27">
        <f t="shared" si="4"/>
        <v>3</v>
      </c>
      <c r="L60" s="28">
        <f t="shared" si="5"/>
        <v>0.8928571428571429</v>
      </c>
      <c r="M60" s="13" t="s">
        <v>947</v>
      </c>
      <c r="N60" s="13" t="s">
        <v>947</v>
      </c>
      <c r="O60" s="13" t="s">
        <v>947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25</v>
      </c>
      <c r="K63" s="27">
        <f t="shared" si="4"/>
        <v>3</v>
      </c>
      <c r="L63" s="28">
        <f t="shared" si="5"/>
        <v>0.8928571428571429</v>
      </c>
      <c r="M63" s="13" t="s">
        <v>947</v>
      </c>
      <c r="N63" s="13" t="s">
        <v>947</v>
      </c>
      <c r="O63" s="13" t="s">
        <v>947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25</v>
      </c>
      <c r="K65" s="27">
        <f t="shared" si="4"/>
        <v>3</v>
      </c>
      <c r="L65" s="28">
        <f t="shared" si="5"/>
        <v>0.8928571428571429</v>
      </c>
      <c r="M65" s="13" t="s">
        <v>947</v>
      </c>
      <c r="N65" s="13" t="s">
        <v>947</v>
      </c>
      <c r="O65" s="13" t="s">
        <v>947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25</v>
      </c>
      <c r="K68" s="27">
        <f t="shared" si="4"/>
        <v>3</v>
      </c>
      <c r="L68" s="28">
        <f t="shared" si="5"/>
        <v>0.8928571428571429</v>
      </c>
      <c r="M68" s="13" t="s">
        <v>947</v>
      </c>
      <c r="N68" s="13" t="s">
        <v>947</v>
      </c>
      <c r="O68" s="13" t="s">
        <v>947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25</v>
      </c>
      <c r="K80" s="27">
        <f t="shared" si="7"/>
        <v>3</v>
      </c>
      <c r="L80" s="28">
        <f t="shared" si="8"/>
        <v>0.8928571428571429</v>
      </c>
      <c r="M80" s="13" t="s">
        <v>947</v>
      </c>
      <c r="N80" s="13" t="s">
        <v>947</v>
      </c>
      <c r="O80" s="13" t="s">
        <v>947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25</v>
      </c>
      <c r="K88" s="27">
        <f t="shared" si="7"/>
        <v>3</v>
      </c>
      <c r="L88" s="28">
        <f t="shared" si="8"/>
        <v>0.8928571428571429</v>
      </c>
      <c r="M88" s="13" t="s">
        <v>947</v>
      </c>
      <c r="N88" s="13" t="s">
        <v>947</v>
      </c>
      <c r="O88" s="13" t="s">
        <v>947</v>
      </c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28</v>
      </c>
      <c r="K90" s="27">
        <f t="shared" si="7"/>
        <v>0</v>
      </c>
      <c r="L90" s="28">
        <f t="shared" si="8"/>
        <v>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25</v>
      </c>
      <c r="K91" s="27">
        <f t="shared" si="7"/>
        <v>3</v>
      </c>
      <c r="L91" s="28">
        <f t="shared" si="8"/>
        <v>0.8928571428571429</v>
      </c>
      <c r="M91" s="13" t="s">
        <v>947</v>
      </c>
      <c r="N91" s="13" t="s">
        <v>947</v>
      </c>
      <c r="O91" s="13" t="s">
        <v>947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25</v>
      </c>
      <c r="K92" s="27">
        <f t="shared" si="7"/>
        <v>3</v>
      </c>
      <c r="L92" s="28">
        <f t="shared" si="8"/>
        <v>0.8928571428571429</v>
      </c>
      <c r="M92" s="13" t="s">
        <v>947</v>
      </c>
      <c r="N92" s="13" t="s">
        <v>947</v>
      </c>
      <c r="O92" s="13" t="s">
        <v>947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25</v>
      </c>
      <c r="K104" s="27">
        <f t="shared" si="7"/>
        <v>3</v>
      </c>
      <c r="L104" s="28">
        <f t="shared" si="8"/>
        <v>0.8928571428571429</v>
      </c>
      <c r="M104" s="13" t="s">
        <v>947</v>
      </c>
      <c r="N104" s="13" t="s">
        <v>947</v>
      </c>
      <c r="O104" s="13" t="s">
        <v>947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25</v>
      </c>
      <c r="K105" s="27">
        <f t="shared" si="7"/>
        <v>3</v>
      </c>
      <c r="L105" s="28">
        <f t="shared" si="8"/>
        <v>0.8928571428571429</v>
      </c>
      <c r="M105" s="13" t="s">
        <v>947</v>
      </c>
      <c r="N105" s="13" t="s">
        <v>947</v>
      </c>
      <c r="O105" s="13" t="s">
        <v>947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27</v>
      </c>
      <c r="K106" s="27">
        <f t="shared" si="7"/>
        <v>1</v>
      </c>
      <c r="L106" s="28">
        <f t="shared" si="8"/>
        <v>0.9642857142857143</v>
      </c>
      <c r="M106" s="13"/>
      <c r="N106" s="13"/>
      <c r="O106" s="13" t="s">
        <v>947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28</v>
      </c>
      <c r="K107" s="27">
        <f t="shared" si="7"/>
        <v>0</v>
      </c>
      <c r="L107" s="28">
        <f t="shared" si="8"/>
        <v>1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26</v>
      </c>
      <c r="K108" s="27">
        <f t="shared" si="7"/>
        <v>2</v>
      </c>
      <c r="L108" s="28">
        <f t="shared" si="8"/>
        <v>0.9285714285714286</v>
      </c>
      <c r="M108" s="13"/>
      <c r="N108" s="13" t="s">
        <v>947</v>
      </c>
      <c r="O108" s="13" t="s">
        <v>947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26</v>
      </c>
      <c r="K109" s="27">
        <f t="shared" si="7"/>
        <v>2</v>
      </c>
      <c r="L109" s="28">
        <f t="shared" si="8"/>
        <v>0.9285714285714286</v>
      </c>
      <c r="M109" s="13"/>
      <c r="N109" s="13" t="s">
        <v>947</v>
      </c>
      <c r="O109" s="13" t="s">
        <v>947</v>
      </c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25</v>
      </c>
      <c r="K115" s="27">
        <f t="shared" si="7"/>
        <v>3</v>
      </c>
      <c r="L115" s="28">
        <f t="shared" si="8"/>
        <v>0.8928571428571429</v>
      </c>
      <c r="M115" s="13" t="s">
        <v>947</v>
      </c>
      <c r="N115" s="13" t="s">
        <v>947</v>
      </c>
      <c r="O115" s="13" t="s">
        <v>947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25</v>
      </c>
      <c r="K116" s="27">
        <f t="shared" si="7"/>
        <v>3</v>
      </c>
      <c r="L116" s="28">
        <f t="shared" si="8"/>
        <v>0.8928571428571429</v>
      </c>
      <c r="M116" s="13" t="s">
        <v>947</v>
      </c>
      <c r="N116" s="13" t="s">
        <v>947</v>
      </c>
      <c r="O116" s="13" t="s">
        <v>947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25</v>
      </c>
      <c r="K120" s="27">
        <f t="shared" si="7"/>
        <v>3</v>
      </c>
      <c r="L120" s="28">
        <f t="shared" si="8"/>
        <v>0.8928571428571429</v>
      </c>
      <c r="M120" s="13" t="s">
        <v>947</v>
      </c>
      <c r="N120" s="13" t="s">
        <v>947</v>
      </c>
      <c r="O120" s="13" t="s">
        <v>947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25</v>
      </c>
      <c r="K121" s="27">
        <f t="shared" si="7"/>
        <v>3</v>
      </c>
      <c r="L121" s="28">
        <f t="shared" si="8"/>
        <v>0.8928571428571429</v>
      </c>
      <c r="M121" s="13" t="s">
        <v>947</v>
      </c>
      <c r="N121" s="13" t="s">
        <v>947</v>
      </c>
      <c r="O121" s="13" t="s">
        <v>947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28</v>
      </c>
      <c r="K122" s="27">
        <f t="shared" si="7"/>
        <v>0</v>
      </c>
      <c r="L122" s="28">
        <f t="shared" si="8"/>
        <v>1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28</v>
      </c>
      <c r="K123" s="27">
        <f t="shared" si="7"/>
        <v>0</v>
      </c>
      <c r="L123" s="28">
        <f t="shared" si="8"/>
        <v>1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25</v>
      </c>
      <c r="K129" s="27">
        <f t="shared" si="7"/>
        <v>3</v>
      </c>
      <c r="L129" s="28">
        <f t="shared" si="8"/>
        <v>0.8928571428571429</v>
      </c>
      <c r="M129" s="13" t="s">
        <v>947</v>
      </c>
      <c r="N129" s="13" t="s">
        <v>947</v>
      </c>
      <c r="O129" s="13" t="s">
        <v>947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25</v>
      </c>
      <c r="K130" s="27">
        <f t="shared" si="7"/>
        <v>3</v>
      </c>
      <c r="L130" s="28">
        <f t="shared" si="8"/>
        <v>0.8928571428571429</v>
      </c>
      <c r="M130" s="13" t="s">
        <v>947</v>
      </c>
      <c r="N130" s="13" t="s">
        <v>947</v>
      </c>
      <c r="O130" s="13" t="s">
        <v>947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27</v>
      </c>
      <c r="K133" s="27">
        <f t="shared" ref="K133:K196" si="10">COUNTIF(M133:AN133,"APAGADO")</f>
        <v>1</v>
      </c>
      <c r="L133" s="28">
        <f t="shared" ref="L133:L196" si="11">(J133)/(K133+J133)</f>
        <v>0.9642857142857143</v>
      </c>
      <c r="M133" s="13" t="s">
        <v>947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25</v>
      </c>
      <c r="K138" s="27">
        <f t="shared" si="10"/>
        <v>3</v>
      </c>
      <c r="L138" s="28">
        <f t="shared" si="11"/>
        <v>0.8928571428571429</v>
      </c>
      <c r="M138" s="13" t="s">
        <v>947</v>
      </c>
      <c r="N138" s="13" t="s">
        <v>947</v>
      </c>
      <c r="O138" s="13" t="s">
        <v>947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25</v>
      </c>
      <c r="K139" s="27">
        <f t="shared" si="10"/>
        <v>3</v>
      </c>
      <c r="L139" s="28">
        <f t="shared" si="11"/>
        <v>0.8928571428571429</v>
      </c>
      <c r="M139" s="13" t="s">
        <v>947</v>
      </c>
      <c r="N139" s="13" t="s">
        <v>947</v>
      </c>
      <c r="O139" s="13" t="s">
        <v>947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25</v>
      </c>
      <c r="K140" s="27">
        <f t="shared" si="10"/>
        <v>3</v>
      </c>
      <c r="L140" s="28">
        <f t="shared" si="11"/>
        <v>0.8928571428571429</v>
      </c>
      <c r="M140" s="13" t="s">
        <v>947</v>
      </c>
      <c r="N140" s="13" t="s">
        <v>947</v>
      </c>
      <c r="O140" s="13" t="s">
        <v>947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25</v>
      </c>
      <c r="K141" s="27">
        <f t="shared" si="10"/>
        <v>3</v>
      </c>
      <c r="L141" s="28">
        <f t="shared" si="11"/>
        <v>0.8928571428571429</v>
      </c>
      <c r="M141" s="13" t="s">
        <v>947</v>
      </c>
      <c r="N141" s="13" t="s">
        <v>947</v>
      </c>
      <c r="O141" s="13" t="s">
        <v>947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25</v>
      </c>
      <c r="K149" s="27">
        <f t="shared" si="10"/>
        <v>3</v>
      </c>
      <c r="L149" s="28">
        <f t="shared" si="11"/>
        <v>0.8928571428571429</v>
      </c>
      <c r="M149" s="13" t="s">
        <v>947</v>
      </c>
      <c r="N149" s="13" t="s">
        <v>947</v>
      </c>
      <c r="O149" s="13" t="s">
        <v>947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25</v>
      </c>
      <c r="K150" s="27">
        <f t="shared" si="10"/>
        <v>3</v>
      </c>
      <c r="L150" s="28">
        <f t="shared" si="11"/>
        <v>0.8928571428571429</v>
      </c>
      <c r="M150" s="13" t="s">
        <v>947</v>
      </c>
      <c r="N150" s="13" t="s">
        <v>947</v>
      </c>
      <c r="O150" s="13" t="s">
        <v>947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25</v>
      </c>
      <c r="K151" s="27">
        <f t="shared" si="10"/>
        <v>3</v>
      </c>
      <c r="L151" s="28">
        <f t="shared" si="11"/>
        <v>0.8928571428571429</v>
      </c>
      <c r="M151" s="13" t="s">
        <v>947</v>
      </c>
      <c r="N151" s="13" t="s">
        <v>947</v>
      </c>
      <c r="O151" s="13" t="s">
        <v>947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28</v>
      </c>
      <c r="K159" s="27">
        <f t="shared" si="10"/>
        <v>0</v>
      </c>
      <c r="L159" s="28">
        <f t="shared" si="11"/>
        <v>1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25</v>
      </c>
      <c r="K171" s="27">
        <f t="shared" si="10"/>
        <v>3</v>
      </c>
      <c r="L171" s="28">
        <f t="shared" si="11"/>
        <v>0.8928571428571429</v>
      </c>
      <c r="M171" s="13" t="s">
        <v>947</v>
      </c>
      <c r="N171" s="13" t="s">
        <v>947</v>
      </c>
      <c r="O171" s="13" t="s">
        <v>947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25</v>
      </c>
      <c r="K173" s="27">
        <f t="shared" si="10"/>
        <v>3</v>
      </c>
      <c r="L173" s="28">
        <f t="shared" si="11"/>
        <v>0.8928571428571429</v>
      </c>
      <c r="M173" s="13" t="s">
        <v>947</v>
      </c>
      <c r="N173" s="13" t="s">
        <v>947</v>
      </c>
      <c r="O173" s="13" t="s">
        <v>947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25</v>
      </c>
      <c r="K174" s="27">
        <f t="shared" si="10"/>
        <v>3</v>
      </c>
      <c r="L174" s="28">
        <f t="shared" si="11"/>
        <v>0.8928571428571429</v>
      </c>
      <c r="M174" s="13" t="s">
        <v>947</v>
      </c>
      <c r="N174" s="13" t="s">
        <v>947</v>
      </c>
      <c r="O174" s="13" t="s">
        <v>947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25</v>
      </c>
      <c r="K187" s="27">
        <f t="shared" si="10"/>
        <v>3</v>
      </c>
      <c r="L187" s="28">
        <f t="shared" si="11"/>
        <v>0.8928571428571429</v>
      </c>
      <c r="M187" s="13" t="s">
        <v>947</v>
      </c>
      <c r="N187" s="13" t="s">
        <v>947</v>
      </c>
      <c r="O187" s="13" t="s">
        <v>947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25</v>
      </c>
      <c r="K188" s="27">
        <f t="shared" si="10"/>
        <v>3</v>
      </c>
      <c r="L188" s="28">
        <f t="shared" si="11"/>
        <v>0.8928571428571429</v>
      </c>
      <c r="M188" s="13" t="s">
        <v>947</v>
      </c>
      <c r="N188" s="13" t="s">
        <v>947</v>
      </c>
      <c r="O188" s="13" t="s">
        <v>947</v>
      </c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25</v>
      </c>
      <c r="K191" s="27">
        <f t="shared" si="10"/>
        <v>3</v>
      </c>
      <c r="L191" s="28">
        <f t="shared" si="11"/>
        <v>0.8928571428571429</v>
      </c>
      <c r="M191" s="13" t="s">
        <v>947</v>
      </c>
      <c r="N191" s="13" t="s">
        <v>947</v>
      </c>
      <c r="O191" s="13" t="s">
        <v>947</v>
      </c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25</v>
      </c>
      <c r="K192" s="27">
        <f t="shared" si="10"/>
        <v>3</v>
      </c>
      <c r="L192" s="28">
        <f t="shared" si="11"/>
        <v>0.8928571428571429</v>
      </c>
      <c r="M192" s="13" t="s">
        <v>947</v>
      </c>
      <c r="N192" s="13" t="s">
        <v>947</v>
      </c>
      <c r="O192" s="13" t="s">
        <v>947</v>
      </c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25</v>
      </c>
      <c r="K193" s="27">
        <f t="shared" si="10"/>
        <v>3</v>
      </c>
      <c r="L193" s="28">
        <f t="shared" si="11"/>
        <v>0.8928571428571429</v>
      </c>
      <c r="M193" s="13" t="s">
        <v>947</v>
      </c>
      <c r="N193" s="13" t="s">
        <v>947</v>
      </c>
      <c r="O193" s="13" t="s">
        <v>947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25</v>
      </c>
      <c r="K194" s="27">
        <f t="shared" si="10"/>
        <v>3</v>
      </c>
      <c r="L194" s="28">
        <f t="shared" si="11"/>
        <v>0.8928571428571429</v>
      </c>
      <c r="M194" s="13" t="s">
        <v>947</v>
      </c>
      <c r="N194" s="13" t="s">
        <v>947</v>
      </c>
      <c r="O194" s="13" t="s">
        <v>947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28</v>
      </c>
      <c r="K195" s="27">
        <f t="shared" si="10"/>
        <v>0</v>
      </c>
      <c r="L195" s="28">
        <f t="shared" si="11"/>
        <v>1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28</v>
      </c>
      <c r="K196" s="27">
        <f t="shared" si="10"/>
        <v>0</v>
      </c>
      <c r="L196" s="28">
        <f t="shared" si="11"/>
        <v>1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28</v>
      </c>
      <c r="K197" s="27">
        <f t="shared" ref="K197:K260" si="13">COUNTIF(M197:AN197,"APAGADO")</f>
        <v>0</v>
      </c>
      <c r="L197" s="28">
        <f t="shared" ref="L197:L260" si="14">(J197)/(K197+J197)</f>
        <v>1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28</v>
      </c>
      <c r="K198" s="27">
        <f t="shared" si="13"/>
        <v>0</v>
      </c>
      <c r="L198" s="28">
        <f t="shared" si="14"/>
        <v>1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25</v>
      </c>
      <c r="K206" s="27">
        <f t="shared" si="13"/>
        <v>3</v>
      </c>
      <c r="L206" s="28">
        <f t="shared" si="14"/>
        <v>0.8928571428571429</v>
      </c>
      <c r="M206" s="13" t="s">
        <v>947</v>
      </c>
      <c r="N206" s="13" t="s">
        <v>947</v>
      </c>
      <c r="O206" s="13" t="s">
        <v>947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26</v>
      </c>
      <c r="K224" s="27">
        <f t="shared" si="13"/>
        <v>2</v>
      </c>
      <c r="L224" s="28">
        <f t="shared" si="14"/>
        <v>0.9285714285714286</v>
      </c>
      <c r="M224" s="13" t="s">
        <v>947</v>
      </c>
      <c r="N224" s="13"/>
      <c r="O224" s="13" t="s">
        <v>947</v>
      </c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25</v>
      </c>
      <c r="K230" s="27">
        <f t="shared" si="13"/>
        <v>3</v>
      </c>
      <c r="L230" s="28">
        <f t="shared" si="14"/>
        <v>0.8928571428571429</v>
      </c>
      <c r="M230" s="13" t="s">
        <v>947</v>
      </c>
      <c r="N230" s="13" t="s">
        <v>947</v>
      </c>
      <c r="O230" s="13" t="s">
        <v>947</v>
      </c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25</v>
      </c>
      <c r="K238" s="27">
        <f t="shared" si="13"/>
        <v>3</v>
      </c>
      <c r="L238" s="28">
        <f t="shared" si="14"/>
        <v>0.8928571428571429</v>
      </c>
      <c r="M238" s="13" t="s">
        <v>947</v>
      </c>
      <c r="N238" s="13" t="s">
        <v>947</v>
      </c>
      <c r="O238" s="13" t="s">
        <v>947</v>
      </c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25</v>
      </c>
      <c r="K249" s="27">
        <f t="shared" si="13"/>
        <v>3</v>
      </c>
      <c r="L249" s="28">
        <f t="shared" si="14"/>
        <v>0.8928571428571429</v>
      </c>
      <c r="M249" s="13" t="s">
        <v>947</v>
      </c>
      <c r="N249" s="13" t="s">
        <v>947</v>
      </c>
      <c r="O249" s="13" t="s">
        <v>947</v>
      </c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25</v>
      </c>
      <c r="K250" s="27">
        <f t="shared" si="13"/>
        <v>3</v>
      </c>
      <c r="L250" s="28">
        <f t="shared" si="14"/>
        <v>0.8928571428571429</v>
      </c>
      <c r="M250" s="13" t="s">
        <v>947</v>
      </c>
      <c r="N250" s="13" t="s">
        <v>947</v>
      </c>
      <c r="O250" s="13" t="s">
        <v>947</v>
      </c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25</v>
      </c>
      <c r="K251" s="27">
        <f t="shared" si="13"/>
        <v>3</v>
      </c>
      <c r="L251" s="28">
        <f t="shared" si="14"/>
        <v>0.8928571428571429</v>
      </c>
      <c r="M251" s="13" t="s">
        <v>947</v>
      </c>
      <c r="N251" s="13" t="s">
        <v>947</v>
      </c>
      <c r="O251" s="13" t="s">
        <v>947</v>
      </c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25</v>
      </c>
      <c r="K252" s="27">
        <f t="shared" si="13"/>
        <v>3</v>
      </c>
      <c r="L252" s="28">
        <f t="shared" si="14"/>
        <v>0.8928571428571429</v>
      </c>
      <c r="M252" s="13" t="s">
        <v>947</v>
      </c>
      <c r="N252" s="13" t="s">
        <v>947</v>
      </c>
      <c r="O252" s="13" t="s">
        <v>947</v>
      </c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25</v>
      </c>
      <c r="K259" s="27">
        <f t="shared" si="13"/>
        <v>3</v>
      </c>
      <c r="L259" s="28">
        <f t="shared" si="14"/>
        <v>0.8928571428571429</v>
      </c>
      <c r="M259" s="13" t="s">
        <v>947</v>
      </c>
      <c r="N259" s="13" t="s">
        <v>947</v>
      </c>
      <c r="O259" s="13" t="s">
        <v>947</v>
      </c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25</v>
      </c>
      <c r="K270" s="27">
        <f t="shared" si="16"/>
        <v>3</v>
      </c>
      <c r="L270" s="28">
        <f t="shared" si="17"/>
        <v>0.8928571428571429</v>
      </c>
      <c r="M270" s="13" t="s">
        <v>947</v>
      </c>
      <c r="N270" s="13" t="s">
        <v>947</v>
      </c>
      <c r="O270" s="13" t="s">
        <v>947</v>
      </c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25</v>
      </c>
      <c r="K271" s="27">
        <f t="shared" si="16"/>
        <v>3</v>
      </c>
      <c r="L271" s="28">
        <f t="shared" si="17"/>
        <v>0.8928571428571429</v>
      </c>
      <c r="M271" s="13" t="s">
        <v>947</v>
      </c>
      <c r="N271" s="13" t="s">
        <v>947</v>
      </c>
      <c r="O271" s="13" t="s">
        <v>947</v>
      </c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25</v>
      </c>
      <c r="K272" s="27">
        <f t="shared" si="16"/>
        <v>3</v>
      </c>
      <c r="L272" s="28">
        <f t="shared" si="17"/>
        <v>0.8928571428571429</v>
      </c>
      <c r="M272" s="13" t="s">
        <v>947</v>
      </c>
      <c r="N272" s="13" t="s">
        <v>947</v>
      </c>
      <c r="O272" s="13" t="s">
        <v>947</v>
      </c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28</v>
      </c>
      <c r="K276" s="27">
        <f t="shared" si="16"/>
        <v>0</v>
      </c>
      <c r="L276" s="28">
        <f t="shared" si="17"/>
        <v>1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25</v>
      </c>
      <c r="K277" s="27">
        <f t="shared" si="16"/>
        <v>3</v>
      </c>
      <c r="L277" s="28">
        <f t="shared" si="17"/>
        <v>0.8928571428571429</v>
      </c>
      <c r="M277" s="13" t="s">
        <v>947</v>
      </c>
      <c r="N277" s="13" t="s">
        <v>947</v>
      </c>
      <c r="O277" s="13" t="s">
        <v>947</v>
      </c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28</v>
      </c>
      <c r="K278" s="27">
        <f t="shared" si="16"/>
        <v>0</v>
      </c>
      <c r="L278" s="28">
        <f t="shared" si="17"/>
        <v>1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25</v>
      </c>
      <c r="K279" s="27">
        <f t="shared" si="16"/>
        <v>3</v>
      </c>
      <c r="L279" s="28">
        <f t="shared" si="17"/>
        <v>0.8928571428571429</v>
      </c>
      <c r="M279" s="13" t="s">
        <v>947</v>
      </c>
      <c r="N279" s="13" t="s">
        <v>947</v>
      </c>
      <c r="O279" s="13" t="s">
        <v>947</v>
      </c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25</v>
      </c>
      <c r="K280" s="27">
        <f t="shared" si="16"/>
        <v>3</v>
      </c>
      <c r="L280" s="28">
        <f t="shared" si="17"/>
        <v>0.8928571428571429</v>
      </c>
      <c r="M280" s="13" t="s">
        <v>947</v>
      </c>
      <c r="N280" s="13" t="s">
        <v>947</v>
      </c>
      <c r="O280" s="13" t="s">
        <v>947</v>
      </c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28</v>
      </c>
      <c r="K287" s="27">
        <f t="shared" si="16"/>
        <v>0</v>
      </c>
      <c r="L287" s="28">
        <f t="shared" si="17"/>
        <v>1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28</v>
      </c>
      <c r="K288" s="27">
        <f t="shared" si="16"/>
        <v>0</v>
      </c>
      <c r="L288" s="28">
        <f t="shared" si="17"/>
        <v>1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28</v>
      </c>
      <c r="K289" s="27">
        <f t="shared" si="16"/>
        <v>0</v>
      </c>
      <c r="L289" s="28">
        <f t="shared" si="17"/>
        <v>1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28</v>
      </c>
      <c r="K290" s="27">
        <f t="shared" si="16"/>
        <v>0</v>
      </c>
      <c r="L290" s="28">
        <f t="shared" si="17"/>
        <v>1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28</v>
      </c>
      <c r="K291" s="27">
        <f t="shared" si="16"/>
        <v>0</v>
      </c>
      <c r="L291" s="28">
        <f t="shared" si="17"/>
        <v>1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28</v>
      </c>
      <c r="K292" s="27">
        <f t="shared" si="16"/>
        <v>0</v>
      </c>
      <c r="L292" s="28">
        <f t="shared" si="17"/>
        <v>1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28</v>
      </c>
      <c r="K293" s="27">
        <f t="shared" si="16"/>
        <v>0</v>
      </c>
      <c r="L293" s="28">
        <f t="shared" si="17"/>
        <v>1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25</v>
      </c>
      <c r="K302" s="27">
        <f t="shared" si="16"/>
        <v>3</v>
      </c>
      <c r="L302" s="28">
        <f t="shared" si="17"/>
        <v>0.8928571428571429</v>
      </c>
      <c r="M302" s="13" t="s">
        <v>947</v>
      </c>
      <c r="N302" s="13" t="s">
        <v>947</v>
      </c>
      <c r="O302" s="13" t="s">
        <v>947</v>
      </c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25</v>
      </c>
      <c r="K303" s="27">
        <f t="shared" si="16"/>
        <v>3</v>
      </c>
      <c r="L303" s="28">
        <f t="shared" si="17"/>
        <v>0.8928571428571429</v>
      </c>
      <c r="M303" s="13" t="s">
        <v>947</v>
      </c>
      <c r="N303" s="13" t="s">
        <v>947</v>
      </c>
      <c r="O303" s="13" t="s">
        <v>947</v>
      </c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25</v>
      </c>
      <c r="K304" s="27">
        <f t="shared" si="16"/>
        <v>3</v>
      </c>
      <c r="L304" s="28">
        <f t="shared" si="17"/>
        <v>0.8928571428571429</v>
      </c>
      <c r="M304" s="13" t="s">
        <v>947</v>
      </c>
      <c r="N304" s="13" t="s">
        <v>947</v>
      </c>
      <c r="O304" s="13" t="s">
        <v>947</v>
      </c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25</v>
      </c>
      <c r="K305" s="27">
        <f t="shared" si="16"/>
        <v>3</v>
      </c>
      <c r="L305" s="28">
        <f t="shared" si="17"/>
        <v>0.8928571428571429</v>
      </c>
      <c r="M305" s="13" t="s">
        <v>947</v>
      </c>
      <c r="N305" s="13" t="s">
        <v>947</v>
      </c>
      <c r="O305" s="13" t="s">
        <v>947</v>
      </c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25</v>
      </c>
      <c r="K319" s="27">
        <f t="shared" si="16"/>
        <v>3</v>
      </c>
      <c r="L319" s="28">
        <f t="shared" si="17"/>
        <v>0.8928571428571429</v>
      </c>
      <c r="M319" s="13" t="s">
        <v>947</v>
      </c>
      <c r="N319" s="13" t="s">
        <v>947</v>
      </c>
      <c r="O319" s="13" t="s">
        <v>947</v>
      </c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25</v>
      </c>
      <c r="K320" s="27">
        <f t="shared" si="16"/>
        <v>3</v>
      </c>
      <c r="L320" s="28">
        <f t="shared" si="17"/>
        <v>0.8928571428571429</v>
      </c>
      <c r="M320" s="13" t="s">
        <v>947</v>
      </c>
      <c r="N320" s="13" t="s">
        <v>947</v>
      </c>
      <c r="O320" s="13" t="s">
        <v>947</v>
      </c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25</v>
      </c>
      <c r="K333" s="27">
        <f t="shared" si="19"/>
        <v>3</v>
      </c>
      <c r="L333" s="28">
        <f t="shared" si="20"/>
        <v>0.8928571428571429</v>
      </c>
      <c r="M333" s="13" t="s">
        <v>947</v>
      </c>
      <c r="N333" s="13" t="s">
        <v>947</v>
      </c>
      <c r="O333" s="13" t="s">
        <v>947</v>
      </c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28</v>
      </c>
      <c r="K338" s="27">
        <f t="shared" si="19"/>
        <v>0</v>
      </c>
      <c r="L338" s="28">
        <f t="shared" si="20"/>
        <v>1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28</v>
      </c>
      <c r="K341" s="27">
        <f t="shared" si="19"/>
        <v>0</v>
      </c>
      <c r="L341" s="28">
        <f t="shared" si="20"/>
        <v>1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25</v>
      </c>
      <c r="K345" s="27">
        <f t="shared" si="19"/>
        <v>3</v>
      </c>
      <c r="L345" s="28">
        <f t="shared" si="20"/>
        <v>0.8928571428571429</v>
      </c>
      <c r="M345" s="13" t="s">
        <v>947</v>
      </c>
      <c r="N345" s="13" t="s">
        <v>947</v>
      </c>
      <c r="O345" s="13" t="s">
        <v>947</v>
      </c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25</v>
      </c>
      <c r="K346" s="27">
        <f t="shared" si="19"/>
        <v>3</v>
      </c>
      <c r="L346" s="28">
        <f t="shared" si="20"/>
        <v>0.8928571428571429</v>
      </c>
      <c r="M346" s="13" t="s">
        <v>947</v>
      </c>
      <c r="N346" s="13" t="s">
        <v>947</v>
      </c>
      <c r="O346" s="13" t="s">
        <v>947</v>
      </c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25</v>
      </c>
      <c r="K347" s="27">
        <f t="shared" si="19"/>
        <v>3</v>
      </c>
      <c r="L347" s="28">
        <f t="shared" si="20"/>
        <v>0.8928571428571429</v>
      </c>
      <c r="M347" s="13" t="s">
        <v>947</v>
      </c>
      <c r="N347" s="13" t="s">
        <v>947</v>
      </c>
      <c r="O347" s="13" t="s">
        <v>947</v>
      </c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25</v>
      </c>
      <c r="K349" s="27">
        <f t="shared" si="19"/>
        <v>3</v>
      </c>
      <c r="L349" s="28">
        <f t="shared" si="20"/>
        <v>0.8928571428571429</v>
      </c>
      <c r="M349" s="13" t="s">
        <v>947</v>
      </c>
      <c r="N349" s="13" t="s">
        <v>947</v>
      </c>
      <c r="O349" s="13" t="s">
        <v>947</v>
      </c>
      <c r="P349" s="13"/>
      <c r="Q349" s="13"/>
      <c r="R349" s="13"/>
      <c r="S349" s="13"/>
      <c r="T349" s="13"/>
      <c r="U349" s="13"/>
      <c r="V349" s="13"/>
      <c r="W349" s="13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25</v>
      </c>
      <c r="K359" s="27">
        <f t="shared" si="19"/>
        <v>3</v>
      </c>
      <c r="L359" s="28">
        <f t="shared" si="20"/>
        <v>0.8928571428571429</v>
      </c>
      <c r="M359" s="13" t="s">
        <v>947</v>
      </c>
      <c r="N359" s="13" t="s">
        <v>947</v>
      </c>
      <c r="O359" s="13" t="s">
        <v>947</v>
      </c>
      <c r="P359" s="13"/>
      <c r="Q359" s="13"/>
      <c r="R359" s="13"/>
      <c r="S359" s="13"/>
      <c r="T359" s="13"/>
      <c r="U359" s="13"/>
      <c r="V359" s="13"/>
      <c r="W359" s="13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25</v>
      </c>
      <c r="K360" s="27">
        <f t="shared" si="19"/>
        <v>3</v>
      </c>
      <c r="L360" s="28">
        <f t="shared" si="20"/>
        <v>0.8928571428571429</v>
      </c>
      <c r="M360" s="13" t="s">
        <v>947</v>
      </c>
      <c r="N360" s="13" t="s">
        <v>947</v>
      </c>
      <c r="O360" s="13" t="s">
        <v>947</v>
      </c>
      <c r="P360" s="13"/>
      <c r="Q360" s="13"/>
      <c r="R360" s="13"/>
      <c r="S360" s="13"/>
      <c r="T360" s="13"/>
      <c r="U360" s="13"/>
      <c r="V360" s="13"/>
      <c r="W360" s="13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25</v>
      </c>
      <c r="K367" s="27">
        <f t="shared" si="19"/>
        <v>3</v>
      </c>
      <c r="L367" s="28">
        <f t="shared" si="20"/>
        <v>0.8928571428571429</v>
      </c>
      <c r="M367" s="13" t="s">
        <v>947</v>
      </c>
      <c r="N367" s="13" t="s">
        <v>947</v>
      </c>
      <c r="O367" s="13" t="s">
        <v>947</v>
      </c>
      <c r="P367" s="13"/>
      <c r="Q367" s="13"/>
      <c r="R367" s="13"/>
      <c r="S367" s="13"/>
      <c r="T367" s="13"/>
      <c r="U367" s="13"/>
      <c r="V367" s="13"/>
      <c r="W367" s="13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V95:V367 T96:U368 L1:L368">
    <cfRule type="cellIs" dxfId="1211" priority="1218" operator="lessThan">
      <formula>0.8</formula>
    </cfRule>
    <cfRule type="cellIs" dxfId="1210" priority="1219" operator="greaterThan">
      <formula>0.8</formula>
    </cfRule>
  </conditionalFormatting>
  <conditionalFormatting sqref="D1:I3 D282:I332 D236:I236 D243:I279 D5:I32 D36:I91 D94:I230 D335:I362 D367:I1048576">
    <cfRule type="containsText" dxfId="1209" priority="1217" operator="containsText" text="Radio">
      <formula>NOT(ISERROR(SEARCH("Radio",D1)))</formula>
    </cfRule>
  </conditionalFormatting>
  <conditionalFormatting sqref="Y5:Y33 Y270:Y324 Y234 Y328:Y349 Y237 Y37:Y92 Y242:Y267 Y95:Y228">
    <cfRule type="cellIs" dxfId="1208" priority="1215" operator="lessThan">
      <formula>0.8</formula>
    </cfRule>
    <cfRule type="cellIs" dxfId="1207" priority="1216" operator="greaterThan">
      <formula>0.8</formula>
    </cfRule>
  </conditionalFormatting>
  <conditionalFormatting sqref="Y5:Y33 Y270:Y324 Y234 Y328:Y363 Y237 Y37:Y92 Y242:Y267 Y95:Y228 Y368:Y1048576 T96:V1048576 V95">
    <cfRule type="notContainsText" dxfId="1206" priority="1213" operator="notContains" text="Caida">
      <formula>ISERROR(SEARCH("Caida",T5))</formula>
    </cfRule>
    <cfRule type="containsText" dxfId="1205" priority="1214" operator="containsText" text="Caida">
      <formula>NOT(ISERROR(SEARCH("Caida",T5)))</formula>
    </cfRule>
  </conditionalFormatting>
  <conditionalFormatting sqref="Y21">
    <cfRule type="containsText" dxfId="1204" priority="1212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203" priority="1210" operator="lessThan">
      <formula>0.8</formula>
    </cfRule>
    <cfRule type="cellIs" dxfId="1202" priority="1211" operator="greaterThan">
      <formula>0.8</formula>
    </cfRule>
  </conditionalFormatting>
  <conditionalFormatting sqref="Z5:Z33 Z270:Z324 Z234 Z328:Z363 Z237 Z37:Z92 Z242:Z267 Z95:Z228 Z368:Z1048576">
    <cfRule type="notContainsText" dxfId="1201" priority="1208" operator="notContains" text="Caida">
      <formula>ISERROR(SEARCH("Caida",Z5))</formula>
    </cfRule>
    <cfRule type="containsText" dxfId="1200" priority="1209" operator="containsText" text="Caida">
      <formula>NOT(ISERROR(SEARCH("Caida",Z5)))</formula>
    </cfRule>
  </conditionalFormatting>
  <conditionalFormatting sqref="Z21">
    <cfRule type="containsText" dxfId="1199" priority="1207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198" priority="1205" operator="lessThan">
      <formula>0.8</formula>
    </cfRule>
    <cfRule type="cellIs" dxfId="1197" priority="1206" operator="greaterThan">
      <formula>0.8</formula>
    </cfRule>
  </conditionalFormatting>
  <conditionalFormatting sqref="AA5:AA33 AA270:AA324 AA234 AA328:AA363 AA237 AA37:AA92 AA242:AA267 AA95:AA228 AA368:AA1048576">
    <cfRule type="notContainsText" dxfId="1196" priority="1203" operator="notContains" text="Caida">
      <formula>ISERROR(SEARCH("Caida",AA5))</formula>
    </cfRule>
    <cfRule type="containsText" dxfId="1195" priority="1204" operator="containsText" text="Caida">
      <formula>NOT(ISERROR(SEARCH("Caida",AA5)))</formula>
    </cfRule>
  </conditionalFormatting>
  <conditionalFormatting sqref="AA21">
    <cfRule type="containsText" dxfId="1194" priority="1202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193" priority="1200" operator="lessThan">
      <formula>0.8</formula>
    </cfRule>
    <cfRule type="cellIs" dxfId="1192" priority="1201" operator="greaterThan">
      <formula>0.8</formula>
    </cfRule>
  </conditionalFormatting>
  <conditionalFormatting sqref="AB5:AB33 AB270:AB324 AB234 AB328:AB363 AB237 AB37:AB92 AB242:AB267 AB95:AB228 AB368:AB1048576">
    <cfRule type="notContainsText" dxfId="1191" priority="1198" operator="notContains" text="Caida">
      <formula>ISERROR(SEARCH("Caida",AB5))</formula>
    </cfRule>
    <cfRule type="containsText" dxfId="1190" priority="1199" operator="containsText" text="Caida">
      <formula>NOT(ISERROR(SEARCH("Caida",AB5)))</formula>
    </cfRule>
  </conditionalFormatting>
  <conditionalFormatting sqref="AB21">
    <cfRule type="containsText" dxfId="1189" priority="1197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188" priority="1195" operator="lessThan">
      <formula>0.8</formula>
    </cfRule>
    <cfRule type="cellIs" dxfId="1187" priority="1196" operator="greaterThan">
      <formula>0.8</formula>
    </cfRule>
  </conditionalFormatting>
  <conditionalFormatting sqref="AC5:AC33 AC270:AC324 AC234 AC328:AC363 AC237 AC37:AC92 AC242:AC267 AC95:AC228 AC368:AC1048576">
    <cfRule type="notContainsText" dxfId="1186" priority="1193" operator="notContains" text="Caida">
      <formula>ISERROR(SEARCH("Caida",AC5))</formula>
    </cfRule>
    <cfRule type="containsText" dxfId="1185" priority="1194" operator="containsText" text="Caida">
      <formula>NOT(ISERROR(SEARCH("Caida",AC5)))</formula>
    </cfRule>
  </conditionalFormatting>
  <conditionalFormatting sqref="AC21">
    <cfRule type="containsText" dxfId="1184" priority="1192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183" priority="1190" operator="lessThan">
      <formula>0.8</formula>
    </cfRule>
    <cfRule type="cellIs" dxfId="1182" priority="1191" operator="greaterThan">
      <formula>0.8</formula>
    </cfRule>
  </conditionalFormatting>
  <conditionalFormatting sqref="AD5:AD33 AD270:AD324 AD234 AD328:AD363 AD237 AD37:AD92 AD242:AD267 AD95:AD228 AD368:AD1048576">
    <cfRule type="notContainsText" dxfId="1181" priority="1188" operator="notContains" text="Caida">
      <formula>ISERROR(SEARCH("Caida",AD5))</formula>
    </cfRule>
    <cfRule type="containsText" dxfId="1180" priority="1189" operator="containsText" text="Caida">
      <formula>NOT(ISERROR(SEARCH("Caida",AD5)))</formula>
    </cfRule>
  </conditionalFormatting>
  <conditionalFormatting sqref="AD21">
    <cfRule type="containsText" dxfId="1179" priority="1187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178" priority="1186" operator="containsText" text="Radio">
      <formula>NOT(ISERROR(SEARCH("Radio",D280)))</formula>
    </cfRule>
  </conditionalFormatting>
  <conditionalFormatting sqref="Y268">
    <cfRule type="cellIs" dxfId="1177" priority="1184" operator="lessThan">
      <formula>0.8</formula>
    </cfRule>
    <cfRule type="cellIs" dxfId="1176" priority="1185" operator="greaterThan">
      <formula>0.8</formula>
    </cfRule>
  </conditionalFormatting>
  <conditionalFormatting sqref="Y268">
    <cfRule type="notContainsText" dxfId="1175" priority="1182" operator="notContains" text="Caida">
      <formula>ISERROR(SEARCH("Caida",Y268))</formula>
    </cfRule>
    <cfRule type="containsText" dxfId="1174" priority="1183" operator="containsText" text="Caida">
      <formula>NOT(ISERROR(SEARCH("Caida",Y268)))</formula>
    </cfRule>
  </conditionalFormatting>
  <conditionalFormatting sqref="Z268">
    <cfRule type="cellIs" dxfId="1173" priority="1180" operator="lessThan">
      <formula>0.8</formula>
    </cfRule>
    <cfRule type="cellIs" dxfId="1172" priority="1181" operator="greaterThan">
      <formula>0.8</formula>
    </cfRule>
  </conditionalFormatting>
  <conditionalFormatting sqref="Z268">
    <cfRule type="notContainsText" dxfId="1171" priority="1178" operator="notContains" text="Caida">
      <formula>ISERROR(SEARCH("Caida",Z268))</formula>
    </cfRule>
    <cfRule type="containsText" dxfId="1170" priority="1179" operator="containsText" text="Caida">
      <formula>NOT(ISERROR(SEARCH("Caida",Z268)))</formula>
    </cfRule>
  </conditionalFormatting>
  <conditionalFormatting sqref="AA268">
    <cfRule type="cellIs" dxfId="1169" priority="1176" operator="lessThan">
      <formula>0.8</formula>
    </cfRule>
    <cfRule type="cellIs" dxfId="1168" priority="1177" operator="greaterThan">
      <formula>0.8</formula>
    </cfRule>
  </conditionalFormatting>
  <conditionalFormatting sqref="AA268">
    <cfRule type="notContainsText" dxfId="1167" priority="1174" operator="notContains" text="Caida">
      <formula>ISERROR(SEARCH("Caida",AA268))</formula>
    </cfRule>
    <cfRule type="containsText" dxfId="1166" priority="1175" operator="containsText" text="Caida">
      <formula>NOT(ISERROR(SEARCH("Caida",AA268)))</formula>
    </cfRule>
  </conditionalFormatting>
  <conditionalFormatting sqref="AB268">
    <cfRule type="cellIs" dxfId="1165" priority="1172" operator="lessThan">
      <formula>0.8</formula>
    </cfRule>
    <cfRule type="cellIs" dxfId="1164" priority="1173" operator="greaterThan">
      <formula>0.8</formula>
    </cfRule>
  </conditionalFormatting>
  <conditionalFormatting sqref="AB268">
    <cfRule type="notContainsText" dxfId="1163" priority="1170" operator="notContains" text="Caida">
      <formula>ISERROR(SEARCH("Caida",AB268))</formula>
    </cfRule>
    <cfRule type="containsText" dxfId="1162" priority="1171" operator="containsText" text="Caida">
      <formula>NOT(ISERROR(SEARCH("Caida",AB268)))</formula>
    </cfRule>
  </conditionalFormatting>
  <conditionalFormatting sqref="AC268">
    <cfRule type="cellIs" dxfId="1161" priority="1168" operator="lessThan">
      <formula>0.8</formula>
    </cfRule>
    <cfRule type="cellIs" dxfId="1160" priority="1169" operator="greaterThan">
      <formula>0.8</formula>
    </cfRule>
  </conditionalFormatting>
  <conditionalFormatting sqref="AC268">
    <cfRule type="notContainsText" dxfId="1159" priority="1166" operator="notContains" text="Caida">
      <formula>ISERROR(SEARCH("Caida",AC268))</formula>
    </cfRule>
    <cfRule type="containsText" dxfId="1158" priority="1167" operator="containsText" text="Caida">
      <formula>NOT(ISERROR(SEARCH("Caida",AC268)))</formula>
    </cfRule>
  </conditionalFormatting>
  <conditionalFormatting sqref="AD268">
    <cfRule type="cellIs" dxfId="1157" priority="1164" operator="lessThan">
      <formula>0.8</formula>
    </cfRule>
    <cfRule type="cellIs" dxfId="1156" priority="1165" operator="greaterThan">
      <formula>0.8</formula>
    </cfRule>
  </conditionalFormatting>
  <conditionalFormatting sqref="AD268">
    <cfRule type="notContainsText" dxfId="1155" priority="1162" operator="notContains" text="Caida">
      <formula>ISERROR(SEARCH("Caida",AD268))</formula>
    </cfRule>
    <cfRule type="containsText" dxfId="1154" priority="1163" operator="containsText" text="Caida">
      <formula>NOT(ISERROR(SEARCH("Caida",AD268)))</formula>
    </cfRule>
  </conditionalFormatting>
  <conditionalFormatting sqref="D281:I281">
    <cfRule type="containsText" dxfId="1153" priority="1161" operator="containsText" text="Radio">
      <formula>NOT(ISERROR(SEARCH("Radio",D281)))</formula>
    </cfRule>
  </conditionalFormatting>
  <conditionalFormatting sqref="Y269">
    <cfRule type="cellIs" dxfId="1152" priority="1159" operator="lessThan">
      <formula>0.8</formula>
    </cfRule>
    <cfRule type="cellIs" dxfId="1151" priority="1160" operator="greaterThan">
      <formula>0.8</formula>
    </cfRule>
  </conditionalFormatting>
  <conditionalFormatting sqref="Y269">
    <cfRule type="notContainsText" dxfId="1150" priority="1157" operator="notContains" text="Caida">
      <formula>ISERROR(SEARCH("Caida",Y269))</formula>
    </cfRule>
    <cfRule type="containsText" dxfId="1149" priority="1158" operator="containsText" text="Caida">
      <formula>NOT(ISERROR(SEARCH("Caida",Y269)))</formula>
    </cfRule>
  </conditionalFormatting>
  <conditionalFormatting sqref="Z269">
    <cfRule type="cellIs" dxfId="1148" priority="1155" operator="lessThan">
      <formula>0.8</formula>
    </cfRule>
    <cfRule type="cellIs" dxfId="1147" priority="1156" operator="greaterThan">
      <formula>0.8</formula>
    </cfRule>
  </conditionalFormatting>
  <conditionalFormatting sqref="Z269">
    <cfRule type="notContainsText" dxfId="1146" priority="1153" operator="notContains" text="Caida">
      <formula>ISERROR(SEARCH("Caida",Z269))</formula>
    </cfRule>
    <cfRule type="containsText" dxfId="1145" priority="1154" operator="containsText" text="Caida">
      <formula>NOT(ISERROR(SEARCH("Caida",Z269)))</formula>
    </cfRule>
  </conditionalFormatting>
  <conditionalFormatting sqref="AA269">
    <cfRule type="cellIs" dxfId="1144" priority="1151" operator="lessThan">
      <formula>0.8</formula>
    </cfRule>
    <cfRule type="cellIs" dxfId="1143" priority="1152" operator="greaterThan">
      <formula>0.8</formula>
    </cfRule>
  </conditionalFormatting>
  <conditionalFormatting sqref="AA269">
    <cfRule type="notContainsText" dxfId="1142" priority="1149" operator="notContains" text="Caida">
      <formula>ISERROR(SEARCH("Caida",AA269))</formula>
    </cfRule>
    <cfRule type="containsText" dxfId="1141" priority="1150" operator="containsText" text="Caida">
      <formula>NOT(ISERROR(SEARCH("Caida",AA269)))</formula>
    </cfRule>
  </conditionalFormatting>
  <conditionalFormatting sqref="AB269">
    <cfRule type="cellIs" dxfId="1140" priority="1147" operator="lessThan">
      <formula>0.8</formula>
    </cfRule>
    <cfRule type="cellIs" dxfId="1139" priority="1148" operator="greaterThan">
      <formula>0.8</formula>
    </cfRule>
  </conditionalFormatting>
  <conditionalFormatting sqref="AB269">
    <cfRule type="notContainsText" dxfId="1138" priority="1145" operator="notContains" text="Caida">
      <formula>ISERROR(SEARCH("Caida",AB269))</formula>
    </cfRule>
    <cfRule type="containsText" dxfId="1137" priority="1146" operator="containsText" text="Caida">
      <formula>NOT(ISERROR(SEARCH("Caida",AB269)))</formula>
    </cfRule>
  </conditionalFormatting>
  <conditionalFormatting sqref="AC269">
    <cfRule type="cellIs" dxfId="1136" priority="1143" operator="lessThan">
      <formula>0.8</formula>
    </cfRule>
    <cfRule type="cellIs" dxfId="1135" priority="1144" operator="greaterThan">
      <formula>0.8</formula>
    </cfRule>
  </conditionalFormatting>
  <conditionalFormatting sqref="AC269">
    <cfRule type="notContainsText" dxfId="1134" priority="1141" operator="notContains" text="Caida">
      <formula>ISERROR(SEARCH("Caida",AC269))</formula>
    </cfRule>
    <cfRule type="containsText" dxfId="1133" priority="1142" operator="containsText" text="Caida">
      <formula>NOT(ISERROR(SEARCH("Caida",AC269)))</formula>
    </cfRule>
  </conditionalFormatting>
  <conditionalFormatting sqref="AD269">
    <cfRule type="cellIs" dxfId="1132" priority="1139" operator="lessThan">
      <formula>0.8</formula>
    </cfRule>
    <cfRule type="cellIs" dxfId="1131" priority="1140" operator="greaterThan">
      <formula>0.8</formula>
    </cfRule>
  </conditionalFormatting>
  <conditionalFormatting sqref="AD269">
    <cfRule type="notContainsText" dxfId="1130" priority="1137" operator="notContains" text="Caida">
      <formula>ISERROR(SEARCH("Caida",AD269))</formula>
    </cfRule>
    <cfRule type="containsText" dxfId="1129" priority="1138" operator="containsText" text="Caida">
      <formula>NOT(ISERROR(SEARCH("Caida",AD269)))</formula>
    </cfRule>
  </conditionalFormatting>
  <conditionalFormatting sqref="AD229">
    <cfRule type="cellIs" dxfId="1128" priority="1113" operator="lessThan">
      <formula>0.8</formula>
    </cfRule>
    <cfRule type="cellIs" dxfId="1127" priority="1114" operator="greaterThan">
      <formula>0.8</formula>
    </cfRule>
  </conditionalFormatting>
  <conditionalFormatting sqref="AD229">
    <cfRule type="notContainsText" dxfId="1126" priority="1111" operator="notContains" text="Caida">
      <formula>ISERROR(SEARCH("Caida",AD229))</formula>
    </cfRule>
    <cfRule type="containsText" dxfId="1125" priority="1112" operator="containsText" text="Caida">
      <formula>NOT(ISERROR(SEARCH("Caida",AD229)))</formula>
    </cfRule>
  </conditionalFormatting>
  <conditionalFormatting sqref="D4:I4">
    <cfRule type="containsText" dxfId="1124" priority="1136" operator="containsText" text="Radio">
      <formula>NOT(ISERROR(SEARCH("Radio",D4)))</formula>
    </cfRule>
  </conditionalFormatting>
  <conditionalFormatting sqref="D231:I231">
    <cfRule type="containsText" dxfId="1123" priority="1135" operator="containsText" text="Radio">
      <formula>NOT(ISERROR(SEARCH("Radio",D231)))</formula>
    </cfRule>
  </conditionalFormatting>
  <conditionalFormatting sqref="Y229">
    <cfRule type="cellIs" dxfId="1122" priority="1133" operator="lessThan">
      <formula>0.8</formula>
    </cfRule>
    <cfRule type="cellIs" dxfId="1121" priority="1134" operator="greaterThan">
      <formula>0.8</formula>
    </cfRule>
  </conditionalFormatting>
  <conditionalFormatting sqref="Y229">
    <cfRule type="notContainsText" dxfId="1120" priority="1131" operator="notContains" text="Caida">
      <formula>ISERROR(SEARCH("Caida",Y229))</formula>
    </cfRule>
    <cfRule type="containsText" dxfId="1119" priority="1132" operator="containsText" text="Caida">
      <formula>NOT(ISERROR(SEARCH("Caida",Y229)))</formula>
    </cfRule>
  </conditionalFormatting>
  <conditionalFormatting sqref="Z229">
    <cfRule type="cellIs" dxfId="1118" priority="1129" operator="lessThan">
      <formula>0.8</formula>
    </cfRule>
    <cfRule type="cellIs" dxfId="1117" priority="1130" operator="greaterThan">
      <formula>0.8</formula>
    </cfRule>
  </conditionalFormatting>
  <conditionalFormatting sqref="Z229">
    <cfRule type="notContainsText" dxfId="1116" priority="1127" operator="notContains" text="Caida">
      <formula>ISERROR(SEARCH("Caida",Z229))</formula>
    </cfRule>
    <cfRule type="containsText" dxfId="1115" priority="1128" operator="containsText" text="Caida">
      <formula>NOT(ISERROR(SEARCH("Caida",Z229)))</formula>
    </cfRule>
  </conditionalFormatting>
  <conditionalFormatting sqref="AA229">
    <cfRule type="cellIs" dxfId="1114" priority="1125" operator="lessThan">
      <formula>0.8</formula>
    </cfRule>
    <cfRule type="cellIs" dxfId="1113" priority="1126" operator="greaterThan">
      <formula>0.8</formula>
    </cfRule>
  </conditionalFormatting>
  <conditionalFormatting sqref="AA229">
    <cfRule type="notContainsText" dxfId="1112" priority="1123" operator="notContains" text="Caida">
      <formula>ISERROR(SEARCH("Caida",AA229))</formula>
    </cfRule>
    <cfRule type="containsText" dxfId="1111" priority="1124" operator="containsText" text="Caida">
      <formula>NOT(ISERROR(SEARCH("Caida",AA229)))</formula>
    </cfRule>
  </conditionalFormatting>
  <conditionalFormatting sqref="AB229">
    <cfRule type="cellIs" dxfId="1110" priority="1121" operator="lessThan">
      <formula>0.8</formula>
    </cfRule>
    <cfRule type="cellIs" dxfId="1109" priority="1122" operator="greaterThan">
      <formula>0.8</formula>
    </cfRule>
  </conditionalFormatting>
  <conditionalFormatting sqref="AB229">
    <cfRule type="notContainsText" dxfId="1108" priority="1119" operator="notContains" text="Caida">
      <formula>ISERROR(SEARCH("Caida",AB229))</formula>
    </cfRule>
    <cfRule type="containsText" dxfId="1107" priority="1120" operator="containsText" text="Caida">
      <formula>NOT(ISERROR(SEARCH("Caida",AB229)))</formula>
    </cfRule>
  </conditionalFormatting>
  <conditionalFormatting sqref="AC229">
    <cfRule type="cellIs" dxfId="1106" priority="1117" operator="lessThan">
      <formula>0.8</formula>
    </cfRule>
    <cfRule type="cellIs" dxfId="1105" priority="1118" operator="greaterThan">
      <formula>0.8</formula>
    </cfRule>
  </conditionalFormatting>
  <conditionalFormatting sqref="AC229">
    <cfRule type="notContainsText" dxfId="1104" priority="1115" operator="notContains" text="Caida">
      <formula>ISERROR(SEARCH("Caida",AC229))</formula>
    </cfRule>
    <cfRule type="containsText" dxfId="1103" priority="1116" operator="containsText" text="Caida">
      <formula>NOT(ISERROR(SEARCH("Caida",AC229)))</formula>
    </cfRule>
  </conditionalFormatting>
  <conditionalFormatting sqref="D232:I232">
    <cfRule type="containsText" dxfId="1102" priority="1110" operator="containsText" text="Radio">
      <formula>NOT(ISERROR(SEARCH("Radio",D232)))</formula>
    </cfRule>
  </conditionalFormatting>
  <conditionalFormatting sqref="Y230">
    <cfRule type="cellIs" dxfId="1101" priority="1108" operator="lessThan">
      <formula>0.8</formula>
    </cfRule>
    <cfRule type="cellIs" dxfId="1100" priority="1109" operator="greaterThan">
      <formula>0.8</formula>
    </cfRule>
  </conditionalFormatting>
  <conditionalFormatting sqref="Y230">
    <cfRule type="notContainsText" dxfId="1099" priority="1106" operator="notContains" text="Caida">
      <formula>ISERROR(SEARCH("Caida",Y230))</formula>
    </cfRule>
    <cfRule type="containsText" dxfId="1098" priority="1107" operator="containsText" text="Caida">
      <formula>NOT(ISERROR(SEARCH("Caida",Y230)))</formula>
    </cfRule>
  </conditionalFormatting>
  <conditionalFormatting sqref="Z230">
    <cfRule type="cellIs" dxfId="1097" priority="1104" operator="lessThan">
      <formula>0.8</formula>
    </cfRule>
    <cfRule type="cellIs" dxfId="1096" priority="1105" operator="greaterThan">
      <formula>0.8</formula>
    </cfRule>
  </conditionalFormatting>
  <conditionalFormatting sqref="Z230">
    <cfRule type="notContainsText" dxfId="1095" priority="1102" operator="notContains" text="Caida">
      <formula>ISERROR(SEARCH("Caida",Z230))</formula>
    </cfRule>
    <cfRule type="containsText" dxfId="1094" priority="1103" operator="containsText" text="Caida">
      <formula>NOT(ISERROR(SEARCH("Caida",Z230)))</formula>
    </cfRule>
  </conditionalFormatting>
  <conditionalFormatting sqref="AA230">
    <cfRule type="cellIs" dxfId="1093" priority="1100" operator="lessThan">
      <formula>0.8</formula>
    </cfRule>
    <cfRule type="cellIs" dxfId="1092" priority="1101" operator="greaterThan">
      <formula>0.8</formula>
    </cfRule>
  </conditionalFormatting>
  <conditionalFormatting sqref="AA230">
    <cfRule type="notContainsText" dxfId="1091" priority="1098" operator="notContains" text="Caida">
      <formula>ISERROR(SEARCH("Caida",AA230))</formula>
    </cfRule>
    <cfRule type="containsText" dxfId="1090" priority="1099" operator="containsText" text="Caida">
      <formula>NOT(ISERROR(SEARCH("Caida",AA230)))</formula>
    </cfRule>
  </conditionalFormatting>
  <conditionalFormatting sqref="AB230">
    <cfRule type="cellIs" dxfId="1089" priority="1096" operator="lessThan">
      <formula>0.8</formula>
    </cfRule>
    <cfRule type="cellIs" dxfId="1088" priority="1097" operator="greaterThan">
      <formula>0.8</formula>
    </cfRule>
  </conditionalFormatting>
  <conditionalFormatting sqref="AB230">
    <cfRule type="notContainsText" dxfId="1087" priority="1094" operator="notContains" text="Caida">
      <formula>ISERROR(SEARCH("Caida",AB230))</formula>
    </cfRule>
    <cfRule type="containsText" dxfId="1086" priority="1095" operator="containsText" text="Caida">
      <formula>NOT(ISERROR(SEARCH("Caida",AB230)))</formula>
    </cfRule>
  </conditionalFormatting>
  <conditionalFormatting sqref="AC230">
    <cfRule type="cellIs" dxfId="1085" priority="1092" operator="lessThan">
      <formula>0.8</formula>
    </cfRule>
    <cfRule type="cellIs" dxfId="1084" priority="1093" operator="greaterThan">
      <formula>0.8</formula>
    </cfRule>
  </conditionalFormatting>
  <conditionalFormatting sqref="AC230">
    <cfRule type="notContainsText" dxfId="1083" priority="1090" operator="notContains" text="Caida">
      <formula>ISERROR(SEARCH("Caida",AC230))</formula>
    </cfRule>
    <cfRule type="containsText" dxfId="1082" priority="1091" operator="containsText" text="Caida">
      <formula>NOT(ISERROR(SEARCH("Caida",AC230)))</formula>
    </cfRule>
  </conditionalFormatting>
  <conditionalFormatting sqref="AD230">
    <cfRule type="cellIs" dxfId="1081" priority="1088" operator="lessThan">
      <formula>0.8</formula>
    </cfRule>
    <cfRule type="cellIs" dxfId="1080" priority="1089" operator="greaterThan">
      <formula>0.8</formula>
    </cfRule>
  </conditionalFormatting>
  <conditionalFormatting sqref="AD230">
    <cfRule type="notContainsText" dxfId="1079" priority="1086" operator="notContains" text="Caida">
      <formula>ISERROR(SEARCH("Caida",AD230))</formula>
    </cfRule>
    <cfRule type="containsText" dxfId="1078" priority="1087" operator="containsText" text="Caida">
      <formula>NOT(ISERROR(SEARCH("Caida",AD230)))</formula>
    </cfRule>
  </conditionalFormatting>
  <conditionalFormatting sqref="D233:I233">
    <cfRule type="containsText" dxfId="1077" priority="1085" operator="containsText" text="Radio">
      <formula>NOT(ISERROR(SEARCH("Radio",D233)))</formula>
    </cfRule>
  </conditionalFormatting>
  <conditionalFormatting sqref="Y231">
    <cfRule type="cellIs" dxfId="1076" priority="1083" operator="lessThan">
      <formula>0.8</formula>
    </cfRule>
    <cfRule type="cellIs" dxfId="1075" priority="1084" operator="greaterThan">
      <formula>0.8</formula>
    </cfRule>
  </conditionalFormatting>
  <conditionalFormatting sqref="Y231">
    <cfRule type="notContainsText" dxfId="1074" priority="1081" operator="notContains" text="Caida">
      <formula>ISERROR(SEARCH("Caida",Y231))</formula>
    </cfRule>
    <cfRule type="containsText" dxfId="1073" priority="1082" operator="containsText" text="Caida">
      <formula>NOT(ISERROR(SEARCH("Caida",Y231)))</formula>
    </cfRule>
  </conditionalFormatting>
  <conditionalFormatting sqref="Z231">
    <cfRule type="cellIs" dxfId="1072" priority="1079" operator="lessThan">
      <formula>0.8</formula>
    </cfRule>
    <cfRule type="cellIs" dxfId="1071" priority="1080" operator="greaterThan">
      <formula>0.8</formula>
    </cfRule>
  </conditionalFormatting>
  <conditionalFormatting sqref="Z231">
    <cfRule type="notContainsText" dxfId="1070" priority="1077" operator="notContains" text="Caida">
      <formula>ISERROR(SEARCH("Caida",Z231))</formula>
    </cfRule>
    <cfRule type="containsText" dxfId="1069" priority="1078" operator="containsText" text="Caida">
      <formula>NOT(ISERROR(SEARCH("Caida",Z231)))</formula>
    </cfRule>
  </conditionalFormatting>
  <conditionalFormatting sqref="AA231">
    <cfRule type="cellIs" dxfId="1068" priority="1075" operator="lessThan">
      <formula>0.8</formula>
    </cfRule>
    <cfRule type="cellIs" dxfId="1067" priority="1076" operator="greaterThan">
      <formula>0.8</formula>
    </cfRule>
  </conditionalFormatting>
  <conditionalFormatting sqref="AA231">
    <cfRule type="notContainsText" dxfId="1066" priority="1073" operator="notContains" text="Caida">
      <formula>ISERROR(SEARCH("Caida",AA231))</formula>
    </cfRule>
    <cfRule type="containsText" dxfId="1065" priority="1074" operator="containsText" text="Caida">
      <formula>NOT(ISERROR(SEARCH("Caida",AA231)))</formula>
    </cfRule>
  </conditionalFormatting>
  <conditionalFormatting sqref="AB231">
    <cfRule type="cellIs" dxfId="1064" priority="1071" operator="lessThan">
      <formula>0.8</formula>
    </cfRule>
    <cfRule type="cellIs" dxfId="1063" priority="1072" operator="greaterThan">
      <formula>0.8</formula>
    </cfRule>
  </conditionalFormatting>
  <conditionalFormatting sqref="AB231">
    <cfRule type="notContainsText" dxfId="1062" priority="1069" operator="notContains" text="Caida">
      <formula>ISERROR(SEARCH("Caida",AB231))</formula>
    </cfRule>
    <cfRule type="containsText" dxfId="1061" priority="1070" operator="containsText" text="Caida">
      <formula>NOT(ISERROR(SEARCH("Caida",AB231)))</formula>
    </cfRule>
  </conditionalFormatting>
  <conditionalFormatting sqref="AC231">
    <cfRule type="cellIs" dxfId="1060" priority="1067" operator="lessThan">
      <formula>0.8</formula>
    </cfRule>
    <cfRule type="cellIs" dxfId="1059" priority="1068" operator="greaterThan">
      <formula>0.8</formula>
    </cfRule>
  </conditionalFormatting>
  <conditionalFormatting sqref="AC231">
    <cfRule type="notContainsText" dxfId="1058" priority="1065" operator="notContains" text="Caida">
      <formula>ISERROR(SEARCH("Caida",AC231))</formula>
    </cfRule>
    <cfRule type="containsText" dxfId="1057" priority="1066" operator="containsText" text="Caida">
      <formula>NOT(ISERROR(SEARCH("Caida",AC231)))</formula>
    </cfRule>
  </conditionalFormatting>
  <conditionalFormatting sqref="AD231">
    <cfRule type="cellIs" dxfId="1056" priority="1063" operator="lessThan">
      <formula>0.8</formula>
    </cfRule>
    <cfRule type="cellIs" dxfId="1055" priority="1064" operator="greaterThan">
      <formula>0.8</formula>
    </cfRule>
  </conditionalFormatting>
  <conditionalFormatting sqref="AD231">
    <cfRule type="notContainsText" dxfId="1054" priority="1061" operator="notContains" text="Caida">
      <formula>ISERROR(SEARCH("Caida",AD231))</formula>
    </cfRule>
    <cfRule type="containsText" dxfId="1053" priority="1062" operator="containsText" text="Caida">
      <formula>NOT(ISERROR(SEARCH("Caida",AD231)))</formula>
    </cfRule>
  </conditionalFormatting>
  <conditionalFormatting sqref="D234:I234">
    <cfRule type="containsText" dxfId="1052" priority="1060" operator="containsText" text="Radio">
      <formula>NOT(ISERROR(SEARCH("Radio",D234)))</formula>
    </cfRule>
  </conditionalFormatting>
  <conditionalFormatting sqref="Y232">
    <cfRule type="cellIs" dxfId="1051" priority="1058" operator="lessThan">
      <formula>0.8</formula>
    </cfRule>
    <cfRule type="cellIs" dxfId="1050" priority="1059" operator="greaterThan">
      <formula>0.8</formula>
    </cfRule>
  </conditionalFormatting>
  <conditionalFormatting sqref="Y232">
    <cfRule type="notContainsText" dxfId="1049" priority="1056" operator="notContains" text="Caida">
      <formula>ISERROR(SEARCH("Caida",Y232))</formula>
    </cfRule>
    <cfRule type="containsText" dxfId="1048" priority="1057" operator="containsText" text="Caida">
      <formula>NOT(ISERROR(SEARCH("Caida",Y232)))</formula>
    </cfRule>
  </conditionalFormatting>
  <conditionalFormatting sqref="Z232">
    <cfRule type="cellIs" dxfId="1047" priority="1054" operator="lessThan">
      <formula>0.8</formula>
    </cfRule>
    <cfRule type="cellIs" dxfId="1046" priority="1055" operator="greaterThan">
      <formula>0.8</formula>
    </cfRule>
  </conditionalFormatting>
  <conditionalFormatting sqref="Z232">
    <cfRule type="notContainsText" dxfId="1045" priority="1052" operator="notContains" text="Caida">
      <formula>ISERROR(SEARCH("Caida",Z232))</formula>
    </cfRule>
    <cfRule type="containsText" dxfId="1044" priority="1053" operator="containsText" text="Caida">
      <formula>NOT(ISERROR(SEARCH("Caida",Z232)))</formula>
    </cfRule>
  </conditionalFormatting>
  <conditionalFormatting sqref="AA232">
    <cfRule type="cellIs" dxfId="1043" priority="1050" operator="lessThan">
      <formula>0.8</formula>
    </cfRule>
    <cfRule type="cellIs" dxfId="1042" priority="1051" operator="greaterThan">
      <formula>0.8</formula>
    </cfRule>
  </conditionalFormatting>
  <conditionalFormatting sqref="AA232">
    <cfRule type="notContainsText" dxfId="1041" priority="1048" operator="notContains" text="Caida">
      <formula>ISERROR(SEARCH("Caida",AA232))</formula>
    </cfRule>
    <cfRule type="containsText" dxfId="1040" priority="1049" operator="containsText" text="Caida">
      <formula>NOT(ISERROR(SEARCH("Caida",AA232)))</formula>
    </cfRule>
  </conditionalFormatting>
  <conditionalFormatting sqref="AB232">
    <cfRule type="cellIs" dxfId="1039" priority="1046" operator="lessThan">
      <formula>0.8</formula>
    </cfRule>
    <cfRule type="cellIs" dxfId="1038" priority="1047" operator="greaterThan">
      <formula>0.8</formula>
    </cfRule>
  </conditionalFormatting>
  <conditionalFormatting sqref="AB232">
    <cfRule type="notContainsText" dxfId="1037" priority="1044" operator="notContains" text="Caida">
      <formula>ISERROR(SEARCH("Caida",AB232))</formula>
    </cfRule>
    <cfRule type="containsText" dxfId="1036" priority="1045" operator="containsText" text="Caida">
      <formula>NOT(ISERROR(SEARCH("Caida",AB232)))</formula>
    </cfRule>
  </conditionalFormatting>
  <conditionalFormatting sqref="AC232">
    <cfRule type="cellIs" dxfId="1035" priority="1042" operator="lessThan">
      <formula>0.8</formula>
    </cfRule>
    <cfRule type="cellIs" dxfId="1034" priority="1043" operator="greaterThan">
      <formula>0.8</formula>
    </cfRule>
  </conditionalFormatting>
  <conditionalFormatting sqref="AC232">
    <cfRule type="notContainsText" dxfId="1033" priority="1040" operator="notContains" text="Caida">
      <formula>ISERROR(SEARCH("Caida",AC232))</formula>
    </cfRule>
    <cfRule type="containsText" dxfId="1032" priority="1041" operator="containsText" text="Caida">
      <formula>NOT(ISERROR(SEARCH("Caida",AC232)))</formula>
    </cfRule>
  </conditionalFormatting>
  <conditionalFormatting sqref="AD232">
    <cfRule type="cellIs" dxfId="1031" priority="1038" operator="lessThan">
      <formula>0.8</formula>
    </cfRule>
    <cfRule type="cellIs" dxfId="1030" priority="1039" operator="greaterThan">
      <formula>0.8</formula>
    </cfRule>
  </conditionalFormatting>
  <conditionalFormatting sqref="AD232">
    <cfRule type="notContainsText" dxfId="1029" priority="1036" operator="notContains" text="Caida">
      <formula>ISERROR(SEARCH("Caida",AD232))</formula>
    </cfRule>
    <cfRule type="containsText" dxfId="1028" priority="1037" operator="containsText" text="Caida">
      <formula>NOT(ISERROR(SEARCH("Caida",AD232)))</formula>
    </cfRule>
  </conditionalFormatting>
  <conditionalFormatting sqref="D235:I235">
    <cfRule type="containsText" dxfId="1027" priority="1035" operator="containsText" text="Radio">
      <formula>NOT(ISERROR(SEARCH("Radio",D235)))</formula>
    </cfRule>
  </conditionalFormatting>
  <conditionalFormatting sqref="Y233">
    <cfRule type="cellIs" dxfId="1026" priority="1033" operator="lessThan">
      <formula>0.8</formula>
    </cfRule>
    <cfRule type="cellIs" dxfId="1025" priority="1034" operator="greaterThan">
      <formula>0.8</formula>
    </cfRule>
  </conditionalFormatting>
  <conditionalFormatting sqref="Y233">
    <cfRule type="notContainsText" dxfId="1024" priority="1031" operator="notContains" text="Caida">
      <formula>ISERROR(SEARCH("Caida",Y233))</formula>
    </cfRule>
    <cfRule type="containsText" dxfId="1023" priority="1032" operator="containsText" text="Caida">
      <formula>NOT(ISERROR(SEARCH("Caida",Y233)))</formula>
    </cfRule>
  </conditionalFormatting>
  <conditionalFormatting sqref="Z233">
    <cfRule type="cellIs" dxfId="1022" priority="1029" operator="lessThan">
      <formula>0.8</formula>
    </cfRule>
    <cfRule type="cellIs" dxfId="1021" priority="1030" operator="greaterThan">
      <formula>0.8</formula>
    </cfRule>
  </conditionalFormatting>
  <conditionalFormatting sqref="Z233">
    <cfRule type="notContainsText" dxfId="1020" priority="1027" operator="notContains" text="Caida">
      <formula>ISERROR(SEARCH("Caida",Z233))</formula>
    </cfRule>
    <cfRule type="containsText" dxfId="1019" priority="1028" operator="containsText" text="Caida">
      <formula>NOT(ISERROR(SEARCH("Caida",Z233)))</formula>
    </cfRule>
  </conditionalFormatting>
  <conditionalFormatting sqref="AA233">
    <cfRule type="cellIs" dxfId="1018" priority="1025" operator="lessThan">
      <formula>0.8</formula>
    </cfRule>
    <cfRule type="cellIs" dxfId="1017" priority="1026" operator="greaterThan">
      <formula>0.8</formula>
    </cfRule>
  </conditionalFormatting>
  <conditionalFormatting sqref="AA233">
    <cfRule type="notContainsText" dxfId="1016" priority="1023" operator="notContains" text="Caida">
      <formula>ISERROR(SEARCH("Caida",AA233))</formula>
    </cfRule>
    <cfRule type="containsText" dxfId="1015" priority="1024" operator="containsText" text="Caida">
      <formula>NOT(ISERROR(SEARCH("Caida",AA233)))</formula>
    </cfRule>
  </conditionalFormatting>
  <conditionalFormatting sqref="AB233">
    <cfRule type="cellIs" dxfId="1014" priority="1021" operator="lessThan">
      <formula>0.8</formula>
    </cfRule>
    <cfRule type="cellIs" dxfId="1013" priority="1022" operator="greaterThan">
      <formula>0.8</formula>
    </cfRule>
  </conditionalFormatting>
  <conditionalFormatting sqref="AB233">
    <cfRule type="notContainsText" dxfId="1012" priority="1019" operator="notContains" text="Caida">
      <formula>ISERROR(SEARCH("Caida",AB233))</formula>
    </cfRule>
    <cfRule type="containsText" dxfId="1011" priority="1020" operator="containsText" text="Caida">
      <formula>NOT(ISERROR(SEARCH("Caida",AB233)))</formula>
    </cfRule>
  </conditionalFormatting>
  <conditionalFormatting sqref="AC233">
    <cfRule type="cellIs" dxfId="1010" priority="1017" operator="lessThan">
      <formula>0.8</formula>
    </cfRule>
    <cfRule type="cellIs" dxfId="1009" priority="1018" operator="greaterThan">
      <formula>0.8</formula>
    </cfRule>
  </conditionalFormatting>
  <conditionalFormatting sqref="AC233">
    <cfRule type="notContainsText" dxfId="1008" priority="1015" operator="notContains" text="Caida">
      <formula>ISERROR(SEARCH("Caida",AC233))</formula>
    </cfRule>
    <cfRule type="containsText" dxfId="1007" priority="1016" operator="containsText" text="Caida">
      <formula>NOT(ISERROR(SEARCH("Caida",AC233)))</formula>
    </cfRule>
  </conditionalFormatting>
  <conditionalFormatting sqref="AD233">
    <cfRule type="cellIs" dxfId="1006" priority="1013" operator="lessThan">
      <formula>0.8</formula>
    </cfRule>
    <cfRule type="cellIs" dxfId="1005" priority="1014" operator="greaterThan">
      <formula>0.8</formula>
    </cfRule>
  </conditionalFormatting>
  <conditionalFormatting sqref="AD233">
    <cfRule type="notContainsText" dxfId="1004" priority="1011" operator="notContains" text="Caida">
      <formula>ISERROR(SEARCH("Caida",AD233))</formula>
    </cfRule>
    <cfRule type="containsText" dxfId="1003" priority="1012" operator="containsText" text="Caida">
      <formula>NOT(ISERROR(SEARCH("Caida",AD233)))</formula>
    </cfRule>
  </conditionalFormatting>
  <conditionalFormatting sqref="Y325">
    <cfRule type="cellIs" dxfId="1002" priority="1009" operator="lessThan">
      <formula>0.8</formula>
    </cfRule>
    <cfRule type="cellIs" dxfId="1001" priority="1010" operator="greaterThan">
      <formula>0.8</formula>
    </cfRule>
  </conditionalFormatting>
  <conditionalFormatting sqref="Y325">
    <cfRule type="notContainsText" dxfId="1000" priority="1007" operator="notContains" text="Caida">
      <formula>ISERROR(SEARCH("Caida",Y325))</formula>
    </cfRule>
    <cfRule type="containsText" dxfId="999" priority="1008" operator="containsText" text="Caida">
      <formula>NOT(ISERROR(SEARCH("Caida",Y325)))</formula>
    </cfRule>
  </conditionalFormatting>
  <conditionalFormatting sqref="Z325">
    <cfRule type="cellIs" dxfId="998" priority="1005" operator="lessThan">
      <formula>0.8</formula>
    </cfRule>
    <cfRule type="cellIs" dxfId="997" priority="1006" operator="greaterThan">
      <formula>0.8</formula>
    </cfRule>
  </conditionalFormatting>
  <conditionalFormatting sqref="Z325">
    <cfRule type="notContainsText" dxfId="996" priority="1003" operator="notContains" text="Caida">
      <formula>ISERROR(SEARCH("Caida",Z325))</formula>
    </cfRule>
    <cfRule type="containsText" dxfId="995" priority="1004" operator="containsText" text="Caida">
      <formula>NOT(ISERROR(SEARCH("Caida",Z325)))</formula>
    </cfRule>
  </conditionalFormatting>
  <conditionalFormatting sqref="AA325">
    <cfRule type="cellIs" dxfId="994" priority="1001" operator="lessThan">
      <formula>0.8</formula>
    </cfRule>
    <cfRule type="cellIs" dxfId="993" priority="1002" operator="greaterThan">
      <formula>0.8</formula>
    </cfRule>
  </conditionalFormatting>
  <conditionalFormatting sqref="AA325">
    <cfRule type="notContainsText" dxfId="992" priority="999" operator="notContains" text="Caida">
      <formula>ISERROR(SEARCH("Caida",AA325))</formula>
    </cfRule>
    <cfRule type="containsText" dxfId="991" priority="1000" operator="containsText" text="Caida">
      <formula>NOT(ISERROR(SEARCH("Caida",AA325)))</formula>
    </cfRule>
  </conditionalFormatting>
  <conditionalFormatting sqref="AB325">
    <cfRule type="cellIs" dxfId="990" priority="997" operator="lessThan">
      <formula>0.8</formula>
    </cfRule>
    <cfRule type="cellIs" dxfId="989" priority="998" operator="greaterThan">
      <formula>0.8</formula>
    </cfRule>
  </conditionalFormatting>
  <conditionalFormatting sqref="AB325">
    <cfRule type="notContainsText" dxfId="988" priority="995" operator="notContains" text="Caida">
      <formula>ISERROR(SEARCH("Caida",AB325))</formula>
    </cfRule>
    <cfRule type="containsText" dxfId="987" priority="996" operator="containsText" text="Caida">
      <formula>NOT(ISERROR(SEARCH("Caida",AB325)))</formula>
    </cfRule>
  </conditionalFormatting>
  <conditionalFormatting sqref="AC325">
    <cfRule type="cellIs" dxfId="986" priority="993" operator="lessThan">
      <formula>0.8</formula>
    </cfRule>
    <cfRule type="cellIs" dxfId="985" priority="994" operator="greaterThan">
      <formula>0.8</formula>
    </cfRule>
  </conditionalFormatting>
  <conditionalFormatting sqref="AC325">
    <cfRule type="notContainsText" dxfId="984" priority="991" operator="notContains" text="Caida">
      <formula>ISERROR(SEARCH("Caida",AC325))</formula>
    </cfRule>
    <cfRule type="containsText" dxfId="983" priority="992" operator="containsText" text="Caida">
      <formula>NOT(ISERROR(SEARCH("Caida",AC325)))</formula>
    </cfRule>
  </conditionalFormatting>
  <conditionalFormatting sqref="AD325">
    <cfRule type="cellIs" dxfId="982" priority="989" operator="lessThan">
      <formula>0.8</formula>
    </cfRule>
    <cfRule type="cellIs" dxfId="981" priority="990" operator="greaterThan">
      <formula>0.8</formula>
    </cfRule>
  </conditionalFormatting>
  <conditionalFormatting sqref="AD325">
    <cfRule type="notContainsText" dxfId="980" priority="987" operator="notContains" text="Caida">
      <formula>ISERROR(SEARCH("Caida",AD325))</formula>
    </cfRule>
    <cfRule type="containsText" dxfId="979" priority="988" operator="containsText" text="Caida">
      <formula>NOT(ISERROR(SEARCH("Caida",AD325)))</formula>
    </cfRule>
  </conditionalFormatting>
  <conditionalFormatting sqref="D333:I333">
    <cfRule type="containsText" dxfId="978" priority="986" operator="containsText" text="Radio">
      <formula>NOT(ISERROR(SEARCH("Radio",D333)))</formula>
    </cfRule>
  </conditionalFormatting>
  <conditionalFormatting sqref="Y326">
    <cfRule type="cellIs" dxfId="977" priority="984" operator="lessThan">
      <formula>0.8</formula>
    </cfRule>
    <cfRule type="cellIs" dxfId="976" priority="985" operator="greaterThan">
      <formula>0.8</formula>
    </cfRule>
  </conditionalFormatting>
  <conditionalFormatting sqref="Y326">
    <cfRule type="notContainsText" dxfId="975" priority="982" operator="notContains" text="Caida">
      <formula>ISERROR(SEARCH("Caida",Y326))</formula>
    </cfRule>
    <cfRule type="containsText" dxfId="974" priority="983" operator="containsText" text="Caida">
      <formula>NOT(ISERROR(SEARCH("Caida",Y326)))</formula>
    </cfRule>
  </conditionalFormatting>
  <conditionalFormatting sqref="Z326">
    <cfRule type="cellIs" dxfId="973" priority="980" operator="lessThan">
      <formula>0.8</formula>
    </cfRule>
    <cfRule type="cellIs" dxfId="972" priority="981" operator="greaterThan">
      <formula>0.8</formula>
    </cfRule>
  </conditionalFormatting>
  <conditionalFormatting sqref="Z326">
    <cfRule type="notContainsText" dxfId="971" priority="978" operator="notContains" text="Caida">
      <formula>ISERROR(SEARCH("Caida",Z326))</formula>
    </cfRule>
    <cfRule type="containsText" dxfId="970" priority="979" operator="containsText" text="Caida">
      <formula>NOT(ISERROR(SEARCH("Caida",Z326)))</formula>
    </cfRule>
  </conditionalFormatting>
  <conditionalFormatting sqref="AA326">
    <cfRule type="cellIs" dxfId="969" priority="976" operator="lessThan">
      <formula>0.8</formula>
    </cfRule>
    <cfRule type="cellIs" dxfId="968" priority="977" operator="greaterThan">
      <formula>0.8</formula>
    </cfRule>
  </conditionalFormatting>
  <conditionalFormatting sqref="AA326">
    <cfRule type="notContainsText" dxfId="967" priority="974" operator="notContains" text="Caida">
      <formula>ISERROR(SEARCH("Caida",AA326))</formula>
    </cfRule>
    <cfRule type="containsText" dxfId="966" priority="975" operator="containsText" text="Caida">
      <formula>NOT(ISERROR(SEARCH("Caida",AA326)))</formula>
    </cfRule>
  </conditionalFormatting>
  <conditionalFormatting sqref="AB326">
    <cfRule type="cellIs" dxfId="965" priority="972" operator="lessThan">
      <formula>0.8</formula>
    </cfRule>
    <cfRule type="cellIs" dxfId="964" priority="973" operator="greaterThan">
      <formula>0.8</formula>
    </cfRule>
  </conditionalFormatting>
  <conditionalFormatting sqref="AB326">
    <cfRule type="notContainsText" dxfId="963" priority="970" operator="notContains" text="Caida">
      <formula>ISERROR(SEARCH("Caida",AB326))</formula>
    </cfRule>
    <cfRule type="containsText" dxfId="962" priority="971" operator="containsText" text="Caida">
      <formula>NOT(ISERROR(SEARCH("Caida",AB326)))</formula>
    </cfRule>
  </conditionalFormatting>
  <conditionalFormatting sqref="AC326">
    <cfRule type="cellIs" dxfId="961" priority="968" operator="lessThan">
      <formula>0.8</formula>
    </cfRule>
    <cfRule type="cellIs" dxfId="960" priority="969" operator="greaterThan">
      <formula>0.8</formula>
    </cfRule>
  </conditionalFormatting>
  <conditionalFormatting sqref="AC326">
    <cfRule type="notContainsText" dxfId="959" priority="966" operator="notContains" text="Caida">
      <formula>ISERROR(SEARCH("Caida",AC326))</formula>
    </cfRule>
    <cfRule type="containsText" dxfId="958" priority="967" operator="containsText" text="Caida">
      <formula>NOT(ISERROR(SEARCH("Caida",AC326)))</formula>
    </cfRule>
  </conditionalFormatting>
  <conditionalFormatting sqref="AD326">
    <cfRule type="cellIs" dxfId="957" priority="964" operator="lessThan">
      <formula>0.8</formula>
    </cfRule>
    <cfRule type="cellIs" dxfId="956" priority="965" operator="greaterThan">
      <formula>0.8</formula>
    </cfRule>
  </conditionalFormatting>
  <conditionalFormatting sqref="AD326">
    <cfRule type="notContainsText" dxfId="955" priority="962" operator="notContains" text="Caida">
      <formula>ISERROR(SEARCH("Caida",AD326))</formula>
    </cfRule>
    <cfRule type="containsText" dxfId="954" priority="963" operator="containsText" text="Caida">
      <formula>NOT(ISERROR(SEARCH("Caida",AD326)))</formula>
    </cfRule>
  </conditionalFormatting>
  <conditionalFormatting sqref="D334:I334">
    <cfRule type="containsText" dxfId="953" priority="961" operator="containsText" text="Radio">
      <formula>NOT(ISERROR(SEARCH("Radio",D334)))</formula>
    </cfRule>
  </conditionalFormatting>
  <conditionalFormatting sqref="Y327">
    <cfRule type="cellIs" dxfId="952" priority="959" operator="lessThan">
      <formula>0.8</formula>
    </cfRule>
    <cfRule type="cellIs" dxfId="951" priority="960" operator="greaterThan">
      <formula>0.8</formula>
    </cfRule>
  </conditionalFormatting>
  <conditionalFormatting sqref="Y327">
    <cfRule type="notContainsText" dxfId="950" priority="957" operator="notContains" text="Caida">
      <formula>ISERROR(SEARCH("Caida",Y327))</formula>
    </cfRule>
    <cfRule type="containsText" dxfId="949" priority="958" operator="containsText" text="Caida">
      <formula>NOT(ISERROR(SEARCH("Caida",Y327)))</formula>
    </cfRule>
  </conditionalFormatting>
  <conditionalFormatting sqref="Z327">
    <cfRule type="cellIs" dxfId="948" priority="955" operator="lessThan">
      <formula>0.8</formula>
    </cfRule>
    <cfRule type="cellIs" dxfId="947" priority="956" operator="greaterThan">
      <formula>0.8</formula>
    </cfRule>
  </conditionalFormatting>
  <conditionalFormatting sqref="Z327">
    <cfRule type="notContainsText" dxfId="946" priority="953" operator="notContains" text="Caida">
      <formula>ISERROR(SEARCH("Caida",Z327))</formula>
    </cfRule>
    <cfRule type="containsText" dxfId="945" priority="954" operator="containsText" text="Caida">
      <formula>NOT(ISERROR(SEARCH("Caida",Z327)))</formula>
    </cfRule>
  </conditionalFormatting>
  <conditionalFormatting sqref="AA327">
    <cfRule type="cellIs" dxfId="944" priority="951" operator="lessThan">
      <formula>0.8</formula>
    </cfRule>
    <cfRule type="cellIs" dxfId="943" priority="952" operator="greaterThan">
      <formula>0.8</formula>
    </cfRule>
  </conditionalFormatting>
  <conditionalFormatting sqref="AA327">
    <cfRule type="notContainsText" dxfId="942" priority="949" operator="notContains" text="Caida">
      <formula>ISERROR(SEARCH("Caida",AA327))</formula>
    </cfRule>
    <cfRule type="containsText" dxfId="941" priority="950" operator="containsText" text="Caida">
      <formula>NOT(ISERROR(SEARCH("Caida",AA327)))</formula>
    </cfRule>
  </conditionalFormatting>
  <conditionalFormatting sqref="AB327">
    <cfRule type="cellIs" dxfId="940" priority="947" operator="lessThan">
      <formula>0.8</formula>
    </cfRule>
    <cfRule type="cellIs" dxfId="939" priority="948" operator="greaterThan">
      <formula>0.8</formula>
    </cfRule>
  </conditionalFormatting>
  <conditionalFormatting sqref="AB327">
    <cfRule type="notContainsText" dxfId="938" priority="945" operator="notContains" text="Caida">
      <formula>ISERROR(SEARCH("Caida",AB327))</formula>
    </cfRule>
    <cfRule type="containsText" dxfId="937" priority="946" operator="containsText" text="Caida">
      <formula>NOT(ISERROR(SEARCH("Caida",AB327)))</formula>
    </cfRule>
  </conditionalFormatting>
  <conditionalFormatting sqref="AC327">
    <cfRule type="cellIs" dxfId="936" priority="943" operator="lessThan">
      <formula>0.8</formula>
    </cfRule>
    <cfRule type="cellIs" dxfId="935" priority="944" operator="greaterThan">
      <formula>0.8</formula>
    </cfRule>
  </conditionalFormatting>
  <conditionalFormatting sqref="AC327">
    <cfRule type="notContainsText" dxfId="934" priority="941" operator="notContains" text="Caida">
      <formula>ISERROR(SEARCH("Caida",AC327))</formula>
    </cfRule>
    <cfRule type="containsText" dxfId="933" priority="942" operator="containsText" text="Caida">
      <formula>NOT(ISERROR(SEARCH("Caida",AC327)))</formula>
    </cfRule>
  </conditionalFormatting>
  <conditionalFormatting sqref="AD327">
    <cfRule type="cellIs" dxfId="932" priority="939" operator="lessThan">
      <formula>0.8</formula>
    </cfRule>
    <cfRule type="cellIs" dxfId="931" priority="940" operator="greaterThan">
      <formula>0.8</formula>
    </cfRule>
  </conditionalFormatting>
  <conditionalFormatting sqref="AD327">
    <cfRule type="notContainsText" dxfId="930" priority="937" operator="notContains" text="Caida">
      <formula>ISERROR(SEARCH("Caida",AD327))</formula>
    </cfRule>
    <cfRule type="containsText" dxfId="929" priority="938" operator="containsText" text="Caida">
      <formula>NOT(ISERROR(SEARCH("Caida",AD327)))</formula>
    </cfRule>
  </conditionalFormatting>
  <conditionalFormatting sqref="D237:I237">
    <cfRule type="containsText" dxfId="928" priority="936" operator="containsText" text="Radio">
      <formula>NOT(ISERROR(SEARCH("Radio",D237)))</formula>
    </cfRule>
  </conditionalFormatting>
  <conditionalFormatting sqref="Y235">
    <cfRule type="cellIs" dxfId="927" priority="934" operator="lessThan">
      <formula>0.8</formula>
    </cfRule>
    <cfRule type="cellIs" dxfId="926" priority="935" operator="greaterThan">
      <formula>0.8</formula>
    </cfRule>
  </conditionalFormatting>
  <conditionalFormatting sqref="Y235">
    <cfRule type="notContainsText" dxfId="925" priority="932" operator="notContains" text="Caida">
      <formula>ISERROR(SEARCH("Caida",Y235))</formula>
    </cfRule>
    <cfRule type="containsText" dxfId="924" priority="933" operator="containsText" text="Caida">
      <formula>NOT(ISERROR(SEARCH("Caida",Y235)))</formula>
    </cfRule>
  </conditionalFormatting>
  <conditionalFormatting sqref="Z235">
    <cfRule type="cellIs" dxfId="923" priority="930" operator="lessThan">
      <formula>0.8</formula>
    </cfRule>
    <cfRule type="cellIs" dxfId="922" priority="931" operator="greaterThan">
      <formula>0.8</formula>
    </cfRule>
  </conditionalFormatting>
  <conditionalFormatting sqref="Z235">
    <cfRule type="notContainsText" dxfId="921" priority="928" operator="notContains" text="Caida">
      <formula>ISERROR(SEARCH("Caida",Z235))</formula>
    </cfRule>
    <cfRule type="containsText" dxfId="920" priority="929" operator="containsText" text="Caida">
      <formula>NOT(ISERROR(SEARCH("Caida",Z235)))</formula>
    </cfRule>
  </conditionalFormatting>
  <conditionalFormatting sqref="AA235">
    <cfRule type="cellIs" dxfId="919" priority="926" operator="lessThan">
      <formula>0.8</formula>
    </cfRule>
    <cfRule type="cellIs" dxfId="918" priority="927" operator="greaterThan">
      <formula>0.8</formula>
    </cfRule>
  </conditionalFormatting>
  <conditionalFormatting sqref="AA235">
    <cfRule type="notContainsText" dxfId="917" priority="924" operator="notContains" text="Caida">
      <formula>ISERROR(SEARCH("Caida",AA235))</formula>
    </cfRule>
    <cfRule type="containsText" dxfId="916" priority="925" operator="containsText" text="Caida">
      <formula>NOT(ISERROR(SEARCH("Caida",AA235)))</formula>
    </cfRule>
  </conditionalFormatting>
  <conditionalFormatting sqref="AB235">
    <cfRule type="cellIs" dxfId="915" priority="922" operator="lessThan">
      <formula>0.8</formula>
    </cfRule>
    <cfRule type="cellIs" dxfId="914" priority="923" operator="greaterThan">
      <formula>0.8</formula>
    </cfRule>
  </conditionalFormatting>
  <conditionalFormatting sqref="AB235">
    <cfRule type="notContainsText" dxfId="913" priority="920" operator="notContains" text="Caida">
      <formula>ISERROR(SEARCH("Caida",AB235))</formula>
    </cfRule>
    <cfRule type="containsText" dxfId="912" priority="921" operator="containsText" text="Caida">
      <formula>NOT(ISERROR(SEARCH("Caida",AB235)))</formula>
    </cfRule>
  </conditionalFormatting>
  <conditionalFormatting sqref="AC235">
    <cfRule type="cellIs" dxfId="911" priority="918" operator="lessThan">
      <formula>0.8</formula>
    </cfRule>
    <cfRule type="cellIs" dxfId="910" priority="919" operator="greaterThan">
      <formula>0.8</formula>
    </cfRule>
  </conditionalFormatting>
  <conditionalFormatting sqref="AC235">
    <cfRule type="notContainsText" dxfId="909" priority="916" operator="notContains" text="Caida">
      <formula>ISERROR(SEARCH("Caida",AC235))</formula>
    </cfRule>
    <cfRule type="containsText" dxfId="908" priority="917" operator="containsText" text="Caida">
      <formula>NOT(ISERROR(SEARCH("Caida",AC235)))</formula>
    </cfRule>
  </conditionalFormatting>
  <conditionalFormatting sqref="AD235">
    <cfRule type="cellIs" dxfId="907" priority="914" operator="lessThan">
      <formula>0.8</formula>
    </cfRule>
    <cfRule type="cellIs" dxfId="906" priority="915" operator="greaterThan">
      <formula>0.8</formula>
    </cfRule>
  </conditionalFormatting>
  <conditionalFormatting sqref="AD235">
    <cfRule type="notContainsText" dxfId="905" priority="912" operator="notContains" text="Caida">
      <formula>ISERROR(SEARCH("Caida",AD235))</formula>
    </cfRule>
    <cfRule type="containsText" dxfId="904" priority="913" operator="containsText" text="Caida">
      <formula>NOT(ISERROR(SEARCH("Caida",AD235)))</formula>
    </cfRule>
  </conditionalFormatting>
  <conditionalFormatting sqref="D238:I238">
    <cfRule type="containsText" dxfId="903" priority="911" operator="containsText" text="Radio">
      <formula>NOT(ISERROR(SEARCH("Radio",D238)))</formula>
    </cfRule>
  </conditionalFormatting>
  <conditionalFormatting sqref="Y236">
    <cfRule type="cellIs" dxfId="902" priority="909" operator="lessThan">
      <formula>0.8</formula>
    </cfRule>
    <cfRule type="cellIs" dxfId="901" priority="910" operator="greaterThan">
      <formula>0.8</formula>
    </cfRule>
  </conditionalFormatting>
  <conditionalFormatting sqref="Y236">
    <cfRule type="notContainsText" dxfId="900" priority="907" operator="notContains" text="Caida">
      <formula>ISERROR(SEARCH("Caida",Y236))</formula>
    </cfRule>
    <cfRule type="containsText" dxfId="899" priority="908" operator="containsText" text="Caida">
      <formula>NOT(ISERROR(SEARCH("Caida",Y236)))</formula>
    </cfRule>
  </conditionalFormatting>
  <conditionalFormatting sqref="Z236">
    <cfRule type="cellIs" dxfId="898" priority="905" operator="lessThan">
      <formula>0.8</formula>
    </cfRule>
    <cfRule type="cellIs" dxfId="897" priority="906" operator="greaterThan">
      <formula>0.8</formula>
    </cfRule>
  </conditionalFormatting>
  <conditionalFormatting sqref="Z236">
    <cfRule type="notContainsText" dxfId="896" priority="903" operator="notContains" text="Caida">
      <formula>ISERROR(SEARCH("Caida",Z236))</formula>
    </cfRule>
    <cfRule type="containsText" dxfId="895" priority="904" operator="containsText" text="Caida">
      <formula>NOT(ISERROR(SEARCH("Caida",Z236)))</formula>
    </cfRule>
  </conditionalFormatting>
  <conditionalFormatting sqref="AA236">
    <cfRule type="cellIs" dxfId="894" priority="901" operator="lessThan">
      <formula>0.8</formula>
    </cfRule>
    <cfRule type="cellIs" dxfId="893" priority="902" operator="greaterThan">
      <formula>0.8</formula>
    </cfRule>
  </conditionalFormatting>
  <conditionalFormatting sqref="AA236">
    <cfRule type="notContainsText" dxfId="892" priority="899" operator="notContains" text="Caida">
      <formula>ISERROR(SEARCH("Caida",AA236))</formula>
    </cfRule>
    <cfRule type="containsText" dxfId="891" priority="900" operator="containsText" text="Caida">
      <formula>NOT(ISERROR(SEARCH("Caida",AA236)))</formula>
    </cfRule>
  </conditionalFormatting>
  <conditionalFormatting sqref="AB236">
    <cfRule type="cellIs" dxfId="890" priority="897" operator="lessThan">
      <formula>0.8</formula>
    </cfRule>
    <cfRule type="cellIs" dxfId="889" priority="898" operator="greaterThan">
      <formula>0.8</formula>
    </cfRule>
  </conditionalFormatting>
  <conditionalFormatting sqref="AB236">
    <cfRule type="notContainsText" dxfId="888" priority="895" operator="notContains" text="Caida">
      <formula>ISERROR(SEARCH("Caida",AB236))</formula>
    </cfRule>
    <cfRule type="containsText" dxfId="887" priority="896" operator="containsText" text="Caida">
      <formula>NOT(ISERROR(SEARCH("Caida",AB236)))</formula>
    </cfRule>
  </conditionalFormatting>
  <conditionalFormatting sqref="AC236">
    <cfRule type="cellIs" dxfId="886" priority="893" operator="lessThan">
      <formula>0.8</formula>
    </cfRule>
    <cfRule type="cellIs" dxfId="885" priority="894" operator="greaterThan">
      <formula>0.8</formula>
    </cfRule>
  </conditionalFormatting>
  <conditionalFormatting sqref="AC236">
    <cfRule type="notContainsText" dxfId="884" priority="891" operator="notContains" text="Caida">
      <formula>ISERROR(SEARCH("Caida",AC236))</formula>
    </cfRule>
    <cfRule type="containsText" dxfId="883" priority="892" operator="containsText" text="Caida">
      <formula>NOT(ISERROR(SEARCH("Caida",AC236)))</formula>
    </cfRule>
  </conditionalFormatting>
  <conditionalFormatting sqref="AD236">
    <cfRule type="cellIs" dxfId="882" priority="889" operator="lessThan">
      <formula>0.8</formula>
    </cfRule>
    <cfRule type="cellIs" dxfId="881" priority="890" operator="greaterThan">
      <formula>0.8</formula>
    </cfRule>
  </conditionalFormatting>
  <conditionalFormatting sqref="AD236">
    <cfRule type="notContainsText" dxfId="880" priority="887" operator="notContains" text="Caida">
      <formula>ISERROR(SEARCH("Caida",AD236))</formula>
    </cfRule>
    <cfRule type="containsText" dxfId="879" priority="888" operator="containsText" text="Caida">
      <formula>NOT(ISERROR(SEARCH("Caida",AD236)))</formula>
    </cfRule>
  </conditionalFormatting>
  <conditionalFormatting sqref="Y238">
    <cfRule type="cellIs" dxfId="878" priority="859" operator="lessThan">
      <formula>0.8</formula>
    </cfRule>
    <cfRule type="cellIs" dxfId="877" priority="860" operator="greaterThan">
      <formula>0.8</formula>
    </cfRule>
  </conditionalFormatting>
  <conditionalFormatting sqref="Y238">
    <cfRule type="notContainsText" dxfId="876" priority="857" operator="notContains" text="Caida">
      <formula>ISERROR(SEARCH("Caida",Y238))</formula>
    </cfRule>
    <cfRule type="containsText" dxfId="875" priority="858" operator="containsText" text="Caida">
      <formula>NOT(ISERROR(SEARCH("Caida",Y238)))</formula>
    </cfRule>
  </conditionalFormatting>
  <conditionalFormatting sqref="D33:I35">
    <cfRule type="containsText" dxfId="874" priority="886" operator="containsText" text="Radio">
      <formula>NOT(ISERROR(SEARCH("Radio",D33)))</formula>
    </cfRule>
  </conditionalFormatting>
  <conditionalFormatting sqref="Y34:Y36">
    <cfRule type="cellIs" dxfId="873" priority="884" operator="lessThan">
      <formula>0.8</formula>
    </cfRule>
    <cfRule type="cellIs" dxfId="872" priority="885" operator="greaterThan">
      <formula>0.8</formula>
    </cfRule>
  </conditionalFormatting>
  <conditionalFormatting sqref="Y34:Y36">
    <cfRule type="notContainsText" dxfId="871" priority="882" operator="notContains" text="Caida">
      <formula>ISERROR(SEARCH("Caida",Y34))</formula>
    </cfRule>
    <cfRule type="containsText" dxfId="870" priority="883" operator="containsText" text="Caida">
      <formula>NOT(ISERROR(SEARCH("Caida",Y34)))</formula>
    </cfRule>
  </conditionalFormatting>
  <conditionalFormatting sqref="Z34:Z36">
    <cfRule type="cellIs" dxfId="869" priority="880" operator="lessThan">
      <formula>0.8</formula>
    </cfRule>
    <cfRule type="cellIs" dxfId="868" priority="881" operator="greaterThan">
      <formula>0.8</formula>
    </cfRule>
  </conditionalFormatting>
  <conditionalFormatting sqref="Z34:Z36">
    <cfRule type="notContainsText" dxfId="867" priority="878" operator="notContains" text="Caida">
      <formula>ISERROR(SEARCH("Caida",Z34))</formula>
    </cfRule>
    <cfRule type="containsText" dxfId="866" priority="879" operator="containsText" text="Caida">
      <formula>NOT(ISERROR(SEARCH("Caida",Z34)))</formula>
    </cfRule>
  </conditionalFormatting>
  <conditionalFormatting sqref="AA34:AA36">
    <cfRule type="cellIs" dxfId="865" priority="876" operator="lessThan">
      <formula>0.8</formula>
    </cfRule>
    <cfRule type="cellIs" dxfId="864" priority="877" operator="greaterThan">
      <formula>0.8</formula>
    </cfRule>
  </conditionalFormatting>
  <conditionalFormatting sqref="AA34:AA36">
    <cfRule type="notContainsText" dxfId="863" priority="874" operator="notContains" text="Caida">
      <formula>ISERROR(SEARCH("Caida",AA34))</formula>
    </cfRule>
    <cfRule type="containsText" dxfId="862" priority="875" operator="containsText" text="Caida">
      <formula>NOT(ISERROR(SEARCH("Caida",AA34)))</formula>
    </cfRule>
  </conditionalFormatting>
  <conditionalFormatting sqref="AB34:AB36">
    <cfRule type="cellIs" dxfId="861" priority="872" operator="lessThan">
      <formula>0.8</formula>
    </cfRule>
    <cfRule type="cellIs" dxfId="860" priority="873" operator="greaterThan">
      <formula>0.8</formula>
    </cfRule>
  </conditionalFormatting>
  <conditionalFormatting sqref="AB34:AB36">
    <cfRule type="notContainsText" dxfId="859" priority="870" operator="notContains" text="Caida">
      <formula>ISERROR(SEARCH("Caida",AB34))</formula>
    </cfRule>
    <cfRule type="containsText" dxfId="858" priority="871" operator="containsText" text="Caida">
      <formula>NOT(ISERROR(SEARCH("Caida",AB34)))</formula>
    </cfRule>
  </conditionalFormatting>
  <conditionalFormatting sqref="AC34:AC36">
    <cfRule type="cellIs" dxfId="857" priority="868" operator="lessThan">
      <formula>0.8</formula>
    </cfRule>
    <cfRule type="cellIs" dxfId="856" priority="869" operator="greaterThan">
      <formula>0.8</formula>
    </cfRule>
  </conditionalFormatting>
  <conditionalFormatting sqref="AC34:AC36">
    <cfRule type="notContainsText" dxfId="855" priority="866" operator="notContains" text="Caida">
      <formula>ISERROR(SEARCH("Caida",AC34))</formula>
    </cfRule>
    <cfRule type="containsText" dxfId="854" priority="867" operator="containsText" text="Caida">
      <formula>NOT(ISERROR(SEARCH("Caida",AC34)))</formula>
    </cfRule>
  </conditionalFormatting>
  <conditionalFormatting sqref="AD34:AD36">
    <cfRule type="cellIs" dxfId="853" priority="864" operator="lessThan">
      <formula>0.8</formula>
    </cfRule>
    <cfRule type="cellIs" dxfId="852" priority="865" operator="greaterThan">
      <formula>0.8</formula>
    </cfRule>
  </conditionalFormatting>
  <conditionalFormatting sqref="AD34:AD36">
    <cfRule type="notContainsText" dxfId="851" priority="862" operator="notContains" text="Caida">
      <formula>ISERROR(SEARCH("Caida",AD34))</formula>
    </cfRule>
    <cfRule type="containsText" dxfId="850" priority="863" operator="containsText" text="Caida">
      <formula>NOT(ISERROR(SEARCH("Caida",AD34)))</formula>
    </cfRule>
  </conditionalFormatting>
  <conditionalFormatting sqref="D239:I239">
    <cfRule type="containsText" dxfId="849" priority="861" operator="containsText" text="Radio">
      <formula>NOT(ISERROR(SEARCH("Radio",D239)))</formula>
    </cfRule>
  </conditionalFormatting>
  <conditionalFormatting sqref="Z238">
    <cfRule type="cellIs" dxfId="848" priority="855" operator="lessThan">
      <formula>0.8</formula>
    </cfRule>
    <cfRule type="cellIs" dxfId="847" priority="856" operator="greaterThan">
      <formula>0.8</formula>
    </cfRule>
  </conditionalFormatting>
  <conditionalFormatting sqref="Z238">
    <cfRule type="notContainsText" dxfId="846" priority="853" operator="notContains" text="Caida">
      <formula>ISERROR(SEARCH("Caida",Z238))</formula>
    </cfRule>
    <cfRule type="containsText" dxfId="845" priority="854" operator="containsText" text="Caida">
      <formula>NOT(ISERROR(SEARCH("Caida",Z238)))</formula>
    </cfRule>
  </conditionalFormatting>
  <conditionalFormatting sqref="AA238">
    <cfRule type="cellIs" dxfId="844" priority="851" operator="lessThan">
      <formula>0.8</formula>
    </cfRule>
    <cfRule type="cellIs" dxfId="843" priority="852" operator="greaterThan">
      <formula>0.8</formula>
    </cfRule>
  </conditionalFormatting>
  <conditionalFormatting sqref="AA238">
    <cfRule type="notContainsText" dxfId="842" priority="849" operator="notContains" text="Caida">
      <formula>ISERROR(SEARCH("Caida",AA238))</formula>
    </cfRule>
    <cfRule type="containsText" dxfId="841" priority="850" operator="containsText" text="Caida">
      <formula>NOT(ISERROR(SEARCH("Caida",AA238)))</formula>
    </cfRule>
  </conditionalFormatting>
  <conditionalFormatting sqref="AB238">
    <cfRule type="cellIs" dxfId="840" priority="847" operator="lessThan">
      <formula>0.8</formula>
    </cfRule>
    <cfRule type="cellIs" dxfId="839" priority="848" operator="greaterThan">
      <formula>0.8</formula>
    </cfRule>
  </conditionalFormatting>
  <conditionalFormatting sqref="AB238">
    <cfRule type="notContainsText" dxfId="838" priority="845" operator="notContains" text="Caida">
      <formula>ISERROR(SEARCH("Caida",AB238))</formula>
    </cfRule>
    <cfRule type="containsText" dxfId="837" priority="846" operator="containsText" text="Caida">
      <formula>NOT(ISERROR(SEARCH("Caida",AB238)))</formula>
    </cfRule>
  </conditionalFormatting>
  <conditionalFormatting sqref="AC238">
    <cfRule type="cellIs" dxfId="836" priority="843" operator="lessThan">
      <formula>0.8</formula>
    </cfRule>
    <cfRule type="cellIs" dxfId="835" priority="844" operator="greaterThan">
      <formula>0.8</formula>
    </cfRule>
  </conditionalFormatting>
  <conditionalFormatting sqref="AC238">
    <cfRule type="notContainsText" dxfId="834" priority="841" operator="notContains" text="Caida">
      <formula>ISERROR(SEARCH("Caida",AC238))</formula>
    </cfRule>
    <cfRule type="containsText" dxfId="833" priority="842" operator="containsText" text="Caida">
      <formula>NOT(ISERROR(SEARCH("Caida",AC238)))</formula>
    </cfRule>
  </conditionalFormatting>
  <conditionalFormatting sqref="AD238">
    <cfRule type="cellIs" dxfId="832" priority="839" operator="lessThan">
      <formula>0.8</formula>
    </cfRule>
    <cfRule type="cellIs" dxfId="831" priority="840" operator="greaterThan">
      <formula>0.8</formula>
    </cfRule>
  </conditionalFormatting>
  <conditionalFormatting sqref="AD238">
    <cfRule type="notContainsText" dxfId="830" priority="837" operator="notContains" text="Caida">
      <formula>ISERROR(SEARCH("Caida",AD238))</formula>
    </cfRule>
    <cfRule type="containsText" dxfId="829" priority="838" operator="containsText" text="Caida">
      <formula>NOT(ISERROR(SEARCH("Caida",AD238)))</formula>
    </cfRule>
  </conditionalFormatting>
  <conditionalFormatting sqref="D240:I240">
    <cfRule type="containsText" dxfId="828" priority="836" operator="containsText" text="Radio">
      <formula>NOT(ISERROR(SEARCH("Radio",D240)))</formula>
    </cfRule>
  </conditionalFormatting>
  <conditionalFormatting sqref="Y239">
    <cfRule type="cellIs" dxfId="827" priority="834" operator="lessThan">
      <formula>0.8</formula>
    </cfRule>
    <cfRule type="cellIs" dxfId="826" priority="835" operator="greaterThan">
      <formula>0.8</formula>
    </cfRule>
  </conditionalFormatting>
  <conditionalFormatting sqref="Y239">
    <cfRule type="notContainsText" dxfId="825" priority="832" operator="notContains" text="Caida">
      <formula>ISERROR(SEARCH("Caida",Y239))</formula>
    </cfRule>
    <cfRule type="containsText" dxfId="824" priority="833" operator="containsText" text="Caida">
      <formula>NOT(ISERROR(SEARCH("Caida",Y239)))</formula>
    </cfRule>
  </conditionalFormatting>
  <conditionalFormatting sqref="Z239">
    <cfRule type="cellIs" dxfId="823" priority="830" operator="lessThan">
      <formula>0.8</formula>
    </cfRule>
    <cfRule type="cellIs" dxfId="822" priority="831" operator="greaterThan">
      <formula>0.8</formula>
    </cfRule>
  </conditionalFormatting>
  <conditionalFormatting sqref="Z239">
    <cfRule type="notContainsText" dxfId="821" priority="828" operator="notContains" text="Caida">
      <formula>ISERROR(SEARCH("Caida",Z239))</formula>
    </cfRule>
    <cfRule type="containsText" dxfId="820" priority="829" operator="containsText" text="Caida">
      <formula>NOT(ISERROR(SEARCH("Caida",Z239)))</formula>
    </cfRule>
  </conditionalFormatting>
  <conditionalFormatting sqref="AA239">
    <cfRule type="cellIs" dxfId="819" priority="826" operator="lessThan">
      <formula>0.8</formula>
    </cfRule>
    <cfRule type="cellIs" dxfId="818" priority="827" operator="greaterThan">
      <formula>0.8</formula>
    </cfRule>
  </conditionalFormatting>
  <conditionalFormatting sqref="AA239">
    <cfRule type="notContainsText" dxfId="817" priority="824" operator="notContains" text="Caida">
      <formula>ISERROR(SEARCH("Caida",AA239))</formula>
    </cfRule>
    <cfRule type="containsText" dxfId="816" priority="825" operator="containsText" text="Caida">
      <formula>NOT(ISERROR(SEARCH("Caida",AA239)))</formula>
    </cfRule>
  </conditionalFormatting>
  <conditionalFormatting sqref="AB239">
    <cfRule type="cellIs" dxfId="815" priority="822" operator="lessThan">
      <formula>0.8</formula>
    </cfRule>
    <cfRule type="cellIs" dxfId="814" priority="823" operator="greaterThan">
      <formula>0.8</formula>
    </cfRule>
  </conditionalFormatting>
  <conditionalFormatting sqref="AB239">
    <cfRule type="notContainsText" dxfId="813" priority="820" operator="notContains" text="Caida">
      <formula>ISERROR(SEARCH("Caida",AB239))</formula>
    </cfRule>
    <cfRule type="containsText" dxfId="812" priority="821" operator="containsText" text="Caida">
      <formula>NOT(ISERROR(SEARCH("Caida",AB239)))</formula>
    </cfRule>
  </conditionalFormatting>
  <conditionalFormatting sqref="AC239">
    <cfRule type="cellIs" dxfId="811" priority="818" operator="lessThan">
      <formula>0.8</formula>
    </cfRule>
    <cfRule type="cellIs" dxfId="810" priority="819" operator="greaterThan">
      <formula>0.8</formula>
    </cfRule>
  </conditionalFormatting>
  <conditionalFormatting sqref="AC239">
    <cfRule type="notContainsText" dxfId="809" priority="816" operator="notContains" text="Caida">
      <formula>ISERROR(SEARCH("Caida",AC239))</formula>
    </cfRule>
    <cfRule type="containsText" dxfId="808" priority="817" operator="containsText" text="Caida">
      <formula>NOT(ISERROR(SEARCH("Caida",AC239)))</formula>
    </cfRule>
  </conditionalFormatting>
  <conditionalFormatting sqref="AD239">
    <cfRule type="cellIs" dxfId="807" priority="814" operator="lessThan">
      <formula>0.8</formula>
    </cfRule>
    <cfRule type="cellIs" dxfId="806" priority="815" operator="greaterThan">
      <formula>0.8</formula>
    </cfRule>
  </conditionalFormatting>
  <conditionalFormatting sqref="AD239">
    <cfRule type="notContainsText" dxfId="805" priority="812" operator="notContains" text="Caida">
      <formula>ISERROR(SEARCH("Caida",AD239))</formula>
    </cfRule>
    <cfRule type="containsText" dxfId="804" priority="813" operator="containsText" text="Caida">
      <formula>NOT(ISERROR(SEARCH("Caida",AD239)))</formula>
    </cfRule>
  </conditionalFormatting>
  <conditionalFormatting sqref="D241:I241">
    <cfRule type="containsText" dxfId="803" priority="811" operator="containsText" text="Radio">
      <formula>NOT(ISERROR(SEARCH("Radio",D241)))</formula>
    </cfRule>
  </conditionalFormatting>
  <conditionalFormatting sqref="Y240">
    <cfRule type="cellIs" dxfId="802" priority="809" operator="lessThan">
      <formula>0.8</formula>
    </cfRule>
    <cfRule type="cellIs" dxfId="801" priority="810" operator="greaterThan">
      <formula>0.8</formula>
    </cfRule>
  </conditionalFormatting>
  <conditionalFormatting sqref="Y240">
    <cfRule type="notContainsText" dxfId="800" priority="807" operator="notContains" text="Caida">
      <formula>ISERROR(SEARCH("Caida",Y240))</formula>
    </cfRule>
    <cfRule type="containsText" dxfId="799" priority="808" operator="containsText" text="Caida">
      <formula>NOT(ISERROR(SEARCH("Caida",Y240)))</formula>
    </cfRule>
  </conditionalFormatting>
  <conditionalFormatting sqref="Z240">
    <cfRule type="cellIs" dxfId="798" priority="805" operator="lessThan">
      <formula>0.8</formula>
    </cfRule>
    <cfRule type="cellIs" dxfId="797" priority="806" operator="greaterThan">
      <formula>0.8</formula>
    </cfRule>
  </conditionalFormatting>
  <conditionalFormatting sqref="Z240">
    <cfRule type="notContainsText" dxfId="796" priority="803" operator="notContains" text="Caida">
      <formula>ISERROR(SEARCH("Caida",Z240))</formula>
    </cfRule>
    <cfRule type="containsText" dxfId="795" priority="804" operator="containsText" text="Caida">
      <formula>NOT(ISERROR(SEARCH("Caida",Z240)))</formula>
    </cfRule>
  </conditionalFormatting>
  <conditionalFormatting sqref="AA240">
    <cfRule type="cellIs" dxfId="794" priority="801" operator="lessThan">
      <formula>0.8</formula>
    </cfRule>
    <cfRule type="cellIs" dxfId="793" priority="802" operator="greaterThan">
      <formula>0.8</formula>
    </cfRule>
  </conditionalFormatting>
  <conditionalFormatting sqref="AA240">
    <cfRule type="notContainsText" dxfId="792" priority="799" operator="notContains" text="Caida">
      <formula>ISERROR(SEARCH("Caida",AA240))</formula>
    </cfRule>
    <cfRule type="containsText" dxfId="791" priority="800" operator="containsText" text="Caida">
      <formula>NOT(ISERROR(SEARCH("Caida",AA240)))</formula>
    </cfRule>
  </conditionalFormatting>
  <conditionalFormatting sqref="AB240">
    <cfRule type="cellIs" dxfId="790" priority="797" operator="lessThan">
      <formula>0.8</formula>
    </cfRule>
    <cfRule type="cellIs" dxfId="789" priority="798" operator="greaterThan">
      <formula>0.8</formula>
    </cfRule>
  </conditionalFormatting>
  <conditionalFormatting sqref="AB240">
    <cfRule type="notContainsText" dxfId="788" priority="795" operator="notContains" text="Caida">
      <formula>ISERROR(SEARCH("Caida",AB240))</formula>
    </cfRule>
    <cfRule type="containsText" dxfId="787" priority="796" operator="containsText" text="Caida">
      <formula>NOT(ISERROR(SEARCH("Caida",AB240)))</formula>
    </cfRule>
  </conditionalFormatting>
  <conditionalFormatting sqref="AC240">
    <cfRule type="cellIs" dxfId="786" priority="793" operator="lessThan">
      <formula>0.8</formula>
    </cfRule>
    <cfRule type="cellIs" dxfId="785" priority="794" operator="greaterThan">
      <formula>0.8</formula>
    </cfRule>
  </conditionalFormatting>
  <conditionalFormatting sqref="AC240">
    <cfRule type="notContainsText" dxfId="784" priority="791" operator="notContains" text="Caida">
      <formula>ISERROR(SEARCH("Caida",AC240))</formula>
    </cfRule>
    <cfRule type="containsText" dxfId="783" priority="792" operator="containsText" text="Caida">
      <formula>NOT(ISERROR(SEARCH("Caida",AC240)))</formula>
    </cfRule>
  </conditionalFormatting>
  <conditionalFormatting sqref="AD240">
    <cfRule type="cellIs" dxfId="782" priority="789" operator="lessThan">
      <formula>0.8</formula>
    </cfRule>
    <cfRule type="cellIs" dxfId="781" priority="790" operator="greaterThan">
      <formula>0.8</formula>
    </cfRule>
  </conditionalFormatting>
  <conditionalFormatting sqref="AD240">
    <cfRule type="notContainsText" dxfId="780" priority="787" operator="notContains" text="Caida">
      <formula>ISERROR(SEARCH("Caida",AD240))</formula>
    </cfRule>
    <cfRule type="containsText" dxfId="779" priority="788" operator="containsText" text="Caida">
      <formula>NOT(ISERROR(SEARCH("Caida",AD240)))</formula>
    </cfRule>
  </conditionalFormatting>
  <conditionalFormatting sqref="D242:I242">
    <cfRule type="containsText" dxfId="778" priority="786" operator="containsText" text="Radio">
      <formula>NOT(ISERROR(SEARCH("Radio",D242)))</formula>
    </cfRule>
  </conditionalFormatting>
  <conditionalFormatting sqref="Y241">
    <cfRule type="cellIs" dxfId="777" priority="784" operator="lessThan">
      <formula>0.8</formula>
    </cfRule>
    <cfRule type="cellIs" dxfId="776" priority="785" operator="greaterThan">
      <formula>0.8</formula>
    </cfRule>
  </conditionalFormatting>
  <conditionalFormatting sqref="Y241">
    <cfRule type="notContainsText" dxfId="775" priority="782" operator="notContains" text="Caida">
      <formula>ISERROR(SEARCH("Caida",Y241))</formula>
    </cfRule>
    <cfRule type="containsText" dxfId="774" priority="783" operator="containsText" text="Caida">
      <formula>NOT(ISERROR(SEARCH("Caida",Y241)))</formula>
    </cfRule>
  </conditionalFormatting>
  <conditionalFormatting sqref="Z241">
    <cfRule type="cellIs" dxfId="773" priority="780" operator="lessThan">
      <formula>0.8</formula>
    </cfRule>
    <cfRule type="cellIs" dxfId="772" priority="781" operator="greaterThan">
      <formula>0.8</formula>
    </cfRule>
  </conditionalFormatting>
  <conditionalFormatting sqref="Z241">
    <cfRule type="notContainsText" dxfId="771" priority="778" operator="notContains" text="Caida">
      <formula>ISERROR(SEARCH("Caida",Z241))</formula>
    </cfRule>
    <cfRule type="containsText" dxfId="770" priority="779" operator="containsText" text="Caida">
      <formula>NOT(ISERROR(SEARCH("Caida",Z241)))</formula>
    </cfRule>
  </conditionalFormatting>
  <conditionalFormatting sqref="AA241">
    <cfRule type="cellIs" dxfId="769" priority="776" operator="lessThan">
      <formula>0.8</formula>
    </cfRule>
    <cfRule type="cellIs" dxfId="768" priority="777" operator="greaterThan">
      <formula>0.8</formula>
    </cfRule>
  </conditionalFormatting>
  <conditionalFormatting sqref="AA241">
    <cfRule type="notContainsText" dxfId="767" priority="774" operator="notContains" text="Caida">
      <formula>ISERROR(SEARCH("Caida",AA241))</formula>
    </cfRule>
    <cfRule type="containsText" dxfId="766" priority="775" operator="containsText" text="Caida">
      <formula>NOT(ISERROR(SEARCH("Caida",AA241)))</formula>
    </cfRule>
  </conditionalFormatting>
  <conditionalFormatting sqref="AB241">
    <cfRule type="cellIs" dxfId="765" priority="772" operator="lessThan">
      <formula>0.8</formula>
    </cfRule>
    <cfRule type="cellIs" dxfId="764" priority="773" operator="greaterThan">
      <formula>0.8</formula>
    </cfRule>
  </conditionalFormatting>
  <conditionalFormatting sqref="AB241">
    <cfRule type="notContainsText" dxfId="763" priority="770" operator="notContains" text="Caida">
      <formula>ISERROR(SEARCH("Caida",AB241))</formula>
    </cfRule>
    <cfRule type="containsText" dxfId="762" priority="771" operator="containsText" text="Caida">
      <formula>NOT(ISERROR(SEARCH("Caida",AB241)))</formula>
    </cfRule>
  </conditionalFormatting>
  <conditionalFormatting sqref="AC241">
    <cfRule type="cellIs" dxfId="761" priority="768" operator="lessThan">
      <formula>0.8</formula>
    </cfRule>
    <cfRule type="cellIs" dxfId="760" priority="769" operator="greaterThan">
      <formula>0.8</formula>
    </cfRule>
  </conditionalFormatting>
  <conditionalFormatting sqref="AC241">
    <cfRule type="notContainsText" dxfId="759" priority="766" operator="notContains" text="Caida">
      <formula>ISERROR(SEARCH("Caida",AC241))</formula>
    </cfRule>
    <cfRule type="containsText" dxfId="758" priority="767" operator="containsText" text="Caida">
      <formula>NOT(ISERROR(SEARCH("Caida",AC241)))</formula>
    </cfRule>
  </conditionalFormatting>
  <conditionalFormatting sqref="AD241">
    <cfRule type="cellIs" dxfId="757" priority="764" operator="lessThan">
      <formula>0.8</formula>
    </cfRule>
    <cfRule type="cellIs" dxfId="756" priority="765" operator="greaterThan">
      <formula>0.8</formula>
    </cfRule>
  </conditionalFormatting>
  <conditionalFormatting sqref="AD241">
    <cfRule type="notContainsText" dxfId="755" priority="762" operator="notContains" text="Caida">
      <formula>ISERROR(SEARCH("Caida",AD241))</formula>
    </cfRule>
    <cfRule type="containsText" dxfId="754" priority="763" operator="containsText" text="Caida">
      <formula>NOT(ISERROR(SEARCH("Caida",AD241)))</formula>
    </cfRule>
  </conditionalFormatting>
  <conditionalFormatting sqref="M280">
    <cfRule type="cellIs" dxfId="753" priority="751" operator="lessThan">
      <formula>0.8</formula>
    </cfRule>
    <cfRule type="cellIs" dxfId="752" priority="752" operator="greaterThan">
      <formula>0.8</formula>
    </cfRule>
  </conditionalFormatting>
  <conditionalFormatting sqref="M280">
    <cfRule type="notContainsText" dxfId="751" priority="749" operator="notContains" text="Caida">
      <formula>ISERROR(SEARCH("Caida",M280))</formula>
    </cfRule>
    <cfRule type="containsText" dxfId="750" priority="750" operator="containsText" text="Caida">
      <formula>NOT(ISERROR(SEARCH("Caida",M280)))</formula>
    </cfRule>
  </conditionalFormatting>
  <conditionalFormatting sqref="M281">
    <cfRule type="cellIs" dxfId="749" priority="747" operator="lessThan">
      <formula>0.8</formula>
    </cfRule>
    <cfRule type="cellIs" dxfId="748" priority="748" operator="greaterThan">
      <formula>0.8</formula>
    </cfRule>
  </conditionalFormatting>
  <conditionalFormatting sqref="M281">
    <cfRule type="notContainsText" dxfId="747" priority="745" operator="notContains" text="Caida">
      <formula>ISERROR(SEARCH("Caida",M281))</formula>
    </cfRule>
    <cfRule type="containsText" dxfId="746" priority="746" operator="containsText" text="Caida">
      <formula>NOT(ISERROR(SEARCH("Caida",M281)))</formula>
    </cfRule>
  </conditionalFormatting>
  <conditionalFormatting sqref="M5">
    <cfRule type="cellIs" dxfId="745" priority="743" operator="lessThan">
      <formula>0.8</formula>
    </cfRule>
    <cfRule type="cellIs" dxfId="744" priority="744" operator="greaterThan">
      <formula>0.8</formula>
    </cfRule>
  </conditionalFormatting>
  <conditionalFormatting sqref="M5">
    <cfRule type="notContainsText" dxfId="743" priority="741" operator="notContains" text="Caida">
      <formula>ISERROR(SEARCH("Caida",M5))</formula>
    </cfRule>
    <cfRule type="containsText" dxfId="742" priority="742" operator="containsText" text="Caida">
      <formula>NOT(ISERROR(SEARCH("Caida",M5)))</formula>
    </cfRule>
  </conditionalFormatting>
  <conditionalFormatting sqref="M231">
    <cfRule type="cellIs" dxfId="741" priority="739" operator="lessThan">
      <formula>0.8</formula>
    </cfRule>
    <cfRule type="cellIs" dxfId="740" priority="740" operator="greaterThan">
      <formula>0.8</formula>
    </cfRule>
  </conditionalFormatting>
  <conditionalFormatting sqref="M231">
    <cfRule type="notContainsText" dxfId="739" priority="737" operator="notContains" text="Caida">
      <formula>ISERROR(SEARCH("Caida",M231))</formula>
    </cfRule>
    <cfRule type="containsText" dxfId="738" priority="738" operator="containsText" text="Caida">
      <formula>NOT(ISERROR(SEARCH("Caida",M231)))</formula>
    </cfRule>
  </conditionalFormatting>
  <conditionalFormatting sqref="M232">
    <cfRule type="cellIs" dxfId="737" priority="735" operator="lessThan">
      <formula>0.8</formula>
    </cfRule>
    <cfRule type="cellIs" dxfId="736" priority="736" operator="greaterThan">
      <formula>0.8</formula>
    </cfRule>
  </conditionalFormatting>
  <conditionalFormatting sqref="M232">
    <cfRule type="notContainsText" dxfId="735" priority="733" operator="notContains" text="Caida">
      <formula>ISERROR(SEARCH("Caida",M232))</formula>
    </cfRule>
    <cfRule type="containsText" dxfId="734" priority="734" operator="containsText" text="Caida">
      <formula>NOT(ISERROR(SEARCH("Caida",M232)))</formula>
    </cfRule>
  </conditionalFormatting>
  <conditionalFormatting sqref="M233">
    <cfRule type="cellIs" dxfId="733" priority="731" operator="lessThan">
      <formula>0.8</formula>
    </cfRule>
    <cfRule type="cellIs" dxfId="732" priority="732" operator="greaterThan">
      <formula>0.8</formula>
    </cfRule>
  </conditionalFormatting>
  <conditionalFormatting sqref="M233">
    <cfRule type="notContainsText" dxfId="731" priority="729" operator="notContains" text="Caida">
      <formula>ISERROR(SEARCH("Caida",M233))</formula>
    </cfRule>
    <cfRule type="containsText" dxfId="730" priority="730" operator="containsText" text="Caida">
      <formula>NOT(ISERROR(SEARCH("Caida",M233)))</formula>
    </cfRule>
  </conditionalFormatting>
  <conditionalFormatting sqref="M234">
    <cfRule type="cellIs" dxfId="729" priority="727" operator="lessThan">
      <formula>0.8</formula>
    </cfRule>
    <cfRule type="cellIs" dxfId="728" priority="728" operator="greaterThan">
      <formula>0.8</formula>
    </cfRule>
  </conditionalFormatting>
  <conditionalFormatting sqref="M234">
    <cfRule type="notContainsText" dxfId="727" priority="725" operator="notContains" text="Caida">
      <formula>ISERROR(SEARCH("Caida",M234))</formula>
    </cfRule>
    <cfRule type="containsText" dxfId="726" priority="726" operator="containsText" text="Caida">
      <formula>NOT(ISERROR(SEARCH("Caida",M234)))</formula>
    </cfRule>
  </conditionalFormatting>
  <conditionalFormatting sqref="M235">
    <cfRule type="cellIs" dxfId="725" priority="723" operator="lessThan">
      <formula>0.8</formula>
    </cfRule>
    <cfRule type="cellIs" dxfId="724" priority="724" operator="greaterThan">
      <formula>0.8</formula>
    </cfRule>
  </conditionalFormatting>
  <conditionalFormatting sqref="M235">
    <cfRule type="notContainsText" dxfId="723" priority="721" operator="notContains" text="Caida">
      <formula>ISERROR(SEARCH("Caida",M235))</formula>
    </cfRule>
    <cfRule type="containsText" dxfId="722" priority="722" operator="containsText" text="Caida">
      <formula>NOT(ISERROR(SEARCH("Caida",M235)))</formula>
    </cfRule>
  </conditionalFormatting>
  <conditionalFormatting sqref="M333">
    <cfRule type="cellIs" dxfId="721" priority="719" operator="lessThan">
      <formula>0.8</formula>
    </cfRule>
    <cfRule type="cellIs" dxfId="720" priority="720" operator="greaterThan">
      <formula>0.8</formula>
    </cfRule>
  </conditionalFormatting>
  <conditionalFormatting sqref="M333">
    <cfRule type="notContainsText" dxfId="719" priority="717" operator="notContains" text="Caida">
      <formula>ISERROR(SEARCH("Caida",M333))</formula>
    </cfRule>
    <cfRule type="containsText" dxfId="718" priority="718" operator="containsText" text="Caida">
      <formula>NOT(ISERROR(SEARCH("Caida",M333)))</formula>
    </cfRule>
  </conditionalFormatting>
  <conditionalFormatting sqref="M334">
    <cfRule type="cellIs" dxfId="717" priority="715" operator="lessThan">
      <formula>0.8</formula>
    </cfRule>
    <cfRule type="cellIs" dxfId="716" priority="716" operator="greaterThan">
      <formula>0.8</formula>
    </cfRule>
  </conditionalFormatting>
  <conditionalFormatting sqref="M334">
    <cfRule type="notContainsText" dxfId="715" priority="713" operator="notContains" text="Caida">
      <formula>ISERROR(SEARCH("Caida",M334))</formula>
    </cfRule>
    <cfRule type="containsText" dxfId="714" priority="714" operator="containsText" text="Caida">
      <formula>NOT(ISERROR(SEARCH("Caida",M334)))</formula>
    </cfRule>
  </conditionalFormatting>
  <conditionalFormatting sqref="N6:N92 N236:N279 N96:N230">
    <cfRule type="cellIs" dxfId="713" priority="711" operator="lessThan">
      <formula>0.8</formula>
    </cfRule>
    <cfRule type="cellIs" dxfId="712" priority="712" operator="greaterThan">
      <formula>0.8</formula>
    </cfRule>
  </conditionalFormatting>
  <conditionalFormatting sqref="N6:N92 N236:N279 N96:N230">
    <cfRule type="notContainsText" dxfId="711" priority="709" operator="notContains" text="Caida">
      <formula>ISERROR(SEARCH("Caida",N6))</formula>
    </cfRule>
    <cfRule type="containsText" dxfId="710" priority="710" operator="containsText" text="Caida">
      <formula>NOT(ISERROR(SEARCH("Caida",N6)))</formula>
    </cfRule>
  </conditionalFormatting>
  <conditionalFormatting sqref="N335:N364 N282:N332">
    <cfRule type="cellIs" dxfId="709" priority="707" operator="lessThan">
      <formula>0.8</formula>
    </cfRule>
    <cfRule type="cellIs" dxfId="708" priority="708" operator="greaterThan">
      <formula>0.8</formula>
    </cfRule>
  </conditionalFormatting>
  <conditionalFormatting sqref="N335:N364 N282:N332 N369:N1048576">
    <cfRule type="notContainsText" dxfId="707" priority="705" operator="notContains" text="Caida">
      <formula>ISERROR(SEARCH("Caida",N282))</formula>
    </cfRule>
    <cfRule type="containsText" dxfId="706" priority="706" operator="containsText" text="Caida">
      <formula>NOT(ISERROR(SEARCH("Caida",N282)))</formula>
    </cfRule>
  </conditionalFormatting>
  <conditionalFormatting sqref="M6:M92 M236:M279 M96:M230">
    <cfRule type="cellIs" dxfId="705" priority="760" operator="lessThan">
      <formula>0.8</formula>
    </cfRule>
    <cfRule type="cellIs" dxfId="704" priority="761" operator="greaterThan">
      <formula>0.8</formula>
    </cfRule>
  </conditionalFormatting>
  <conditionalFormatting sqref="M6:M92 M236:M279 M96:M230">
    <cfRule type="notContainsText" dxfId="703" priority="758" operator="notContains" text="Caida">
      <formula>ISERROR(SEARCH("Caida",M6))</formula>
    </cfRule>
    <cfRule type="containsText" dxfId="702" priority="759" operator="containsText" text="Caida">
      <formula>NOT(ISERROR(SEARCH("Caida",M6)))</formula>
    </cfRule>
  </conditionalFormatting>
  <conditionalFormatting sqref="M335:M364 M282:M332">
    <cfRule type="cellIs" dxfId="701" priority="756" operator="lessThan">
      <formula>0.8</formula>
    </cfRule>
    <cfRule type="cellIs" dxfId="700" priority="757" operator="greaterThan">
      <formula>0.8</formula>
    </cfRule>
  </conditionalFormatting>
  <conditionalFormatting sqref="M335:M364 M282:M332 M369:M1048576">
    <cfRule type="notContainsText" dxfId="699" priority="754" operator="notContains" text="Caida">
      <formula>ISERROR(SEARCH("Caida",M282))</formula>
    </cfRule>
    <cfRule type="containsText" dxfId="698" priority="755" operator="containsText" text="Caida">
      <formula>NOT(ISERROR(SEARCH("Caida",M282)))</formula>
    </cfRule>
  </conditionalFormatting>
  <conditionalFormatting sqref="M22">
    <cfRule type="containsText" dxfId="697" priority="753" operator="containsText" text="Instaladas en Funcionamiento Caida">
      <formula>NOT(ISERROR(SEARCH("Instaladas en Funcionamiento Caida",M22)))</formula>
    </cfRule>
  </conditionalFormatting>
  <conditionalFormatting sqref="N334">
    <cfRule type="cellIs" dxfId="696" priority="666" operator="lessThan">
      <formula>0.8</formula>
    </cfRule>
    <cfRule type="cellIs" dxfId="695" priority="667" operator="greaterThan">
      <formula>0.8</formula>
    </cfRule>
  </conditionalFormatting>
  <conditionalFormatting sqref="N334">
    <cfRule type="notContainsText" dxfId="694" priority="664" operator="notContains" text="Caida">
      <formula>ISERROR(SEARCH("Caida",N334))</formula>
    </cfRule>
    <cfRule type="containsText" dxfId="693" priority="665" operator="containsText" text="Caida">
      <formula>NOT(ISERROR(SEARCH("Caida",N334)))</formula>
    </cfRule>
  </conditionalFormatting>
  <conditionalFormatting sqref="N22">
    <cfRule type="containsText" dxfId="692" priority="704" operator="containsText" text="Instaladas en Funcionamiento Caida">
      <formula>NOT(ISERROR(SEARCH("Instaladas en Funcionamiento Caida",N22)))</formula>
    </cfRule>
  </conditionalFormatting>
  <conditionalFormatting sqref="N280">
    <cfRule type="cellIs" dxfId="691" priority="702" operator="lessThan">
      <formula>0.8</formula>
    </cfRule>
    <cfRule type="cellIs" dxfId="690" priority="703" operator="greaterThan">
      <formula>0.8</formula>
    </cfRule>
  </conditionalFormatting>
  <conditionalFormatting sqref="N280">
    <cfRule type="notContainsText" dxfId="689" priority="700" operator="notContains" text="Caida">
      <formula>ISERROR(SEARCH("Caida",N280))</formula>
    </cfRule>
    <cfRule type="containsText" dxfId="688" priority="701" operator="containsText" text="Caida">
      <formula>NOT(ISERROR(SEARCH("Caida",N280)))</formula>
    </cfRule>
  </conditionalFormatting>
  <conditionalFormatting sqref="N281">
    <cfRule type="cellIs" dxfId="687" priority="698" operator="lessThan">
      <formula>0.8</formula>
    </cfRule>
    <cfRule type="cellIs" dxfId="686" priority="699" operator="greaterThan">
      <formula>0.8</formula>
    </cfRule>
  </conditionalFormatting>
  <conditionalFormatting sqref="N281">
    <cfRule type="notContainsText" dxfId="685" priority="696" operator="notContains" text="Caida">
      <formula>ISERROR(SEARCH("Caida",N281))</formula>
    </cfRule>
    <cfRule type="containsText" dxfId="684" priority="697" operator="containsText" text="Caida">
      <formula>NOT(ISERROR(SEARCH("Caida",N281)))</formula>
    </cfRule>
  </conditionalFormatting>
  <conditionalFormatting sqref="N5">
    <cfRule type="cellIs" dxfId="683" priority="694" operator="lessThan">
      <formula>0.8</formula>
    </cfRule>
    <cfRule type="cellIs" dxfId="682" priority="695" operator="greaterThan">
      <formula>0.8</formula>
    </cfRule>
  </conditionalFormatting>
  <conditionalFormatting sqref="N5">
    <cfRule type="notContainsText" dxfId="681" priority="692" operator="notContains" text="Caida">
      <formula>ISERROR(SEARCH("Caida",N5))</formula>
    </cfRule>
    <cfRule type="containsText" dxfId="680" priority="693" operator="containsText" text="Caida">
      <formula>NOT(ISERROR(SEARCH("Caida",N5)))</formula>
    </cfRule>
  </conditionalFormatting>
  <conditionalFormatting sqref="N231">
    <cfRule type="cellIs" dxfId="679" priority="690" operator="lessThan">
      <formula>0.8</formula>
    </cfRule>
    <cfRule type="cellIs" dxfId="678" priority="691" operator="greaterThan">
      <formula>0.8</formula>
    </cfRule>
  </conditionalFormatting>
  <conditionalFormatting sqref="N231">
    <cfRule type="notContainsText" dxfId="677" priority="688" operator="notContains" text="Caida">
      <formula>ISERROR(SEARCH("Caida",N231))</formula>
    </cfRule>
    <cfRule type="containsText" dxfId="676" priority="689" operator="containsText" text="Caida">
      <formula>NOT(ISERROR(SEARCH("Caida",N231)))</formula>
    </cfRule>
  </conditionalFormatting>
  <conditionalFormatting sqref="N232">
    <cfRule type="cellIs" dxfId="675" priority="686" operator="lessThan">
      <formula>0.8</formula>
    </cfRule>
    <cfRule type="cellIs" dxfId="674" priority="687" operator="greaterThan">
      <formula>0.8</formula>
    </cfRule>
  </conditionalFormatting>
  <conditionalFormatting sqref="N232">
    <cfRule type="notContainsText" dxfId="673" priority="684" operator="notContains" text="Caida">
      <formula>ISERROR(SEARCH("Caida",N232))</formula>
    </cfRule>
    <cfRule type="containsText" dxfId="672" priority="685" operator="containsText" text="Caida">
      <formula>NOT(ISERROR(SEARCH("Caida",N232)))</formula>
    </cfRule>
  </conditionalFormatting>
  <conditionalFormatting sqref="N233">
    <cfRule type="cellIs" dxfId="671" priority="682" operator="lessThan">
      <formula>0.8</formula>
    </cfRule>
    <cfRule type="cellIs" dxfId="670" priority="683" operator="greaterThan">
      <formula>0.8</formula>
    </cfRule>
  </conditionalFormatting>
  <conditionalFormatting sqref="N233">
    <cfRule type="notContainsText" dxfId="669" priority="680" operator="notContains" text="Caida">
      <formula>ISERROR(SEARCH("Caida",N233))</formula>
    </cfRule>
    <cfRule type="containsText" dxfId="668" priority="681" operator="containsText" text="Caida">
      <formula>NOT(ISERROR(SEARCH("Caida",N233)))</formula>
    </cfRule>
  </conditionalFormatting>
  <conditionalFormatting sqref="N234">
    <cfRule type="cellIs" dxfId="667" priority="678" operator="lessThan">
      <formula>0.8</formula>
    </cfRule>
    <cfRule type="cellIs" dxfId="666" priority="679" operator="greaterThan">
      <formula>0.8</formula>
    </cfRule>
  </conditionalFormatting>
  <conditionalFormatting sqref="N234">
    <cfRule type="notContainsText" dxfId="665" priority="676" operator="notContains" text="Caida">
      <formula>ISERROR(SEARCH("Caida",N234))</formula>
    </cfRule>
    <cfRule type="containsText" dxfId="664" priority="677" operator="containsText" text="Caida">
      <formula>NOT(ISERROR(SEARCH("Caida",N234)))</formula>
    </cfRule>
  </conditionalFormatting>
  <conditionalFormatting sqref="N235">
    <cfRule type="cellIs" dxfId="663" priority="674" operator="lessThan">
      <formula>0.8</formula>
    </cfRule>
    <cfRule type="cellIs" dxfId="662" priority="675" operator="greaterThan">
      <formula>0.8</formula>
    </cfRule>
  </conditionalFormatting>
  <conditionalFormatting sqref="N235">
    <cfRule type="notContainsText" dxfId="661" priority="672" operator="notContains" text="Caida">
      <formula>ISERROR(SEARCH("Caida",N235))</formula>
    </cfRule>
    <cfRule type="containsText" dxfId="660" priority="673" operator="containsText" text="Caida">
      <formula>NOT(ISERROR(SEARCH("Caida",N235)))</formula>
    </cfRule>
  </conditionalFormatting>
  <conditionalFormatting sqref="N333">
    <cfRule type="cellIs" dxfId="659" priority="670" operator="lessThan">
      <formula>0.8</formula>
    </cfRule>
    <cfRule type="cellIs" dxfId="658" priority="671" operator="greaterThan">
      <formula>0.8</formula>
    </cfRule>
  </conditionalFormatting>
  <conditionalFormatting sqref="N333">
    <cfRule type="notContainsText" dxfId="657" priority="668" operator="notContains" text="Caida">
      <formula>ISERROR(SEARCH("Caida",N333))</formula>
    </cfRule>
    <cfRule type="containsText" dxfId="656" priority="669" operator="containsText" text="Caida">
      <formula>NOT(ISERROR(SEARCH("Caida",N333)))</formula>
    </cfRule>
  </conditionalFormatting>
  <conditionalFormatting sqref="O236:O279 O6:O92 O96:O230">
    <cfRule type="cellIs" dxfId="655" priority="662" operator="lessThan">
      <formula>0.8</formula>
    </cfRule>
    <cfRule type="cellIs" dxfId="654" priority="663" operator="greaterThan">
      <formula>0.8</formula>
    </cfRule>
  </conditionalFormatting>
  <conditionalFormatting sqref="O236:O279 O6:O92 O96:O230">
    <cfRule type="notContainsText" dxfId="653" priority="660" operator="notContains" text="Caida">
      <formula>ISERROR(SEARCH("Caida",O6))</formula>
    </cfRule>
    <cfRule type="containsText" dxfId="652" priority="661" operator="containsText" text="Caida">
      <formula>NOT(ISERROR(SEARCH("Caida",O6)))</formula>
    </cfRule>
  </conditionalFormatting>
  <conditionalFormatting sqref="O334">
    <cfRule type="cellIs" dxfId="651" priority="617" operator="lessThan">
      <formula>0.8</formula>
    </cfRule>
    <cfRule type="cellIs" dxfId="650" priority="618" operator="greaterThan">
      <formula>0.8</formula>
    </cfRule>
  </conditionalFormatting>
  <conditionalFormatting sqref="O334">
    <cfRule type="notContainsText" dxfId="649" priority="615" operator="notContains" text="Caida">
      <formula>ISERROR(SEARCH("Caida",O334))</formula>
    </cfRule>
    <cfRule type="containsText" dxfId="648" priority="616" operator="containsText" text="Caida">
      <formula>NOT(ISERROR(SEARCH("Caida",O334)))</formula>
    </cfRule>
  </conditionalFormatting>
  <conditionalFormatting sqref="O335:O364 O282:O332">
    <cfRule type="cellIs" dxfId="647" priority="658" operator="lessThan">
      <formula>0.8</formula>
    </cfRule>
    <cfRule type="cellIs" dxfId="646" priority="659" operator="greaterThan">
      <formula>0.8</formula>
    </cfRule>
  </conditionalFormatting>
  <conditionalFormatting sqref="O335:O364 O282:O332 O369:O1048576">
    <cfRule type="notContainsText" dxfId="645" priority="656" operator="notContains" text="Caida">
      <formula>ISERROR(SEARCH("Caida",O282))</formula>
    </cfRule>
    <cfRule type="containsText" dxfId="644" priority="657" operator="containsText" text="Caida">
      <formula>NOT(ISERROR(SEARCH("Caida",O282)))</formula>
    </cfRule>
  </conditionalFormatting>
  <conditionalFormatting sqref="O22">
    <cfRule type="containsText" dxfId="643" priority="655" operator="containsText" text="Instaladas en Funcionamiento Caida">
      <formula>NOT(ISERROR(SEARCH("Instaladas en Funcionamiento Caida",O22)))</formula>
    </cfRule>
  </conditionalFormatting>
  <conditionalFormatting sqref="O280">
    <cfRule type="cellIs" dxfId="642" priority="653" operator="lessThan">
      <formula>0.8</formula>
    </cfRule>
    <cfRule type="cellIs" dxfId="641" priority="654" operator="greaterThan">
      <formula>0.8</formula>
    </cfRule>
  </conditionalFormatting>
  <conditionalFormatting sqref="O280">
    <cfRule type="notContainsText" dxfId="640" priority="651" operator="notContains" text="Caida">
      <formula>ISERROR(SEARCH("Caida",O280))</formula>
    </cfRule>
    <cfRule type="containsText" dxfId="639" priority="652" operator="containsText" text="Caida">
      <formula>NOT(ISERROR(SEARCH("Caida",O280)))</formula>
    </cfRule>
  </conditionalFormatting>
  <conditionalFormatting sqref="O281">
    <cfRule type="cellIs" dxfId="638" priority="649" operator="lessThan">
      <formula>0.8</formula>
    </cfRule>
    <cfRule type="cellIs" dxfId="637" priority="650" operator="greaterThan">
      <formula>0.8</formula>
    </cfRule>
  </conditionalFormatting>
  <conditionalFormatting sqref="O281">
    <cfRule type="notContainsText" dxfId="636" priority="647" operator="notContains" text="Caida">
      <formula>ISERROR(SEARCH("Caida",O281))</formula>
    </cfRule>
    <cfRule type="containsText" dxfId="635" priority="648" operator="containsText" text="Caida">
      <formula>NOT(ISERROR(SEARCH("Caida",O281)))</formula>
    </cfRule>
  </conditionalFormatting>
  <conditionalFormatting sqref="O5">
    <cfRule type="cellIs" dxfId="634" priority="645" operator="lessThan">
      <formula>0.8</formula>
    </cfRule>
    <cfRule type="cellIs" dxfId="633" priority="646" operator="greaterThan">
      <formula>0.8</formula>
    </cfRule>
  </conditionalFormatting>
  <conditionalFormatting sqref="O5">
    <cfRule type="notContainsText" dxfId="632" priority="643" operator="notContains" text="Caida">
      <formula>ISERROR(SEARCH("Caida",O5))</formula>
    </cfRule>
    <cfRule type="containsText" dxfId="631" priority="644" operator="containsText" text="Caida">
      <formula>NOT(ISERROR(SEARCH("Caida",O5)))</formula>
    </cfRule>
  </conditionalFormatting>
  <conditionalFormatting sqref="O231">
    <cfRule type="cellIs" dxfId="630" priority="641" operator="lessThan">
      <formula>0.8</formula>
    </cfRule>
    <cfRule type="cellIs" dxfId="629" priority="642" operator="greaterThan">
      <formula>0.8</formula>
    </cfRule>
  </conditionalFormatting>
  <conditionalFormatting sqref="O231">
    <cfRule type="notContainsText" dxfId="628" priority="639" operator="notContains" text="Caida">
      <formula>ISERROR(SEARCH("Caida",O231))</formula>
    </cfRule>
    <cfRule type="containsText" dxfId="627" priority="640" operator="containsText" text="Caida">
      <formula>NOT(ISERROR(SEARCH("Caida",O231)))</formula>
    </cfRule>
  </conditionalFormatting>
  <conditionalFormatting sqref="O232">
    <cfRule type="cellIs" dxfId="626" priority="637" operator="lessThan">
      <formula>0.8</formula>
    </cfRule>
    <cfRule type="cellIs" dxfId="625" priority="638" operator="greaterThan">
      <formula>0.8</formula>
    </cfRule>
  </conditionalFormatting>
  <conditionalFormatting sqref="O232">
    <cfRule type="notContainsText" dxfId="624" priority="635" operator="notContains" text="Caida">
      <formula>ISERROR(SEARCH("Caida",O232))</formula>
    </cfRule>
    <cfRule type="containsText" dxfId="623" priority="636" operator="containsText" text="Caida">
      <formula>NOT(ISERROR(SEARCH("Caida",O232)))</formula>
    </cfRule>
  </conditionalFormatting>
  <conditionalFormatting sqref="O233">
    <cfRule type="cellIs" dxfId="622" priority="633" operator="lessThan">
      <formula>0.8</formula>
    </cfRule>
    <cfRule type="cellIs" dxfId="621" priority="634" operator="greaterThan">
      <formula>0.8</formula>
    </cfRule>
  </conditionalFormatting>
  <conditionalFormatting sqref="O233">
    <cfRule type="notContainsText" dxfId="620" priority="631" operator="notContains" text="Caida">
      <formula>ISERROR(SEARCH("Caida",O233))</formula>
    </cfRule>
    <cfRule type="containsText" dxfId="619" priority="632" operator="containsText" text="Caida">
      <formula>NOT(ISERROR(SEARCH("Caida",O233)))</formula>
    </cfRule>
  </conditionalFormatting>
  <conditionalFormatting sqref="O234">
    <cfRule type="cellIs" dxfId="618" priority="629" operator="lessThan">
      <formula>0.8</formula>
    </cfRule>
    <cfRule type="cellIs" dxfId="617" priority="630" operator="greaterThan">
      <formula>0.8</formula>
    </cfRule>
  </conditionalFormatting>
  <conditionalFormatting sqref="O234">
    <cfRule type="notContainsText" dxfId="616" priority="627" operator="notContains" text="Caida">
      <formula>ISERROR(SEARCH("Caida",O234))</formula>
    </cfRule>
    <cfRule type="containsText" dxfId="615" priority="628" operator="containsText" text="Caida">
      <formula>NOT(ISERROR(SEARCH("Caida",O234)))</formula>
    </cfRule>
  </conditionalFormatting>
  <conditionalFormatting sqref="O235">
    <cfRule type="cellIs" dxfId="614" priority="625" operator="lessThan">
      <formula>0.8</formula>
    </cfRule>
    <cfRule type="cellIs" dxfId="613" priority="626" operator="greaterThan">
      <formula>0.8</formula>
    </cfRule>
  </conditionalFormatting>
  <conditionalFormatting sqref="O235">
    <cfRule type="notContainsText" dxfId="612" priority="623" operator="notContains" text="Caida">
      <formula>ISERROR(SEARCH("Caida",O235))</formula>
    </cfRule>
    <cfRule type="containsText" dxfId="611" priority="624" operator="containsText" text="Caida">
      <formula>NOT(ISERROR(SEARCH("Caida",O235)))</formula>
    </cfRule>
  </conditionalFormatting>
  <conditionalFormatting sqref="O333">
    <cfRule type="cellIs" dxfId="610" priority="621" operator="lessThan">
      <formula>0.8</formula>
    </cfRule>
    <cfRule type="cellIs" dxfId="609" priority="622" operator="greaterThan">
      <formula>0.8</formula>
    </cfRule>
  </conditionalFormatting>
  <conditionalFormatting sqref="O333">
    <cfRule type="notContainsText" dxfId="608" priority="619" operator="notContains" text="Caida">
      <formula>ISERROR(SEARCH("Caida",O333))</formula>
    </cfRule>
    <cfRule type="containsText" dxfId="607" priority="620" operator="containsText" text="Caida">
      <formula>NOT(ISERROR(SEARCH("Caida",O333)))</formula>
    </cfRule>
  </conditionalFormatting>
  <conditionalFormatting sqref="P6:P92 P236:P279 P96:P230">
    <cfRule type="cellIs" dxfId="606" priority="613" operator="lessThan">
      <formula>0.8</formula>
    </cfRule>
    <cfRule type="cellIs" dxfId="605" priority="614" operator="greaterThan">
      <formula>0.8</formula>
    </cfRule>
  </conditionalFormatting>
  <conditionalFormatting sqref="P6:P92 P236:P279 P96:P230">
    <cfRule type="notContainsText" dxfId="604" priority="611" operator="notContains" text="Caida">
      <formula>ISERROR(SEARCH("Caida",P6))</formula>
    </cfRule>
    <cfRule type="containsText" dxfId="603" priority="612" operator="containsText" text="Caida">
      <formula>NOT(ISERROR(SEARCH("Caida",P6)))</formula>
    </cfRule>
  </conditionalFormatting>
  <conditionalFormatting sqref="P334">
    <cfRule type="cellIs" dxfId="602" priority="568" operator="lessThan">
      <formula>0.8</formula>
    </cfRule>
    <cfRule type="cellIs" dxfId="601" priority="569" operator="greaterThan">
      <formula>0.8</formula>
    </cfRule>
  </conditionalFormatting>
  <conditionalFormatting sqref="P334">
    <cfRule type="notContainsText" dxfId="600" priority="566" operator="notContains" text="Caida">
      <formula>ISERROR(SEARCH("Caida",P334))</formula>
    </cfRule>
    <cfRule type="containsText" dxfId="599" priority="567" operator="containsText" text="Caida">
      <formula>NOT(ISERROR(SEARCH("Caida",P334)))</formula>
    </cfRule>
  </conditionalFormatting>
  <conditionalFormatting sqref="P335:P364 P282:P332">
    <cfRule type="cellIs" dxfId="598" priority="609" operator="lessThan">
      <formula>0.8</formula>
    </cfRule>
    <cfRule type="cellIs" dxfId="597" priority="610" operator="greaterThan">
      <formula>0.8</formula>
    </cfRule>
  </conditionalFormatting>
  <conditionalFormatting sqref="P335:P364 P282:P332 P369:P1048576">
    <cfRule type="notContainsText" dxfId="596" priority="607" operator="notContains" text="Caida">
      <formula>ISERROR(SEARCH("Caida",P282))</formula>
    </cfRule>
    <cfRule type="containsText" dxfId="595" priority="608" operator="containsText" text="Caida">
      <formula>NOT(ISERROR(SEARCH("Caida",P282)))</formula>
    </cfRule>
  </conditionalFormatting>
  <conditionalFormatting sqref="P22">
    <cfRule type="containsText" dxfId="594" priority="606" operator="containsText" text="Instaladas en Funcionamiento Caida">
      <formula>NOT(ISERROR(SEARCH("Instaladas en Funcionamiento Caida",P22)))</formula>
    </cfRule>
  </conditionalFormatting>
  <conditionalFormatting sqref="P280">
    <cfRule type="cellIs" dxfId="593" priority="604" operator="lessThan">
      <formula>0.8</formula>
    </cfRule>
    <cfRule type="cellIs" dxfId="592" priority="605" operator="greaterThan">
      <formula>0.8</formula>
    </cfRule>
  </conditionalFormatting>
  <conditionalFormatting sqref="P280">
    <cfRule type="notContainsText" dxfId="591" priority="602" operator="notContains" text="Caida">
      <formula>ISERROR(SEARCH("Caida",P280))</formula>
    </cfRule>
    <cfRule type="containsText" dxfId="590" priority="603" operator="containsText" text="Caida">
      <formula>NOT(ISERROR(SEARCH("Caida",P280)))</formula>
    </cfRule>
  </conditionalFormatting>
  <conditionalFormatting sqref="P281">
    <cfRule type="cellIs" dxfId="589" priority="600" operator="lessThan">
      <formula>0.8</formula>
    </cfRule>
    <cfRule type="cellIs" dxfId="588" priority="601" operator="greaterThan">
      <formula>0.8</formula>
    </cfRule>
  </conditionalFormatting>
  <conditionalFormatting sqref="P281">
    <cfRule type="notContainsText" dxfId="587" priority="598" operator="notContains" text="Caida">
      <formula>ISERROR(SEARCH("Caida",P281))</formula>
    </cfRule>
    <cfRule type="containsText" dxfId="586" priority="599" operator="containsText" text="Caida">
      <formula>NOT(ISERROR(SEARCH("Caida",P281)))</formula>
    </cfRule>
  </conditionalFormatting>
  <conditionalFormatting sqref="P5">
    <cfRule type="cellIs" dxfId="585" priority="596" operator="lessThan">
      <formula>0.8</formula>
    </cfRule>
    <cfRule type="cellIs" dxfId="584" priority="597" operator="greaterThan">
      <formula>0.8</formula>
    </cfRule>
  </conditionalFormatting>
  <conditionalFormatting sqref="P5">
    <cfRule type="notContainsText" dxfId="583" priority="594" operator="notContains" text="Caida">
      <formula>ISERROR(SEARCH("Caida",P5))</formula>
    </cfRule>
    <cfRule type="containsText" dxfId="582" priority="595" operator="containsText" text="Caida">
      <formula>NOT(ISERROR(SEARCH("Caida",P5)))</formula>
    </cfRule>
  </conditionalFormatting>
  <conditionalFormatting sqref="P231">
    <cfRule type="cellIs" dxfId="581" priority="592" operator="lessThan">
      <formula>0.8</formula>
    </cfRule>
    <cfRule type="cellIs" dxfId="580" priority="593" operator="greaterThan">
      <formula>0.8</formula>
    </cfRule>
  </conditionalFormatting>
  <conditionalFormatting sqref="P231">
    <cfRule type="notContainsText" dxfId="579" priority="590" operator="notContains" text="Caida">
      <formula>ISERROR(SEARCH("Caida",P231))</formula>
    </cfRule>
    <cfRule type="containsText" dxfId="578" priority="591" operator="containsText" text="Caida">
      <formula>NOT(ISERROR(SEARCH("Caida",P231)))</formula>
    </cfRule>
  </conditionalFormatting>
  <conditionalFormatting sqref="P232">
    <cfRule type="cellIs" dxfId="577" priority="588" operator="lessThan">
      <formula>0.8</formula>
    </cfRule>
    <cfRule type="cellIs" dxfId="576" priority="589" operator="greaterThan">
      <formula>0.8</formula>
    </cfRule>
  </conditionalFormatting>
  <conditionalFormatting sqref="P232">
    <cfRule type="notContainsText" dxfId="575" priority="586" operator="notContains" text="Caida">
      <formula>ISERROR(SEARCH("Caida",P232))</formula>
    </cfRule>
    <cfRule type="containsText" dxfId="574" priority="587" operator="containsText" text="Caida">
      <formula>NOT(ISERROR(SEARCH("Caida",P232)))</formula>
    </cfRule>
  </conditionalFormatting>
  <conditionalFormatting sqref="P233">
    <cfRule type="cellIs" dxfId="573" priority="584" operator="lessThan">
      <formula>0.8</formula>
    </cfRule>
    <cfRule type="cellIs" dxfId="572" priority="585" operator="greaterThan">
      <formula>0.8</formula>
    </cfRule>
  </conditionalFormatting>
  <conditionalFormatting sqref="P233">
    <cfRule type="notContainsText" dxfId="571" priority="582" operator="notContains" text="Caida">
      <formula>ISERROR(SEARCH("Caida",P233))</formula>
    </cfRule>
    <cfRule type="containsText" dxfId="570" priority="583" operator="containsText" text="Caida">
      <formula>NOT(ISERROR(SEARCH("Caida",P233)))</formula>
    </cfRule>
  </conditionalFormatting>
  <conditionalFormatting sqref="P234">
    <cfRule type="cellIs" dxfId="569" priority="580" operator="lessThan">
      <formula>0.8</formula>
    </cfRule>
    <cfRule type="cellIs" dxfId="568" priority="581" operator="greaterThan">
      <formula>0.8</formula>
    </cfRule>
  </conditionalFormatting>
  <conditionalFormatting sqref="P234">
    <cfRule type="notContainsText" dxfId="567" priority="578" operator="notContains" text="Caida">
      <formula>ISERROR(SEARCH("Caida",P234))</formula>
    </cfRule>
    <cfRule type="containsText" dxfId="566" priority="579" operator="containsText" text="Caida">
      <formula>NOT(ISERROR(SEARCH("Caida",P234)))</formula>
    </cfRule>
  </conditionalFormatting>
  <conditionalFormatting sqref="P235">
    <cfRule type="cellIs" dxfId="565" priority="576" operator="lessThan">
      <formula>0.8</formula>
    </cfRule>
    <cfRule type="cellIs" dxfId="564" priority="577" operator="greaterThan">
      <formula>0.8</formula>
    </cfRule>
  </conditionalFormatting>
  <conditionalFormatting sqref="P235">
    <cfRule type="notContainsText" dxfId="563" priority="574" operator="notContains" text="Caida">
      <formula>ISERROR(SEARCH("Caida",P235))</formula>
    </cfRule>
    <cfRule type="containsText" dxfId="562" priority="575" operator="containsText" text="Caida">
      <formula>NOT(ISERROR(SEARCH("Caida",P235)))</formula>
    </cfRule>
  </conditionalFormatting>
  <conditionalFormatting sqref="P333">
    <cfRule type="cellIs" dxfId="561" priority="572" operator="lessThan">
      <formula>0.8</formula>
    </cfRule>
    <cfRule type="cellIs" dxfId="560" priority="573" operator="greaterThan">
      <formula>0.8</formula>
    </cfRule>
  </conditionalFormatting>
  <conditionalFormatting sqref="P333">
    <cfRule type="notContainsText" dxfId="559" priority="570" operator="notContains" text="Caida">
      <formula>ISERROR(SEARCH("Caida",P333))</formula>
    </cfRule>
    <cfRule type="containsText" dxfId="558" priority="571" operator="containsText" text="Caida">
      <formula>NOT(ISERROR(SEARCH("Caida",P333)))</formula>
    </cfRule>
  </conditionalFormatting>
  <conditionalFormatting sqref="Q236:Q279 Q6:Q92 Q96:Q230">
    <cfRule type="cellIs" dxfId="557" priority="564" operator="lessThan">
      <formula>0.8</formula>
    </cfRule>
    <cfRule type="cellIs" dxfId="556" priority="565" operator="greaterThan">
      <formula>0.8</formula>
    </cfRule>
  </conditionalFormatting>
  <conditionalFormatting sqref="Q236:Q279 Q6:Q92 Q96:Q230">
    <cfRule type="notContainsText" dxfId="555" priority="562" operator="notContains" text="Caida">
      <formula>ISERROR(SEARCH("Caida",Q6))</formula>
    </cfRule>
    <cfRule type="containsText" dxfId="554" priority="563" operator="containsText" text="Caida">
      <formula>NOT(ISERROR(SEARCH("Caida",Q6)))</formula>
    </cfRule>
  </conditionalFormatting>
  <conditionalFormatting sqref="Q334">
    <cfRule type="cellIs" dxfId="553" priority="519" operator="lessThan">
      <formula>0.8</formula>
    </cfRule>
    <cfRule type="cellIs" dxfId="552" priority="520" operator="greaterThan">
      <formula>0.8</formula>
    </cfRule>
  </conditionalFormatting>
  <conditionalFormatting sqref="Q334">
    <cfRule type="notContainsText" dxfId="551" priority="517" operator="notContains" text="Caida">
      <formula>ISERROR(SEARCH("Caida",Q334))</formula>
    </cfRule>
    <cfRule type="containsText" dxfId="550" priority="518" operator="containsText" text="Caida">
      <formula>NOT(ISERROR(SEARCH("Caida",Q334)))</formula>
    </cfRule>
  </conditionalFormatting>
  <conditionalFormatting sqref="Q335:Q364 Q282:Q332">
    <cfRule type="cellIs" dxfId="549" priority="560" operator="lessThan">
      <formula>0.8</formula>
    </cfRule>
    <cfRule type="cellIs" dxfId="548" priority="561" operator="greaterThan">
      <formula>0.8</formula>
    </cfRule>
  </conditionalFormatting>
  <conditionalFormatting sqref="Q335:Q364 Q282:Q332 Q369:Q1048576">
    <cfRule type="notContainsText" dxfId="547" priority="558" operator="notContains" text="Caida">
      <formula>ISERROR(SEARCH("Caida",Q282))</formula>
    </cfRule>
    <cfRule type="containsText" dxfId="546" priority="559" operator="containsText" text="Caida">
      <formula>NOT(ISERROR(SEARCH("Caida",Q282)))</formula>
    </cfRule>
  </conditionalFormatting>
  <conditionalFormatting sqref="Q22">
    <cfRule type="containsText" dxfId="545" priority="557" operator="containsText" text="Instaladas en Funcionamiento Caida">
      <formula>NOT(ISERROR(SEARCH("Instaladas en Funcionamiento Caida",Q22)))</formula>
    </cfRule>
  </conditionalFormatting>
  <conditionalFormatting sqref="Q280">
    <cfRule type="cellIs" dxfId="544" priority="555" operator="lessThan">
      <formula>0.8</formula>
    </cfRule>
    <cfRule type="cellIs" dxfId="543" priority="556" operator="greaterThan">
      <formula>0.8</formula>
    </cfRule>
  </conditionalFormatting>
  <conditionalFormatting sqref="Q280">
    <cfRule type="notContainsText" dxfId="542" priority="553" operator="notContains" text="Caida">
      <formula>ISERROR(SEARCH("Caida",Q280))</formula>
    </cfRule>
    <cfRule type="containsText" dxfId="541" priority="554" operator="containsText" text="Caida">
      <formula>NOT(ISERROR(SEARCH("Caida",Q280)))</formula>
    </cfRule>
  </conditionalFormatting>
  <conditionalFormatting sqref="Q281">
    <cfRule type="cellIs" dxfId="540" priority="551" operator="lessThan">
      <formula>0.8</formula>
    </cfRule>
    <cfRule type="cellIs" dxfId="539" priority="552" operator="greaterThan">
      <formula>0.8</formula>
    </cfRule>
  </conditionalFormatting>
  <conditionalFormatting sqref="Q281">
    <cfRule type="notContainsText" dxfId="538" priority="549" operator="notContains" text="Caida">
      <formula>ISERROR(SEARCH("Caida",Q281))</formula>
    </cfRule>
    <cfRule type="containsText" dxfId="537" priority="550" operator="containsText" text="Caida">
      <formula>NOT(ISERROR(SEARCH("Caida",Q281)))</formula>
    </cfRule>
  </conditionalFormatting>
  <conditionalFormatting sqref="Q5">
    <cfRule type="cellIs" dxfId="536" priority="547" operator="lessThan">
      <formula>0.8</formula>
    </cfRule>
    <cfRule type="cellIs" dxfId="535" priority="548" operator="greaterThan">
      <formula>0.8</formula>
    </cfRule>
  </conditionalFormatting>
  <conditionalFormatting sqref="Q5">
    <cfRule type="notContainsText" dxfId="534" priority="545" operator="notContains" text="Caida">
      <formula>ISERROR(SEARCH("Caida",Q5))</formula>
    </cfRule>
    <cfRule type="containsText" dxfId="533" priority="546" operator="containsText" text="Caida">
      <formula>NOT(ISERROR(SEARCH("Caida",Q5)))</formula>
    </cfRule>
  </conditionalFormatting>
  <conditionalFormatting sqref="Q231">
    <cfRule type="cellIs" dxfId="532" priority="543" operator="lessThan">
      <formula>0.8</formula>
    </cfRule>
    <cfRule type="cellIs" dxfId="531" priority="544" operator="greaterThan">
      <formula>0.8</formula>
    </cfRule>
  </conditionalFormatting>
  <conditionalFormatting sqref="Q231">
    <cfRule type="notContainsText" dxfId="530" priority="541" operator="notContains" text="Caida">
      <formula>ISERROR(SEARCH("Caida",Q231))</formula>
    </cfRule>
    <cfRule type="containsText" dxfId="529" priority="542" operator="containsText" text="Caida">
      <formula>NOT(ISERROR(SEARCH("Caida",Q231)))</formula>
    </cfRule>
  </conditionalFormatting>
  <conditionalFormatting sqref="Q232">
    <cfRule type="cellIs" dxfId="528" priority="539" operator="lessThan">
      <formula>0.8</formula>
    </cfRule>
    <cfRule type="cellIs" dxfId="527" priority="540" operator="greaterThan">
      <formula>0.8</formula>
    </cfRule>
  </conditionalFormatting>
  <conditionalFormatting sqref="Q232">
    <cfRule type="notContainsText" dxfId="526" priority="537" operator="notContains" text="Caida">
      <formula>ISERROR(SEARCH("Caida",Q232))</formula>
    </cfRule>
    <cfRule type="containsText" dxfId="525" priority="538" operator="containsText" text="Caida">
      <formula>NOT(ISERROR(SEARCH("Caida",Q232)))</formula>
    </cfRule>
  </conditionalFormatting>
  <conditionalFormatting sqref="Q233">
    <cfRule type="cellIs" dxfId="524" priority="535" operator="lessThan">
      <formula>0.8</formula>
    </cfRule>
    <cfRule type="cellIs" dxfId="523" priority="536" operator="greaterThan">
      <formula>0.8</formula>
    </cfRule>
  </conditionalFormatting>
  <conditionalFormatting sqref="Q233">
    <cfRule type="notContainsText" dxfId="522" priority="533" operator="notContains" text="Caida">
      <formula>ISERROR(SEARCH("Caida",Q233))</formula>
    </cfRule>
    <cfRule type="containsText" dxfId="521" priority="534" operator="containsText" text="Caida">
      <formula>NOT(ISERROR(SEARCH("Caida",Q233)))</formula>
    </cfRule>
  </conditionalFormatting>
  <conditionalFormatting sqref="Q234">
    <cfRule type="cellIs" dxfId="520" priority="531" operator="lessThan">
      <formula>0.8</formula>
    </cfRule>
    <cfRule type="cellIs" dxfId="519" priority="532" operator="greaterThan">
      <formula>0.8</formula>
    </cfRule>
  </conditionalFormatting>
  <conditionalFormatting sqref="Q234">
    <cfRule type="notContainsText" dxfId="518" priority="529" operator="notContains" text="Caida">
      <formula>ISERROR(SEARCH("Caida",Q234))</formula>
    </cfRule>
    <cfRule type="containsText" dxfId="517" priority="530" operator="containsText" text="Caida">
      <formula>NOT(ISERROR(SEARCH("Caida",Q234)))</formula>
    </cfRule>
  </conditionalFormatting>
  <conditionalFormatting sqref="Q235">
    <cfRule type="cellIs" dxfId="516" priority="527" operator="lessThan">
      <formula>0.8</formula>
    </cfRule>
    <cfRule type="cellIs" dxfId="515" priority="528" operator="greaterThan">
      <formula>0.8</formula>
    </cfRule>
  </conditionalFormatting>
  <conditionalFormatting sqref="Q235">
    <cfRule type="notContainsText" dxfId="514" priority="525" operator="notContains" text="Caida">
      <formula>ISERROR(SEARCH("Caida",Q235))</formula>
    </cfRule>
    <cfRule type="containsText" dxfId="513" priority="526" operator="containsText" text="Caida">
      <formula>NOT(ISERROR(SEARCH("Caida",Q235)))</formula>
    </cfRule>
  </conditionalFormatting>
  <conditionalFormatting sqref="Q333">
    <cfRule type="cellIs" dxfId="512" priority="523" operator="lessThan">
      <formula>0.8</formula>
    </cfRule>
    <cfRule type="cellIs" dxfId="511" priority="524" operator="greaterThan">
      <formula>0.8</formula>
    </cfRule>
  </conditionalFormatting>
  <conditionalFormatting sqref="Q333">
    <cfRule type="notContainsText" dxfId="510" priority="521" operator="notContains" text="Caida">
      <formula>ISERROR(SEARCH("Caida",Q333))</formula>
    </cfRule>
    <cfRule type="containsText" dxfId="509" priority="522" operator="containsText" text="Caida">
      <formula>NOT(ISERROR(SEARCH("Caida",Q333)))</formula>
    </cfRule>
  </conditionalFormatting>
  <conditionalFormatting sqref="R6:R92 R236:R279 R96:R230">
    <cfRule type="cellIs" dxfId="508" priority="515" operator="lessThan">
      <formula>0.8</formula>
    </cfRule>
    <cfRule type="cellIs" dxfId="507" priority="516" operator="greaterThan">
      <formula>0.8</formula>
    </cfRule>
  </conditionalFormatting>
  <conditionalFormatting sqref="R6:R92 R236:R279 R96:R230">
    <cfRule type="notContainsText" dxfId="506" priority="513" operator="notContains" text="Caida">
      <formula>ISERROR(SEARCH("Caida",R6))</formula>
    </cfRule>
    <cfRule type="containsText" dxfId="505" priority="514" operator="containsText" text="Caida">
      <formula>NOT(ISERROR(SEARCH("Caida",R6)))</formula>
    </cfRule>
  </conditionalFormatting>
  <conditionalFormatting sqref="R334">
    <cfRule type="cellIs" dxfId="504" priority="470" operator="lessThan">
      <formula>0.8</formula>
    </cfRule>
    <cfRule type="cellIs" dxfId="503" priority="471" operator="greaterThan">
      <formula>0.8</formula>
    </cfRule>
  </conditionalFormatting>
  <conditionalFormatting sqref="R334">
    <cfRule type="notContainsText" dxfId="502" priority="468" operator="notContains" text="Caida">
      <formula>ISERROR(SEARCH("Caida",R334))</formula>
    </cfRule>
    <cfRule type="containsText" dxfId="501" priority="469" operator="containsText" text="Caida">
      <formula>NOT(ISERROR(SEARCH("Caida",R334)))</formula>
    </cfRule>
  </conditionalFormatting>
  <conditionalFormatting sqref="R335:R364 R282:R332">
    <cfRule type="cellIs" dxfId="500" priority="511" operator="lessThan">
      <formula>0.8</formula>
    </cfRule>
    <cfRule type="cellIs" dxfId="499" priority="512" operator="greaterThan">
      <formula>0.8</formula>
    </cfRule>
  </conditionalFormatting>
  <conditionalFormatting sqref="R335:R364 R282:R332 R369:R1048576">
    <cfRule type="notContainsText" dxfId="498" priority="509" operator="notContains" text="Caida">
      <formula>ISERROR(SEARCH("Caida",R282))</formula>
    </cfRule>
    <cfRule type="containsText" dxfId="497" priority="510" operator="containsText" text="Caida">
      <formula>NOT(ISERROR(SEARCH("Caida",R282)))</formula>
    </cfRule>
  </conditionalFormatting>
  <conditionalFormatting sqref="R22">
    <cfRule type="containsText" dxfId="496" priority="508" operator="containsText" text="Instaladas en Funcionamiento Caida">
      <formula>NOT(ISERROR(SEARCH("Instaladas en Funcionamiento Caida",R22)))</formula>
    </cfRule>
  </conditionalFormatting>
  <conditionalFormatting sqref="R280">
    <cfRule type="cellIs" dxfId="495" priority="506" operator="lessThan">
      <formula>0.8</formula>
    </cfRule>
    <cfRule type="cellIs" dxfId="494" priority="507" operator="greaterThan">
      <formula>0.8</formula>
    </cfRule>
  </conditionalFormatting>
  <conditionalFormatting sqref="R280">
    <cfRule type="notContainsText" dxfId="493" priority="504" operator="notContains" text="Caida">
      <formula>ISERROR(SEARCH("Caida",R280))</formula>
    </cfRule>
    <cfRule type="containsText" dxfId="492" priority="505" operator="containsText" text="Caida">
      <formula>NOT(ISERROR(SEARCH("Caida",R280)))</formula>
    </cfRule>
  </conditionalFormatting>
  <conditionalFormatting sqref="R281">
    <cfRule type="cellIs" dxfId="491" priority="502" operator="lessThan">
      <formula>0.8</formula>
    </cfRule>
    <cfRule type="cellIs" dxfId="490" priority="503" operator="greaterThan">
      <formula>0.8</formula>
    </cfRule>
  </conditionalFormatting>
  <conditionalFormatting sqref="R281">
    <cfRule type="notContainsText" dxfId="489" priority="500" operator="notContains" text="Caida">
      <formula>ISERROR(SEARCH("Caida",R281))</formula>
    </cfRule>
    <cfRule type="containsText" dxfId="488" priority="501" operator="containsText" text="Caida">
      <formula>NOT(ISERROR(SEARCH("Caida",R281)))</formula>
    </cfRule>
  </conditionalFormatting>
  <conditionalFormatting sqref="R5">
    <cfRule type="cellIs" dxfId="487" priority="498" operator="lessThan">
      <formula>0.8</formula>
    </cfRule>
    <cfRule type="cellIs" dxfId="486" priority="499" operator="greaterThan">
      <formula>0.8</formula>
    </cfRule>
  </conditionalFormatting>
  <conditionalFormatting sqref="R5">
    <cfRule type="notContainsText" dxfId="485" priority="496" operator="notContains" text="Caida">
      <formula>ISERROR(SEARCH("Caida",R5))</formula>
    </cfRule>
    <cfRule type="containsText" dxfId="484" priority="497" operator="containsText" text="Caida">
      <formula>NOT(ISERROR(SEARCH("Caida",R5)))</formula>
    </cfRule>
  </conditionalFormatting>
  <conditionalFormatting sqref="R231">
    <cfRule type="cellIs" dxfId="483" priority="494" operator="lessThan">
      <formula>0.8</formula>
    </cfRule>
    <cfRule type="cellIs" dxfId="482" priority="495" operator="greaterThan">
      <formula>0.8</formula>
    </cfRule>
  </conditionalFormatting>
  <conditionalFormatting sqref="R231">
    <cfRule type="notContainsText" dxfId="481" priority="492" operator="notContains" text="Caida">
      <formula>ISERROR(SEARCH("Caida",R231))</formula>
    </cfRule>
    <cfRule type="containsText" dxfId="480" priority="493" operator="containsText" text="Caida">
      <formula>NOT(ISERROR(SEARCH("Caida",R231)))</formula>
    </cfRule>
  </conditionalFormatting>
  <conditionalFormatting sqref="R232">
    <cfRule type="cellIs" dxfId="479" priority="490" operator="lessThan">
      <formula>0.8</formula>
    </cfRule>
    <cfRule type="cellIs" dxfId="478" priority="491" operator="greaterThan">
      <formula>0.8</formula>
    </cfRule>
  </conditionalFormatting>
  <conditionalFormatting sqref="R232">
    <cfRule type="notContainsText" dxfId="477" priority="488" operator="notContains" text="Caida">
      <formula>ISERROR(SEARCH("Caida",R232))</formula>
    </cfRule>
    <cfRule type="containsText" dxfId="476" priority="489" operator="containsText" text="Caida">
      <formula>NOT(ISERROR(SEARCH("Caida",R232)))</formula>
    </cfRule>
  </conditionalFormatting>
  <conditionalFormatting sqref="R233">
    <cfRule type="cellIs" dxfId="475" priority="486" operator="lessThan">
      <formula>0.8</formula>
    </cfRule>
    <cfRule type="cellIs" dxfId="474" priority="487" operator="greaterThan">
      <formula>0.8</formula>
    </cfRule>
  </conditionalFormatting>
  <conditionalFormatting sqref="R233">
    <cfRule type="notContainsText" dxfId="473" priority="484" operator="notContains" text="Caida">
      <formula>ISERROR(SEARCH("Caida",R233))</formula>
    </cfRule>
    <cfRule type="containsText" dxfId="472" priority="485" operator="containsText" text="Caida">
      <formula>NOT(ISERROR(SEARCH("Caida",R233)))</formula>
    </cfRule>
  </conditionalFormatting>
  <conditionalFormatting sqref="R234">
    <cfRule type="cellIs" dxfId="471" priority="482" operator="lessThan">
      <formula>0.8</formula>
    </cfRule>
    <cfRule type="cellIs" dxfId="470" priority="483" operator="greaterThan">
      <formula>0.8</formula>
    </cfRule>
  </conditionalFormatting>
  <conditionalFormatting sqref="R234">
    <cfRule type="notContainsText" dxfId="469" priority="480" operator="notContains" text="Caida">
      <formula>ISERROR(SEARCH("Caida",R234))</formula>
    </cfRule>
    <cfRule type="containsText" dxfId="468" priority="481" operator="containsText" text="Caida">
      <formula>NOT(ISERROR(SEARCH("Caida",R234)))</formula>
    </cfRule>
  </conditionalFormatting>
  <conditionalFormatting sqref="R235">
    <cfRule type="cellIs" dxfId="467" priority="478" operator="lessThan">
      <formula>0.8</formula>
    </cfRule>
    <cfRule type="cellIs" dxfId="466" priority="479" operator="greaterThan">
      <formula>0.8</formula>
    </cfRule>
  </conditionalFormatting>
  <conditionalFormatting sqref="R235">
    <cfRule type="notContainsText" dxfId="465" priority="476" operator="notContains" text="Caida">
      <formula>ISERROR(SEARCH("Caida",R235))</formula>
    </cfRule>
    <cfRule type="containsText" dxfId="464" priority="477" operator="containsText" text="Caida">
      <formula>NOT(ISERROR(SEARCH("Caida",R235)))</formula>
    </cfRule>
  </conditionalFormatting>
  <conditionalFormatting sqref="R333">
    <cfRule type="cellIs" dxfId="463" priority="474" operator="lessThan">
      <formula>0.8</formula>
    </cfRule>
    <cfRule type="cellIs" dxfId="462" priority="475" operator="greaterThan">
      <formula>0.8</formula>
    </cfRule>
  </conditionalFormatting>
  <conditionalFormatting sqref="R333">
    <cfRule type="notContainsText" dxfId="461" priority="472" operator="notContains" text="Caida">
      <formula>ISERROR(SEARCH("Caida",R333))</formula>
    </cfRule>
    <cfRule type="containsText" dxfId="460" priority="473" operator="containsText" text="Caida">
      <formula>NOT(ISERROR(SEARCH("Caida",R333)))</formula>
    </cfRule>
  </conditionalFormatting>
  <conditionalFormatting sqref="AB93:AB94">
    <cfRule type="cellIs" dxfId="459" priority="451" operator="lessThan">
      <formula>0.8</formula>
    </cfRule>
    <cfRule type="cellIs" dxfId="458" priority="452" operator="greaterThan">
      <formula>0.8</formula>
    </cfRule>
  </conditionalFormatting>
  <conditionalFormatting sqref="AB93:AB94">
    <cfRule type="notContainsText" dxfId="457" priority="449" operator="notContains" text="Caida">
      <formula>ISERROR(SEARCH("Caida",AB93))</formula>
    </cfRule>
    <cfRule type="containsText" dxfId="456" priority="450" operator="containsText" text="Caida">
      <formula>NOT(ISERROR(SEARCH("Caida",AB93)))</formula>
    </cfRule>
  </conditionalFormatting>
  <conditionalFormatting sqref="Y93:Y94">
    <cfRule type="cellIs" dxfId="455" priority="463" operator="lessThan">
      <formula>0.8</formula>
    </cfRule>
    <cfRule type="cellIs" dxfId="454" priority="464" operator="greaterThan">
      <formula>0.8</formula>
    </cfRule>
  </conditionalFormatting>
  <conditionalFormatting sqref="Y93:Y94">
    <cfRule type="notContainsText" dxfId="453" priority="461" operator="notContains" text="Caida">
      <formula>ISERROR(SEARCH("Caida",Y93))</formula>
    </cfRule>
    <cfRule type="containsText" dxfId="452" priority="462" operator="containsText" text="Caida">
      <formula>NOT(ISERROR(SEARCH("Caida",Y93)))</formula>
    </cfRule>
  </conditionalFormatting>
  <conditionalFormatting sqref="Z93:Z94">
    <cfRule type="cellIs" dxfId="451" priority="459" operator="lessThan">
      <formula>0.8</formula>
    </cfRule>
    <cfRule type="cellIs" dxfId="450" priority="460" operator="greaterThan">
      <formula>0.8</formula>
    </cfRule>
  </conditionalFormatting>
  <conditionalFormatting sqref="Z93:Z94">
    <cfRule type="notContainsText" dxfId="449" priority="457" operator="notContains" text="Caida">
      <formula>ISERROR(SEARCH("Caida",Z93))</formula>
    </cfRule>
    <cfRule type="containsText" dxfId="448" priority="458" operator="containsText" text="Caida">
      <formula>NOT(ISERROR(SEARCH("Caida",Z93)))</formula>
    </cfRule>
  </conditionalFormatting>
  <conditionalFormatting sqref="AA93:AA94">
    <cfRule type="cellIs" dxfId="447" priority="455" operator="lessThan">
      <formula>0.8</formula>
    </cfRule>
    <cfRule type="cellIs" dxfId="446" priority="456" operator="greaterThan">
      <formula>0.8</formula>
    </cfRule>
  </conditionalFormatting>
  <conditionalFormatting sqref="AA93:AA94">
    <cfRule type="notContainsText" dxfId="445" priority="453" operator="notContains" text="Caida">
      <formula>ISERROR(SEARCH("Caida",AA93))</formula>
    </cfRule>
    <cfRule type="containsText" dxfId="444" priority="454" operator="containsText" text="Caida">
      <formula>NOT(ISERROR(SEARCH("Caida",AA93)))</formula>
    </cfRule>
  </conditionalFormatting>
  <conditionalFormatting sqref="AC93:AC94">
    <cfRule type="cellIs" dxfId="443" priority="447" operator="lessThan">
      <formula>0.8</formula>
    </cfRule>
    <cfRule type="cellIs" dxfId="442" priority="448" operator="greaterThan">
      <formula>0.8</formula>
    </cfRule>
  </conditionalFormatting>
  <conditionalFormatting sqref="AC93:AC94">
    <cfRule type="notContainsText" dxfId="441" priority="445" operator="notContains" text="Caida">
      <formula>ISERROR(SEARCH("Caida",AC93))</formula>
    </cfRule>
    <cfRule type="containsText" dxfId="440" priority="446" operator="containsText" text="Caida">
      <formula>NOT(ISERROR(SEARCH("Caida",AC93)))</formula>
    </cfRule>
  </conditionalFormatting>
  <conditionalFormatting sqref="AD93:AD94">
    <cfRule type="cellIs" dxfId="439" priority="443" operator="lessThan">
      <formula>0.8</formula>
    </cfRule>
    <cfRule type="cellIs" dxfId="438" priority="444" operator="greaterThan">
      <formula>0.8</formula>
    </cfRule>
  </conditionalFormatting>
  <conditionalFormatting sqref="AD93:AD94">
    <cfRule type="notContainsText" dxfId="437" priority="441" operator="notContains" text="Caida">
      <formula>ISERROR(SEARCH("Caida",AD93))</formula>
    </cfRule>
    <cfRule type="containsText" dxfId="436" priority="442" operator="containsText" text="Caida">
      <formula>NOT(ISERROR(SEARCH("Caida",AD93)))</formula>
    </cfRule>
  </conditionalFormatting>
  <conditionalFormatting sqref="D92:I93">
    <cfRule type="containsText" dxfId="435" priority="465" operator="containsText" text="Radio">
      <formula>NOT(ISERROR(SEARCH("Radio",D92)))</formula>
    </cfRule>
  </conditionalFormatting>
  <conditionalFormatting sqref="M93:M95">
    <cfRule type="cellIs" dxfId="434" priority="439" operator="lessThan">
      <formula>0.8</formula>
    </cfRule>
    <cfRule type="cellIs" dxfId="433" priority="440" operator="greaterThan">
      <formula>0.8</formula>
    </cfRule>
  </conditionalFormatting>
  <conditionalFormatting sqref="M93:M95">
    <cfRule type="notContainsText" dxfId="432" priority="437" operator="notContains" text="Caida">
      <formula>ISERROR(SEARCH("Caida",M93))</formula>
    </cfRule>
    <cfRule type="containsText" dxfId="431" priority="438" operator="containsText" text="Caida">
      <formula>NOT(ISERROR(SEARCH("Caida",M93)))</formula>
    </cfRule>
  </conditionalFormatting>
  <conditionalFormatting sqref="N93:N95">
    <cfRule type="cellIs" dxfId="430" priority="435" operator="lessThan">
      <formula>0.8</formula>
    </cfRule>
    <cfRule type="cellIs" dxfId="429" priority="436" operator="greaterThan">
      <formula>0.8</formula>
    </cfRule>
  </conditionalFormatting>
  <conditionalFormatting sqref="N93:N95">
    <cfRule type="notContainsText" dxfId="428" priority="433" operator="notContains" text="Caida">
      <formula>ISERROR(SEARCH("Caida",N93))</formula>
    </cfRule>
    <cfRule type="containsText" dxfId="427" priority="434" operator="containsText" text="Caida">
      <formula>NOT(ISERROR(SEARCH("Caida",N93)))</formula>
    </cfRule>
  </conditionalFormatting>
  <conditionalFormatting sqref="O93:O95">
    <cfRule type="cellIs" dxfId="426" priority="431" operator="lessThan">
      <formula>0.8</formula>
    </cfRule>
    <cfRule type="cellIs" dxfId="425" priority="432" operator="greaterThan">
      <formula>0.8</formula>
    </cfRule>
  </conditionalFormatting>
  <conditionalFormatting sqref="O93:O95">
    <cfRule type="notContainsText" dxfId="424" priority="429" operator="notContains" text="Caida">
      <formula>ISERROR(SEARCH("Caida",O93))</formula>
    </cfRule>
    <cfRule type="containsText" dxfId="423" priority="430" operator="containsText" text="Caida">
      <formula>NOT(ISERROR(SEARCH("Caida",O93)))</formula>
    </cfRule>
  </conditionalFormatting>
  <conditionalFormatting sqref="P93:P95">
    <cfRule type="cellIs" dxfId="422" priority="427" operator="lessThan">
      <formula>0.8</formula>
    </cfRule>
    <cfRule type="cellIs" dxfId="421" priority="428" operator="greaterThan">
      <formula>0.8</formula>
    </cfRule>
  </conditionalFormatting>
  <conditionalFormatting sqref="P93:P95">
    <cfRule type="notContainsText" dxfId="420" priority="425" operator="notContains" text="Caida">
      <formula>ISERROR(SEARCH("Caida",P93))</formula>
    </cfRule>
    <cfRule type="containsText" dxfId="419" priority="426" operator="containsText" text="Caida">
      <formula>NOT(ISERROR(SEARCH("Caida",P93)))</formula>
    </cfRule>
  </conditionalFormatting>
  <conditionalFormatting sqref="Q93:Q95">
    <cfRule type="cellIs" dxfId="418" priority="423" operator="lessThan">
      <formula>0.8</formula>
    </cfRule>
    <cfRule type="cellIs" dxfId="417" priority="424" operator="greaterThan">
      <formula>0.8</formula>
    </cfRule>
  </conditionalFormatting>
  <conditionalFormatting sqref="Q93:Q95">
    <cfRule type="notContainsText" dxfId="416" priority="421" operator="notContains" text="Caida">
      <formula>ISERROR(SEARCH("Caida",Q93))</formula>
    </cfRule>
    <cfRule type="containsText" dxfId="415" priority="422" operator="containsText" text="Caida">
      <formula>NOT(ISERROR(SEARCH("Caida",Q93)))</formula>
    </cfRule>
  </conditionalFormatting>
  <conditionalFormatting sqref="R93:R95">
    <cfRule type="cellIs" dxfId="414" priority="419" operator="lessThan">
      <formula>0.8</formula>
    </cfRule>
    <cfRule type="cellIs" dxfId="413" priority="420" operator="greaterThan">
      <formula>0.8</formula>
    </cfRule>
  </conditionalFormatting>
  <conditionalFormatting sqref="R93:R95">
    <cfRule type="notContainsText" dxfId="412" priority="417" operator="notContains" text="Caida">
      <formula>ISERROR(SEARCH("Caida",R93))</formula>
    </cfRule>
    <cfRule type="containsText" dxfId="411" priority="418" operator="containsText" text="Caida">
      <formula>NOT(ISERROR(SEARCH("Caida",R93)))</formula>
    </cfRule>
  </conditionalFormatting>
  <conditionalFormatting sqref="D363:I363">
    <cfRule type="containsText" dxfId="410" priority="414" operator="containsText" text="Radio">
      <formula>NOT(ISERROR(SEARCH("Radio",D363)))</formula>
    </cfRule>
  </conditionalFormatting>
  <conditionalFormatting sqref="Y364">
    <cfRule type="notContainsText" dxfId="409" priority="412" operator="notContains" text="Caida">
      <formula>ISERROR(SEARCH("Caida",Y364))</formula>
    </cfRule>
    <cfRule type="containsText" dxfId="408" priority="413" operator="containsText" text="Caida">
      <formula>NOT(ISERROR(SEARCH("Caida",Y364)))</formula>
    </cfRule>
  </conditionalFormatting>
  <conditionalFormatting sqref="Z364">
    <cfRule type="notContainsText" dxfId="407" priority="410" operator="notContains" text="Caida">
      <formula>ISERROR(SEARCH("Caida",Z364))</formula>
    </cfRule>
    <cfRule type="containsText" dxfId="406" priority="411" operator="containsText" text="Caida">
      <formula>NOT(ISERROR(SEARCH("Caida",Z364)))</formula>
    </cfRule>
  </conditionalFormatting>
  <conditionalFormatting sqref="AA364">
    <cfRule type="notContainsText" dxfId="405" priority="408" operator="notContains" text="Caida">
      <formula>ISERROR(SEARCH("Caida",AA364))</formula>
    </cfRule>
    <cfRule type="containsText" dxfId="404" priority="409" operator="containsText" text="Caida">
      <formula>NOT(ISERROR(SEARCH("Caida",AA364)))</formula>
    </cfRule>
  </conditionalFormatting>
  <conditionalFormatting sqref="AB364">
    <cfRule type="notContainsText" dxfId="403" priority="406" operator="notContains" text="Caida">
      <formula>ISERROR(SEARCH("Caida",AB364))</formula>
    </cfRule>
    <cfRule type="containsText" dxfId="402" priority="407" operator="containsText" text="Caida">
      <formula>NOT(ISERROR(SEARCH("Caida",AB364)))</formula>
    </cfRule>
  </conditionalFormatting>
  <conditionalFormatting sqref="AC364">
    <cfRule type="notContainsText" dxfId="401" priority="404" operator="notContains" text="Caida">
      <formula>ISERROR(SEARCH("Caida",AC364))</formula>
    </cfRule>
    <cfRule type="containsText" dxfId="400" priority="405" operator="containsText" text="Caida">
      <formula>NOT(ISERROR(SEARCH("Caida",AC364)))</formula>
    </cfRule>
  </conditionalFormatting>
  <conditionalFormatting sqref="AD364">
    <cfRule type="notContainsText" dxfId="399" priority="402" operator="notContains" text="Caida">
      <formula>ISERROR(SEARCH("Caida",AD364))</formula>
    </cfRule>
    <cfRule type="containsText" dxfId="398" priority="403" operator="containsText" text="Caida">
      <formula>NOT(ISERROR(SEARCH("Caida",AD364)))</formula>
    </cfRule>
  </conditionalFormatting>
  <conditionalFormatting sqref="M365">
    <cfRule type="cellIs" dxfId="397" priority="400" operator="lessThan">
      <formula>0.8</formula>
    </cfRule>
    <cfRule type="cellIs" dxfId="396" priority="401" operator="greaterThan">
      <formula>0.8</formula>
    </cfRule>
  </conditionalFormatting>
  <conditionalFormatting sqref="M365">
    <cfRule type="notContainsText" dxfId="395" priority="398" operator="notContains" text="Caida">
      <formula>ISERROR(SEARCH("Caida",M365))</formula>
    </cfRule>
    <cfRule type="containsText" dxfId="394" priority="399" operator="containsText" text="Caida">
      <formula>NOT(ISERROR(SEARCH("Caida",M365)))</formula>
    </cfRule>
  </conditionalFormatting>
  <conditionalFormatting sqref="N365">
    <cfRule type="cellIs" dxfId="393" priority="396" operator="lessThan">
      <formula>0.8</formula>
    </cfRule>
    <cfRule type="cellIs" dxfId="392" priority="397" operator="greaterThan">
      <formula>0.8</formula>
    </cfRule>
  </conditionalFormatting>
  <conditionalFormatting sqref="N365">
    <cfRule type="notContainsText" dxfId="391" priority="394" operator="notContains" text="Caida">
      <formula>ISERROR(SEARCH("Caida",N365))</formula>
    </cfRule>
    <cfRule type="containsText" dxfId="390" priority="395" operator="containsText" text="Caida">
      <formula>NOT(ISERROR(SEARCH("Caida",N365)))</formula>
    </cfRule>
  </conditionalFormatting>
  <conditionalFormatting sqref="O365">
    <cfRule type="cellIs" dxfId="389" priority="392" operator="lessThan">
      <formula>0.8</formula>
    </cfRule>
    <cfRule type="cellIs" dxfId="388" priority="393" operator="greaterThan">
      <formula>0.8</formula>
    </cfRule>
  </conditionalFormatting>
  <conditionalFormatting sqref="O365">
    <cfRule type="notContainsText" dxfId="387" priority="390" operator="notContains" text="Caida">
      <formula>ISERROR(SEARCH("Caida",O365))</formula>
    </cfRule>
    <cfRule type="containsText" dxfId="386" priority="391" operator="containsText" text="Caida">
      <formula>NOT(ISERROR(SEARCH("Caida",O365)))</formula>
    </cfRule>
  </conditionalFormatting>
  <conditionalFormatting sqref="P365">
    <cfRule type="cellIs" dxfId="385" priority="388" operator="lessThan">
      <formula>0.8</formula>
    </cfRule>
    <cfRule type="cellIs" dxfId="384" priority="389" operator="greaterThan">
      <formula>0.8</formula>
    </cfRule>
  </conditionalFormatting>
  <conditionalFormatting sqref="P365">
    <cfRule type="notContainsText" dxfId="383" priority="386" operator="notContains" text="Caida">
      <formula>ISERROR(SEARCH("Caida",P365))</formula>
    </cfRule>
    <cfRule type="containsText" dxfId="382" priority="387" operator="containsText" text="Caida">
      <formula>NOT(ISERROR(SEARCH("Caida",P365)))</formula>
    </cfRule>
  </conditionalFormatting>
  <conditionalFormatting sqref="Q365">
    <cfRule type="cellIs" dxfId="381" priority="384" operator="lessThan">
      <formula>0.8</formula>
    </cfRule>
    <cfRule type="cellIs" dxfId="380" priority="385" operator="greaterThan">
      <formula>0.8</formula>
    </cfRule>
  </conditionalFormatting>
  <conditionalFormatting sqref="Q365">
    <cfRule type="notContainsText" dxfId="379" priority="382" operator="notContains" text="Caida">
      <formula>ISERROR(SEARCH("Caida",Q365))</formula>
    </cfRule>
    <cfRule type="containsText" dxfId="378" priority="383" operator="containsText" text="Caida">
      <formula>NOT(ISERROR(SEARCH("Caida",Q365)))</formula>
    </cfRule>
  </conditionalFormatting>
  <conditionalFormatting sqref="R365">
    <cfRule type="cellIs" dxfId="377" priority="380" operator="lessThan">
      <formula>0.8</formula>
    </cfRule>
    <cfRule type="cellIs" dxfId="376" priority="381" operator="greaterThan">
      <formula>0.8</formula>
    </cfRule>
  </conditionalFormatting>
  <conditionalFormatting sqref="R365">
    <cfRule type="notContainsText" dxfId="375" priority="378" operator="notContains" text="Caida">
      <formula>ISERROR(SEARCH("Caida",R365))</formula>
    </cfRule>
    <cfRule type="containsText" dxfId="374" priority="379" operator="containsText" text="Caida">
      <formula>NOT(ISERROR(SEARCH("Caida",R365)))</formula>
    </cfRule>
  </conditionalFormatting>
  <conditionalFormatting sqref="D364:I364">
    <cfRule type="containsText" dxfId="373" priority="375" operator="containsText" text="Radio">
      <formula>NOT(ISERROR(SEARCH("Radio",D364)))</formula>
    </cfRule>
  </conditionalFormatting>
  <conditionalFormatting sqref="Y365">
    <cfRule type="notContainsText" dxfId="372" priority="373" operator="notContains" text="Caida">
      <formula>ISERROR(SEARCH("Caida",Y365))</formula>
    </cfRule>
    <cfRule type="containsText" dxfId="371" priority="374" operator="containsText" text="Caida">
      <formula>NOT(ISERROR(SEARCH("Caida",Y365)))</formula>
    </cfRule>
  </conditionalFormatting>
  <conditionalFormatting sqref="Z365">
    <cfRule type="notContainsText" dxfId="370" priority="371" operator="notContains" text="Caida">
      <formula>ISERROR(SEARCH("Caida",Z365))</formula>
    </cfRule>
    <cfRule type="containsText" dxfId="369" priority="372" operator="containsText" text="Caida">
      <formula>NOT(ISERROR(SEARCH("Caida",Z365)))</formula>
    </cfRule>
  </conditionalFormatting>
  <conditionalFormatting sqref="AA365">
    <cfRule type="notContainsText" dxfId="368" priority="369" operator="notContains" text="Caida">
      <formula>ISERROR(SEARCH("Caida",AA365))</formula>
    </cfRule>
    <cfRule type="containsText" dxfId="367" priority="370" operator="containsText" text="Caida">
      <formula>NOT(ISERROR(SEARCH("Caida",AA365)))</formula>
    </cfRule>
  </conditionalFormatting>
  <conditionalFormatting sqref="AB365">
    <cfRule type="notContainsText" dxfId="366" priority="367" operator="notContains" text="Caida">
      <formula>ISERROR(SEARCH("Caida",AB365))</formula>
    </cfRule>
    <cfRule type="containsText" dxfId="365" priority="368" operator="containsText" text="Caida">
      <formula>NOT(ISERROR(SEARCH("Caida",AB365)))</formula>
    </cfRule>
  </conditionalFormatting>
  <conditionalFormatting sqref="AC365">
    <cfRule type="notContainsText" dxfId="364" priority="365" operator="notContains" text="Caida">
      <formula>ISERROR(SEARCH("Caida",AC365))</formula>
    </cfRule>
    <cfRule type="containsText" dxfId="363" priority="366" operator="containsText" text="Caida">
      <formula>NOT(ISERROR(SEARCH("Caida",AC365)))</formula>
    </cfRule>
  </conditionalFormatting>
  <conditionalFormatting sqref="AD365">
    <cfRule type="notContainsText" dxfId="362" priority="363" operator="notContains" text="Caida">
      <formula>ISERROR(SEARCH("Caida",AD365))</formula>
    </cfRule>
    <cfRule type="containsText" dxfId="361" priority="364" operator="containsText" text="Caida">
      <formula>NOT(ISERROR(SEARCH("Caida",AD365)))</formula>
    </cfRule>
  </conditionalFormatting>
  <conditionalFormatting sqref="M366">
    <cfRule type="cellIs" dxfId="360" priority="361" operator="lessThan">
      <formula>0.8</formula>
    </cfRule>
    <cfRule type="cellIs" dxfId="359" priority="362" operator="greaterThan">
      <formula>0.8</formula>
    </cfRule>
  </conditionalFormatting>
  <conditionalFormatting sqref="M366">
    <cfRule type="notContainsText" dxfId="358" priority="359" operator="notContains" text="Caida">
      <formula>ISERROR(SEARCH("Caida",M366))</formula>
    </cfRule>
    <cfRule type="containsText" dxfId="357" priority="360" operator="containsText" text="Caida">
      <formula>NOT(ISERROR(SEARCH("Caida",M366)))</formula>
    </cfRule>
  </conditionalFormatting>
  <conditionalFormatting sqref="N366">
    <cfRule type="cellIs" dxfId="356" priority="357" operator="lessThan">
      <formula>0.8</formula>
    </cfRule>
    <cfRule type="cellIs" dxfId="355" priority="358" operator="greaterThan">
      <formula>0.8</formula>
    </cfRule>
  </conditionalFormatting>
  <conditionalFormatting sqref="N366">
    <cfRule type="notContainsText" dxfId="354" priority="355" operator="notContains" text="Caida">
      <formula>ISERROR(SEARCH("Caida",N366))</formula>
    </cfRule>
    <cfRule type="containsText" dxfId="353" priority="356" operator="containsText" text="Caida">
      <formula>NOT(ISERROR(SEARCH("Caida",N366)))</formula>
    </cfRule>
  </conditionalFormatting>
  <conditionalFormatting sqref="O366">
    <cfRule type="cellIs" dxfId="352" priority="353" operator="lessThan">
      <formula>0.8</formula>
    </cfRule>
    <cfRule type="cellIs" dxfId="351" priority="354" operator="greaterThan">
      <formula>0.8</formula>
    </cfRule>
  </conditionalFormatting>
  <conditionalFormatting sqref="O366">
    <cfRule type="notContainsText" dxfId="350" priority="351" operator="notContains" text="Caida">
      <formula>ISERROR(SEARCH("Caida",O366))</formula>
    </cfRule>
    <cfRule type="containsText" dxfId="349" priority="352" operator="containsText" text="Caida">
      <formula>NOT(ISERROR(SEARCH("Caida",O366)))</formula>
    </cfRule>
  </conditionalFormatting>
  <conditionalFormatting sqref="P366">
    <cfRule type="cellIs" dxfId="348" priority="349" operator="lessThan">
      <formula>0.8</formula>
    </cfRule>
    <cfRule type="cellIs" dxfId="347" priority="350" operator="greaterThan">
      <formula>0.8</formula>
    </cfRule>
  </conditionalFormatting>
  <conditionalFormatting sqref="P366">
    <cfRule type="notContainsText" dxfId="346" priority="347" operator="notContains" text="Caida">
      <formula>ISERROR(SEARCH("Caida",P366))</formula>
    </cfRule>
    <cfRule type="containsText" dxfId="345" priority="348" operator="containsText" text="Caida">
      <formula>NOT(ISERROR(SEARCH("Caida",P366)))</formula>
    </cfRule>
  </conditionalFormatting>
  <conditionalFormatting sqref="Q366">
    <cfRule type="cellIs" dxfId="344" priority="345" operator="lessThan">
      <formula>0.8</formula>
    </cfRule>
    <cfRule type="cellIs" dxfId="343" priority="346" operator="greaterThan">
      <formula>0.8</formula>
    </cfRule>
  </conditionalFormatting>
  <conditionalFormatting sqref="Q366">
    <cfRule type="notContainsText" dxfId="342" priority="343" operator="notContains" text="Caida">
      <formula>ISERROR(SEARCH("Caida",Q366))</formula>
    </cfRule>
    <cfRule type="containsText" dxfId="341" priority="344" operator="containsText" text="Caida">
      <formula>NOT(ISERROR(SEARCH("Caida",Q366)))</formula>
    </cfRule>
  </conditionalFormatting>
  <conditionalFormatting sqref="R366">
    <cfRule type="cellIs" dxfId="340" priority="341" operator="lessThan">
      <formula>0.8</formula>
    </cfRule>
    <cfRule type="cellIs" dxfId="339" priority="342" operator="greaterThan">
      <formula>0.8</formula>
    </cfRule>
  </conditionalFormatting>
  <conditionalFormatting sqref="R366">
    <cfRule type="notContainsText" dxfId="338" priority="339" operator="notContains" text="Caida">
      <formula>ISERROR(SEARCH("Caida",R366))</formula>
    </cfRule>
    <cfRule type="containsText" dxfId="337" priority="340" operator="containsText" text="Caida">
      <formula>NOT(ISERROR(SEARCH("Caida",R366)))</formula>
    </cfRule>
  </conditionalFormatting>
  <conditionalFormatting sqref="D365:I365">
    <cfRule type="containsText" dxfId="336" priority="336" operator="containsText" text="Radio">
      <formula>NOT(ISERROR(SEARCH("Radio",D365)))</formula>
    </cfRule>
  </conditionalFormatting>
  <conditionalFormatting sqref="Y366">
    <cfRule type="notContainsText" dxfId="335" priority="334" operator="notContains" text="Caida">
      <formula>ISERROR(SEARCH("Caida",Y366))</formula>
    </cfRule>
    <cfRule type="containsText" dxfId="334" priority="335" operator="containsText" text="Caida">
      <formula>NOT(ISERROR(SEARCH("Caida",Y366)))</formula>
    </cfRule>
  </conditionalFormatting>
  <conditionalFormatting sqref="Z366">
    <cfRule type="notContainsText" dxfId="333" priority="332" operator="notContains" text="Caida">
      <formula>ISERROR(SEARCH("Caida",Z366))</formula>
    </cfRule>
    <cfRule type="containsText" dxfId="332" priority="333" operator="containsText" text="Caida">
      <formula>NOT(ISERROR(SEARCH("Caida",Z366)))</formula>
    </cfRule>
  </conditionalFormatting>
  <conditionalFormatting sqref="AA366">
    <cfRule type="notContainsText" dxfId="331" priority="330" operator="notContains" text="Caida">
      <formula>ISERROR(SEARCH("Caida",AA366))</formula>
    </cfRule>
    <cfRule type="containsText" dxfId="330" priority="331" operator="containsText" text="Caida">
      <formula>NOT(ISERROR(SEARCH("Caida",AA366)))</formula>
    </cfRule>
  </conditionalFormatting>
  <conditionalFormatting sqref="AB366">
    <cfRule type="notContainsText" dxfId="329" priority="328" operator="notContains" text="Caida">
      <formula>ISERROR(SEARCH("Caida",AB366))</formula>
    </cfRule>
    <cfRule type="containsText" dxfId="328" priority="329" operator="containsText" text="Caida">
      <formula>NOT(ISERROR(SEARCH("Caida",AB366)))</formula>
    </cfRule>
  </conditionalFormatting>
  <conditionalFormatting sqref="AC366">
    <cfRule type="notContainsText" dxfId="327" priority="326" operator="notContains" text="Caida">
      <formula>ISERROR(SEARCH("Caida",AC366))</formula>
    </cfRule>
    <cfRule type="containsText" dxfId="326" priority="327" operator="containsText" text="Caida">
      <formula>NOT(ISERROR(SEARCH("Caida",AC366)))</formula>
    </cfRule>
  </conditionalFormatting>
  <conditionalFormatting sqref="AD366">
    <cfRule type="notContainsText" dxfId="325" priority="324" operator="notContains" text="Caida">
      <formula>ISERROR(SEARCH("Caida",AD366))</formula>
    </cfRule>
    <cfRule type="containsText" dxfId="324" priority="325" operator="containsText" text="Caida">
      <formula>NOT(ISERROR(SEARCH("Caida",AD366)))</formula>
    </cfRule>
  </conditionalFormatting>
  <conditionalFormatting sqref="M367">
    <cfRule type="cellIs" dxfId="323" priority="322" operator="lessThan">
      <formula>0.8</formula>
    </cfRule>
    <cfRule type="cellIs" dxfId="322" priority="323" operator="greaterThan">
      <formula>0.8</formula>
    </cfRule>
  </conditionalFormatting>
  <conditionalFormatting sqref="M367">
    <cfRule type="notContainsText" dxfId="321" priority="320" operator="notContains" text="Caida">
      <formula>ISERROR(SEARCH("Caida",M367))</formula>
    </cfRule>
    <cfRule type="containsText" dxfId="320" priority="321" operator="containsText" text="Caida">
      <formula>NOT(ISERROR(SEARCH("Caida",M367)))</formula>
    </cfRule>
  </conditionalFormatting>
  <conditionalFormatting sqref="N367">
    <cfRule type="cellIs" dxfId="319" priority="318" operator="lessThan">
      <formula>0.8</formula>
    </cfRule>
    <cfRule type="cellIs" dxfId="318" priority="319" operator="greaterThan">
      <formula>0.8</formula>
    </cfRule>
  </conditionalFormatting>
  <conditionalFormatting sqref="N367">
    <cfRule type="notContainsText" dxfId="317" priority="316" operator="notContains" text="Caida">
      <formula>ISERROR(SEARCH("Caida",N367))</formula>
    </cfRule>
    <cfRule type="containsText" dxfId="316" priority="317" operator="containsText" text="Caida">
      <formula>NOT(ISERROR(SEARCH("Caida",N367)))</formula>
    </cfRule>
  </conditionalFormatting>
  <conditionalFormatting sqref="O367">
    <cfRule type="cellIs" dxfId="315" priority="314" operator="lessThan">
      <formula>0.8</formula>
    </cfRule>
    <cfRule type="cellIs" dxfId="314" priority="315" operator="greaterThan">
      <formula>0.8</formula>
    </cfRule>
  </conditionalFormatting>
  <conditionalFormatting sqref="O367">
    <cfRule type="notContainsText" dxfId="313" priority="312" operator="notContains" text="Caida">
      <formula>ISERROR(SEARCH("Caida",O367))</formula>
    </cfRule>
    <cfRule type="containsText" dxfId="312" priority="313" operator="containsText" text="Caida">
      <formula>NOT(ISERROR(SEARCH("Caida",O367)))</formula>
    </cfRule>
  </conditionalFormatting>
  <conditionalFormatting sqref="P367">
    <cfRule type="cellIs" dxfId="311" priority="310" operator="lessThan">
      <formula>0.8</formula>
    </cfRule>
    <cfRule type="cellIs" dxfId="310" priority="311" operator="greaterThan">
      <formula>0.8</formula>
    </cfRule>
  </conditionalFormatting>
  <conditionalFormatting sqref="P367">
    <cfRule type="notContainsText" dxfId="309" priority="308" operator="notContains" text="Caida">
      <formula>ISERROR(SEARCH("Caida",P367))</formula>
    </cfRule>
    <cfRule type="containsText" dxfId="308" priority="309" operator="containsText" text="Caida">
      <formula>NOT(ISERROR(SEARCH("Caida",P367)))</formula>
    </cfRule>
  </conditionalFormatting>
  <conditionalFormatting sqref="Q367">
    <cfRule type="cellIs" dxfId="307" priority="306" operator="lessThan">
      <formula>0.8</formula>
    </cfRule>
    <cfRule type="cellIs" dxfId="306" priority="307" operator="greaterThan">
      <formula>0.8</formula>
    </cfRule>
  </conditionalFormatting>
  <conditionalFormatting sqref="Q367">
    <cfRule type="notContainsText" dxfId="305" priority="304" operator="notContains" text="Caida">
      <formula>ISERROR(SEARCH("Caida",Q367))</formula>
    </cfRule>
    <cfRule type="containsText" dxfId="304" priority="305" operator="containsText" text="Caida">
      <formula>NOT(ISERROR(SEARCH("Caida",Q367)))</formula>
    </cfRule>
  </conditionalFormatting>
  <conditionalFormatting sqref="R367">
    <cfRule type="cellIs" dxfId="303" priority="302" operator="lessThan">
      <formula>0.8</formula>
    </cfRule>
    <cfRule type="cellIs" dxfId="302" priority="303" operator="greaterThan">
      <formula>0.8</formula>
    </cfRule>
  </conditionalFormatting>
  <conditionalFormatting sqref="R367">
    <cfRule type="notContainsText" dxfId="301" priority="300" operator="notContains" text="Caida">
      <formula>ISERROR(SEARCH("Caida",R367))</formula>
    </cfRule>
    <cfRule type="containsText" dxfId="300" priority="301" operator="containsText" text="Caida">
      <formula>NOT(ISERROR(SEARCH("Caida",R367)))</formula>
    </cfRule>
  </conditionalFormatting>
  <conditionalFormatting sqref="D366:I366">
    <cfRule type="containsText" dxfId="299" priority="297" operator="containsText" text="Radio">
      <formula>NOT(ISERROR(SEARCH("Radio",D366)))</formula>
    </cfRule>
  </conditionalFormatting>
  <conditionalFormatting sqref="Y367">
    <cfRule type="notContainsText" dxfId="298" priority="295" operator="notContains" text="Caida">
      <formula>ISERROR(SEARCH("Caida",Y367))</formula>
    </cfRule>
    <cfRule type="containsText" dxfId="297" priority="296" operator="containsText" text="Caida">
      <formula>NOT(ISERROR(SEARCH("Caida",Y367)))</formula>
    </cfRule>
  </conditionalFormatting>
  <conditionalFormatting sqref="Z367">
    <cfRule type="notContainsText" dxfId="296" priority="293" operator="notContains" text="Caida">
      <formula>ISERROR(SEARCH("Caida",Z367))</formula>
    </cfRule>
    <cfRule type="containsText" dxfId="295" priority="294" operator="containsText" text="Caida">
      <formula>NOT(ISERROR(SEARCH("Caida",Z367)))</formula>
    </cfRule>
  </conditionalFormatting>
  <conditionalFormatting sqref="AA367">
    <cfRule type="notContainsText" dxfId="294" priority="291" operator="notContains" text="Caida">
      <formula>ISERROR(SEARCH("Caida",AA367))</formula>
    </cfRule>
    <cfRule type="containsText" dxfId="293" priority="292" operator="containsText" text="Caida">
      <formula>NOT(ISERROR(SEARCH("Caida",AA367)))</formula>
    </cfRule>
  </conditionalFormatting>
  <conditionalFormatting sqref="AB367">
    <cfRule type="notContainsText" dxfId="292" priority="289" operator="notContains" text="Caida">
      <formula>ISERROR(SEARCH("Caida",AB367))</formula>
    </cfRule>
    <cfRule type="containsText" dxfId="291" priority="290" operator="containsText" text="Caida">
      <formula>NOT(ISERROR(SEARCH("Caida",AB367)))</formula>
    </cfRule>
  </conditionalFormatting>
  <conditionalFormatting sqref="AC367">
    <cfRule type="notContainsText" dxfId="290" priority="287" operator="notContains" text="Caida">
      <formula>ISERROR(SEARCH("Caida",AC367))</formula>
    </cfRule>
    <cfRule type="containsText" dxfId="289" priority="288" operator="containsText" text="Caida">
      <formula>NOT(ISERROR(SEARCH("Caida",AC367)))</formula>
    </cfRule>
  </conditionalFormatting>
  <conditionalFormatting sqref="AD367">
    <cfRule type="notContainsText" dxfId="288" priority="285" operator="notContains" text="Caida">
      <formula>ISERROR(SEARCH("Caida",AD367))</formula>
    </cfRule>
    <cfRule type="containsText" dxfId="287" priority="286" operator="containsText" text="Caida">
      <formula>NOT(ISERROR(SEARCH("Caida",AD367)))</formula>
    </cfRule>
  </conditionalFormatting>
  <conditionalFormatting sqref="S231">
    <cfRule type="cellIs" dxfId="286" priority="238" operator="lessThan">
      <formula>0.8</formula>
    </cfRule>
    <cfRule type="cellIs" dxfId="285" priority="239" operator="greaterThan">
      <formula>0.8</formula>
    </cfRule>
  </conditionalFormatting>
  <conditionalFormatting sqref="S231">
    <cfRule type="notContainsText" dxfId="284" priority="236" operator="notContains" text="Caida">
      <formula>ISERROR(SEARCH("Caida",S231))</formula>
    </cfRule>
    <cfRule type="containsText" dxfId="283" priority="237" operator="containsText" text="Caida">
      <formula>NOT(ISERROR(SEARCH("Caida",S231)))</formula>
    </cfRule>
  </conditionalFormatting>
  <conditionalFormatting sqref="S232">
    <cfRule type="cellIs" dxfId="282" priority="234" operator="lessThan">
      <formula>0.8</formula>
    </cfRule>
    <cfRule type="cellIs" dxfId="281" priority="235" operator="greaterThan">
      <formula>0.8</formula>
    </cfRule>
  </conditionalFormatting>
  <conditionalFormatting sqref="S232">
    <cfRule type="notContainsText" dxfId="280" priority="232" operator="notContains" text="Caida">
      <formula>ISERROR(SEARCH("Caida",S232))</formula>
    </cfRule>
    <cfRule type="containsText" dxfId="279" priority="233" operator="containsText" text="Caida">
      <formula>NOT(ISERROR(SEARCH("Caida",S232)))</formula>
    </cfRule>
  </conditionalFormatting>
  <conditionalFormatting sqref="M368">
    <cfRule type="cellIs" dxfId="278" priority="283" operator="lessThan">
      <formula>0.8</formula>
    </cfRule>
    <cfRule type="cellIs" dxfId="277" priority="284" operator="greaterThan">
      <formula>0.8</formula>
    </cfRule>
  </conditionalFormatting>
  <conditionalFormatting sqref="M368">
    <cfRule type="notContainsText" dxfId="276" priority="281" operator="notContains" text="Caida">
      <formula>ISERROR(SEARCH("Caida",M368))</formula>
    </cfRule>
    <cfRule type="containsText" dxfId="275" priority="282" operator="containsText" text="Caida">
      <formula>NOT(ISERROR(SEARCH("Caida",M368)))</formula>
    </cfRule>
  </conditionalFormatting>
  <conditionalFormatting sqref="N368">
    <cfRule type="cellIs" dxfId="274" priority="279" operator="lessThan">
      <formula>0.8</formula>
    </cfRule>
    <cfRule type="cellIs" dxfId="273" priority="280" operator="greaterThan">
      <formula>0.8</formula>
    </cfRule>
  </conditionalFormatting>
  <conditionalFormatting sqref="N368">
    <cfRule type="notContainsText" dxfId="272" priority="277" operator="notContains" text="Caida">
      <formula>ISERROR(SEARCH("Caida",N368))</formula>
    </cfRule>
    <cfRule type="containsText" dxfId="271" priority="278" operator="containsText" text="Caida">
      <formula>NOT(ISERROR(SEARCH("Caida",N368)))</formula>
    </cfRule>
  </conditionalFormatting>
  <conditionalFormatting sqref="O368">
    <cfRule type="cellIs" dxfId="270" priority="275" operator="lessThan">
      <formula>0.8</formula>
    </cfRule>
    <cfRule type="cellIs" dxfId="269" priority="276" operator="greaterThan">
      <formula>0.8</formula>
    </cfRule>
  </conditionalFormatting>
  <conditionalFormatting sqref="O368">
    <cfRule type="notContainsText" dxfId="268" priority="273" operator="notContains" text="Caida">
      <formula>ISERROR(SEARCH("Caida",O368))</formula>
    </cfRule>
    <cfRule type="containsText" dxfId="267" priority="274" operator="containsText" text="Caida">
      <formula>NOT(ISERROR(SEARCH("Caida",O368)))</formula>
    </cfRule>
  </conditionalFormatting>
  <conditionalFormatting sqref="P368">
    <cfRule type="cellIs" dxfId="266" priority="271" operator="lessThan">
      <formula>0.8</formula>
    </cfRule>
    <cfRule type="cellIs" dxfId="265" priority="272" operator="greaterThan">
      <formula>0.8</formula>
    </cfRule>
  </conditionalFormatting>
  <conditionalFormatting sqref="P368">
    <cfRule type="notContainsText" dxfId="264" priority="269" operator="notContains" text="Caida">
      <formula>ISERROR(SEARCH("Caida",P368))</formula>
    </cfRule>
    <cfRule type="containsText" dxfId="263" priority="270" operator="containsText" text="Caida">
      <formula>NOT(ISERROR(SEARCH("Caida",P368)))</formula>
    </cfRule>
  </conditionalFormatting>
  <conditionalFormatting sqref="Q368">
    <cfRule type="cellIs" dxfId="262" priority="267" operator="lessThan">
      <formula>0.8</formula>
    </cfRule>
    <cfRule type="cellIs" dxfId="261" priority="268" operator="greaterThan">
      <formula>0.8</formula>
    </cfRule>
  </conditionalFormatting>
  <conditionalFormatting sqref="Q368">
    <cfRule type="notContainsText" dxfId="260" priority="265" operator="notContains" text="Caida">
      <formula>ISERROR(SEARCH("Caida",Q368))</formula>
    </cfRule>
    <cfRule type="containsText" dxfId="259" priority="266" operator="containsText" text="Caida">
      <formula>NOT(ISERROR(SEARCH("Caida",Q368)))</formula>
    </cfRule>
  </conditionalFormatting>
  <conditionalFormatting sqref="R368">
    <cfRule type="cellIs" dxfId="258" priority="263" operator="lessThan">
      <formula>0.8</formula>
    </cfRule>
    <cfRule type="cellIs" dxfId="257" priority="264" operator="greaterThan">
      <formula>0.8</formula>
    </cfRule>
  </conditionalFormatting>
  <conditionalFormatting sqref="R368">
    <cfRule type="notContainsText" dxfId="256" priority="261" operator="notContains" text="Caida">
      <formula>ISERROR(SEARCH("Caida",R368))</formula>
    </cfRule>
    <cfRule type="containsText" dxfId="255" priority="262" operator="containsText" text="Caida">
      <formula>NOT(ISERROR(SEARCH("Caida",R368)))</formula>
    </cfRule>
  </conditionalFormatting>
  <conditionalFormatting sqref="S366">
    <cfRule type="cellIs" dxfId="254" priority="202" operator="lessThan">
      <formula>0.8</formula>
    </cfRule>
    <cfRule type="cellIs" dxfId="253" priority="203" operator="greaterThan">
      <formula>0.8</formula>
    </cfRule>
  </conditionalFormatting>
  <conditionalFormatting sqref="S366">
    <cfRule type="notContainsText" dxfId="252" priority="200" operator="notContains" text="Caida">
      <formula>ISERROR(SEARCH("Caida",S366))</formula>
    </cfRule>
    <cfRule type="containsText" dxfId="251" priority="201" operator="containsText" text="Caida">
      <formula>NOT(ISERROR(SEARCH("Caida",S366)))</formula>
    </cfRule>
  </conditionalFormatting>
  <conditionalFormatting sqref="S367">
    <cfRule type="cellIs" dxfId="250" priority="198" operator="lessThan">
      <formula>0.8</formula>
    </cfRule>
    <cfRule type="cellIs" dxfId="249" priority="199" operator="greaterThan">
      <formula>0.8</formula>
    </cfRule>
  </conditionalFormatting>
  <conditionalFormatting sqref="S367">
    <cfRule type="notContainsText" dxfId="248" priority="196" operator="notContains" text="Caida">
      <formula>ISERROR(SEARCH("Caida",S367))</formula>
    </cfRule>
    <cfRule type="containsText" dxfId="247" priority="197" operator="containsText" text="Caida">
      <formula>NOT(ISERROR(SEARCH("Caida",S367)))</formula>
    </cfRule>
  </conditionalFormatting>
  <conditionalFormatting sqref="S368">
    <cfRule type="cellIs" dxfId="246" priority="194" operator="lessThan">
      <formula>0.8</formula>
    </cfRule>
    <cfRule type="cellIs" dxfId="245" priority="195" operator="greaterThan">
      <formula>0.8</formula>
    </cfRule>
  </conditionalFormatting>
  <conditionalFormatting sqref="S368">
    <cfRule type="notContainsText" dxfId="244" priority="192" operator="notContains" text="Caida">
      <formula>ISERROR(SEARCH("Caida",S368))</formula>
    </cfRule>
    <cfRule type="containsText" dxfId="243" priority="193" operator="containsText" text="Caida">
      <formula>NOT(ISERROR(SEARCH("Caida",S368)))</formula>
    </cfRule>
  </conditionalFormatting>
  <conditionalFormatting sqref="S236:S279 S6:S92 S96:S230">
    <cfRule type="cellIs" dxfId="242" priority="259" operator="lessThan">
      <formula>0.8</formula>
    </cfRule>
    <cfRule type="cellIs" dxfId="241" priority="260" operator="greaterThan">
      <formula>0.8</formula>
    </cfRule>
  </conditionalFormatting>
  <conditionalFormatting sqref="S236:S279 S6:S92 S96:S230">
    <cfRule type="notContainsText" dxfId="240" priority="257" operator="notContains" text="Caida">
      <formula>ISERROR(SEARCH("Caida",S6))</formula>
    </cfRule>
    <cfRule type="containsText" dxfId="239" priority="258" operator="containsText" text="Caida">
      <formula>NOT(ISERROR(SEARCH("Caida",S6)))</formula>
    </cfRule>
  </conditionalFormatting>
  <conditionalFormatting sqref="S334">
    <cfRule type="cellIs" dxfId="238" priority="214" operator="lessThan">
      <formula>0.8</formula>
    </cfRule>
    <cfRule type="cellIs" dxfId="237" priority="215" operator="greaterThan">
      <formula>0.8</formula>
    </cfRule>
  </conditionalFormatting>
  <conditionalFormatting sqref="S334">
    <cfRule type="notContainsText" dxfId="236" priority="212" operator="notContains" text="Caida">
      <formula>ISERROR(SEARCH("Caida",S334))</formula>
    </cfRule>
    <cfRule type="containsText" dxfId="235" priority="213" operator="containsText" text="Caida">
      <formula>NOT(ISERROR(SEARCH("Caida",S334)))</formula>
    </cfRule>
  </conditionalFormatting>
  <conditionalFormatting sqref="S335:S364 S282:S332">
    <cfRule type="cellIs" dxfId="234" priority="255" operator="lessThan">
      <formula>0.8</formula>
    </cfRule>
    <cfRule type="cellIs" dxfId="233" priority="256" operator="greaterThan">
      <formula>0.8</formula>
    </cfRule>
  </conditionalFormatting>
  <conditionalFormatting sqref="S335:S364 S282:S332 S369:S1048576">
    <cfRule type="notContainsText" dxfId="232" priority="253" operator="notContains" text="Caida">
      <formula>ISERROR(SEARCH("Caida",S282))</formula>
    </cfRule>
    <cfRule type="containsText" dxfId="231" priority="254" operator="containsText" text="Caida">
      <formula>NOT(ISERROR(SEARCH("Caida",S282)))</formula>
    </cfRule>
  </conditionalFormatting>
  <conditionalFormatting sqref="S22">
    <cfRule type="containsText" dxfId="230" priority="252" operator="containsText" text="Instaladas en Funcionamiento Caida">
      <formula>NOT(ISERROR(SEARCH("Instaladas en Funcionamiento Caida",S22)))</formula>
    </cfRule>
  </conditionalFormatting>
  <conditionalFormatting sqref="S280">
    <cfRule type="cellIs" dxfId="229" priority="250" operator="lessThan">
      <formula>0.8</formula>
    </cfRule>
    <cfRule type="cellIs" dxfId="228" priority="251" operator="greaterThan">
      <formula>0.8</formula>
    </cfRule>
  </conditionalFormatting>
  <conditionalFormatting sqref="S280">
    <cfRule type="notContainsText" dxfId="227" priority="248" operator="notContains" text="Caida">
      <formula>ISERROR(SEARCH("Caida",S280))</formula>
    </cfRule>
    <cfRule type="containsText" dxfId="226" priority="249" operator="containsText" text="Caida">
      <formula>NOT(ISERROR(SEARCH("Caida",S280)))</formula>
    </cfRule>
  </conditionalFormatting>
  <conditionalFormatting sqref="S281">
    <cfRule type="cellIs" dxfId="225" priority="246" operator="lessThan">
      <formula>0.8</formula>
    </cfRule>
    <cfRule type="cellIs" dxfId="224" priority="247" operator="greaterThan">
      <formula>0.8</formula>
    </cfRule>
  </conditionalFormatting>
  <conditionalFormatting sqref="S281">
    <cfRule type="notContainsText" dxfId="223" priority="244" operator="notContains" text="Caida">
      <formula>ISERROR(SEARCH("Caida",S281))</formula>
    </cfRule>
    <cfRule type="containsText" dxfId="222" priority="245" operator="containsText" text="Caida">
      <formula>NOT(ISERROR(SEARCH("Caida",S281)))</formula>
    </cfRule>
  </conditionalFormatting>
  <conditionalFormatting sqref="S5">
    <cfRule type="cellIs" dxfId="221" priority="242" operator="lessThan">
      <formula>0.8</formula>
    </cfRule>
    <cfRule type="cellIs" dxfId="220" priority="243" operator="greaterThan">
      <formula>0.8</formula>
    </cfRule>
  </conditionalFormatting>
  <conditionalFormatting sqref="S5">
    <cfRule type="notContainsText" dxfId="219" priority="240" operator="notContains" text="Caida">
      <formula>ISERROR(SEARCH("Caida",S5))</formula>
    </cfRule>
    <cfRule type="containsText" dxfId="218" priority="241" operator="containsText" text="Caida">
      <formula>NOT(ISERROR(SEARCH("Caida",S5)))</formula>
    </cfRule>
  </conditionalFormatting>
  <conditionalFormatting sqref="S233">
    <cfRule type="cellIs" dxfId="217" priority="230" operator="lessThan">
      <formula>0.8</formula>
    </cfRule>
    <cfRule type="cellIs" dxfId="216" priority="231" operator="greaterThan">
      <formula>0.8</formula>
    </cfRule>
  </conditionalFormatting>
  <conditionalFormatting sqref="S233">
    <cfRule type="notContainsText" dxfId="215" priority="228" operator="notContains" text="Caida">
      <formula>ISERROR(SEARCH("Caida",S233))</formula>
    </cfRule>
    <cfRule type="containsText" dxfId="214" priority="229" operator="containsText" text="Caida">
      <formula>NOT(ISERROR(SEARCH("Caida",S233)))</formula>
    </cfRule>
  </conditionalFormatting>
  <conditionalFormatting sqref="S234">
    <cfRule type="cellIs" dxfId="213" priority="226" operator="lessThan">
      <formula>0.8</formula>
    </cfRule>
    <cfRule type="cellIs" dxfId="212" priority="227" operator="greaterThan">
      <formula>0.8</formula>
    </cfRule>
  </conditionalFormatting>
  <conditionalFormatting sqref="S234">
    <cfRule type="notContainsText" dxfId="211" priority="224" operator="notContains" text="Caida">
      <formula>ISERROR(SEARCH("Caida",S234))</formula>
    </cfRule>
    <cfRule type="containsText" dxfId="210" priority="225" operator="containsText" text="Caida">
      <formula>NOT(ISERROR(SEARCH("Caida",S234)))</formula>
    </cfRule>
  </conditionalFormatting>
  <conditionalFormatting sqref="S235">
    <cfRule type="cellIs" dxfId="209" priority="222" operator="lessThan">
      <formula>0.8</formula>
    </cfRule>
    <cfRule type="cellIs" dxfId="208" priority="223" operator="greaterThan">
      <formula>0.8</formula>
    </cfRule>
  </conditionalFormatting>
  <conditionalFormatting sqref="S235">
    <cfRule type="notContainsText" dxfId="207" priority="220" operator="notContains" text="Caida">
      <formula>ISERROR(SEARCH("Caida",S235))</formula>
    </cfRule>
    <cfRule type="containsText" dxfId="206" priority="221" operator="containsText" text="Caida">
      <formula>NOT(ISERROR(SEARCH("Caida",S235)))</formula>
    </cfRule>
  </conditionalFormatting>
  <conditionalFormatting sqref="S333">
    <cfRule type="cellIs" dxfId="205" priority="218" operator="lessThan">
      <formula>0.8</formula>
    </cfRule>
    <cfRule type="cellIs" dxfId="204" priority="219" operator="greaterThan">
      <formula>0.8</formula>
    </cfRule>
  </conditionalFormatting>
  <conditionalFormatting sqref="S333">
    <cfRule type="notContainsText" dxfId="203" priority="216" operator="notContains" text="Caida">
      <formula>ISERROR(SEARCH("Caida",S333))</formula>
    </cfRule>
    <cfRule type="containsText" dxfId="202" priority="217" operator="containsText" text="Caida">
      <formula>NOT(ISERROR(SEARCH("Caida",S333)))</formula>
    </cfRule>
  </conditionalFormatting>
  <conditionalFormatting sqref="S93:S95">
    <cfRule type="cellIs" dxfId="201" priority="210" operator="lessThan">
      <formula>0.8</formula>
    </cfRule>
    <cfRule type="cellIs" dxfId="200" priority="211" operator="greaterThan">
      <formula>0.8</formula>
    </cfRule>
  </conditionalFormatting>
  <conditionalFormatting sqref="S93:S95">
    <cfRule type="notContainsText" dxfId="199" priority="208" operator="notContains" text="Caida">
      <formula>ISERROR(SEARCH("Caida",S93))</formula>
    </cfRule>
    <cfRule type="containsText" dxfId="198" priority="209" operator="containsText" text="Caida">
      <formula>NOT(ISERROR(SEARCH("Caida",S93)))</formula>
    </cfRule>
  </conditionalFormatting>
  <conditionalFormatting sqref="S365">
    <cfRule type="cellIs" dxfId="197" priority="206" operator="lessThan">
      <formula>0.8</formula>
    </cfRule>
    <cfRule type="cellIs" dxfId="196" priority="207" operator="greaterThan">
      <formula>0.8</formula>
    </cfRule>
  </conditionalFormatting>
  <conditionalFormatting sqref="S365">
    <cfRule type="notContainsText" dxfId="195" priority="204" operator="notContains" text="Caida">
      <formula>ISERROR(SEARCH("Caida",S365))</formula>
    </cfRule>
    <cfRule type="containsText" dxfId="194" priority="205" operator="containsText" text="Caida">
      <formula>NOT(ISERROR(SEARCH("Caida",S365)))</formula>
    </cfRule>
  </conditionalFormatting>
  <conditionalFormatting sqref="T6:V92">
    <cfRule type="cellIs" dxfId="193" priority="190" operator="lessThan">
      <formula>0.8</formula>
    </cfRule>
    <cfRule type="cellIs" dxfId="192" priority="191" operator="greaterThan">
      <formula>0.8</formula>
    </cfRule>
  </conditionalFormatting>
  <conditionalFormatting sqref="T6:V92">
    <cfRule type="notContainsText" dxfId="191" priority="188" operator="notContains" text="Caida">
      <formula>ISERROR(SEARCH("Caida",T6))</formula>
    </cfRule>
    <cfRule type="containsText" dxfId="190" priority="189" operator="containsText" text="Caida">
      <formula>NOT(ISERROR(SEARCH("Caida",T6)))</formula>
    </cfRule>
  </conditionalFormatting>
  <conditionalFormatting sqref="T22:V22">
    <cfRule type="containsText" dxfId="189" priority="187" operator="containsText" text="Instaladas en Funcionamiento Caida">
      <formula>NOT(ISERROR(SEARCH("Instaladas en Funcionamiento Caida",T22)))</formula>
    </cfRule>
  </conditionalFormatting>
  <conditionalFormatting sqref="T5:V5">
    <cfRule type="cellIs" dxfId="188" priority="185" operator="lessThan">
      <formula>0.8</formula>
    </cfRule>
    <cfRule type="cellIs" dxfId="187" priority="186" operator="greaterThan">
      <formula>0.8</formula>
    </cfRule>
  </conditionalFormatting>
  <conditionalFormatting sqref="T5:V5">
    <cfRule type="notContainsText" dxfId="186" priority="183" operator="notContains" text="Caida">
      <formula>ISERROR(SEARCH("Caida",T5))</formula>
    </cfRule>
    <cfRule type="containsText" dxfId="185" priority="184" operator="containsText" text="Caida">
      <formula>NOT(ISERROR(SEARCH("Caida",T5)))</formula>
    </cfRule>
  </conditionalFormatting>
  <conditionalFormatting sqref="T93:V94 T95:U95">
    <cfRule type="cellIs" dxfId="184" priority="181" operator="lessThan">
      <formula>0.8</formula>
    </cfRule>
    <cfRule type="cellIs" dxfId="183" priority="182" operator="greaterThan">
      <formula>0.8</formula>
    </cfRule>
  </conditionalFormatting>
  <conditionalFormatting sqref="T93:V94 T95:U95">
    <cfRule type="notContainsText" dxfId="182" priority="179" operator="notContains" text="Caida">
      <formula>ISERROR(SEARCH("Caida",T93))</formula>
    </cfRule>
    <cfRule type="containsText" dxfId="181" priority="180" operator="containsText" text="Caida">
      <formula>NOT(ISERROR(SEARCH("Caida",T93)))</formula>
    </cfRule>
  </conditionalFormatting>
  <conditionalFormatting sqref="X364">
    <cfRule type="cellIs" dxfId="180" priority="124" operator="lessThan">
      <formula>0.8</formula>
    </cfRule>
    <cfRule type="cellIs" dxfId="179" priority="125" operator="greaterThan">
      <formula>0.8</formula>
    </cfRule>
  </conditionalFormatting>
  <conditionalFormatting sqref="X364">
    <cfRule type="notContainsText" dxfId="178" priority="122" operator="notContains" text="Caida">
      <formula>ISERROR(SEARCH("Caida",X364))</formula>
    </cfRule>
    <cfRule type="containsText" dxfId="177" priority="123" operator="containsText" text="Caida">
      <formula>NOT(ISERROR(SEARCH("Caida",X364)))</formula>
    </cfRule>
  </conditionalFormatting>
  <conditionalFormatting sqref="X235:X278 X6:X92 X95:X229">
    <cfRule type="cellIs" dxfId="176" priority="177" operator="lessThan">
      <formula>0.8</formula>
    </cfRule>
    <cfRule type="cellIs" dxfId="175" priority="178" operator="greaterThan">
      <formula>0.8</formula>
    </cfRule>
  </conditionalFormatting>
  <conditionalFormatting sqref="X235:X278 X6:X92 X95:X229">
    <cfRule type="notContainsText" dxfId="174" priority="175" operator="notContains" text="Caida">
      <formula>ISERROR(SEARCH("Caida",X6))</formula>
    </cfRule>
    <cfRule type="containsText" dxfId="173" priority="176" operator="containsText" text="Caida">
      <formula>NOT(ISERROR(SEARCH("Caida",X6)))</formula>
    </cfRule>
  </conditionalFormatting>
  <conditionalFormatting sqref="X333">
    <cfRule type="cellIs" dxfId="172" priority="132" operator="lessThan">
      <formula>0.8</formula>
    </cfRule>
    <cfRule type="cellIs" dxfId="171" priority="133" operator="greaterThan">
      <formula>0.8</formula>
    </cfRule>
  </conditionalFormatting>
  <conditionalFormatting sqref="X333">
    <cfRule type="notContainsText" dxfId="170" priority="130" operator="notContains" text="Caida">
      <formula>ISERROR(SEARCH("Caida",X333))</formula>
    </cfRule>
    <cfRule type="containsText" dxfId="169" priority="131" operator="containsText" text="Caida">
      <formula>NOT(ISERROR(SEARCH("Caida",X333)))</formula>
    </cfRule>
  </conditionalFormatting>
  <conditionalFormatting sqref="X334:X363 X281:X331"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X334:X363 X281:X331 X368:X1048576">
    <cfRule type="notContainsText" dxfId="166" priority="171" operator="notContains" text="Caida">
      <formula>ISERROR(SEARCH("Caida",X281))</formula>
    </cfRule>
    <cfRule type="containsText" dxfId="165" priority="172" operator="containsText" text="Caida">
      <formula>NOT(ISERROR(SEARCH("Caida",X281)))</formula>
    </cfRule>
  </conditionalFormatting>
  <conditionalFormatting sqref="X22">
    <cfRule type="containsText" dxfId="164" priority="170" operator="containsText" text="Instaladas en Funcionamiento Caida">
      <formula>NOT(ISERROR(SEARCH("Instaladas en Funcionamiento Caida",X22)))</formula>
    </cfRule>
  </conditionalFormatting>
  <conditionalFormatting sqref="X279">
    <cfRule type="cellIs" dxfId="163" priority="168" operator="lessThan">
      <formula>0.8</formula>
    </cfRule>
    <cfRule type="cellIs" dxfId="162" priority="169" operator="greaterThan">
      <formula>0.8</formula>
    </cfRule>
  </conditionalFormatting>
  <conditionalFormatting sqref="X279">
    <cfRule type="notContainsText" dxfId="161" priority="166" operator="notContains" text="Caida">
      <formula>ISERROR(SEARCH("Caida",X279))</formula>
    </cfRule>
    <cfRule type="containsText" dxfId="160" priority="167" operator="containsText" text="Caida">
      <formula>NOT(ISERROR(SEARCH("Caida",X279)))</formula>
    </cfRule>
  </conditionalFormatting>
  <conditionalFormatting sqref="X280">
    <cfRule type="cellIs" dxfId="159" priority="164" operator="lessThan">
      <formula>0.8</formula>
    </cfRule>
    <cfRule type="cellIs" dxfId="158" priority="165" operator="greaterThan">
      <formula>0.8</formula>
    </cfRule>
  </conditionalFormatting>
  <conditionalFormatting sqref="X280">
    <cfRule type="notContainsText" dxfId="157" priority="162" operator="notContains" text="Caida">
      <formula>ISERROR(SEARCH("Caida",X280))</formula>
    </cfRule>
    <cfRule type="containsText" dxfId="156" priority="163" operator="containsText" text="Caida">
      <formula>NOT(ISERROR(SEARCH("Caida",X280)))</formula>
    </cfRule>
  </conditionalFormatting>
  <conditionalFormatting sqref="X5">
    <cfRule type="cellIs" dxfId="155" priority="160" operator="lessThan">
      <formula>0.8</formula>
    </cfRule>
    <cfRule type="cellIs" dxfId="154" priority="161" operator="greaterThan">
      <formula>0.8</formula>
    </cfRule>
  </conditionalFormatting>
  <conditionalFormatting sqref="X5">
    <cfRule type="notContainsText" dxfId="153" priority="158" operator="notContains" text="Caida">
      <formula>ISERROR(SEARCH("Caida",X5))</formula>
    </cfRule>
    <cfRule type="containsText" dxfId="152" priority="159" operator="containsText" text="Caida">
      <formula>NOT(ISERROR(SEARCH("Caida",X5)))</formula>
    </cfRule>
  </conditionalFormatting>
  <conditionalFormatting sqref="X230">
    <cfRule type="cellIs" dxfId="151" priority="156" operator="lessThan">
      <formula>0.8</formula>
    </cfRule>
    <cfRule type="cellIs" dxfId="150" priority="157" operator="greaterThan">
      <formula>0.8</formula>
    </cfRule>
  </conditionalFormatting>
  <conditionalFormatting sqref="X230">
    <cfRule type="notContainsText" dxfId="149" priority="154" operator="notContains" text="Caida">
      <formula>ISERROR(SEARCH("Caida",X230))</formula>
    </cfRule>
    <cfRule type="containsText" dxfId="148" priority="155" operator="containsText" text="Caida">
      <formula>NOT(ISERROR(SEARCH("Caida",X230)))</formula>
    </cfRule>
  </conditionalFormatting>
  <conditionalFormatting sqref="X231">
    <cfRule type="cellIs" dxfId="147" priority="152" operator="lessThan">
      <formula>0.8</formula>
    </cfRule>
    <cfRule type="cellIs" dxfId="146" priority="153" operator="greaterThan">
      <formula>0.8</formula>
    </cfRule>
  </conditionalFormatting>
  <conditionalFormatting sqref="X231">
    <cfRule type="notContainsText" dxfId="145" priority="150" operator="notContains" text="Caida">
      <formula>ISERROR(SEARCH("Caida",X231))</formula>
    </cfRule>
    <cfRule type="containsText" dxfId="144" priority="151" operator="containsText" text="Caida">
      <formula>NOT(ISERROR(SEARCH("Caida",X231)))</formula>
    </cfRule>
  </conditionalFormatting>
  <conditionalFormatting sqref="X232">
    <cfRule type="cellIs" dxfId="143" priority="148" operator="lessThan">
      <formula>0.8</formula>
    </cfRule>
    <cfRule type="cellIs" dxfId="142" priority="149" operator="greaterThan">
      <formula>0.8</formula>
    </cfRule>
  </conditionalFormatting>
  <conditionalFormatting sqref="X232">
    <cfRule type="notContainsText" dxfId="141" priority="146" operator="notContains" text="Caida">
      <formula>ISERROR(SEARCH("Caida",X232))</formula>
    </cfRule>
    <cfRule type="containsText" dxfId="140" priority="147" operator="containsText" text="Caida">
      <formula>NOT(ISERROR(SEARCH("Caida",X232)))</formula>
    </cfRule>
  </conditionalFormatting>
  <conditionalFormatting sqref="X233">
    <cfRule type="cellIs" dxfId="139" priority="144" operator="lessThan">
      <formula>0.8</formula>
    </cfRule>
    <cfRule type="cellIs" dxfId="138" priority="145" operator="greaterThan">
      <formula>0.8</formula>
    </cfRule>
  </conditionalFormatting>
  <conditionalFormatting sqref="X233">
    <cfRule type="notContainsText" dxfId="137" priority="142" operator="notContains" text="Caida">
      <formula>ISERROR(SEARCH("Caida",X233))</formula>
    </cfRule>
    <cfRule type="containsText" dxfId="136" priority="143" operator="containsText" text="Caida">
      <formula>NOT(ISERROR(SEARCH("Caida",X233)))</formula>
    </cfRule>
  </conditionalFormatting>
  <conditionalFormatting sqref="X234">
    <cfRule type="cellIs" dxfId="135" priority="140" operator="lessThan">
      <formula>0.8</formula>
    </cfRule>
    <cfRule type="cellIs" dxfId="134" priority="141" operator="greaterThan">
      <formula>0.8</formula>
    </cfRule>
  </conditionalFormatting>
  <conditionalFormatting sqref="X234">
    <cfRule type="notContainsText" dxfId="133" priority="138" operator="notContains" text="Caida">
      <formula>ISERROR(SEARCH("Caida",X234))</formula>
    </cfRule>
    <cfRule type="containsText" dxfId="132" priority="139" operator="containsText" text="Caida">
      <formula>NOT(ISERROR(SEARCH("Caida",X234)))</formula>
    </cfRule>
  </conditionalFormatting>
  <conditionalFormatting sqref="X332">
    <cfRule type="cellIs" dxfId="131" priority="136" operator="lessThan">
      <formula>0.8</formula>
    </cfRule>
    <cfRule type="cellIs" dxfId="130" priority="137" operator="greaterThan">
      <formula>0.8</formula>
    </cfRule>
  </conditionalFormatting>
  <conditionalFormatting sqref="X332">
    <cfRule type="notContainsText" dxfId="129" priority="134" operator="notContains" text="Caida">
      <formula>ISERROR(SEARCH("Caida",X332))</formula>
    </cfRule>
    <cfRule type="containsText" dxfId="128" priority="135" operator="containsText" text="Caida">
      <formula>NOT(ISERROR(SEARCH("Caida",X332)))</formula>
    </cfRule>
  </conditionalFormatting>
  <conditionalFormatting sqref="X93:X94">
    <cfRule type="cellIs" dxfId="127" priority="128" operator="lessThan">
      <formula>0.8</formula>
    </cfRule>
    <cfRule type="cellIs" dxfId="126" priority="129" operator="greaterThan">
      <formula>0.8</formula>
    </cfRule>
  </conditionalFormatting>
  <conditionalFormatting sqref="X93:X94">
    <cfRule type="notContainsText" dxfId="125" priority="126" operator="notContains" text="Caida">
      <formula>ISERROR(SEARCH("Caida",X93))</formula>
    </cfRule>
    <cfRule type="containsText" dxfId="124" priority="127" operator="containsText" text="Caida">
      <formula>NOT(ISERROR(SEARCH("Caida",X93)))</formula>
    </cfRule>
  </conditionalFormatting>
  <conditionalFormatting sqref="X365">
    <cfRule type="cellIs" dxfId="123" priority="120" operator="lessThan">
      <formula>0.8</formula>
    </cfRule>
    <cfRule type="cellIs" dxfId="122" priority="121" operator="greaterThan">
      <formula>0.8</formula>
    </cfRule>
  </conditionalFormatting>
  <conditionalFormatting sqref="X365">
    <cfRule type="notContainsText" dxfId="121" priority="118" operator="notContains" text="Caida">
      <formula>ISERROR(SEARCH("Caida",X365))</formula>
    </cfRule>
    <cfRule type="containsText" dxfId="120" priority="119" operator="containsText" text="Caida">
      <formula>NOT(ISERROR(SEARCH("Caida",X365)))</formula>
    </cfRule>
  </conditionalFormatting>
  <conditionalFormatting sqref="X366">
    <cfRule type="cellIs" dxfId="119" priority="116" operator="lessThan">
      <formula>0.8</formula>
    </cfRule>
    <cfRule type="cellIs" dxfId="118" priority="117" operator="greaterThan">
      <formula>0.8</formula>
    </cfRule>
  </conditionalFormatting>
  <conditionalFormatting sqref="X366">
    <cfRule type="notContainsText" dxfId="117" priority="114" operator="notContains" text="Caida">
      <formula>ISERROR(SEARCH("Caida",X366))</formula>
    </cfRule>
    <cfRule type="containsText" dxfId="116" priority="115" operator="containsText" text="Caida">
      <formula>NOT(ISERROR(SEARCH("Caida",X366)))</formula>
    </cfRule>
  </conditionalFormatting>
  <conditionalFormatting sqref="X367">
    <cfRule type="cellIs" dxfId="115" priority="112" operator="lessThan">
      <formula>0.8</formula>
    </cfRule>
    <cfRule type="cellIs" dxfId="114" priority="113" operator="greaterThan">
      <formula>0.8</formula>
    </cfRule>
  </conditionalFormatting>
  <conditionalFormatting sqref="X367">
    <cfRule type="notContainsText" dxfId="113" priority="110" operator="notContains" text="Caida">
      <formula>ISERROR(SEARCH("Caida",X367))</formula>
    </cfRule>
    <cfRule type="containsText" dxfId="112" priority="111" operator="containsText" text="Caida">
      <formula>NOT(ISERROR(SEARCH("Caida",X367)))</formula>
    </cfRule>
  </conditionalFormatting>
  <conditionalFormatting sqref="W364">
    <cfRule type="cellIs" dxfId="111" priority="55" operator="lessThan">
      <formula>0.8</formula>
    </cfRule>
    <cfRule type="cellIs" dxfId="110" priority="56" operator="greaterThan">
      <formula>0.8</formula>
    </cfRule>
  </conditionalFormatting>
  <conditionalFormatting sqref="W364">
    <cfRule type="notContainsText" dxfId="109" priority="53" operator="notContains" text="Caida">
      <formula>ISERROR(SEARCH("Caida",W364))</formula>
    </cfRule>
    <cfRule type="containsText" dxfId="108" priority="54" operator="containsText" text="Caida">
      <formula>NOT(ISERROR(SEARCH("Caida",W364)))</formula>
    </cfRule>
  </conditionalFormatting>
  <conditionalFormatting sqref="W235:W278 W6:W92 W95:W229">
    <cfRule type="cellIs" dxfId="107" priority="108" operator="lessThan">
      <formula>0.8</formula>
    </cfRule>
    <cfRule type="cellIs" dxfId="106" priority="109" operator="greaterThan">
      <formula>0.8</formula>
    </cfRule>
  </conditionalFormatting>
  <conditionalFormatting sqref="W235:W278 W6:W92 W95:W229">
    <cfRule type="notContainsText" dxfId="105" priority="106" operator="notContains" text="Caida">
      <formula>ISERROR(SEARCH("Caida",W6))</formula>
    </cfRule>
    <cfRule type="containsText" dxfId="104" priority="107" operator="containsText" text="Caida">
      <formula>NOT(ISERROR(SEARCH("Caida",W6)))</formula>
    </cfRule>
  </conditionalFormatting>
  <conditionalFormatting sqref="W333">
    <cfRule type="cellIs" dxfId="103" priority="63" operator="lessThan">
      <formula>0.8</formula>
    </cfRule>
    <cfRule type="cellIs" dxfId="102" priority="64" operator="greaterThan">
      <formula>0.8</formula>
    </cfRule>
  </conditionalFormatting>
  <conditionalFormatting sqref="W333">
    <cfRule type="notContainsText" dxfId="101" priority="61" operator="notContains" text="Caida">
      <formula>ISERROR(SEARCH("Caida",W333))</formula>
    </cfRule>
    <cfRule type="containsText" dxfId="100" priority="62" operator="containsText" text="Caida">
      <formula>NOT(ISERROR(SEARCH("Caida",W333)))</formula>
    </cfRule>
  </conditionalFormatting>
  <conditionalFormatting sqref="W334:W363 W281:W331">
    <cfRule type="cellIs" dxfId="99" priority="104" operator="lessThan">
      <formula>0.8</formula>
    </cfRule>
    <cfRule type="cellIs" dxfId="98" priority="105" operator="greaterThan">
      <formula>0.8</formula>
    </cfRule>
  </conditionalFormatting>
  <conditionalFormatting sqref="W334:W363 W281:W331 W368:W1048576">
    <cfRule type="notContainsText" dxfId="97" priority="102" operator="notContains" text="Caida">
      <formula>ISERROR(SEARCH("Caida",W281))</formula>
    </cfRule>
    <cfRule type="containsText" dxfId="96" priority="103" operator="containsText" text="Caida">
      <formula>NOT(ISERROR(SEARCH("Caida",W281)))</formula>
    </cfRule>
  </conditionalFormatting>
  <conditionalFormatting sqref="W22">
    <cfRule type="containsText" dxfId="95" priority="101" operator="containsText" text="Instaladas en Funcionamiento Caida">
      <formula>NOT(ISERROR(SEARCH("Instaladas en Funcionamiento Caida",W22)))</formula>
    </cfRule>
  </conditionalFormatting>
  <conditionalFormatting sqref="W279">
    <cfRule type="cellIs" dxfId="94" priority="99" operator="lessThan">
      <formula>0.8</formula>
    </cfRule>
    <cfRule type="cellIs" dxfId="93" priority="100" operator="greaterThan">
      <formula>0.8</formula>
    </cfRule>
  </conditionalFormatting>
  <conditionalFormatting sqref="W279">
    <cfRule type="notContainsText" dxfId="92" priority="97" operator="notContains" text="Caida">
      <formula>ISERROR(SEARCH("Caida",W279))</formula>
    </cfRule>
    <cfRule type="containsText" dxfId="91" priority="98" operator="containsText" text="Caida">
      <formula>NOT(ISERROR(SEARCH("Caida",W279)))</formula>
    </cfRule>
  </conditionalFormatting>
  <conditionalFormatting sqref="W280">
    <cfRule type="cellIs" dxfId="90" priority="95" operator="lessThan">
      <formula>0.8</formula>
    </cfRule>
    <cfRule type="cellIs" dxfId="89" priority="96" operator="greaterThan">
      <formula>0.8</formula>
    </cfRule>
  </conditionalFormatting>
  <conditionalFormatting sqref="W280">
    <cfRule type="notContainsText" dxfId="88" priority="93" operator="notContains" text="Caida">
      <formula>ISERROR(SEARCH("Caida",W280))</formula>
    </cfRule>
    <cfRule type="containsText" dxfId="87" priority="94" operator="containsText" text="Caida">
      <formula>NOT(ISERROR(SEARCH("Caida",W280)))</formula>
    </cfRule>
  </conditionalFormatting>
  <conditionalFormatting sqref="W5">
    <cfRule type="cellIs" dxfId="86" priority="91" operator="lessThan">
      <formula>0.8</formula>
    </cfRule>
    <cfRule type="cellIs" dxfId="85" priority="92" operator="greaterThan">
      <formula>0.8</formula>
    </cfRule>
  </conditionalFormatting>
  <conditionalFormatting sqref="W5">
    <cfRule type="notContainsText" dxfId="84" priority="89" operator="notContains" text="Caida">
      <formula>ISERROR(SEARCH("Caida",W5))</formula>
    </cfRule>
    <cfRule type="containsText" dxfId="83" priority="90" operator="containsText" text="Caida">
      <formula>NOT(ISERROR(SEARCH("Caida",W5)))</formula>
    </cfRule>
  </conditionalFormatting>
  <conditionalFormatting sqref="W230">
    <cfRule type="cellIs" dxfId="82" priority="87" operator="lessThan">
      <formula>0.8</formula>
    </cfRule>
    <cfRule type="cellIs" dxfId="81" priority="88" operator="greaterThan">
      <formula>0.8</formula>
    </cfRule>
  </conditionalFormatting>
  <conditionalFormatting sqref="W230">
    <cfRule type="notContainsText" dxfId="80" priority="85" operator="notContains" text="Caida">
      <formula>ISERROR(SEARCH("Caida",W230))</formula>
    </cfRule>
    <cfRule type="containsText" dxfId="79" priority="86" operator="containsText" text="Caida">
      <formula>NOT(ISERROR(SEARCH("Caida",W230)))</formula>
    </cfRule>
  </conditionalFormatting>
  <conditionalFormatting sqref="W231">
    <cfRule type="cellIs" dxfId="78" priority="83" operator="lessThan">
      <formula>0.8</formula>
    </cfRule>
    <cfRule type="cellIs" dxfId="77" priority="84" operator="greaterThan">
      <formula>0.8</formula>
    </cfRule>
  </conditionalFormatting>
  <conditionalFormatting sqref="W231">
    <cfRule type="notContainsText" dxfId="76" priority="81" operator="notContains" text="Caida">
      <formula>ISERROR(SEARCH("Caida",W231))</formula>
    </cfRule>
    <cfRule type="containsText" dxfId="75" priority="82" operator="containsText" text="Caida">
      <formula>NOT(ISERROR(SEARCH("Caida",W231)))</formula>
    </cfRule>
  </conditionalFormatting>
  <conditionalFormatting sqref="W232">
    <cfRule type="cellIs" dxfId="74" priority="79" operator="lessThan">
      <formula>0.8</formula>
    </cfRule>
    <cfRule type="cellIs" dxfId="73" priority="80" operator="greaterThan">
      <formula>0.8</formula>
    </cfRule>
  </conditionalFormatting>
  <conditionalFormatting sqref="W232">
    <cfRule type="notContainsText" dxfId="72" priority="77" operator="notContains" text="Caida">
      <formula>ISERROR(SEARCH("Caida",W232))</formula>
    </cfRule>
    <cfRule type="containsText" dxfId="71" priority="78" operator="containsText" text="Caida">
      <formula>NOT(ISERROR(SEARCH("Caida",W232)))</formula>
    </cfRule>
  </conditionalFormatting>
  <conditionalFormatting sqref="W233">
    <cfRule type="cellIs" dxfId="70" priority="75" operator="lessThan">
      <formula>0.8</formula>
    </cfRule>
    <cfRule type="cellIs" dxfId="69" priority="76" operator="greaterThan">
      <formula>0.8</formula>
    </cfRule>
  </conditionalFormatting>
  <conditionalFormatting sqref="W233">
    <cfRule type="notContainsText" dxfId="68" priority="73" operator="notContains" text="Caida">
      <formula>ISERROR(SEARCH("Caida",W233))</formula>
    </cfRule>
    <cfRule type="containsText" dxfId="67" priority="74" operator="containsText" text="Caida">
      <formula>NOT(ISERROR(SEARCH("Caida",W233)))</formula>
    </cfRule>
  </conditionalFormatting>
  <conditionalFormatting sqref="W234">
    <cfRule type="cellIs" dxfId="66" priority="71" operator="lessThan">
      <formula>0.8</formula>
    </cfRule>
    <cfRule type="cellIs" dxfId="65" priority="72" operator="greaterThan">
      <formula>0.8</formula>
    </cfRule>
  </conditionalFormatting>
  <conditionalFormatting sqref="W234">
    <cfRule type="notContainsText" dxfId="64" priority="69" operator="notContains" text="Caida">
      <formula>ISERROR(SEARCH("Caida",W234))</formula>
    </cfRule>
    <cfRule type="containsText" dxfId="63" priority="70" operator="containsText" text="Caida">
      <formula>NOT(ISERROR(SEARCH("Caida",W234)))</formula>
    </cfRule>
  </conditionalFormatting>
  <conditionalFormatting sqref="W332">
    <cfRule type="cellIs" dxfId="62" priority="67" operator="lessThan">
      <formula>0.8</formula>
    </cfRule>
    <cfRule type="cellIs" dxfId="61" priority="68" operator="greaterThan">
      <formula>0.8</formula>
    </cfRule>
  </conditionalFormatting>
  <conditionalFormatting sqref="W332">
    <cfRule type="notContainsText" dxfId="60" priority="65" operator="notContains" text="Caida">
      <formula>ISERROR(SEARCH("Caida",W332))</formula>
    </cfRule>
    <cfRule type="containsText" dxfId="59" priority="66" operator="containsText" text="Caida">
      <formula>NOT(ISERROR(SEARCH("Caida",W332)))</formula>
    </cfRule>
  </conditionalFormatting>
  <conditionalFormatting sqref="W93:W94">
    <cfRule type="cellIs" dxfId="58" priority="59" operator="lessThan">
      <formula>0.8</formula>
    </cfRule>
    <cfRule type="cellIs" dxfId="57" priority="60" operator="greaterThan">
      <formula>0.8</formula>
    </cfRule>
  </conditionalFormatting>
  <conditionalFormatting sqref="W93:W94">
    <cfRule type="notContainsText" dxfId="56" priority="57" operator="notContains" text="Caida">
      <formula>ISERROR(SEARCH("Caida",W93))</formula>
    </cfRule>
    <cfRule type="containsText" dxfId="55" priority="58" operator="containsText" text="Caida">
      <formula>NOT(ISERROR(SEARCH("Caida",W93)))</formula>
    </cfRule>
  </conditionalFormatting>
  <conditionalFormatting sqref="W365">
    <cfRule type="cellIs" dxfId="54" priority="51" operator="lessThan">
      <formula>0.8</formula>
    </cfRule>
    <cfRule type="cellIs" dxfId="53" priority="52" operator="greaterThan">
      <formula>0.8</formula>
    </cfRule>
  </conditionalFormatting>
  <conditionalFormatting sqref="W365">
    <cfRule type="notContainsText" dxfId="52" priority="49" operator="notContains" text="Caida">
      <formula>ISERROR(SEARCH("Caida",W365))</formula>
    </cfRule>
    <cfRule type="containsText" dxfId="51" priority="50" operator="containsText" text="Caida">
      <formula>NOT(ISERROR(SEARCH("Caida",W365)))</formula>
    </cfRule>
  </conditionalFormatting>
  <conditionalFormatting sqref="W366">
    <cfRule type="cellIs" dxfId="50" priority="47" operator="lessThan">
      <formula>0.8</formula>
    </cfRule>
    <cfRule type="cellIs" dxfId="49" priority="48" operator="greaterThan">
      <formula>0.8</formula>
    </cfRule>
  </conditionalFormatting>
  <conditionalFormatting sqref="W366">
    <cfRule type="notContainsText" dxfId="48" priority="45" operator="notContains" text="Caida">
      <formula>ISERROR(SEARCH("Caida",W366))</formula>
    </cfRule>
    <cfRule type="containsText" dxfId="47" priority="46" operator="containsText" text="Caida">
      <formula>NOT(ISERROR(SEARCH("Caida",W366)))</formula>
    </cfRule>
  </conditionalFormatting>
  <conditionalFormatting sqref="W367">
    <cfRule type="cellIs" dxfId="46" priority="43" operator="lessThan">
      <formula>0.8</formula>
    </cfRule>
    <cfRule type="cellIs" dxfId="45" priority="44" operator="greaterThan">
      <formula>0.8</formula>
    </cfRule>
  </conditionalFormatting>
  <conditionalFormatting sqref="W367">
    <cfRule type="notContainsText" dxfId="44" priority="41" operator="notContains" text="Caida">
      <formula>ISERROR(SEARCH("Caida",W367))</formula>
    </cfRule>
    <cfRule type="containsText" dxfId="43" priority="42" operator="containsText" text="Caida">
      <formula>NOT(ISERROR(SEARCH("Caida",W367)))</formula>
    </cfRule>
  </conditionalFormatting>
  <conditionalFormatting sqref="D1:D1048576">
    <cfRule type="containsText" dxfId="42" priority="39" operator="containsText" text="fija">
      <formula>NOT(ISERROR(SEARCH("fija",D1)))</formula>
    </cfRule>
    <cfRule type="containsText" dxfId="41" priority="40" operator="containsText" text="domo">
      <formula>NOT(ISERROR(SEARCH("domo",D1)))</formula>
    </cfRule>
  </conditionalFormatting>
  <conditionalFormatting sqref="AE95:AG367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AE95:AG1048576">
    <cfRule type="notContainsText" dxfId="38" priority="35" operator="notContains" text="Caida">
      <formula>ISERROR(SEARCH("Caida",AE95))</formula>
    </cfRule>
    <cfRule type="containsText" dxfId="37" priority="36" operator="containsText" text="Caida">
      <formula>NOT(ISERROR(SEARCH("Caida",AE95)))</formula>
    </cfRule>
  </conditionalFormatting>
  <conditionalFormatting sqref="AE6:AG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AE6:AG92">
    <cfRule type="notContainsText" dxfId="34" priority="31" operator="notContains" text="Caida">
      <formula>ISERROR(SEARCH("Caida",AE6))</formula>
    </cfRule>
    <cfRule type="containsText" dxfId="33" priority="32" operator="containsText" text="Caida">
      <formula>NOT(ISERROR(SEARCH("Caida",AE6)))</formula>
    </cfRule>
  </conditionalFormatting>
  <conditionalFormatting sqref="AE22:AG22">
    <cfRule type="containsText" dxfId="32" priority="30" operator="containsText" text="Instaladas en Funcionamiento Caida">
      <formula>NOT(ISERROR(SEARCH("Instaladas en Funcionamiento Caida",AE22)))</formula>
    </cfRule>
  </conditionalFormatting>
  <conditionalFormatting sqref="AE5:AG5">
    <cfRule type="cellIs" dxfId="31" priority="28" operator="lessThan">
      <formula>0.8</formula>
    </cfRule>
    <cfRule type="cellIs" dxfId="30" priority="29" operator="greaterThan">
      <formula>0.8</formula>
    </cfRule>
  </conditionalFormatting>
  <conditionalFormatting sqref="AE5:AG5">
    <cfRule type="notContainsText" dxfId="29" priority="26" operator="notContains" text="Caida">
      <formula>ISERROR(SEARCH("Caida",AE5))</formula>
    </cfRule>
    <cfRule type="containsText" dxfId="28" priority="27" operator="containsText" text="Caida">
      <formula>NOT(ISERROR(SEARCH("Caida",AE5)))</formula>
    </cfRule>
  </conditionalFormatting>
  <conditionalFormatting sqref="AE93:AG94">
    <cfRule type="cellIs" dxfId="27" priority="24" operator="lessThan">
      <formula>0.8</formula>
    </cfRule>
    <cfRule type="cellIs" dxfId="26" priority="25" operator="greaterThan">
      <formula>0.8</formula>
    </cfRule>
  </conditionalFormatting>
  <conditionalFormatting sqref="AE93:AG94">
    <cfRule type="notContainsText" dxfId="25" priority="22" operator="notContains" text="Caida">
      <formula>ISERROR(SEARCH("Caida",AE93))</formula>
    </cfRule>
    <cfRule type="containsText" dxfId="24" priority="23" operator="containsText" text="Caida">
      <formula>NOT(ISERROR(SEARCH("Caida",AE93)))</formula>
    </cfRule>
  </conditionalFormatting>
  <conditionalFormatting sqref="AG1 AG5:AG1048576">
    <cfRule type="cellIs" dxfId="23" priority="1" operator="equal">
      <formula>"APAGADO"</formula>
    </cfRule>
    <cfRule type="cellIs" dxfId="22" priority="21" operator="equal">
      <formula>"APAGADO"</formula>
    </cfRule>
  </conditionalFormatting>
  <conditionalFormatting sqref="AH95:AN367">
    <cfRule type="cellIs" dxfId="21" priority="19" operator="lessThan">
      <formula>0.8</formula>
    </cfRule>
    <cfRule type="cellIs" dxfId="20" priority="20" operator="greaterThan">
      <formula>0.8</formula>
    </cfRule>
  </conditionalFormatting>
  <conditionalFormatting sqref="AH95:AN1048576">
    <cfRule type="notContainsText" dxfId="19" priority="17" operator="notContains" text="Caida">
      <formula>ISERROR(SEARCH("Caida",AH95))</formula>
    </cfRule>
    <cfRule type="containsText" dxfId="18" priority="18" operator="containsText" text="Caida">
      <formula>NOT(ISERROR(SEARCH("Caida",AH95)))</formula>
    </cfRule>
  </conditionalFormatting>
  <conditionalFormatting sqref="AH6:AN92">
    <cfRule type="cellIs" dxfId="17" priority="15" operator="lessThan">
      <formula>0.8</formula>
    </cfRule>
    <cfRule type="cellIs" dxfId="16" priority="16" operator="greaterThan">
      <formula>0.8</formula>
    </cfRule>
  </conditionalFormatting>
  <conditionalFormatting sqref="AH6:AN92">
    <cfRule type="notContainsText" dxfId="15" priority="13" operator="notContains" text="Caida">
      <formula>ISERROR(SEARCH("Caida",AH6))</formula>
    </cfRule>
    <cfRule type="containsText" dxfId="14" priority="14" operator="containsText" text="Caida">
      <formula>NOT(ISERROR(SEARCH("Caida",AH6)))</formula>
    </cfRule>
  </conditionalFormatting>
  <conditionalFormatting sqref="AH22:AN22">
    <cfRule type="containsText" dxfId="13" priority="12" operator="containsText" text="Instaladas en Funcionamiento Caida">
      <formula>NOT(ISERROR(SEARCH("Instaladas en Funcionamiento Caida",AH22)))</formula>
    </cfRule>
  </conditionalFormatting>
  <conditionalFormatting sqref="AH5:AN5">
    <cfRule type="cellIs" dxfId="12" priority="10" operator="lessThan">
      <formula>0.8</formula>
    </cfRule>
    <cfRule type="cellIs" dxfId="11" priority="11" operator="greaterThan">
      <formula>0.8</formula>
    </cfRule>
  </conditionalFormatting>
  <conditionalFormatting sqref="AH5:AN5">
    <cfRule type="notContainsText" dxfId="10" priority="8" operator="notContains" text="Caida">
      <formula>ISERROR(SEARCH("Caida",AH5))</formula>
    </cfRule>
    <cfRule type="containsText" dxfId="9" priority="9" operator="containsText" text="Caida">
      <formula>NOT(ISERROR(SEARCH("Caida",AH5)))</formula>
    </cfRule>
  </conditionalFormatting>
  <conditionalFormatting sqref="AH93:AN94">
    <cfRule type="cellIs" dxfId="8" priority="6" operator="lessThan">
      <formula>0.8</formula>
    </cfRule>
    <cfRule type="cellIs" dxfId="7" priority="7" operator="greaterThan">
      <formula>0.8</formula>
    </cfRule>
  </conditionalFormatting>
  <conditionalFormatting sqref="AH93:AN94">
    <cfRule type="notContainsText" dxfId="6" priority="4" operator="notContains" text="Caida">
      <formula>ISERROR(SEARCH("Caida",AH93))</formula>
    </cfRule>
    <cfRule type="containsText" dxfId="5" priority="5" operator="containsText" text="Caida">
      <formula>NOT(ISERROR(SEARCH("Caida",AH93)))</formula>
    </cfRule>
  </conditionalFormatting>
  <conditionalFormatting sqref="AH1:AN1 AH5:AN1048576">
    <cfRule type="cellIs" dxfId="4" priority="3" operator="equal">
      <formula>"APAGADO"</formula>
    </cfRule>
  </conditionalFormatting>
  <conditionalFormatting sqref="AG249">
    <cfRule type="cellIs" dxfId="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>
        <f>'RESUMEN TOTAL'!P5</f>
        <v>0</v>
      </c>
      <c r="J2">
        <f>'RESUMEN TOTAL'!Q5</f>
        <v>0</v>
      </c>
      <c r="K2">
        <f>'RESUMEN TOTAL'!R5</f>
        <v>0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>
        <f>'RESUMEN TOTAL'!P7</f>
        <v>0</v>
      </c>
      <c r="J4">
        <f>'RESUMEN TOTAL'!Q7</f>
        <v>0</v>
      </c>
      <c r="K4">
        <f>'RESUMEN TOTAL'!R7</f>
        <v>0</v>
      </c>
      <c r="L4">
        <f>'RESUMEN TOTAL'!S7</f>
        <v>0</v>
      </c>
      <c r="M4">
        <f>'RESUMEN TOTAL'!T7</f>
        <v>0</v>
      </c>
      <c r="N4">
        <f>'RESUMEN TOTAL'!U7</f>
        <v>0</v>
      </c>
      <c r="O4">
        <f>'RESUMEN TOTAL'!V7</f>
        <v>0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>
        <f>'RESUMEN TOTAL'!P8</f>
        <v>0</v>
      </c>
      <c r="J5">
        <f>'RESUMEN TOTAL'!Q8</f>
        <v>0</v>
      </c>
      <c r="K5">
        <f>'RESUMEN TOTAL'!R8</f>
        <v>0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>
        <f>'RESUMEN TOTAL'!P10</f>
        <v>0</v>
      </c>
      <c r="J7">
        <f>'RESUMEN TOTAL'!Q10</f>
        <v>0</v>
      </c>
      <c r="K7">
        <f>'RESUMEN TOTAL'!R10</f>
        <v>0</v>
      </c>
      <c r="L7">
        <f>'RESUMEN TOTAL'!S10</f>
        <v>0</v>
      </c>
      <c r="M7">
        <f>'RESUMEN TOTAL'!T10</f>
        <v>0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>
        <f>'RESUMEN TOTAL'!P13</f>
        <v>0</v>
      </c>
      <c r="J10">
        <f>'RESUMEN TOTAL'!Q13</f>
        <v>0</v>
      </c>
      <c r="K10">
        <f>'RESUMEN TOTAL'!R13</f>
        <v>0</v>
      </c>
      <c r="L10">
        <f>'RESUMEN TOTAL'!S13</f>
        <v>0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>
        <f>'RESUMEN TOTAL'!P14</f>
        <v>0</v>
      </c>
      <c r="J11">
        <f>'RESUMEN TOTAL'!Q14</f>
        <v>0</v>
      </c>
      <c r="K11">
        <f>'RESUMEN TOTAL'!R14</f>
        <v>0</v>
      </c>
      <c r="L11">
        <f>'RESUMEN TOTAL'!S14</f>
        <v>0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>
        <f>'RESUMEN TOTAL'!P17</f>
        <v>0</v>
      </c>
      <c r="J14">
        <f>'RESUMEN TOTAL'!Q17</f>
        <v>0</v>
      </c>
      <c r="K14">
        <f>'RESUMEN TOTAL'!R17</f>
        <v>0</v>
      </c>
      <c r="L14">
        <f>'RESUMEN TOTAL'!S17</f>
        <v>0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>
        <f>'RESUMEN TOTAL'!P18</f>
        <v>0</v>
      </c>
      <c r="J15">
        <f>'RESUMEN TOTAL'!Q18</f>
        <v>0</v>
      </c>
      <c r="K15">
        <f>'RESUMEN TOTAL'!R18</f>
        <v>0</v>
      </c>
      <c r="L15">
        <f>'RESUMEN TOTAL'!S18</f>
        <v>0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>
        <f>'RESUMEN TOTAL'!U19</f>
        <v>0</v>
      </c>
      <c r="O16">
        <f>'RESUMEN TOTAL'!V19</f>
        <v>0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>
        <f>'RESUMEN TOTAL'!V24</f>
        <v>0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>
        <f>'RESUMEN TOTAL'!P57</f>
        <v>0</v>
      </c>
      <c r="J54">
        <f>'RESUMEN TOTAL'!Q57</f>
        <v>0</v>
      </c>
      <c r="K54">
        <f>'RESUMEN TOTAL'!R57</f>
        <v>0</v>
      </c>
      <c r="L54">
        <f>'RESUMEN TOTAL'!S57</f>
        <v>0</v>
      </c>
      <c r="M54">
        <f>'RESUMEN TOTAL'!T57</f>
        <v>0</v>
      </c>
      <c r="N54">
        <f>'RESUMEN TOTAL'!U57</f>
        <v>0</v>
      </c>
      <c r="O54">
        <f>'RESUMEN TOTAL'!V57</f>
        <v>0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>
        <f>'RESUMEN TOTAL'!P60</f>
        <v>0</v>
      </c>
      <c r="J57">
        <f>'RESUMEN TOTAL'!Q60</f>
        <v>0</v>
      </c>
      <c r="K57">
        <f>'RESUMEN TOTAL'!R60</f>
        <v>0</v>
      </c>
      <c r="L57">
        <f>'RESUMEN TOTAL'!S60</f>
        <v>0</v>
      </c>
      <c r="M57">
        <f>'RESUMEN TOTAL'!T60</f>
        <v>0</v>
      </c>
      <c r="N57">
        <f>'RESUMEN TOTAL'!U60</f>
        <v>0</v>
      </c>
      <c r="O57">
        <f>'RESUMEN TOTAL'!V60</f>
        <v>0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>
        <f>'RESUMEN TOTAL'!P63</f>
        <v>0</v>
      </c>
      <c r="J60">
        <f>'RESUMEN TOTAL'!Q63</f>
        <v>0</v>
      </c>
      <c r="K60">
        <f>'RESUMEN TOTAL'!R63</f>
        <v>0</v>
      </c>
      <c r="L60">
        <f>'RESUMEN TOTAL'!S63</f>
        <v>0</v>
      </c>
      <c r="M60">
        <f>'RESUMEN TOTAL'!T63</f>
        <v>0</v>
      </c>
      <c r="N60">
        <f>'RESUMEN TOTAL'!U63</f>
        <v>0</v>
      </c>
      <c r="O60">
        <f>'RESUMEN TOTAL'!V63</f>
        <v>0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>
        <f>'RESUMEN TOTAL'!P65</f>
        <v>0</v>
      </c>
      <c r="J62">
        <f>'RESUMEN TOTAL'!Q65</f>
        <v>0</v>
      </c>
      <c r="K62">
        <f>'RESUMEN TOTAL'!R65</f>
        <v>0</v>
      </c>
      <c r="L62">
        <f>'RESUMEN TOTAL'!S65</f>
        <v>0</v>
      </c>
      <c r="M62">
        <f>'RESUMEN TOTAL'!T65</f>
        <v>0</v>
      </c>
      <c r="N62">
        <f>'RESUMEN TOTAL'!U65</f>
        <v>0</v>
      </c>
      <c r="O62">
        <f>'RESUMEN TOTAL'!V65</f>
        <v>0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>
        <f>'RESUMEN TOTAL'!P68</f>
        <v>0</v>
      </c>
      <c r="J65">
        <f>'RESUMEN TOTAL'!Q68</f>
        <v>0</v>
      </c>
      <c r="K65">
        <f>'RESUMEN TOTAL'!R68</f>
        <v>0</v>
      </c>
      <c r="L65">
        <f>'RESUMEN TOTAL'!S68</f>
        <v>0</v>
      </c>
      <c r="M65">
        <f>'RESUMEN TOTAL'!T68</f>
        <v>0</v>
      </c>
      <c r="N65">
        <f>'RESUMEN TOTAL'!U68</f>
        <v>0</v>
      </c>
      <c r="O65">
        <f>'RESUMEN TOTAL'!V68</f>
        <v>0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>
        <f>'RESUMEN TOTAL'!P80</f>
        <v>0</v>
      </c>
      <c r="J77">
        <f>'RESUMEN TOTAL'!Q80</f>
        <v>0</v>
      </c>
      <c r="K77">
        <f>'RESUMEN TOTAL'!R80</f>
        <v>0</v>
      </c>
      <c r="L77">
        <f>'RESUMEN TOTAL'!S80</f>
        <v>0</v>
      </c>
      <c r="M77">
        <f>'RESUMEN TOTAL'!T80</f>
        <v>0</v>
      </c>
      <c r="N77">
        <f>'RESUMEN TOTAL'!U80</f>
        <v>0</v>
      </c>
      <c r="O77">
        <f>'RESUMEN TOTAL'!V80</f>
        <v>0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>
        <f>'RESUMEN TOTAL'!P88</f>
        <v>0</v>
      </c>
      <c r="J85">
        <f>'RESUMEN TOTAL'!Q88</f>
        <v>0</v>
      </c>
      <c r="K85">
        <f>'RESUMEN TOTAL'!R88</f>
        <v>0</v>
      </c>
      <c r="L85">
        <f>'RESUMEN TOTAL'!S88</f>
        <v>0</v>
      </c>
      <c r="M85">
        <f>'RESUMEN TOTAL'!T88</f>
        <v>0</v>
      </c>
      <c r="N85">
        <f>'RESUMEN TOTAL'!U88</f>
        <v>0</v>
      </c>
      <c r="O85">
        <f>'RESUMEN TOTAL'!V88</f>
        <v>0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>
        <f>'RESUMEN TOTAL'!T90</f>
        <v>0</v>
      </c>
      <c r="N87">
        <f>'RESUMEN TOTAL'!U90</f>
        <v>0</v>
      </c>
      <c r="O87">
        <f>'RESUMEN TOTAL'!V90</f>
        <v>0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>
        <f>'RESUMEN TOTAL'!P91</f>
        <v>0</v>
      </c>
      <c r="J88">
        <f>'RESUMEN TOTAL'!Q91</f>
        <v>0</v>
      </c>
      <c r="K88">
        <f>'RESUMEN TOTAL'!R91</f>
        <v>0</v>
      </c>
      <c r="L88">
        <f>'RESUMEN TOTAL'!S91</f>
        <v>0</v>
      </c>
      <c r="M88">
        <f>'RESUMEN TOTAL'!T91</f>
        <v>0</v>
      </c>
      <c r="N88">
        <f>'RESUMEN TOTAL'!U91</f>
        <v>0</v>
      </c>
      <c r="O88">
        <f>'RESUMEN TOTAL'!V91</f>
        <v>0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>
        <f>'RESUMEN TOTAL'!P92</f>
        <v>0</v>
      </c>
      <c r="J89">
        <f>'RESUMEN TOTAL'!Q92</f>
        <v>0</v>
      </c>
      <c r="K89">
        <f>'RESUMEN TOTAL'!R92</f>
        <v>0</v>
      </c>
      <c r="L89">
        <f>'RESUMEN TOTAL'!S92</f>
        <v>0</v>
      </c>
      <c r="M89">
        <f>'RESUMEN TOTAL'!T92</f>
        <v>0</v>
      </c>
      <c r="N89">
        <f>'RESUMEN TOTAL'!U92</f>
        <v>0</v>
      </c>
      <c r="O89">
        <f>'RESUMEN TOTAL'!V92</f>
        <v>0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>
        <f>'RESUMEN TOTAL'!P104</f>
        <v>0</v>
      </c>
      <c r="J101">
        <f>'RESUMEN TOTAL'!Q104</f>
        <v>0</v>
      </c>
      <c r="K101">
        <f>'RESUMEN TOTAL'!R104</f>
        <v>0</v>
      </c>
      <c r="L101">
        <f>'RESUMEN TOTAL'!S104</f>
        <v>0</v>
      </c>
      <c r="M101">
        <f>'RESUMEN TOTAL'!T104</f>
        <v>0</v>
      </c>
      <c r="N101">
        <f>'RESUMEN TOTAL'!U104</f>
        <v>0</v>
      </c>
      <c r="O101">
        <f>'RESUMEN TOTAL'!V104</f>
        <v>0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>
        <f>'RESUMEN TOTAL'!P105</f>
        <v>0</v>
      </c>
      <c r="J102">
        <f>'RESUMEN TOTAL'!Q105</f>
        <v>0</v>
      </c>
      <c r="K102">
        <f>'RESUMEN TOTAL'!R105</f>
        <v>0</v>
      </c>
      <c r="L102">
        <f>'RESUMEN TOTAL'!S105</f>
        <v>0</v>
      </c>
      <c r="M102">
        <f>'RESUMEN TOTAL'!T105</f>
        <v>0</v>
      </c>
      <c r="N102">
        <f>'RESUMEN TOTAL'!U105</f>
        <v>0</v>
      </c>
      <c r="O102">
        <f>'RESUMEN TOTAL'!V105</f>
        <v>0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>
        <f>'RESUMEN TOTAL'!P106</f>
        <v>0</v>
      </c>
      <c r="J103">
        <f>'RESUMEN TOTAL'!Q106</f>
        <v>0</v>
      </c>
      <c r="K103">
        <f>'RESUMEN TOTAL'!R106</f>
        <v>0</v>
      </c>
      <c r="L103">
        <f>'RESUMEN TOTAL'!S106</f>
        <v>0</v>
      </c>
      <c r="M103">
        <f>'RESUMEN TOTAL'!T106</f>
        <v>0</v>
      </c>
      <c r="N103">
        <f>'RESUMEN TOTAL'!U106</f>
        <v>0</v>
      </c>
      <c r="O103">
        <f>'RESUMEN TOTAL'!V106</f>
        <v>0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>
        <f>'RESUMEN TOTAL'!P107</f>
        <v>0</v>
      </c>
      <c r="J104">
        <f>'RESUMEN TOTAL'!Q107</f>
        <v>0</v>
      </c>
      <c r="K104">
        <f>'RESUMEN TOTAL'!R107</f>
        <v>0</v>
      </c>
      <c r="L104">
        <f>'RESUMEN TOTAL'!S107</f>
        <v>0</v>
      </c>
      <c r="M104">
        <f>'RESUMEN TOTAL'!T107</f>
        <v>0</v>
      </c>
      <c r="N104">
        <f>'RESUMEN TOTAL'!U107</f>
        <v>0</v>
      </c>
      <c r="O104">
        <f>'RESUMEN TOTAL'!V107</f>
        <v>0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>
        <f>'RESUMEN TOTAL'!P108</f>
        <v>0</v>
      </c>
      <c r="J105">
        <f>'RESUMEN TOTAL'!Q108</f>
        <v>0</v>
      </c>
      <c r="K105">
        <f>'RESUMEN TOTAL'!R108</f>
        <v>0</v>
      </c>
      <c r="L105">
        <f>'RESUMEN TOTAL'!S108</f>
        <v>0</v>
      </c>
      <c r="M105">
        <f>'RESUMEN TOTAL'!T108</f>
        <v>0</v>
      </c>
      <c r="N105">
        <f>'RESUMEN TOTAL'!U108</f>
        <v>0</v>
      </c>
      <c r="O105">
        <f>'RESUMEN TOTAL'!V108</f>
        <v>0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>
        <f>'RESUMEN TOTAL'!P109</f>
        <v>0</v>
      </c>
      <c r="J106">
        <f>'RESUMEN TOTAL'!Q109</f>
        <v>0</v>
      </c>
      <c r="K106">
        <f>'RESUMEN TOTAL'!R109</f>
        <v>0</v>
      </c>
      <c r="L106">
        <f>'RESUMEN TOTAL'!S109</f>
        <v>0</v>
      </c>
      <c r="M106">
        <f>'RESUMEN TOTAL'!T109</f>
        <v>0</v>
      </c>
      <c r="N106">
        <f>'RESUMEN TOTAL'!U109</f>
        <v>0</v>
      </c>
      <c r="O106">
        <f>'RESUMEN TOTAL'!V109</f>
        <v>0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>
        <f>'RESUMEN TOTAL'!P115</f>
        <v>0</v>
      </c>
      <c r="J112">
        <f>'RESUMEN TOTAL'!Q115</f>
        <v>0</v>
      </c>
      <c r="K112">
        <f>'RESUMEN TOTAL'!R115</f>
        <v>0</v>
      </c>
      <c r="L112">
        <f>'RESUMEN TOTAL'!S115</f>
        <v>0</v>
      </c>
      <c r="M112">
        <f>'RESUMEN TOTAL'!T115</f>
        <v>0</v>
      </c>
      <c r="N112">
        <f>'RESUMEN TOTAL'!U115</f>
        <v>0</v>
      </c>
      <c r="O112">
        <f>'RESUMEN TOTAL'!V115</f>
        <v>0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>
        <f>'RESUMEN TOTAL'!P116</f>
        <v>0</v>
      </c>
      <c r="J113">
        <f>'RESUMEN TOTAL'!Q116</f>
        <v>0</v>
      </c>
      <c r="K113">
        <f>'RESUMEN TOTAL'!R116</f>
        <v>0</v>
      </c>
      <c r="L113">
        <f>'RESUMEN TOTAL'!S116</f>
        <v>0</v>
      </c>
      <c r="M113">
        <f>'RESUMEN TOTAL'!T116</f>
        <v>0</v>
      </c>
      <c r="N113">
        <f>'RESUMEN TOTAL'!U116</f>
        <v>0</v>
      </c>
      <c r="O113">
        <f>'RESUMEN TOTAL'!V116</f>
        <v>0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>
        <f>'RESUMEN TOTAL'!P120</f>
        <v>0</v>
      </c>
      <c r="J117">
        <f>'RESUMEN TOTAL'!Q120</f>
        <v>0</v>
      </c>
      <c r="K117">
        <f>'RESUMEN TOTAL'!R120</f>
        <v>0</v>
      </c>
      <c r="L117">
        <f>'RESUMEN TOTAL'!S120</f>
        <v>0</v>
      </c>
      <c r="M117">
        <f>'RESUMEN TOTAL'!T120</f>
        <v>0</v>
      </c>
      <c r="N117">
        <f>'RESUMEN TOTAL'!U120</f>
        <v>0</v>
      </c>
      <c r="O117">
        <f>'RESUMEN TOTAL'!V120</f>
        <v>0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>
        <f>'RESUMEN TOTAL'!P121</f>
        <v>0</v>
      </c>
      <c r="J118">
        <f>'RESUMEN TOTAL'!Q121</f>
        <v>0</v>
      </c>
      <c r="K118">
        <f>'RESUMEN TOTAL'!R121</f>
        <v>0</v>
      </c>
      <c r="L118">
        <f>'RESUMEN TOTAL'!S121</f>
        <v>0</v>
      </c>
      <c r="M118">
        <f>'RESUMEN TOTAL'!T121</f>
        <v>0</v>
      </c>
      <c r="N118">
        <f>'RESUMEN TOTAL'!U121</f>
        <v>0</v>
      </c>
      <c r="O118">
        <f>'RESUMEN TOTAL'!V121</f>
        <v>0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>
        <f>'RESUMEN TOTAL'!P122</f>
        <v>0</v>
      </c>
      <c r="J119">
        <f>'RESUMEN TOTAL'!Q122</f>
        <v>0</v>
      </c>
      <c r="K119">
        <f>'RESUMEN TOTAL'!R122</f>
        <v>0</v>
      </c>
      <c r="L119">
        <f>'RESUMEN TOTAL'!S122</f>
        <v>0</v>
      </c>
      <c r="M119">
        <f>'RESUMEN TOTAL'!T122</f>
        <v>0</v>
      </c>
      <c r="N119">
        <f>'RESUMEN TOTAL'!U122</f>
        <v>0</v>
      </c>
      <c r="O119">
        <f>'RESUMEN TOTAL'!V122</f>
        <v>0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>
        <f>'RESUMEN TOTAL'!P123</f>
        <v>0</v>
      </c>
      <c r="J120">
        <f>'RESUMEN TOTAL'!Q123</f>
        <v>0</v>
      </c>
      <c r="K120">
        <f>'RESUMEN TOTAL'!R123</f>
        <v>0</v>
      </c>
      <c r="L120">
        <f>'RESUMEN TOTAL'!S123</f>
        <v>0</v>
      </c>
      <c r="M120">
        <f>'RESUMEN TOTAL'!T123</f>
        <v>0</v>
      </c>
      <c r="N120">
        <f>'RESUMEN TOTAL'!U123</f>
        <v>0</v>
      </c>
      <c r="O120">
        <f>'RESUMEN TOTAL'!V123</f>
        <v>0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>
        <f>'RESUMEN TOTAL'!P129</f>
        <v>0</v>
      </c>
      <c r="J126">
        <f>'RESUMEN TOTAL'!Q129</f>
        <v>0</v>
      </c>
      <c r="K126">
        <f>'RESUMEN TOTAL'!R129</f>
        <v>0</v>
      </c>
      <c r="L126">
        <f>'RESUMEN TOTAL'!S129</f>
        <v>0</v>
      </c>
      <c r="M126">
        <f>'RESUMEN TOTAL'!T129</f>
        <v>0</v>
      </c>
      <c r="N126">
        <f>'RESUMEN TOTAL'!U129</f>
        <v>0</v>
      </c>
      <c r="O126">
        <f>'RESUMEN TOTAL'!V129</f>
        <v>0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>
        <f>'RESUMEN TOTAL'!P130</f>
        <v>0</v>
      </c>
      <c r="J127">
        <f>'RESUMEN TOTAL'!Q130</f>
        <v>0</v>
      </c>
      <c r="K127">
        <f>'RESUMEN TOTAL'!R130</f>
        <v>0</v>
      </c>
      <c r="L127">
        <f>'RESUMEN TOTAL'!S130</f>
        <v>0</v>
      </c>
      <c r="M127">
        <f>'RESUMEN TOTAL'!T130</f>
        <v>0</v>
      </c>
      <c r="N127">
        <f>'RESUMEN TOTAL'!U130</f>
        <v>0</v>
      </c>
      <c r="O127">
        <f>'RESUMEN TOTAL'!V130</f>
        <v>0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>
        <f>'RESUMEN TOTAL'!T133</f>
        <v>0</v>
      </c>
      <c r="N130">
        <f>'RESUMEN TOTAL'!U133</f>
        <v>0</v>
      </c>
      <c r="O130">
        <f>'RESUMEN TOTAL'!V133</f>
        <v>0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>
        <f>'RESUMEN TOTAL'!P138</f>
        <v>0</v>
      </c>
      <c r="J135">
        <f>'RESUMEN TOTAL'!Q138</f>
        <v>0</v>
      </c>
      <c r="K135">
        <f>'RESUMEN TOTAL'!R138</f>
        <v>0</v>
      </c>
      <c r="L135">
        <f>'RESUMEN TOTAL'!S138</f>
        <v>0</v>
      </c>
      <c r="M135">
        <f>'RESUMEN TOTAL'!T138</f>
        <v>0</v>
      </c>
      <c r="N135">
        <f>'RESUMEN TOTAL'!U138</f>
        <v>0</v>
      </c>
      <c r="O135">
        <f>'RESUMEN TOTAL'!V138</f>
        <v>0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>
        <f>'RESUMEN TOTAL'!P139</f>
        <v>0</v>
      </c>
      <c r="J136">
        <f>'RESUMEN TOTAL'!Q139</f>
        <v>0</v>
      </c>
      <c r="K136">
        <f>'RESUMEN TOTAL'!R139</f>
        <v>0</v>
      </c>
      <c r="L136">
        <f>'RESUMEN TOTAL'!S139</f>
        <v>0</v>
      </c>
      <c r="M136">
        <f>'RESUMEN TOTAL'!T139</f>
        <v>0</v>
      </c>
      <c r="N136">
        <f>'RESUMEN TOTAL'!U139</f>
        <v>0</v>
      </c>
      <c r="O136">
        <f>'RESUMEN TOTAL'!V139</f>
        <v>0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>
        <f>'RESUMEN TOTAL'!P140</f>
        <v>0</v>
      </c>
      <c r="J137">
        <f>'RESUMEN TOTAL'!Q140</f>
        <v>0</v>
      </c>
      <c r="K137">
        <f>'RESUMEN TOTAL'!R140</f>
        <v>0</v>
      </c>
      <c r="L137">
        <f>'RESUMEN TOTAL'!S140</f>
        <v>0</v>
      </c>
      <c r="M137">
        <f>'RESUMEN TOTAL'!T140</f>
        <v>0</v>
      </c>
      <c r="N137">
        <f>'RESUMEN TOTAL'!U140</f>
        <v>0</v>
      </c>
      <c r="O137">
        <f>'RESUMEN TOTAL'!V140</f>
        <v>0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>
        <f>'RESUMEN TOTAL'!P141</f>
        <v>0</v>
      </c>
      <c r="J138">
        <f>'RESUMEN TOTAL'!Q141</f>
        <v>0</v>
      </c>
      <c r="K138">
        <f>'RESUMEN TOTAL'!R141</f>
        <v>0</v>
      </c>
      <c r="L138">
        <f>'RESUMEN TOTAL'!S141</f>
        <v>0</v>
      </c>
      <c r="M138">
        <f>'RESUMEN TOTAL'!T141</f>
        <v>0</v>
      </c>
      <c r="N138">
        <f>'RESUMEN TOTAL'!U141</f>
        <v>0</v>
      </c>
      <c r="O138">
        <f>'RESUMEN TOTAL'!V141</f>
        <v>0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>
        <f>'RESUMEN TOTAL'!P149</f>
        <v>0</v>
      </c>
      <c r="J146">
        <f>'RESUMEN TOTAL'!Q149</f>
        <v>0</v>
      </c>
      <c r="K146">
        <f>'RESUMEN TOTAL'!R149</f>
        <v>0</v>
      </c>
      <c r="L146">
        <f>'RESUMEN TOTAL'!S149</f>
        <v>0</v>
      </c>
      <c r="M146">
        <f>'RESUMEN TOTAL'!T149</f>
        <v>0</v>
      </c>
      <c r="N146">
        <f>'RESUMEN TOTAL'!U149</f>
        <v>0</v>
      </c>
      <c r="O146">
        <f>'RESUMEN TOTAL'!V149</f>
        <v>0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>
        <f>'RESUMEN TOTAL'!P150</f>
        <v>0</v>
      </c>
      <c r="J147">
        <f>'RESUMEN TOTAL'!Q150</f>
        <v>0</v>
      </c>
      <c r="K147">
        <f>'RESUMEN TOTAL'!R150</f>
        <v>0</v>
      </c>
      <c r="L147">
        <f>'RESUMEN TOTAL'!S150</f>
        <v>0</v>
      </c>
      <c r="M147">
        <f>'RESUMEN TOTAL'!T150</f>
        <v>0</v>
      </c>
      <c r="N147">
        <f>'RESUMEN TOTAL'!U150</f>
        <v>0</v>
      </c>
      <c r="O147">
        <f>'RESUMEN TOTAL'!V150</f>
        <v>0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>
        <f>'RESUMEN TOTAL'!P151</f>
        <v>0</v>
      </c>
      <c r="J148">
        <f>'RESUMEN TOTAL'!Q151</f>
        <v>0</v>
      </c>
      <c r="K148">
        <f>'RESUMEN TOTAL'!R151</f>
        <v>0</v>
      </c>
      <c r="L148">
        <f>'RESUMEN TOTAL'!S151</f>
        <v>0</v>
      </c>
      <c r="M148">
        <f>'RESUMEN TOTAL'!T151</f>
        <v>0</v>
      </c>
      <c r="N148">
        <f>'RESUMEN TOTAL'!U151</f>
        <v>0</v>
      </c>
      <c r="O148">
        <f>'RESUMEN TOTAL'!V151</f>
        <v>0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>
        <f>'RESUMEN TOTAL'!U159</f>
        <v>0</v>
      </c>
      <c r="O156">
        <f>'RESUMEN TOTAL'!V159</f>
        <v>0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>
        <f>'RESUMEN TOTAL'!P171</f>
        <v>0</v>
      </c>
      <c r="J168">
        <f>'RESUMEN TOTAL'!Q171</f>
        <v>0</v>
      </c>
      <c r="K168">
        <f>'RESUMEN TOTAL'!R171</f>
        <v>0</v>
      </c>
      <c r="L168">
        <f>'RESUMEN TOTAL'!S171</f>
        <v>0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>
        <f>'RESUMEN TOTAL'!P173</f>
        <v>0</v>
      </c>
      <c r="J170">
        <f>'RESUMEN TOTAL'!Q173</f>
        <v>0</v>
      </c>
      <c r="K170">
        <f>'RESUMEN TOTAL'!R173</f>
        <v>0</v>
      </c>
      <c r="L170">
        <f>'RESUMEN TOTAL'!S173</f>
        <v>0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>
        <f>'RESUMEN TOTAL'!P174</f>
        <v>0</v>
      </c>
      <c r="J171">
        <f>'RESUMEN TOTAL'!Q174</f>
        <v>0</v>
      </c>
      <c r="K171">
        <f>'RESUMEN TOTAL'!R174</f>
        <v>0</v>
      </c>
      <c r="L171">
        <f>'RESUMEN TOTAL'!S174</f>
        <v>0</v>
      </c>
      <c r="M171">
        <f>'RESUMEN TOTAL'!T174</f>
        <v>0</v>
      </c>
      <c r="N171">
        <f>'RESUMEN TOTAL'!U174</f>
        <v>0</v>
      </c>
      <c r="O171">
        <f>'RESUMEN TOTAL'!V174</f>
        <v>0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>
        <f>'RESUMEN TOTAL'!P187</f>
        <v>0</v>
      </c>
      <c r="J184">
        <f>'RESUMEN TOTAL'!Q187</f>
        <v>0</v>
      </c>
      <c r="K184">
        <f>'RESUMEN TOTAL'!R187</f>
        <v>0</v>
      </c>
      <c r="L184">
        <f>'RESUMEN TOTAL'!S187</f>
        <v>0</v>
      </c>
      <c r="M184">
        <f>'RESUMEN TOTAL'!T187</f>
        <v>0</v>
      </c>
      <c r="N184">
        <f>'RESUMEN TOTAL'!U187</f>
        <v>0</v>
      </c>
      <c r="O184">
        <f>'RESUMEN TOTAL'!V187</f>
        <v>0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>
        <f>'RESUMEN TOTAL'!P188</f>
        <v>0</v>
      </c>
      <c r="J185">
        <f>'RESUMEN TOTAL'!Q188</f>
        <v>0</v>
      </c>
      <c r="K185">
        <f>'RESUMEN TOTAL'!R188</f>
        <v>0</v>
      </c>
      <c r="L185">
        <f>'RESUMEN TOTAL'!S188</f>
        <v>0</v>
      </c>
      <c r="M185">
        <f>'RESUMEN TOTAL'!T188</f>
        <v>0</v>
      </c>
      <c r="N185">
        <f>'RESUMEN TOTAL'!U188</f>
        <v>0</v>
      </c>
      <c r="O185">
        <f>'RESUMEN TOTAL'!V188</f>
        <v>0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>
        <f>'RESUMEN TOTAL'!P191</f>
        <v>0</v>
      </c>
      <c r="J188">
        <f>'RESUMEN TOTAL'!Q191</f>
        <v>0</v>
      </c>
      <c r="K188">
        <f>'RESUMEN TOTAL'!R191</f>
        <v>0</v>
      </c>
      <c r="L188">
        <f>'RESUMEN TOTAL'!S191</f>
        <v>0</v>
      </c>
      <c r="M188">
        <f>'RESUMEN TOTAL'!T191</f>
        <v>0</v>
      </c>
      <c r="N188">
        <f>'RESUMEN TOTAL'!U191</f>
        <v>0</v>
      </c>
      <c r="O188">
        <f>'RESUMEN TOTAL'!V191</f>
        <v>0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>
        <f>'RESUMEN TOTAL'!P192</f>
        <v>0</v>
      </c>
      <c r="J189">
        <f>'RESUMEN TOTAL'!Q192</f>
        <v>0</v>
      </c>
      <c r="K189">
        <f>'RESUMEN TOTAL'!R192</f>
        <v>0</v>
      </c>
      <c r="L189">
        <f>'RESUMEN TOTAL'!S192</f>
        <v>0</v>
      </c>
      <c r="M189">
        <f>'RESUMEN TOTAL'!T192</f>
        <v>0</v>
      </c>
      <c r="N189">
        <f>'RESUMEN TOTAL'!U192</f>
        <v>0</v>
      </c>
      <c r="O189">
        <f>'RESUMEN TOTAL'!V192</f>
        <v>0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>
        <f>'RESUMEN TOTAL'!P193</f>
        <v>0</v>
      </c>
      <c r="J190">
        <f>'RESUMEN TOTAL'!Q193</f>
        <v>0</v>
      </c>
      <c r="K190">
        <f>'RESUMEN TOTAL'!R193</f>
        <v>0</v>
      </c>
      <c r="L190">
        <f>'RESUMEN TOTAL'!S193</f>
        <v>0</v>
      </c>
      <c r="M190">
        <f>'RESUMEN TOTAL'!T193</f>
        <v>0</v>
      </c>
      <c r="N190">
        <f>'RESUMEN TOTAL'!U193</f>
        <v>0</v>
      </c>
      <c r="O190">
        <f>'RESUMEN TOTAL'!V193</f>
        <v>0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>
        <f>'RESUMEN TOTAL'!P194</f>
        <v>0</v>
      </c>
      <c r="J191">
        <f>'RESUMEN TOTAL'!Q194</f>
        <v>0</v>
      </c>
      <c r="K191">
        <f>'RESUMEN TOTAL'!R194</f>
        <v>0</v>
      </c>
      <c r="L191">
        <f>'RESUMEN TOTAL'!S194</f>
        <v>0</v>
      </c>
      <c r="M191">
        <f>'RESUMEN TOTAL'!T194</f>
        <v>0</v>
      </c>
      <c r="N191">
        <f>'RESUMEN TOTAL'!U194</f>
        <v>0</v>
      </c>
      <c r="O191">
        <f>'RESUMEN TOTAL'!V194</f>
        <v>0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>
        <f>'RESUMEN TOTAL'!T195</f>
        <v>0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>
        <f>'RESUMEN TOTAL'!T196</f>
        <v>0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>
        <f>'RESUMEN TOTAL'!P197</f>
        <v>0</v>
      </c>
      <c r="J194">
        <f>'RESUMEN TOTAL'!Q197</f>
        <v>0</v>
      </c>
      <c r="K194">
        <f>'RESUMEN TOTAL'!R197</f>
        <v>0</v>
      </c>
      <c r="L194">
        <f>'RESUMEN TOTAL'!S197</f>
        <v>0</v>
      </c>
      <c r="M194">
        <f>'RESUMEN TOTAL'!T197</f>
        <v>0</v>
      </c>
      <c r="N194">
        <f>'RESUMEN TOTAL'!U197</f>
        <v>0</v>
      </c>
      <c r="O194">
        <f>'RESUMEN TOTAL'!V197</f>
        <v>0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>
        <f>'RESUMEN TOTAL'!P198</f>
        <v>0</v>
      </c>
      <c r="J195">
        <f>'RESUMEN TOTAL'!Q198</f>
        <v>0</v>
      </c>
      <c r="K195">
        <f>'RESUMEN TOTAL'!R198</f>
        <v>0</v>
      </c>
      <c r="L195">
        <f>'RESUMEN TOTAL'!S198</f>
        <v>0</v>
      </c>
      <c r="M195">
        <f>'RESUMEN TOTAL'!T198</f>
        <v>0</v>
      </c>
      <c r="N195">
        <f>'RESUMEN TOTAL'!U198</f>
        <v>0</v>
      </c>
      <c r="O195">
        <f>'RESUMEN TOTAL'!V198</f>
        <v>0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>
        <f>'RESUMEN TOTAL'!P206</f>
        <v>0</v>
      </c>
      <c r="J203">
        <f>'RESUMEN TOTAL'!Q206</f>
        <v>0</v>
      </c>
      <c r="K203">
        <f>'RESUMEN TOTAL'!R206</f>
        <v>0</v>
      </c>
      <c r="L203">
        <f>'RESUMEN TOTAL'!S206</f>
        <v>0</v>
      </c>
      <c r="M203">
        <f>'RESUMEN TOTAL'!T206</f>
        <v>0</v>
      </c>
      <c r="N203">
        <f>'RESUMEN TOTAL'!U206</f>
        <v>0</v>
      </c>
      <c r="O203">
        <f>'RESUMEN TOTAL'!V206</f>
        <v>0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>
        <f>'RESUMEN TOTAL'!P224</f>
        <v>0</v>
      </c>
      <c r="J221">
        <f>'RESUMEN TOTAL'!Q224</f>
        <v>0</v>
      </c>
      <c r="K221">
        <f>'RESUMEN TOTAL'!R224</f>
        <v>0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>
        <f>'RESUMEN TOTAL'!P230</f>
        <v>0</v>
      </c>
      <c r="J227">
        <f>'RESUMEN TOTAL'!Q230</f>
        <v>0</v>
      </c>
      <c r="K227">
        <f>'RESUMEN TOTAL'!R230</f>
        <v>0</v>
      </c>
      <c r="L227">
        <f>'RESUMEN TOTAL'!S230</f>
        <v>0</v>
      </c>
      <c r="M227">
        <f>'RESUMEN TOTAL'!T230</f>
        <v>0</v>
      </c>
      <c r="N227">
        <f>'RESUMEN TOTAL'!U230</f>
        <v>0</v>
      </c>
      <c r="O227">
        <f>'RESUMEN TOTAL'!V230</f>
        <v>0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>
        <f>'RESUMEN TOTAL'!P238</f>
        <v>0</v>
      </c>
      <c r="J235">
        <f>'RESUMEN TOTAL'!Q238</f>
        <v>0</v>
      </c>
      <c r="K235">
        <f>'RESUMEN TOTAL'!R238</f>
        <v>0</v>
      </c>
      <c r="L235">
        <f>'RESUMEN TOTAL'!S238</f>
        <v>0</v>
      </c>
      <c r="M235">
        <f>'RESUMEN TOTAL'!T238</f>
        <v>0</v>
      </c>
      <c r="N235">
        <f>'RESUMEN TOTAL'!U238</f>
        <v>0</v>
      </c>
      <c r="O235">
        <f>'RESUMEN TOTAL'!V238</f>
        <v>0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>
        <f>'RESUMEN TOTAL'!P249</f>
        <v>0</v>
      </c>
      <c r="J246">
        <f>'RESUMEN TOTAL'!Q249</f>
        <v>0</v>
      </c>
      <c r="K246">
        <f>'RESUMEN TOTAL'!R249</f>
        <v>0</v>
      </c>
      <c r="L246">
        <f>'RESUMEN TOTAL'!S249</f>
        <v>0</v>
      </c>
      <c r="M246">
        <f>'RESUMEN TOTAL'!T249</f>
        <v>0</v>
      </c>
      <c r="N246">
        <f>'RESUMEN TOTAL'!U249</f>
        <v>0</v>
      </c>
      <c r="O246">
        <f>'RESUMEN TOTAL'!V249</f>
        <v>0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>
        <f>'RESUMEN TOTAL'!P250</f>
        <v>0</v>
      </c>
      <c r="J247">
        <f>'RESUMEN TOTAL'!Q250</f>
        <v>0</v>
      </c>
      <c r="K247">
        <f>'RESUMEN TOTAL'!R250</f>
        <v>0</v>
      </c>
      <c r="L247">
        <f>'RESUMEN TOTAL'!S250</f>
        <v>0</v>
      </c>
      <c r="M247">
        <f>'RESUMEN TOTAL'!T250</f>
        <v>0</v>
      </c>
      <c r="N247">
        <f>'RESUMEN TOTAL'!U250</f>
        <v>0</v>
      </c>
      <c r="O247">
        <f>'RESUMEN TOTAL'!V250</f>
        <v>0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>
        <f>'RESUMEN TOTAL'!P251</f>
        <v>0</v>
      </c>
      <c r="J248">
        <f>'RESUMEN TOTAL'!Q251</f>
        <v>0</v>
      </c>
      <c r="K248">
        <f>'RESUMEN TOTAL'!R251</f>
        <v>0</v>
      </c>
      <c r="L248">
        <f>'RESUMEN TOTAL'!S251</f>
        <v>0</v>
      </c>
      <c r="M248">
        <f>'RESUMEN TOTAL'!T251</f>
        <v>0</v>
      </c>
      <c r="N248">
        <f>'RESUMEN TOTAL'!U251</f>
        <v>0</v>
      </c>
      <c r="O248">
        <f>'RESUMEN TOTAL'!V251</f>
        <v>0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>
        <f>'RESUMEN TOTAL'!P252</f>
        <v>0</v>
      </c>
      <c r="J249">
        <f>'RESUMEN TOTAL'!Q252</f>
        <v>0</v>
      </c>
      <c r="K249">
        <f>'RESUMEN TOTAL'!R252</f>
        <v>0</v>
      </c>
      <c r="L249">
        <f>'RESUMEN TOTAL'!S252</f>
        <v>0</v>
      </c>
      <c r="M249">
        <f>'RESUMEN TOTAL'!T252</f>
        <v>0</v>
      </c>
      <c r="N249">
        <f>'RESUMEN TOTAL'!U252</f>
        <v>0</v>
      </c>
      <c r="O249">
        <f>'RESUMEN TOTAL'!V252</f>
        <v>0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>
        <f>'RESUMEN TOTAL'!P259</f>
        <v>0</v>
      </c>
      <c r="J256">
        <f>'RESUMEN TOTAL'!Q259</f>
        <v>0</v>
      </c>
      <c r="K256">
        <f>'RESUMEN TOTAL'!R259</f>
        <v>0</v>
      </c>
      <c r="L256">
        <f>'RESUMEN TOTAL'!S259</f>
        <v>0</v>
      </c>
      <c r="M256">
        <f>'RESUMEN TOTAL'!T259</f>
        <v>0</v>
      </c>
      <c r="N256">
        <f>'RESUMEN TOTAL'!U259</f>
        <v>0</v>
      </c>
      <c r="O256">
        <f>'RESUMEN TOTAL'!V259</f>
        <v>0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>
        <f>'RESUMEN TOTAL'!P270</f>
        <v>0</v>
      </c>
      <c r="J267">
        <f>'RESUMEN TOTAL'!Q270</f>
        <v>0</v>
      </c>
      <c r="K267">
        <f>'RESUMEN TOTAL'!R270</f>
        <v>0</v>
      </c>
      <c r="L267">
        <f>'RESUMEN TOTAL'!S270</f>
        <v>0</v>
      </c>
      <c r="M267">
        <f>'RESUMEN TOTAL'!T270</f>
        <v>0</v>
      </c>
      <c r="N267">
        <f>'RESUMEN TOTAL'!U270</f>
        <v>0</v>
      </c>
      <c r="O267">
        <f>'RESUMEN TOTAL'!V270</f>
        <v>0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>
        <f>'RESUMEN TOTAL'!P271</f>
        <v>0</v>
      </c>
      <c r="J268">
        <f>'RESUMEN TOTAL'!Q271</f>
        <v>0</v>
      </c>
      <c r="K268">
        <f>'RESUMEN TOTAL'!R271</f>
        <v>0</v>
      </c>
      <c r="L268">
        <f>'RESUMEN TOTAL'!S271</f>
        <v>0</v>
      </c>
      <c r="M268">
        <f>'RESUMEN TOTAL'!T271</f>
        <v>0</v>
      </c>
      <c r="N268">
        <f>'RESUMEN TOTAL'!U271</f>
        <v>0</v>
      </c>
      <c r="O268">
        <f>'RESUMEN TOTAL'!V271</f>
        <v>0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>
        <f>'RESUMEN TOTAL'!P272</f>
        <v>0</v>
      </c>
      <c r="J269">
        <f>'RESUMEN TOTAL'!Q272</f>
        <v>0</v>
      </c>
      <c r="K269">
        <f>'RESUMEN TOTAL'!R272</f>
        <v>0</v>
      </c>
      <c r="L269">
        <f>'RESUMEN TOTAL'!S272</f>
        <v>0</v>
      </c>
      <c r="M269">
        <f>'RESUMEN TOTAL'!T272</f>
        <v>0</v>
      </c>
      <c r="N269">
        <f>'RESUMEN TOTAL'!U272</f>
        <v>0</v>
      </c>
      <c r="O269">
        <f>'RESUMEN TOTAL'!V272</f>
        <v>0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>
        <f>'RESUMEN TOTAL'!U276</f>
        <v>0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>
        <f>'RESUMEN TOTAL'!P277</f>
        <v>0</v>
      </c>
      <c r="J274">
        <f>'RESUMEN TOTAL'!Q277</f>
        <v>0</v>
      </c>
      <c r="K274">
        <f>'RESUMEN TOTAL'!R277</f>
        <v>0</v>
      </c>
      <c r="L274">
        <f>'RESUMEN TOTAL'!S277</f>
        <v>0</v>
      </c>
      <c r="M274">
        <f>'RESUMEN TOTAL'!T277</f>
        <v>0</v>
      </c>
      <c r="N274">
        <f>'RESUMEN TOTAL'!U277</f>
        <v>0</v>
      </c>
      <c r="O274">
        <f>'RESUMEN TOTAL'!V277</f>
        <v>0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>
        <f>'RESUMEN TOTAL'!S278</f>
        <v>0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>
        <f>'RESUMEN TOTAL'!P279</f>
        <v>0</v>
      </c>
      <c r="J276">
        <f>'RESUMEN TOTAL'!Q279</f>
        <v>0</v>
      </c>
      <c r="K276">
        <f>'RESUMEN TOTAL'!R279</f>
        <v>0</v>
      </c>
      <c r="L276">
        <f>'RESUMEN TOTAL'!S279</f>
        <v>0</v>
      </c>
      <c r="M276">
        <f>'RESUMEN TOTAL'!T279</f>
        <v>0</v>
      </c>
      <c r="N276">
        <f>'RESUMEN TOTAL'!U279</f>
        <v>0</v>
      </c>
      <c r="O276">
        <f>'RESUMEN TOTAL'!V279</f>
        <v>0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>
        <f>'RESUMEN TOTAL'!P280</f>
        <v>0</v>
      </c>
      <c r="J277">
        <f>'RESUMEN TOTAL'!Q280</f>
        <v>0</v>
      </c>
      <c r="K277">
        <f>'RESUMEN TOTAL'!R280</f>
        <v>0</v>
      </c>
      <c r="L277">
        <f>'RESUMEN TOTAL'!S280</f>
        <v>0</v>
      </c>
      <c r="M277">
        <f>'RESUMEN TOTAL'!T280</f>
        <v>0</v>
      </c>
      <c r="N277">
        <f>'RESUMEN TOTAL'!U280</f>
        <v>0</v>
      </c>
      <c r="O277">
        <f>'RESUMEN TOTAL'!V280</f>
        <v>0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>
        <f>'RESUMEN TOTAL'!S287</f>
        <v>0</v>
      </c>
      <c r="M284">
        <f>'RESUMEN TOTAL'!T287</f>
        <v>0</v>
      </c>
      <c r="N284">
        <f>'RESUMEN TOTAL'!U287</f>
        <v>0</v>
      </c>
      <c r="O284">
        <f>'RESUMEN TOTAL'!V287</f>
        <v>0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>
        <f>'RESUMEN TOTAL'!S288</f>
        <v>0</v>
      </c>
      <c r="M285">
        <f>'RESUMEN TOTAL'!T288</f>
        <v>0</v>
      </c>
      <c r="N285">
        <f>'RESUMEN TOTAL'!U288</f>
        <v>0</v>
      </c>
      <c r="O285">
        <f>'RESUMEN TOTAL'!V288</f>
        <v>0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>
        <f>'RESUMEN TOTAL'!S289</f>
        <v>0</v>
      </c>
      <c r="M286">
        <f>'RESUMEN TOTAL'!T289</f>
        <v>0</v>
      </c>
      <c r="N286">
        <f>'RESUMEN TOTAL'!U289</f>
        <v>0</v>
      </c>
      <c r="O286">
        <f>'RESUMEN TOTAL'!V289</f>
        <v>0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>
        <f>'RESUMEN TOTAL'!S290</f>
        <v>0</v>
      </c>
      <c r="M287">
        <f>'RESUMEN TOTAL'!T290</f>
        <v>0</v>
      </c>
      <c r="N287">
        <f>'RESUMEN TOTAL'!U290</f>
        <v>0</v>
      </c>
      <c r="O287">
        <f>'RESUMEN TOTAL'!V290</f>
        <v>0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>
        <f>'RESUMEN TOTAL'!S291</f>
        <v>0</v>
      </c>
      <c r="M288">
        <f>'RESUMEN TOTAL'!T291</f>
        <v>0</v>
      </c>
      <c r="N288">
        <f>'RESUMEN TOTAL'!U291</f>
        <v>0</v>
      </c>
      <c r="O288">
        <f>'RESUMEN TOTAL'!V291</f>
        <v>0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>
        <f>'RESUMEN TOTAL'!S292</f>
        <v>0</v>
      </c>
      <c r="M289">
        <f>'RESUMEN TOTAL'!T292</f>
        <v>0</v>
      </c>
      <c r="N289">
        <f>'RESUMEN TOTAL'!U292</f>
        <v>0</v>
      </c>
      <c r="O289">
        <f>'RESUMEN TOTAL'!V292</f>
        <v>0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>
        <f>'RESUMEN TOTAL'!S293</f>
        <v>0</v>
      </c>
      <c r="M290">
        <f>'RESUMEN TOTAL'!T293</f>
        <v>0</v>
      </c>
      <c r="N290">
        <f>'RESUMEN TOTAL'!U293</f>
        <v>0</v>
      </c>
      <c r="O290">
        <f>'RESUMEN TOTAL'!V293</f>
        <v>0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>
        <f>'RESUMEN TOTAL'!P302</f>
        <v>0</v>
      </c>
      <c r="J299">
        <f>'RESUMEN TOTAL'!Q302</f>
        <v>0</v>
      </c>
      <c r="K299">
        <f>'RESUMEN TOTAL'!R302</f>
        <v>0</v>
      </c>
      <c r="L299">
        <f>'RESUMEN TOTAL'!S302</f>
        <v>0</v>
      </c>
      <c r="M299">
        <f>'RESUMEN TOTAL'!T302</f>
        <v>0</v>
      </c>
      <c r="N299">
        <f>'RESUMEN TOTAL'!U302</f>
        <v>0</v>
      </c>
      <c r="O299">
        <f>'RESUMEN TOTAL'!V302</f>
        <v>0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>
        <f>'RESUMEN TOTAL'!P303</f>
        <v>0</v>
      </c>
      <c r="J300">
        <f>'RESUMEN TOTAL'!Q303</f>
        <v>0</v>
      </c>
      <c r="K300">
        <f>'RESUMEN TOTAL'!R303</f>
        <v>0</v>
      </c>
      <c r="L300">
        <f>'RESUMEN TOTAL'!S303</f>
        <v>0</v>
      </c>
      <c r="M300">
        <f>'RESUMEN TOTAL'!T303</f>
        <v>0</v>
      </c>
      <c r="N300">
        <f>'RESUMEN TOTAL'!U303</f>
        <v>0</v>
      </c>
      <c r="O300">
        <f>'RESUMEN TOTAL'!V303</f>
        <v>0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>
        <f>'RESUMEN TOTAL'!P304</f>
        <v>0</v>
      </c>
      <c r="J301">
        <f>'RESUMEN TOTAL'!Q304</f>
        <v>0</v>
      </c>
      <c r="K301">
        <f>'RESUMEN TOTAL'!R304</f>
        <v>0</v>
      </c>
      <c r="L301">
        <f>'RESUMEN TOTAL'!S304</f>
        <v>0</v>
      </c>
      <c r="M301">
        <f>'RESUMEN TOTAL'!T304</f>
        <v>0</v>
      </c>
      <c r="N301">
        <f>'RESUMEN TOTAL'!U304</f>
        <v>0</v>
      </c>
      <c r="O301">
        <f>'RESUMEN TOTAL'!V304</f>
        <v>0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>
        <f>'RESUMEN TOTAL'!P305</f>
        <v>0</v>
      </c>
      <c r="J302">
        <f>'RESUMEN TOTAL'!Q305</f>
        <v>0</v>
      </c>
      <c r="K302">
        <f>'RESUMEN TOTAL'!R305</f>
        <v>0</v>
      </c>
      <c r="L302">
        <f>'RESUMEN TOTAL'!S305</f>
        <v>0</v>
      </c>
      <c r="M302">
        <f>'RESUMEN TOTAL'!T305</f>
        <v>0</v>
      </c>
      <c r="N302">
        <f>'RESUMEN TOTAL'!U305</f>
        <v>0</v>
      </c>
      <c r="O302">
        <f>'RESUMEN TOTAL'!V305</f>
        <v>0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>
        <f>'RESUMEN TOTAL'!P319</f>
        <v>0</v>
      </c>
      <c r="J316">
        <f>'RESUMEN TOTAL'!Q319</f>
        <v>0</v>
      </c>
      <c r="K316">
        <f>'RESUMEN TOTAL'!R319</f>
        <v>0</v>
      </c>
      <c r="L316">
        <f>'RESUMEN TOTAL'!S319</f>
        <v>0</v>
      </c>
      <c r="M316">
        <f>'RESUMEN TOTAL'!T319</f>
        <v>0</v>
      </c>
      <c r="N316">
        <f>'RESUMEN TOTAL'!U319</f>
        <v>0</v>
      </c>
      <c r="O316">
        <f>'RESUMEN TOTAL'!V319</f>
        <v>0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>
        <f>'RESUMEN TOTAL'!P320</f>
        <v>0</v>
      </c>
      <c r="J317">
        <f>'RESUMEN TOTAL'!Q320</f>
        <v>0</v>
      </c>
      <c r="K317">
        <f>'RESUMEN TOTAL'!R320</f>
        <v>0</v>
      </c>
      <c r="L317">
        <f>'RESUMEN TOTAL'!S320</f>
        <v>0</v>
      </c>
      <c r="M317">
        <f>'RESUMEN TOTAL'!T320</f>
        <v>0</v>
      </c>
      <c r="N317">
        <f>'RESUMEN TOTAL'!U320</f>
        <v>0</v>
      </c>
      <c r="O317">
        <f>'RESUMEN TOTAL'!V320</f>
        <v>0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>
        <f>'RESUMEN TOTAL'!P333</f>
        <v>0</v>
      </c>
      <c r="J330">
        <f>'RESUMEN TOTAL'!Q333</f>
        <v>0</v>
      </c>
      <c r="K330">
        <f>'RESUMEN TOTAL'!R333</f>
        <v>0</v>
      </c>
      <c r="L330">
        <f>'RESUMEN TOTAL'!S333</f>
        <v>0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>
        <f>'RESUMEN TOTAL'!S338</f>
        <v>0</v>
      </c>
      <c r="M335">
        <f>'RESUMEN TOTAL'!T338</f>
        <v>0</v>
      </c>
      <c r="N335">
        <f>'RESUMEN TOTAL'!U338</f>
        <v>0</v>
      </c>
      <c r="O335">
        <f>'RESUMEN TOTAL'!V338</f>
        <v>0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>
        <f>'RESUMEN TOTAL'!S341</f>
        <v>0</v>
      </c>
      <c r="M338">
        <f>'RESUMEN TOTAL'!T341</f>
        <v>0</v>
      </c>
      <c r="N338">
        <f>'RESUMEN TOTAL'!U341</f>
        <v>0</v>
      </c>
      <c r="O338">
        <f>'RESUMEN TOTAL'!V341</f>
        <v>0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>
        <f>'RESUMEN TOTAL'!P345</f>
        <v>0</v>
      </c>
      <c r="J342">
        <f>'RESUMEN TOTAL'!Q345</f>
        <v>0</v>
      </c>
      <c r="K342">
        <f>'RESUMEN TOTAL'!R345</f>
        <v>0</v>
      </c>
      <c r="L342">
        <f>'RESUMEN TOTAL'!S345</f>
        <v>0</v>
      </c>
      <c r="M342">
        <f>'RESUMEN TOTAL'!T345</f>
        <v>0</v>
      </c>
      <c r="N342">
        <f>'RESUMEN TOTAL'!U345</f>
        <v>0</v>
      </c>
      <c r="O342">
        <f>'RESUMEN TOTAL'!V345</f>
        <v>0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>
        <f>'RESUMEN TOTAL'!P346</f>
        <v>0</v>
      </c>
      <c r="J343">
        <f>'RESUMEN TOTAL'!Q346</f>
        <v>0</v>
      </c>
      <c r="K343">
        <f>'RESUMEN TOTAL'!R346</f>
        <v>0</v>
      </c>
      <c r="L343">
        <f>'RESUMEN TOTAL'!S346</f>
        <v>0</v>
      </c>
      <c r="M343">
        <f>'RESUMEN TOTAL'!T346</f>
        <v>0</v>
      </c>
      <c r="N343">
        <f>'RESUMEN TOTAL'!U346</f>
        <v>0</v>
      </c>
      <c r="O343">
        <f>'RESUMEN TOTAL'!V346</f>
        <v>0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>
        <f>'RESUMEN TOTAL'!P347</f>
        <v>0</v>
      </c>
      <c r="J344">
        <f>'RESUMEN TOTAL'!Q347</f>
        <v>0</v>
      </c>
      <c r="K344">
        <f>'RESUMEN TOTAL'!R347</f>
        <v>0</v>
      </c>
      <c r="L344">
        <f>'RESUMEN TOTAL'!S347</f>
        <v>0</v>
      </c>
      <c r="M344">
        <f>'RESUMEN TOTAL'!T347</f>
        <v>0</v>
      </c>
      <c r="N344">
        <f>'RESUMEN TOTAL'!U347</f>
        <v>0</v>
      </c>
      <c r="O344">
        <f>'RESUMEN TOTAL'!V347</f>
        <v>0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>
        <f>'RESUMEN TOTAL'!P349</f>
        <v>0</v>
      </c>
      <c r="J346">
        <f>'RESUMEN TOTAL'!Q349</f>
        <v>0</v>
      </c>
      <c r="K346">
        <f>'RESUMEN TOTAL'!R349</f>
        <v>0</v>
      </c>
      <c r="L346">
        <f>'RESUMEN TOTAL'!S349</f>
        <v>0</v>
      </c>
      <c r="M346">
        <f>'RESUMEN TOTAL'!T349</f>
        <v>0</v>
      </c>
      <c r="N346">
        <f>'RESUMEN TOTAL'!U349</f>
        <v>0</v>
      </c>
      <c r="O346">
        <f>'RESUMEN TOTAL'!V349</f>
        <v>0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>
        <f>'RESUMEN TOTAL'!P359</f>
        <v>0</v>
      </c>
      <c r="J356">
        <f>'RESUMEN TOTAL'!Q359</f>
        <v>0</v>
      </c>
      <c r="K356">
        <f>'RESUMEN TOTAL'!R359</f>
        <v>0</v>
      </c>
      <c r="L356">
        <f>'RESUMEN TOTAL'!S359</f>
        <v>0</v>
      </c>
      <c r="M356">
        <f>'RESUMEN TOTAL'!T359</f>
        <v>0</v>
      </c>
      <c r="N356">
        <f>'RESUMEN TOTAL'!U359</f>
        <v>0</v>
      </c>
      <c r="O356">
        <f>'RESUMEN TOTAL'!V359</f>
        <v>0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>
        <f>'RESUMEN TOTAL'!P360</f>
        <v>0</v>
      </c>
      <c r="J357">
        <f>'RESUMEN TOTAL'!Q360</f>
        <v>0</v>
      </c>
      <c r="K357">
        <f>'RESUMEN TOTAL'!R360</f>
        <v>0</v>
      </c>
      <c r="L357">
        <f>'RESUMEN TOTAL'!S360</f>
        <v>0</v>
      </c>
      <c r="M357">
        <f>'RESUMEN TOTAL'!T360</f>
        <v>0</v>
      </c>
      <c r="N357">
        <f>'RESUMEN TOTAL'!U360</f>
        <v>0</v>
      </c>
      <c r="O357">
        <f>'RESUMEN TOTAL'!V360</f>
        <v>0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>
        <f>'RESUMEN TOTAL'!P367</f>
        <v>0</v>
      </c>
      <c r="J364">
        <f>'RESUMEN TOTAL'!Q367</f>
        <v>0</v>
      </c>
      <c r="K364">
        <f>'RESUMEN TOTAL'!R367</f>
        <v>0</v>
      </c>
      <c r="L364">
        <f>'RESUMEN TOTAL'!S367</f>
        <v>0</v>
      </c>
      <c r="M364">
        <f>'RESUMEN TOTAL'!T367</f>
        <v>0</v>
      </c>
      <c r="N364">
        <f>'RESUMEN TOTAL'!U367</f>
        <v>0</v>
      </c>
      <c r="O364">
        <f>'RESUMEN TOTAL'!V367</f>
        <v>0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0</v>
      </c>
      <c r="J1" s="39">
        <f t="shared" si="0"/>
        <v>0</v>
      </c>
      <c r="K1" s="39">
        <f t="shared" si="0"/>
        <v>0</v>
      </c>
      <c r="L1" s="39">
        <f t="shared" si="0"/>
        <v>0</v>
      </c>
      <c r="M1" s="39">
        <f t="shared" si="0"/>
        <v>0</v>
      </c>
      <c r="N1" s="39">
        <f t="shared" si="0"/>
        <v>0</v>
      </c>
      <c r="O1" s="39">
        <f t="shared" si="0"/>
        <v>0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" sqref="F1:AG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0</v>
      </c>
      <c r="J1" s="39">
        <f>COUNTIFS(J3:J366, "=APAGADO",E3:E366,"=Fibra Optica")</f>
        <v>0</v>
      </c>
      <c r="K1" s="39">
        <f>COUNTIFS(K3:K366, "=APAGADO",E3:E366,"=Fibra Optica")</f>
        <v>0</v>
      </c>
      <c r="L1" s="39">
        <f>COUNTIFS(L3:L366, "=APAGADO",E3:E366,"=Fibra Optica")</f>
        <v>0</v>
      </c>
      <c r="M1" s="39">
        <f>COUNTIFS(M3:M366, "=APAGADO",E3:E366,"=Fibra Optica")</f>
        <v>0</v>
      </c>
      <c r="N1" s="39">
        <f>COUNTIFS(N3:N366, "=APAGADO",E3:E366,"=Fibra Optica")</f>
        <v>0</v>
      </c>
      <c r="O1" s="39">
        <f>COUNTIFS(O3:O366, "=APAGADO",E3:E366,"=Fibra Optica")</f>
        <v>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0</v>
      </c>
      <c r="J1" s="39">
        <f>COUNTIFS(J3:J366, "=APAGADO",E3:E366,"=radio")</f>
        <v>0</v>
      </c>
      <c r="K1" s="39">
        <f>COUNTIFS(K3:K366, "=APAGADO",E3:E366,"=radio")</f>
        <v>0</v>
      </c>
      <c r="L1" s="39">
        <f>COUNTIFS(L3:L366, "=APAGADO",E3:E366,"=radio")</f>
        <v>0</v>
      </c>
      <c r="M1" s="39">
        <f>COUNTIFS(M3:M366, "=APAGADO",E3:E366,"=radio")</f>
        <v>0</v>
      </c>
      <c r="N1" s="39">
        <f>COUNTIFS(N3:N366, "=APAGADO",E3:E366,"=radio")</f>
        <v>0</v>
      </c>
      <c r="O1" s="39">
        <f>COUNTIFS(O3:O366, "=APAGADO",E3:E366,"=radio")</f>
        <v>0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0</v>
      </c>
      <c r="C5">
        <f>'APAGADOS FIBRA'!I1</f>
        <v>0</v>
      </c>
      <c r="D5">
        <f t="shared" si="0"/>
        <v>0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0</v>
      </c>
      <c r="C6">
        <f>'APAGADOS FIBRA'!J1</f>
        <v>0</v>
      </c>
      <c r="D6">
        <f t="shared" si="0"/>
        <v>0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0</v>
      </c>
      <c r="C7">
        <f>'APAGADOS FIBRA'!K1</f>
        <v>0</v>
      </c>
      <c r="D7">
        <f t="shared" si="0"/>
        <v>0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0</v>
      </c>
      <c r="C8">
        <f>'APAGADOS FIBRA'!L1</f>
        <v>0</v>
      </c>
      <c r="D8">
        <f t="shared" si="0"/>
        <v>0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0</v>
      </c>
      <c r="C9">
        <f>'APAGADOS FIBRA'!M1</f>
        <v>0</v>
      </c>
      <c r="D9">
        <f t="shared" si="0"/>
        <v>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0</v>
      </c>
      <c r="C10">
        <f>'APAGADOS FIBRA'!N1</f>
        <v>0</v>
      </c>
      <c r="D10">
        <f t="shared" si="0"/>
        <v>0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0</v>
      </c>
      <c r="C11">
        <f>'APAGADOS FIBRA'!O1</f>
        <v>0</v>
      </c>
      <c r="D11">
        <f t="shared" si="0"/>
        <v>0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2022-02-03T11:36:51Z</dcterms:modified>
</cp:coreProperties>
</file>