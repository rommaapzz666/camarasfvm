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9DD29950-E4D6-412D-80E1-170B442EC6D2}" xr6:coauthVersionLast="47" xr6:coauthVersionMax="47" xr10:uidLastSave="{00000000-0000-0000-0000-000000000000}"/>
  <bookViews>
    <workbookView xWindow="28680" yWindow="-120" windowWidth="29040" windowHeight="16440" firstSheet="4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24" l="1"/>
  <c r="C39" i="24"/>
  <c r="D39" i="24" s="1"/>
  <c r="D33" i="24"/>
  <c r="C34" i="24"/>
  <c r="D34" i="24" s="1"/>
  <c r="D28" i="24"/>
  <c r="C29" i="24"/>
  <c r="D29" i="24" s="1"/>
  <c r="D23" i="24"/>
  <c r="C24" i="24"/>
  <c r="C25" i="24" s="1"/>
  <c r="A375" i="8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J375" i="8"/>
  <c r="K375" i="8"/>
  <c r="K377" i="11" s="1"/>
  <c r="L375" i="8"/>
  <c r="L377" i="11" s="1"/>
  <c r="M375" i="8"/>
  <c r="M377" i="11" s="1"/>
  <c r="N375" i="8"/>
  <c r="N377" i="21" s="1"/>
  <c r="O375" i="8"/>
  <c r="P375" i="8"/>
  <c r="Q375" i="8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G376" i="8"/>
  <c r="H376" i="8"/>
  <c r="H378" i="10" s="1"/>
  <c r="I376" i="8"/>
  <c r="I378" i="11" s="1"/>
  <c r="J376" i="8"/>
  <c r="J378" i="21" s="1"/>
  <c r="K376" i="8"/>
  <c r="K378" i="21" s="1"/>
  <c r="L376" i="8"/>
  <c r="M376" i="8"/>
  <c r="M378" i="21" s="1"/>
  <c r="N376" i="8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M382" i="8"/>
  <c r="N382" i="8"/>
  <c r="N384" i="10" s="1"/>
  <c r="O382" i="8"/>
  <c r="O384" i="10" s="1"/>
  <c r="P382" i="8"/>
  <c r="P384" i="10" s="1"/>
  <c r="Q382" i="8"/>
  <c r="Q384" i="10" s="1"/>
  <c r="R382" i="8"/>
  <c r="S382" i="8"/>
  <c r="S384" i="11" s="1"/>
  <c r="A383" i="8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R383" i="8"/>
  <c r="R384" i="9" s="1"/>
  <c r="S383" i="8"/>
  <c r="A384" i="8"/>
  <c r="A386" i="21" s="1"/>
  <c r="B384" i="8"/>
  <c r="B386" i="21" s="1"/>
  <c r="C384" i="8"/>
  <c r="C385" i="9" s="1"/>
  <c r="D384" i="8"/>
  <c r="D386" i="21" s="1"/>
  <c r="E384" i="8"/>
  <c r="F384" i="8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M384" i="8"/>
  <c r="M386" i="10" s="1"/>
  <c r="N384" i="8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D385" i="8"/>
  <c r="E385" i="8"/>
  <c r="E386" i="9" s="1"/>
  <c r="F385" i="8"/>
  <c r="F387" i="10" s="1"/>
  <c r="G385" i="8"/>
  <c r="G386" i="9" s="1"/>
  <c r="H385" i="8"/>
  <c r="H387" i="10" s="1"/>
  <c r="I385" i="8"/>
  <c r="J385" i="8"/>
  <c r="K385" i="8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F389" i="8"/>
  <c r="G389" i="8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M392" i="8"/>
  <c r="M393" i="9" s="1"/>
  <c r="N392" i="8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A377" i="10"/>
  <c r="E377" i="10"/>
  <c r="I377" i="10"/>
  <c r="O377" i="10"/>
  <c r="Q377" i="10"/>
  <c r="F378" i="10"/>
  <c r="N378" i="10"/>
  <c r="C379" i="10"/>
  <c r="K379" i="10"/>
  <c r="H380" i="10"/>
  <c r="N380" i="10"/>
  <c r="P380" i="10"/>
  <c r="E381" i="10"/>
  <c r="M381" i="10"/>
  <c r="B382" i="10"/>
  <c r="J382" i="10"/>
  <c r="R382" i="10"/>
  <c r="G383" i="10"/>
  <c r="O383" i="10"/>
  <c r="D384" i="10"/>
  <c r="G384" i="10"/>
  <c r="L384" i="10"/>
  <c r="A385" i="10"/>
  <c r="I385" i="10"/>
  <c r="Q385" i="10"/>
  <c r="F386" i="10"/>
  <c r="N386" i="10"/>
  <c r="C387" i="10"/>
  <c r="K387" i="10"/>
  <c r="H388" i="10"/>
  <c r="P388" i="10"/>
  <c r="A389" i="10"/>
  <c r="E389" i="10"/>
  <c r="M389" i="10"/>
  <c r="B390" i="10"/>
  <c r="J390" i="10"/>
  <c r="R390" i="10"/>
  <c r="G391" i="10"/>
  <c r="O391" i="10"/>
  <c r="D392" i="10"/>
  <c r="L392" i="10"/>
  <c r="A393" i="10"/>
  <c r="I393" i="10"/>
  <c r="Q393" i="10"/>
  <c r="F394" i="10"/>
  <c r="N394" i="10"/>
  <c r="C395" i="10"/>
  <c r="I395" i="10"/>
  <c r="K395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E380" i="9"/>
  <c r="I380" i="9"/>
  <c r="M380" i="9"/>
  <c r="B381" i="9"/>
  <c r="J381" i="9"/>
  <c r="P381" i="9"/>
  <c r="R381" i="9"/>
  <c r="G382" i="9"/>
  <c r="K382" i="9"/>
  <c r="O382" i="9"/>
  <c r="D383" i="9"/>
  <c r="H383" i="9"/>
  <c r="L383" i="9"/>
  <c r="P383" i="9"/>
  <c r="A384" i="9"/>
  <c r="I384" i="9"/>
  <c r="Q384" i="9"/>
  <c r="F385" i="9"/>
  <c r="N385" i="9"/>
  <c r="C386" i="9"/>
  <c r="K386" i="9"/>
  <c r="H387" i="9"/>
  <c r="P387" i="9"/>
  <c r="E388" i="9"/>
  <c r="M388" i="9"/>
  <c r="Q388" i="9"/>
  <c r="B389" i="9"/>
  <c r="F389" i="9"/>
  <c r="J389" i="9"/>
  <c r="R389" i="9"/>
  <c r="E390" i="9"/>
  <c r="G390" i="9"/>
  <c r="O390" i="9"/>
  <c r="D391" i="9"/>
  <c r="L391" i="9"/>
  <c r="A392" i="9"/>
  <c r="I392" i="9"/>
  <c r="Q392" i="9"/>
  <c r="F393" i="9"/>
  <c r="N393" i="9"/>
  <c r="C394" i="9"/>
  <c r="G394" i="9"/>
  <c r="K394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V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377" i="21"/>
  <c r="E377" i="21"/>
  <c r="I377" i="21"/>
  <c r="L377" i="21"/>
  <c r="O377" i="21"/>
  <c r="Q377" i="21"/>
  <c r="F378" i="21"/>
  <c r="I378" i="21"/>
  <c r="L378" i="21"/>
  <c r="N378" i="21"/>
  <c r="P378" i="21"/>
  <c r="C379" i="21"/>
  <c r="I379" i="21"/>
  <c r="K379" i="21"/>
  <c r="O379" i="21"/>
  <c r="C380" i="21"/>
  <c r="D380" i="21"/>
  <c r="F380" i="21"/>
  <c r="H380" i="21"/>
  <c r="P380" i="21"/>
  <c r="E381" i="21"/>
  <c r="M381" i="21"/>
  <c r="P381" i="21"/>
  <c r="B382" i="21"/>
  <c r="F382" i="21"/>
  <c r="J382" i="21"/>
  <c r="P382" i="21"/>
  <c r="R382" i="21"/>
  <c r="G383" i="21"/>
  <c r="K383" i="21"/>
  <c r="O383" i="21"/>
  <c r="D384" i="21"/>
  <c r="L384" i="21"/>
  <c r="O384" i="21"/>
  <c r="P384" i="21"/>
  <c r="Q384" i="21"/>
  <c r="R384" i="21"/>
  <c r="A385" i="21"/>
  <c r="I385" i="21"/>
  <c r="K385" i="21"/>
  <c r="Q385" i="21"/>
  <c r="F386" i="21"/>
  <c r="L386" i="21"/>
  <c r="N386" i="21"/>
  <c r="C387" i="21"/>
  <c r="E387" i="21"/>
  <c r="G387" i="21"/>
  <c r="I387" i="21"/>
  <c r="K387" i="21"/>
  <c r="H388" i="21"/>
  <c r="P388" i="21"/>
  <c r="A389" i="21"/>
  <c r="E389" i="21"/>
  <c r="M389" i="21"/>
  <c r="B390" i="21"/>
  <c r="J390" i="21"/>
  <c r="R390" i="21"/>
  <c r="G391" i="21"/>
  <c r="O391" i="21"/>
  <c r="D392" i="21"/>
  <c r="L392" i="21"/>
  <c r="A393" i="21"/>
  <c r="C393" i="21"/>
  <c r="I393" i="21"/>
  <c r="Q393" i="21"/>
  <c r="F394" i="21"/>
  <c r="N394" i="21"/>
  <c r="R394" i="21"/>
  <c r="C395" i="21"/>
  <c r="K395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377" i="11"/>
  <c r="I377" i="11"/>
  <c r="O377" i="11"/>
  <c r="Q377" i="11"/>
  <c r="B378" i="11"/>
  <c r="F378" i="11"/>
  <c r="N378" i="11"/>
  <c r="P378" i="11"/>
  <c r="Q378" i="11"/>
  <c r="R378" i="11"/>
  <c r="C379" i="11"/>
  <c r="K379" i="11"/>
  <c r="N379" i="11"/>
  <c r="O379" i="11"/>
  <c r="P379" i="11"/>
  <c r="H380" i="11"/>
  <c r="K380" i="11"/>
  <c r="P380" i="11"/>
  <c r="E381" i="11"/>
  <c r="M381" i="11"/>
  <c r="P381" i="11"/>
  <c r="Q381" i="11"/>
  <c r="B382" i="11"/>
  <c r="D382" i="11"/>
  <c r="F382" i="11"/>
  <c r="G382" i="11"/>
  <c r="H382" i="11"/>
  <c r="J382" i="11"/>
  <c r="N382" i="11"/>
  <c r="R382" i="11"/>
  <c r="A383" i="11"/>
  <c r="C383" i="11"/>
  <c r="D383" i="11"/>
  <c r="G383" i="11"/>
  <c r="K383" i="11"/>
  <c r="O383" i="11"/>
  <c r="D384" i="11"/>
  <c r="L384" i="11"/>
  <c r="P384" i="11"/>
  <c r="A385" i="11"/>
  <c r="D385" i="11"/>
  <c r="G385" i="11"/>
  <c r="I385" i="11"/>
  <c r="Q385" i="11"/>
  <c r="B386" i="11"/>
  <c r="F386" i="11"/>
  <c r="N386" i="11"/>
  <c r="P386" i="11"/>
  <c r="C387" i="11"/>
  <c r="K387" i="11"/>
  <c r="D388" i="11"/>
  <c r="H388" i="11"/>
  <c r="J388" i="11"/>
  <c r="N388" i="11"/>
  <c r="P388" i="11"/>
  <c r="A389" i="11"/>
  <c r="E389" i="11"/>
  <c r="M389" i="11"/>
  <c r="O389" i="11"/>
  <c r="P389" i="11"/>
  <c r="Q389" i="11"/>
  <c r="B390" i="11"/>
  <c r="J390" i="11"/>
  <c r="R390" i="11"/>
  <c r="A391" i="11"/>
  <c r="C391" i="11"/>
  <c r="G391" i="11"/>
  <c r="O391" i="11"/>
  <c r="R391" i="11"/>
  <c r="D392" i="11"/>
  <c r="F392" i="11"/>
  <c r="L392" i="11"/>
  <c r="P392" i="11"/>
  <c r="Q392" i="11"/>
  <c r="A393" i="11"/>
  <c r="I393" i="11"/>
  <c r="K393" i="11"/>
  <c r="M393" i="11"/>
  <c r="N393" i="11"/>
  <c r="Q393" i="11"/>
  <c r="F394" i="11"/>
  <c r="L394" i="11"/>
  <c r="N394" i="11"/>
  <c r="P394" i="11"/>
  <c r="C395" i="11"/>
  <c r="G395" i="11"/>
  <c r="K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I382" i="8"/>
  <c r="AI384" i="21" s="1"/>
  <c r="S385" i="2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S387" i="2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D18" i="24"/>
  <c r="C19" i="24"/>
  <c r="C20" i="24" s="1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Q387" i="10" l="1"/>
  <c r="C40" i="24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N393" i="2"/>
  <c r="N389" i="2"/>
  <c r="N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C35" i="24"/>
  <c r="C30" i="24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I1" i="8"/>
  <c r="AQ3" i="2"/>
  <c r="AR3" i="2"/>
  <c r="S367" i="9" l="1"/>
  <c r="D40" i="24"/>
  <c r="C41" i="24"/>
  <c r="D41" i="24" s="1"/>
  <c r="A368" i="10"/>
  <c r="D35" i="24"/>
  <c r="C36" i="24"/>
  <c r="D36" i="24" s="1"/>
  <c r="D30" i="24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H2" i="21"/>
  <c r="AH2" i="10"/>
  <c r="AI2" i="21"/>
  <c r="AI2" i="10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B1" i="2"/>
  <c r="F29" i="14" l="1"/>
  <c r="F28" i="14"/>
  <c r="F22" i="14"/>
  <c r="F27" i="14"/>
  <c r="F26" i="14"/>
  <c r="F23" i="14"/>
  <c r="F25" i="14"/>
  <c r="F24" i="14"/>
  <c r="F17" i="14"/>
  <c r="F21" i="14"/>
  <c r="F20" i="14"/>
  <c r="F19" i="14"/>
  <c r="F18" i="14"/>
  <c r="F16" i="14"/>
  <c r="AC2" i="21"/>
  <c r="D25" i="14" s="1"/>
  <c r="U2" i="21"/>
  <c r="D17" i="14" s="1"/>
  <c r="M2" i="21"/>
  <c r="D1" i="21"/>
  <c r="S2" i="21"/>
  <c r="AB2" i="21"/>
  <c r="D24" i="14" s="1"/>
  <c r="T2" i="21"/>
  <c r="L2" i="21"/>
  <c r="D8" i="14" s="1"/>
  <c r="Z2" i="21"/>
  <c r="D22" i="14" s="1"/>
  <c r="R2" i="21"/>
  <c r="D14" i="14" s="1"/>
  <c r="J2" i="21"/>
  <c r="AA2" i="21"/>
  <c r="D23" i="14" s="1"/>
  <c r="Y2" i="21"/>
  <c r="D21" i="14" s="1"/>
  <c r="Q2" i="21"/>
  <c r="I2" i="21"/>
  <c r="K2" i="21"/>
  <c r="X2" i="21"/>
  <c r="D20" i="14" s="1"/>
  <c r="P2" i="21"/>
  <c r="D12" i="14" s="1"/>
  <c r="H2" i="21"/>
  <c r="D4" i="14" s="1"/>
  <c r="W2" i="21"/>
  <c r="D19" i="14" s="1"/>
  <c r="O2" i="21"/>
  <c r="D11" i="14" s="1"/>
  <c r="G2" i="21"/>
  <c r="D3" i="14" s="1"/>
  <c r="AD2" i="21"/>
  <c r="D26" i="14" s="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D16" i="14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D15" i="14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D13" i="14"/>
  <c r="D5" i="14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D6" i="14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P1" i="9" l="1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AF2" i="10"/>
  <c r="C28" i="14" s="1"/>
  <c r="AG1" i="9"/>
  <c r="P2" i="10"/>
  <c r="AA2" i="10"/>
  <c r="C23" i="14" s="1"/>
  <c r="AB2" i="10"/>
  <c r="C24" i="14" s="1"/>
  <c r="U1" i="9"/>
  <c r="V1" i="9"/>
  <c r="G1" i="9"/>
  <c r="R1" i="9"/>
  <c r="K1" i="9"/>
  <c r="AG2" i="21"/>
  <c r="D29" i="14" s="1"/>
  <c r="Q2" i="10"/>
  <c r="D1" i="10"/>
  <c r="V2" i="10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O2" i="11"/>
  <c r="B11" i="14" s="1"/>
  <c r="AG2" i="11"/>
  <c r="C19" i="14"/>
  <c r="C18" i="14"/>
  <c r="R2" i="11"/>
  <c r="B14" i="14" s="1"/>
  <c r="C13" i="14"/>
  <c r="C12" i="14"/>
  <c r="P2" i="11"/>
  <c r="B12" i="14" s="1"/>
  <c r="AB2" i="11"/>
  <c r="B24" i="14" s="1"/>
  <c r="E24" i="14" s="1"/>
  <c r="G24" i="14" s="1"/>
  <c r="V2" i="11"/>
  <c r="B18" i="14" s="1"/>
  <c r="G2" i="11"/>
  <c r="B3" i="14" s="1"/>
  <c r="Q2" i="11"/>
  <c r="B13" i="14" s="1"/>
  <c r="K2" i="11"/>
  <c r="AA2" i="11"/>
  <c r="B23" i="14" s="1"/>
  <c r="E23" i="14" s="1"/>
  <c r="G23" i="14" s="1"/>
  <c r="L2" i="11"/>
  <c r="B8" i="14" s="1"/>
  <c r="AC2" i="11"/>
  <c r="B25" i="14" s="1"/>
  <c r="E25" i="14" s="1"/>
  <c r="G25" i="14" s="1"/>
  <c r="F2" i="11"/>
  <c r="U2" i="11"/>
  <c r="B17" i="14" s="1"/>
  <c r="AE2" i="11"/>
  <c r="B27" i="14" s="1"/>
  <c r="E27" i="14" s="1"/>
  <c r="G27" i="14" s="1"/>
  <c r="AF2" i="11"/>
  <c r="X2" i="11"/>
  <c r="B20" i="14" s="1"/>
  <c r="AD2" i="11"/>
  <c r="B26" i="14" s="1"/>
  <c r="E26" i="14" s="1"/>
  <c r="G26" i="14" s="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B28" i="14" l="1"/>
  <c r="E28" i="14" s="1"/>
  <c r="G28" i="14" s="1"/>
  <c r="B29" i="14"/>
  <c r="E29" i="14" s="1"/>
  <c r="G29" i="14" s="1"/>
  <c r="E22" i="14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<sst xmlns="http://schemas.openxmlformats.org/spreadsheetml/2006/main" count="4127" uniqueCount="1403">
  <si>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</si>
  <si>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</si>
  <si>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</si>
  <si>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</si>
  <si>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</si>
  <si>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</si>
  <si>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</si>
  <si>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</si>
  <si>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</si>
  <si>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</si>
  <si>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</si>
  <si>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</si>
  <si>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</si>
  <si>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</si>
  <si>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</si>
  <si>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</si>
  <si>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</si>
  <si>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</si>
  <si>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</si>
  <si>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</si>
  <si>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</si>
  <si>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</si>
  <si>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</si>
  <si>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</si>
  <si>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</si>
  <si>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</si>
  <si>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</si>
  <si>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</si>
  <si>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</si>
  <si>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</si>
  <si>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</si>
  <si>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</si>
  <si>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</si>
  <si>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</si>
  <si>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</si>
  <si>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</si>
  <si>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</si>
  <si>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</si>
  <si>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</si>
  <si>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</si>
  <si>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</si>
  <si>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</si>
  <si>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</si>
  <si>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</si>
  <si>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</si>
  <si>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</si>
  <si>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</si>
  <si>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</si>
  <si>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</si>
  <si>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</si>
  <si>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</si>
  <si>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</si>
  <si>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</si>
  <si>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</si>
  <si>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</si>
  <si>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</si>
  <si>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</si>
  <si>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</si>
  <si>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</si>
  <si>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</si>
  <si>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</si>
  <si>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</si>
  <si>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</si>
  <si>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</si>
  <si>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</si>
  <si>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</si>
  <si>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</si>
  <si>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</si>
  <si>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</si>
  <si>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</si>
  <si>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</si>
  <si>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</si>
  <si>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</si>
  <si>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</si>
  <si>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</si>
  <si>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</si>
  <si>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</si>
  <si>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</si>
  <si>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</si>
  <si>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</si>
  <si>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</si>
  <si>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</si>
  <si>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</si>
  <si>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</si>
  <si>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</si>
  <si>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</si>
  <si>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</si>
  <si>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</si>
  <si>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</si>
  <si>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</si>
  <si>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</si>
  <si>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</si>
  <si>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</si>
  <si>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</si>
  <si>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</si>
  <si>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</si>
  <si>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</si>
  <si>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</si>
  <si>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</si>
  <si>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</si>
  <si>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</si>
  <si>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</si>
  <si>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</si>
  <si>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</si>
  <si>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</si>
  <si>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</si>
  <si>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</si>
  <si>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</si>
  <si>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</si>
  <si>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</si>
  <si>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</si>
  <si>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</si>
  <si>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</si>
  <si>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</si>
  <si>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</si>
  <si>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</si>
  <si>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</si>
  <si>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</si>
  <si>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</si>
  <si>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</si>
  <si>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</si>
  <si>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</si>
  <si>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</si>
  <si>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</si>
  <si>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</si>
  <si>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</si>
  <si>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</si>
  <si>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</si>
  <si>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</si>
  <si>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</si>
  <si>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</si>
  <si>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</si>
  <si>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</si>
  <si>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</si>
  <si>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</si>
  <si>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</si>
  <si>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</si>
  <si>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</si>
  <si>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</si>
  <si>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</si>
  <si>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</si>
  <si>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</si>
  <si>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</si>
  <si>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</si>
  <si>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</si>
  <si>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</si>
  <si>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</si>
  <si>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</si>
  <si>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</si>
  <si>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</si>
  <si>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</si>
  <si>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</si>
  <si>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</si>
  <si>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</si>
  <si>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</si>
  <si>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</si>
  <si>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</si>
  <si>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</si>
  <si>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</si>
  <si>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</si>
  <si>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</si>
  <si>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</si>
  <si>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</si>
  <si>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</si>
  <si>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</si>
  <si>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</si>
  <si>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</si>
  <si>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</si>
  <si>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</si>
  <si>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</si>
  <si>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</si>
  <si>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</si>
  <si>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</si>
  <si>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</si>
  <si>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</si>
  <si>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</si>
  <si>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</si>
  <si>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</si>
  <si>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</si>
  <si>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</si>
  <si>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</si>
  <si>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</si>
  <si>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</si>
  <si>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</si>
  <si>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</si>
  <si>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</si>
  <si>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</si>
  <si>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</si>
  <si>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</si>
  <si>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</si>
  <si>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</si>
  <si>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</si>
  <si>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</si>
  <si>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</si>
  <si>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</si>
  <si>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</si>
  <si>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</si>
  <si>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</si>
  <si>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</si>
  <si>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</si>
  <si>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</si>
  <si>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</si>
  <si>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</si>
  <si>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</si>
  <si>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</si>
  <si>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</si>
  <si>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</si>
  <si>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</si>
  <si>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</si>
  <si>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</si>
  <si>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</si>
  <si>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</si>
  <si>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</si>
  <si>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</si>
  <si>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</si>
  <si>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</si>
  <si>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</si>
  <si>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</si>
  <si>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</si>
  <si>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</si>
  <si>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</si>
  <si>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</si>
  <si>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</si>
  <si>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</si>
  <si>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</si>
  <si>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</si>
  <si>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</si>
  <si>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</si>
  <si>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</si>
  <si>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</si>
  <si>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</si>
  <si>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</si>
  <si>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</si>
  <si>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</si>
  <si>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</si>
  <si>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</si>
  <si>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</si>
  <si>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</si>
  <si>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</si>
  <si>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</si>
  <si>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</si>
  <si>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</si>
  <si>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</si>
  <si>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</si>
  <si>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</si>
  <si>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</si>
  <si>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</si>
  <si>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</si>
  <si>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</si>
  <si>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</si>
  <si>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</si>
  <si>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</si>
  <si>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</si>
  <si>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</si>
  <si>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</si>
  <si>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</si>
  <si>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</si>
  <si>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</si>
  <si>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</si>
  <si>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</si>
  <si>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</si>
  <si>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</si>
  <si>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</si>
  <si>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</si>
  <si>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</si>
  <si>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</si>
  <si>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</si>
  <si>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</si>
  <si>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</si>
  <si>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</si>
  <si>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</si>
  <si>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</si>
  <si>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</si>
  <si>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</si>
  <si>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</si>
  <si>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</si>
  <si>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</si>
  <si>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</si>
  <si>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</si>
  <si>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</si>
  <si>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</si>
  <si>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</si>
  <si>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</si>
  <si>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</si>
  <si>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</si>
  <si>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</si>
  <si>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</si>
  <si>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</si>
  <si>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</si>
  <si>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</si>
  <si>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</si>
  <si>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</si>
  <si>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</si>
  <si>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</si>
  <si>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</si>
  <si>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</si>
  <si>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</si>
  <si>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</si>
  <si>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</si>
  <si>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</si>
  <si>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</si>
  <si>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</si>
  <si>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</si>
  <si>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</si>
  <si>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</si>
  <si>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</si>
  <si>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</si>
  <si>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</si>
  <si>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</si>
  <si>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</si>
  <si>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</si>
  <si>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</si>
  <si>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</si>
  <si>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</si>
  <si>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</si>
  <si>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</si>
  <si>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</si>
  <si>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</si>
  <si>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</si>
  <si>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</si>
  <si>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</si>
  <si>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</si>
  <si>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</si>
  <si>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</si>
  <si>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</si>
  <si>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</si>
  <si>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</si>
  <si>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</si>
  <si>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</si>
  <si>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</si>
  <si>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</si>
  <si>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</si>
  <si>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</si>
  <si>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</si>
  <si>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</si>
  <si>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</si>
  <si>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</si>
  <si>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</si>
  <si>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</si>
  <si>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</si>
  <si>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</si>
  <si>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</si>
  <si>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</si>
  <si>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</si>
  <si>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</si>
  <si>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</si>
  <si>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</si>
  <si>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</si>
  <si>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</si>
  <si>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</si>
  <si>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</si>
  <si>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</si>
  <si>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</si>
  <si>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</si>
  <si>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</si>
  <si>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</si>
  <si>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</si>
  <si>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</si>
  <si>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</si>
  <si>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</si>
  <si>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</si>
  <si>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</si>
  <si>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</si>
  <si>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</si>
  <si>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</si>
  <si>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</si>
  <si>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</si>
  <si>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</si>
  <si>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</si>
  <si>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</si>
  <si>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</si>
  <si>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</si>
  <si>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</si>
  <si>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</si>
  <si>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</si>
  <si>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</si>
  <si>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</si>
  <si>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</si>
  <si>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</si>
  <si>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</si>
  <si>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</si>
  <si>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</si>
  <si>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</si>
  <si>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</si>
  <si>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</si>
  <si>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</si>
  <si>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</si>
  <si>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</si>
  <si>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</si>
  <si>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</si>
  <si>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</si>
  <si>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</si>
  <si>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</si>
  <si>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</si>
  <si>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</si>
  <si>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</si>
  <si>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</si>
  <si>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</si>
  <si>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</si>
  <si>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</si>
  <si>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</si>
  <si>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</si>
  <si>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</si>
  <si>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</si>
  <si>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</si>
  <si>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</si>
  <si>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</si>
  <si>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</si>
  <si>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</si>
  <si>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</si>
  <si>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</si>
  <si>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</si>
  <si>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</si>
  <si>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</si>
  <si>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</si>
  <si>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</si>
  <si>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</si>
  <si>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</si>
  <si>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</si>
  <si>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</si>
  <si>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</si>
  <si>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</si>
  <si>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</si>
  <si>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</si>
  <si>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</si>
  <si>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</si>
  <si>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</si>
  <si>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</si>
  <si>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</si>
  <si>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</si>
  <si>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</si>
  <si>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</si>
  <si>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</si>
  <si>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</si>
  <si>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</si>
  <si>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</si>
  <si>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</si>
  <si>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</si>
  <si>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</si>
  <si>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</si>
  <si>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</si>
  <si>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</si>
  <si>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</si>
  <si>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</si>
  <si>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</si>
  <si>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</si>
  <si>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</si>
  <si>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</si>
  <si>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</si>
  <si>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</si>
  <si>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</si>
  <si>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</si>
  <si>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</si>
  <si>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</si>
  <si>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</si>
  <si>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</si>
  <si>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</si>
  <si>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</si>
  <si>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</si>
  <si>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</si>
  <si>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</si>
  <si>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</si>
  <si>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</si>
  <si>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</si>
  <si>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</si>
  <si>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</si>
  <si>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</si>
  <si>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</si>
  <si>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</si>
  <si>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</si>
  <si>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</si>
  <si>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</si>
  <si>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</si>
  <si>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</si>
  <si>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</si>
  <si>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</si>
  <si>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</si>
  <si>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</si>
  <si>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</si>
  <si>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</si>
  <si>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</si>
  <si>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</si>
  <si>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</si>
  <si>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</si>
  <si>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</si>
  <si>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</si>
  <si>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</si>
  <si>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</si>
  <si>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</si>
  <si>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</si>
  <si>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</si>
  <si>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</si>
  <si>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</si>
  <si>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</si>
  <si>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</si>
  <si>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</si>
  <si>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</si>
  <si>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</si>
  <si>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</si>
  <si>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</si>
  <si>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</si>
  <si>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</si>
  <si>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</si>
  <si>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</si>
  <si>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</si>
  <si>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</si>
  <si>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</si>
  <si>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</si>
  <si>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</si>
  <si>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</si>
  <si>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</si>
  <si>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</si>
  <si>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</si>
  <si>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</si>
  <si>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</si>
  <si>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</si>
  <si>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</si>
  <si>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</si>
  <si>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</si>
  <si>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</si>
  <si>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</si>
  <si>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</si>
  <si>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</si>
  <si>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</si>
  <si>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</si>
  <si>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</si>
  <si>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</si>
  <si>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</si>
  <si>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</si>
  <si>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</si>
  <si>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</si>
  <si>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</si>
  <si>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</si>
  <si>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</si>
  <si>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</si>
  <si>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</si>
  <si>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</si>
  <si>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</si>
  <si>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</si>
  <si>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</si>
  <si>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</si>
  <si>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</si>
  <si>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</si>
  <si>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</si>
  <si>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</si>
  <si>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</si>
  <si>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</si>
  <si>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</si>
  <si>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</si>
  <si>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</si>
  <si>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</si>
  <si>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</si>
  <si>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</si>
  <si>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</si>
  <si>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</si>
  <si>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</si>
  <si>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</si>
  <si>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</si>
  <si>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</si>
  <si>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</si>
  <si>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</si>
  <si>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</si>
  <si>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</si>
  <si>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</si>
  <si>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</si>
  <si>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</si>
  <si>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</si>
  <si>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</si>
  <si>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</si>
  <si>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</si>
  <si>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</si>
  <si>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</si>
  <si>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</si>
  <si>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</si>
  <si>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</si>
  <si>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</si>
  <si>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</si>
  <si>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</si>
  <si>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</si>
  <si>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</si>
  <si>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</si>
  <si>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</si>
  <si>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</si>
  <si>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</si>
  <si>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</si>
  <si>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</si>
  <si>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</si>
  <si>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</si>
  <si>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</si>
  <si>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</si>
  <si>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</si>
  <si>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</si>
  <si>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</si>
  <si>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</si>
  <si>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</si>
  <si>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</si>
  <si>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</si>
  <si>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</si>
  <si>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</si>
  <si>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</si>
  <si>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</si>
  <si>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</si>
  <si>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</si>
  <si>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</si>
  <si>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</si>
  <si>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</si>
  <si>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</si>
  <si>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</si>
  <si>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</si>
  <si>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</si>
  <si>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</si>
  <si>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</si>
  <si>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</si>
  <si>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</si>
  <si>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</si>
  <si>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</si>
  <si>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</si>
  <si>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</si>
  <si>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</si>
  <si>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</si>
  <si>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</si>
  <si>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</si>
  <si>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</si>
  <si>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</si>
  <si>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</si>
  <si>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</si>
  <si>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</si>
  <si>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</si>
  <si>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</si>
  <si>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</si>
  <si>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</si>
  <si>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</si>
  <si>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</si>
  <si>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</si>
  <si>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</si>
  <si>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</si>
  <si>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</si>
  <si>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</si>
  <si>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</si>
  <si>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</si>
  <si>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</si>
  <si>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</si>
  <si>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</si>
  <si>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</si>
  <si>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</si>
  <si>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</si>
  <si>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</si>
  <si>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</si>
  <si>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</si>
  <si>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</si>
  <si>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</si>
  <si>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</si>
  <si>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</si>
  <si>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</si>
  <si>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</si>
  <si>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</si>
  <si>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</si>
  <si>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</si>
  <si>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</si>
  <si>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</si>
  <si>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</si>
  <si>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</si>
  <si>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</si>
  <si>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</si>
  <si>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</si>
  <si>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</si>
  <si>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</si>
  <si>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</si>
  <si>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</si>
  <si>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</si>
  <si>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</si>
  <si>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</si>
  <si>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</si>
  <si>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</si>
  <si>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</si>
  <si>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</si>
  <si>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</si>
  <si>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</si>
  <si>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</si>
  <si>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</si>
  <si>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</si>
  <si>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</si>
  <si>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</si>
  <si>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</si>
  <si>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</si>
  <si>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</si>
  <si>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</si>
  <si>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</si>
  <si>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</si>
  <si>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</si>
  <si>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</si>
  <si>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</si>
  <si>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</si>
  <si>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</si>
  <si>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</si>
  <si>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</si>
  <si>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</si>
  <si>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</si>
  <si>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</si>
  <si>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</si>
  <si>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</si>
  <si>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</si>
  <si>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</si>
  <si>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</si>
  <si>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</si>
  <si>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</si>
  <si>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</si>
  <si>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</si>
  <si>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</si>
  <si>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</si>
  <si>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</si>
  <si>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</si>
  <si>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</si>
  <si>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</si>
  <si>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</si>
  <si>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</si>
  <si>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</si>
  <si>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</si>
  <si>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</si>
  <si>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</si>
  <si>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</si>
  <si>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</si>
  <si>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</si>
  <si>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</si>
  <si>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</si>
  <si>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</si>
  <si>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</si>
  <si>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</si>
  <si>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</si>
  <si>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</si>
  <si>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</si>
  <si>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</si>
  <si>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</si>
  <si>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</si>
  <si>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</si>
  <si>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</si>
  <si>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</si>
  <si>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</si>
  <si>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</si>
  <si>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</si>
  <si>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</si>
  <si>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</si>
  <si>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</si>
  <si>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</si>
  <si>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</si>
  <si>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</si>
  <si>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</si>
  <si>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</si>
  <si>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</si>
  <si>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</si>
  <si>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</si>
  <si>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</si>
  <si>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</si>
  <si>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</si>
  <si>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</si>
  <si>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</si>
  <si>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</si>
  <si>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</si>
  <si>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</si>
  <si>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</si>
  <si>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</si>
  <si>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</si>
  <si>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</si>
  <si>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</si>
  <si>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</si>
  <si>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</si>
  <si>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</si>
  <si>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</si>
  <si>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</si>
  <si>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</si>
  <si>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</si>
  <si>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</si>
  <si>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</si>
  <si>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</si>
  <si>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</si>
  <si>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</si>
  <si>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</si>
  <si>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</si>
  <si>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</si>
  <si>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</si>
  <si>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</si>
  <si>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</si>
  <si>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</si>
  <si>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</si>
  <si>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</si>
  <si>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</si>
  <si>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</si>
  <si>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</si>
  <si>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</si>
  <si>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</si>
  <si>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</si>
  <si>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</si>
  <si>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</si>
  <si>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</si>
  <si>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</si>
  <si>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</si>
  <si>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</si>
  <si>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</si>
  <si>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</si>
  <si>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</si>
  <si>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</si>
  <si>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</si>
  <si>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</si>
  <si>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</si>
  <si>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</si>
  <si>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</si>
  <si>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</si>
  <si>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</si>
  <si>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</si>
  <si>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</si>
  <si>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</si>
  <si>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</si>
  <si>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</si>
  <si>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</si>
  <si>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</si>
  <si>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</si>
  <si>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</si>
  <si>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</si>
  <si>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</si>
  <si>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</si>
  <si>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</si>
  <si>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</si>
  <si>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</si>
  <si>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</si>
  <si>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</si>
  <si>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</si>
  <si>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</si>
  <si>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</si>
  <si>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</si>
  <si>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</si>
  <si>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</si>
  <si>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</si>
  <si>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</si>
  <si>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</si>
  <si>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</si>
  <si>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</si>
  <si>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</si>
  <si>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</si>
  <si>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</si>
  <si>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</si>
  <si>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</si>
  <si>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</si>
  <si>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</si>
  <si>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</si>
  <si>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</si>
  <si>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</si>
  <si>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</si>
  <si>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</si>
  <si>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</si>
  <si>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</si>
  <si>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</si>
  <si>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</si>
  <si>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</si>
  <si>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</si>
  <si>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</si>
  <si>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</si>
  <si>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</si>
  <si>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</si>
  <si>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</si>
  <si>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</si>
  <si>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</si>
  <si>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</si>
  <si>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</si>
  <si>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</si>
  <si>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</si>
  <si>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</si>
  <si>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</si>
  <si>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</si>
  <si>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</si>
  <si>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</si>
  <si>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</si>
  <si>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</si>
  <si>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</si>
  <si>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</si>
  <si>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</si>
  <si>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</si>
  <si>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</si>
  <si>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</si>
  <si>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</si>
  <si>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</si>
  <si>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</si>
  <si>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</si>
  <si>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</si>
  <si>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</si>
  <si>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</si>
  <si>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</si>
  <si>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</si>
  <si>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</si>
  <si>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</si>
  <si>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</si>
  <si>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</si>
  <si>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</si>
  <si>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</si>
  <si>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</si>
  <si>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</si>
  <si>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</si>
  <si>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</si>
  <si>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</si>
  <si>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</si>
  <si>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</si>
  <si>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</si>
  <si>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</si>
  <si>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</si>
  <si>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</si>
  <si>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</si>
  <si>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</si>
  <si>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</si>
  <si>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</si>
  <si>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</si>
  <si>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</si>
  <si>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</si>
  <si>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</si>
  <si>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</si>
  <si>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</si>
  <si>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</si>
  <si>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</si>
  <si>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</si>
  <si>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</si>
  <si>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</si>
  <si>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</si>
  <si>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</si>
  <si>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</si>
  <si>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</si>
  <si>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</si>
  <si>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</si>
  <si>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</si>
  <si>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</si>
  <si>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</si>
  <si>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</si>
  <si>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</si>
  <si>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</si>
  <si>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</si>
  <si>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</si>
  <si>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</si>
  <si>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</si>
  <si>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</si>
  <si>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</si>
  <si>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</si>
  <si>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</si>
  <si>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</si>
  <si>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</si>
  <si>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</si>
  <si>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</si>
  <si>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</si>
  <si>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</si>
  <si>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</si>
  <si>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</si>
  <si>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</si>
  <si>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</si>
  <si>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</si>
  <si>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</si>
  <si>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</si>
  <si>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</si>
  <si>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</si>
  <si>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</si>
  <si>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</si>
  <si>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</si>
  <si>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</si>
  <si>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</si>
  <si>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</si>
  <si>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</si>
  <si>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</si>
  <si>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</si>
  <si>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</si>
  <si>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</si>
  <si>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</si>
  <si>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</si>
  <si>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</si>
  <si>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</si>
  <si>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</si>
  <si>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</si>
  <si>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</si>
  <si>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</si>
  <si>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</si>
  <si>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</si>
  <si>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</si>
  <si>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</si>
  <si>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</si>
  <si>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</si>
  <si>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</si>
  <si>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</si>
  <si>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</si>
  <si>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</si>
  <si>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</si>
  <si>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</si>
  <si>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</si>
  <si>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</si>
  <si>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</si>
  <si>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</si>
  <si>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</si>
  <si>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</si>
  <si>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</si>
  <si>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</si>
  <si>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</si>
  <si>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</si>
  <si>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</si>
  <si>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</si>
  <si>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</si>
  <si>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</si>
  <si>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</si>
  <si>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</si>
  <si>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</si>
  <si>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</si>
  <si>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</si>
  <si>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</si>
  <si>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</si>
  <si>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</si>
  <si>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</si>
  <si>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</si>
  <si>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</si>
  <si>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</si>
  <si>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</si>
  <si>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</si>
  <si>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</si>
  <si>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</si>
  <si>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</si>
  <si>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</si>
  <si>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</si>
  <si>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</si>
  <si>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</si>
  <si>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</si>
  <si>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</si>
  <si>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</si>
  <si>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</si>
  <si>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</si>
  <si>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</si>
  <si>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</si>
  <si>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</si>
  <si>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</si>
  <si>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</si>
  <si>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</si>
  <si>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</si>
  <si>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</si>
  <si>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</si>
  <si>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</si>
  <si>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</si>
  <si>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</si>
  <si>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</si>
  <si>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</si>
  <si>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</si>
  <si>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</si>
  <si>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</si>
  <si>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</si>
  <si>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</si>
  <si>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</si>
  <si>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</si>
  <si>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</si>
  <si>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</si>
  <si>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</si>
  <si>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</si>
  <si>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</si>
  <si>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</si>
  <si>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</si>
  <si>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</si>
  <si>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</si>
  <si>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</si>
  <si>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</si>
  <si>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</si>
  <si>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</si>
  <si>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</si>
  <si>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</si>
  <si>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</si>
  <si>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</si>
  <si>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</si>
  <si>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</si>
  <si>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</si>
  <si>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</si>
  <si>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</si>
  <si>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</si>
  <si>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</si>
  <si>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</si>
  <si>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</si>
  <si>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</si>
  <si>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</si>
  <si>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</si>
  <si>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</si>
  <si>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</si>
  <si>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</si>
  <si>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</si>
  <si>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</si>
  <si>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</si>
  <si>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</si>
  <si>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</si>
  <si>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</si>
  <si>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</si>
  <si>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</si>
  <si>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</si>
  <si>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</si>
  <si>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</si>
  <si>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</si>
  <si>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</si>
  <si>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</si>
  <si>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</si>
  <si>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</si>
  <si>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</si>
  <si>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</si>
  <si>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</si>
  <si>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</si>
  <si>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</si>
  <si>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</si>
  <si>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</si>
  <si>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</si>
  <si>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</si>
  <si>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</si>
  <si>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</si>
  <si>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</si>
  <si>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</si>
  <si>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</si>
  <si>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</si>
  <si>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</si>
  <si>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</si>
  <si>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</si>
  <si>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</si>
  <si>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</si>
  <si>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</si>
  <si>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</si>
  <si>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</si>
  <si>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</si>
  <si>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</si>
  <si>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</si>
  <si>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</si>
  <si>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</si>
  <si>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</si>
  <si>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</si>
  <si>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</si>
  <si>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</si>
  <si>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</si>
  <si>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</si>
  <si>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</si>
  <si>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</si>
  <si>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</si>
  <si>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</si>
  <si>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</si>
  <si>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</si>
  <si>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</si>
  <si>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</si>
  <si>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</si>
  <si>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</si>
  <si>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</si>
  <si>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</si>
  <si>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</si>
  <si>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</si>
  <si>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</si>
  <si>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</si>
  <si>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</si>
  <si>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</si>
  <si>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</si>
  <si>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</si>
  <si>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</si>
  <si>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</si>
  <si>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</si>
  <si>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</si>
  <si>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</si>
  <si>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</si>
  <si>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</si>
  <si>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</si>
  <si>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</si>
  <si>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</si>
  <si>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</si>
  <si>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</si>
  <si>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</si>
  <si>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</si>
  <si>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</si>
  <si>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</si>
  <si>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</si>
  <si>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</si>
  <si>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</si>
  <si>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</si>
  <si>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</si>
  <si>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</si>
  <si>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</si>
  <si>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</si>
  <si>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</si>
  <si>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</si>
  <si>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</si>
  <si>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</si>
  <si>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</si>
  <si>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</si>
  <si>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</si>
  <si>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</si>
  <si>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</si>
  <si>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</si>
  <si>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</si>
  <si>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</si>
  <si>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</si>
  <si>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</si>
  <si>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</si>
  <si>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</si>
  <si>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</si>
  <si>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</si>
  <si>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</si>
  <si>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</si>
  <si>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</si>
  <si>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</si>
  <si>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</si>
  <si>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</si>
  <si>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</si>
  <si>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</si>
  <si>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</si>
  <si>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</si>
  <si>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</si>
  <si>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</si>
  <si>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</si>
  <si>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</si>
  <si>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</si>
  <si>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</si>
  <si>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</si>
  <si>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</si>
  <si>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</si>
  <si>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</si>
  <si>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</si>
  <si>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</si>
  <si>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</si>
  <si>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</si>
  <si>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</si>
  <si>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</si>
  <si>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</si>
  <si>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</si>
  <si>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</si>
  <si>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</si>
  <si>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</si>
  <si>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</si>
  <si>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</si>
  <si>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</si>
  <si>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</si>
  <si>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</si>
  <si>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</si>
  <si>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</si>
  <si>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</si>
  <si>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</si>
  <si>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</si>
  <si>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</si>
  <si>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</si>
  <si>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</si>
  <si>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</si>
  <si>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</si>
  <si>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</si>
  <si>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</si>
  <si>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</si>
  <si>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</si>
  <si>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</si>
  <si>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</si>
  <si>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</si>
  <si>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</si>
  <si>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Peron y EspaÃ±a</t>
  </si>
  <si>
    <t>EspaÃ±a y Marmol</t>
  </si>
  <si>
    <t>EspaÃ±a y 9 de Julio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</si>
  <si>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</si>
  <si>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</si>
  <si>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</si>
  <si>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</si>
  <si>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</si>
  <si>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</si>
  <si>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</si>
  <si>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</si>
  <si>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</si>
  <si>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</si>
  <si>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</si>
  <si>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</si>
  <si>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</si>
  <si>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</si>
  <si>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</si>
  <si>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</si>
  <si>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</si>
  <si>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</si>
  <si>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</si>
  <si>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</si>
  <si>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</si>
  <si>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</si>
  <si>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</si>
  <si>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</si>
  <si>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</si>
  <si>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</si>
  <si>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</si>
  <si>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</si>
  <si>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</si>
  <si>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</si>
  <si>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</si>
  <si>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</si>
  <si>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</si>
  <si>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</si>
  <si>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</si>
  <si>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</si>
  <si>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</si>
  <si>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</si>
  <si>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</si>
  <si>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</si>
  <si>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</si>
  <si>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</si>
  <si>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</si>
  <si>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</si>
  <si>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</si>
  <si>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</si>
  <si>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</si>
  <si>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</si>
  <si>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</si>
  <si>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</si>
  <si>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</si>
  <si>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</si>
  <si>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</si>
  <si>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</si>
  <si>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</si>
  <si>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</si>
  <si>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</si>
  <si>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</si>
  <si>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</si>
  <si>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</si>
  <si>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</si>
  <si>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</si>
  <si>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</si>
  <si>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</si>
  <si>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</si>
  <si>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</si>
  <si>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</si>
  <si>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</si>
  <si>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</si>
  <si>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</si>
  <si>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</si>
  <si>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</si>
  <si>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</si>
  <si>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</si>
  <si>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</si>
  <si>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</si>
  <si>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</si>
  <si>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</si>
  <si>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</si>
  <si>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</si>
  <si>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</si>
  <si>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</si>
  <si>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</si>
  <si>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</si>
  <si>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</si>
  <si>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</si>
  <si>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</si>
  <si>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</si>
  <si>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</si>
  <si>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</si>
  <si>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</si>
  <si>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</si>
  <si>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</si>
  <si>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</si>
  <si>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</si>
  <si>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</si>
  <si>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</si>
  <si>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</si>
  <si>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</si>
  <si>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</si>
  <si>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</si>
  <si>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</si>
  <si>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</si>
  <si>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</si>
  <si>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</si>
  <si>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</si>
  <si>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</si>
  <si>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</si>
  <si>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</si>
  <si>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</si>
  <si>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</si>
  <si>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</si>
  <si>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</si>
  <si>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</si>
  <si>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</si>
  <si>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</si>
  <si>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</si>
  <si>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</si>
  <si>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</si>
  <si>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Eva Peron y PueyrredÃ³n</t>
  </si>
  <si>
    <t>Eva PerÃ³n y Lavalle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</si>
  <si>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</si>
  <si>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</si>
  <si>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</si>
  <si>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</si>
  <si>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</si>
  <si>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</si>
  <si>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</si>
  <si>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</si>
  <si>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</si>
  <si>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</si>
  <si>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</si>
  <si>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</si>
  <si>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</si>
  <si>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</si>
  <si>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</si>
  <si>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</si>
  <si>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</si>
  <si>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</si>
  <si>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</si>
  <si>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</si>
  <si>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</si>
  <si>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</si>
  <si>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</si>
  <si>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</si>
  <si>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f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</si>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</sst>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55</c:v>
                </c:pt>
                <c:pt idx="2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55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  <c:pt idx="22">
                  <c:v>8.9285714285714288E-2</c:v>
                </c:pt>
                <c:pt idx="23">
                  <c:v>9.1836734693877556E-2</c:v>
                </c:pt>
                <c:pt idx="24">
                  <c:v>9.6938775510204078E-2</c:v>
                </c:pt>
                <c:pt idx="25">
                  <c:v>0.10204081632653061</c:v>
                </c:pt>
                <c:pt idx="26">
                  <c:v>0.14030612244897958</c:v>
                </c:pt>
                <c:pt idx="27">
                  <c:v>0.12755102040816327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55</c:v>
                </c:pt>
                <c:pt idx="2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55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  <c:pt idx="22">
                  <c:v>8.9285714285714288E-2</c:v>
                </c:pt>
                <c:pt idx="23">
                  <c:v>9.1836734693877556E-2</c:v>
                </c:pt>
                <c:pt idx="24">
                  <c:v>9.6938775510204078E-2</c:v>
                </c:pt>
                <c:pt idx="25">
                  <c:v>0.10204081632653061</c:v>
                </c:pt>
                <c:pt idx="26">
                  <c:v>0.14030612244897958</c:v>
                </c:pt>
                <c:pt idx="27">
                  <c:v>0.12755102040816327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sheetPr filterMode="1"/>
  <dimension ref="A1:AS676"/>
  <sheetViews>
    <sheetView tabSelected="1" zoomScale="84" zoomScaleNormal="84" workbookViewId="0">
      <pane xSplit="14" ySplit="4" topLeftCell="AM108" activePane="bottomRight" state="frozen"/>
      <selection pane="topRight" activeCell="M1" sqref="M1"/>
      <selection pane="bottomLeft" activeCell="A5" sqref="A5"/>
      <selection pane="bottomRight" activeCell="K167" sqref="K167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5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0.18112244897959184</v>
      </c>
      <c r="AF1" s="4">
        <f t="shared" si="0"/>
        <v>0.08</v>
      </c>
      <c r="AG1" s="4">
        <f t="shared" si="0"/>
        <v>7.1999999999999995E-2</v>
      </c>
      <c r="AH1" s="4">
        <f t="shared" si="0"/>
        <v>6.3324538258575203E-2</v>
      </c>
      <c r="AI1" s="4">
        <f t="shared" si="0"/>
        <v>6.0686015831134567E-2</v>
      </c>
      <c r="AJ1" s="4">
        <f t="shared" si="0"/>
        <v>6.5963060686015831E-2</v>
      </c>
      <c r="AK1" s="4">
        <f t="shared" si="0"/>
        <v>9.2348284960422161E-2</v>
      </c>
      <c r="AL1" s="4">
        <f t="shared" si="0"/>
        <v>9.498680738786279E-2</v>
      </c>
      <c r="AM1" s="4">
        <f t="shared" si="0"/>
        <v>0.10026385224274406</v>
      </c>
      <c r="AN1" s="4">
        <f t="shared" si="0"/>
        <v>0.10554089709762533</v>
      </c>
      <c r="AO1" s="4">
        <f t="shared" si="0"/>
        <v>0.14511873350923482</v>
      </c>
      <c r="AP1" s="4">
        <f t="shared" si="0"/>
        <v>0.13192612137203166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3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321</v>
      </c>
      <c r="AF2" s="10">
        <f t="shared" si="3"/>
        <v>345</v>
      </c>
      <c r="AG2" s="10">
        <f t="shared" si="3"/>
        <v>348</v>
      </c>
      <c r="AH2" s="10">
        <f t="shared" si="3"/>
        <v>355</v>
      </c>
      <c r="AI2" s="10">
        <f>COUNTIF(AI5:AI379, "")</f>
        <v>356</v>
      </c>
      <c r="AJ2" s="10">
        <f>COUNTIF(AJ5:AJ379, "")</f>
        <v>354</v>
      </c>
      <c r="AK2" s="10">
        <f>COUNTIF(AK5:AK379, "")</f>
        <v>344</v>
      </c>
      <c r="AL2" s="10">
        <f>COUNTIF(AL5:AL379, "")</f>
        <v>343</v>
      </c>
      <c r="AM2" s="10">
        <f t="shared" ref="AM2:AQ2" si="4">COUNTIF(AM5:AM379, "")</f>
        <v>341</v>
      </c>
      <c r="AN2" s="10">
        <f t="shared" si="4"/>
        <v>339</v>
      </c>
      <c r="AO2" s="10">
        <f t="shared" si="4"/>
        <v>324</v>
      </c>
      <c r="AP2" s="10">
        <f t="shared" si="4"/>
        <v>329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71</v>
      </c>
      <c r="AF3" s="14">
        <f t="shared" si="5"/>
        <v>30</v>
      </c>
      <c r="AG3" s="14">
        <f t="shared" si="5"/>
        <v>27</v>
      </c>
      <c r="AH3" s="14">
        <f t="shared" si="5"/>
        <v>24</v>
      </c>
      <c r="AI3" s="14">
        <f t="shared" si="5"/>
        <v>23</v>
      </c>
      <c r="AJ3" s="14">
        <f t="shared" si="5"/>
        <v>25</v>
      </c>
      <c r="AK3" s="14">
        <f t="shared" si="5"/>
        <v>35</v>
      </c>
      <c r="AL3" s="14">
        <f t="shared" si="5"/>
        <v>36</v>
      </c>
      <c r="AM3" s="14">
        <f t="shared" si="5"/>
        <v>38</v>
      </c>
      <c r="AN3" s="14">
        <f t="shared" si="5"/>
        <v>40</v>
      </c>
      <c r="AO3" s="14">
        <f t="shared" si="5"/>
        <v>55</v>
      </c>
      <c r="AP3" s="14">
        <f t="shared" si="5"/>
        <v>50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0.6" thickTop="1" thickBot="1" x14ac:dyDescent="0.4">
      <c r="A4" t="s">
        <v>7</v>
      </c>
      <c r="B4" s="45" t="s">
        <v>8</v>
      </c>
      <c r="C4" s="102" t="s">
        <v>1396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5.6" hidden="1" thickTop="1" thickBot="1" x14ac:dyDescent="0.35">
      <c r="A5" s="51" t="s">
        <v>34</v>
      </c>
      <c r="B5" s="51" t="s">
        <v>1214</v>
      </c>
      <c r="C5" s="51" t="s">
        <v>1397</v>
      </c>
      <c r="D5" s="51" t="s">
        <v>44</v>
      </c>
      <c r="E5" s="51" t="s">
        <v>24</v>
      </c>
      <c r="F5" s="51" t="s">
        <v>1388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 t="s">
        <v>1209</v>
      </c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hidden="1" thickBot="1" x14ac:dyDescent="0.35">
      <c r="A6" s="51" t="s">
        <v>34</v>
      </c>
      <c r="B6" s="51" t="s">
        <v>1215</v>
      </c>
      <c r="C6" s="51" t="s">
        <v>1397</v>
      </c>
      <c r="D6" s="51" t="s">
        <v>46</v>
      </c>
      <c r="E6" s="51" t="s">
        <v>24</v>
      </c>
      <c r="F6" s="51" t="s">
        <v>1388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hidden="1" thickBot="1" x14ac:dyDescent="0.35">
      <c r="A7" s="51" t="s">
        <v>34</v>
      </c>
      <c r="B7" s="51" t="s">
        <v>1216</v>
      </c>
      <c r="C7" s="51" t="s">
        <v>1397</v>
      </c>
      <c r="D7" s="51" t="s">
        <v>35</v>
      </c>
      <c r="E7" s="51" t="s">
        <v>24</v>
      </c>
      <c r="F7" s="51" t="s">
        <v>1389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11</v>
      </c>
      <c r="M7" s="17">
        <f t="shared" si="8"/>
        <v>19</v>
      </c>
      <c r="N7" s="18">
        <f t="shared" si="9"/>
        <v>0.36666666666666664</v>
      </c>
      <c r="O7" s="27" t="s">
        <v>1209</v>
      </c>
      <c r="P7" s="8" t="s">
        <v>1209</v>
      </c>
      <c r="Q7" s="8" t="s">
        <v>1209</v>
      </c>
      <c r="R7" s="8" t="s">
        <v>1209</v>
      </c>
      <c r="S7" s="27" t="s">
        <v>1209</v>
      </c>
      <c r="T7" s="27"/>
      <c r="U7" s="8" t="s">
        <v>1209</v>
      </c>
      <c r="V7" s="8" t="s">
        <v>1209</v>
      </c>
      <c r="W7" s="8" t="s">
        <v>1209</v>
      </c>
      <c r="X7" s="27" t="s">
        <v>1209</v>
      </c>
      <c r="Y7" s="27" t="s">
        <v>1209</v>
      </c>
      <c r="Z7" s="27" t="s">
        <v>1209</v>
      </c>
      <c r="AA7" s="27" t="s">
        <v>1209</v>
      </c>
      <c r="AB7" s="27" t="s">
        <v>1209</v>
      </c>
      <c r="AC7" s="27" t="s">
        <v>1209</v>
      </c>
      <c r="AD7" s="27" t="s">
        <v>1209</v>
      </c>
      <c r="AE7" s="27" t="s">
        <v>1209</v>
      </c>
      <c r="AF7" s="27" t="s">
        <v>1209</v>
      </c>
      <c r="AG7" s="27" t="s">
        <v>1209</v>
      </c>
      <c r="AH7" s="27" t="s">
        <v>1209</v>
      </c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hidden="1" thickBot="1" x14ac:dyDescent="0.35">
      <c r="A8" s="51" t="s">
        <v>34</v>
      </c>
      <c r="B8" s="51" t="s">
        <v>1217</v>
      </c>
      <c r="C8" s="51" t="s">
        <v>1397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1209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hidden="1" thickBot="1" x14ac:dyDescent="0.35">
      <c r="A9" s="51" t="s">
        <v>34</v>
      </c>
      <c r="B9" s="51" t="s">
        <v>1218</v>
      </c>
      <c r="C9" s="51" t="s">
        <v>1397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hidden="1" thickBot="1" x14ac:dyDescent="0.35">
      <c r="A10" s="51" t="s">
        <v>34</v>
      </c>
      <c r="B10" s="51" t="s">
        <v>1219</v>
      </c>
      <c r="C10" s="51" t="s">
        <v>1397</v>
      </c>
      <c r="D10" s="51" t="s">
        <v>1220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1209</v>
      </c>
      <c r="V10" s="8" t="s">
        <v>1209</v>
      </c>
      <c r="W10" s="8"/>
      <c r="X10" s="27"/>
      <c r="Y10" s="27"/>
      <c r="Z10" s="27" t="s">
        <v>1209</v>
      </c>
      <c r="AA10" s="27" t="s">
        <v>1209</v>
      </c>
      <c r="AB10" s="27" t="s">
        <v>1209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hidden="1" thickBot="1" x14ac:dyDescent="0.35">
      <c r="A11" s="51" t="s">
        <v>34</v>
      </c>
      <c r="B11" s="51" t="s">
        <v>38</v>
      </c>
      <c r="C11" s="51" t="s">
        <v>1397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hidden="1" thickBot="1" x14ac:dyDescent="0.35">
      <c r="A12" s="51" t="s">
        <v>34</v>
      </c>
      <c r="B12" s="51" t="s">
        <v>41</v>
      </c>
      <c r="C12" s="51" t="s">
        <v>1397</v>
      </c>
      <c r="D12" s="51" t="s">
        <v>42</v>
      </c>
      <c r="E12" s="51" t="s">
        <v>24</v>
      </c>
      <c r="F12" s="51" t="s">
        <v>1389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hidden="1" thickBot="1" x14ac:dyDescent="0.35">
      <c r="A13" s="51" t="s">
        <v>34</v>
      </c>
      <c r="B13" s="51" t="s">
        <v>48</v>
      </c>
      <c r="C13" s="51" t="s">
        <v>1397</v>
      </c>
      <c r="D13" s="51" t="s">
        <v>49</v>
      </c>
      <c r="E13" s="51" t="s">
        <v>24</v>
      </c>
      <c r="F13" s="51" t="s">
        <v>1389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1209</v>
      </c>
      <c r="V13" s="8" t="s">
        <v>1209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hidden="1" thickBot="1" x14ac:dyDescent="0.35">
      <c r="A14" s="51" t="s">
        <v>34</v>
      </c>
      <c r="B14" s="51" t="s">
        <v>51</v>
      </c>
      <c r="C14" s="51" t="s">
        <v>1397</v>
      </c>
      <c r="D14" s="51" t="s">
        <v>52</v>
      </c>
      <c r="E14" s="51" t="s">
        <v>19</v>
      </c>
      <c r="F14" s="51" t="s">
        <v>1389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1209</v>
      </c>
      <c r="V14" s="8" t="s">
        <v>1209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hidden="1" thickBot="1" x14ac:dyDescent="0.35">
      <c r="A15" s="51" t="s">
        <v>58</v>
      </c>
      <c r="B15" s="51" t="s">
        <v>1221</v>
      </c>
      <c r="C15" s="51"/>
      <c r="D15" s="51" t="s">
        <v>59</v>
      </c>
      <c r="E15" s="51" t="s">
        <v>24</v>
      </c>
      <c r="F15" s="51" t="s">
        <v>1388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hidden="1" thickBot="1" x14ac:dyDescent="0.35">
      <c r="A16" s="51" t="s">
        <v>61</v>
      </c>
      <c r="B16" s="51" t="s">
        <v>1222</v>
      </c>
      <c r="C16" s="51" t="s">
        <v>1397</v>
      </c>
      <c r="D16" s="51" t="s">
        <v>62</v>
      </c>
      <c r="E16" s="51" t="s">
        <v>19</v>
      </c>
      <c r="F16" s="51" t="s">
        <v>1388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26</v>
      </c>
      <c r="M16" s="17">
        <f t="shared" si="8"/>
        <v>4</v>
      </c>
      <c r="N16" s="18">
        <f t="shared" si="9"/>
        <v>0.8666666666666667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 t="s">
        <v>1209</v>
      </c>
      <c r="AL16" s="8"/>
      <c r="AM16" s="8" t="s">
        <v>1209</v>
      </c>
      <c r="AN16" s="27" t="s">
        <v>1209</v>
      </c>
      <c r="AO16" s="8" t="s">
        <v>1209</v>
      </c>
      <c r="AP16" s="8"/>
      <c r="AQ16" s="27"/>
      <c r="AR16" s="27"/>
      <c r="AS16" s="27"/>
    </row>
    <row r="17" spans="1:45" ht="15" hidden="1" thickBot="1" x14ac:dyDescent="0.35">
      <c r="A17" s="51" t="s">
        <v>72</v>
      </c>
      <c r="B17" s="51" t="s">
        <v>1223</v>
      </c>
      <c r="C17" s="51"/>
      <c r="D17" s="51" t="s">
        <v>1224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1209</v>
      </c>
      <c r="V17" s="8" t="s">
        <v>1209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hidden="1" thickBot="1" x14ac:dyDescent="0.35">
      <c r="A18" s="51" t="s">
        <v>72</v>
      </c>
      <c r="B18" s="51" t="s">
        <v>1225</v>
      </c>
      <c r="C18" s="51"/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1209</v>
      </c>
      <c r="V18" s="8" t="s">
        <v>1209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hidden="1" thickBot="1" x14ac:dyDescent="0.35">
      <c r="A19" s="51" t="s">
        <v>72</v>
      </c>
      <c r="B19" s="51" t="s">
        <v>1226</v>
      </c>
      <c r="C19" s="51"/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hidden="1" thickBot="1" x14ac:dyDescent="0.35">
      <c r="A20" s="51" t="s">
        <v>72</v>
      </c>
      <c r="B20" s="51" t="s">
        <v>1227</v>
      </c>
      <c r="C20" s="51" t="s">
        <v>1397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hidden="1" thickBot="1" x14ac:dyDescent="0.35">
      <c r="A21" s="51" t="s">
        <v>72</v>
      </c>
      <c r="B21" s="51" t="s">
        <v>1228</v>
      </c>
      <c r="C21" s="51"/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1209</v>
      </c>
      <c r="X21" s="27" t="s">
        <v>1209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hidden="1" thickBot="1" x14ac:dyDescent="0.35">
      <c r="A22" s="51" t="s">
        <v>72</v>
      </c>
      <c r="B22" s="51" t="s">
        <v>1229</v>
      </c>
      <c r="C22" s="51" t="s">
        <v>1397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24</v>
      </c>
      <c r="M22" s="17">
        <f t="shared" si="8"/>
        <v>6</v>
      </c>
      <c r="N22" s="18">
        <f t="shared" si="9"/>
        <v>0.8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 t="s">
        <v>1209</v>
      </c>
      <c r="AL22" s="8" t="s">
        <v>1209</v>
      </c>
      <c r="AM22" s="8" t="s">
        <v>1209</v>
      </c>
      <c r="AN22" s="27" t="s">
        <v>1209</v>
      </c>
      <c r="AO22" s="8" t="s">
        <v>1209</v>
      </c>
      <c r="AP22" s="8" t="s">
        <v>1209</v>
      </c>
      <c r="AQ22" s="27"/>
      <c r="AR22" s="27"/>
      <c r="AS22" s="27"/>
    </row>
    <row r="23" spans="1:45" ht="15" hidden="1" thickBot="1" x14ac:dyDescent="0.35">
      <c r="A23" s="51" t="s">
        <v>72</v>
      </c>
      <c r="B23" s="51" t="s">
        <v>1230</v>
      </c>
      <c r="C23" s="51" t="s">
        <v>1397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hidden="1" thickBot="1" x14ac:dyDescent="0.35">
      <c r="A24" s="51" t="s">
        <v>72</v>
      </c>
      <c r="B24" s="51" t="s">
        <v>68</v>
      </c>
      <c r="C24" s="51" t="s">
        <v>1397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hidden="1" thickBot="1" x14ac:dyDescent="0.35">
      <c r="A25" s="51" t="s">
        <v>72</v>
      </c>
      <c r="B25" s="51" t="s">
        <v>70</v>
      </c>
      <c r="C25" s="51"/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hidden="1" thickBot="1" x14ac:dyDescent="0.35">
      <c r="A26" s="51" t="s">
        <v>72</v>
      </c>
      <c r="B26" s="51" t="s">
        <v>73</v>
      </c>
      <c r="C26" s="51"/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hidden="1" thickBot="1" x14ac:dyDescent="0.35">
      <c r="A27" s="51" t="s">
        <v>72</v>
      </c>
      <c r="B27" s="51" t="s">
        <v>76</v>
      </c>
      <c r="C27" s="51" t="s">
        <v>1397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hidden="1" thickBot="1" x14ac:dyDescent="0.35">
      <c r="A28" s="51" t="s">
        <v>72</v>
      </c>
      <c r="B28" s="51" t="s">
        <v>78</v>
      </c>
      <c r="C28" s="51"/>
      <c r="D28" s="51" t="s">
        <v>79</v>
      </c>
      <c r="E28" s="51" t="s">
        <v>19</v>
      </c>
      <c r="F28" s="51" t="s">
        <v>1388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hidden="1" thickBot="1" x14ac:dyDescent="0.35">
      <c r="A29" s="51" t="s">
        <v>72</v>
      </c>
      <c r="B29" s="51" t="s">
        <v>83</v>
      </c>
      <c r="C29" s="51" t="s">
        <v>1397</v>
      </c>
      <c r="D29" s="51" t="s">
        <v>84</v>
      </c>
      <c r="E29" s="51" t="s">
        <v>19</v>
      </c>
      <c r="F29" s="51" t="s">
        <v>1389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24</v>
      </c>
      <c r="M29" s="17">
        <f t="shared" si="8"/>
        <v>6</v>
      </c>
      <c r="N29" s="18">
        <f t="shared" si="9"/>
        <v>0.8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 t="s">
        <v>1209</v>
      </c>
      <c r="AL29" s="8" t="s">
        <v>1209</v>
      </c>
      <c r="AM29" s="8" t="s">
        <v>1209</v>
      </c>
      <c r="AN29" s="27" t="s">
        <v>1209</v>
      </c>
      <c r="AO29" s="8" t="s">
        <v>1209</v>
      </c>
      <c r="AP29" s="8" t="s">
        <v>1209</v>
      </c>
      <c r="AQ29" s="27"/>
      <c r="AR29" s="27"/>
      <c r="AS29" s="27"/>
    </row>
    <row r="30" spans="1:45" ht="15" hidden="1" thickBot="1" x14ac:dyDescent="0.35">
      <c r="A30" s="51" t="s">
        <v>72</v>
      </c>
      <c r="B30" s="51" t="s">
        <v>86</v>
      </c>
      <c r="C30" s="51"/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hidden="1" thickBot="1" x14ac:dyDescent="0.35">
      <c r="A31" s="51" t="s">
        <v>72</v>
      </c>
      <c r="B31" s="51" t="s">
        <v>1231</v>
      </c>
      <c r="C31" s="51" t="s">
        <v>1397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1393</v>
      </c>
      <c r="L31" s="53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hidden="1" thickBot="1" x14ac:dyDescent="0.35">
      <c r="A32" s="51" t="s">
        <v>72</v>
      </c>
      <c r="B32" s="51" t="s">
        <v>92</v>
      </c>
      <c r="C32" s="51"/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hidden="1" thickBot="1" x14ac:dyDescent="0.35">
      <c r="A33" s="51" t="s">
        <v>72</v>
      </c>
      <c r="B33" s="51" t="s">
        <v>95</v>
      </c>
      <c r="C33" s="51" t="s">
        <v>1397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hidden="1" thickBot="1" x14ac:dyDescent="0.35">
      <c r="A34" s="51" t="s">
        <v>72</v>
      </c>
      <c r="B34" s="51" t="s">
        <v>97</v>
      </c>
      <c r="C34" s="51" t="s">
        <v>1397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21</v>
      </c>
      <c r="M34" s="17">
        <f t="shared" si="8"/>
        <v>9</v>
      </c>
      <c r="N34" s="18">
        <f t="shared" si="9"/>
        <v>0.7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 t="s">
        <v>1209</v>
      </c>
      <c r="AI34" s="27" t="s">
        <v>1209</v>
      </c>
      <c r="AJ34" s="27" t="s">
        <v>1209</v>
      </c>
      <c r="AK34" s="8" t="s">
        <v>1209</v>
      </c>
      <c r="AL34" s="8" t="s">
        <v>1209</v>
      </c>
      <c r="AM34" s="8" t="s">
        <v>1209</v>
      </c>
      <c r="AN34" s="27" t="s">
        <v>1209</v>
      </c>
      <c r="AO34" s="8" t="s">
        <v>1209</v>
      </c>
      <c r="AP34" s="8" t="s">
        <v>1209</v>
      </c>
      <c r="AQ34" s="27"/>
      <c r="AR34" s="27"/>
      <c r="AS34" s="27"/>
    </row>
    <row r="35" spans="1:45" ht="15" hidden="1" thickBot="1" x14ac:dyDescent="0.35">
      <c r="A35" s="51" t="s">
        <v>72</v>
      </c>
      <c r="B35" s="51" t="s">
        <v>1232</v>
      </c>
      <c r="C35" s="51" t="s">
        <v>1397</v>
      </c>
      <c r="D35" s="51" t="s">
        <v>1233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hidden="1" thickBot="1" x14ac:dyDescent="0.35">
      <c r="A36" s="51" t="s">
        <v>72</v>
      </c>
      <c r="B36" s="51" t="s">
        <v>1234</v>
      </c>
      <c r="C36" s="51"/>
      <c r="D36" s="51" t="s">
        <v>1235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13</v>
      </c>
      <c r="M36" s="17">
        <f t="shared" si="8"/>
        <v>17</v>
      </c>
      <c r="N36" s="18">
        <f t="shared" si="9"/>
        <v>0.43333333333333335</v>
      </c>
      <c r="O36" s="27"/>
      <c r="P36" s="8" t="s">
        <v>1209</v>
      </c>
      <c r="Q36" s="8" t="s">
        <v>1209</v>
      </c>
      <c r="R36" s="8" t="s">
        <v>1209</v>
      </c>
      <c r="S36" s="27" t="s">
        <v>1209</v>
      </c>
      <c r="T36" s="27"/>
      <c r="U36" s="8" t="s">
        <v>1209</v>
      </c>
      <c r="V36" s="8" t="s">
        <v>1209</v>
      </c>
      <c r="W36" s="8" t="s">
        <v>1209</v>
      </c>
      <c r="X36" s="27" t="s">
        <v>1209</v>
      </c>
      <c r="Y36" s="27" t="s">
        <v>1209</v>
      </c>
      <c r="Z36" s="27" t="s">
        <v>1209</v>
      </c>
      <c r="AA36" s="27" t="s">
        <v>1209</v>
      </c>
      <c r="AB36" s="27" t="s">
        <v>1209</v>
      </c>
      <c r="AC36" s="27" t="s">
        <v>1209</v>
      </c>
      <c r="AD36" s="27" t="s">
        <v>1209</v>
      </c>
      <c r="AE36" s="27" t="s">
        <v>1209</v>
      </c>
      <c r="AF36" s="27" t="s">
        <v>1209</v>
      </c>
      <c r="AG36" s="27" t="s">
        <v>1209</v>
      </c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hidden="1" thickBot="1" x14ac:dyDescent="0.35">
      <c r="A37" s="51" t="s">
        <v>72</v>
      </c>
      <c r="B37" s="51" t="s">
        <v>100</v>
      </c>
      <c r="C37" s="51" t="s">
        <v>1397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hidden="1" thickBot="1" x14ac:dyDescent="0.35">
      <c r="A38" s="51" t="s">
        <v>72</v>
      </c>
      <c r="B38" s="51" t="s">
        <v>104</v>
      </c>
      <c r="C38" s="51" t="s">
        <v>1397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hidden="1" thickBot="1" x14ac:dyDescent="0.35">
      <c r="A39" s="51" t="s">
        <v>72</v>
      </c>
      <c r="B39" s="51" t="s">
        <v>107</v>
      </c>
      <c r="C39" s="51"/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hidden="1" thickBot="1" x14ac:dyDescent="0.35">
      <c r="A40" s="51" t="s">
        <v>72</v>
      </c>
      <c r="B40" s="51" t="s">
        <v>110</v>
      </c>
      <c r="C40" s="51"/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hidden="1" thickBot="1" x14ac:dyDescent="0.35">
      <c r="A41" s="51" t="s">
        <v>72</v>
      </c>
      <c r="B41" s="51" t="s">
        <v>115</v>
      </c>
      <c r="C41" s="51"/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hidden="1" thickBot="1" x14ac:dyDescent="0.35">
      <c r="A42" s="51" t="s">
        <v>72</v>
      </c>
      <c r="B42" s="51" t="s">
        <v>118</v>
      </c>
      <c r="C42" s="51"/>
      <c r="D42" s="51" t="s">
        <v>1236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hidden="1" thickBot="1" x14ac:dyDescent="0.35">
      <c r="A43" s="51" t="s">
        <v>72</v>
      </c>
      <c r="B43" s="51" t="s">
        <v>121</v>
      </c>
      <c r="C43" s="51"/>
      <c r="D43" s="51" t="s">
        <v>1237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hidden="1" thickBot="1" x14ac:dyDescent="0.35">
      <c r="A44" s="51" t="s">
        <v>72</v>
      </c>
      <c r="B44" s="51" t="s">
        <v>123</v>
      </c>
      <c r="C44" s="51"/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hidden="1" thickBot="1" x14ac:dyDescent="0.35">
      <c r="A45" s="51" t="s">
        <v>72</v>
      </c>
      <c r="B45" s="51" t="s">
        <v>126</v>
      </c>
      <c r="C45" s="51"/>
      <c r="D45" s="51" t="s">
        <v>1238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hidden="1" thickBot="1" x14ac:dyDescent="0.35">
      <c r="A46" s="51" t="s">
        <v>72</v>
      </c>
      <c r="B46" s="51" t="s">
        <v>128</v>
      </c>
      <c r="C46" s="51"/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hidden="1" thickBot="1" x14ac:dyDescent="0.35">
      <c r="A47" s="51" t="s">
        <v>72</v>
      </c>
      <c r="B47" s="51" t="s">
        <v>135</v>
      </c>
      <c r="C47" s="51"/>
      <c r="D47" s="51" t="s">
        <v>1239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hidden="1" thickBot="1" x14ac:dyDescent="0.35">
      <c r="A48" s="51" t="s">
        <v>72</v>
      </c>
      <c r="B48" s="51" t="s">
        <v>137</v>
      </c>
      <c r="C48" s="51" t="s">
        <v>1397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hidden="1" thickBot="1" x14ac:dyDescent="0.35">
      <c r="A49" s="51" t="s">
        <v>72</v>
      </c>
      <c r="B49" s="51" t="s">
        <v>140</v>
      </c>
      <c r="C49" s="51" t="s">
        <v>1397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hidden="1" thickBot="1" x14ac:dyDescent="0.35">
      <c r="A50" s="51"/>
      <c r="B50" s="51" t="s">
        <v>144</v>
      </c>
      <c r="C50" s="51"/>
      <c r="D50" s="51" t="s">
        <v>145</v>
      </c>
      <c r="E50" s="51" t="s">
        <v>24</v>
      </c>
      <c r="F50" s="51" t="s">
        <v>1389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29</v>
      </c>
      <c r="M50" s="17">
        <f t="shared" si="8"/>
        <v>1</v>
      </c>
      <c r="N50" s="18">
        <f t="shared" si="9"/>
        <v>0.96666666666666667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1209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hidden="1" thickBot="1" x14ac:dyDescent="0.35">
      <c r="A51" s="51" t="s">
        <v>72</v>
      </c>
      <c r="B51" s="51" t="s">
        <v>148</v>
      </c>
      <c r="C51" s="51" t="s">
        <v>1397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hidden="1" thickBot="1" x14ac:dyDescent="0.35">
      <c r="A52" s="51" t="s">
        <v>72</v>
      </c>
      <c r="B52" s="51" t="s">
        <v>151</v>
      </c>
      <c r="C52" s="51"/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hidden="1" thickBot="1" x14ac:dyDescent="0.35">
      <c r="A53" s="51" t="s">
        <v>152</v>
      </c>
      <c r="B53" s="51" t="s">
        <v>153</v>
      </c>
      <c r="C53" s="51" t="s">
        <v>1397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24</v>
      </c>
      <c r="M53" s="17">
        <f t="shared" si="8"/>
        <v>6</v>
      </c>
      <c r="N53" s="18">
        <f t="shared" si="9"/>
        <v>0.8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 t="s">
        <v>1209</v>
      </c>
      <c r="AL53" s="8" t="s">
        <v>1209</v>
      </c>
      <c r="AM53" s="8" t="s">
        <v>1209</v>
      </c>
      <c r="AN53" s="27" t="s">
        <v>1209</v>
      </c>
      <c r="AO53" s="8" t="s">
        <v>1209</v>
      </c>
      <c r="AP53" s="8" t="s">
        <v>1209</v>
      </c>
      <c r="AQ53" s="27"/>
      <c r="AR53" s="27"/>
      <c r="AS53" s="27"/>
    </row>
    <row r="54" spans="1:45" ht="15" hidden="1" thickBot="1" x14ac:dyDescent="0.35">
      <c r="A54" s="51" t="s">
        <v>72</v>
      </c>
      <c r="B54" s="51" t="s">
        <v>156</v>
      </c>
      <c r="C54" s="51"/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hidden="1" thickBot="1" x14ac:dyDescent="0.35">
      <c r="A55" s="51" t="s">
        <v>72</v>
      </c>
      <c r="B55" s="51" t="s">
        <v>158</v>
      </c>
      <c r="C55" s="51"/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hidden="1" thickBot="1" x14ac:dyDescent="0.35">
      <c r="A56" s="51" t="s">
        <v>72</v>
      </c>
      <c r="B56" s="51" t="s">
        <v>161</v>
      </c>
      <c r="C56" s="51"/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hidden="1" thickBot="1" x14ac:dyDescent="0.35">
      <c r="A57" s="51" t="s">
        <v>72</v>
      </c>
      <c r="B57" s="51" t="s">
        <v>164</v>
      </c>
      <c r="C57" s="51"/>
      <c r="D57" s="51" t="s">
        <v>1240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hidden="1" thickBot="1" x14ac:dyDescent="0.35">
      <c r="A58" s="51" t="s">
        <v>72</v>
      </c>
      <c r="B58" s="51" t="s">
        <v>166</v>
      </c>
      <c r="C58" s="51" t="s">
        <v>1397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hidden="1" thickBot="1" x14ac:dyDescent="0.35">
      <c r="A59" s="51" t="s">
        <v>72</v>
      </c>
      <c r="B59" s="51" t="s">
        <v>169</v>
      </c>
      <c r="C59" s="51"/>
      <c r="D59" s="51" t="s">
        <v>1241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hidden="1" thickBot="1" x14ac:dyDescent="0.35">
      <c r="A60" s="51" t="s">
        <v>72</v>
      </c>
      <c r="B60" s="51" t="s">
        <v>171</v>
      </c>
      <c r="C60" s="51"/>
      <c r="D60" s="51" t="s">
        <v>1242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hidden="1" thickBot="1" x14ac:dyDescent="0.35">
      <c r="A61" s="51" t="s">
        <v>72</v>
      </c>
      <c r="B61" s="51" t="s">
        <v>172</v>
      </c>
      <c r="C61" s="51"/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hidden="1" thickBot="1" x14ac:dyDescent="0.35">
      <c r="A62" s="51" t="s">
        <v>72</v>
      </c>
      <c r="B62" s="51" t="s">
        <v>174</v>
      </c>
      <c r="C62" s="51"/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hidden="1" thickBot="1" x14ac:dyDescent="0.35">
      <c r="A63" s="51" t="s">
        <v>72</v>
      </c>
      <c r="B63" s="51" t="s">
        <v>176</v>
      </c>
      <c r="C63" s="51"/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hidden="1" thickBot="1" x14ac:dyDescent="0.35">
      <c r="A64" s="51" t="s">
        <v>72</v>
      </c>
      <c r="B64" s="51" t="s">
        <v>179</v>
      </c>
      <c r="C64" s="51"/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hidden="1" thickBot="1" x14ac:dyDescent="0.35">
      <c r="A65" s="51" t="s">
        <v>72</v>
      </c>
      <c r="B65" s="51" t="s">
        <v>182</v>
      </c>
      <c r="C65" s="51"/>
      <c r="D65" s="51" t="s">
        <v>1243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hidden="1" thickBot="1" x14ac:dyDescent="0.35">
      <c r="A66" s="51" t="s">
        <v>72</v>
      </c>
      <c r="B66" s="51" t="s">
        <v>183</v>
      </c>
      <c r="C66" s="51"/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hidden="1" thickBot="1" x14ac:dyDescent="0.35">
      <c r="A67" s="51" t="s">
        <v>72</v>
      </c>
      <c r="B67" s="51" t="s">
        <v>185</v>
      </c>
      <c r="C67" s="51"/>
      <c r="D67" s="51" t="s">
        <v>1244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hidden="1" thickBot="1" x14ac:dyDescent="0.35">
      <c r="A68" s="51" t="s">
        <v>72</v>
      </c>
      <c r="B68" s="51" t="s">
        <v>186</v>
      </c>
      <c r="C68" s="51" t="s">
        <v>1397</v>
      </c>
      <c r="D68" s="51" t="s">
        <v>1245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hidden="1" thickBot="1" x14ac:dyDescent="0.35">
      <c r="A69" s="51" t="s">
        <v>72</v>
      </c>
      <c r="B69" s="51" t="s">
        <v>187</v>
      </c>
      <c r="C69" s="51" t="s">
        <v>1397</v>
      </c>
      <c r="D69" s="51" t="s">
        <v>1246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hidden="1" thickBot="1" x14ac:dyDescent="0.35">
      <c r="A70" s="51" t="s">
        <v>72</v>
      </c>
      <c r="B70" s="51" t="s">
        <v>189</v>
      </c>
      <c r="C70" s="51" t="s">
        <v>1397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27</v>
      </c>
      <c r="M70" s="17">
        <f t="shared" si="11"/>
        <v>3</v>
      </c>
      <c r="N70" s="18">
        <f t="shared" si="12"/>
        <v>0.9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1209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 t="s">
        <v>1209</v>
      </c>
      <c r="AP70" s="8" t="s">
        <v>1209</v>
      </c>
      <c r="AQ70" s="27"/>
      <c r="AR70" s="27"/>
      <c r="AS70" s="27"/>
    </row>
    <row r="71" spans="1:45" ht="15" hidden="1" thickBot="1" x14ac:dyDescent="0.35">
      <c r="A71" s="51" t="s">
        <v>72</v>
      </c>
      <c r="B71" s="51" t="s">
        <v>191</v>
      </c>
      <c r="C71" s="51"/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hidden="1" thickBot="1" x14ac:dyDescent="0.35">
      <c r="A72" s="51" t="s">
        <v>72</v>
      </c>
      <c r="B72" s="51" t="s">
        <v>194</v>
      </c>
      <c r="C72" s="51"/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hidden="1" thickBot="1" x14ac:dyDescent="0.35">
      <c r="A73" s="51" t="s">
        <v>72</v>
      </c>
      <c r="B73" s="51" t="s">
        <v>196</v>
      </c>
      <c r="C73" s="51" t="s">
        <v>1397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hidden="1" thickBot="1" x14ac:dyDescent="0.35">
      <c r="A74" s="51" t="s">
        <v>72</v>
      </c>
      <c r="B74" s="51" t="s">
        <v>199</v>
      </c>
      <c r="C74" s="51" t="s">
        <v>1397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24</v>
      </c>
      <c r="M74" s="17">
        <f t="shared" si="11"/>
        <v>6</v>
      </c>
      <c r="N74" s="18">
        <f t="shared" si="12"/>
        <v>0.8</v>
      </c>
      <c r="O74" s="27" t="s">
        <v>1209</v>
      </c>
      <c r="P74" s="8" t="s">
        <v>1209</v>
      </c>
      <c r="Q74" s="8" t="s">
        <v>1209</v>
      </c>
      <c r="R74" s="8" t="s">
        <v>1209</v>
      </c>
      <c r="S74" s="27" t="s">
        <v>1209</v>
      </c>
      <c r="T74" s="27"/>
      <c r="U74" s="8" t="s">
        <v>1209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hidden="1" thickBot="1" x14ac:dyDescent="0.35">
      <c r="A75" s="51" t="s">
        <v>72</v>
      </c>
      <c r="B75" s="51" t="s">
        <v>201</v>
      </c>
      <c r="C75" s="51"/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hidden="1" thickBot="1" x14ac:dyDescent="0.35">
      <c r="A76" s="51" t="s">
        <v>72</v>
      </c>
      <c r="B76" s="51" t="s">
        <v>204</v>
      </c>
      <c r="C76" s="51" t="s">
        <v>1397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hidden="1" thickBot="1" x14ac:dyDescent="0.35">
      <c r="A77" s="51" t="s">
        <v>72</v>
      </c>
      <c r="B77" s="51" t="s">
        <v>206</v>
      </c>
      <c r="C77" s="51"/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hidden="1" thickBot="1" x14ac:dyDescent="0.35">
      <c r="A78" s="51" t="s">
        <v>72</v>
      </c>
      <c r="B78" s="51" t="s">
        <v>208</v>
      </c>
      <c r="C78" s="51"/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hidden="1" thickBot="1" x14ac:dyDescent="0.35">
      <c r="A79" s="51" t="s">
        <v>72</v>
      </c>
      <c r="B79" s="51" t="s">
        <v>209</v>
      </c>
      <c r="C79" s="51" t="s">
        <v>1397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hidden="1" thickBot="1" x14ac:dyDescent="0.35">
      <c r="A80" s="51" t="s">
        <v>72</v>
      </c>
      <c r="B80" s="51" t="s">
        <v>211</v>
      </c>
      <c r="C80" s="51"/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20</v>
      </c>
      <c r="M80" s="17">
        <f t="shared" si="11"/>
        <v>10</v>
      </c>
      <c r="N80" s="18">
        <f t="shared" si="12"/>
        <v>0.66666666666666663</v>
      </c>
      <c r="O80" s="27"/>
      <c r="P80" s="8"/>
      <c r="Q80" s="8" t="s">
        <v>1209</v>
      </c>
      <c r="R80" s="8" t="s">
        <v>1209</v>
      </c>
      <c r="S80" s="27" t="s">
        <v>1209</v>
      </c>
      <c r="T80" s="27"/>
      <c r="U80" s="8"/>
      <c r="V80" s="8"/>
      <c r="W80" s="8"/>
      <c r="X80" s="27"/>
      <c r="Y80" s="27"/>
      <c r="Z80" s="27" t="s">
        <v>1209</v>
      </c>
      <c r="AA80" s="27" t="s">
        <v>1209</v>
      </c>
      <c r="AB80" s="27" t="s">
        <v>1209</v>
      </c>
      <c r="AC80" s="27" t="s">
        <v>1209</v>
      </c>
      <c r="AD80" s="27" t="s">
        <v>1209</v>
      </c>
      <c r="AE80" s="27" t="s">
        <v>1209</v>
      </c>
      <c r="AF80" s="27" t="s">
        <v>1209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hidden="1" thickBot="1" x14ac:dyDescent="0.35">
      <c r="A81" s="51" t="s">
        <v>72</v>
      </c>
      <c r="B81" s="51" t="s">
        <v>215</v>
      </c>
      <c r="C81" s="51"/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hidden="1" thickBot="1" x14ac:dyDescent="0.35">
      <c r="A82" s="51" t="s">
        <v>72</v>
      </c>
      <c r="B82" s="51" t="s">
        <v>221</v>
      </c>
      <c r="C82" s="51" t="s">
        <v>1397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hidden="1" thickBot="1" x14ac:dyDescent="0.35">
      <c r="A83" s="51" t="s">
        <v>72</v>
      </c>
      <c r="B83" s="51" t="s">
        <v>1247</v>
      </c>
      <c r="C83" s="51"/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20</v>
      </c>
      <c r="M83" s="17">
        <f t="shared" si="11"/>
        <v>10</v>
      </c>
      <c r="N83" s="18">
        <f t="shared" si="12"/>
        <v>0.66666666666666663</v>
      </c>
      <c r="O83" s="27"/>
      <c r="P83" s="8"/>
      <c r="Q83" s="8" t="s">
        <v>1209</v>
      </c>
      <c r="R83" s="8" t="s">
        <v>1209</v>
      </c>
      <c r="S83" s="27" t="s">
        <v>1209</v>
      </c>
      <c r="T83" s="27"/>
      <c r="U83" s="8"/>
      <c r="V83" s="8"/>
      <c r="W83" s="8"/>
      <c r="X83" s="27"/>
      <c r="Y83" s="27"/>
      <c r="Z83" s="27" t="s">
        <v>1209</v>
      </c>
      <c r="AA83" s="27" t="s">
        <v>1209</v>
      </c>
      <c r="AB83" s="27" t="s">
        <v>1209</v>
      </c>
      <c r="AC83" s="27" t="s">
        <v>1209</v>
      </c>
      <c r="AD83" s="27" t="s">
        <v>1209</v>
      </c>
      <c r="AE83" s="27" t="s">
        <v>1209</v>
      </c>
      <c r="AF83" s="27" t="s">
        <v>1209</v>
      </c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hidden="1" thickBot="1" x14ac:dyDescent="0.35">
      <c r="A84" s="51" t="s">
        <v>72</v>
      </c>
      <c r="B84" s="51" t="s">
        <v>1248</v>
      </c>
      <c r="C84" s="51" t="s">
        <v>1397</v>
      </c>
      <c r="D84" s="51" t="s">
        <v>1249</v>
      </c>
      <c r="E84" s="51" t="s">
        <v>19</v>
      </c>
      <c r="F84" s="51" t="s">
        <v>1389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hidden="1" thickBot="1" x14ac:dyDescent="0.35">
      <c r="A85" s="51" t="s">
        <v>72</v>
      </c>
      <c r="B85" s="51" t="s">
        <v>1250</v>
      </c>
      <c r="C85" s="51" t="s">
        <v>1397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hidden="1" thickBot="1" x14ac:dyDescent="0.35">
      <c r="A86" s="51" t="s">
        <v>72</v>
      </c>
      <c r="B86" s="51" t="s">
        <v>224</v>
      </c>
      <c r="C86" s="51"/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hidden="1" thickBot="1" x14ac:dyDescent="0.35">
      <c r="A87" s="51" t="s">
        <v>72</v>
      </c>
      <c r="B87" s="51" t="s">
        <v>227</v>
      </c>
      <c r="C87" s="51" t="s">
        <v>1397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hidden="1" thickBot="1" x14ac:dyDescent="0.35">
      <c r="A88" s="51" t="s">
        <v>72</v>
      </c>
      <c r="B88" s="51" t="s">
        <v>228</v>
      </c>
      <c r="C88" s="51"/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hidden="1" thickBot="1" x14ac:dyDescent="0.35">
      <c r="A89" s="51" t="s">
        <v>72</v>
      </c>
      <c r="B89" s="51" t="s">
        <v>231</v>
      </c>
      <c r="C89" s="51" t="s">
        <v>1397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hidden="1" thickBot="1" x14ac:dyDescent="0.35">
      <c r="A90" s="51" t="s">
        <v>72</v>
      </c>
      <c r="B90" s="51" t="s">
        <v>232</v>
      </c>
      <c r="C90" s="51"/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hidden="1" customHeight="1" thickBot="1" x14ac:dyDescent="0.35">
      <c r="A91" s="51" t="s">
        <v>72</v>
      </c>
      <c r="B91" s="51" t="s">
        <v>235</v>
      </c>
      <c r="C91" s="51" t="s">
        <v>1397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24</v>
      </c>
      <c r="M91" s="17">
        <f t="shared" si="11"/>
        <v>6</v>
      </c>
      <c r="N91" s="18">
        <f t="shared" si="12"/>
        <v>0.8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 t="s">
        <v>1209</v>
      </c>
      <c r="AL91" s="8" t="s">
        <v>1209</v>
      </c>
      <c r="AM91" s="8" t="s">
        <v>1209</v>
      </c>
      <c r="AN91" s="27" t="s">
        <v>1209</v>
      </c>
      <c r="AO91" s="8" t="s">
        <v>1209</v>
      </c>
      <c r="AP91" s="8" t="s">
        <v>1209</v>
      </c>
      <c r="AQ91" s="27"/>
      <c r="AR91" s="27"/>
      <c r="AS91" s="27"/>
    </row>
    <row r="92" spans="1:45" ht="15" hidden="1" thickBot="1" x14ac:dyDescent="0.35">
      <c r="A92" s="51" t="s">
        <v>72</v>
      </c>
      <c r="B92" s="51" t="s">
        <v>238</v>
      </c>
      <c r="C92" s="51"/>
      <c r="D92" s="51" t="s">
        <v>239</v>
      </c>
      <c r="E92" s="51" t="s">
        <v>24</v>
      </c>
      <c r="F92" s="51" t="s">
        <v>1388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hidden="1" thickBot="1" x14ac:dyDescent="0.35">
      <c r="A93" s="51" t="s">
        <v>240</v>
      </c>
      <c r="B93" s="51" t="s">
        <v>241</v>
      </c>
      <c r="C93" s="51" t="s">
        <v>1397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hidden="1" thickBot="1" x14ac:dyDescent="0.35">
      <c r="A94" s="51" t="s">
        <v>243</v>
      </c>
      <c r="B94" s="51" t="s">
        <v>244</v>
      </c>
      <c r="C94" s="51"/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hidden="1" thickBot="1" x14ac:dyDescent="0.35">
      <c r="A95" s="51" t="s">
        <v>243</v>
      </c>
      <c r="B95" s="51" t="s">
        <v>247</v>
      </c>
      <c r="C95" s="51"/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hidden="1" thickBot="1" x14ac:dyDescent="0.35">
      <c r="A96" s="51" t="s">
        <v>243</v>
      </c>
      <c r="B96" s="51" t="s">
        <v>250</v>
      </c>
      <c r="C96" s="51" t="s">
        <v>1397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24</v>
      </c>
      <c r="M96" s="17">
        <f t="shared" si="11"/>
        <v>6</v>
      </c>
      <c r="N96" s="18">
        <f t="shared" si="12"/>
        <v>0.8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 t="s">
        <v>1209</v>
      </c>
      <c r="AL96" s="8" t="s">
        <v>1209</v>
      </c>
      <c r="AM96" s="8" t="s">
        <v>1209</v>
      </c>
      <c r="AN96" s="27" t="s">
        <v>1209</v>
      </c>
      <c r="AO96" s="8" t="s">
        <v>1209</v>
      </c>
      <c r="AP96" s="8" t="s">
        <v>1209</v>
      </c>
      <c r="AQ96" s="27"/>
      <c r="AR96" s="27"/>
      <c r="AS96" s="27"/>
    </row>
    <row r="97" spans="1:45" ht="15" thickBot="1" x14ac:dyDescent="0.35">
      <c r="A97" s="51" t="s">
        <v>256</v>
      </c>
      <c r="B97" s="51" t="s">
        <v>1251</v>
      </c>
      <c r="C97" s="51" t="s">
        <v>1398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s="51" t="s">
        <v>253</v>
      </c>
      <c r="B98" s="51" t="s">
        <v>254</v>
      </c>
      <c r="C98" s="51" t="s">
        <v>1398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s="51" t="s">
        <v>256</v>
      </c>
      <c r="B99" s="51" t="s">
        <v>257</v>
      </c>
      <c r="C99" s="51" t="s">
        <v>1398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hidden="1" thickBot="1" x14ac:dyDescent="0.35">
      <c r="A100" s="51" t="s">
        <v>264</v>
      </c>
      <c r="B100" s="51" t="s">
        <v>1252</v>
      </c>
      <c r="C100" s="51"/>
      <c r="D100" s="51" t="s">
        <v>265</v>
      </c>
      <c r="E100" s="51" t="s">
        <v>102</v>
      </c>
      <c r="F100" s="51" t="s">
        <v>1389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hidden="1" thickBot="1" x14ac:dyDescent="0.35">
      <c r="A101" s="51" t="s">
        <v>264</v>
      </c>
      <c r="B101" s="51" t="s">
        <v>1253</v>
      </c>
      <c r="C101" s="51"/>
      <c r="D101" s="51" t="s">
        <v>265</v>
      </c>
      <c r="E101" s="51" t="s">
        <v>102</v>
      </c>
      <c r="F101" s="51" t="s">
        <v>1389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hidden="1" thickBot="1" x14ac:dyDescent="0.35">
      <c r="A102" s="51" t="s">
        <v>264</v>
      </c>
      <c r="B102" s="51" t="s">
        <v>1254</v>
      </c>
      <c r="C102" s="51"/>
      <c r="D102" s="51" t="s">
        <v>1255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1209</v>
      </c>
      <c r="S102" s="27"/>
      <c r="T102" s="27"/>
      <c r="U102" s="8"/>
      <c r="V102" s="8" t="s">
        <v>1209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hidden="1" thickBot="1" x14ac:dyDescent="0.35">
      <c r="A103" s="51" t="s">
        <v>264</v>
      </c>
      <c r="B103" s="51" t="s">
        <v>1256</v>
      </c>
      <c r="C103" s="51"/>
      <c r="D103" s="51" t="s">
        <v>1255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hidden="1" thickBot="1" x14ac:dyDescent="0.35">
      <c r="A104" s="51" t="s">
        <v>264</v>
      </c>
      <c r="B104" s="51" t="s">
        <v>262</v>
      </c>
      <c r="C104" s="51"/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1209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s="51" t="s">
        <v>268</v>
      </c>
      <c r="B105" s="51" t="s">
        <v>1257</v>
      </c>
      <c r="C105" s="51" t="s">
        <v>1398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1209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s="51" t="s">
        <v>268</v>
      </c>
      <c r="B106" s="51" t="s">
        <v>1258</v>
      </c>
      <c r="C106" s="51" t="s">
        <v>1398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1209</v>
      </c>
      <c r="V106" s="8" t="s">
        <v>1209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s="51" t="s">
        <v>268</v>
      </c>
      <c r="B107" s="51" t="s">
        <v>1259</v>
      </c>
      <c r="C107" s="51" t="s">
        <v>1398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1209</v>
      </c>
      <c r="V107" s="8" t="s">
        <v>1209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s="51" t="s">
        <v>268</v>
      </c>
      <c r="B108" s="51" t="s">
        <v>1260</v>
      </c>
      <c r="C108" s="51" t="s">
        <v>1398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1209</v>
      </c>
      <c r="V108" s="8" t="s">
        <v>1209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hidden="1" thickBot="1" x14ac:dyDescent="0.35">
      <c r="A109" s="51" t="s">
        <v>276</v>
      </c>
      <c r="B109" s="51" t="s">
        <v>279</v>
      </c>
      <c r="C109" s="51"/>
      <c r="D109" s="51" t="s">
        <v>1261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1209</v>
      </c>
      <c r="V109" s="8" t="s">
        <v>1209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hidden="1" thickBot="1" x14ac:dyDescent="0.35">
      <c r="A110" s="51" t="s">
        <v>276</v>
      </c>
      <c r="B110" s="51" t="s">
        <v>281</v>
      </c>
      <c r="C110" s="51"/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hidden="1" thickBot="1" x14ac:dyDescent="0.35">
      <c r="A111" s="51" t="s">
        <v>283</v>
      </c>
      <c r="B111" s="51" t="s">
        <v>284</v>
      </c>
      <c r="C111" s="51"/>
      <c r="D111" s="51" t="s">
        <v>285</v>
      </c>
      <c r="E111" s="51" t="s">
        <v>24</v>
      </c>
      <c r="F111" s="51" t="s">
        <v>1389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1209</v>
      </c>
      <c r="P111" s="8" t="s">
        <v>1209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s="51" t="s">
        <v>286</v>
      </c>
      <c r="B112" s="51" t="s">
        <v>287</v>
      </c>
      <c r="C112" s="51" t="s">
        <v>1398</v>
      </c>
      <c r="D112" s="51" t="s">
        <v>288</v>
      </c>
      <c r="E112" s="51" t="s">
        <v>19</v>
      </c>
      <c r="F112" s="51" t="s">
        <v>1389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s="51" t="s">
        <v>276</v>
      </c>
      <c r="B113" s="51" t="s">
        <v>290</v>
      </c>
      <c r="C113" s="51" t="s">
        <v>1398</v>
      </c>
      <c r="D113" s="51" t="s">
        <v>291</v>
      </c>
      <c r="E113" s="51" t="s">
        <v>24</v>
      </c>
      <c r="F113" s="51" t="s">
        <v>1388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27</v>
      </c>
      <c r="M113" s="17">
        <f t="shared" si="11"/>
        <v>3</v>
      </c>
      <c r="N113" s="18">
        <f t="shared" si="12"/>
        <v>0.9</v>
      </c>
      <c r="O113" s="27" t="s">
        <v>1209</v>
      </c>
      <c r="P113" s="8" t="s">
        <v>1209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 t="s">
        <v>1209</v>
      </c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s="51" t="s">
        <v>276</v>
      </c>
      <c r="B114" s="51" t="s">
        <v>292</v>
      </c>
      <c r="C114" s="51" t="s">
        <v>1398</v>
      </c>
      <c r="D114" s="51" t="s">
        <v>293</v>
      </c>
      <c r="E114" s="51" t="s">
        <v>24</v>
      </c>
      <c r="F114" s="51" t="s">
        <v>1388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hidden="1" thickBot="1" x14ac:dyDescent="0.35">
      <c r="A115" s="51" t="s">
        <v>276</v>
      </c>
      <c r="B115" s="51" t="s">
        <v>295</v>
      </c>
      <c r="C115" s="51"/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1209</v>
      </c>
      <c r="AA115" s="27" t="s">
        <v>1209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s="51" t="s">
        <v>276</v>
      </c>
      <c r="B116" s="51" t="s">
        <v>1262</v>
      </c>
      <c r="C116" s="51" t="s">
        <v>1398</v>
      </c>
      <c r="D116" s="51" t="s">
        <v>277</v>
      </c>
      <c r="E116" s="51" t="s">
        <v>19</v>
      </c>
      <c r="F116" s="51" t="s">
        <v>1389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hidden="1" thickBot="1" x14ac:dyDescent="0.35">
      <c r="A117" s="51" t="s">
        <v>276</v>
      </c>
      <c r="B117" s="51" t="s">
        <v>298</v>
      </c>
      <c r="C117" s="51"/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hidden="1" thickBot="1" x14ac:dyDescent="0.35">
      <c r="A118" s="51" t="s">
        <v>276</v>
      </c>
      <c r="B118" s="51" t="s">
        <v>301</v>
      </c>
      <c r="C118" s="51"/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s="51" t="s">
        <v>276</v>
      </c>
      <c r="B119" s="51" t="s">
        <v>303</v>
      </c>
      <c r="C119" s="51" t="s">
        <v>1398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s="51" t="s">
        <v>276</v>
      </c>
      <c r="B120" s="51" t="s">
        <v>305</v>
      </c>
      <c r="C120" s="51" t="s">
        <v>1398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13</v>
      </c>
      <c r="M120" s="17">
        <f t="shared" si="11"/>
        <v>17</v>
      </c>
      <c r="N120" s="18">
        <f t="shared" si="12"/>
        <v>0.43333333333333335</v>
      </c>
      <c r="O120" s="27" t="s">
        <v>1209</v>
      </c>
      <c r="P120" s="8" t="s">
        <v>1209</v>
      </c>
      <c r="Q120" s="8" t="s">
        <v>1209</v>
      </c>
      <c r="R120" s="8" t="s">
        <v>1209</v>
      </c>
      <c r="S120" s="27" t="s">
        <v>1209</v>
      </c>
      <c r="T120" s="27"/>
      <c r="U120" s="8" t="s">
        <v>1209</v>
      </c>
      <c r="V120" s="8" t="s">
        <v>1209</v>
      </c>
      <c r="W120" s="8" t="s">
        <v>1209</v>
      </c>
      <c r="X120" s="27" t="s">
        <v>1209</v>
      </c>
      <c r="Y120" s="27" t="s">
        <v>1209</v>
      </c>
      <c r="Z120" s="27" t="s">
        <v>1209</v>
      </c>
      <c r="AA120" s="27" t="s">
        <v>1209</v>
      </c>
      <c r="AB120" s="27" t="s">
        <v>1209</v>
      </c>
      <c r="AC120" s="27" t="s">
        <v>1209</v>
      </c>
      <c r="AD120" s="27" t="s">
        <v>1209</v>
      </c>
      <c r="AE120" s="27" t="s">
        <v>1209</v>
      </c>
      <c r="AF120" s="27" t="s">
        <v>1209</v>
      </c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s="51" t="s">
        <v>306</v>
      </c>
      <c r="B121" s="51" t="s">
        <v>1263</v>
      </c>
      <c r="C121" s="51" t="s">
        <v>1398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13</v>
      </c>
      <c r="M121" s="17">
        <f t="shared" si="11"/>
        <v>17</v>
      </c>
      <c r="N121" s="18">
        <f t="shared" si="12"/>
        <v>0.43333333333333335</v>
      </c>
      <c r="O121" s="27" t="s">
        <v>1209</v>
      </c>
      <c r="P121" s="8" t="s">
        <v>1209</v>
      </c>
      <c r="Q121" s="8" t="s">
        <v>1209</v>
      </c>
      <c r="R121" s="8" t="s">
        <v>1209</v>
      </c>
      <c r="S121" s="27" t="s">
        <v>1209</v>
      </c>
      <c r="T121" s="27"/>
      <c r="U121" s="8" t="s">
        <v>1209</v>
      </c>
      <c r="V121" s="8" t="s">
        <v>1209</v>
      </c>
      <c r="W121" s="8" t="s">
        <v>1209</v>
      </c>
      <c r="X121" s="27" t="s">
        <v>1209</v>
      </c>
      <c r="Y121" s="27" t="s">
        <v>1209</v>
      </c>
      <c r="Z121" s="27" t="s">
        <v>1209</v>
      </c>
      <c r="AA121" s="27" t="s">
        <v>1209</v>
      </c>
      <c r="AB121" s="27" t="s">
        <v>1209</v>
      </c>
      <c r="AC121" s="27" t="s">
        <v>1209</v>
      </c>
      <c r="AD121" s="27" t="s">
        <v>1209</v>
      </c>
      <c r="AE121" s="27" t="s">
        <v>1209</v>
      </c>
      <c r="AF121" s="27" t="s">
        <v>1209</v>
      </c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s="51" t="s">
        <v>306</v>
      </c>
      <c r="B122" s="51" t="s">
        <v>1264</v>
      </c>
      <c r="C122" s="51" t="s">
        <v>1398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27</v>
      </c>
      <c r="M122" s="17">
        <f t="shared" si="11"/>
        <v>3</v>
      </c>
      <c r="N122" s="18">
        <f t="shared" si="12"/>
        <v>0.9</v>
      </c>
      <c r="O122" s="27"/>
      <c r="P122" s="8"/>
      <c r="Q122" s="8"/>
      <c r="R122" s="8"/>
      <c r="S122" s="27"/>
      <c r="T122" s="27"/>
      <c r="U122" s="8" t="s">
        <v>1209</v>
      </c>
      <c r="V122" s="8" t="s">
        <v>1209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 t="s">
        <v>1209</v>
      </c>
      <c r="AQ122" s="27"/>
      <c r="AR122" s="27"/>
      <c r="AS122" s="27"/>
    </row>
    <row r="123" spans="1:45" ht="15" thickBot="1" x14ac:dyDescent="0.35">
      <c r="A123" s="51" t="s">
        <v>309</v>
      </c>
      <c r="B123" s="51" t="s">
        <v>1265</v>
      </c>
      <c r="C123" s="51" t="s">
        <v>1398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1209</v>
      </c>
      <c r="V123" s="8" t="s">
        <v>1209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hidden="1" thickBot="1" x14ac:dyDescent="0.35">
      <c r="A124" s="51" t="s">
        <v>312</v>
      </c>
      <c r="B124" s="51" t="s">
        <v>313</v>
      </c>
      <c r="C124" s="51" t="s">
        <v>1397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hidden="1" thickBot="1" x14ac:dyDescent="0.35">
      <c r="A125" s="51" t="s">
        <v>312</v>
      </c>
      <c r="B125" s="51" t="s">
        <v>320</v>
      </c>
      <c r="C125" s="51" t="s">
        <v>1397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hidden="1" thickBot="1" x14ac:dyDescent="0.35">
      <c r="A126" s="51" t="s">
        <v>312</v>
      </c>
      <c r="B126" s="51" t="s">
        <v>323</v>
      </c>
      <c r="C126" s="51"/>
      <c r="D126" s="51" t="s">
        <v>324</v>
      </c>
      <c r="E126" s="51" t="s">
        <v>102</v>
      </c>
      <c r="F126" s="51" t="s">
        <v>1389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hidden="1" thickBot="1" x14ac:dyDescent="0.35">
      <c r="A127" s="51" t="s">
        <v>312</v>
      </c>
      <c r="B127" s="51" t="s">
        <v>325</v>
      </c>
      <c r="C127" s="51"/>
      <c r="D127" s="51" t="s">
        <v>324</v>
      </c>
      <c r="E127" s="51" t="s">
        <v>102</v>
      </c>
      <c r="F127" s="51" t="s">
        <v>1389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hidden="1" thickBot="1" x14ac:dyDescent="0.35">
      <c r="A128" s="51" t="s">
        <v>312</v>
      </c>
      <c r="B128" s="51" t="s">
        <v>1266</v>
      </c>
      <c r="C128" s="51" t="s">
        <v>1397</v>
      </c>
      <c r="D128" s="51" t="s">
        <v>346</v>
      </c>
      <c r="E128" s="51" t="s">
        <v>102</v>
      </c>
      <c r="F128" s="51" t="s">
        <v>1389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21</v>
      </c>
      <c r="M128" s="17">
        <f t="shared" si="11"/>
        <v>9</v>
      </c>
      <c r="N128" s="18">
        <f t="shared" si="12"/>
        <v>0.7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 t="s">
        <v>1209</v>
      </c>
      <c r="AI128" s="27" t="s">
        <v>1209</v>
      </c>
      <c r="AJ128" s="27" t="s">
        <v>1209</v>
      </c>
      <c r="AK128" s="8" t="s">
        <v>1209</v>
      </c>
      <c r="AL128" s="8" t="s">
        <v>1209</v>
      </c>
      <c r="AM128" s="8" t="s">
        <v>1209</v>
      </c>
      <c r="AN128" s="27" t="s">
        <v>1209</v>
      </c>
      <c r="AO128" s="8" t="s">
        <v>1209</v>
      </c>
      <c r="AP128" s="8" t="s">
        <v>1209</v>
      </c>
      <c r="AQ128" s="27"/>
      <c r="AR128" s="27"/>
      <c r="AS128" s="27"/>
    </row>
    <row r="129" spans="1:45" ht="15" hidden="1" thickBot="1" x14ac:dyDescent="0.35">
      <c r="A129" s="51" t="s">
        <v>312</v>
      </c>
      <c r="B129" s="51" t="s">
        <v>1267</v>
      </c>
      <c r="C129" s="51" t="s">
        <v>1397</v>
      </c>
      <c r="D129" s="51" t="s">
        <v>346</v>
      </c>
      <c r="E129" s="51" t="s">
        <v>102</v>
      </c>
      <c r="F129" s="51" t="s">
        <v>1389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20</v>
      </c>
      <c r="M129" s="17">
        <f t="shared" si="11"/>
        <v>10</v>
      </c>
      <c r="N129" s="18">
        <f t="shared" si="12"/>
        <v>0.66666666666666663</v>
      </c>
      <c r="O129" s="27"/>
      <c r="P129" s="8"/>
      <c r="Q129" s="8"/>
      <c r="R129" s="8"/>
      <c r="S129" s="27"/>
      <c r="T129" s="27"/>
      <c r="U129" s="8" t="s">
        <v>1209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 t="s">
        <v>1209</v>
      </c>
      <c r="AI129" s="27" t="s">
        <v>1209</v>
      </c>
      <c r="AJ129" s="27" t="s">
        <v>1209</v>
      </c>
      <c r="AK129" s="8" t="s">
        <v>1209</v>
      </c>
      <c r="AL129" s="8" t="s">
        <v>1209</v>
      </c>
      <c r="AM129" s="8" t="s">
        <v>1209</v>
      </c>
      <c r="AN129" s="27" t="s">
        <v>1209</v>
      </c>
      <c r="AO129" s="8" t="s">
        <v>1209</v>
      </c>
      <c r="AP129" s="8" t="s">
        <v>1209</v>
      </c>
      <c r="AQ129" s="27"/>
      <c r="AR129" s="27"/>
      <c r="AS129" s="27"/>
    </row>
    <row r="130" spans="1:45" ht="15" hidden="1" thickBot="1" x14ac:dyDescent="0.35">
      <c r="A130" s="51" t="s">
        <v>312</v>
      </c>
      <c r="B130" s="51" t="s">
        <v>1268</v>
      </c>
      <c r="C130" s="51"/>
      <c r="D130" s="51" t="s">
        <v>349</v>
      </c>
      <c r="E130" s="51" t="s">
        <v>102</v>
      </c>
      <c r="F130" s="51" t="s">
        <v>1389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1209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hidden="1" thickBot="1" x14ac:dyDescent="0.35">
      <c r="A131" s="51" t="s">
        <v>312</v>
      </c>
      <c r="B131" s="51" t="s">
        <v>1269</v>
      </c>
      <c r="C131" s="51"/>
      <c r="D131" s="51" t="s">
        <v>349</v>
      </c>
      <c r="E131" s="51" t="s">
        <v>102</v>
      </c>
      <c r="F131" s="51" t="s">
        <v>1389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hidden="1" thickBot="1" x14ac:dyDescent="0.35">
      <c r="A132" s="51" t="s">
        <v>326</v>
      </c>
      <c r="B132" s="51" t="s">
        <v>327</v>
      </c>
      <c r="C132" s="51" t="s">
        <v>1397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29</v>
      </c>
      <c r="M132" s="17">
        <f t="shared" si="11"/>
        <v>1</v>
      </c>
      <c r="N132" s="18">
        <f t="shared" si="12"/>
        <v>0.96666666666666667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 t="s">
        <v>1209</v>
      </c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hidden="1" thickBot="1" x14ac:dyDescent="0.35">
      <c r="A133" s="51" t="s">
        <v>243</v>
      </c>
      <c r="B133" s="51" t="s">
        <v>330</v>
      </c>
      <c r="C133" s="51" t="s">
        <v>1397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12</v>
      </c>
      <c r="M133" s="17">
        <f t="shared" ref="M133:M196" si="14">COUNTIF(O133:AP133,"APAGADO")</f>
        <v>18</v>
      </c>
      <c r="N133" s="18">
        <f t="shared" ref="N133:N196" si="15">(L133)/(M133+L133)</f>
        <v>0.4</v>
      </c>
      <c r="O133" s="27" t="s">
        <v>1209</v>
      </c>
      <c r="P133" s="8" t="s">
        <v>1209</v>
      </c>
      <c r="Q133" s="8" t="s">
        <v>1209</v>
      </c>
      <c r="R133" s="8" t="s">
        <v>1209</v>
      </c>
      <c r="S133" s="27" t="s">
        <v>1209</v>
      </c>
      <c r="T133" s="27"/>
      <c r="U133" s="8" t="s">
        <v>1209</v>
      </c>
      <c r="V133" s="8" t="s">
        <v>1209</v>
      </c>
      <c r="W133" s="8" t="s">
        <v>1209</v>
      </c>
      <c r="X133" s="27" t="s">
        <v>1209</v>
      </c>
      <c r="Y133" s="27" t="s">
        <v>1209</v>
      </c>
      <c r="Z133" s="27" t="s">
        <v>1209</v>
      </c>
      <c r="AA133" s="27" t="s">
        <v>1209</v>
      </c>
      <c r="AB133" s="27" t="s">
        <v>1209</v>
      </c>
      <c r="AC133" s="27" t="s">
        <v>1209</v>
      </c>
      <c r="AD133" s="27" t="s">
        <v>1209</v>
      </c>
      <c r="AE133" s="27" t="s">
        <v>1209</v>
      </c>
      <c r="AF133" s="27" t="s">
        <v>1209</v>
      </c>
      <c r="AG133" s="27" t="s">
        <v>1209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hidden="1" thickBot="1" x14ac:dyDescent="0.35">
      <c r="A134" s="51" t="s">
        <v>312</v>
      </c>
      <c r="B134" s="51" t="s">
        <v>333</v>
      </c>
      <c r="C134" s="51" t="s">
        <v>1397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20</v>
      </c>
      <c r="M134" s="17">
        <f t="shared" si="14"/>
        <v>10</v>
      </c>
      <c r="N134" s="18">
        <f t="shared" si="15"/>
        <v>0.66666666666666663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 t="s">
        <v>1209</v>
      </c>
      <c r="AH134" s="27" t="s">
        <v>1209</v>
      </c>
      <c r="AI134" s="27" t="s">
        <v>1209</v>
      </c>
      <c r="AJ134" s="27" t="s">
        <v>1209</v>
      </c>
      <c r="AK134" s="8" t="s">
        <v>1209</v>
      </c>
      <c r="AL134" s="8" t="s">
        <v>1209</v>
      </c>
      <c r="AM134" s="8" t="s">
        <v>1209</v>
      </c>
      <c r="AN134" s="27" t="s">
        <v>1209</v>
      </c>
      <c r="AO134" s="8" t="s">
        <v>1209</v>
      </c>
      <c r="AP134" s="8" t="s">
        <v>1209</v>
      </c>
      <c r="AQ134" s="27"/>
      <c r="AR134" s="27"/>
      <c r="AS134" s="27"/>
    </row>
    <row r="135" spans="1:45" ht="15" hidden="1" thickBot="1" x14ac:dyDescent="0.35">
      <c r="A135" s="51" t="s">
        <v>312</v>
      </c>
      <c r="B135" s="51" t="s">
        <v>336</v>
      </c>
      <c r="C135" s="51" t="s">
        <v>1397</v>
      </c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28</v>
      </c>
      <c r="M135" s="17">
        <f t="shared" si="14"/>
        <v>2</v>
      </c>
      <c r="N135" s="18">
        <f t="shared" si="15"/>
        <v>0.93333333333333335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 t="s">
        <v>1209</v>
      </c>
      <c r="AM135" s="8"/>
      <c r="AN135" s="27"/>
      <c r="AO135" s="8"/>
      <c r="AP135" s="8" t="s">
        <v>1209</v>
      </c>
      <c r="AQ135" s="27"/>
      <c r="AR135" s="27"/>
      <c r="AS135" s="27"/>
    </row>
    <row r="136" spans="1:45" ht="15" hidden="1" thickBot="1" x14ac:dyDescent="0.35">
      <c r="A136" s="51" t="s">
        <v>312</v>
      </c>
      <c r="B136" s="51" t="s">
        <v>339</v>
      </c>
      <c r="C136" s="51" t="s">
        <v>1397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1209</v>
      </c>
      <c r="P136" s="8" t="s">
        <v>1209</v>
      </c>
      <c r="Q136" s="8" t="s">
        <v>1209</v>
      </c>
      <c r="R136" s="8" t="s">
        <v>1209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1209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hidden="1" thickBot="1" x14ac:dyDescent="0.35">
      <c r="A137" s="51" t="s">
        <v>312</v>
      </c>
      <c r="B137" s="51" t="s">
        <v>341</v>
      </c>
      <c r="C137" s="51" t="s">
        <v>1397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23</v>
      </c>
      <c r="M137" s="17">
        <f t="shared" si="14"/>
        <v>7</v>
      </c>
      <c r="N137" s="18">
        <f t="shared" si="15"/>
        <v>0.76666666666666672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 t="s">
        <v>1209</v>
      </c>
      <c r="AK137" s="8" t="s">
        <v>1209</v>
      </c>
      <c r="AL137" s="8" t="s">
        <v>1209</v>
      </c>
      <c r="AM137" s="8" t="s">
        <v>1209</v>
      </c>
      <c r="AN137" s="27" t="s">
        <v>1209</v>
      </c>
      <c r="AO137" s="8" t="s">
        <v>1209</v>
      </c>
      <c r="AP137" s="8" t="s">
        <v>1209</v>
      </c>
      <c r="AQ137" s="27"/>
      <c r="AR137" s="27"/>
      <c r="AS137" s="27"/>
    </row>
    <row r="138" spans="1:45" ht="15" hidden="1" thickBot="1" x14ac:dyDescent="0.35">
      <c r="A138" s="51" t="s">
        <v>312</v>
      </c>
      <c r="B138" s="51" t="s">
        <v>1270</v>
      </c>
      <c r="C138" s="51" t="s">
        <v>1397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26</v>
      </c>
      <c r="M138" s="17">
        <f t="shared" si="14"/>
        <v>4</v>
      </c>
      <c r="N138" s="18">
        <f t="shared" si="15"/>
        <v>0.8666666666666667</v>
      </c>
      <c r="O138" s="27"/>
      <c r="P138" s="8"/>
      <c r="Q138" s="8"/>
      <c r="R138" s="8"/>
      <c r="S138" s="27"/>
      <c r="T138" s="27"/>
      <c r="U138" s="8" t="s">
        <v>1209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 t="s">
        <v>1209</v>
      </c>
      <c r="AF138" s="27" t="s">
        <v>1209</v>
      </c>
      <c r="AG138" s="27" t="s">
        <v>1209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hidden="1" thickBot="1" x14ac:dyDescent="0.35">
      <c r="A139" s="51" t="s">
        <v>312</v>
      </c>
      <c r="B139" s="51" t="s">
        <v>1271</v>
      </c>
      <c r="C139" s="51" t="s">
        <v>1397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26</v>
      </c>
      <c r="M139" s="17">
        <f t="shared" si="14"/>
        <v>4</v>
      </c>
      <c r="N139" s="18">
        <f t="shared" si="15"/>
        <v>0.8666666666666667</v>
      </c>
      <c r="O139" s="27"/>
      <c r="P139" s="8"/>
      <c r="Q139" s="8"/>
      <c r="R139" s="8"/>
      <c r="S139" s="27"/>
      <c r="T139" s="27"/>
      <c r="U139" s="8" t="s">
        <v>1209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 t="s">
        <v>1209</v>
      </c>
      <c r="AF139" s="27" t="s">
        <v>1209</v>
      </c>
      <c r="AG139" s="27" t="s">
        <v>1209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hidden="1" thickBot="1" x14ac:dyDescent="0.35">
      <c r="A140" s="51" t="s">
        <v>312</v>
      </c>
      <c r="B140" s="51" t="s">
        <v>344</v>
      </c>
      <c r="C140" s="51" t="s">
        <v>1397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1209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hidden="1" thickBot="1" x14ac:dyDescent="0.35">
      <c r="A141" s="51" t="s">
        <v>152</v>
      </c>
      <c r="B141" s="51" t="s">
        <v>351</v>
      </c>
      <c r="C141" s="51" t="s">
        <v>1397</v>
      </c>
      <c r="D141" s="51" t="s">
        <v>352</v>
      </c>
      <c r="E141" s="51" t="s">
        <v>19</v>
      </c>
      <c r="F141" s="51" t="s">
        <v>1389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23</v>
      </c>
      <c r="M141" s="17">
        <f t="shared" si="14"/>
        <v>7</v>
      </c>
      <c r="N141" s="18">
        <f t="shared" si="15"/>
        <v>0.76666666666666672</v>
      </c>
      <c r="O141" s="27"/>
      <c r="P141" s="8"/>
      <c r="Q141" s="8"/>
      <c r="R141" s="8"/>
      <c r="S141" s="27"/>
      <c r="T141" s="27"/>
      <c r="U141" s="8" t="s">
        <v>1209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 t="s">
        <v>1209</v>
      </c>
      <c r="AL141" s="8" t="s">
        <v>1209</v>
      </c>
      <c r="AM141" s="8" t="s">
        <v>1209</v>
      </c>
      <c r="AN141" s="27" t="s">
        <v>1209</v>
      </c>
      <c r="AO141" s="8" t="s">
        <v>1209</v>
      </c>
      <c r="AP141" s="8" t="s">
        <v>1209</v>
      </c>
      <c r="AQ141" s="27"/>
      <c r="AR141" s="27"/>
      <c r="AS141" s="27"/>
    </row>
    <row r="142" spans="1:45" ht="15" hidden="1" thickBot="1" x14ac:dyDescent="0.35">
      <c r="A142" s="51" t="s">
        <v>152</v>
      </c>
      <c r="B142" s="51" t="s">
        <v>354</v>
      </c>
      <c r="C142" s="51" t="s">
        <v>1397</v>
      </c>
      <c r="D142" s="51" t="s">
        <v>355</v>
      </c>
      <c r="E142" s="51" t="s">
        <v>19</v>
      </c>
      <c r="F142" s="51" t="s">
        <v>1389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24</v>
      </c>
      <c r="M142" s="17">
        <f t="shared" si="14"/>
        <v>6</v>
      </c>
      <c r="N142" s="18">
        <f t="shared" si="15"/>
        <v>0.8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 t="s">
        <v>1209</v>
      </c>
      <c r="AL142" s="8" t="s">
        <v>1209</v>
      </c>
      <c r="AM142" s="8" t="s">
        <v>1209</v>
      </c>
      <c r="AN142" s="27" t="s">
        <v>1209</v>
      </c>
      <c r="AO142" s="8" t="s">
        <v>1209</v>
      </c>
      <c r="AP142" s="8" t="s">
        <v>1209</v>
      </c>
      <c r="AQ142" s="27"/>
      <c r="AR142" s="27"/>
      <c r="AS142" s="27"/>
    </row>
    <row r="143" spans="1:45" ht="15" hidden="1" thickBot="1" x14ac:dyDescent="0.35">
      <c r="A143" s="51" t="s">
        <v>152</v>
      </c>
      <c r="B143" s="51" t="s">
        <v>356</v>
      </c>
      <c r="C143" s="51" t="s">
        <v>1397</v>
      </c>
      <c r="D143" s="51" t="s">
        <v>357</v>
      </c>
      <c r="E143" s="51" t="s">
        <v>19</v>
      </c>
      <c r="F143" s="51" t="s">
        <v>1389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22</v>
      </c>
      <c r="M143" s="17">
        <f t="shared" si="14"/>
        <v>8</v>
      </c>
      <c r="N143" s="18">
        <f t="shared" si="15"/>
        <v>0.73333333333333328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1209</v>
      </c>
      <c r="AC143" s="27" t="s">
        <v>1209</v>
      </c>
      <c r="AD143" s="27"/>
      <c r="AE143" s="27"/>
      <c r="AF143" s="27"/>
      <c r="AG143" s="27"/>
      <c r="AH143" s="27"/>
      <c r="AI143" s="27"/>
      <c r="AJ143" s="27"/>
      <c r="AK143" s="8" t="s">
        <v>1209</v>
      </c>
      <c r="AL143" s="8" t="s">
        <v>1209</v>
      </c>
      <c r="AM143" s="8" t="s">
        <v>1209</v>
      </c>
      <c r="AN143" s="27" t="s">
        <v>1209</v>
      </c>
      <c r="AO143" s="8" t="s">
        <v>1209</v>
      </c>
      <c r="AP143" s="8" t="s">
        <v>1209</v>
      </c>
      <c r="AQ143" s="27"/>
      <c r="AR143" s="27"/>
      <c r="AS143" s="27"/>
    </row>
    <row r="144" spans="1:45" ht="15" hidden="1" thickBot="1" x14ac:dyDescent="0.35">
      <c r="A144" s="51" t="s">
        <v>243</v>
      </c>
      <c r="B144" s="51" t="s">
        <v>1272</v>
      </c>
      <c r="C144" s="51" t="s">
        <v>1397</v>
      </c>
      <c r="D144" s="51" t="s">
        <v>1273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hidden="1" thickBot="1" x14ac:dyDescent="0.35">
      <c r="A145" s="51" t="s">
        <v>243</v>
      </c>
      <c r="B145" s="51" t="s">
        <v>358</v>
      </c>
      <c r="C145" s="51"/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1209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hidden="1" thickBot="1" x14ac:dyDescent="0.35">
      <c r="A146" s="51" t="s">
        <v>362</v>
      </c>
      <c r="B146" s="51" t="s">
        <v>363</v>
      </c>
      <c r="C146" s="51" t="s">
        <v>1397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hidden="1" thickBot="1" x14ac:dyDescent="0.35">
      <c r="A147" s="51" t="s">
        <v>362</v>
      </c>
      <c r="B147" s="51" t="s">
        <v>365</v>
      </c>
      <c r="C147" s="51" t="s">
        <v>1397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1209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s="51" t="s">
        <v>366</v>
      </c>
      <c r="B148" s="51" t="s">
        <v>1274</v>
      </c>
      <c r="C148" s="51" t="s">
        <v>1398</v>
      </c>
      <c r="D148" s="51" t="s">
        <v>367</v>
      </c>
      <c r="E148" s="51" t="s">
        <v>19</v>
      </c>
      <c r="F148" s="51" t="s">
        <v>1388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28</v>
      </c>
      <c r="M148" s="17">
        <f t="shared" si="14"/>
        <v>2</v>
      </c>
      <c r="N148" s="18">
        <f t="shared" si="15"/>
        <v>0.93333333333333335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1209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 t="s">
        <v>1209</v>
      </c>
      <c r="AP148" s="8"/>
      <c r="AQ148" s="27"/>
      <c r="AR148" s="27"/>
      <c r="AS148" s="27"/>
    </row>
    <row r="149" spans="1:45" ht="15" hidden="1" thickBot="1" x14ac:dyDescent="0.35">
      <c r="A149" s="51" t="s">
        <v>366</v>
      </c>
      <c r="B149" s="51" t="s">
        <v>368</v>
      </c>
      <c r="C149" s="51"/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29</v>
      </c>
      <c r="M149" s="17">
        <f t="shared" si="14"/>
        <v>1</v>
      </c>
      <c r="N149" s="18">
        <f t="shared" si="15"/>
        <v>0.96666666666666667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 t="s">
        <v>1209</v>
      </c>
      <c r="AP149" s="8"/>
      <c r="AQ149" s="27"/>
      <c r="AR149" s="27"/>
      <c r="AS149" s="27"/>
    </row>
    <row r="150" spans="1:45" ht="15" thickBot="1" x14ac:dyDescent="0.35">
      <c r="A150" s="51" t="s">
        <v>366</v>
      </c>
      <c r="B150" s="51" t="s">
        <v>370</v>
      </c>
      <c r="C150" s="51" t="s">
        <v>1398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29</v>
      </c>
      <c r="M150" s="17">
        <f t="shared" si="14"/>
        <v>1</v>
      </c>
      <c r="N150" s="18">
        <f t="shared" si="15"/>
        <v>0.96666666666666667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 t="s">
        <v>1209</v>
      </c>
      <c r="AP150" s="8"/>
      <c r="AQ150" s="27"/>
      <c r="AR150" s="27"/>
      <c r="AS150" s="27"/>
    </row>
    <row r="151" spans="1:45" ht="15" hidden="1" thickBot="1" x14ac:dyDescent="0.35">
      <c r="A151" s="51" t="s">
        <v>377</v>
      </c>
      <c r="B151" s="51" t="s">
        <v>1275</v>
      </c>
      <c r="C151" s="51" t="s">
        <v>1397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hidden="1" thickBot="1" x14ac:dyDescent="0.35">
      <c r="A152" s="51" t="s">
        <v>377</v>
      </c>
      <c r="B152" s="51" t="s">
        <v>1276</v>
      </c>
      <c r="C152" s="51" t="s">
        <v>1397</v>
      </c>
      <c r="D152" s="51" t="s">
        <v>1277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22</v>
      </c>
      <c r="M152" s="17">
        <f t="shared" si="14"/>
        <v>8</v>
      </c>
      <c r="N152" s="18">
        <f t="shared" si="15"/>
        <v>0.73333333333333328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1209</v>
      </c>
      <c r="AA152" s="27" t="s">
        <v>1209</v>
      </c>
      <c r="AB152" s="27" t="s">
        <v>1209</v>
      </c>
      <c r="AC152" s="27" t="s">
        <v>1209</v>
      </c>
      <c r="AD152" s="27" t="s">
        <v>1209</v>
      </c>
      <c r="AE152" s="27" t="s">
        <v>1209</v>
      </c>
      <c r="AF152" s="27" t="s">
        <v>1209</v>
      </c>
      <c r="AG152" s="27" t="s">
        <v>1209</v>
      </c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hidden="1" thickBot="1" x14ac:dyDescent="0.35">
      <c r="A153" s="51" t="s">
        <v>377</v>
      </c>
      <c r="B153" s="51" t="s">
        <v>1278</v>
      </c>
      <c r="C153" s="51" t="s">
        <v>1397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hidden="1" thickBot="1" x14ac:dyDescent="0.35">
      <c r="A154" s="51" t="s">
        <v>377</v>
      </c>
      <c r="B154" s="51" t="s">
        <v>1279</v>
      </c>
      <c r="C154" s="51" t="s">
        <v>1397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hidden="1" thickBot="1" x14ac:dyDescent="0.35">
      <c r="A155" s="51" t="s">
        <v>377</v>
      </c>
      <c r="B155" s="51" t="s">
        <v>1280</v>
      </c>
      <c r="C155" s="51" t="s">
        <v>1397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hidden="1" thickBot="1" x14ac:dyDescent="0.35">
      <c r="A156" s="51" t="s">
        <v>377</v>
      </c>
      <c r="B156" s="51" t="s">
        <v>1281</v>
      </c>
      <c r="C156" s="51" t="s">
        <v>1397</v>
      </c>
      <c r="D156" s="51" t="s">
        <v>372</v>
      </c>
      <c r="E156" s="51" t="s">
        <v>65</v>
      </c>
      <c r="F156" s="51" t="s">
        <v>1388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hidden="1" thickBot="1" x14ac:dyDescent="0.35">
      <c r="A157" s="51" t="s">
        <v>374</v>
      </c>
      <c r="B157" s="51" t="s">
        <v>375</v>
      </c>
      <c r="C157" s="51" t="s">
        <v>1397</v>
      </c>
      <c r="D157" s="51" t="s">
        <v>376</v>
      </c>
      <c r="E157" s="51" t="s">
        <v>24</v>
      </c>
      <c r="F157" s="51" t="s">
        <v>1388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hidden="1" thickBot="1" x14ac:dyDescent="0.35">
      <c r="A158" s="51" t="s">
        <v>377</v>
      </c>
      <c r="B158" s="51" t="s">
        <v>378</v>
      </c>
      <c r="C158" s="51" t="s">
        <v>1397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hidden="1" thickBot="1" x14ac:dyDescent="0.35">
      <c r="A159" s="51" t="s">
        <v>377</v>
      </c>
      <c r="B159" s="51" t="s">
        <v>380</v>
      </c>
      <c r="C159" s="51" t="s">
        <v>1397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hidden="1" thickBot="1" x14ac:dyDescent="0.35">
      <c r="A160" s="51" t="s">
        <v>374</v>
      </c>
      <c r="B160" s="51" t="s">
        <v>384</v>
      </c>
      <c r="C160" s="51" t="s">
        <v>1397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hidden="1" thickBot="1" x14ac:dyDescent="0.35">
      <c r="A161" s="51" t="s">
        <v>377</v>
      </c>
      <c r="B161" s="51" t="s">
        <v>387</v>
      </c>
      <c r="C161" s="51" t="s">
        <v>1397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hidden="1" thickBot="1" x14ac:dyDescent="0.35">
      <c r="A162" s="51" t="s">
        <v>377</v>
      </c>
      <c r="B162" s="51" t="s">
        <v>389</v>
      </c>
      <c r="C162" s="51" t="s">
        <v>1397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hidden="1" thickBot="1" x14ac:dyDescent="0.35">
      <c r="A163" s="51" t="s">
        <v>377</v>
      </c>
      <c r="B163" s="51" t="s">
        <v>392</v>
      </c>
      <c r="C163" s="51" t="s">
        <v>1397</v>
      </c>
      <c r="D163" s="51" t="s">
        <v>393</v>
      </c>
      <c r="E163" s="51" t="s">
        <v>24</v>
      </c>
      <c r="F163" s="51" t="s">
        <v>1388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hidden="1" thickBot="1" x14ac:dyDescent="0.35">
      <c r="A164" s="51" t="s">
        <v>377</v>
      </c>
      <c r="B164" s="51" t="s">
        <v>397</v>
      </c>
      <c r="C164" s="51" t="s">
        <v>1397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hidden="1" thickBot="1" x14ac:dyDescent="0.35">
      <c r="A165" s="51" t="s">
        <v>402</v>
      </c>
      <c r="B165" s="51" t="s">
        <v>1282</v>
      </c>
      <c r="C165" s="51" t="s">
        <v>1397</v>
      </c>
      <c r="D165" s="51" t="s">
        <v>1283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s="51" t="s">
        <v>326</v>
      </c>
      <c r="B166" s="51" t="s">
        <v>399</v>
      </c>
      <c r="C166" s="51" t="s">
        <v>1398</v>
      </c>
      <c r="D166" s="51" t="s">
        <v>400</v>
      </c>
      <c r="E166" s="51" t="s">
        <v>19</v>
      </c>
      <c r="F166" s="51" t="s">
        <v>36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1402</v>
      </c>
      <c r="L166" s="53">
        <f t="shared" si="16"/>
        <v>20</v>
      </c>
      <c r="M166" s="17">
        <f t="shared" si="14"/>
        <v>10</v>
      </c>
      <c r="N166" s="18">
        <f t="shared" si="15"/>
        <v>0.66666666666666663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 t="s">
        <v>1209</v>
      </c>
      <c r="AH166" s="27" t="s">
        <v>1209</v>
      </c>
      <c r="AI166" s="27" t="s">
        <v>1209</v>
      </c>
      <c r="AJ166" s="27" t="s">
        <v>1209</v>
      </c>
      <c r="AK166" s="8" t="s">
        <v>1209</v>
      </c>
      <c r="AL166" s="8" t="s">
        <v>1209</v>
      </c>
      <c r="AM166" s="8" t="s">
        <v>1209</v>
      </c>
      <c r="AN166" s="27" t="s">
        <v>1209</v>
      </c>
      <c r="AO166" s="8" t="s">
        <v>1209</v>
      </c>
      <c r="AP166" s="8" t="s">
        <v>1209</v>
      </c>
      <c r="AQ166" s="27"/>
      <c r="AR166" s="27"/>
      <c r="AS166" s="27"/>
    </row>
    <row r="167" spans="1:45" ht="15" thickBot="1" x14ac:dyDescent="0.35">
      <c r="A167" s="51" t="s">
        <v>402</v>
      </c>
      <c r="B167" s="51" t="s">
        <v>403</v>
      </c>
      <c r="C167" s="51" t="s">
        <v>1398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984</v>
      </c>
      <c r="L167" s="53">
        <f t="shared" si="16"/>
        <v>29</v>
      </c>
      <c r="M167" s="17">
        <f t="shared" si="14"/>
        <v>1</v>
      </c>
      <c r="N167" s="18">
        <f t="shared" si="15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 t="s">
        <v>1209</v>
      </c>
      <c r="AO167" s="8"/>
      <c r="AP167" s="8"/>
      <c r="AQ167" s="27"/>
      <c r="AR167" s="27"/>
      <c r="AS167" s="27"/>
    </row>
    <row r="168" spans="1:45" ht="15" thickBot="1" x14ac:dyDescent="0.35">
      <c r="A168" s="51" t="s">
        <v>16</v>
      </c>
      <c r="B168" s="99" t="s">
        <v>17</v>
      </c>
      <c r="C168" s="51" t="s">
        <v>1398</v>
      </c>
      <c r="D168" s="51" t="s">
        <v>18</v>
      </c>
      <c r="E168" s="51" t="s">
        <v>19</v>
      </c>
      <c r="F168" s="51" t="s">
        <v>1388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985</v>
      </c>
      <c r="L168" s="53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1209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s="51" t="s">
        <v>518</v>
      </c>
      <c r="B169" s="51" t="s">
        <v>1284</v>
      </c>
      <c r="C169" s="51" t="s">
        <v>1398</v>
      </c>
      <c r="D169" s="51" t="s">
        <v>1285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1209</v>
      </c>
      <c r="V169" s="8" t="s">
        <v>1209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s="51" t="s">
        <v>1286</v>
      </c>
      <c r="B170" s="51" t="s">
        <v>1287</v>
      </c>
      <c r="C170" s="51" t="s">
        <v>1398</v>
      </c>
      <c r="D170" s="51" t="s">
        <v>1285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s="51" t="s">
        <v>22</v>
      </c>
      <c r="B171" s="99" t="s">
        <v>23</v>
      </c>
      <c r="C171" s="51" t="s">
        <v>1398</v>
      </c>
      <c r="D171" s="51" t="s">
        <v>1288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986</v>
      </c>
      <c r="L171" s="53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1209</v>
      </c>
      <c r="V171" s="8" t="s">
        <v>1209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s="51" t="s">
        <v>22</v>
      </c>
      <c r="B172" s="99" t="s">
        <v>27</v>
      </c>
      <c r="C172" s="51" t="s">
        <v>1398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A173" s="51" t="s">
        <v>22</v>
      </c>
      <c r="B173" s="99" t="s">
        <v>29</v>
      </c>
      <c r="C173" s="51" t="s">
        <v>1398</v>
      </c>
      <c r="D173" s="51" t="s">
        <v>1289</v>
      </c>
      <c r="E173" s="51" t="s">
        <v>19</v>
      </c>
      <c r="F173" s="51" t="s">
        <v>1389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987</v>
      </c>
      <c r="L173" s="53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1209</v>
      </c>
      <c r="V173" s="8" t="s">
        <v>1209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s="51" t="s">
        <v>22</v>
      </c>
      <c r="B174" s="99" t="s">
        <v>31</v>
      </c>
      <c r="C174" s="51" t="s">
        <v>1398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988</v>
      </c>
      <c r="L174" s="53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1209</v>
      </c>
      <c r="V174" s="8" t="s">
        <v>1209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hidden="1" thickBot="1" x14ac:dyDescent="0.35">
      <c r="A175" s="51" t="s">
        <v>406</v>
      </c>
      <c r="B175" s="51" t="s">
        <v>1290</v>
      </c>
      <c r="C175" s="51" t="s">
        <v>1397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989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hidden="1" thickBot="1" x14ac:dyDescent="0.35">
      <c r="A176" s="51" t="s">
        <v>411</v>
      </c>
      <c r="B176" s="51" t="s">
        <v>1291</v>
      </c>
      <c r="C176" s="51" t="s">
        <v>1397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990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hidden="1" thickBot="1" x14ac:dyDescent="0.35">
      <c r="A177" s="51" t="s">
        <v>411</v>
      </c>
      <c r="B177" s="51" t="s">
        <v>1292</v>
      </c>
      <c r="C177" s="51" t="s">
        <v>1397</v>
      </c>
      <c r="D177" s="51" t="s">
        <v>417</v>
      </c>
      <c r="E177" s="51" t="s">
        <v>24</v>
      </c>
      <c r="F177" s="51" t="s">
        <v>1388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992</v>
      </c>
      <c r="L177" s="53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1209</v>
      </c>
      <c r="P177" s="8" t="s">
        <v>1209</v>
      </c>
      <c r="Q177" s="8" t="s">
        <v>1209</v>
      </c>
      <c r="R177" s="8" t="s">
        <v>1209</v>
      </c>
      <c r="S177" s="27" t="s">
        <v>1209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hidden="1" thickBot="1" x14ac:dyDescent="0.35">
      <c r="A178" s="51" t="s">
        <v>377</v>
      </c>
      <c r="B178" s="51" t="s">
        <v>409</v>
      </c>
      <c r="C178" s="51" t="s">
        <v>1397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1394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hidden="1" thickBot="1" x14ac:dyDescent="0.35">
      <c r="A179" s="51" t="s">
        <v>406</v>
      </c>
      <c r="B179" s="51" t="s">
        <v>414</v>
      </c>
      <c r="C179" s="51" t="s">
        <v>1397</v>
      </c>
      <c r="D179" s="51" t="s">
        <v>415</v>
      </c>
      <c r="E179" s="51" t="s">
        <v>24</v>
      </c>
      <c r="F179" s="51" t="s">
        <v>1388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991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hidden="1" thickBot="1" x14ac:dyDescent="0.35">
      <c r="A180" s="51" t="s">
        <v>411</v>
      </c>
      <c r="B180" s="51" t="s">
        <v>419</v>
      </c>
      <c r="C180" s="51" t="s">
        <v>1397</v>
      </c>
      <c r="D180" s="51" t="s">
        <v>420</v>
      </c>
      <c r="E180" s="51" t="s">
        <v>19</v>
      </c>
      <c r="F180" s="51" t="s">
        <v>1388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993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hidden="1" thickBot="1" x14ac:dyDescent="0.35">
      <c r="A181" s="51" t="s">
        <v>422</v>
      </c>
      <c r="B181" s="51" t="s">
        <v>423</v>
      </c>
      <c r="C181" s="51" t="s">
        <v>1397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994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hidden="1" thickBot="1" x14ac:dyDescent="0.35">
      <c r="A182" s="51" t="s">
        <v>422</v>
      </c>
      <c r="B182" s="51" t="s">
        <v>425</v>
      </c>
      <c r="C182" s="51" t="s">
        <v>1397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995</v>
      </c>
      <c r="L182" s="53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1209</v>
      </c>
      <c r="Q182" s="8" t="s">
        <v>1209</v>
      </c>
      <c r="R182" s="8" t="s">
        <v>1209</v>
      </c>
      <c r="S182" s="27" t="s">
        <v>1209</v>
      </c>
      <c r="T182" s="27"/>
      <c r="U182" s="8" t="s">
        <v>1209</v>
      </c>
      <c r="V182" s="8" t="s">
        <v>1209</v>
      </c>
      <c r="W182" s="8" t="s">
        <v>1209</v>
      </c>
      <c r="X182" s="27" t="s">
        <v>1209</v>
      </c>
      <c r="Y182" s="27" t="s">
        <v>1209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hidden="1" thickBot="1" x14ac:dyDescent="0.35">
      <c r="A183" s="51" t="s">
        <v>422</v>
      </c>
      <c r="B183" s="51" t="s">
        <v>428</v>
      </c>
      <c r="C183" s="51" t="s">
        <v>1397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996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hidden="1" thickBot="1" x14ac:dyDescent="0.35">
      <c r="A184" s="51" t="s">
        <v>422</v>
      </c>
      <c r="B184" s="51" t="s">
        <v>430</v>
      </c>
      <c r="C184" s="51" t="s">
        <v>1397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997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hidden="1" thickBot="1" x14ac:dyDescent="0.35">
      <c r="A185" s="51" t="s">
        <v>433</v>
      </c>
      <c r="B185" s="51" t="s">
        <v>1293</v>
      </c>
      <c r="C185" s="51"/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998</v>
      </c>
      <c r="L185" s="53">
        <f t="shared" si="16"/>
        <v>20</v>
      </c>
      <c r="M185" s="17">
        <f t="shared" si="14"/>
        <v>10</v>
      </c>
      <c r="N185" s="18">
        <f t="shared" si="15"/>
        <v>0.66666666666666663</v>
      </c>
      <c r="O185" s="27"/>
      <c r="P185" s="8"/>
      <c r="Q185" s="8" t="s">
        <v>1209</v>
      </c>
      <c r="R185" s="8" t="s">
        <v>1209</v>
      </c>
      <c r="S185" s="27" t="s">
        <v>1209</v>
      </c>
      <c r="T185" s="27"/>
      <c r="U185" s="8"/>
      <c r="V185" s="8"/>
      <c r="W185" s="8"/>
      <c r="X185" s="27"/>
      <c r="Y185" s="27"/>
      <c r="Z185" s="27" t="s">
        <v>1209</v>
      </c>
      <c r="AA185" s="27" t="s">
        <v>1209</v>
      </c>
      <c r="AB185" s="27" t="s">
        <v>1209</v>
      </c>
      <c r="AC185" s="27" t="s">
        <v>1209</v>
      </c>
      <c r="AD185" s="27" t="s">
        <v>1209</v>
      </c>
      <c r="AE185" s="27" t="s">
        <v>1209</v>
      </c>
      <c r="AF185" s="27" t="s">
        <v>1209</v>
      </c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hidden="1" thickBot="1" x14ac:dyDescent="0.35">
      <c r="A186" s="51" t="s">
        <v>433</v>
      </c>
      <c r="B186" s="51" t="s">
        <v>434</v>
      </c>
      <c r="C186" s="51"/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1004</v>
      </c>
      <c r="L186" s="53">
        <f t="shared" si="16"/>
        <v>27</v>
      </c>
      <c r="M186" s="17">
        <f t="shared" si="14"/>
        <v>3</v>
      </c>
      <c r="N186" s="18">
        <f t="shared" si="15"/>
        <v>0.9</v>
      </c>
      <c r="O186" s="27"/>
      <c r="P186" s="8"/>
      <c r="Q186" s="8" t="s">
        <v>1209</v>
      </c>
      <c r="R186" s="8" t="s">
        <v>1209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1209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hidden="1" thickBot="1" x14ac:dyDescent="0.35">
      <c r="A187" s="51" t="s">
        <v>433</v>
      </c>
      <c r="B187" s="51" t="s">
        <v>438</v>
      </c>
      <c r="C187" s="51"/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999</v>
      </c>
      <c r="L187" s="53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1209</v>
      </c>
      <c r="P187" s="8" t="s">
        <v>1209</v>
      </c>
      <c r="Q187" s="8" t="s">
        <v>1209</v>
      </c>
      <c r="R187" s="8" t="s">
        <v>1209</v>
      </c>
      <c r="S187" s="27" t="s">
        <v>1209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hidden="1" thickBot="1" x14ac:dyDescent="0.35">
      <c r="A188" s="51" t="s">
        <v>433</v>
      </c>
      <c r="B188" s="51" t="s">
        <v>441</v>
      </c>
      <c r="C188" s="51"/>
      <c r="D188" s="51" t="s">
        <v>442</v>
      </c>
      <c r="E188" s="51" t="s">
        <v>24</v>
      </c>
      <c r="F188" s="51" t="s">
        <v>1389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1000</v>
      </c>
      <c r="L188" s="53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1209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hidden="1" thickBot="1" x14ac:dyDescent="0.35">
      <c r="A189" s="51" t="s">
        <v>433</v>
      </c>
      <c r="B189" s="51" t="s">
        <v>445</v>
      </c>
      <c r="C189" s="51"/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1001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hidden="1" thickBot="1" x14ac:dyDescent="0.35">
      <c r="A190" s="51" t="s">
        <v>447</v>
      </c>
      <c r="B190" s="51" t="s">
        <v>448</v>
      </c>
      <c r="C190" s="51"/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1395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hidden="1" thickBot="1" x14ac:dyDescent="0.35">
      <c r="A191" s="51" t="s">
        <v>72</v>
      </c>
      <c r="B191" s="51" t="s">
        <v>450</v>
      </c>
      <c r="C191" s="51" t="s">
        <v>1397</v>
      </c>
      <c r="D191" s="51" t="s">
        <v>451</v>
      </c>
      <c r="E191" s="51" t="s">
        <v>24</v>
      </c>
      <c r="F191" s="51" t="s">
        <v>1388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1002</v>
      </c>
      <c r="L191" s="53">
        <f t="shared" si="16"/>
        <v>9</v>
      </c>
      <c r="M191" s="17">
        <f t="shared" si="14"/>
        <v>21</v>
      </c>
      <c r="N191" s="18">
        <f t="shared" si="15"/>
        <v>0.3</v>
      </c>
      <c r="O191" s="27" t="s">
        <v>1209</v>
      </c>
      <c r="P191" s="8" t="s">
        <v>1209</v>
      </c>
      <c r="Q191" s="8" t="s">
        <v>1209</v>
      </c>
      <c r="R191" s="8" t="s">
        <v>1209</v>
      </c>
      <c r="S191" s="27" t="s">
        <v>1209</v>
      </c>
      <c r="T191" s="27"/>
      <c r="U191" s="8" t="s">
        <v>1209</v>
      </c>
      <c r="V191" s="8" t="s">
        <v>1209</v>
      </c>
      <c r="W191" s="8" t="s">
        <v>1209</v>
      </c>
      <c r="X191" s="27" t="s">
        <v>1209</v>
      </c>
      <c r="Y191" s="27" t="s">
        <v>1209</v>
      </c>
      <c r="Z191" s="27" t="s">
        <v>1209</v>
      </c>
      <c r="AA191" s="27" t="s">
        <v>1209</v>
      </c>
      <c r="AB191" s="27" t="s">
        <v>1209</v>
      </c>
      <c r="AC191" s="27" t="s">
        <v>1209</v>
      </c>
      <c r="AD191" s="27" t="s">
        <v>1209</v>
      </c>
      <c r="AE191" s="27" t="s">
        <v>1209</v>
      </c>
      <c r="AF191" s="27" t="s">
        <v>1209</v>
      </c>
      <c r="AG191" s="27" t="s">
        <v>1209</v>
      </c>
      <c r="AH191" s="27"/>
      <c r="AI191" s="27"/>
      <c r="AJ191" s="27"/>
      <c r="AK191" s="8"/>
      <c r="AL191" s="8"/>
      <c r="AM191" s="8"/>
      <c r="AN191" s="27" t="s">
        <v>1209</v>
      </c>
      <c r="AO191" s="8" t="s">
        <v>1209</v>
      </c>
      <c r="AP191" s="8" t="s">
        <v>1209</v>
      </c>
      <c r="AQ191" s="27"/>
      <c r="AR191" s="27"/>
      <c r="AS191" s="27"/>
    </row>
    <row r="192" spans="1:45" ht="15" hidden="1" thickBot="1" x14ac:dyDescent="0.35">
      <c r="A192" s="51" t="s">
        <v>433</v>
      </c>
      <c r="B192" s="51" t="s">
        <v>452</v>
      </c>
      <c r="C192" s="51"/>
      <c r="D192" s="51" t="s">
        <v>453</v>
      </c>
      <c r="E192" s="51" t="s">
        <v>24</v>
      </c>
      <c r="F192" s="51" t="s">
        <v>1388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1003</v>
      </c>
      <c r="L192" s="53">
        <f t="shared" si="16"/>
        <v>12</v>
      </c>
      <c r="M192" s="17">
        <f t="shared" si="14"/>
        <v>18</v>
      </c>
      <c r="N192" s="18">
        <f t="shared" si="15"/>
        <v>0.4</v>
      </c>
      <c r="O192" s="27" t="s">
        <v>1209</v>
      </c>
      <c r="P192" s="8" t="s">
        <v>1209</v>
      </c>
      <c r="Q192" s="8" t="s">
        <v>1209</v>
      </c>
      <c r="R192" s="8" t="s">
        <v>1209</v>
      </c>
      <c r="S192" s="27" t="s">
        <v>1209</v>
      </c>
      <c r="T192" s="27"/>
      <c r="U192" s="8" t="s">
        <v>1209</v>
      </c>
      <c r="V192" s="8" t="s">
        <v>1209</v>
      </c>
      <c r="W192" s="8" t="s">
        <v>1209</v>
      </c>
      <c r="X192" s="27" t="s">
        <v>1209</v>
      </c>
      <c r="Y192" s="27" t="s">
        <v>1209</v>
      </c>
      <c r="Z192" s="27" t="s">
        <v>1209</v>
      </c>
      <c r="AA192" s="27" t="s">
        <v>1209</v>
      </c>
      <c r="AB192" s="27" t="s">
        <v>1209</v>
      </c>
      <c r="AC192" s="27" t="s">
        <v>1209</v>
      </c>
      <c r="AD192" s="27" t="s">
        <v>1209</v>
      </c>
      <c r="AE192" s="27" t="s">
        <v>1209</v>
      </c>
      <c r="AF192" s="27" t="s">
        <v>1209</v>
      </c>
      <c r="AG192" s="27" t="s">
        <v>1209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hidden="1" thickBot="1" x14ac:dyDescent="0.35">
      <c r="A193" s="51" t="s">
        <v>433</v>
      </c>
      <c r="B193" s="51" t="s">
        <v>455</v>
      </c>
      <c r="C193" s="51"/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1005</v>
      </c>
      <c r="L193" s="53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1209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s="51" t="s">
        <v>433</v>
      </c>
      <c r="B194" s="51" t="s">
        <v>458</v>
      </c>
      <c r="C194" s="51" t="s">
        <v>1398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1006</v>
      </c>
      <c r="L194" s="53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1209</v>
      </c>
      <c r="X194" s="27" t="s">
        <v>1209</v>
      </c>
      <c r="Y194" s="27" t="s">
        <v>1209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s="51" t="s">
        <v>460</v>
      </c>
      <c r="B195" s="51" t="s">
        <v>461</v>
      </c>
      <c r="C195" s="51" t="s">
        <v>1398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1007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hidden="1" thickBot="1" x14ac:dyDescent="0.35">
      <c r="A196" s="51" t="s">
        <v>460</v>
      </c>
      <c r="B196" s="51" t="s">
        <v>464</v>
      </c>
      <c r="C196" s="51"/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1008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s="51" t="s">
        <v>460</v>
      </c>
      <c r="B197" s="51" t="s">
        <v>465</v>
      </c>
      <c r="C197" s="51" t="s">
        <v>1398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1009</v>
      </c>
      <c r="L197" s="53">
        <f t="shared" si="16"/>
        <v>19</v>
      </c>
      <c r="M197" s="17">
        <f t="shared" ref="M197:M262" si="17">COUNTIF(O197:AP197,"APAGADO")</f>
        <v>11</v>
      </c>
      <c r="N197" s="18">
        <f t="shared" ref="N197:N262" si="18">(L197)/(M197+L197)</f>
        <v>0.6333333333333333</v>
      </c>
      <c r="O197" s="27"/>
      <c r="P197" s="8"/>
      <c r="Q197" s="8"/>
      <c r="R197" s="8"/>
      <c r="S197" s="27"/>
      <c r="T197" s="27"/>
      <c r="U197" s="8" t="s">
        <v>1209</v>
      </c>
      <c r="V197" s="8" t="s">
        <v>1209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 t="s">
        <v>1209</v>
      </c>
      <c r="AI197" s="27" t="s">
        <v>1209</v>
      </c>
      <c r="AJ197" s="27" t="s">
        <v>1209</v>
      </c>
      <c r="AK197" s="8" t="s">
        <v>1209</v>
      </c>
      <c r="AL197" s="8" t="s">
        <v>1209</v>
      </c>
      <c r="AM197" s="8" t="s">
        <v>1209</v>
      </c>
      <c r="AN197" s="27" t="s">
        <v>1209</v>
      </c>
      <c r="AO197" s="8" t="s">
        <v>1209</v>
      </c>
      <c r="AP197" s="8" t="s">
        <v>1209</v>
      </c>
      <c r="AQ197" s="27"/>
      <c r="AR197" s="27"/>
      <c r="AS197" s="27"/>
    </row>
    <row r="198" spans="1:45" ht="15" thickBot="1" x14ac:dyDescent="0.35">
      <c r="A198" s="51" t="s">
        <v>460</v>
      </c>
      <c r="B198" s="51" t="s">
        <v>468</v>
      </c>
      <c r="C198" s="51" t="s">
        <v>1398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1010</v>
      </c>
      <c r="L198" s="53">
        <f t="shared" ref="L198:L261" si="19">COUNTIF(O198:AR198,"")</f>
        <v>19</v>
      </c>
      <c r="M198" s="17">
        <f t="shared" si="17"/>
        <v>11</v>
      </c>
      <c r="N198" s="18">
        <f t="shared" si="18"/>
        <v>0.6333333333333333</v>
      </c>
      <c r="O198" s="27"/>
      <c r="P198" s="8"/>
      <c r="Q198" s="8"/>
      <c r="R198" s="8"/>
      <c r="S198" s="27"/>
      <c r="T198" s="27"/>
      <c r="U198" s="8" t="s">
        <v>1209</v>
      </c>
      <c r="V198" s="8" t="s">
        <v>1209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 t="s">
        <v>1209</v>
      </c>
      <c r="AI198" s="27" t="s">
        <v>1209</v>
      </c>
      <c r="AJ198" s="27" t="s">
        <v>1209</v>
      </c>
      <c r="AK198" s="8" t="s">
        <v>1209</v>
      </c>
      <c r="AL198" s="8" t="s">
        <v>1209</v>
      </c>
      <c r="AM198" s="8" t="s">
        <v>1209</v>
      </c>
      <c r="AN198" s="27" t="s">
        <v>1209</v>
      </c>
      <c r="AO198" s="8" t="s">
        <v>1209</v>
      </c>
      <c r="AP198" s="8" t="s">
        <v>1209</v>
      </c>
      <c r="AQ198" s="27"/>
      <c r="AR198" s="27"/>
      <c r="AS198" s="27"/>
    </row>
    <row r="199" spans="1:45" ht="15" hidden="1" thickBot="1" x14ac:dyDescent="0.35">
      <c r="A199" s="51" t="s">
        <v>58</v>
      </c>
      <c r="B199" s="51" t="s">
        <v>470</v>
      </c>
      <c r="C199" s="51"/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1013</v>
      </c>
      <c r="L199" s="53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1209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hidden="1" thickBot="1" x14ac:dyDescent="0.35">
      <c r="A200" s="51" t="s">
        <v>58</v>
      </c>
      <c r="B200" s="51" t="s">
        <v>473</v>
      </c>
      <c r="C200" s="51"/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1014</v>
      </c>
      <c r="L200" s="53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1209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hidden="1" thickBot="1" x14ac:dyDescent="0.35">
      <c r="A201" s="51" t="s">
        <v>268</v>
      </c>
      <c r="B201" s="51" t="s">
        <v>474</v>
      </c>
      <c r="C201" s="51"/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1015</v>
      </c>
      <c r="L201" s="53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1209</v>
      </c>
      <c r="S201" s="27"/>
      <c r="T201" s="27"/>
      <c r="U201" s="8"/>
      <c r="V201" s="8" t="s">
        <v>1209</v>
      </c>
      <c r="W201" s="8" t="s">
        <v>1209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s="51" t="s">
        <v>268</v>
      </c>
      <c r="B202" s="51" t="s">
        <v>477</v>
      </c>
      <c r="C202" s="51" t="s">
        <v>1398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1016</v>
      </c>
      <c r="L202" s="53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1209</v>
      </c>
      <c r="S202" s="27"/>
      <c r="T202" s="27"/>
      <c r="U202" s="8"/>
      <c r="V202" s="8"/>
      <c r="W202" s="8" t="s">
        <v>1209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hidden="1" thickBot="1" x14ac:dyDescent="0.35">
      <c r="A203" s="51" t="s">
        <v>306</v>
      </c>
      <c r="B203" s="51" t="s">
        <v>479</v>
      </c>
      <c r="C203" s="51"/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1017</v>
      </c>
      <c r="L203" s="53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1209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s="51" t="s">
        <v>306</v>
      </c>
      <c r="B204" s="51" t="s">
        <v>481</v>
      </c>
      <c r="C204" s="51" t="s">
        <v>1398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1018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s="51" t="s">
        <v>326</v>
      </c>
      <c r="B205" s="51" t="s">
        <v>1294</v>
      </c>
      <c r="C205" s="51" t="s">
        <v>1398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1028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s="51" t="s">
        <v>326</v>
      </c>
      <c r="B206" s="51" t="s">
        <v>483</v>
      </c>
      <c r="C206" s="51" t="s">
        <v>1398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1019</v>
      </c>
      <c r="L206" s="53">
        <f t="shared" si="19"/>
        <v>12</v>
      </c>
      <c r="M206" s="17">
        <f t="shared" si="17"/>
        <v>18</v>
      </c>
      <c r="N206" s="18">
        <f t="shared" si="18"/>
        <v>0.4</v>
      </c>
      <c r="O206" s="27" t="s">
        <v>1209</v>
      </c>
      <c r="P206" s="8" t="s">
        <v>1209</v>
      </c>
      <c r="Q206" s="8" t="s">
        <v>1209</v>
      </c>
      <c r="R206" s="8" t="s">
        <v>1209</v>
      </c>
      <c r="S206" s="27" t="s">
        <v>1209</v>
      </c>
      <c r="T206" s="27"/>
      <c r="U206" s="8" t="s">
        <v>1209</v>
      </c>
      <c r="V206" s="8" t="s">
        <v>1209</v>
      </c>
      <c r="W206" s="8" t="s">
        <v>1209</v>
      </c>
      <c r="X206" s="27" t="s">
        <v>1209</v>
      </c>
      <c r="Y206" s="27" t="s">
        <v>1209</v>
      </c>
      <c r="Z206" s="27" t="s">
        <v>1209</v>
      </c>
      <c r="AA206" s="27" t="s">
        <v>1209</v>
      </c>
      <c r="AB206" s="27" t="s">
        <v>1209</v>
      </c>
      <c r="AC206" s="27" t="s">
        <v>1209</v>
      </c>
      <c r="AD206" s="27" t="s">
        <v>1209</v>
      </c>
      <c r="AE206" s="27" t="s">
        <v>1209</v>
      </c>
      <c r="AF206" s="27" t="s">
        <v>1209</v>
      </c>
      <c r="AG206" s="27" t="s">
        <v>1209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hidden="1" thickBot="1" x14ac:dyDescent="0.35">
      <c r="A207" s="51" t="s">
        <v>402</v>
      </c>
      <c r="B207" s="51" t="s">
        <v>485</v>
      </c>
      <c r="C207" s="51" t="s">
        <v>1397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1020</v>
      </c>
      <c r="L207" s="53">
        <f t="shared" si="19"/>
        <v>18</v>
      </c>
      <c r="M207" s="17">
        <f t="shared" si="17"/>
        <v>12</v>
      </c>
      <c r="N207" s="18">
        <f t="shared" si="18"/>
        <v>0.6</v>
      </c>
      <c r="O207" s="27" t="s">
        <v>1209</v>
      </c>
      <c r="P207" s="8" t="s">
        <v>1209</v>
      </c>
      <c r="Q207" s="8" t="s">
        <v>1209</v>
      </c>
      <c r="R207" s="8" t="s">
        <v>1209</v>
      </c>
      <c r="S207" s="27" t="s">
        <v>1209</v>
      </c>
      <c r="T207" s="27"/>
      <c r="U207" s="8" t="s">
        <v>1209</v>
      </c>
      <c r="V207" s="8" t="s">
        <v>1209</v>
      </c>
      <c r="W207" s="8" t="s">
        <v>1209</v>
      </c>
      <c r="X207" s="27" t="s">
        <v>1209</v>
      </c>
      <c r="Y207" s="27" t="s">
        <v>1209</v>
      </c>
      <c r="Z207" s="27" t="s">
        <v>1209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 t="s">
        <v>1209</v>
      </c>
      <c r="AO207" s="8"/>
      <c r="AP207" s="8"/>
      <c r="AQ207" s="27"/>
      <c r="AR207" s="27"/>
      <c r="AS207" s="27"/>
    </row>
    <row r="208" spans="1:45" ht="15" thickBot="1" x14ac:dyDescent="0.35">
      <c r="A208" s="51" t="s">
        <v>488</v>
      </c>
      <c r="B208" s="51" t="s">
        <v>489</v>
      </c>
      <c r="C208" s="51" t="s">
        <v>1398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1022</v>
      </c>
      <c r="L208" s="53">
        <f t="shared" si="19"/>
        <v>26</v>
      </c>
      <c r="M208" s="17">
        <f t="shared" si="17"/>
        <v>4</v>
      </c>
      <c r="N208" s="18">
        <f t="shared" si="18"/>
        <v>0.8666666666666667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1209</v>
      </c>
      <c r="AB208" s="27" t="s">
        <v>1209</v>
      </c>
      <c r="AC208" s="27" t="s">
        <v>1209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 t="s">
        <v>1209</v>
      </c>
      <c r="AN208" s="27"/>
      <c r="AO208" s="8"/>
      <c r="AP208" s="8"/>
      <c r="AQ208" s="27"/>
      <c r="AR208" s="27"/>
      <c r="AS208" s="27"/>
    </row>
    <row r="209" spans="1:45" ht="15" thickBot="1" x14ac:dyDescent="0.35">
      <c r="A209" s="51" t="s">
        <v>488</v>
      </c>
      <c r="B209" s="51" t="s">
        <v>491</v>
      </c>
      <c r="C209" s="51" t="s">
        <v>1398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1023</v>
      </c>
      <c r="L209" s="53">
        <f t="shared" si="19"/>
        <v>29</v>
      </c>
      <c r="M209" s="17">
        <f t="shared" si="17"/>
        <v>1</v>
      </c>
      <c r="N209" s="18">
        <f t="shared" si="18"/>
        <v>0.96666666666666667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 t="s">
        <v>1209</v>
      </c>
      <c r="AN209" s="27"/>
      <c r="AO209" s="8"/>
      <c r="AP209" s="8"/>
      <c r="AQ209" s="27"/>
      <c r="AR209" s="27"/>
      <c r="AS209" s="27"/>
    </row>
    <row r="210" spans="1:45" ht="15" thickBot="1" x14ac:dyDescent="0.35">
      <c r="A210" s="51" t="s">
        <v>492</v>
      </c>
      <c r="B210" s="51" t="s">
        <v>1295</v>
      </c>
      <c r="C210" s="51" t="s">
        <v>1398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1029</v>
      </c>
      <c r="L210" s="53">
        <f t="shared" si="19"/>
        <v>21</v>
      </c>
      <c r="M210" s="17">
        <f t="shared" si="17"/>
        <v>9</v>
      </c>
      <c r="N210" s="18">
        <f t="shared" si="18"/>
        <v>0.7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 t="s">
        <v>1209</v>
      </c>
      <c r="AI210" s="27" t="s">
        <v>1209</v>
      </c>
      <c r="AJ210" s="27" t="s">
        <v>1209</v>
      </c>
      <c r="AK210" s="8" t="s">
        <v>1209</v>
      </c>
      <c r="AL210" s="8" t="s">
        <v>1209</v>
      </c>
      <c r="AM210" s="8" t="s">
        <v>1209</v>
      </c>
      <c r="AN210" s="27" t="s">
        <v>1209</v>
      </c>
      <c r="AO210" s="8" t="s">
        <v>1209</v>
      </c>
      <c r="AP210" s="8" t="s">
        <v>1209</v>
      </c>
      <c r="AQ210" s="27"/>
      <c r="AR210" s="27"/>
      <c r="AS210" s="27"/>
    </row>
    <row r="211" spans="1:45" ht="15" thickBot="1" x14ac:dyDescent="0.35">
      <c r="A211" s="51" t="s">
        <v>283</v>
      </c>
      <c r="B211" s="51" t="s">
        <v>494</v>
      </c>
      <c r="C211" s="51" t="s">
        <v>1398</v>
      </c>
      <c r="D211" s="51" t="s">
        <v>495</v>
      </c>
      <c r="E211" s="51" t="s">
        <v>19</v>
      </c>
      <c r="F211" s="51" t="s">
        <v>1389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1024</v>
      </c>
      <c r="L211" s="53">
        <f t="shared" si="19"/>
        <v>10</v>
      </c>
      <c r="M211" s="17">
        <f t="shared" si="17"/>
        <v>20</v>
      </c>
      <c r="N211" s="18">
        <f t="shared" si="18"/>
        <v>0.33333333333333331</v>
      </c>
      <c r="O211" s="27" t="s">
        <v>1209</v>
      </c>
      <c r="P211" s="8" t="s">
        <v>1209</v>
      </c>
      <c r="Q211" s="8" t="s">
        <v>1209</v>
      </c>
      <c r="R211" s="8" t="s">
        <v>1209</v>
      </c>
      <c r="S211" s="27" t="s">
        <v>1209</v>
      </c>
      <c r="T211" s="27"/>
      <c r="U211" s="8" t="s">
        <v>1209</v>
      </c>
      <c r="V211" s="8" t="s">
        <v>1209</v>
      </c>
      <c r="W211" s="8" t="s">
        <v>1209</v>
      </c>
      <c r="X211" s="27" t="s">
        <v>1209</v>
      </c>
      <c r="Y211" s="27" t="s">
        <v>1209</v>
      </c>
      <c r="Z211" s="27" t="s">
        <v>1209</v>
      </c>
      <c r="AA211" s="27" t="s">
        <v>1209</v>
      </c>
      <c r="AB211" s="27" t="s">
        <v>1209</v>
      </c>
      <c r="AC211" s="27" t="s">
        <v>1209</v>
      </c>
      <c r="AD211" s="27" t="s">
        <v>1209</v>
      </c>
      <c r="AE211" s="27" t="s">
        <v>1209</v>
      </c>
      <c r="AF211" s="27" t="s">
        <v>1209</v>
      </c>
      <c r="AG211" s="27" t="s">
        <v>1209</v>
      </c>
      <c r="AH211" s="27"/>
      <c r="AI211" s="27"/>
      <c r="AJ211" s="27"/>
      <c r="AK211" s="8"/>
      <c r="AL211" s="8"/>
      <c r="AM211" s="8"/>
      <c r="AN211" s="27"/>
      <c r="AO211" s="8" t="s">
        <v>1209</v>
      </c>
      <c r="AP211" s="8" t="s">
        <v>1209</v>
      </c>
      <c r="AQ211" s="27"/>
      <c r="AR211" s="27"/>
      <c r="AS211" s="27"/>
    </row>
    <row r="212" spans="1:45" ht="15" thickBot="1" x14ac:dyDescent="0.35">
      <c r="A212" s="51" t="s">
        <v>283</v>
      </c>
      <c r="B212" s="51" t="s">
        <v>497</v>
      </c>
      <c r="C212" s="51" t="s">
        <v>1398</v>
      </c>
      <c r="D212" s="51" t="s">
        <v>495</v>
      </c>
      <c r="E212" s="51" t="s">
        <v>102</v>
      </c>
      <c r="F212" s="51" t="s">
        <v>1389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1025</v>
      </c>
      <c r="L212" s="53">
        <f t="shared" si="19"/>
        <v>10</v>
      </c>
      <c r="M212" s="17">
        <f t="shared" si="17"/>
        <v>20</v>
      </c>
      <c r="N212" s="18">
        <f t="shared" si="18"/>
        <v>0.33333333333333331</v>
      </c>
      <c r="O212" s="27" t="s">
        <v>1209</v>
      </c>
      <c r="P212" s="8" t="s">
        <v>1209</v>
      </c>
      <c r="Q212" s="8" t="s">
        <v>1209</v>
      </c>
      <c r="R212" s="8" t="s">
        <v>1209</v>
      </c>
      <c r="S212" s="27" t="s">
        <v>1209</v>
      </c>
      <c r="T212" s="27"/>
      <c r="U212" s="8" t="s">
        <v>1209</v>
      </c>
      <c r="V212" s="8" t="s">
        <v>1209</v>
      </c>
      <c r="W212" s="8" t="s">
        <v>1209</v>
      </c>
      <c r="X212" s="27" t="s">
        <v>1209</v>
      </c>
      <c r="Y212" s="27" t="s">
        <v>1209</v>
      </c>
      <c r="Z212" s="27" t="s">
        <v>1209</v>
      </c>
      <c r="AA212" s="27" t="s">
        <v>1209</v>
      </c>
      <c r="AB212" s="27" t="s">
        <v>1209</v>
      </c>
      <c r="AC212" s="27" t="s">
        <v>1209</v>
      </c>
      <c r="AD212" s="27" t="s">
        <v>1209</v>
      </c>
      <c r="AE212" s="27" t="s">
        <v>1209</v>
      </c>
      <c r="AF212" s="27" t="s">
        <v>1209</v>
      </c>
      <c r="AG212" s="27" t="s">
        <v>1209</v>
      </c>
      <c r="AH212" s="27"/>
      <c r="AI212" s="27"/>
      <c r="AJ212" s="27"/>
      <c r="AK212" s="8"/>
      <c r="AL212" s="8"/>
      <c r="AM212" s="8"/>
      <c r="AN212" s="27"/>
      <c r="AO212" s="8" t="s">
        <v>1209</v>
      </c>
      <c r="AP212" s="8" t="s">
        <v>1209</v>
      </c>
      <c r="AQ212" s="27"/>
      <c r="AR212" s="27"/>
      <c r="AS212" s="27"/>
    </row>
    <row r="213" spans="1:45" ht="15" thickBot="1" x14ac:dyDescent="0.35">
      <c r="A213" s="51" t="s">
        <v>498</v>
      </c>
      <c r="B213" s="51" t="s">
        <v>499</v>
      </c>
      <c r="C213" s="51" t="s">
        <v>1398</v>
      </c>
      <c r="D213" s="51" t="s">
        <v>1296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1030</v>
      </c>
      <c r="L213" s="53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1209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s="51" t="s">
        <v>498</v>
      </c>
      <c r="B214" s="51" t="s">
        <v>500</v>
      </c>
      <c r="C214" s="51" t="s">
        <v>1398</v>
      </c>
      <c r="D214" s="51" t="s">
        <v>1296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1031</v>
      </c>
      <c r="L214" s="53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/>
      <c r="S214" s="27"/>
      <c r="T214" s="27"/>
      <c r="U214" s="8"/>
      <c r="V214" s="8"/>
      <c r="W214" s="8" t="s">
        <v>1209</v>
      </c>
      <c r="X214" s="27" t="s">
        <v>1209</v>
      </c>
      <c r="Y214" s="27" t="s">
        <v>1209</v>
      </c>
      <c r="Z214" s="27" t="s">
        <v>1209</v>
      </c>
      <c r="AA214" s="27"/>
      <c r="AB214" s="27"/>
      <c r="AC214" s="27"/>
      <c r="AD214" s="27"/>
      <c r="AE214" s="27" t="s">
        <v>1209</v>
      </c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s="51" t="s">
        <v>488</v>
      </c>
      <c r="B215" s="51" t="s">
        <v>501</v>
      </c>
      <c r="C215" s="51" t="s">
        <v>1398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1027</v>
      </c>
      <c r="L215" s="53">
        <f t="shared" si="19"/>
        <v>27</v>
      </c>
      <c r="M215" s="17">
        <f t="shared" si="17"/>
        <v>3</v>
      </c>
      <c r="N215" s="18">
        <f t="shared" si="18"/>
        <v>0.9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 t="s">
        <v>1209</v>
      </c>
      <c r="AF215" s="27"/>
      <c r="AG215" s="27"/>
      <c r="AH215" s="27"/>
      <c r="AI215" s="27"/>
      <c r="AJ215" s="27"/>
      <c r="AK215" s="8"/>
      <c r="AL215" s="8"/>
      <c r="AM215" s="8"/>
      <c r="AN215" s="27"/>
      <c r="AO215" s="8" t="s">
        <v>1209</v>
      </c>
      <c r="AP215" s="8" t="s">
        <v>1209</v>
      </c>
      <c r="AQ215" s="27"/>
      <c r="AR215" s="27"/>
      <c r="AS215" s="27"/>
    </row>
    <row r="216" spans="1:45" ht="15" thickBot="1" x14ac:dyDescent="0.35">
      <c r="A216" s="51" t="s">
        <v>488</v>
      </c>
      <c r="B216" s="51" t="s">
        <v>503</v>
      </c>
      <c r="C216" s="51" t="s">
        <v>1398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1026</v>
      </c>
      <c r="L216" s="53">
        <f t="shared" si="19"/>
        <v>20</v>
      </c>
      <c r="M216" s="17">
        <f t="shared" si="17"/>
        <v>10</v>
      </c>
      <c r="N216" s="18">
        <f t="shared" si="18"/>
        <v>0.66666666666666663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 t="s">
        <v>1209</v>
      </c>
      <c r="AF216" s="27"/>
      <c r="AG216" s="27"/>
      <c r="AH216" s="27" t="s">
        <v>1209</v>
      </c>
      <c r="AI216" s="27" t="s">
        <v>1209</v>
      </c>
      <c r="AJ216" s="27" t="s">
        <v>1209</v>
      </c>
      <c r="AK216" s="8" t="s">
        <v>1209</v>
      </c>
      <c r="AL216" s="8" t="s">
        <v>1209</v>
      </c>
      <c r="AM216" s="8" t="s">
        <v>1209</v>
      </c>
      <c r="AN216" s="27" t="s">
        <v>1209</v>
      </c>
      <c r="AO216" s="8" t="s">
        <v>1209</v>
      </c>
      <c r="AP216" s="8" t="s">
        <v>1209</v>
      </c>
      <c r="AQ216" s="27"/>
      <c r="AR216" s="27"/>
      <c r="AS216" s="27"/>
    </row>
    <row r="217" spans="1:45" ht="15" hidden="1" thickBot="1" x14ac:dyDescent="0.35">
      <c r="A217" s="51" t="s">
        <v>264</v>
      </c>
      <c r="B217" s="51" t="s">
        <v>1297</v>
      </c>
      <c r="C217" s="51" t="s">
        <v>1397</v>
      </c>
      <c r="D217" s="51" t="s">
        <v>1298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20</v>
      </c>
      <c r="M217" s="17">
        <f t="shared" si="17"/>
        <v>10</v>
      </c>
      <c r="N217" s="18">
        <f t="shared" si="18"/>
        <v>0.66666666666666663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 t="s">
        <v>1209</v>
      </c>
      <c r="AF217" s="27"/>
      <c r="AG217" s="27"/>
      <c r="AH217" s="27" t="s">
        <v>1209</v>
      </c>
      <c r="AI217" s="27" t="s">
        <v>1209</v>
      </c>
      <c r="AJ217" s="27" t="s">
        <v>1209</v>
      </c>
      <c r="AK217" s="8" t="s">
        <v>1209</v>
      </c>
      <c r="AL217" s="8" t="s">
        <v>1209</v>
      </c>
      <c r="AM217" s="8" t="s">
        <v>1209</v>
      </c>
      <c r="AN217" s="27" t="s">
        <v>1209</v>
      </c>
      <c r="AO217" s="8" t="s">
        <v>1209</v>
      </c>
      <c r="AP217" s="8" t="s">
        <v>1209</v>
      </c>
      <c r="AQ217" s="27"/>
      <c r="AR217" s="27"/>
      <c r="AS217" s="27"/>
    </row>
    <row r="218" spans="1:45" ht="15" thickBot="1" x14ac:dyDescent="0.35">
      <c r="A218" s="51" t="s">
        <v>268</v>
      </c>
      <c r="B218" s="51" t="s">
        <v>1299</v>
      </c>
      <c r="C218" s="51" t="s">
        <v>1398</v>
      </c>
      <c r="D218" s="51" t="s">
        <v>1300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29</v>
      </c>
      <c r="M218" s="17">
        <f t="shared" si="17"/>
        <v>1</v>
      </c>
      <c r="N218" s="18">
        <f t="shared" si="18"/>
        <v>0.96666666666666667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 t="s">
        <v>1209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hidden="1" thickBot="1" x14ac:dyDescent="0.35">
      <c r="A219" s="51" t="s">
        <v>306</v>
      </c>
      <c r="B219" s="51" t="s">
        <v>1301</v>
      </c>
      <c r="C219" s="51"/>
      <c r="D219" s="51" t="s">
        <v>1302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29</v>
      </c>
      <c r="M219" s="17">
        <f t="shared" si="17"/>
        <v>1</v>
      </c>
      <c r="N219" s="18">
        <f t="shared" si="18"/>
        <v>0.96666666666666667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 t="s">
        <v>1209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s="51" t="s">
        <v>402</v>
      </c>
      <c r="B220" s="51" t="s">
        <v>504</v>
      </c>
      <c r="C220" s="51" t="s">
        <v>1398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1021</v>
      </c>
      <c r="L220" s="53">
        <f t="shared" si="19"/>
        <v>28</v>
      </c>
      <c r="M220" s="17">
        <f t="shared" si="17"/>
        <v>2</v>
      </c>
      <c r="N220" s="18">
        <f t="shared" si="18"/>
        <v>0.93333333333333335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 t="s">
        <v>1209</v>
      </c>
      <c r="AF220" s="27"/>
      <c r="AG220" s="27"/>
      <c r="AH220" s="27"/>
      <c r="AI220" s="27"/>
      <c r="AJ220" s="27"/>
      <c r="AK220" s="8"/>
      <c r="AL220" s="8"/>
      <c r="AM220" s="8"/>
      <c r="AN220" s="27" t="s">
        <v>1209</v>
      </c>
      <c r="AO220" s="8"/>
      <c r="AP220" s="8"/>
      <c r="AQ220" s="27"/>
      <c r="AR220" s="27"/>
      <c r="AS220" s="27"/>
    </row>
    <row r="221" spans="1:45" ht="15" thickBot="1" x14ac:dyDescent="0.35">
      <c r="A221" s="51" t="s">
        <v>402</v>
      </c>
      <c r="B221" s="51" t="s">
        <v>1303</v>
      </c>
      <c r="C221" s="51" t="s">
        <v>1398</v>
      </c>
      <c r="D221" s="51" t="s">
        <v>1304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28</v>
      </c>
      <c r="M221" s="17">
        <f t="shared" si="17"/>
        <v>2</v>
      </c>
      <c r="N221" s="18">
        <f t="shared" si="18"/>
        <v>0.93333333333333335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 t="s">
        <v>1209</v>
      </c>
      <c r="AF221" s="27"/>
      <c r="AG221" s="27"/>
      <c r="AH221" s="27"/>
      <c r="AI221" s="27"/>
      <c r="AJ221" s="27"/>
      <c r="AK221" s="8"/>
      <c r="AL221" s="8"/>
      <c r="AM221" s="8"/>
      <c r="AN221" s="27" t="s">
        <v>1209</v>
      </c>
      <c r="AO221" s="8"/>
      <c r="AP221" s="8"/>
      <c r="AQ221" s="27"/>
      <c r="AR221" s="27"/>
      <c r="AS221" s="27"/>
    </row>
    <row r="222" spans="1:45" ht="15" thickBot="1" x14ac:dyDescent="0.35">
      <c r="A222" s="51" t="s">
        <v>488</v>
      </c>
      <c r="B222" s="51" t="s">
        <v>1305</v>
      </c>
      <c r="C222" s="51" t="s">
        <v>1398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28</v>
      </c>
      <c r="M222" s="17">
        <f t="shared" si="17"/>
        <v>2</v>
      </c>
      <c r="N222" s="18">
        <f t="shared" si="18"/>
        <v>0.93333333333333335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 t="s">
        <v>1209</v>
      </c>
      <c r="AF222" s="27"/>
      <c r="AG222" s="27"/>
      <c r="AH222" s="27"/>
      <c r="AI222" s="27"/>
      <c r="AJ222" s="27"/>
      <c r="AK222" s="8"/>
      <c r="AL222" s="8"/>
      <c r="AM222" s="8" t="s">
        <v>1209</v>
      </c>
      <c r="AN222" s="27"/>
      <c r="AO222" s="8"/>
      <c r="AP222" s="8"/>
      <c r="AQ222" s="27"/>
      <c r="AR222" s="27"/>
      <c r="AS222" s="27"/>
    </row>
    <row r="223" spans="1:45" ht="15" thickBot="1" x14ac:dyDescent="0.35">
      <c r="A223" s="51" t="s">
        <v>283</v>
      </c>
      <c r="B223" s="51" t="s">
        <v>1306</v>
      </c>
      <c r="C223" s="51" t="s">
        <v>1398</v>
      </c>
      <c r="D223" s="51" t="s">
        <v>1307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27</v>
      </c>
      <c r="M223" s="17">
        <f t="shared" si="17"/>
        <v>3</v>
      </c>
      <c r="N223" s="18">
        <f t="shared" si="18"/>
        <v>0.9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 t="s">
        <v>1209</v>
      </c>
      <c r="AF223" s="27"/>
      <c r="AG223" s="27"/>
      <c r="AH223" s="27"/>
      <c r="AI223" s="27"/>
      <c r="AJ223" s="27"/>
      <c r="AK223" s="8"/>
      <c r="AL223" s="8"/>
      <c r="AM223" s="8"/>
      <c r="AN223" s="27"/>
      <c r="AO223" s="8" t="s">
        <v>1209</v>
      </c>
      <c r="AP223" s="8" t="s">
        <v>1209</v>
      </c>
      <c r="AQ223" s="27"/>
      <c r="AR223" s="27"/>
      <c r="AS223" s="27"/>
    </row>
    <row r="224" spans="1:45" ht="15" thickBot="1" x14ac:dyDescent="0.35">
      <c r="A224" s="51" t="s">
        <v>498</v>
      </c>
      <c r="B224" s="51" t="s">
        <v>1308</v>
      </c>
      <c r="C224" s="51" t="s">
        <v>1398</v>
      </c>
      <c r="D224" s="51" t="s">
        <v>1309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 t="s">
        <v>1209</v>
      </c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s="51" t="s">
        <v>488</v>
      </c>
      <c r="B225" s="51" t="s">
        <v>1310</v>
      </c>
      <c r="C225" s="51" t="s">
        <v>1398</v>
      </c>
      <c r="D225" s="51" t="s">
        <v>1311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28</v>
      </c>
      <c r="M225" s="17">
        <f t="shared" si="17"/>
        <v>2</v>
      </c>
      <c r="N225" s="18">
        <f t="shared" si="18"/>
        <v>0.93333333333333335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 t="s">
        <v>1209</v>
      </c>
      <c r="AP225" s="8" t="s">
        <v>1209</v>
      </c>
      <c r="AQ225" s="27"/>
      <c r="AR225" s="27"/>
      <c r="AS225" s="27"/>
    </row>
    <row r="226" spans="1:45" ht="15" thickBot="1" x14ac:dyDescent="0.35">
      <c r="A226" s="51" t="s">
        <v>326</v>
      </c>
      <c r="B226" s="51" t="s">
        <v>1312</v>
      </c>
      <c r="C226" s="51" t="s">
        <v>1398</v>
      </c>
      <c r="D226" s="51" t="s">
        <v>1313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s="51" t="s">
        <v>505</v>
      </c>
      <c r="B227" s="51" t="s">
        <v>506</v>
      </c>
      <c r="C227" s="51" t="s">
        <v>1398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1032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s="51" t="s">
        <v>505</v>
      </c>
      <c r="B228" s="51" t="s">
        <v>1314</v>
      </c>
      <c r="C228" s="51" t="s">
        <v>1398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1033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s="51" t="s">
        <v>505</v>
      </c>
      <c r="B229" s="51" t="s">
        <v>510</v>
      </c>
      <c r="C229" s="51" t="s">
        <v>1398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1034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s="51" t="s">
        <v>505</v>
      </c>
      <c r="B230" s="51" t="s">
        <v>513</v>
      </c>
      <c r="C230" s="51" t="s">
        <v>1398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1035</v>
      </c>
      <c r="L230" s="53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1209</v>
      </c>
      <c r="V230" s="8" t="s">
        <v>1209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s="51" t="s">
        <v>505</v>
      </c>
      <c r="B231" s="51" t="s">
        <v>514</v>
      </c>
      <c r="C231" s="51" t="s">
        <v>1398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1036</v>
      </c>
      <c r="L231" s="53">
        <f t="shared" si="19"/>
        <v>12</v>
      </c>
      <c r="M231" s="17">
        <f t="shared" si="17"/>
        <v>18</v>
      </c>
      <c r="N231" s="18">
        <f t="shared" si="18"/>
        <v>0.4</v>
      </c>
      <c r="O231" s="27" t="s">
        <v>1209</v>
      </c>
      <c r="P231" s="8" t="s">
        <v>1209</v>
      </c>
      <c r="Q231" s="8" t="s">
        <v>1209</v>
      </c>
      <c r="R231" s="8" t="s">
        <v>1209</v>
      </c>
      <c r="S231" s="27" t="s">
        <v>1209</v>
      </c>
      <c r="T231" s="27"/>
      <c r="U231" s="8" t="s">
        <v>1209</v>
      </c>
      <c r="V231" s="8" t="s">
        <v>1209</v>
      </c>
      <c r="W231" s="8" t="s">
        <v>1209</v>
      </c>
      <c r="X231" s="27" t="s">
        <v>1209</v>
      </c>
      <c r="Y231" s="27" t="s">
        <v>1209</v>
      </c>
      <c r="Z231" s="27" t="s">
        <v>1209</v>
      </c>
      <c r="AA231" s="27" t="s">
        <v>1209</v>
      </c>
      <c r="AB231" s="27" t="s">
        <v>1209</v>
      </c>
      <c r="AC231" s="27" t="s">
        <v>1209</v>
      </c>
      <c r="AD231" s="27" t="s">
        <v>1209</v>
      </c>
      <c r="AE231" s="27" t="s">
        <v>1209</v>
      </c>
      <c r="AF231" s="27" t="s">
        <v>1209</v>
      </c>
      <c r="AG231" s="27" t="s">
        <v>1209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s="51" t="s">
        <v>505</v>
      </c>
      <c r="B232" s="51" t="s">
        <v>516</v>
      </c>
      <c r="C232" s="51" t="s">
        <v>1398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1037</v>
      </c>
      <c r="L232" s="53">
        <f t="shared" si="19"/>
        <v>12</v>
      </c>
      <c r="M232" s="17">
        <f t="shared" si="17"/>
        <v>18</v>
      </c>
      <c r="N232" s="18">
        <f t="shared" si="18"/>
        <v>0.4</v>
      </c>
      <c r="O232" s="27" t="s">
        <v>1209</v>
      </c>
      <c r="P232" s="8" t="s">
        <v>1209</v>
      </c>
      <c r="Q232" s="8" t="s">
        <v>1209</v>
      </c>
      <c r="R232" s="8" t="s">
        <v>1209</v>
      </c>
      <c r="S232" s="27" t="s">
        <v>1209</v>
      </c>
      <c r="T232" s="27"/>
      <c r="U232" s="8" t="s">
        <v>1209</v>
      </c>
      <c r="V232" s="8" t="s">
        <v>1209</v>
      </c>
      <c r="W232" s="8" t="s">
        <v>1209</v>
      </c>
      <c r="X232" s="27" t="s">
        <v>1209</v>
      </c>
      <c r="Y232" s="27" t="s">
        <v>1209</v>
      </c>
      <c r="Z232" s="27" t="s">
        <v>1209</v>
      </c>
      <c r="AA232" s="27" t="s">
        <v>1209</v>
      </c>
      <c r="AB232" s="27" t="s">
        <v>1209</v>
      </c>
      <c r="AC232" s="27" t="s">
        <v>1209</v>
      </c>
      <c r="AD232" s="27" t="s">
        <v>1209</v>
      </c>
      <c r="AE232" s="27" t="s">
        <v>1209</v>
      </c>
      <c r="AF232" s="27" t="s">
        <v>1209</v>
      </c>
      <c r="AG232" s="27" t="s">
        <v>1209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s="51" t="s">
        <v>518</v>
      </c>
      <c r="B233" s="51" t="s">
        <v>1315</v>
      </c>
      <c r="C233" s="51" t="s">
        <v>1398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1042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A234" s="51" t="s">
        <v>518</v>
      </c>
      <c r="B234" s="51" t="s">
        <v>1316</v>
      </c>
      <c r="C234" s="51" t="s">
        <v>1398</v>
      </c>
      <c r="D234" s="51" t="s">
        <v>1317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1196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s="51" t="s">
        <v>518</v>
      </c>
      <c r="B235" s="51" t="s">
        <v>1318</v>
      </c>
      <c r="C235" s="51" t="s">
        <v>1398</v>
      </c>
      <c r="D235" s="51" t="s">
        <v>1319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1197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s="51" t="s">
        <v>518</v>
      </c>
      <c r="B236" s="51" t="s">
        <v>1320</v>
      </c>
      <c r="C236" s="51" t="s">
        <v>1398</v>
      </c>
      <c r="D236" s="51" t="s">
        <v>1321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1198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s="51" t="s">
        <v>518</v>
      </c>
      <c r="B237" s="51" t="s">
        <v>1322</v>
      </c>
      <c r="C237" s="51" t="s">
        <v>1398</v>
      </c>
      <c r="D237" s="51" t="s">
        <v>1323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1199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s="51" t="s">
        <v>518</v>
      </c>
      <c r="B238" s="51" t="s">
        <v>1324</v>
      </c>
      <c r="C238" s="51" t="s">
        <v>1398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1038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s="51" t="s">
        <v>518</v>
      </c>
      <c r="B239" s="51" t="s">
        <v>1325</v>
      </c>
      <c r="C239" s="51" t="s">
        <v>1398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1041</v>
      </c>
      <c r="L239" s="53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1209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s="51" t="s">
        <v>518</v>
      </c>
      <c r="B240" s="51" t="s">
        <v>521</v>
      </c>
      <c r="C240" s="51" t="s">
        <v>1398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1039</v>
      </c>
      <c r="L240" s="53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1209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s="51" t="s">
        <v>518</v>
      </c>
      <c r="B241" s="51" t="s">
        <v>523</v>
      </c>
      <c r="C241" s="51" t="s">
        <v>1398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1040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s="51" t="s">
        <v>1187</v>
      </c>
      <c r="B242" s="51" t="s">
        <v>1326</v>
      </c>
      <c r="C242" s="51" t="s">
        <v>1398</v>
      </c>
      <c r="D242" s="51" t="s">
        <v>1327</v>
      </c>
      <c r="E242" s="51" t="s">
        <v>1390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1189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s="51" t="s">
        <v>1187</v>
      </c>
      <c r="B243" s="51" t="s">
        <v>1186</v>
      </c>
      <c r="C243" s="51" t="s">
        <v>1398</v>
      </c>
      <c r="D243" s="51" t="s">
        <v>1327</v>
      </c>
      <c r="E243" s="51" t="s">
        <v>1391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1188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hidden="1" thickBot="1" x14ac:dyDescent="0.35">
      <c r="A244" s="51" t="s">
        <v>374</v>
      </c>
      <c r="B244" s="51" t="s">
        <v>1328</v>
      </c>
      <c r="C244" s="51" t="s">
        <v>1397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1011</v>
      </c>
      <c r="L244" s="53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hidden="1" thickBot="1" x14ac:dyDescent="0.35">
      <c r="A245" s="51" t="s">
        <v>374</v>
      </c>
      <c r="B245" s="51" t="s">
        <v>1329</v>
      </c>
      <c r="C245" s="51" t="s">
        <v>1397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1012</v>
      </c>
      <c r="L245" s="53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1209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hidden="1" thickBot="1" x14ac:dyDescent="0.35">
      <c r="A246" s="51" t="s">
        <v>374</v>
      </c>
      <c r="B246" s="51" t="s">
        <v>1330</v>
      </c>
      <c r="C246" s="51"/>
      <c r="D246" s="51" t="s">
        <v>1331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hidden="1" thickBot="1" x14ac:dyDescent="0.35">
      <c r="A247" s="51" t="s">
        <v>374</v>
      </c>
      <c r="B247" s="51" t="s">
        <v>1332</v>
      </c>
      <c r="C247" s="51"/>
      <c r="D247" s="51" t="s">
        <v>1333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1209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hidden="1" thickBot="1" x14ac:dyDescent="0.35">
      <c r="A248" s="51" t="s">
        <v>374</v>
      </c>
      <c r="B248" s="51" t="s">
        <v>527</v>
      </c>
      <c r="C248" s="51" t="s">
        <v>1397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1043</v>
      </c>
      <c r="L248" s="53">
        <f t="shared" si="19"/>
        <v>19</v>
      </c>
      <c r="M248" s="17">
        <f t="shared" si="17"/>
        <v>11</v>
      </c>
      <c r="N248" s="18">
        <f t="shared" si="18"/>
        <v>0.6333333333333333</v>
      </c>
      <c r="O248" s="27"/>
      <c r="P248" s="8"/>
      <c r="Q248" s="8"/>
      <c r="R248" s="8"/>
      <c r="S248" s="27"/>
      <c r="T248" s="27"/>
      <c r="U248" s="8"/>
      <c r="V248" s="8"/>
      <c r="W248" s="8" t="s">
        <v>1209</v>
      </c>
      <c r="X248" s="27" t="s">
        <v>1209</v>
      </c>
      <c r="Y248" s="27" t="s">
        <v>1209</v>
      </c>
      <c r="Z248" s="27" t="s">
        <v>1209</v>
      </c>
      <c r="AA248" s="27" t="s">
        <v>1209</v>
      </c>
      <c r="AB248" s="27" t="s">
        <v>1209</v>
      </c>
      <c r="AC248" s="27" t="s">
        <v>1209</v>
      </c>
      <c r="AD248" s="27" t="s">
        <v>1209</v>
      </c>
      <c r="AE248" s="27" t="s">
        <v>1209</v>
      </c>
      <c r="AF248" s="27" t="s">
        <v>1209</v>
      </c>
      <c r="AG248" s="27" t="s">
        <v>1209</v>
      </c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hidden="1" thickBot="1" x14ac:dyDescent="0.35">
      <c r="A249" s="51" t="s">
        <v>530</v>
      </c>
      <c r="B249" s="51" t="s">
        <v>531</v>
      </c>
      <c r="C249" s="51" t="s">
        <v>1397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1044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hidden="1" thickBot="1" x14ac:dyDescent="0.35">
      <c r="A250" s="51" t="s">
        <v>530</v>
      </c>
      <c r="B250" s="51" t="s">
        <v>534</v>
      </c>
      <c r="C250" s="51" t="s">
        <v>1397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1045</v>
      </c>
      <c r="L250" s="53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1209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hidden="1" thickBot="1" x14ac:dyDescent="0.35">
      <c r="A251" s="51" t="s">
        <v>537</v>
      </c>
      <c r="B251" s="51" t="s">
        <v>538</v>
      </c>
      <c r="C251" s="51" t="s">
        <v>1397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1046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hidden="1" thickBot="1" x14ac:dyDescent="0.35">
      <c r="A252" s="51" t="s">
        <v>411</v>
      </c>
      <c r="B252" s="51" t="s">
        <v>1334</v>
      </c>
      <c r="C252" s="51" t="s">
        <v>1397</v>
      </c>
      <c r="D252" s="51" t="s">
        <v>543</v>
      </c>
      <c r="E252" s="51" t="s">
        <v>24</v>
      </c>
      <c r="F252" s="51" t="s">
        <v>1388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1050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hidden="1" thickBot="1" x14ac:dyDescent="0.35">
      <c r="A253" s="51" t="s">
        <v>411</v>
      </c>
      <c r="B253" s="51" t="s">
        <v>540</v>
      </c>
      <c r="C253" s="51" t="s">
        <v>1397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1049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hidden="1" thickBot="1" x14ac:dyDescent="0.35">
      <c r="A254" s="51" t="s">
        <v>411</v>
      </c>
      <c r="B254" s="51" t="s">
        <v>545</v>
      </c>
      <c r="C254" s="51" t="s">
        <v>1397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1047</v>
      </c>
      <c r="L254" s="53">
        <f t="shared" si="19"/>
        <v>21</v>
      </c>
      <c r="M254" s="17">
        <f t="shared" si="17"/>
        <v>9</v>
      </c>
      <c r="N254" s="18">
        <f t="shared" si="18"/>
        <v>0.7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 t="s">
        <v>1209</v>
      </c>
      <c r="AI254" s="27" t="s">
        <v>1209</v>
      </c>
      <c r="AJ254" s="27" t="s">
        <v>1209</v>
      </c>
      <c r="AK254" s="8" t="s">
        <v>1209</v>
      </c>
      <c r="AL254" s="8" t="s">
        <v>1209</v>
      </c>
      <c r="AM254" s="8" t="s">
        <v>1209</v>
      </c>
      <c r="AN254" s="27" t="s">
        <v>1209</v>
      </c>
      <c r="AO254" s="8" t="s">
        <v>1209</v>
      </c>
      <c r="AP254" s="8" t="s">
        <v>1209</v>
      </c>
      <c r="AQ254" s="27"/>
      <c r="AR254" s="27"/>
      <c r="AS254" s="27"/>
    </row>
    <row r="255" spans="1:45" ht="15" hidden="1" thickBot="1" x14ac:dyDescent="0.35">
      <c r="A255" s="51" t="s">
        <v>411</v>
      </c>
      <c r="B255" s="51" t="s">
        <v>547</v>
      </c>
      <c r="C255" s="51" t="s">
        <v>1397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1048</v>
      </c>
      <c r="L255" s="53">
        <f t="shared" si="19"/>
        <v>21</v>
      </c>
      <c r="M255" s="17">
        <f t="shared" si="17"/>
        <v>9</v>
      </c>
      <c r="N255" s="18">
        <f t="shared" si="18"/>
        <v>0.7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 t="s">
        <v>1209</v>
      </c>
      <c r="AI255" s="27" t="s">
        <v>1209</v>
      </c>
      <c r="AJ255" s="27" t="s">
        <v>1209</v>
      </c>
      <c r="AK255" s="8" t="s">
        <v>1209</v>
      </c>
      <c r="AL255" s="8" t="s">
        <v>1209</v>
      </c>
      <c r="AM255" s="8" t="s">
        <v>1209</v>
      </c>
      <c r="AN255" s="27" t="s">
        <v>1209</v>
      </c>
      <c r="AO255" s="8" t="s">
        <v>1209</v>
      </c>
      <c r="AP255" s="8" t="s">
        <v>1209</v>
      </c>
      <c r="AQ255" s="27"/>
      <c r="AR255" s="27"/>
      <c r="AS255" s="27"/>
    </row>
    <row r="256" spans="1:45" ht="15" hidden="1" thickBot="1" x14ac:dyDescent="0.35">
      <c r="A256" s="51" t="s">
        <v>530</v>
      </c>
      <c r="B256" s="51" t="s">
        <v>548</v>
      </c>
      <c r="C256" s="51" t="s">
        <v>1397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1052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hidden="1" thickBot="1" x14ac:dyDescent="0.35">
      <c r="A257" s="51" t="s">
        <v>530</v>
      </c>
      <c r="B257" s="51" t="s">
        <v>550</v>
      </c>
      <c r="C257" s="51" t="s">
        <v>1397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1053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hidden="1" thickBot="1" x14ac:dyDescent="0.35">
      <c r="A258" s="51" t="s">
        <v>552</v>
      </c>
      <c r="B258" s="51" t="s">
        <v>553</v>
      </c>
      <c r="C258" s="51"/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1054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hidden="1" thickBot="1" x14ac:dyDescent="0.35">
      <c r="A259" s="51" t="s">
        <v>552</v>
      </c>
      <c r="B259" s="51" t="s">
        <v>556</v>
      </c>
      <c r="C259" s="51"/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1055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hidden="1" thickBot="1" x14ac:dyDescent="0.35">
      <c r="A260" s="51" t="s">
        <v>552</v>
      </c>
      <c r="B260" s="51" t="s">
        <v>558</v>
      </c>
      <c r="C260" s="51" t="s">
        <v>1397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1056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hidden="1" thickBot="1" x14ac:dyDescent="0.35">
      <c r="A261" s="51" t="s">
        <v>562</v>
      </c>
      <c r="B261" s="51" t="s">
        <v>1192</v>
      </c>
      <c r="C261" s="51" t="s">
        <v>1397</v>
      </c>
      <c r="D261" s="51" t="s">
        <v>1193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1200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hidden="1" thickBot="1" x14ac:dyDescent="0.35">
      <c r="A262" s="51" t="s">
        <v>552</v>
      </c>
      <c r="B262" s="51" t="s">
        <v>1194</v>
      </c>
      <c r="C262" s="51" t="s">
        <v>1397</v>
      </c>
      <c r="D262" s="51" t="s">
        <v>1195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1201</v>
      </c>
      <c r="L262" s="53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hidden="1" thickBot="1" x14ac:dyDescent="0.35">
      <c r="A263" s="51" t="s">
        <v>552</v>
      </c>
      <c r="B263" s="51" t="s">
        <v>1335</v>
      </c>
      <c r="C263" s="51"/>
      <c r="D263" s="51" t="s">
        <v>1336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hidden="1" thickBot="1" x14ac:dyDescent="0.35">
      <c r="A264" s="51" t="s">
        <v>552</v>
      </c>
      <c r="B264" s="51" t="s">
        <v>559</v>
      </c>
      <c r="C264" s="51" t="s">
        <v>1397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1051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hidden="1" thickBot="1" x14ac:dyDescent="0.35">
      <c r="A265" s="51" t="s">
        <v>562</v>
      </c>
      <c r="B265" s="51" t="s">
        <v>563</v>
      </c>
      <c r="C265" s="51" t="s">
        <v>1397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1057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hidden="1" thickBot="1" x14ac:dyDescent="0.35">
      <c r="A266" s="51" t="s">
        <v>562</v>
      </c>
      <c r="B266" s="51" t="s">
        <v>565</v>
      </c>
      <c r="C266" s="51" t="s">
        <v>1397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1058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hidden="1" thickBot="1" x14ac:dyDescent="0.35">
      <c r="A267" s="51" t="s">
        <v>552</v>
      </c>
      <c r="B267" s="51" t="s">
        <v>566</v>
      </c>
      <c r="C267" s="51" t="s">
        <v>1397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1059</v>
      </c>
      <c r="L267" s="53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hidden="1" thickBot="1" x14ac:dyDescent="0.35">
      <c r="A268" s="51" t="s">
        <v>552</v>
      </c>
      <c r="B268" s="51" t="s">
        <v>569</v>
      </c>
      <c r="C268" s="51" t="s">
        <v>1397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1060</v>
      </c>
      <c r="L268" s="53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hidden="1" thickBot="1" x14ac:dyDescent="0.35">
      <c r="A269" s="51" t="s">
        <v>552</v>
      </c>
      <c r="B269" s="51" t="s">
        <v>570</v>
      </c>
      <c r="C269" s="51" t="s">
        <v>1397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1061</v>
      </c>
      <c r="L269" s="53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hidden="1" thickBot="1" x14ac:dyDescent="0.35">
      <c r="A270" s="51" t="s">
        <v>552</v>
      </c>
      <c r="B270" s="51" t="s">
        <v>573</v>
      </c>
      <c r="C270" s="51" t="s">
        <v>1397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1062</v>
      </c>
      <c r="L270" s="53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s="51" t="s">
        <v>283</v>
      </c>
      <c r="B271" s="51" t="s">
        <v>574</v>
      </c>
      <c r="C271" s="51" t="s">
        <v>1398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1065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hidden="1" thickBot="1" x14ac:dyDescent="0.35">
      <c r="A272" s="51" t="s">
        <v>283</v>
      </c>
      <c r="B272" s="51" t="s">
        <v>577</v>
      </c>
      <c r="C272" s="51"/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1067</v>
      </c>
      <c r="L272" s="53">
        <f t="shared" si="20"/>
        <v>27</v>
      </c>
      <c r="M272" s="17">
        <f t="shared" si="21"/>
        <v>3</v>
      </c>
      <c r="N272" s="18">
        <f t="shared" si="22"/>
        <v>0.9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 t="s">
        <v>1209</v>
      </c>
      <c r="AI272" s="27" t="s">
        <v>1209</v>
      </c>
      <c r="AJ272" s="27" t="s">
        <v>1209</v>
      </c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hidden="1" thickBot="1" x14ac:dyDescent="0.35">
      <c r="A273" s="51" t="s">
        <v>283</v>
      </c>
      <c r="B273" s="51" t="s">
        <v>1337</v>
      </c>
      <c r="C273" s="51"/>
      <c r="D273" s="51" t="s">
        <v>1338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hidden="1" thickBot="1" x14ac:dyDescent="0.35">
      <c r="A274" s="51" t="s">
        <v>283</v>
      </c>
      <c r="B274" s="51" t="s">
        <v>1339</v>
      </c>
      <c r="C274" s="51"/>
      <c r="D274" s="51" t="s">
        <v>1338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hidden="1" thickBot="1" x14ac:dyDescent="0.35">
      <c r="A275" s="51" t="s">
        <v>283</v>
      </c>
      <c r="B275" s="51" t="s">
        <v>579</v>
      </c>
      <c r="C275" s="51"/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1063</v>
      </c>
      <c r="L275" s="53">
        <f t="shared" si="20"/>
        <v>28</v>
      </c>
      <c r="M275" s="17">
        <f t="shared" si="21"/>
        <v>2</v>
      </c>
      <c r="N275" s="18">
        <f t="shared" si="22"/>
        <v>0.93333333333333335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 t="s">
        <v>1209</v>
      </c>
      <c r="AM275" s="8"/>
      <c r="AN275" s="27" t="s">
        <v>1209</v>
      </c>
      <c r="AO275" s="8"/>
      <c r="AP275" s="8"/>
      <c r="AQ275" s="27"/>
      <c r="AR275" s="27"/>
      <c r="AS275" s="27"/>
    </row>
    <row r="276" spans="1:45" ht="15" hidden="1" thickBot="1" x14ac:dyDescent="0.35">
      <c r="A276" s="51" t="s">
        <v>283</v>
      </c>
      <c r="B276" s="51" t="s">
        <v>581</v>
      </c>
      <c r="C276" s="51"/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1064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s="51" t="s">
        <v>283</v>
      </c>
      <c r="B277" s="51" t="s">
        <v>584</v>
      </c>
      <c r="C277" s="51" t="s">
        <v>1398</v>
      </c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1068</v>
      </c>
      <c r="L277" s="53">
        <f t="shared" si="20"/>
        <v>28</v>
      </c>
      <c r="M277" s="17">
        <f t="shared" si="21"/>
        <v>2</v>
      </c>
      <c r="N277" s="18">
        <f t="shared" si="22"/>
        <v>0.93333333333333335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 t="s">
        <v>1209</v>
      </c>
      <c r="AP277" s="8" t="s">
        <v>1209</v>
      </c>
      <c r="AQ277" s="27"/>
      <c r="AR277" s="27"/>
      <c r="AS277" s="27"/>
    </row>
    <row r="278" spans="1:45" ht="15" thickBot="1" x14ac:dyDescent="0.35">
      <c r="A278" s="51" t="s">
        <v>283</v>
      </c>
      <c r="B278" s="51" t="s">
        <v>586</v>
      </c>
      <c r="C278" s="51" t="s">
        <v>1398</v>
      </c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1069</v>
      </c>
      <c r="L278" s="53">
        <f t="shared" si="20"/>
        <v>28</v>
      </c>
      <c r="M278" s="17">
        <f t="shared" si="21"/>
        <v>2</v>
      </c>
      <c r="N278" s="18">
        <f t="shared" si="22"/>
        <v>0.93333333333333335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 t="s">
        <v>1209</v>
      </c>
      <c r="AP278" s="8" t="s">
        <v>1209</v>
      </c>
      <c r="AQ278" s="27"/>
      <c r="AR278" s="27"/>
      <c r="AS278" s="27"/>
    </row>
    <row r="279" spans="1:45" ht="15" thickBot="1" x14ac:dyDescent="0.35">
      <c r="A279" s="51" t="s">
        <v>283</v>
      </c>
      <c r="B279" s="51" t="s">
        <v>587</v>
      </c>
      <c r="C279" s="51" t="s">
        <v>1398</v>
      </c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1070</v>
      </c>
      <c r="L279" s="53">
        <f t="shared" si="20"/>
        <v>27</v>
      </c>
      <c r="M279" s="17">
        <f t="shared" si="21"/>
        <v>3</v>
      </c>
      <c r="N279" s="18">
        <f t="shared" si="22"/>
        <v>0.9</v>
      </c>
      <c r="O279" s="27"/>
      <c r="P279" s="8"/>
      <c r="Q279" s="8" t="s">
        <v>1209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 t="s">
        <v>1209</v>
      </c>
      <c r="AP279" s="8" t="s">
        <v>1209</v>
      </c>
      <c r="AQ279" s="27"/>
      <c r="AR279" s="27"/>
      <c r="AS279" s="27"/>
    </row>
    <row r="280" spans="1:45" ht="15" thickBot="1" x14ac:dyDescent="0.35">
      <c r="A280" s="51" t="s">
        <v>283</v>
      </c>
      <c r="B280" s="51" t="s">
        <v>589</v>
      </c>
      <c r="C280" s="51" t="s">
        <v>1398</v>
      </c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1071</v>
      </c>
      <c r="L280" s="53">
        <f t="shared" si="20"/>
        <v>28</v>
      </c>
      <c r="M280" s="17">
        <f t="shared" si="21"/>
        <v>2</v>
      </c>
      <c r="N280" s="18">
        <f t="shared" si="22"/>
        <v>0.93333333333333335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 t="s">
        <v>1209</v>
      </c>
      <c r="AP280" s="8" t="s">
        <v>1209</v>
      </c>
      <c r="AQ280" s="27"/>
      <c r="AR280" s="27"/>
      <c r="AS280" s="27"/>
    </row>
    <row r="281" spans="1:45" ht="15" thickBot="1" x14ac:dyDescent="0.35">
      <c r="A281" s="51" t="s">
        <v>590</v>
      </c>
      <c r="B281" s="51" t="s">
        <v>591</v>
      </c>
      <c r="C281" s="51" t="s">
        <v>1398</v>
      </c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1072</v>
      </c>
      <c r="L281" s="53">
        <f t="shared" si="20"/>
        <v>23</v>
      </c>
      <c r="M281" s="17">
        <f t="shared" si="21"/>
        <v>7</v>
      </c>
      <c r="N281" s="18">
        <f t="shared" si="22"/>
        <v>0.76666666666666672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 t="s">
        <v>1209</v>
      </c>
      <c r="AJ281" s="27" t="s">
        <v>1209</v>
      </c>
      <c r="AK281" s="8" t="s">
        <v>1209</v>
      </c>
      <c r="AL281" s="8" t="s">
        <v>1209</v>
      </c>
      <c r="AM281" s="8" t="s">
        <v>1209</v>
      </c>
      <c r="AN281" s="27"/>
      <c r="AO281" s="8" t="s">
        <v>1209</v>
      </c>
      <c r="AP281" s="8" t="s">
        <v>1209</v>
      </c>
      <c r="AQ281" s="27"/>
      <c r="AR281" s="27"/>
      <c r="AS281" s="27"/>
    </row>
    <row r="282" spans="1:45" ht="15" thickBot="1" x14ac:dyDescent="0.35">
      <c r="A282" s="51" t="s">
        <v>597</v>
      </c>
      <c r="B282" s="51" t="s">
        <v>595</v>
      </c>
      <c r="C282" s="51" t="s">
        <v>1398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1075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s="51" t="s">
        <v>597</v>
      </c>
      <c r="B283" s="51" t="s">
        <v>598</v>
      </c>
      <c r="C283" s="51" t="s">
        <v>1398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1076</v>
      </c>
      <c r="L283" s="53">
        <f t="shared" si="20"/>
        <v>12</v>
      </c>
      <c r="M283" s="17">
        <f t="shared" si="21"/>
        <v>18</v>
      </c>
      <c r="N283" s="18">
        <f t="shared" si="22"/>
        <v>0.4</v>
      </c>
      <c r="O283" s="27" t="s">
        <v>1209</v>
      </c>
      <c r="P283" s="8" t="s">
        <v>1209</v>
      </c>
      <c r="Q283" s="8" t="s">
        <v>1209</v>
      </c>
      <c r="R283" s="8" t="s">
        <v>1209</v>
      </c>
      <c r="S283" s="27" t="s">
        <v>1209</v>
      </c>
      <c r="T283" s="27"/>
      <c r="U283" s="8" t="s">
        <v>1209</v>
      </c>
      <c r="V283" s="8" t="s">
        <v>1209</v>
      </c>
      <c r="W283" s="8" t="s">
        <v>1209</v>
      </c>
      <c r="X283" s="27" t="s">
        <v>1209</v>
      </c>
      <c r="Y283" s="27" t="s">
        <v>1209</v>
      </c>
      <c r="Z283" s="27" t="s">
        <v>1209</v>
      </c>
      <c r="AA283" s="27" t="s">
        <v>1209</v>
      </c>
      <c r="AB283" s="27" t="s">
        <v>1209</v>
      </c>
      <c r="AC283" s="27" t="s">
        <v>1209</v>
      </c>
      <c r="AD283" s="27" t="s">
        <v>1209</v>
      </c>
      <c r="AE283" s="27" t="s">
        <v>1209</v>
      </c>
      <c r="AF283" s="27" t="s">
        <v>1209</v>
      </c>
      <c r="AG283" s="27" t="s">
        <v>1209</v>
      </c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s="51" t="s">
        <v>597</v>
      </c>
      <c r="B284" s="51" t="s">
        <v>602</v>
      </c>
      <c r="C284" s="51" t="s">
        <v>1398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1078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s="51" t="s">
        <v>597</v>
      </c>
      <c r="B285" s="51" t="s">
        <v>604</v>
      </c>
      <c r="C285" s="51" t="s">
        <v>1398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1079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s="51" t="s">
        <v>597</v>
      </c>
      <c r="B286" s="51" t="s">
        <v>606</v>
      </c>
      <c r="C286" s="51" t="s">
        <v>1398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1073</v>
      </c>
      <c r="L286" s="53">
        <f t="shared" si="20"/>
        <v>29</v>
      </c>
      <c r="M286" s="17">
        <f t="shared" si="21"/>
        <v>1</v>
      </c>
      <c r="N286" s="18">
        <f t="shared" si="22"/>
        <v>0.96666666666666667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 t="s">
        <v>1209</v>
      </c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s="51" t="s">
        <v>597</v>
      </c>
      <c r="B287" s="51" t="s">
        <v>608</v>
      </c>
      <c r="C287" s="51" t="s">
        <v>1398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1074</v>
      </c>
      <c r="L287" s="53">
        <f t="shared" si="20"/>
        <v>29</v>
      </c>
      <c r="M287" s="17">
        <f t="shared" si="21"/>
        <v>1</v>
      </c>
      <c r="N287" s="18">
        <f t="shared" si="22"/>
        <v>0.96666666666666667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 t="s">
        <v>1209</v>
      </c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hidden="1" thickBot="1" x14ac:dyDescent="0.35">
      <c r="A288" s="51" t="s">
        <v>597</v>
      </c>
      <c r="B288" s="51" t="s">
        <v>610</v>
      </c>
      <c r="C288" s="51"/>
      <c r="D288" s="51" t="s">
        <v>611</v>
      </c>
      <c r="E288" s="51" t="s">
        <v>19</v>
      </c>
      <c r="F288" s="51" t="s">
        <v>1389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1077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hidden="1" customHeight="1" thickBot="1" x14ac:dyDescent="0.35">
      <c r="A289" s="51" t="s">
        <v>240</v>
      </c>
      <c r="B289" s="51" t="s">
        <v>1340</v>
      </c>
      <c r="C289" s="51" t="s">
        <v>1397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1082</v>
      </c>
      <c r="L289" s="53">
        <f t="shared" si="20"/>
        <v>24</v>
      </c>
      <c r="M289" s="17">
        <f t="shared" si="21"/>
        <v>6</v>
      </c>
      <c r="N289" s="18">
        <f t="shared" si="22"/>
        <v>0.8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 t="s">
        <v>1209</v>
      </c>
      <c r="AL289" s="8" t="s">
        <v>1209</v>
      </c>
      <c r="AM289" s="8" t="s">
        <v>1209</v>
      </c>
      <c r="AN289" s="27" t="s">
        <v>1209</v>
      </c>
      <c r="AO289" s="8" t="s">
        <v>1209</v>
      </c>
      <c r="AP289" s="8" t="s">
        <v>1209</v>
      </c>
      <c r="AQ289" s="27"/>
      <c r="AR289" s="27"/>
      <c r="AS289" s="27"/>
    </row>
    <row r="290" spans="1:45" ht="15" hidden="1" thickBot="1" x14ac:dyDescent="0.35">
      <c r="A290" s="51" t="s">
        <v>240</v>
      </c>
      <c r="B290" s="51" t="s">
        <v>1341</v>
      </c>
      <c r="C290" s="51" t="s">
        <v>1397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1083</v>
      </c>
      <c r="L290" s="53">
        <f t="shared" si="20"/>
        <v>24</v>
      </c>
      <c r="M290" s="17">
        <f t="shared" si="21"/>
        <v>6</v>
      </c>
      <c r="N290" s="18">
        <f t="shared" si="22"/>
        <v>0.8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 t="s">
        <v>1209</v>
      </c>
      <c r="AL290" s="8" t="s">
        <v>1209</v>
      </c>
      <c r="AM290" s="8" t="s">
        <v>1209</v>
      </c>
      <c r="AN290" s="27" t="s">
        <v>1209</v>
      </c>
      <c r="AO290" s="8" t="s">
        <v>1209</v>
      </c>
      <c r="AP290" s="8" t="s">
        <v>1209</v>
      </c>
      <c r="AQ290" s="27"/>
      <c r="AR290" s="27"/>
      <c r="AS290" s="27"/>
    </row>
    <row r="291" spans="1:45" ht="15" hidden="1" thickBot="1" x14ac:dyDescent="0.35">
      <c r="A291" s="51" t="s">
        <v>240</v>
      </c>
      <c r="B291" s="51" t="s">
        <v>613</v>
      </c>
      <c r="C291" s="51" t="s">
        <v>1397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1080</v>
      </c>
      <c r="L291" s="53">
        <f t="shared" si="20"/>
        <v>24</v>
      </c>
      <c r="M291" s="17">
        <f t="shared" si="21"/>
        <v>6</v>
      </c>
      <c r="N291" s="18">
        <f t="shared" si="22"/>
        <v>0.8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 t="s">
        <v>1209</v>
      </c>
      <c r="AL291" s="8" t="s">
        <v>1209</v>
      </c>
      <c r="AM291" s="8" t="s">
        <v>1209</v>
      </c>
      <c r="AN291" s="27" t="s">
        <v>1209</v>
      </c>
      <c r="AO291" s="8" t="s">
        <v>1209</v>
      </c>
      <c r="AP291" s="8" t="s">
        <v>1209</v>
      </c>
      <c r="AQ291" s="27"/>
      <c r="AR291" s="27"/>
      <c r="AS291" s="27"/>
    </row>
    <row r="292" spans="1:45" ht="15" hidden="1" thickBot="1" x14ac:dyDescent="0.35">
      <c r="A292" s="51" t="s">
        <v>240</v>
      </c>
      <c r="B292" s="51" t="s">
        <v>616</v>
      </c>
      <c r="C292" s="51" t="s">
        <v>1397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1081</v>
      </c>
      <c r="L292" s="53">
        <f t="shared" si="20"/>
        <v>24</v>
      </c>
      <c r="M292" s="17">
        <f t="shared" si="21"/>
        <v>6</v>
      </c>
      <c r="N292" s="18">
        <f t="shared" si="22"/>
        <v>0.8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 t="s">
        <v>1209</v>
      </c>
      <c r="AL292" s="8" t="s">
        <v>1209</v>
      </c>
      <c r="AM292" s="8" t="s">
        <v>1209</v>
      </c>
      <c r="AN292" s="27" t="s">
        <v>1209</v>
      </c>
      <c r="AO292" s="8" t="s">
        <v>1209</v>
      </c>
      <c r="AP292" s="8" t="s">
        <v>1209</v>
      </c>
      <c r="AQ292" s="27"/>
      <c r="AR292" s="27"/>
      <c r="AS292" s="27"/>
    </row>
    <row r="293" spans="1:45" ht="15" thickBot="1" x14ac:dyDescent="0.35">
      <c r="A293" s="51" t="s">
        <v>618</v>
      </c>
      <c r="B293" s="51" t="s">
        <v>1342</v>
      </c>
      <c r="C293" s="51" t="s">
        <v>1398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1089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s="51" t="s">
        <v>618</v>
      </c>
      <c r="B294" s="51" t="s">
        <v>623</v>
      </c>
      <c r="C294" s="51" t="s">
        <v>1398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1093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s="51" t="s">
        <v>618</v>
      </c>
      <c r="B295" s="51" t="s">
        <v>1343</v>
      </c>
      <c r="C295" s="51" t="s">
        <v>1398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1084</v>
      </c>
      <c r="L295" s="53">
        <f t="shared" si="20"/>
        <v>29</v>
      </c>
      <c r="M295" s="17">
        <f t="shared" si="21"/>
        <v>1</v>
      </c>
      <c r="N295" s="18">
        <f t="shared" si="22"/>
        <v>0.96666666666666667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 t="s">
        <v>1209</v>
      </c>
      <c r="AP295" s="8"/>
      <c r="AQ295" s="27"/>
      <c r="AR295" s="27"/>
      <c r="AS295" s="27"/>
    </row>
    <row r="296" spans="1:45" ht="15" thickBot="1" x14ac:dyDescent="0.35">
      <c r="A296" s="51" t="s">
        <v>488</v>
      </c>
      <c r="B296" s="51" t="s">
        <v>1344</v>
      </c>
      <c r="C296" s="51" t="s">
        <v>1398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1095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s="51" t="s">
        <v>488</v>
      </c>
      <c r="B297" s="51" t="s">
        <v>1345</v>
      </c>
      <c r="C297" s="51" t="s">
        <v>1398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1096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s="51" t="s">
        <v>618</v>
      </c>
      <c r="B298" s="51" t="s">
        <v>1346</v>
      </c>
      <c r="C298" s="51" t="s">
        <v>1398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1100</v>
      </c>
      <c r="L298" s="53">
        <f t="shared" si="20"/>
        <v>29</v>
      </c>
      <c r="M298" s="17">
        <f t="shared" si="21"/>
        <v>1</v>
      </c>
      <c r="N298" s="18">
        <f t="shared" si="22"/>
        <v>0.96666666666666667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 t="s">
        <v>1209</v>
      </c>
      <c r="AP298" s="8"/>
      <c r="AQ298" s="27"/>
      <c r="AR298" s="27"/>
      <c r="AS298" s="27"/>
    </row>
    <row r="299" spans="1:45" ht="15" thickBot="1" x14ac:dyDescent="0.35">
      <c r="A299" s="51" t="s">
        <v>618</v>
      </c>
      <c r="B299" s="51" t="s">
        <v>1347</v>
      </c>
      <c r="C299" s="51" t="s">
        <v>1398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1101</v>
      </c>
      <c r="L299" s="53">
        <f t="shared" si="20"/>
        <v>11</v>
      </c>
      <c r="M299" s="17">
        <f t="shared" si="21"/>
        <v>19</v>
      </c>
      <c r="N299" s="18">
        <f t="shared" si="22"/>
        <v>0.36666666666666664</v>
      </c>
      <c r="O299" s="27"/>
      <c r="P299" s="8" t="s">
        <v>1209</v>
      </c>
      <c r="Q299" s="8" t="s">
        <v>1209</v>
      </c>
      <c r="R299" s="8" t="s">
        <v>1209</v>
      </c>
      <c r="S299" s="27" t="s">
        <v>1209</v>
      </c>
      <c r="T299" s="27"/>
      <c r="U299" s="8" t="s">
        <v>1209</v>
      </c>
      <c r="V299" s="8" t="s">
        <v>1209</v>
      </c>
      <c r="W299" s="8" t="s">
        <v>1209</v>
      </c>
      <c r="X299" s="27" t="s">
        <v>1209</v>
      </c>
      <c r="Y299" s="27" t="s">
        <v>1209</v>
      </c>
      <c r="Z299" s="27" t="s">
        <v>1209</v>
      </c>
      <c r="AA299" s="27" t="s">
        <v>1209</v>
      </c>
      <c r="AB299" s="27" t="s">
        <v>1209</v>
      </c>
      <c r="AC299" s="27" t="s">
        <v>1209</v>
      </c>
      <c r="AD299" s="27" t="s">
        <v>1209</v>
      </c>
      <c r="AE299" s="27" t="s">
        <v>1209</v>
      </c>
      <c r="AF299" s="27" t="s">
        <v>1209</v>
      </c>
      <c r="AG299" s="27" t="s">
        <v>1209</v>
      </c>
      <c r="AH299" s="27"/>
      <c r="AI299" s="27"/>
      <c r="AJ299" s="27"/>
      <c r="AK299" s="8"/>
      <c r="AL299" s="8"/>
      <c r="AM299" s="8"/>
      <c r="AN299" s="27"/>
      <c r="AO299" s="8" t="s">
        <v>1209</v>
      </c>
      <c r="AP299" s="8" t="s">
        <v>1209</v>
      </c>
      <c r="AQ299" s="27"/>
      <c r="AR299" s="27"/>
      <c r="AS299" s="27"/>
    </row>
    <row r="300" spans="1:45" ht="15" thickBot="1" x14ac:dyDescent="0.35">
      <c r="A300" s="51" t="s">
        <v>618</v>
      </c>
      <c r="B300" s="51" t="s">
        <v>631</v>
      </c>
      <c r="C300" s="51" t="s">
        <v>1398</v>
      </c>
      <c r="D300" s="51" t="s">
        <v>1348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1086</v>
      </c>
      <c r="L300" s="53">
        <f t="shared" si="20"/>
        <v>12</v>
      </c>
      <c r="M300" s="17">
        <f t="shared" si="21"/>
        <v>18</v>
      </c>
      <c r="N300" s="18">
        <f t="shared" si="22"/>
        <v>0.4</v>
      </c>
      <c r="O300" s="27"/>
      <c r="P300" s="8" t="s">
        <v>1209</v>
      </c>
      <c r="Q300" s="8" t="s">
        <v>1209</v>
      </c>
      <c r="R300" s="8" t="s">
        <v>1209</v>
      </c>
      <c r="S300" s="27" t="s">
        <v>1209</v>
      </c>
      <c r="T300" s="27"/>
      <c r="U300" s="8" t="s">
        <v>1209</v>
      </c>
      <c r="V300" s="8" t="s">
        <v>1209</v>
      </c>
      <c r="W300" s="8" t="s">
        <v>1209</v>
      </c>
      <c r="X300" s="27" t="s">
        <v>1209</v>
      </c>
      <c r="Y300" s="27" t="s">
        <v>1209</v>
      </c>
      <c r="Z300" s="27" t="s">
        <v>1209</v>
      </c>
      <c r="AA300" s="27" t="s">
        <v>1209</v>
      </c>
      <c r="AB300" s="27" t="s">
        <v>1209</v>
      </c>
      <c r="AC300" s="27" t="s">
        <v>1209</v>
      </c>
      <c r="AD300" s="27" t="s">
        <v>1209</v>
      </c>
      <c r="AE300" s="27" t="s">
        <v>1209</v>
      </c>
      <c r="AF300" s="27" t="s">
        <v>1209</v>
      </c>
      <c r="AG300" s="27" t="s">
        <v>1209</v>
      </c>
      <c r="AH300" s="27"/>
      <c r="AI300" s="27"/>
      <c r="AJ300" s="27"/>
      <c r="AK300" s="8"/>
      <c r="AL300" s="8"/>
      <c r="AM300" s="8"/>
      <c r="AN300" s="27"/>
      <c r="AO300" s="8"/>
      <c r="AP300" s="8" t="s">
        <v>1209</v>
      </c>
      <c r="AQ300" s="27"/>
      <c r="AR300" s="27"/>
      <c r="AS300" s="27"/>
    </row>
    <row r="301" spans="1:45" ht="15" thickBot="1" x14ac:dyDescent="0.35">
      <c r="A301" s="51" t="s">
        <v>488</v>
      </c>
      <c r="B301" s="51" t="s">
        <v>632</v>
      </c>
      <c r="C301" s="51" t="s">
        <v>1398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1087</v>
      </c>
      <c r="L301" s="53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1209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s="51" t="s">
        <v>618</v>
      </c>
      <c r="B302" s="51" t="s">
        <v>634</v>
      </c>
      <c r="C302" s="51" t="s">
        <v>1398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1088</v>
      </c>
      <c r="L302" s="53">
        <f t="shared" si="20"/>
        <v>27</v>
      </c>
      <c r="M302" s="17">
        <f t="shared" si="21"/>
        <v>3</v>
      </c>
      <c r="N302" s="18">
        <f t="shared" si="22"/>
        <v>0.9</v>
      </c>
      <c r="O302" s="27"/>
      <c r="P302" s="8"/>
      <c r="Q302" s="8"/>
      <c r="R302" s="8" t="s">
        <v>1209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 t="s">
        <v>1209</v>
      </c>
      <c r="AP302" s="8" t="s">
        <v>1209</v>
      </c>
      <c r="AQ302" s="27"/>
      <c r="AR302" s="27"/>
      <c r="AS302" s="27"/>
    </row>
    <row r="303" spans="1:45" ht="15" hidden="1" thickBot="1" x14ac:dyDescent="0.35">
      <c r="A303" s="51" t="s">
        <v>618</v>
      </c>
      <c r="B303" s="51" t="s">
        <v>1349</v>
      </c>
      <c r="C303" s="51"/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1090</v>
      </c>
      <c r="L303" s="53">
        <f t="shared" si="20"/>
        <v>21</v>
      </c>
      <c r="M303" s="17">
        <f t="shared" si="21"/>
        <v>9</v>
      </c>
      <c r="N303" s="18">
        <f t="shared" si="22"/>
        <v>0.7</v>
      </c>
      <c r="O303" s="27" t="s">
        <v>1209</v>
      </c>
      <c r="P303" s="8" t="s">
        <v>1209</v>
      </c>
      <c r="Q303" s="8" t="s">
        <v>1209</v>
      </c>
      <c r="R303" s="8" t="s">
        <v>1209</v>
      </c>
      <c r="S303" s="27" t="s">
        <v>1209</v>
      </c>
      <c r="T303" s="27"/>
      <c r="U303" s="8" t="s">
        <v>1209</v>
      </c>
      <c r="V303" s="8"/>
      <c r="W303" s="8" t="s">
        <v>1209</v>
      </c>
      <c r="X303" s="27"/>
      <c r="Y303" s="27"/>
      <c r="Z303" s="27"/>
      <c r="AA303" s="27" t="s">
        <v>1209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 t="s">
        <v>1209</v>
      </c>
      <c r="AP303" s="8"/>
      <c r="AQ303" s="27"/>
      <c r="AR303" s="27"/>
      <c r="AS303" s="27"/>
    </row>
    <row r="304" spans="1:45" ht="15" thickBot="1" x14ac:dyDescent="0.35">
      <c r="A304" s="51" t="s">
        <v>618</v>
      </c>
      <c r="B304" s="51" t="s">
        <v>1350</v>
      </c>
      <c r="C304" s="51" t="s">
        <v>1398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1091</v>
      </c>
      <c r="L304" s="53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1209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s="51" t="s">
        <v>618</v>
      </c>
      <c r="B305" s="51" t="s">
        <v>1351</v>
      </c>
      <c r="C305" s="51" t="s">
        <v>1398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1092</v>
      </c>
      <c r="L305" s="53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1209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s="51" t="s">
        <v>618</v>
      </c>
      <c r="B306" s="51" t="s">
        <v>1352</v>
      </c>
      <c r="C306" s="51" t="s">
        <v>1398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1066</v>
      </c>
      <c r="L306" s="53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1209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s="51" t="s">
        <v>618</v>
      </c>
      <c r="B307" s="51" t="s">
        <v>1353</v>
      </c>
      <c r="C307" s="51" t="s">
        <v>1398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1094</v>
      </c>
      <c r="L307" s="53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1209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A308" s="51" t="s">
        <v>618</v>
      </c>
      <c r="B308" s="51" t="s">
        <v>641</v>
      </c>
      <c r="C308" s="51" t="s">
        <v>1398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1085</v>
      </c>
      <c r="L308" s="53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1209</v>
      </c>
      <c r="P308" s="8" t="s">
        <v>1209</v>
      </c>
      <c r="Q308" s="8" t="s">
        <v>1209</v>
      </c>
      <c r="R308" s="8" t="s">
        <v>1209</v>
      </c>
      <c r="S308" s="27" t="s">
        <v>1209</v>
      </c>
      <c r="T308" s="27"/>
      <c r="U308" s="8" t="s">
        <v>1209</v>
      </c>
      <c r="V308" s="8" t="s">
        <v>1209</v>
      </c>
      <c r="W308" s="8" t="s">
        <v>1209</v>
      </c>
      <c r="X308" s="27"/>
      <c r="Y308" s="27" t="s">
        <v>1209</v>
      </c>
      <c r="Z308" s="27" t="s">
        <v>1209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s="51" t="s">
        <v>618</v>
      </c>
      <c r="B309" s="51" t="s">
        <v>644</v>
      </c>
      <c r="C309" s="51" t="s">
        <v>1398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1097</v>
      </c>
      <c r="L309" s="53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1209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A310" s="51" t="s">
        <v>618</v>
      </c>
      <c r="B310" s="51" t="s">
        <v>1354</v>
      </c>
      <c r="C310" s="51" t="s">
        <v>1398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1098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s="51" t="s">
        <v>618</v>
      </c>
      <c r="B311" s="51" t="s">
        <v>1355</v>
      </c>
      <c r="C311" s="51" t="s">
        <v>1398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1099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hidden="1" thickBot="1" x14ac:dyDescent="0.35">
      <c r="A312" s="51" t="s">
        <v>498</v>
      </c>
      <c r="B312" s="51" t="s">
        <v>649</v>
      </c>
      <c r="C312" s="51"/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1102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s="51" t="s">
        <v>498</v>
      </c>
      <c r="B313" s="51" t="s">
        <v>651</v>
      </c>
      <c r="C313" s="51" t="s">
        <v>1398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1103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hidden="1" thickBot="1" x14ac:dyDescent="0.35">
      <c r="A314" s="51" t="s">
        <v>374</v>
      </c>
      <c r="B314" s="51" t="s">
        <v>1356</v>
      </c>
      <c r="C314" s="51" t="s">
        <v>1397</v>
      </c>
      <c r="D314" s="51" t="s">
        <v>674</v>
      </c>
      <c r="E314" s="51" t="s">
        <v>24</v>
      </c>
      <c r="F314" s="51" t="s">
        <v>1389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1112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hidden="1" thickBot="1" x14ac:dyDescent="0.35">
      <c r="A315" s="51" t="s">
        <v>652</v>
      </c>
      <c r="B315" s="51" t="s">
        <v>653</v>
      </c>
      <c r="C315" s="51" t="s">
        <v>1397</v>
      </c>
      <c r="D315" s="51" t="s">
        <v>654</v>
      </c>
      <c r="E315" s="51" t="s">
        <v>24</v>
      </c>
      <c r="F315" s="51" t="s">
        <v>1389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1104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hidden="1" thickBot="1" x14ac:dyDescent="0.35">
      <c r="A316" s="51" t="s">
        <v>652</v>
      </c>
      <c r="B316" s="51" t="s">
        <v>656</v>
      </c>
      <c r="C316" s="51"/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1105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hidden="1" thickBot="1" x14ac:dyDescent="0.35">
      <c r="A317" s="51" t="s">
        <v>658</v>
      </c>
      <c r="B317" s="51" t="s">
        <v>659</v>
      </c>
      <c r="C317" s="51"/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1106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hidden="1" thickBot="1" x14ac:dyDescent="0.35">
      <c r="A318" s="51" t="s">
        <v>652</v>
      </c>
      <c r="B318" s="51" t="s">
        <v>661</v>
      </c>
      <c r="C318" s="51"/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1107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hidden="1" thickBot="1" x14ac:dyDescent="0.35">
      <c r="A319" s="51" t="s">
        <v>652</v>
      </c>
      <c r="B319" s="51" t="s">
        <v>665</v>
      </c>
      <c r="C319" s="51"/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1108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hidden="1" thickBot="1" x14ac:dyDescent="0.35">
      <c r="A320" s="51" t="s">
        <v>652</v>
      </c>
      <c r="B320" s="51" t="s">
        <v>667</v>
      </c>
      <c r="C320" s="51"/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1109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hidden="1" thickBot="1" x14ac:dyDescent="0.35">
      <c r="A321" s="51" t="s">
        <v>652</v>
      </c>
      <c r="B321" s="51" t="s">
        <v>670</v>
      </c>
      <c r="C321" s="51"/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1110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hidden="1" thickBot="1" x14ac:dyDescent="0.35">
      <c r="A322" s="51" t="s">
        <v>652</v>
      </c>
      <c r="B322" s="51" t="s">
        <v>672</v>
      </c>
      <c r="C322" s="51"/>
      <c r="D322" s="51" t="s">
        <v>673</v>
      </c>
      <c r="E322" s="51" t="s">
        <v>24</v>
      </c>
      <c r="F322" s="51" t="s">
        <v>1389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1111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hidden="1" thickBot="1" x14ac:dyDescent="0.35">
      <c r="A323" s="51" t="s">
        <v>326</v>
      </c>
      <c r="B323" s="51" t="s">
        <v>675</v>
      </c>
      <c r="C323" s="51"/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1113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s="51" t="s">
        <v>326</v>
      </c>
      <c r="B324" s="51" t="s">
        <v>678</v>
      </c>
      <c r="C324" s="51" t="s">
        <v>1398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1114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hidden="1" thickBot="1" x14ac:dyDescent="0.35">
      <c r="A325" s="51" t="s">
        <v>326</v>
      </c>
      <c r="B325" s="51" t="s">
        <v>1357</v>
      </c>
      <c r="C325" s="51"/>
      <c r="D325" s="51" t="s">
        <v>688</v>
      </c>
      <c r="E325" s="51" t="s">
        <v>102</v>
      </c>
      <c r="F325" s="51" t="s">
        <v>1388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1120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hidden="1" thickBot="1" x14ac:dyDescent="0.35">
      <c r="A326" s="51" t="s">
        <v>326</v>
      </c>
      <c r="B326" s="51" t="s">
        <v>1358</v>
      </c>
      <c r="C326" s="51"/>
      <c r="D326" s="51" t="s">
        <v>688</v>
      </c>
      <c r="E326" s="51" t="s">
        <v>102</v>
      </c>
      <c r="F326" s="51" t="s">
        <v>1388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1121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A327" s="51" t="s">
        <v>326</v>
      </c>
      <c r="B327" s="51" t="s">
        <v>680</v>
      </c>
      <c r="C327" s="51" t="s">
        <v>1398</v>
      </c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1115</v>
      </c>
      <c r="L327" s="53">
        <f t="shared" si="23"/>
        <v>21</v>
      </c>
      <c r="M327" s="17">
        <f t="shared" ref="M327:M372" si="24">COUNTIF(O327:AP327,"APAGADO")</f>
        <v>9</v>
      </c>
      <c r="N327" s="18">
        <f t="shared" ref="N327:N372" si="25">(L327)/(M327+L327)</f>
        <v>0.7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 t="s">
        <v>1209</v>
      </c>
      <c r="AI327" s="27" t="s">
        <v>1209</v>
      </c>
      <c r="AJ327" s="27" t="s">
        <v>1209</v>
      </c>
      <c r="AK327" s="8" t="s">
        <v>1209</v>
      </c>
      <c r="AL327" s="8" t="s">
        <v>1209</v>
      </c>
      <c r="AM327" s="8" t="s">
        <v>1209</v>
      </c>
      <c r="AN327" s="27" t="s">
        <v>1209</v>
      </c>
      <c r="AO327" s="8" t="s">
        <v>1209</v>
      </c>
      <c r="AP327" s="8" t="s">
        <v>1209</v>
      </c>
      <c r="AQ327" s="27"/>
      <c r="AR327" s="27"/>
      <c r="AS327" s="27"/>
    </row>
    <row r="328" spans="1:45" ht="15" thickBot="1" x14ac:dyDescent="0.35">
      <c r="A328" s="51" t="s">
        <v>326</v>
      </c>
      <c r="B328" s="51" t="s">
        <v>682</v>
      </c>
      <c r="C328" s="51" t="s">
        <v>1398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1116</v>
      </c>
      <c r="L328" s="53">
        <f t="shared" si="23"/>
        <v>21</v>
      </c>
      <c r="M328" s="17">
        <f t="shared" si="24"/>
        <v>9</v>
      </c>
      <c r="N328" s="18">
        <f t="shared" si="25"/>
        <v>0.7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 t="s">
        <v>1209</v>
      </c>
      <c r="AI328" s="27" t="s">
        <v>1209</v>
      </c>
      <c r="AJ328" s="27" t="s">
        <v>1209</v>
      </c>
      <c r="AK328" s="8" t="s">
        <v>1209</v>
      </c>
      <c r="AL328" s="8" t="s">
        <v>1209</v>
      </c>
      <c r="AM328" s="8" t="s">
        <v>1209</v>
      </c>
      <c r="AN328" s="27" t="s">
        <v>1209</v>
      </c>
      <c r="AO328" s="8" t="s">
        <v>1209</v>
      </c>
      <c r="AP328" s="8" t="s">
        <v>1209</v>
      </c>
      <c r="AQ328" s="27"/>
      <c r="AR328" s="27"/>
      <c r="AS328" s="27"/>
    </row>
    <row r="329" spans="1:45" ht="15" hidden="1" thickBot="1" x14ac:dyDescent="0.35">
      <c r="A329" s="51" t="s">
        <v>326</v>
      </c>
      <c r="B329" s="51" t="s">
        <v>683</v>
      </c>
      <c r="C329" s="51"/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1117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hidden="1" thickBot="1" x14ac:dyDescent="0.35">
      <c r="A330" s="51" t="s">
        <v>326</v>
      </c>
      <c r="B330" s="51" t="s">
        <v>685</v>
      </c>
      <c r="C330" s="51"/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1118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s="51" t="s">
        <v>326</v>
      </c>
      <c r="B331" s="51" t="s">
        <v>686</v>
      </c>
      <c r="C331" s="51" t="s">
        <v>1398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1119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hidden="1" thickBot="1" x14ac:dyDescent="0.35">
      <c r="A332" s="51" t="s">
        <v>326</v>
      </c>
      <c r="B332" s="51" t="s">
        <v>690</v>
      </c>
      <c r="C332" s="51"/>
      <c r="D332" s="51" t="s">
        <v>691</v>
      </c>
      <c r="E332" s="51" t="s">
        <v>102</v>
      </c>
      <c r="F332" s="51" t="s">
        <v>1388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1122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hidden="1" thickBot="1" x14ac:dyDescent="0.35">
      <c r="A333" s="51" t="s">
        <v>326</v>
      </c>
      <c r="B333" s="51" t="s">
        <v>693</v>
      </c>
      <c r="C333" s="51"/>
      <c r="D333" s="51" t="s">
        <v>691</v>
      </c>
      <c r="E333" s="51" t="s">
        <v>102</v>
      </c>
      <c r="F333" s="51" t="s">
        <v>1388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1123</v>
      </c>
      <c r="L333" s="53">
        <f t="shared" si="23"/>
        <v>22</v>
      </c>
      <c r="M333" s="17">
        <f t="shared" si="24"/>
        <v>8</v>
      </c>
      <c r="N333" s="18">
        <f t="shared" si="25"/>
        <v>0.73333333333333328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1209</v>
      </c>
      <c r="AA333" s="27" t="s">
        <v>1209</v>
      </c>
      <c r="AB333" s="27" t="s">
        <v>1209</v>
      </c>
      <c r="AC333" s="27" t="s">
        <v>1209</v>
      </c>
      <c r="AD333" s="27" t="s">
        <v>1209</v>
      </c>
      <c r="AE333" s="27" t="s">
        <v>1209</v>
      </c>
      <c r="AF333" s="27" t="s">
        <v>1209</v>
      </c>
      <c r="AG333" s="27" t="s">
        <v>1209</v>
      </c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hidden="1" thickBot="1" x14ac:dyDescent="0.35">
      <c r="A334" s="51" t="s">
        <v>697</v>
      </c>
      <c r="B334" s="51" t="s">
        <v>1359</v>
      </c>
      <c r="C334" s="51"/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1133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hidden="1" thickBot="1" x14ac:dyDescent="0.35">
      <c r="A335" s="51" t="s">
        <v>703</v>
      </c>
      <c r="B335" s="51" t="s">
        <v>1360</v>
      </c>
      <c r="C335" s="51"/>
      <c r="D335" s="51" t="s">
        <v>735</v>
      </c>
      <c r="E335" s="51" t="s">
        <v>19</v>
      </c>
      <c r="F335" s="51" t="s">
        <v>1388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1137</v>
      </c>
      <c r="L335" s="53">
        <f t="shared" si="23"/>
        <v>12</v>
      </c>
      <c r="M335" s="17">
        <f t="shared" si="24"/>
        <v>18</v>
      </c>
      <c r="N335" s="18">
        <f t="shared" si="25"/>
        <v>0.4</v>
      </c>
      <c r="O335" s="27" t="s">
        <v>1209</v>
      </c>
      <c r="P335" s="8" t="s">
        <v>1209</v>
      </c>
      <c r="Q335" s="8" t="s">
        <v>1209</v>
      </c>
      <c r="R335" s="8" t="s">
        <v>1209</v>
      </c>
      <c r="S335" s="27" t="s">
        <v>1209</v>
      </c>
      <c r="T335" s="27"/>
      <c r="U335" s="8" t="s">
        <v>1209</v>
      </c>
      <c r="V335" s="8" t="s">
        <v>1209</v>
      </c>
      <c r="W335" s="8" t="s">
        <v>1209</v>
      </c>
      <c r="X335" s="27" t="s">
        <v>1209</v>
      </c>
      <c r="Y335" s="27" t="s">
        <v>1209</v>
      </c>
      <c r="Z335" s="27" t="s">
        <v>1209</v>
      </c>
      <c r="AA335" s="27" t="s">
        <v>1209</v>
      </c>
      <c r="AB335" s="27" t="s">
        <v>1209</v>
      </c>
      <c r="AC335" s="27" t="s">
        <v>1209</v>
      </c>
      <c r="AD335" s="27" t="s">
        <v>1209</v>
      </c>
      <c r="AE335" s="27" t="s">
        <v>1209</v>
      </c>
      <c r="AF335" s="27" t="s">
        <v>1209</v>
      </c>
      <c r="AG335" s="27" t="s">
        <v>1209</v>
      </c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hidden="1" thickBot="1" x14ac:dyDescent="0.35">
      <c r="A336" s="51" t="s">
        <v>703</v>
      </c>
      <c r="B336" s="51" t="s">
        <v>700</v>
      </c>
      <c r="C336" s="51"/>
      <c r="D336" s="51" t="s">
        <v>701</v>
      </c>
      <c r="E336" s="51" t="s">
        <v>19</v>
      </c>
      <c r="F336" s="51" t="s">
        <v>1389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1138</v>
      </c>
      <c r="L336" s="53">
        <f t="shared" si="23"/>
        <v>12</v>
      </c>
      <c r="M336" s="17">
        <f t="shared" si="24"/>
        <v>18</v>
      </c>
      <c r="N336" s="18">
        <f t="shared" si="25"/>
        <v>0.4</v>
      </c>
      <c r="O336" s="27" t="s">
        <v>1209</v>
      </c>
      <c r="P336" s="8" t="s">
        <v>1209</v>
      </c>
      <c r="Q336" s="8" t="s">
        <v>1209</v>
      </c>
      <c r="R336" s="8" t="s">
        <v>1209</v>
      </c>
      <c r="S336" s="27" t="s">
        <v>1209</v>
      </c>
      <c r="T336" s="27"/>
      <c r="U336" s="8" t="s">
        <v>1209</v>
      </c>
      <c r="V336" s="8" t="s">
        <v>1209</v>
      </c>
      <c r="W336" s="8" t="s">
        <v>1209</v>
      </c>
      <c r="X336" s="27" t="s">
        <v>1209</v>
      </c>
      <c r="Y336" s="27" t="s">
        <v>1209</v>
      </c>
      <c r="Z336" s="27" t="s">
        <v>1209</v>
      </c>
      <c r="AA336" s="27" t="s">
        <v>1209</v>
      </c>
      <c r="AB336" s="27" t="s">
        <v>1209</v>
      </c>
      <c r="AC336" s="27" t="s">
        <v>1209</v>
      </c>
      <c r="AD336" s="27" t="s">
        <v>1209</v>
      </c>
      <c r="AE336" s="27" t="s">
        <v>1209</v>
      </c>
      <c r="AF336" s="27" t="s">
        <v>1209</v>
      </c>
      <c r="AG336" s="27" t="s">
        <v>1209</v>
      </c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s="51" t="s">
        <v>703</v>
      </c>
      <c r="B337" s="51" t="s">
        <v>704</v>
      </c>
      <c r="C337" s="51" t="s">
        <v>1398</v>
      </c>
      <c r="D337" s="51" t="s">
        <v>705</v>
      </c>
      <c r="E337" s="51" t="s">
        <v>19</v>
      </c>
      <c r="F337" s="51" t="s">
        <v>1389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1139</v>
      </c>
      <c r="L337" s="53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1209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hidden="1" thickBot="1" x14ac:dyDescent="0.35">
      <c r="A338" s="51" t="s">
        <v>703</v>
      </c>
      <c r="B338" s="51" t="s">
        <v>707</v>
      </c>
      <c r="C338" s="51"/>
      <c r="D338" s="51" t="s">
        <v>1361</v>
      </c>
      <c r="E338" s="51" t="s">
        <v>19</v>
      </c>
      <c r="F338" s="51" t="s">
        <v>1389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1140</v>
      </c>
      <c r="L338" s="53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1209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s="51" t="s">
        <v>703</v>
      </c>
      <c r="B339" s="51" t="s">
        <v>710</v>
      </c>
      <c r="C339" s="51" t="s">
        <v>1398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1143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hidden="1" thickBot="1" x14ac:dyDescent="0.35">
      <c r="A340" s="51" t="s">
        <v>697</v>
      </c>
      <c r="B340" s="51" t="s">
        <v>1362</v>
      </c>
      <c r="C340" s="51"/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1144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hidden="1" thickBot="1" x14ac:dyDescent="0.35">
      <c r="A341" s="51" t="s">
        <v>697</v>
      </c>
      <c r="B341" s="51" t="s">
        <v>1363</v>
      </c>
      <c r="C341" s="51"/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1145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hidden="1" thickBot="1" x14ac:dyDescent="0.35">
      <c r="A342" s="51" t="s">
        <v>703</v>
      </c>
      <c r="B342" s="51" t="s">
        <v>712</v>
      </c>
      <c r="C342" s="51"/>
      <c r="D342" s="51" t="s">
        <v>1364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1124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s="51" t="s">
        <v>697</v>
      </c>
      <c r="B343" s="51" t="s">
        <v>714</v>
      </c>
      <c r="C343" s="51" t="s">
        <v>1398</v>
      </c>
      <c r="D343" s="51" t="s">
        <v>1365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1125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hidden="1" thickBot="1" x14ac:dyDescent="0.35">
      <c r="A344" s="51" t="s">
        <v>697</v>
      </c>
      <c r="B344" s="51" t="s">
        <v>715</v>
      </c>
      <c r="C344" s="51"/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1126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hidden="1" thickBot="1" x14ac:dyDescent="0.35">
      <c r="A345" s="51" t="s">
        <v>697</v>
      </c>
      <c r="B345" s="51" t="s">
        <v>718</v>
      </c>
      <c r="C345" s="51"/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1127</v>
      </c>
      <c r="L345" s="53">
        <f t="shared" si="23"/>
        <v>29</v>
      </c>
      <c r="M345" s="17">
        <f t="shared" si="24"/>
        <v>1</v>
      </c>
      <c r="N345" s="18">
        <f t="shared" si="25"/>
        <v>0.96666666666666667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 t="s">
        <v>1209</v>
      </c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hidden="1" thickBot="1" x14ac:dyDescent="0.35">
      <c r="A346" s="51" t="s">
        <v>697</v>
      </c>
      <c r="B346" s="51" t="s">
        <v>721</v>
      </c>
      <c r="C346" s="51"/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1128</v>
      </c>
      <c r="L346" s="53">
        <f t="shared" si="23"/>
        <v>29</v>
      </c>
      <c r="M346" s="17">
        <f t="shared" si="24"/>
        <v>1</v>
      </c>
      <c r="N346" s="18">
        <f t="shared" si="25"/>
        <v>0.96666666666666667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 t="s">
        <v>1209</v>
      </c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hidden="1" thickBot="1" x14ac:dyDescent="0.35">
      <c r="A347" s="51" t="s">
        <v>697</v>
      </c>
      <c r="B347" s="51" t="s">
        <v>724</v>
      </c>
      <c r="C347" s="51"/>
      <c r="D347" s="51" t="s">
        <v>1366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1129</v>
      </c>
      <c r="L347" s="53">
        <f t="shared" si="23"/>
        <v>29</v>
      </c>
      <c r="M347" s="17">
        <f t="shared" si="24"/>
        <v>1</v>
      </c>
      <c r="N347" s="18">
        <f t="shared" si="25"/>
        <v>0.96666666666666667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 t="s">
        <v>1209</v>
      </c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hidden="1" thickBot="1" x14ac:dyDescent="0.35">
      <c r="A348" s="51" t="s">
        <v>697</v>
      </c>
      <c r="B348" s="51" t="s">
        <v>725</v>
      </c>
      <c r="C348" s="51" t="s">
        <v>1397</v>
      </c>
      <c r="D348" s="51" t="s">
        <v>1367</v>
      </c>
      <c r="E348" s="51" t="s">
        <v>1392</v>
      </c>
      <c r="F348" s="51" t="s">
        <v>1389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1130</v>
      </c>
      <c r="L348" s="53">
        <f t="shared" si="23"/>
        <v>29</v>
      </c>
      <c r="M348" s="17">
        <f t="shared" si="24"/>
        <v>1</v>
      </c>
      <c r="N348" s="18">
        <f t="shared" si="25"/>
        <v>0.96666666666666667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 t="s">
        <v>1209</v>
      </c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hidden="1" thickBot="1" x14ac:dyDescent="0.35">
      <c r="A349" s="51" t="s">
        <v>703</v>
      </c>
      <c r="B349" s="51" t="s">
        <v>727</v>
      </c>
      <c r="C349" s="51"/>
      <c r="D349" s="51" t="s">
        <v>728</v>
      </c>
      <c r="E349" s="51" t="s">
        <v>24</v>
      </c>
      <c r="F349" s="51" t="s">
        <v>1388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1131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hidden="1" thickBot="1" x14ac:dyDescent="0.35">
      <c r="A350" s="51" t="s">
        <v>703</v>
      </c>
      <c r="B350" s="51" t="s">
        <v>729</v>
      </c>
      <c r="C350" s="51"/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1132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hidden="1" thickBot="1" x14ac:dyDescent="0.35">
      <c r="A351" s="51" t="s">
        <v>703</v>
      </c>
      <c r="B351" s="51" t="s">
        <v>733</v>
      </c>
      <c r="C351" s="51"/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1134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hidden="1" thickBot="1" x14ac:dyDescent="0.35">
      <c r="A352" s="51" t="s">
        <v>703</v>
      </c>
      <c r="B352" s="51" t="s">
        <v>1368</v>
      </c>
      <c r="C352" s="51"/>
      <c r="D352" s="51" t="s">
        <v>695</v>
      </c>
      <c r="E352" s="51" t="s">
        <v>19</v>
      </c>
      <c r="F352" s="51" t="s">
        <v>1389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1135</v>
      </c>
      <c r="L352" s="53">
        <f t="shared" si="23"/>
        <v>11</v>
      </c>
      <c r="M352" s="17">
        <f t="shared" si="24"/>
        <v>19</v>
      </c>
      <c r="N352" s="18">
        <f t="shared" si="25"/>
        <v>0.36666666666666664</v>
      </c>
      <c r="O352" s="27" t="s">
        <v>1209</v>
      </c>
      <c r="P352" s="8" t="s">
        <v>1209</v>
      </c>
      <c r="Q352" s="8" t="s">
        <v>1209</v>
      </c>
      <c r="R352" s="8" t="s">
        <v>1209</v>
      </c>
      <c r="S352" s="27" t="s">
        <v>1209</v>
      </c>
      <c r="T352" s="27"/>
      <c r="U352" s="8" t="s">
        <v>1209</v>
      </c>
      <c r="V352" s="8" t="s">
        <v>1209</v>
      </c>
      <c r="W352" s="8" t="s">
        <v>1209</v>
      </c>
      <c r="X352" s="27" t="s">
        <v>1209</v>
      </c>
      <c r="Y352" s="27" t="s">
        <v>1209</v>
      </c>
      <c r="Z352" s="27" t="s">
        <v>1209</v>
      </c>
      <c r="AA352" s="27" t="s">
        <v>1209</v>
      </c>
      <c r="AB352" s="27" t="s">
        <v>1209</v>
      </c>
      <c r="AC352" s="27" t="s">
        <v>1209</v>
      </c>
      <c r="AD352" s="27" t="s">
        <v>1209</v>
      </c>
      <c r="AE352" s="27" t="s">
        <v>1209</v>
      </c>
      <c r="AF352" s="27" t="s">
        <v>1209</v>
      </c>
      <c r="AG352" s="27" t="s">
        <v>1209</v>
      </c>
      <c r="AH352" s="27"/>
      <c r="AI352" s="27"/>
      <c r="AJ352" s="27"/>
      <c r="AK352" s="8"/>
      <c r="AL352" s="8"/>
      <c r="AM352" s="8"/>
      <c r="AN352" s="27"/>
      <c r="AO352" s="8" t="s">
        <v>1209</v>
      </c>
      <c r="AP352" s="8"/>
      <c r="AQ352" s="27"/>
      <c r="AR352" s="27"/>
      <c r="AS352" s="27"/>
    </row>
    <row r="353" spans="1:45" ht="15" hidden="1" thickBot="1" x14ac:dyDescent="0.35">
      <c r="A353" s="51" t="s">
        <v>697</v>
      </c>
      <c r="B353" s="51" t="s">
        <v>1369</v>
      </c>
      <c r="C353" s="51"/>
      <c r="D353" s="51" t="s">
        <v>698</v>
      </c>
      <c r="E353" s="51" t="s">
        <v>24</v>
      </c>
      <c r="F353" s="51" t="s">
        <v>1389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1136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hidden="1" thickBot="1" x14ac:dyDescent="0.35">
      <c r="A354" s="51" t="s">
        <v>697</v>
      </c>
      <c r="B354" s="51" t="s">
        <v>1370</v>
      </c>
      <c r="C354" s="51"/>
      <c r="D354" s="51" t="s">
        <v>708</v>
      </c>
      <c r="E354" s="51" t="s">
        <v>19</v>
      </c>
      <c r="F354" s="51" t="s">
        <v>1389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1141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hidden="1" thickBot="1" x14ac:dyDescent="0.35">
      <c r="A355" s="51" t="s">
        <v>697</v>
      </c>
      <c r="B355" s="51" t="s">
        <v>1371</v>
      </c>
      <c r="C355" s="51"/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1142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hidden="1" thickBot="1" x14ac:dyDescent="0.35">
      <c r="A356" s="51" t="s">
        <v>697</v>
      </c>
      <c r="B356" s="51" t="s">
        <v>739</v>
      </c>
      <c r="C356" s="51" t="s">
        <v>1397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hidden="1" thickBot="1" x14ac:dyDescent="0.35">
      <c r="A357" s="51" t="s">
        <v>697</v>
      </c>
      <c r="B357" s="51" t="s">
        <v>741</v>
      </c>
      <c r="C357" s="51" t="s">
        <v>1397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1146</v>
      </c>
      <c r="L357" s="53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hidden="1" thickBot="1" x14ac:dyDescent="0.35">
      <c r="A358" s="51" t="s">
        <v>562</v>
      </c>
      <c r="B358" s="51" t="s">
        <v>1372</v>
      </c>
      <c r="C358" s="51" t="s">
        <v>1397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1149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hidden="1" thickBot="1" x14ac:dyDescent="0.35">
      <c r="A359" s="51" t="s">
        <v>411</v>
      </c>
      <c r="B359" s="51" t="s">
        <v>1373</v>
      </c>
      <c r="C359" s="51" t="s">
        <v>1397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1150</v>
      </c>
      <c r="L359" s="53">
        <f t="shared" si="23"/>
        <v>12</v>
      </c>
      <c r="M359" s="17">
        <f t="shared" si="24"/>
        <v>18</v>
      </c>
      <c r="N359" s="18">
        <f t="shared" si="25"/>
        <v>0.4</v>
      </c>
      <c r="O359" s="27" t="s">
        <v>1209</v>
      </c>
      <c r="P359" s="8" t="s">
        <v>1209</v>
      </c>
      <c r="Q359" s="8" t="s">
        <v>1209</v>
      </c>
      <c r="R359" s="8" t="s">
        <v>1209</v>
      </c>
      <c r="S359" s="27" t="s">
        <v>1209</v>
      </c>
      <c r="T359" s="27"/>
      <c r="U359" s="8" t="s">
        <v>1209</v>
      </c>
      <c r="V359" s="8" t="s">
        <v>1209</v>
      </c>
      <c r="W359" s="8" t="s">
        <v>1209</v>
      </c>
      <c r="X359" s="27" t="s">
        <v>1209</v>
      </c>
      <c r="Y359" s="27" t="s">
        <v>1209</v>
      </c>
      <c r="Z359" s="27" t="s">
        <v>1209</v>
      </c>
      <c r="AA359" s="27" t="s">
        <v>1209</v>
      </c>
      <c r="AB359" s="27" t="s">
        <v>1209</v>
      </c>
      <c r="AC359" s="27" t="s">
        <v>1209</v>
      </c>
      <c r="AD359" s="27" t="s">
        <v>1209</v>
      </c>
      <c r="AE359" s="27" t="s">
        <v>1209</v>
      </c>
      <c r="AF359" s="27" t="s">
        <v>1209</v>
      </c>
      <c r="AG359" s="27" t="s">
        <v>1209</v>
      </c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hidden="1" thickBot="1" x14ac:dyDescent="0.35">
      <c r="A360" s="51" t="s">
        <v>562</v>
      </c>
      <c r="B360" s="51" t="s">
        <v>742</v>
      </c>
      <c r="C360" s="51" t="s">
        <v>1397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1153</v>
      </c>
      <c r="L360" s="53">
        <f t="shared" si="23"/>
        <v>12</v>
      </c>
      <c r="M360" s="17">
        <f t="shared" si="24"/>
        <v>18</v>
      </c>
      <c r="N360" s="18">
        <f t="shared" si="25"/>
        <v>0.4</v>
      </c>
      <c r="O360" s="27" t="s">
        <v>1209</v>
      </c>
      <c r="P360" s="8" t="s">
        <v>1209</v>
      </c>
      <c r="Q360" s="8" t="s">
        <v>1209</v>
      </c>
      <c r="R360" s="8" t="s">
        <v>1209</v>
      </c>
      <c r="S360" s="27" t="s">
        <v>1209</v>
      </c>
      <c r="T360" s="27"/>
      <c r="U360" s="8" t="s">
        <v>1209</v>
      </c>
      <c r="V360" s="8" t="s">
        <v>1209</v>
      </c>
      <c r="W360" s="8" t="s">
        <v>1209</v>
      </c>
      <c r="X360" s="27" t="s">
        <v>1209</v>
      </c>
      <c r="Y360" s="27" t="s">
        <v>1209</v>
      </c>
      <c r="Z360" s="27" t="s">
        <v>1209</v>
      </c>
      <c r="AA360" s="27" t="s">
        <v>1209</v>
      </c>
      <c r="AB360" s="27" t="s">
        <v>1209</v>
      </c>
      <c r="AC360" s="27" t="s">
        <v>1209</v>
      </c>
      <c r="AD360" s="27" t="s">
        <v>1209</v>
      </c>
      <c r="AE360" s="27" t="s">
        <v>1209</v>
      </c>
      <c r="AF360" s="27" t="s">
        <v>1209</v>
      </c>
      <c r="AG360" s="27" t="s">
        <v>1209</v>
      </c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hidden="1" thickBot="1" x14ac:dyDescent="0.35">
      <c r="A361" s="51" t="s">
        <v>562</v>
      </c>
      <c r="B361" s="51" t="s">
        <v>749</v>
      </c>
      <c r="C361" s="51" t="s">
        <v>1397</v>
      </c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1147</v>
      </c>
      <c r="L361" s="53">
        <f t="shared" si="23"/>
        <v>3</v>
      </c>
      <c r="M361" s="17">
        <f t="shared" si="24"/>
        <v>27</v>
      </c>
      <c r="N361" s="18">
        <f t="shared" si="25"/>
        <v>0.1</v>
      </c>
      <c r="O361" s="27" t="s">
        <v>1209</v>
      </c>
      <c r="P361" s="8" t="s">
        <v>1209</v>
      </c>
      <c r="Q361" s="8" t="s">
        <v>1209</v>
      </c>
      <c r="R361" s="8" t="s">
        <v>1209</v>
      </c>
      <c r="S361" s="27" t="s">
        <v>1209</v>
      </c>
      <c r="T361" s="27"/>
      <c r="U361" s="8" t="s">
        <v>1209</v>
      </c>
      <c r="V361" s="8" t="s">
        <v>1209</v>
      </c>
      <c r="W361" s="8" t="s">
        <v>1209</v>
      </c>
      <c r="X361" s="27" t="s">
        <v>1209</v>
      </c>
      <c r="Y361" s="27" t="s">
        <v>1209</v>
      </c>
      <c r="Z361" s="27" t="s">
        <v>1209</v>
      </c>
      <c r="AA361" s="27" t="s">
        <v>1209</v>
      </c>
      <c r="AB361" s="27" t="s">
        <v>1209</v>
      </c>
      <c r="AC361" s="27" t="s">
        <v>1209</v>
      </c>
      <c r="AD361" s="27" t="s">
        <v>1209</v>
      </c>
      <c r="AE361" s="27" t="s">
        <v>1209</v>
      </c>
      <c r="AF361" s="27" t="s">
        <v>1209</v>
      </c>
      <c r="AG361" s="27" t="s">
        <v>1209</v>
      </c>
      <c r="AH361" s="27" t="s">
        <v>1209</v>
      </c>
      <c r="AI361" s="27" t="s">
        <v>1209</v>
      </c>
      <c r="AJ361" s="27" t="s">
        <v>1209</v>
      </c>
      <c r="AK361" s="8" t="s">
        <v>1209</v>
      </c>
      <c r="AL361" s="8" t="s">
        <v>1209</v>
      </c>
      <c r="AM361" s="8" t="s">
        <v>1209</v>
      </c>
      <c r="AN361" s="27" t="s">
        <v>1209</v>
      </c>
      <c r="AO361" s="8" t="s">
        <v>1209</v>
      </c>
      <c r="AP361" s="8" t="s">
        <v>1209</v>
      </c>
      <c r="AQ361" s="27"/>
      <c r="AR361" s="27"/>
      <c r="AS361" s="27"/>
    </row>
    <row r="362" spans="1:45" ht="15" hidden="1" thickBot="1" x14ac:dyDescent="0.35">
      <c r="A362" s="51" t="s">
        <v>562</v>
      </c>
      <c r="B362" s="51" t="s">
        <v>751</v>
      </c>
      <c r="C362" s="51" t="s">
        <v>1397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1148</v>
      </c>
      <c r="L362" s="53">
        <f t="shared" si="23"/>
        <v>3</v>
      </c>
      <c r="M362" s="17">
        <f t="shared" si="24"/>
        <v>27</v>
      </c>
      <c r="N362" s="18">
        <f t="shared" si="25"/>
        <v>0.1</v>
      </c>
      <c r="O362" s="27" t="s">
        <v>1209</v>
      </c>
      <c r="P362" s="8" t="s">
        <v>1209</v>
      </c>
      <c r="Q362" s="8" t="s">
        <v>1209</v>
      </c>
      <c r="R362" s="8" t="s">
        <v>1209</v>
      </c>
      <c r="S362" s="27" t="s">
        <v>1209</v>
      </c>
      <c r="T362" s="27"/>
      <c r="U362" s="8" t="s">
        <v>1209</v>
      </c>
      <c r="V362" s="8" t="s">
        <v>1209</v>
      </c>
      <c r="W362" s="8" t="s">
        <v>1209</v>
      </c>
      <c r="X362" s="27" t="s">
        <v>1209</v>
      </c>
      <c r="Y362" s="27" t="s">
        <v>1209</v>
      </c>
      <c r="Z362" s="27" t="s">
        <v>1209</v>
      </c>
      <c r="AA362" s="27" t="s">
        <v>1209</v>
      </c>
      <c r="AB362" s="27" t="s">
        <v>1209</v>
      </c>
      <c r="AC362" s="27" t="s">
        <v>1209</v>
      </c>
      <c r="AD362" s="27" t="s">
        <v>1209</v>
      </c>
      <c r="AE362" s="27" t="s">
        <v>1209</v>
      </c>
      <c r="AF362" s="27" t="s">
        <v>1209</v>
      </c>
      <c r="AG362" s="27" t="s">
        <v>1209</v>
      </c>
      <c r="AH362" s="27" t="s">
        <v>1209</v>
      </c>
      <c r="AI362" s="27" t="s">
        <v>1209</v>
      </c>
      <c r="AJ362" s="27" t="s">
        <v>1209</v>
      </c>
      <c r="AK362" s="8" t="s">
        <v>1209</v>
      </c>
      <c r="AL362" s="8" t="s">
        <v>1209</v>
      </c>
      <c r="AM362" s="8" t="s">
        <v>1209</v>
      </c>
      <c r="AN362" s="27" t="s">
        <v>1209</v>
      </c>
      <c r="AO362" s="8" t="s">
        <v>1209</v>
      </c>
      <c r="AP362" s="8" t="s">
        <v>1209</v>
      </c>
      <c r="AQ362" s="27"/>
      <c r="AR362" s="27"/>
      <c r="AS362" s="27"/>
    </row>
    <row r="363" spans="1:45" ht="15" hidden="1" thickBot="1" x14ac:dyDescent="0.35">
      <c r="A363" s="51" t="s">
        <v>562</v>
      </c>
      <c r="B363" s="51" t="s">
        <v>752</v>
      </c>
      <c r="C363" s="51"/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1151</v>
      </c>
      <c r="L363" s="53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1209</v>
      </c>
      <c r="P363" s="8" t="s">
        <v>1209</v>
      </c>
      <c r="Q363" s="8" t="s">
        <v>1209</v>
      </c>
      <c r="R363" s="8" t="s">
        <v>1209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hidden="1" thickBot="1" x14ac:dyDescent="0.35">
      <c r="A364" s="51" t="s">
        <v>562</v>
      </c>
      <c r="B364" s="51" t="s">
        <v>755</v>
      </c>
      <c r="C364" s="51"/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1152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hidden="1" thickBot="1" x14ac:dyDescent="0.35">
      <c r="A365" s="51" t="s">
        <v>562</v>
      </c>
      <c r="B365" s="51" t="s">
        <v>756</v>
      </c>
      <c r="C365" s="51"/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1154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hidden="1" thickBot="1" x14ac:dyDescent="0.35">
      <c r="A366" s="51" t="s">
        <v>658</v>
      </c>
      <c r="B366" s="51" t="s">
        <v>758</v>
      </c>
      <c r="C366" s="51"/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1155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hidden="1" thickBot="1" x14ac:dyDescent="0.35">
      <c r="A367" s="51" t="s">
        <v>658</v>
      </c>
      <c r="B367" s="51" t="s">
        <v>760</v>
      </c>
      <c r="C367" s="51"/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1156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hidden="1" thickBot="1" x14ac:dyDescent="0.35">
      <c r="A368" s="51" t="s">
        <v>658</v>
      </c>
      <c r="B368" s="51" t="s">
        <v>763</v>
      </c>
      <c r="C368" s="51"/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1157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hidden="1" thickBot="1" x14ac:dyDescent="0.35">
      <c r="A369" s="51" t="s">
        <v>658</v>
      </c>
      <c r="B369" s="51" t="s">
        <v>765</v>
      </c>
      <c r="C369" s="51"/>
      <c r="D369" s="51" t="s">
        <v>766</v>
      </c>
      <c r="E369" s="51" t="s">
        <v>24</v>
      </c>
      <c r="F369" s="51" t="s">
        <v>1389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1158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hidden="1" thickBot="1" x14ac:dyDescent="0.35">
      <c r="A370" s="51" t="s">
        <v>652</v>
      </c>
      <c r="B370" s="51" t="s">
        <v>767</v>
      </c>
      <c r="C370" s="51"/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1159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s="51" t="s">
        <v>770</v>
      </c>
      <c r="B371" s="51" t="s">
        <v>771</v>
      </c>
      <c r="C371" s="51" t="s">
        <v>1398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1160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s="51" t="s">
        <v>770</v>
      </c>
      <c r="B372" s="51" t="s">
        <v>773</v>
      </c>
      <c r="C372" s="51" t="s">
        <v>1398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1161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" thickBot="1" x14ac:dyDescent="0.35">
      <c r="A373" s="51" t="s">
        <v>770</v>
      </c>
      <c r="B373" s="51" t="s">
        <v>1374</v>
      </c>
      <c r="C373" s="51" t="s">
        <v>1398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1162</v>
      </c>
      <c r="L373" s="53">
        <f t="shared" si="23"/>
        <v>29</v>
      </c>
      <c r="M373" s="53">
        <f t="shared" ref="M373:M379" si="26">COUNTIF(O373:AP373,"APAGADO")</f>
        <v>1</v>
      </c>
      <c r="N373" s="54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 t="s">
        <v>1209</v>
      </c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" thickBot="1" x14ac:dyDescent="0.35">
      <c r="A374" s="51" t="s">
        <v>770</v>
      </c>
      <c r="B374" s="51" t="s">
        <v>1375</v>
      </c>
      <c r="C374" s="51" t="s">
        <v>1398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1163</v>
      </c>
      <c r="L374" s="53">
        <f t="shared" si="23"/>
        <v>29</v>
      </c>
      <c r="M374" s="53">
        <f t="shared" si="26"/>
        <v>1</v>
      </c>
      <c r="N374" s="54">
        <f t="shared" si="27"/>
        <v>0.96666666666666667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 t="s">
        <v>1209</v>
      </c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" hidden="1" thickBot="1" x14ac:dyDescent="0.35">
      <c r="A375" s="51" t="s">
        <v>776</v>
      </c>
      <c r="B375" s="51" t="s">
        <v>1376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1164</v>
      </c>
      <c r="L375" s="53">
        <f t="shared" si="23"/>
        <v>29</v>
      </c>
      <c r="M375" s="53">
        <f t="shared" si="26"/>
        <v>1</v>
      </c>
      <c r="N375" s="54">
        <f t="shared" si="27"/>
        <v>0.96666666666666667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 t="s">
        <v>1209</v>
      </c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" thickBot="1" x14ac:dyDescent="0.35">
      <c r="A376" s="51" t="s">
        <v>776</v>
      </c>
      <c r="B376" s="51" t="s">
        <v>1377</v>
      </c>
      <c r="C376" s="51" t="s">
        <v>1398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1165</v>
      </c>
      <c r="L376" s="53">
        <f t="shared" si="23"/>
        <v>29</v>
      </c>
      <c r="M376" s="53">
        <f t="shared" si="26"/>
        <v>1</v>
      </c>
      <c r="N376" s="54">
        <f t="shared" si="27"/>
        <v>0.96666666666666667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 t="s">
        <v>1209</v>
      </c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" thickBot="1" x14ac:dyDescent="0.35">
      <c r="A377" s="51" t="s">
        <v>776</v>
      </c>
      <c r="B377" s="51" t="s">
        <v>780</v>
      </c>
      <c r="C377" s="51" t="s">
        <v>1398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1166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" thickBot="1" x14ac:dyDescent="0.35">
      <c r="A378" s="51" t="s">
        <v>776</v>
      </c>
      <c r="B378" s="51" t="s">
        <v>783</v>
      </c>
      <c r="C378" s="51" t="s">
        <v>1398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1167</v>
      </c>
      <c r="L378" s="53">
        <f t="shared" si="23"/>
        <v>26</v>
      </c>
      <c r="M378" s="53">
        <f t="shared" si="26"/>
        <v>4</v>
      </c>
      <c r="N378" s="54">
        <f t="shared" si="27"/>
        <v>0.8666666666666667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 t="s">
        <v>1209</v>
      </c>
      <c r="AF378" s="27"/>
      <c r="AG378" s="27"/>
      <c r="AH378" s="27" t="s">
        <v>1209</v>
      </c>
      <c r="AI378" s="27" t="s">
        <v>1209</v>
      </c>
      <c r="AJ378" s="27" t="s">
        <v>1209</v>
      </c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" thickBot="1" x14ac:dyDescent="0.35">
      <c r="A379" s="51" t="s">
        <v>776</v>
      </c>
      <c r="B379" s="51" t="s">
        <v>785</v>
      </c>
      <c r="C379" s="51" t="s">
        <v>1398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1168</v>
      </c>
      <c r="L379" s="53">
        <f t="shared" si="23"/>
        <v>29</v>
      </c>
      <c r="M379" s="53">
        <f t="shared" si="26"/>
        <v>1</v>
      </c>
      <c r="N379" s="54">
        <f t="shared" si="27"/>
        <v>0.96666666666666667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 t="s">
        <v>1209</v>
      </c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" thickBot="1" x14ac:dyDescent="0.35">
      <c r="A380" s="51" t="s">
        <v>253</v>
      </c>
      <c r="B380" s="51" t="s">
        <v>787</v>
      </c>
      <c r="C380" s="51" t="s">
        <v>1398</v>
      </c>
      <c r="D380" s="51" t="s">
        <v>1378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1169</v>
      </c>
      <c r="L380" s="53">
        <f t="shared" ref="L380:L396" si="28">COUNTIF(O380:AR380,"")</f>
        <v>29</v>
      </c>
      <c r="M380" s="53">
        <f t="shared" ref="M380:M396" si="29">COUNTIF(O380:AP380,"APAGADO")</f>
        <v>1</v>
      </c>
      <c r="N380" s="54">
        <f t="shared" ref="N380:N396" si="30">(L380)/(M380+L380)</f>
        <v>0.96666666666666667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 t="s">
        <v>1209</v>
      </c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" thickBot="1" x14ac:dyDescent="0.35">
      <c r="A381" s="51" t="s">
        <v>253</v>
      </c>
      <c r="B381" s="51" t="s">
        <v>1379</v>
      </c>
      <c r="C381" s="51" t="s">
        <v>1398</v>
      </c>
      <c r="D381" s="51" t="s">
        <v>1380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1170</v>
      </c>
      <c r="L381" s="53">
        <f t="shared" si="28"/>
        <v>29</v>
      </c>
      <c r="M381" s="53">
        <f t="shared" si="29"/>
        <v>1</v>
      </c>
      <c r="N381" s="54">
        <f t="shared" si="30"/>
        <v>0.96666666666666667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 t="s">
        <v>1209</v>
      </c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" thickBot="1" x14ac:dyDescent="0.35">
      <c r="A382" s="51" t="s">
        <v>253</v>
      </c>
      <c r="B382" s="51" t="s">
        <v>1381</v>
      </c>
      <c r="C382" s="51" t="s">
        <v>1398</v>
      </c>
      <c r="D382" s="51" t="s">
        <v>1380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1171</v>
      </c>
      <c r="L382" s="53">
        <f t="shared" si="28"/>
        <v>29</v>
      </c>
      <c r="M382" s="53">
        <f t="shared" si="29"/>
        <v>1</v>
      </c>
      <c r="N382" s="54">
        <f t="shared" si="30"/>
        <v>0.96666666666666667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 t="s">
        <v>1209</v>
      </c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" thickBot="1" x14ac:dyDescent="0.35">
      <c r="A383" s="51" t="s">
        <v>253</v>
      </c>
      <c r="B383" s="51" t="s">
        <v>1382</v>
      </c>
      <c r="C383" s="51" t="s">
        <v>1398</v>
      </c>
      <c r="D383" s="51" t="s">
        <v>1383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1172</v>
      </c>
      <c r="L383" s="53">
        <f t="shared" si="28"/>
        <v>29</v>
      </c>
      <c r="M383" s="53">
        <f t="shared" si="29"/>
        <v>1</v>
      </c>
      <c r="N383" s="54">
        <f t="shared" si="30"/>
        <v>0.96666666666666667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 t="s">
        <v>1209</v>
      </c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" thickBot="1" x14ac:dyDescent="0.35">
      <c r="A384" s="51" t="s">
        <v>253</v>
      </c>
      <c r="B384" s="51" t="s">
        <v>788</v>
      </c>
      <c r="C384" s="51" t="s">
        <v>1398</v>
      </c>
      <c r="D384" s="51" t="s">
        <v>1384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28</v>
      </c>
      <c r="M384" s="53">
        <f t="shared" si="29"/>
        <v>2</v>
      </c>
      <c r="N384" s="54">
        <f t="shared" si="30"/>
        <v>0.93333333333333335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 t="s">
        <v>1209</v>
      </c>
      <c r="AF384" s="27"/>
      <c r="AG384" s="27"/>
      <c r="AH384" s="27" t="s">
        <v>1209</v>
      </c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" thickBot="1" x14ac:dyDescent="0.35">
      <c r="A385" s="51" t="s">
        <v>794</v>
      </c>
      <c r="B385" s="51" t="s">
        <v>1385</v>
      </c>
      <c r="C385" s="51" t="s">
        <v>1398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1174</v>
      </c>
      <c r="L385" s="53">
        <f t="shared" si="28"/>
        <v>20</v>
      </c>
      <c r="M385" s="53">
        <f t="shared" si="29"/>
        <v>10</v>
      </c>
      <c r="N385" s="54">
        <f t="shared" si="30"/>
        <v>0.66666666666666663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 t="s">
        <v>1209</v>
      </c>
      <c r="AF385" s="27"/>
      <c r="AG385" s="27"/>
      <c r="AH385" s="27" t="s">
        <v>1209</v>
      </c>
      <c r="AI385" s="27" t="s">
        <v>1209</v>
      </c>
      <c r="AJ385" s="27" t="s">
        <v>1209</v>
      </c>
      <c r="AK385" s="27" t="s">
        <v>1209</v>
      </c>
      <c r="AL385" s="27" t="s">
        <v>1209</v>
      </c>
      <c r="AM385" s="27" t="s">
        <v>1209</v>
      </c>
      <c r="AN385" s="27" t="s">
        <v>1209</v>
      </c>
      <c r="AO385" s="27" t="s">
        <v>1209</v>
      </c>
      <c r="AP385" s="27" t="s">
        <v>1209</v>
      </c>
      <c r="AQ385" s="27"/>
      <c r="AR385" s="27"/>
      <c r="AS385" s="27"/>
    </row>
    <row r="386" spans="1:45" ht="15" thickBot="1" x14ac:dyDescent="0.35">
      <c r="A386" s="51" t="s">
        <v>794</v>
      </c>
      <c r="B386" s="51" t="s">
        <v>1386</v>
      </c>
      <c r="C386" s="51" t="s">
        <v>1398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1175</v>
      </c>
      <c r="L386" s="53">
        <f t="shared" si="28"/>
        <v>20</v>
      </c>
      <c r="M386" s="53">
        <f t="shared" si="29"/>
        <v>10</v>
      </c>
      <c r="N386" s="54">
        <f t="shared" si="30"/>
        <v>0.66666666666666663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 t="s">
        <v>1209</v>
      </c>
      <c r="AF386" s="27"/>
      <c r="AG386" s="27"/>
      <c r="AH386" s="27" t="s">
        <v>1209</v>
      </c>
      <c r="AI386" s="27" t="s">
        <v>1209</v>
      </c>
      <c r="AJ386" s="27" t="s">
        <v>1209</v>
      </c>
      <c r="AK386" s="27" t="s">
        <v>1209</v>
      </c>
      <c r="AL386" s="27" t="s">
        <v>1209</v>
      </c>
      <c r="AM386" s="27" t="s">
        <v>1209</v>
      </c>
      <c r="AN386" s="27" t="s">
        <v>1209</v>
      </c>
      <c r="AO386" s="27" t="s">
        <v>1209</v>
      </c>
      <c r="AP386" s="27" t="s">
        <v>1209</v>
      </c>
      <c r="AQ386" s="27"/>
      <c r="AR386" s="27"/>
      <c r="AS386" s="27"/>
    </row>
    <row r="387" spans="1:45" ht="15" thickBot="1" x14ac:dyDescent="0.35">
      <c r="A387" s="51" t="s">
        <v>794</v>
      </c>
      <c r="B387" s="51" t="s">
        <v>795</v>
      </c>
      <c r="C387" s="51" t="s">
        <v>1398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1173</v>
      </c>
      <c r="L387" s="53">
        <f t="shared" si="28"/>
        <v>20</v>
      </c>
      <c r="M387" s="53">
        <f t="shared" si="29"/>
        <v>10</v>
      </c>
      <c r="N387" s="54">
        <f t="shared" si="30"/>
        <v>0.66666666666666663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 t="s">
        <v>1209</v>
      </c>
      <c r="AF387" s="27"/>
      <c r="AG387" s="27"/>
      <c r="AH387" s="27" t="s">
        <v>1209</v>
      </c>
      <c r="AI387" s="27" t="s">
        <v>1209</v>
      </c>
      <c r="AJ387" s="27" t="s">
        <v>1209</v>
      </c>
      <c r="AK387" s="27" t="s">
        <v>1209</v>
      </c>
      <c r="AL387" s="27" t="s">
        <v>1209</v>
      </c>
      <c r="AM387" s="27" t="s">
        <v>1209</v>
      </c>
      <c r="AN387" s="27" t="s">
        <v>1209</v>
      </c>
      <c r="AO387" s="27" t="s">
        <v>1209</v>
      </c>
      <c r="AP387" s="27" t="s">
        <v>1209</v>
      </c>
      <c r="AQ387" s="27"/>
      <c r="AR387" s="27"/>
      <c r="AS387" s="27"/>
    </row>
    <row r="388" spans="1:45" ht="15" thickBot="1" x14ac:dyDescent="0.35">
      <c r="A388" s="51" t="s">
        <v>794</v>
      </c>
      <c r="B388" s="51" t="s">
        <v>799</v>
      </c>
      <c r="C388" s="51" t="s">
        <v>1398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1176</v>
      </c>
      <c r="L388" s="53">
        <f t="shared" si="28"/>
        <v>21</v>
      </c>
      <c r="M388" s="53">
        <f t="shared" si="29"/>
        <v>9</v>
      </c>
      <c r="N388" s="54">
        <f t="shared" si="30"/>
        <v>0.7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 t="s">
        <v>1209</v>
      </c>
      <c r="AF388" s="27"/>
      <c r="AG388" s="27"/>
      <c r="AH388" s="27"/>
      <c r="AI388" s="27" t="s">
        <v>1209</v>
      </c>
      <c r="AJ388" s="27" t="s">
        <v>1209</v>
      </c>
      <c r="AK388" s="27" t="s">
        <v>1209</v>
      </c>
      <c r="AL388" s="27" t="s">
        <v>1209</v>
      </c>
      <c r="AM388" s="27" t="s">
        <v>1209</v>
      </c>
      <c r="AN388" s="27" t="s">
        <v>1209</v>
      </c>
      <c r="AO388" s="27" t="s">
        <v>1209</v>
      </c>
      <c r="AP388" s="27" t="s">
        <v>1209</v>
      </c>
      <c r="AQ388" s="27"/>
      <c r="AR388" s="27"/>
      <c r="AS388" s="27"/>
    </row>
    <row r="389" spans="1:45" ht="15" thickBot="1" x14ac:dyDescent="0.35">
      <c r="A389" s="51" t="s">
        <v>800</v>
      </c>
      <c r="B389" s="51" t="s">
        <v>801</v>
      </c>
      <c r="C389" s="51" t="s">
        <v>1398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1177</v>
      </c>
      <c r="L389" s="53">
        <f t="shared" si="28"/>
        <v>29</v>
      </c>
      <c r="M389" s="53">
        <f t="shared" si="29"/>
        <v>1</v>
      </c>
      <c r="N389" s="54">
        <f t="shared" si="30"/>
        <v>0.96666666666666667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 t="s">
        <v>1209</v>
      </c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" hidden="1" thickBot="1" x14ac:dyDescent="0.35">
      <c r="A390" s="51" t="s">
        <v>803</v>
      </c>
      <c r="B390" s="51" t="s">
        <v>805</v>
      </c>
      <c r="C390" s="51"/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1179</v>
      </c>
      <c r="L390" s="53">
        <f t="shared" si="28"/>
        <v>29</v>
      </c>
      <c r="M390" s="53">
        <f t="shared" si="29"/>
        <v>1</v>
      </c>
      <c r="N390" s="54">
        <f t="shared" si="30"/>
        <v>0.96666666666666667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 t="s">
        <v>1209</v>
      </c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" hidden="1" thickBot="1" x14ac:dyDescent="0.35">
      <c r="A391" s="51" t="s">
        <v>803</v>
      </c>
      <c r="B391" s="51" t="s">
        <v>808</v>
      </c>
      <c r="C391" s="51"/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1180</v>
      </c>
      <c r="L391" s="53">
        <f t="shared" si="28"/>
        <v>29</v>
      </c>
      <c r="M391" s="53">
        <f t="shared" si="29"/>
        <v>1</v>
      </c>
      <c r="N391" s="54">
        <f t="shared" si="30"/>
        <v>0.96666666666666667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 t="s">
        <v>1209</v>
      </c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" thickBot="1" x14ac:dyDescent="0.35">
      <c r="A392" s="51" t="s">
        <v>803</v>
      </c>
      <c r="B392" s="51" t="s">
        <v>1387</v>
      </c>
      <c r="C392" s="51" t="s">
        <v>1398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1178</v>
      </c>
      <c r="L392" s="53">
        <f t="shared" si="28"/>
        <v>29</v>
      </c>
      <c r="M392" s="53">
        <f t="shared" si="29"/>
        <v>1</v>
      </c>
      <c r="N392" s="54">
        <f t="shared" si="30"/>
        <v>0.96666666666666667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 t="s">
        <v>1209</v>
      </c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" hidden="1" thickBot="1" x14ac:dyDescent="0.35">
      <c r="A393" s="51" t="s">
        <v>812</v>
      </c>
      <c r="B393" s="51" t="s">
        <v>810</v>
      </c>
      <c r="C393" s="51"/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1184</v>
      </c>
      <c r="L393" s="53">
        <f t="shared" si="28"/>
        <v>29</v>
      </c>
      <c r="M393" s="53">
        <f t="shared" si="29"/>
        <v>1</v>
      </c>
      <c r="N393" s="54">
        <f t="shared" si="30"/>
        <v>0.96666666666666667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 t="s">
        <v>1209</v>
      </c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" hidden="1" thickBot="1" x14ac:dyDescent="0.35">
      <c r="A394" s="51" t="s">
        <v>812</v>
      </c>
      <c r="B394" s="51" t="s">
        <v>813</v>
      </c>
      <c r="C394" s="51"/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1181</v>
      </c>
      <c r="L394" s="53">
        <f t="shared" si="28"/>
        <v>29</v>
      </c>
      <c r="M394" s="53">
        <f t="shared" si="29"/>
        <v>1</v>
      </c>
      <c r="N394" s="54">
        <f t="shared" si="30"/>
        <v>0.96666666666666667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 t="s">
        <v>1209</v>
      </c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" hidden="1" thickBot="1" x14ac:dyDescent="0.35">
      <c r="A395" s="51" t="s">
        <v>433</v>
      </c>
      <c r="B395" s="51" t="s">
        <v>815</v>
      </c>
      <c r="C395" s="51"/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1182</v>
      </c>
      <c r="L395" s="53">
        <f t="shared" si="28"/>
        <v>29</v>
      </c>
      <c r="M395" s="53">
        <f t="shared" si="29"/>
        <v>1</v>
      </c>
      <c r="N395" s="54">
        <f t="shared" si="30"/>
        <v>0.96666666666666667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 t="s">
        <v>1209</v>
      </c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" hidden="1" thickBot="1" x14ac:dyDescent="0.35">
      <c r="A396" s="51" t="s">
        <v>812</v>
      </c>
      <c r="B396" s="51" t="s">
        <v>817</v>
      </c>
      <c r="C396" s="51"/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1183</v>
      </c>
      <c r="L396" s="53">
        <f t="shared" si="28"/>
        <v>29</v>
      </c>
      <c r="M396" s="53">
        <f t="shared" si="29"/>
        <v>1</v>
      </c>
      <c r="N396" s="54">
        <f t="shared" si="30"/>
        <v>0.96666666666666667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 t="s">
        <v>1209</v>
      </c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autoFilter ref="A4:AS396" xr:uid="{32AE3966-3F3A-4A38-B5F8-35AF221F7220}">
    <filterColumn colId="2">
      <filters>
        <filter val="COSEIDI"/>
      </filters>
    </filterColumn>
  </autoFilter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 t="str">
        <f>'RESUMEN TOTAL'!AE5</f>
        <v>APAGADO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 t="str">
        <f>'RESUMEN TOTAL'!AK16</f>
        <v>APAGADO</v>
      </c>
      <c r="AC13">
        <f>'RESUMEN TOTAL'!AL16</f>
        <v>0</v>
      </c>
      <c r="AD13" t="str">
        <f>'RESUMEN TOTAL'!AM16</f>
        <v>APAGADO</v>
      </c>
      <c r="AE13" t="str">
        <f>'RESUMEN TOTAL'!AN16</f>
        <v>APAGADO</v>
      </c>
      <c r="AF13" t="str">
        <f>'RESUMEN TOTAL'!AO16</f>
        <v>APAGADO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 t="str">
        <f>'RESUMEN TOTAL'!AK22</f>
        <v>APAGADO</v>
      </c>
      <c r="AC19" t="str">
        <f>'RESUMEN TOTAL'!AL22</f>
        <v>APAGADO</v>
      </c>
      <c r="AD19" t="str">
        <f>'RESUMEN TOTAL'!AM22</f>
        <v>APAGADO</v>
      </c>
      <c r="AE19" t="str">
        <f>'RESUMEN TOTAL'!AN22</f>
        <v>APAGADO</v>
      </c>
      <c r="AF19" t="str">
        <f>'RESUMEN TOTAL'!AO22</f>
        <v>APAGADO</v>
      </c>
      <c r="AG19" t="str">
        <f>'RESUMEN TOTAL'!AP22</f>
        <v>APAGADO</v>
      </c>
      <c r="AH19">
        <f>'RESUMEN TOTAL'!AQ22</f>
        <v>0</v>
      </c>
      <c r="AI19">
        <f>'RESUMEN TOTAL'!AR22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 t="str">
        <f>'RESUMEN TOTAL'!AK29</f>
        <v>APAGADO</v>
      </c>
      <c r="AC26" t="str">
        <f>'RESUMEN TOTAL'!AL29</f>
        <v>APAGADO</v>
      </c>
      <c r="AD26" t="str">
        <f>'RESUMEN TOTAL'!AM29</f>
        <v>APAGADO</v>
      </c>
      <c r="AE26" t="str">
        <f>'RESUMEN TOTAL'!AN29</f>
        <v>APAGADO</v>
      </c>
      <c r="AF26" t="str">
        <f>'RESUMEN TOTAL'!AO29</f>
        <v>APAGADO</v>
      </c>
      <c r="AG26" t="str">
        <f>'RESUMEN TOTAL'!AP29</f>
        <v>APAGADO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 t="str">
        <f>'RESUMEN TOTAL'!AH34</f>
        <v>APAGADO</v>
      </c>
      <c r="Z31" t="str">
        <f>'RESUMEN TOTAL'!AI34</f>
        <v>APAGADO</v>
      </c>
      <c r="AA31" t="str">
        <f>'RESUMEN TOTAL'!AJ34</f>
        <v>APAGADO</v>
      </c>
      <c r="AB31" t="str">
        <f>'RESUMEN TOTAL'!AK34</f>
        <v>APAGADO</v>
      </c>
      <c r="AC31" t="str">
        <f>'RESUMEN TOTAL'!AL34</f>
        <v>APAGADO</v>
      </c>
      <c r="AD31" t="str">
        <f>'RESUMEN TOTAL'!AM34</f>
        <v>APAGADO</v>
      </c>
      <c r="AE31" t="str">
        <f>'RESUMEN TOTAL'!AN34</f>
        <v>APAGADO</v>
      </c>
      <c r="AF31" t="str">
        <f>'RESUMEN TOTAL'!AO34</f>
        <v>APAGADO</v>
      </c>
      <c r="AG31" t="str">
        <f>'RESUMEN TOTAL'!AP34</f>
        <v>APAGADO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 t="str">
        <f>'RESUMEN TOTAL'!AE36</f>
        <v>APAGADO</v>
      </c>
      <c r="W33" t="str">
        <f>'RESUMEN TOTAL'!AF36</f>
        <v>APAGADO</v>
      </c>
      <c r="X33" t="str">
        <f>'RESUMEN TOTAL'!AG36</f>
        <v>APAGADO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 t="str">
        <f>'RESUMEN TOTAL'!AK53</f>
        <v>APAGADO</v>
      </c>
      <c r="AC50" t="str">
        <f>'RESUMEN TOTAL'!AL53</f>
        <v>APAGADO</v>
      </c>
      <c r="AD50" t="str">
        <f>'RESUMEN TOTAL'!AM53</f>
        <v>APAGADO</v>
      </c>
      <c r="AE50" t="str">
        <f>'RESUMEN TOTAL'!AN53</f>
        <v>APAGADO</v>
      </c>
      <c r="AF50" t="str">
        <f>'RESUMEN TOTAL'!AO53</f>
        <v>APAGADO</v>
      </c>
      <c r="AG50" t="str">
        <f>'RESUMEN TOTAL'!AP53</f>
        <v>APAGADO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EspaÃ±a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EspaÃ±a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EspaÃ±a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 t="str">
        <f>'RESUMEN TOTAL'!AO70</f>
        <v>APAGADO</v>
      </c>
      <c r="AG67" t="str">
        <f>'RESUMEN TOTAL'!AP70</f>
        <v>APAGADO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 t="str">
        <f>'RESUMEN TOTAL'!AE83</f>
        <v>APAGADO</v>
      </c>
      <c r="W80" t="str">
        <f>'RESUMEN TOTAL'!AF83</f>
        <v>APAGADO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 t="str">
        <f>'RESUMEN TOTAL'!AK91</f>
        <v>APAGADO</v>
      </c>
      <c r="AC88" t="str">
        <f>'RESUMEN TOTAL'!AL91</f>
        <v>APAGADO</v>
      </c>
      <c r="AD88" t="str">
        <f>'RESUMEN TOTAL'!AM91</f>
        <v>APAGADO</v>
      </c>
      <c r="AE88" t="str">
        <f>'RESUMEN TOTAL'!AN91</f>
        <v>APAGADO</v>
      </c>
      <c r="AF88" t="str">
        <f>'RESUMEN TOTAL'!AO91</f>
        <v>APAGADO</v>
      </c>
      <c r="AG88" t="str">
        <f>'RESUMEN TOTAL'!AP91</f>
        <v>APAGADO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 t="str">
        <f>'RESUMEN TOTAL'!AK96</f>
        <v>APAGADO</v>
      </c>
      <c r="AC93" t="str">
        <f>'RESUMEN TOTAL'!AL96</f>
        <v>APAGADO</v>
      </c>
      <c r="AD93" t="str">
        <f>'RESUMEN TOTAL'!AM96</f>
        <v>APAGADO</v>
      </c>
      <c r="AE93" t="str">
        <f>'RESUMEN TOTAL'!AN96</f>
        <v>APAGADO</v>
      </c>
      <c r="AF93" t="str">
        <f>'RESUMEN TOTAL'!AO96</f>
        <v>APAGADO</v>
      </c>
      <c r="AG93" t="str">
        <f>'RESUMEN TOTAL'!AP96</f>
        <v>APAGADO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 t="str">
        <f>'RESUMEN TOTAL'!AH113</f>
        <v>APAGADO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 t="str">
        <f>'RESUMEN TOTAL'!AE120</f>
        <v>APAGADO</v>
      </c>
      <c r="W117" t="str">
        <f>'RESUMEN TOTAL'!AF120</f>
        <v>APAGADO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 t="str">
        <f>'RESUMEN TOTAL'!AE121</f>
        <v>APAGADO</v>
      </c>
      <c r="W118" t="str">
        <f>'RESUMEN TOTAL'!AF121</f>
        <v>APAGADO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 t="str">
        <f>'RESUMEN TOTAL'!AP122</f>
        <v>APAGADO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 t="str">
        <f>'RESUMEN TOTAL'!AH128</f>
        <v>APAGADO</v>
      </c>
      <c r="Z125" t="str">
        <f>'RESUMEN TOTAL'!AI128</f>
        <v>APAGADO</v>
      </c>
      <c r="AA125" t="str">
        <f>'RESUMEN TOTAL'!AJ128</f>
        <v>APAGADO</v>
      </c>
      <c r="AB125" t="str">
        <f>'RESUMEN TOTAL'!AK128</f>
        <v>APAGADO</v>
      </c>
      <c r="AC125" t="str">
        <f>'RESUMEN TOTAL'!AL128</f>
        <v>APAGADO</v>
      </c>
      <c r="AD125" t="str">
        <f>'RESUMEN TOTAL'!AM128</f>
        <v>APAGADO</v>
      </c>
      <c r="AE125" t="str">
        <f>'RESUMEN TOTAL'!AN128</f>
        <v>APAGADO</v>
      </c>
      <c r="AF125" t="str">
        <f>'RESUMEN TOTAL'!AO128</f>
        <v>APAGADO</v>
      </c>
      <c r="AG125" t="str">
        <f>'RESUMEN TOTAL'!AP128</f>
        <v>APAGADO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 t="str">
        <f>'RESUMEN TOTAL'!AK129</f>
        <v>APAGADO</v>
      </c>
      <c r="AC126" t="str">
        <f>'RESUMEN TOTAL'!AL129</f>
        <v>APAGADO</v>
      </c>
      <c r="AD126" t="str">
        <f>'RESUMEN TOTAL'!AM129</f>
        <v>APAGADO</v>
      </c>
      <c r="AE126" t="str">
        <f>'RESUMEN TOTAL'!AN129</f>
        <v>APAGADO</v>
      </c>
      <c r="AF126" t="str">
        <f>'RESUMEN TOTAL'!AO129</f>
        <v>APAGADO</v>
      </c>
      <c r="AG126" t="str">
        <f>'RESUMEN TOTAL'!AP129</f>
        <v>APAGADO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 t="str">
        <f>'RESUMEN TOTAL'!AJ132</f>
        <v>APAGADO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 t="str">
        <f>'RESUMEN TOTAL'!AG134</f>
        <v>APAGADO</v>
      </c>
      <c r="Y131" t="str">
        <f>'RESUMEN TOTAL'!AH134</f>
        <v>APAGADO</v>
      </c>
      <c r="Z131" t="str">
        <f>'RESUMEN TOTAL'!AI134</f>
        <v>APAGADO</v>
      </c>
      <c r="AA131" t="str">
        <f>'RESUMEN TOTAL'!AJ134</f>
        <v>APAGADO</v>
      </c>
      <c r="AB131" t="str">
        <f>'RESUMEN TOTAL'!AK134</f>
        <v>APAGADO</v>
      </c>
      <c r="AC131" t="str">
        <f>'RESUMEN TOTAL'!AL134</f>
        <v>APAGADO</v>
      </c>
      <c r="AD131" t="str">
        <f>'RESUMEN TOTAL'!AM134</f>
        <v>APAGADO</v>
      </c>
      <c r="AE131" t="str">
        <f>'RESUMEN TOTAL'!AN134</f>
        <v>APAGADO</v>
      </c>
      <c r="AF131" t="str">
        <f>'RESUMEN TOTAL'!AO134</f>
        <v>APAGADO</v>
      </c>
      <c r="AG131" t="str">
        <f>'RESUMEN TOTAL'!AP134</f>
        <v>APAGADO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 t="str">
        <f>'RESUMEN TOTAL'!AL135</f>
        <v>APAGADO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 t="str">
        <f>'RESUMEN TOTAL'!AP135</f>
        <v>APAGADO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 t="str">
        <f>'RESUMEN TOTAL'!AJ137</f>
        <v>APAGADO</v>
      </c>
      <c r="AB134" t="str">
        <f>'RESUMEN TOTAL'!AK137</f>
        <v>APAGADO</v>
      </c>
      <c r="AC134" t="str">
        <f>'RESUMEN TOTAL'!AL137</f>
        <v>APAGADO</v>
      </c>
      <c r="AD134" t="str">
        <f>'RESUMEN TOTAL'!AM137</f>
        <v>APAGADO</v>
      </c>
      <c r="AE134" t="str">
        <f>'RESUMEN TOTAL'!AN137</f>
        <v>APAGADO</v>
      </c>
      <c r="AF134" t="str">
        <f>'RESUMEN TOTAL'!AO137</f>
        <v>APAGADO</v>
      </c>
      <c r="AG134" t="str">
        <f>'RESUMEN TOTAL'!AP137</f>
        <v>APAGADO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 t="str">
        <f>'RESUMEN TOTAL'!AK141</f>
        <v>APAGADO</v>
      </c>
      <c r="AC138" t="str">
        <f>'RESUMEN TOTAL'!AL141</f>
        <v>APAGADO</v>
      </c>
      <c r="AD138" t="str">
        <f>'RESUMEN TOTAL'!AM141</f>
        <v>APAGADO</v>
      </c>
      <c r="AE138" t="str">
        <f>'RESUMEN TOTAL'!AN141</f>
        <v>APAGADO</v>
      </c>
      <c r="AF138" t="str">
        <f>'RESUMEN TOTAL'!AO141</f>
        <v>APAGADO</v>
      </c>
      <c r="AG138" t="str">
        <f>'RESUMEN TOTAL'!AP141</f>
        <v>APAGADO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 t="str">
        <f>'RESUMEN TOTAL'!AK142</f>
        <v>APAGADO</v>
      </c>
      <c r="AC139" t="str">
        <f>'RESUMEN TOTAL'!AL142</f>
        <v>APAGADO</v>
      </c>
      <c r="AD139" t="str">
        <f>'RESUMEN TOTAL'!AM142</f>
        <v>APAGADO</v>
      </c>
      <c r="AE139" t="str">
        <f>'RESUMEN TOTAL'!AN142</f>
        <v>APAGADO</v>
      </c>
      <c r="AF139" t="str">
        <f>'RESUMEN TOTAL'!AO142</f>
        <v>APAGADO</v>
      </c>
      <c r="AG139" t="str">
        <f>'RESUMEN TOTAL'!AP142</f>
        <v>APAGADO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 t="str">
        <f>'RESUMEN TOTAL'!AK143</f>
        <v>APAGADO</v>
      </c>
      <c r="AC140" t="str">
        <f>'RESUMEN TOTAL'!AL143</f>
        <v>APAGADO</v>
      </c>
      <c r="AD140" t="str">
        <f>'RESUMEN TOTAL'!AM143</f>
        <v>APAGADO</v>
      </c>
      <c r="AE140" t="str">
        <f>'RESUMEN TOTAL'!AN143</f>
        <v>APAGADO</v>
      </c>
      <c r="AF140" t="str">
        <f>'RESUMEN TOTAL'!AO143</f>
        <v>APAGADO</v>
      </c>
      <c r="AG140" t="str">
        <f>'RESUMEN TOTAL'!AP143</f>
        <v>APAGADO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 t="str">
        <f>'RESUMEN TOTAL'!AO148</f>
        <v>APAGADO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 t="str">
        <f>'RESUMEN TOTAL'!AO149</f>
        <v>APAGADO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 t="str">
        <f>'RESUMEN TOTAL'!AO150</f>
        <v>APAGADO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 t="str">
        <f>'RESUMEN TOTAL'!AE152</f>
        <v>APAGADO</v>
      </c>
      <c r="W149" t="str">
        <f>'RESUMEN TOTAL'!AF152</f>
        <v>APAGADO</v>
      </c>
      <c r="X149" t="str">
        <f>'RESUMEN TOTAL'!AG152</f>
        <v>APAGADO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 t="str">
        <f>'RESUMEN TOTAL'!AN166</f>
        <v>APAGADO</v>
      </c>
      <c r="AF163" t="str">
        <f>'RESUMEN TOTAL'!AO166</f>
        <v>APAGADO</v>
      </c>
      <c r="AG163" t="str">
        <f>'RESUMEN TOTAL'!AP166</f>
        <v>APAGADO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 t="str">
        <f>'RESUMEN TOTAL'!AN167</f>
        <v>APAGADO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 t="str">
        <f>'RESUMEN TOTAL'!AE185</f>
        <v>APAGADO</v>
      </c>
      <c r="W182" t="str">
        <f>'RESUMEN TOTAL'!AF185</f>
        <v>APAGADO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 t="str">
        <f>'RESUMEN TOTAL'!AN191</f>
        <v>APAGADO</v>
      </c>
      <c r="AF188" t="str">
        <f>'RESUMEN TOTAL'!AO191</f>
        <v>APAGADO</v>
      </c>
      <c r="AG188" t="str">
        <f>'RESUMEN TOTAL'!AP191</f>
        <v>APAGADO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9 DE JULIO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 t="str">
        <f>'RESUMEN TOTAL'!AH197</f>
        <v>APAGADO</v>
      </c>
      <c r="Z194" t="str">
        <f>'RESUMEN TOTAL'!AI197</f>
        <v>APAGADO</v>
      </c>
      <c r="AA194" t="str">
        <f>'RESUMEN TOTAL'!AJ197</f>
        <v>APAGADO</v>
      </c>
      <c r="AB194" t="str">
        <f>'RESUMEN TOTAL'!AK197</f>
        <v>APAGADO</v>
      </c>
      <c r="AC194" t="str">
        <f>'RESUMEN TOTAL'!AL197</f>
        <v>APAGADO</v>
      </c>
      <c r="AD194" t="str">
        <f>'RESUMEN TOTAL'!AM197</f>
        <v>APAGADO</v>
      </c>
      <c r="AE194" t="str">
        <f>'RESUMEN TOTAL'!AN197</f>
        <v>APAGADO</v>
      </c>
      <c r="AF194" t="str">
        <f>'RESUMEN TOTAL'!AO197</f>
        <v>APAGADO</v>
      </c>
      <c r="AG194" t="str">
        <f>'RESUMEN TOTAL'!AP197</f>
        <v>APAGADO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 t="str">
        <f>'RESUMEN TOTAL'!AK198</f>
        <v>APAGADO</v>
      </c>
      <c r="AC195" t="str">
        <f>'RESUMEN TOTAL'!AL198</f>
        <v>APAGADO</v>
      </c>
      <c r="AD195" t="str">
        <f>'RESUMEN TOTAL'!AM198</f>
        <v>APAGADO</v>
      </c>
      <c r="AE195" t="str">
        <f>'RESUMEN TOTAL'!AN198</f>
        <v>APAGADO</v>
      </c>
      <c r="AF195" t="str">
        <f>'RESUMEN TOTAL'!AO198</f>
        <v>APAGADO</v>
      </c>
      <c r="AG195" t="str">
        <f>'RESUMEN TOTAL'!AP198</f>
        <v>APAGADO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 t="str">
        <f>'RESUMEN TOTAL'!AN207</f>
        <v>APAGADO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 t="str">
        <f>'RESUMEN TOTAL'!AM208</f>
        <v>APAGADO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 t="str">
        <f>'RESUMEN TOTAL'!AM209</f>
        <v>APAGADO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 t="str">
        <f>'RESUMEN TOTAL'!AK210</f>
        <v>APAGADO</v>
      </c>
      <c r="AC207" t="str">
        <f>'RESUMEN TOTAL'!AL210</f>
        <v>APAGADO</v>
      </c>
      <c r="AD207" t="str">
        <f>'RESUMEN TOTAL'!AM210</f>
        <v>APAGADO</v>
      </c>
      <c r="AE207" t="str">
        <f>'RESUMEN TOTAL'!AN210</f>
        <v>APAGADO</v>
      </c>
      <c r="AF207" t="str">
        <f>'RESUMEN TOTAL'!AO210</f>
        <v>APAGADO</v>
      </c>
      <c r="AG207" t="str">
        <f>'RESUMEN TOTAL'!AP210</f>
        <v>APAGADO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 t="str">
        <f>'RESUMEN TOTAL'!AO211</f>
        <v>APAGADO</v>
      </c>
      <c r="AG208" t="str">
        <f>'RESUMEN TOTAL'!AP211</f>
        <v>APAGADO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 t="str">
        <f>'RESUMEN TOTAL'!AO212</f>
        <v>APAGADO</v>
      </c>
      <c r="AG209" t="str">
        <f>'RESUMEN TOTAL'!AP212</f>
        <v>APAGADO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 t="str">
        <f>'RESUMEN TOTAL'!AE214</f>
        <v>APAGADO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 t="str">
        <f>'RESUMEN TOTAL'!AE215</f>
        <v>APAGADO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 t="str">
        <f>'RESUMEN TOTAL'!AO215</f>
        <v>APAGADO</v>
      </c>
      <c r="AG212" t="str">
        <f>'RESUMEN TOTAL'!AP215</f>
        <v>APAGADO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 t="str">
        <f>'RESUMEN TOTAL'!AK216</f>
        <v>APAGADO</v>
      </c>
      <c r="AC213" t="str">
        <f>'RESUMEN TOTAL'!AL216</f>
        <v>APAGADO</v>
      </c>
      <c r="AD213" t="str">
        <f>'RESUMEN TOTAL'!AM216</f>
        <v>APAGADO</v>
      </c>
      <c r="AE213" t="str">
        <f>'RESUMEN TOTAL'!AN216</f>
        <v>APAGADO</v>
      </c>
      <c r="AF213" t="str">
        <f>'RESUMEN TOTAL'!AO216</f>
        <v>APAGADO</v>
      </c>
      <c r="AG213" t="str">
        <f>'RESUMEN TOTAL'!AP216</f>
        <v>APAGADO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 t="str">
        <f>'RESUMEN TOTAL'!AK217</f>
        <v>APAGADO</v>
      </c>
      <c r="AC214" t="str">
        <f>'RESUMEN TOTAL'!AL217</f>
        <v>APAGADO</v>
      </c>
      <c r="AD214" t="str">
        <f>'RESUMEN TOTAL'!AM217</f>
        <v>APAGADO</v>
      </c>
      <c r="AE214" t="str">
        <f>'RESUMEN TOTAL'!AN217</f>
        <v>APAGADO</v>
      </c>
      <c r="AF214" t="str">
        <f>'RESUMEN TOTAL'!AO217</f>
        <v>APAGADO</v>
      </c>
      <c r="AG214" t="str">
        <f>'RESUMEN TOTAL'!AP217</f>
        <v>APAGADO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 t="str">
        <f>'RESUMEN TOTAL'!AE220</f>
        <v>APAGADO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 t="str">
        <f>'RESUMEN TOTAL'!AN220</f>
        <v>APAGADO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 t="str">
        <f>'RESUMEN TOTAL'!AE221</f>
        <v>APAGADO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 t="str">
        <f>'RESUMEN TOTAL'!AN221</f>
        <v>APAGADO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 t="str">
        <f>'RESUMEN TOTAL'!AE222</f>
        <v>APAGADO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 t="str">
        <f>'RESUMEN TOTAL'!AM222</f>
        <v>APAGADO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 t="str">
        <f>'RESUMEN TOTAL'!AE223</f>
        <v>APAGADO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 t="str">
        <f>'RESUMEN TOTAL'!AO223</f>
        <v>APAGADO</v>
      </c>
      <c r="AG220" t="str">
        <f>'RESUMEN TOTAL'!AP223</f>
        <v>APAGADO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 t="str">
        <f>'RESUMEN TOTAL'!AE224</f>
        <v>APAGADO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 t="str">
        <f>'RESUMEN TOTAL'!AO225</f>
        <v>APAGADO</v>
      </c>
      <c r="AG222" t="str">
        <f>'RESUMEN TOTAL'!AP225</f>
        <v>APAGADO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 t="str">
        <f>'RESUMEN TOTAL'!AE231</f>
        <v>APAGADO</v>
      </c>
      <c r="W228" t="str">
        <f>'RESUMEN TOTAL'!AF231</f>
        <v>APAGADO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 t="str">
        <f>'RESUMEN TOTAL'!AE232</f>
        <v>APAGADO</v>
      </c>
      <c r="W229" t="str">
        <f>'RESUMEN TOTAL'!AF232</f>
        <v>APAGADO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 t="str">
        <f>'RESUMEN TOTAL'!AE248</f>
        <v>APAGADO</v>
      </c>
      <c r="W245" t="str">
        <f>'RESUMEN TOTAL'!AF248</f>
        <v>APAGADO</v>
      </c>
      <c r="X245" t="str">
        <f>'RESUMEN TOTAL'!AG248</f>
        <v>APAGADO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 t="str">
        <f>'RESUMEN TOTAL'!AK254</f>
        <v>APAGADO</v>
      </c>
      <c r="AC251" t="str">
        <f>'RESUMEN TOTAL'!AL254</f>
        <v>APAGADO</v>
      </c>
      <c r="AD251" t="str">
        <f>'RESUMEN TOTAL'!AM254</f>
        <v>APAGADO</v>
      </c>
      <c r="AE251" t="str">
        <f>'RESUMEN TOTAL'!AN254</f>
        <v>APAGADO</v>
      </c>
      <c r="AF251" t="str">
        <f>'RESUMEN TOTAL'!AO254</f>
        <v>APAGADO</v>
      </c>
      <c r="AG251" t="str">
        <f>'RESUMEN TOTAL'!AP254</f>
        <v>APAGADO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 t="str">
        <f>'RESUMEN TOTAL'!AH255</f>
        <v>APAGADO</v>
      </c>
      <c r="Z252" t="str">
        <f>'RESUMEN TOTAL'!AI255</f>
        <v>APAGADO</v>
      </c>
      <c r="AA252" t="str">
        <f>'RESUMEN TOTAL'!AJ255</f>
        <v>APAGADO</v>
      </c>
      <c r="AB252" t="str">
        <f>'RESUMEN TOTAL'!AK255</f>
        <v>APAGADO</v>
      </c>
      <c r="AC252" t="str">
        <f>'RESUMEN TOTAL'!AL255</f>
        <v>APAGADO</v>
      </c>
      <c r="AD252" t="str">
        <f>'RESUMEN TOTAL'!AM255</f>
        <v>APAGADO</v>
      </c>
      <c r="AE252" t="str">
        <f>'RESUMEN TOTAL'!AN255</f>
        <v>APAGADO</v>
      </c>
      <c r="AF252" t="str">
        <f>'RESUMEN TOTAL'!AO255</f>
        <v>APAGADO</v>
      </c>
      <c r="AG252" t="str">
        <f>'RESUMEN TOTAL'!AP255</f>
        <v>APAGADO</v>
      </c>
      <c r="AH252">
        <f>'RESUMEN TOTAL'!AQ255</f>
        <v>0</v>
      </c>
      <c r="AI252">
        <f>'RESUMEN TOTAL'!AR255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 t="str">
        <f>'RESUMEN TOTAL'!AH272</f>
        <v>APAGADO</v>
      </c>
      <c r="Z269" t="str">
        <f>'RESUMEN TOTAL'!AI272</f>
        <v>APAGADO</v>
      </c>
      <c r="AA269" t="str">
        <f>'RESUMEN TOTAL'!AJ272</f>
        <v>APAGADO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 t="str">
        <f>'RESUMEN TOTAL'!AL275</f>
        <v>APAGADO</v>
      </c>
      <c r="AD272">
        <f>'RESUMEN TOTAL'!AM275</f>
        <v>0</v>
      </c>
      <c r="AE272" t="str">
        <f>'RESUMEN TOTAL'!AN275</f>
        <v>APAGADO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 t="str">
        <f>'RESUMEN TOTAL'!AO277</f>
        <v>APAGADO</v>
      </c>
      <c r="AG274" t="str">
        <f>'RESUMEN TOTAL'!AP277</f>
        <v>APAGADO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 t="str">
        <f>'RESUMEN TOTAL'!AO278</f>
        <v>APAGADO</v>
      </c>
      <c r="AG275" t="str">
        <f>'RESUMEN TOTAL'!AP278</f>
        <v>APAGADO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 t="str">
        <f>'RESUMEN TOTAL'!AO279</f>
        <v>APAGADO</v>
      </c>
      <c r="AG276" t="str">
        <f>'RESUMEN TOTAL'!AP279</f>
        <v>APAGADO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 t="str">
        <f>'RESUMEN TOTAL'!AO280</f>
        <v>APAGADO</v>
      </c>
      <c r="AG277" t="str">
        <f>'RESUMEN TOTAL'!AP280</f>
        <v>APAGADO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 t="str">
        <f>'RESUMEN TOTAL'!AL281</f>
        <v>APAGADO</v>
      </c>
      <c r="AD278" t="str">
        <f>'RESUMEN TOTAL'!AM281</f>
        <v>APAGADO</v>
      </c>
      <c r="AE278">
        <f>'RESUMEN TOTAL'!AN281</f>
        <v>0</v>
      </c>
      <c r="AF278" t="str">
        <f>'RESUMEN TOTAL'!AO281</f>
        <v>APAGADO</v>
      </c>
      <c r="AG278" t="str">
        <f>'RESUMEN TOTAL'!AP281</f>
        <v>APAGADO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 t="str">
        <f>'RESUMEN TOTAL'!AE283</f>
        <v>APAGADO</v>
      </c>
      <c r="W280" t="str">
        <f>'RESUMEN TOTAL'!AF283</f>
        <v>APAGADO</v>
      </c>
      <c r="X280" t="str">
        <f>'RESUMEN TOTAL'!AG283</f>
        <v>APAGADO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 t="str">
        <f>'RESUMEN TOTAL'!AE286</f>
        <v>APAGADO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 t="str">
        <f>'RESUMEN TOTAL'!AE287</f>
        <v>APAGADO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 t="str">
        <f>'RESUMEN TOTAL'!AK289</f>
        <v>APAGADO</v>
      </c>
      <c r="AC286" t="str">
        <f>'RESUMEN TOTAL'!AL289</f>
        <v>APAGADO</v>
      </c>
      <c r="AD286" t="str">
        <f>'RESUMEN TOTAL'!AM289</f>
        <v>APAGADO</v>
      </c>
      <c r="AE286" t="str">
        <f>'RESUMEN TOTAL'!AN289</f>
        <v>APAGADO</v>
      </c>
      <c r="AF286" t="str">
        <f>'RESUMEN TOTAL'!AO289</f>
        <v>APAGADO</v>
      </c>
      <c r="AG286" t="str">
        <f>'RESUMEN TOTAL'!AP289</f>
        <v>APAGADO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 t="str">
        <f>'RESUMEN TOTAL'!AK290</f>
        <v>APAGADO</v>
      </c>
      <c r="AC287" t="str">
        <f>'RESUMEN TOTAL'!AL290</f>
        <v>APAGADO</v>
      </c>
      <c r="AD287" t="str">
        <f>'RESUMEN TOTAL'!AM290</f>
        <v>APAGADO</v>
      </c>
      <c r="AE287" t="str">
        <f>'RESUMEN TOTAL'!AN290</f>
        <v>APAGADO</v>
      </c>
      <c r="AF287" t="str">
        <f>'RESUMEN TOTAL'!AO290</f>
        <v>APAGADO</v>
      </c>
      <c r="AG287" t="str">
        <f>'RESUMEN TOTAL'!AP290</f>
        <v>APAGADO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 t="str">
        <f>'RESUMEN TOTAL'!AK291</f>
        <v>APAGADO</v>
      </c>
      <c r="AC288" t="str">
        <f>'RESUMEN TOTAL'!AL291</f>
        <v>APAGADO</v>
      </c>
      <c r="AD288" t="str">
        <f>'RESUMEN TOTAL'!AM291</f>
        <v>APAGADO</v>
      </c>
      <c r="AE288" t="str">
        <f>'RESUMEN TOTAL'!AN291</f>
        <v>APAGADO</v>
      </c>
      <c r="AF288" t="str">
        <f>'RESUMEN TOTAL'!AO291</f>
        <v>APAGADO</v>
      </c>
      <c r="AG288" t="str">
        <f>'RESUMEN TOTAL'!AP291</f>
        <v>APAGADO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 t="str">
        <f>'RESUMEN TOTAL'!AK292</f>
        <v>APAGADO</v>
      </c>
      <c r="AC289" t="str">
        <f>'RESUMEN TOTAL'!AL292</f>
        <v>APAGADO</v>
      </c>
      <c r="AD289" t="str">
        <f>'RESUMEN TOTAL'!AM292</f>
        <v>APAGADO</v>
      </c>
      <c r="AE289" t="str">
        <f>'RESUMEN TOTAL'!AN292</f>
        <v>APAGADO</v>
      </c>
      <c r="AF289" t="str">
        <f>'RESUMEN TOTAL'!AO292</f>
        <v>APAGADO</v>
      </c>
      <c r="AG289" t="str">
        <f>'RESUMEN TOTAL'!AP292</f>
        <v>APAGADO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 t="str">
        <f>'RESUMEN TOTAL'!AO295</f>
        <v>APAGADO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 t="str">
        <f>'RESUMEN TOTAL'!AO298</f>
        <v>APAGADO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 t="str">
        <f>'RESUMEN TOTAL'!AE299</f>
        <v>APAGADO</v>
      </c>
      <c r="W296" t="str">
        <f>'RESUMEN TOTAL'!AF299</f>
        <v>APAGADO</v>
      </c>
      <c r="X296" t="str">
        <f>'RESUMEN TOTAL'!AG299</f>
        <v>APAGADO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 t="str">
        <f>'RESUMEN TOTAL'!AO299</f>
        <v>APAGADO</v>
      </c>
      <c r="AG296" t="str">
        <f>'RESUMEN TOTAL'!AP299</f>
        <v>APAGADO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 t="str">
        <f>'RESUMEN TOTAL'!AE300</f>
        <v>APAGADO</v>
      </c>
      <c r="W297" t="str">
        <f>'RESUMEN TOTAL'!AF300</f>
        <v>APAGADO</v>
      </c>
      <c r="X297" t="str">
        <f>'RESUMEN TOTAL'!AG300</f>
        <v>APAGADO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 t="str">
        <f>'RESUMEN TOTAL'!AP300</f>
        <v>APAGADO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 t="str">
        <f>'RESUMEN TOTAL'!AO302</f>
        <v>APAGADO</v>
      </c>
      <c r="AG299" t="str">
        <f>'RESUMEN TOTAL'!AP302</f>
        <v>APAGADO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 t="str">
        <f>'RESUMEN TOTAL'!AO303</f>
        <v>APAGADO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 t="str">
        <f>'RESUMEN TOTAL'!AH327</f>
        <v>APAGADO</v>
      </c>
      <c r="Z324" t="str">
        <f>'RESUMEN TOTAL'!AI327</f>
        <v>APAGADO</v>
      </c>
      <c r="AA324" t="str">
        <f>'RESUMEN TOTAL'!AJ327</f>
        <v>APAGADO</v>
      </c>
      <c r="AB324" t="str">
        <f>'RESUMEN TOTAL'!AK327</f>
        <v>APAGADO</v>
      </c>
      <c r="AC324" t="str">
        <f>'RESUMEN TOTAL'!AL327</f>
        <v>APAGADO</v>
      </c>
      <c r="AD324" t="str">
        <f>'RESUMEN TOTAL'!AM327</f>
        <v>APAGADO</v>
      </c>
      <c r="AE324" t="str">
        <f>'RESUMEN TOTAL'!AN327</f>
        <v>APAGADO</v>
      </c>
      <c r="AF324" t="str">
        <f>'RESUMEN TOTAL'!AO327</f>
        <v>APAGADO</v>
      </c>
      <c r="AG324" t="str">
        <f>'RESUMEN TOTAL'!AP327</f>
        <v>APAGADO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 t="str">
        <f>'RESUMEN TOTAL'!AK328</f>
        <v>APAGADO</v>
      </c>
      <c r="AC325" t="str">
        <f>'RESUMEN TOTAL'!AL328</f>
        <v>APAGADO</v>
      </c>
      <c r="AD325" t="str">
        <f>'RESUMEN TOTAL'!AM328</f>
        <v>APAGADO</v>
      </c>
      <c r="AE325" t="str">
        <f>'RESUMEN TOTAL'!AN328</f>
        <v>APAGADO</v>
      </c>
      <c r="AF325" t="str">
        <f>'RESUMEN TOTAL'!AO328</f>
        <v>APAGADO</v>
      </c>
      <c r="AG325" t="str">
        <f>'RESUMEN TOTAL'!AP328</f>
        <v>APAGADO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 t="str">
        <f>'RESUMEN TOTAL'!AE333</f>
        <v>APAGADO</v>
      </c>
      <c r="W330" t="str">
        <f>'RESUMEN TOTAL'!AF333</f>
        <v>APAGADO</v>
      </c>
      <c r="X330" t="str">
        <f>'RESUMEN TOTAL'!AG333</f>
        <v>APAGADO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 t="str">
        <f>'RESUMEN TOTAL'!AE335</f>
        <v>APAGADO</v>
      </c>
      <c r="W332" t="str">
        <f>'RESUMEN TOTAL'!AF335</f>
        <v>APAGADO</v>
      </c>
      <c r="X332" t="str">
        <f>'RESUMEN TOTAL'!AG335</f>
        <v>APAGADO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 t="str">
        <f>'RESUMEN TOTAL'!AE336</f>
        <v>APAGADO</v>
      </c>
      <c r="W333" t="str">
        <f>'RESUMEN TOTAL'!AF336</f>
        <v>APAGADO</v>
      </c>
      <c r="X333" t="str">
        <f>'RESUMEN TOTAL'!AG336</f>
        <v>APAGADO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 t="str">
        <f>'RESUMEN TOTAL'!AE345</f>
        <v>APAGADO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 t="str">
        <f>'RESUMEN TOTAL'!AE346</f>
        <v>APAGADO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PueyrredÃ³n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 t="str">
        <f>'RESUMEN TOTAL'!AE347</f>
        <v>APAGADO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PerÃ³n y Lavalle</v>
      </c>
      <c r="D345" t="str">
        <f>'RESUMEN TOTAL'!E348</f>
        <v>f</v>
      </c>
      <c r="E345" t="str">
        <f>'RESUMEN TOTAL'!F348</f>
        <v>PTO A FO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 t="str">
        <f>'RESUMEN TOTAL'!AE348</f>
        <v>APAGADO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 t="str">
        <f>'RESUMEN TOTAL'!AO352</f>
        <v>APAGADO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 t="str">
        <f>'RESUMEN TOTAL'!AE359</f>
        <v>APAGADO</v>
      </c>
      <c r="W356" t="str">
        <f>'RESUMEN TOTAL'!AF359</f>
        <v>APAGADO</v>
      </c>
      <c r="X356" t="str">
        <f>'RESUMEN TOTAL'!AG359</f>
        <v>APAGADO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 t="str">
        <f>'RESUMEN TOTAL'!AL361</f>
        <v>APAGADO</v>
      </c>
      <c r="AD358" t="str">
        <f>'RESUMEN TOTAL'!AM361</f>
        <v>APAGADO</v>
      </c>
      <c r="AE358" t="str">
        <f>'RESUMEN TOTAL'!AN361</f>
        <v>APAGADO</v>
      </c>
      <c r="AF358" t="str">
        <f>'RESUMEN TOTAL'!AO361</f>
        <v>APAGADO</v>
      </c>
      <c r="AG358" t="str">
        <f>'RESUMEN TOTAL'!AP361</f>
        <v>APAGADO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 t="str">
        <f>'RESUMEN TOTAL'!AL362</f>
        <v>APAGADO</v>
      </c>
      <c r="AD359" t="str">
        <f>'RESUMEN TOTAL'!AM362</f>
        <v>APAGADO</v>
      </c>
      <c r="AE359" t="str">
        <f>'RESUMEN TOTAL'!AN362</f>
        <v>APAGADO</v>
      </c>
      <c r="AF359" t="str">
        <f>'RESUMEN TOTAL'!AO362</f>
        <v>APAGADO</v>
      </c>
      <c r="AG359" t="str">
        <f>'RESUMEN TOTAL'!AP362</f>
        <v>APAGADO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 t="str">
        <f>'RESUMEN TOTAL'!AE373</f>
        <v>APAGADO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 t="str">
        <f>'RESUMEN TOTAL'!AE374</f>
        <v>APAGADO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 t="str">
        <f>'RESUMEN TOTAL'!AE375</f>
        <v>APAGADO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 t="str">
        <f>'RESUMEN TOTAL'!AE376</f>
        <v>APAGADO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 t="str">
        <f>'RESUMEN TOTAL'!AE378</f>
        <v>APAGADO</v>
      </c>
      <c r="W375" s="51">
        <f>'RESUMEN TOTAL'!AF378</f>
        <v>0</v>
      </c>
      <c r="X375" s="51">
        <f>'RESUMEN TOTAL'!AG378</f>
        <v>0</v>
      </c>
      <c r="Y375" s="51" t="str">
        <f>'RESUMEN TOTAL'!AH378</f>
        <v>APAGADO</v>
      </c>
      <c r="Z375" s="51" t="str">
        <f>'RESUMEN TOTAL'!AI378</f>
        <v>APAGADO</v>
      </c>
      <c r="AA375" s="51" t="str">
        <f>'RESUMEN TOTAL'!AJ378</f>
        <v>APAGADO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 t="str">
        <f>'RESUMEN TOTAL'!AE379</f>
        <v>APAGADO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 t="str">
        <f>'RESUMEN TOTAL'!AE380</f>
        <v>APAGADO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 t="str">
        <f>'RESUMEN TOTAL'!AE381</f>
        <v>APAGADO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 t="str">
        <f>'RESUMEN TOTAL'!AE382</f>
        <v>APAGADO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 t="str">
        <f>'RESUMEN TOTAL'!AE383</f>
        <v>APAGADO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 t="str">
        <f>'RESUMEN TOTAL'!AE384</f>
        <v>APAGADO</v>
      </c>
      <c r="W381" s="51">
        <f>'RESUMEN TOTAL'!AF384</f>
        <v>0</v>
      </c>
      <c r="X381" s="51">
        <f>'RESUMEN TOTAL'!AG384</f>
        <v>0</v>
      </c>
      <c r="Y381" s="51" t="str">
        <f>'RESUMEN TOTAL'!AH384</f>
        <v>APAGADO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>
        <f>'RESUMEN TOTAL'!O385</f>
        <v>0</v>
      </c>
      <c r="G382" s="51">
        <f>'RESUMEN TOTAL'!P385</f>
        <v>0</v>
      </c>
      <c r="H382" s="51">
        <f>'RESUMEN TOTAL'!Q385</f>
        <v>0</v>
      </c>
      <c r="I382" s="51">
        <f>'RESUMEN TOTAL'!R385</f>
        <v>0</v>
      </c>
      <c r="J382" s="51">
        <f>'RESUMEN TOTAL'!S385</f>
        <v>0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 t="str">
        <f>'RESUMEN TOTAL'!AE385</f>
        <v>APAGADO</v>
      </c>
      <c r="W382" s="51">
        <f>'RESUMEN TOTAL'!AF385</f>
        <v>0</v>
      </c>
      <c r="X382" s="51">
        <f>'RESUMEN TOTAL'!AG385</f>
        <v>0</v>
      </c>
      <c r="Y382" s="51" t="str">
        <f>'RESUMEN TOTAL'!AH385</f>
        <v>APAGADO</v>
      </c>
      <c r="Z382" s="51" t="str">
        <f>'RESUMEN TOTAL'!AI385</f>
        <v>APAGADO</v>
      </c>
      <c r="AA382" s="51" t="str">
        <f>'RESUMEN TOTAL'!AJ385</f>
        <v>APAGADO</v>
      </c>
      <c r="AB382" s="51" t="str">
        <f>'RESUMEN TOTAL'!AK385</f>
        <v>APAGADO</v>
      </c>
      <c r="AC382" s="51" t="str">
        <f>'RESUMEN TOTAL'!AL385</f>
        <v>APAGADO</v>
      </c>
      <c r="AD382" s="51" t="str">
        <f>'RESUMEN TOTAL'!AM385</f>
        <v>APAGADO</v>
      </c>
      <c r="AE382" s="51" t="str">
        <f>'RESUMEN TOTAL'!AN385</f>
        <v>APAGADO</v>
      </c>
      <c r="AF382" s="51" t="str">
        <f>'RESUMEN TOTAL'!AO385</f>
        <v>APAGADO</v>
      </c>
      <c r="AG382" s="51" t="str">
        <f>'RESUMEN TOTAL'!AP385</f>
        <v>APAGADO</v>
      </c>
      <c r="AH382" s="51">
        <f>'RESUMEN TOTAL'!AQ385</f>
        <v>0</v>
      </c>
      <c r="AI382" s="51">
        <f>'RESUMEN TOTAL'!AR385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>
        <f>'RESUMEN TOTAL'!O386</f>
        <v>0</v>
      </c>
      <c r="G383" s="51">
        <f>'RESUMEN TOTAL'!P386</f>
        <v>0</v>
      </c>
      <c r="H383" s="51">
        <f>'RESUMEN TOTAL'!Q386</f>
        <v>0</v>
      </c>
      <c r="I383" s="51">
        <f>'RESUMEN TOTAL'!R386</f>
        <v>0</v>
      </c>
      <c r="J383" s="51">
        <f>'RESUMEN TOTAL'!S386</f>
        <v>0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 t="str">
        <f>'RESUMEN TOTAL'!AE386</f>
        <v>APAGADO</v>
      </c>
      <c r="W383" s="51">
        <f>'RESUMEN TOTAL'!AF386</f>
        <v>0</v>
      </c>
      <c r="X383" s="51">
        <f>'RESUMEN TOTAL'!AG386</f>
        <v>0</v>
      </c>
      <c r="Y383" s="51" t="str">
        <f>'RESUMEN TOTAL'!AH386</f>
        <v>APAGADO</v>
      </c>
      <c r="Z383" s="51" t="str">
        <f>'RESUMEN TOTAL'!AI386</f>
        <v>APAGADO</v>
      </c>
      <c r="AA383" s="51" t="str">
        <f>'RESUMEN TOTAL'!AJ386</f>
        <v>APAGADO</v>
      </c>
      <c r="AB383" s="51" t="str">
        <f>'RESUMEN TOTAL'!AK386</f>
        <v>APAGADO</v>
      </c>
      <c r="AC383" s="51" t="str">
        <f>'RESUMEN TOTAL'!AL386</f>
        <v>APAGADO</v>
      </c>
      <c r="AD383" s="51" t="str">
        <f>'RESUMEN TOTAL'!AM386</f>
        <v>APAGADO</v>
      </c>
      <c r="AE383" s="51" t="str">
        <f>'RESUMEN TOTAL'!AN386</f>
        <v>APAGADO</v>
      </c>
      <c r="AF383" s="51" t="str">
        <f>'RESUMEN TOTAL'!AO386</f>
        <v>APAGADO</v>
      </c>
      <c r="AG383" s="51" t="str">
        <f>'RESUMEN TOTAL'!AP386</f>
        <v>APAGADO</v>
      </c>
      <c r="AH383" s="51">
        <f>'RESUMEN TOTAL'!AQ386</f>
        <v>0</v>
      </c>
      <c r="AI383" s="51">
        <f>'RESUMEN TOTAL'!AR386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>
        <f>'RESUMEN TOTAL'!O387</f>
        <v>0</v>
      </c>
      <c r="G384" s="51">
        <f>'RESUMEN TOTAL'!P387</f>
        <v>0</v>
      </c>
      <c r="H384" s="51">
        <f>'RESUMEN TOTAL'!Q387</f>
        <v>0</v>
      </c>
      <c r="I384" s="51">
        <f>'RESUMEN TOTAL'!R387</f>
        <v>0</v>
      </c>
      <c r="J384" s="51">
        <f>'RESUMEN TOTAL'!S387</f>
        <v>0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 t="str">
        <f>'RESUMEN TOTAL'!AE387</f>
        <v>APAGADO</v>
      </c>
      <c r="W384" s="51">
        <f>'RESUMEN TOTAL'!AF387</f>
        <v>0</v>
      </c>
      <c r="X384" s="51">
        <f>'RESUMEN TOTAL'!AG387</f>
        <v>0</v>
      </c>
      <c r="Y384" s="51" t="str">
        <f>'RESUMEN TOTAL'!AH387</f>
        <v>APAGADO</v>
      </c>
      <c r="Z384" s="51" t="str">
        <f>'RESUMEN TOTAL'!AI387</f>
        <v>APAGADO</v>
      </c>
      <c r="AA384" s="51" t="str">
        <f>'RESUMEN TOTAL'!AJ387</f>
        <v>APAGADO</v>
      </c>
      <c r="AB384" s="51" t="str">
        <f>'RESUMEN TOTAL'!AK387</f>
        <v>APAGADO</v>
      </c>
      <c r="AC384" s="51" t="str">
        <f>'RESUMEN TOTAL'!AL387</f>
        <v>APAGADO</v>
      </c>
      <c r="AD384" s="51" t="str">
        <f>'RESUMEN TOTAL'!AM387</f>
        <v>APAGADO</v>
      </c>
      <c r="AE384" s="51" t="str">
        <f>'RESUMEN TOTAL'!AN387</f>
        <v>APAGADO</v>
      </c>
      <c r="AF384" s="51" t="str">
        <f>'RESUMEN TOTAL'!AO387</f>
        <v>APAGADO</v>
      </c>
      <c r="AG384" s="51" t="str">
        <f>'RESUMEN TOTAL'!AP387</f>
        <v>APAGADO</v>
      </c>
      <c r="AH384" s="51">
        <f>'RESUMEN TOTAL'!AQ387</f>
        <v>0</v>
      </c>
      <c r="AI384" s="51">
        <f>'RESUMEN TOTAL'!AR387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>
        <f>'RESUMEN TOTAL'!O388</f>
        <v>0</v>
      </c>
      <c r="G385" s="51">
        <f>'RESUMEN TOTAL'!P388</f>
        <v>0</v>
      </c>
      <c r="H385" s="51">
        <f>'RESUMEN TOTAL'!Q388</f>
        <v>0</v>
      </c>
      <c r="I385" s="51">
        <f>'RESUMEN TOTAL'!R388</f>
        <v>0</v>
      </c>
      <c r="J385" s="51">
        <f>'RESUMEN TOTAL'!S388</f>
        <v>0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 t="str">
        <f>'RESUMEN TOTAL'!AE388</f>
        <v>APAGADO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 t="str">
        <f>'RESUMEN TOTAL'!AI388</f>
        <v>APAGADO</v>
      </c>
      <c r="AA385" s="51" t="str">
        <f>'RESUMEN TOTAL'!AJ388</f>
        <v>APAGADO</v>
      </c>
      <c r="AB385" s="51" t="str">
        <f>'RESUMEN TOTAL'!AK388</f>
        <v>APAGADO</v>
      </c>
      <c r="AC385" s="51" t="str">
        <f>'RESUMEN TOTAL'!AL388</f>
        <v>APAGADO</v>
      </c>
      <c r="AD385" s="51" t="str">
        <f>'RESUMEN TOTAL'!AM388</f>
        <v>APAGADO</v>
      </c>
      <c r="AE385" s="51" t="str">
        <f>'RESUMEN TOTAL'!AN388</f>
        <v>APAGADO</v>
      </c>
      <c r="AF385" s="51" t="str">
        <f>'RESUMEN TOTAL'!AO388</f>
        <v>APAGADO</v>
      </c>
      <c r="AG385" s="51" t="str">
        <f>'RESUMEN TOTAL'!AP388</f>
        <v>APAGADO</v>
      </c>
      <c r="AH385" s="51">
        <f>'RESUMEN TOTAL'!AQ388</f>
        <v>0</v>
      </c>
      <c r="AI385" s="51">
        <f>'RESUMEN TOTAL'!AR388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 t="str">
        <f>'RESUMEN TOTAL'!AE389</f>
        <v>APAGADO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 t="str">
        <f>'RESUMEN TOTAL'!AE390</f>
        <v>APAGADO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 t="str">
        <f>'RESUMEN TOTAL'!AE391</f>
        <v>APAGADO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 t="str">
        <f>'RESUMEN TOTAL'!AE392</f>
        <v>APAGADO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 t="str">
        <f>'RESUMEN TOTAL'!AE393</f>
        <v>APAGADO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 t="str">
        <f>'RESUMEN TOTAL'!AE394</f>
        <v>APAGADO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 t="str">
        <f>'RESUMEN TOTAL'!AE395</f>
        <v>APAGADO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 t="str">
        <f>'RESUMEN TOTAL'!AE396</f>
        <v>APAGADO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F376" activePane="bottomRight" state="frozen"/>
      <selection pane="topRight" activeCell="F1" sqref="F1"/>
      <selection pane="bottomLeft" activeCell="A3" sqref="A3"/>
      <selection pane="bottomRight" activeCell="AB358" sqref="AB358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821</v>
      </c>
      <c r="F1" s="26">
        <f>COUNTIF(F3:F400, "APAGADO")</f>
        <v>35</v>
      </c>
      <c r="G1" s="26">
        <f t="shared" ref="G1:AI1" si="0">COUNTIF(G3:G400, "APAGADO")</f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71</v>
      </c>
      <c r="W1" s="26">
        <f t="shared" si="0"/>
        <v>30</v>
      </c>
      <c r="X1" s="26">
        <f t="shared" si="0"/>
        <v>27</v>
      </c>
      <c r="Y1" s="26">
        <f t="shared" si="0"/>
        <v>24</v>
      </c>
      <c r="Z1" s="26">
        <f t="shared" si="0"/>
        <v>23</v>
      </c>
      <c r="AA1" s="26">
        <f t="shared" si="0"/>
        <v>25</v>
      </c>
      <c r="AB1" s="26">
        <f t="shared" si="0"/>
        <v>35</v>
      </c>
      <c r="AC1" s="26">
        <f t="shared" si="0"/>
        <v>36</v>
      </c>
      <c r="AD1" s="26">
        <f t="shared" si="0"/>
        <v>38</v>
      </c>
      <c r="AE1" s="26">
        <f t="shared" si="0"/>
        <v>40</v>
      </c>
      <c r="AF1" s="26">
        <f t="shared" si="0"/>
        <v>55</v>
      </c>
      <c r="AG1" s="26">
        <f t="shared" si="0"/>
        <v>50</v>
      </c>
      <c r="AH1" s="26">
        <f t="shared" si="0"/>
        <v>0</v>
      </c>
      <c r="AI1" s="26">
        <f t="shared" si="0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44743</v>
      </c>
      <c r="G2" s="56">
        <f>ESTADISTICA!G1</f>
        <v>44744</v>
      </c>
      <c r="H2" s="56">
        <f>ESTADISTICA!H1</f>
        <v>44745</v>
      </c>
      <c r="I2" s="56">
        <f>ESTADISTICA!I1</f>
        <v>44746</v>
      </c>
      <c r="J2" s="56">
        <f>ESTADISTICA!J1</f>
        <v>44747</v>
      </c>
      <c r="K2" s="56">
        <f>ESTADISTICA!K1</f>
        <v>44748</v>
      </c>
      <c r="L2" s="56">
        <f>ESTADISTICA!L1</f>
        <v>44749</v>
      </c>
      <c r="M2" s="56">
        <f>ESTADISTICA!M1</f>
        <v>44750</v>
      </c>
      <c r="N2" s="56">
        <f>ESTADISTICA!N1</f>
        <v>44751</v>
      </c>
      <c r="O2" s="56">
        <f>ESTADISTICA!O1</f>
        <v>44752</v>
      </c>
      <c r="P2" s="56">
        <f>ESTADISTICA!P1</f>
        <v>44753</v>
      </c>
      <c r="Q2" s="56">
        <f>ESTADISTICA!Q1</f>
        <v>44754</v>
      </c>
      <c r="R2" s="56">
        <f>ESTADISTICA!R1</f>
        <v>44755</v>
      </c>
      <c r="S2" s="56">
        <f>ESTADISTICA!S1</f>
        <v>44756</v>
      </c>
      <c r="T2" s="56">
        <f>ESTADISTICA!T1</f>
        <v>44757</v>
      </c>
      <c r="U2" s="56">
        <f>ESTADISTICA!U1</f>
        <v>44758</v>
      </c>
      <c r="V2" s="56">
        <f>ESTADISTICA!V1</f>
        <v>44759</v>
      </c>
      <c r="W2" s="56">
        <f>ESTADISTICA!W1</f>
        <v>44760</v>
      </c>
      <c r="X2" s="56">
        <f>ESTADISTICA!X1</f>
        <v>44761</v>
      </c>
      <c r="Y2" s="56">
        <f>ESTADISTICA!Y1</f>
        <v>44762</v>
      </c>
      <c r="Z2" s="56">
        <f>ESTADISTICA!Z1</f>
        <v>44763</v>
      </c>
      <c r="AA2" s="56">
        <f>ESTADISTICA!AA1</f>
        <v>44764</v>
      </c>
      <c r="AB2" s="56">
        <f>ESTADISTICA!AB1</f>
        <v>44765</v>
      </c>
      <c r="AC2" s="56">
        <f>ESTADISTICA!AC1</f>
        <v>44766</v>
      </c>
      <c r="AD2" s="56">
        <f>ESTADISTICA!AD1</f>
        <v>44767</v>
      </c>
      <c r="AE2" s="56">
        <f>ESTADISTICA!AE1</f>
        <v>44768</v>
      </c>
      <c r="AF2" s="56">
        <f>ESTADISTICA!AF1</f>
        <v>44769</v>
      </c>
      <c r="AG2" s="56">
        <f>ESTADISTICA!AG1</f>
        <v>44770</v>
      </c>
      <c r="AH2" s="56">
        <f>ESTADISTICA!AH1</f>
        <v>44771</v>
      </c>
      <c r="AI2" s="56">
        <f>ESTADISTICA!AI1</f>
        <v>44772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 t="str">
        <f>ESTADISTICA!AB13</f>
        <v>APAGADO</v>
      </c>
      <c r="AC14">
        <f>ESTADISTICA!AC13</f>
        <v>0</v>
      </c>
      <c r="AD14" t="str">
        <f>ESTADISTICA!AD13</f>
        <v>APAGADO</v>
      </c>
      <c r="AE14" t="str">
        <f>ESTADISTICA!AE13</f>
        <v>APAGADO</v>
      </c>
      <c r="AF14" t="str">
        <f>ESTADISTICA!AF13</f>
        <v>APAGADO</v>
      </c>
      <c r="AG14">
        <f>ESTADISTICA!AG13</f>
        <v>0</v>
      </c>
      <c r="AH14"/>
      <c r="AI14"/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 t="str">
        <f>ESTADISTICA!AE19</f>
        <v>APAGADO</v>
      </c>
      <c r="AF20" t="str">
        <f>ESTADISTICA!AF19</f>
        <v>APAGADO</v>
      </c>
      <c r="AG20" t="str">
        <f>ESTADISTICA!AG19</f>
        <v>APAGADO</v>
      </c>
      <c r="AH20"/>
      <c r="AI20"/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/>
      <c r="AI27"/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 t="str">
        <f>ESTADISTICA!AD31</f>
        <v>APAGADO</v>
      </c>
      <c r="AE32" t="str">
        <f>ESTADISTICA!AE31</f>
        <v>APAGADO</v>
      </c>
      <c r="AF32" t="str">
        <f>ESTADISTICA!AF31</f>
        <v>APAGADO</v>
      </c>
      <c r="AG32" t="str">
        <f>ESTADISTICA!AG31</f>
        <v>APAGADO</v>
      </c>
      <c r="AH32"/>
      <c r="AI32"/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 t="str">
        <f>ESTADISTICA!V33</f>
        <v>APAGADO</v>
      </c>
      <c r="W34" t="str">
        <f>ESTADISTICA!W33</f>
        <v>APAGADO</v>
      </c>
      <c r="X34" t="str">
        <f>ESTADISTICA!X33</f>
        <v>APAGADO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 t="str">
        <f>ESTADISTICA!AB50</f>
        <v>APAGADO</v>
      </c>
      <c r="AC51" t="str">
        <f>ESTADISTICA!AC50</f>
        <v>APAGADO</v>
      </c>
      <c r="AD51" t="str">
        <f>ESTADISTICA!AD50</f>
        <v>APAGADO</v>
      </c>
      <c r="AE51" t="str">
        <f>ESTADISTICA!AE50</f>
        <v>APAGADO</v>
      </c>
      <c r="AF51" t="str">
        <f>ESTADISTICA!AF50</f>
        <v>APAGADO</v>
      </c>
      <c r="AG51" t="str">
        <f>ESTADISTICA!AG50</f>
        <v>APAGADO</v>
      </c>
      <c r="AH51"/>
      <c r="AI51"/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EspaÃ±a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EspaÃ±a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EspaÃ±a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 t="str">
        <f>ESTADISTICA!AF67</f>
        <v>APAGADO</v>
      </c>
      <c r="AG68" t="str">
        <f>ESTADISTICA!AG67</f>
        <v>APAGADO</v>
      </c>
      <c r="AH68"/>
      <c r="AI68"/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 t="str">
        <f>ESTADISTICA!AG88</f>
        <v>APAGADO</v>
      </c>
      <c r="AH89" s="51">
        <f>ESTADISTICA!AH88</f>
        <v>0</v>
      </c>
      <c r="AI89" s="51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 t="str">
        <f>ESTADISTICA!AF93</f>
        <v>APAGADO</v>
      </c>
      <c r="AG94" t="str">
        <f>ESTADISTICA!AG93</f>
        <v>APAGADO</v>
      </c>
      <c r="AH94"/>
      <c r="AI94"/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 t="str">
        <f>ESTADISTICA!Y110</f>
        <v>APAGADO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 t="str">
        <f>ESTADISTICA!V117</f>
        <v>APAGADO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 t="str">
        <f>ESTADISTICA!V118</f>
        <v>APAGADO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 t="str">
        <f>ESTADISTICA!AG119</f>
        <v>APAGADO</v>
      </c>
      <c r="AH120"/>
      <c r="AI120"/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 t="str">
        <f>ESTADISTICA!AC125</f>
        <v>APAGADO</v>
      </c>
      <c r="AD126" t="str">
        <f>ESTADISTICA!AD125</f>
        <v>APAGADO</v>
      </c>
      <c r="AE126" t="str">
        <f>ESTADISTICA!AE125</f>
        <v>APAGADO</v>
      </c>
      <c r="AF126" t="str">
        <f>ESTADISTICA!AF125</f>
        <v>APAGADO</v>
      </c>
      <c r="AG126" t="str">
        <f>ESTADISTICA!AG125</f>
        <v>APAGADO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 t="str">
        <f>ESTADISTICA!AG126</f>
        <v>APAGADO</v>
      </c>
      <c r="AH127" s="51">
        <f>ESTADISTICA!AH126</f>
        <v>0</v>
      </c>
      <c r="AI127" s="51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 t="str">
        <f>ESTADISTICA!AF131</f>
        <v>APAGADO</v>
      </c>
      <c r="AG132" t="str">
        <f>ESTADISTICA!AG131</f>
        <v>APAGADO</v>
      </c>
      <c r="AH132"/>
      <c r="AI132"/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 t="str">
        <f>ESTADISTICA!AC132</f>
        <v>APAGADO</v>
      </c>
      <c r="AD133">
        <f>ESTADISTICA!AD132</f>
        <v>0</v>
      </c>
      <c r="AE133">
        <f>ESTADISTICA!AE132</f>
        <v>0</v>
      </c>
      <c r="AF133">
        <f>ESTADISTICA!AF132</f>
        <v>0</v>
      </c>
      <c r="AG133" t="str">
        <f>ESTADISTICA!AG132</f>
        <v>APAGADO</v>
      </c>
      <c r="AH133"/>
      <c r="AI133"/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 t="str">
        <f>ESTADISTICA!AA134</f>
        <v>APAGADO</v>
      </c>
      <c r="AB135" t="str">
        <f>ESTADISTICA!AB134</f>
        <v>APAGADO</v>
      </c>
      <c r="AC135" t="str">
        <f>ESTADISTICA!AC134</f>
        <v>APAGADO</v>
      </c>
      <c r="AD135" t="str">
        <f>ESTADISTICA!AD134</f>
        <v>APAGADO</v>
      </c>
      <c r="AE135" t="str">
        <f>ESTADISTICA!AE134</f>
        <v>APAGADO</v>
      </c>
      <c r="AF135" t="str">
        <f>ESTADISTICA!AF134</f>
        <v>APAGADO</v>
      </c>
      <c r="AG135" t="str">
        <f>ESTADISTICA!AG134</f>
        <v>APAGADO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 t="str">
        <f>ESTADISTICA!AB138</f>
        <v>APAGADO</v>
      </c>
      <c r="AC139" t="str">
        <f>ESTADISTICA!AC138</f>
        <v>APAGADO</v>
      </c>
      <c r="AD139" t="str">
        <f>ESTADISTICA!AD138</f>
        <v>APAGADO</v>
      </c>
      <c r="AE139" t="str">
        <f>ESTADISTICA!AE138</f>
        <v>APAGADO</v>
      </c>
      <c r="AF139" t="str">
        <f>ESTADISTICA!AF138</f>
        <v>APAGADO</v>
      </c>
      <c r="AG139" t="str">
        <f>ESTADISTICA!AG138</f>
        <v>APAGADO</v>
      </c>
      <c r="AH139" s="51">
        <f>ESTADISTICA!AH138</f>
        <v>0</v>
      </c>
      <c r="AI139" s="51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 t="str">
        <f>ESTADISTICA!AE139</f>
        <v>APAGADO</v>
      </c>
      <c r="AF140" t="str">
        <f>ESTADISTICA!AF139</f>
        <v>APAGADO</v>
      </c>
      <c r="AG140" t="str">
        <f>ESTADISTICA!AG139</f>
        <v>APAGADO</v>
      </c>
      <c r="AH140"/>
      <c r="AI140"/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 t="str">
        <f>ESTADISTICA!AB140</f>
        <v>APAGADO</v>
      </c>
      <c r="AC141" t="str">
        <f>ESTADISTICA!AC140</f>
        <v>APAGADO</v>
      </c>
      <c r="AD141" t="str">
        <f>ESTADISTICA!AD140</f>
        <v>APAGADO</v>
      </c>
      <c r="AE141" t="str">
        <f>ESTADISTICA!AE140</f>
        <v>APAGADO</v>
      </c>
      <c r="AF141" t="str">
        <f>ESTADISTICA!AF140</f>
        <v>APAGADO</v>
      </c>
      <c r="AG141" t="str">
        <f>ESTADISTICA!AG140</f>
        <v>APAGADO</v>
      </c>
      <c r="AH141"/>
      <c r="AI141"/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 t="str">
        <f>ESTADISTICA!AF145</f>
        <v>APAGADO</v>
      </c>
      <c r="AG146">
        <f>ESTADISTICA!AG145</f>
        <v>0</v>
      </c>
      <c r="AH146"/>
      <c r="AI146"/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 t="str">
        <f>ESTADISTICA!AF146</f>
        <v>APAGADO</v>
      </c>
      <c r="AG147">
        <f>ESTADISTICA!AG146</f>
        <v>0</v>
      </c>
      <c r="AH147"/>
      <c r="AI147"/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 t="str">
        <f>ESTADISTICA!AF147</f>
        <v>APAGADO</v>
      </c>
      <c r="AG148">
        <f>ESTADISTICA!AG147</f>
        <v>0</v>
      </c>
      <c r="AH148"/>
      <c r="AI148"/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  <c r="AH164"/>
      <c r="AI164"/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 t="str">
        <f>ESTADISTICA!AE164</f>
        <v>APAGADO</v>
      </c>
      <c r="AF165">
        <f>ESTADISTICA!AF164</f>
        <v>0</v>
      </c>
      <c r="AG165">
        <f>ESTADISTICA!AG164</f>
        <v>0</v>
      </c>
      <c r="AH165"/>
      <c r="AI165"/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  <c r="AH189" s="51">
        <f>ESTADISTICA!AH188</f>
        <v>0</v>
      </c>
      <c r="AI189" s="51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3">
      <c r="A192" t="str">
        <f>ESTADISTICA!A191</f>
        <v>9 DE JULIO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 t="str">
        <f>ESTADISTICA!AF194</f>
        <v>APAGADO</v>
      </c>
      <c r="AG195" t="str">
        <f>ESTADISTICA!AG194</f>
        <v>APAGADO</v>
      </c>
      <c r="AH195"/>
      <c r="AI195"/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 t="str">
        <f>ESTADISTICA!AF195</f>
        <v>APAGADO</v>
      </c>
      <c r="AG196" t="str">
        <f>ESTADISTICA!AG195</f>
        <v>APAGADO</v>
      </c>
      <c r="AH196"/>
      <c r="AI196"/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 t="str">
        <f>ESTADISTICA!AE204</f>
        <v>APAGADO</v>
      </c>
      <c r="AF205">
        <f>ESTADISTICA!AF204</f>
        <v>0</v>
      </c>
      <c r="AG205">
        <f>ESTADISTICA!AG204</f>
        <v>0</v>
      </c>
      <c r="AH205"/>
      <c r="AI205"/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 t="str">
        <f>ESTADISTICA!AD205</f>
        <v>APAGADO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 t="str">
        <f>ESTADISTICA!AG207</f>
        <v>APAGADO</v>
      </c>
      <c r="AH208"/>
      <c r="AI208"/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 t="str">
        <f>ESTADISTICA!AF208</f>
        <v>APAGADO</v>
      </c>
      <c r="AG209" t="str">
        <f>ESTADISTICA!AG208</f>
        <v>APAGADO</v>
      </c>
      <c r="AH209" s="51">
        <f>ESTADISTICA!AH208</f>
        <v>0</v>
      </c>
      <c r="AI209" s="51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 t="str">
        <f>ESTADISTICA!AF209</f>
        <v>APAGADO</v>
      </c>
      <c r="AG210" t="str">
        <f>ESTADISTICA!AG209</f>
        <v>APAGADO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 t="str">
        <f>ESTADISTICA!AG212</f>
        <v>APAGADO</v>
      </c>
      <c r="AH213"/>
      <c r="AI213"/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 t="str">
        <f>ESTADISTICA!AE213</f>
        <v>APAGADO</v>
      </c>
      <c r="AF214" t="str">
        <f>ESTADISTICA!AF213</f>
        <v>APAGADO</v>
      </c>
      <c r="AG214" t="str">
        <f>ESTADISTICA!AG213</f>
        <v>APAGADO</v>
      </c>
      <c r="AH214"/>
      <c r="AI214"/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 t="str">
        <f>ESTADISTICA!AD214</f>
        <v>APAGADO</v>
      </c>
      <c r="AE215" t="str">
        <f>ESTADISTICA!AE214</f>
        <v>APAGADO</v>
      </c>
      <c r="AF215" t="str">
        <f>ESTADISTICA!AF214</f>
        <v>APAGADO</v>
      </c>
      <c r="AG215" t="str">
        <f>ESTADISTICA!AG214</f>
        <v>APAGADO</v>
      </c>
      <c r="AH215"/>
      <c r="AI215"/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 t="str">
        <f>ESTADISTICA!V217</f>
        <v>APAGADO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 t="str">
        <f>ESTADISTICA!AE217</f>
        <v>APAGADO</v>
      </c>
      <c r="AF218">
        <f>ESTADISTICA!AF217</f>
        <v>0</v>
      </c>
      <c r="AG218">
        <f>ESTADISTICA!AG217</f>
        <v>0</v>
      </c>
      <c r="AH218"/>
      <c r="AI218"/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 t="str">
        <f>ESTADISTICA!AE218</f>
        <v>APAGADO</v>
      </c>
      <c r="AF219">
        <f>ESTADISTICA!AF218</f>
        <v>0</v>
      </c>
      <c r="AG219">
        <f>ESTADISTICA!AG218</f>
        <v>0</v>
      </c>
      <c r="AH219"/>
      <c r="AI219"/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 t="str">
        <f>ESTADISTICA!AD219</f>
        <v>APAGADO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 t="str">
        <f>ESTADISTICA!AG220</f>
        <v>APAGADO</v>
      </c>
      <c r="AH221"/>
      <c r="AI221"/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 t="str">
        <f>ESTADISTICA!AF222</f>
        <v>APAGADO</v>
      </c>
      <c r="AG223" t="str">
        <f>ESTADISTICA!AG222</f>
        <v>APAGADO</v>
      </c>
      <c r="AH223"/>
      <c r="AI223"/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 t="str">
        <f>ESTADISTICA!W245</f>
        <v>APAGADO</v>
      </c>
      <c r="X246" t="str">
        <f>ESTADISTICA!X245</f>
        <v>APAGADO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 t="str">
        <f>ESTADISTICA!AF251</f>
        <v>APAGADO</v>
      </c>
      <c r="AG252" t="str">
        <f>ESTADISTICA!AG251</f>
        <v>APAGADO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 t="str">
        <f>ESTADISTICA!AF252</f>
        <v>APAGADO</v>
      </c>
      <c r="AG253" t="str">
        <f>ESTADISTICA!AG252</f>
        <v>APAGADO</v>
      </c>
      <c r="AH253"/>
      <c r="AI253"/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 t="str">
        <f>ESTADISTICA!Y269</f>
        <v>APAGADO</v>
      </c>
      <c r="Z270" t="str">
        <f>ESTADISTICA!Z269</f>
        <v>APAGADO</v>
      </c>
      <c r="AA270" t="str">
        <f>ESTADISTICA!AA269</f>
        <v>APAGADO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 t="str">
        <f>ESTADISTICA!AC272</f>
        <v>APAGADO</v>
      </c>
      <c r="AD273">
        <f>ESTADISTICA!AD272</f>
        <v>0</v>
      </c>
      <c r="AE273" t="str">
        <f>ESTADISTICA!AE272</f>
        <v>APAGADO</v>
      </c>
      <c r="AF273">
        <f>ESTADISTICA!AF272</f>
        <v>0</v>
      </c>
      <c r="AG273">
        <f>ESTADISTICA!AG272</f>
        <v>0</v>
      </c>
      <c r="AH273"/>
      <c r="AI273"/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 t="str">
        <f>ESTADISTICA!AF274</f>
        <v>APAGADO</v>
      </c>
      <c r="AG275" t="str">
        <f>ESTADISTICA!AG274</f>
        <v>APAGADO</v>
      </c>
      <c r="AH275"/>
      <c r="AI275"/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 t="str">
        <f>ESTADISTICA!AF275</f>
        <v>APAGADO</v>
      </c>
      <c r="AG276" t="str">
        <f>ESTADISTICA!AG275</f>
        <v>APAGADO</v>
      </c>
      <c r="AH276"/>
      <c r="AI276"/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 t="str">
        <f>ESTADISTICA!AG276</f>
        <v>APAGADO</v>
      </c>
      <c r="AH277"/>
      <c r="AI277"/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 t="str">
        <f>ESTADISTICA!AF277</f>
        <v>APAGADO</v>
      </c>
      <c r="AG278" t="str">
        <f>ESTADISTICA!AG277</f>
        <v>APAGADO</v>
      </c>
      <c r="AH278"/>
      <c r="AI278"/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>
        <f>ESTADISTICA!AE278</f>
        <v>0</v>
      </c>
      <c r="AF279" t="str">
        <f>ESTADISTICA!AF278</f>
        <v>APAGADO</v>
      </c>
      <c r="AG279" t="str">
        <f>ESTADISTICA!AG278</f>
        <v>APAGADO</v>
      </c>
      <c r="AH279" s="51">
        <f>ESTADISTICA!AH278</f>
        <v>0</v>
      </c>
      <c r="AI279" s="51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 t="str">
        <f>ESTADISTICA!V280</f>
        <v>APAGADO</v>
      </c>
      <c r="W281" t="str">
        <f>ESTADISTICA!W280</f>
        <v>APAGADO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 t="str">
        <f>ESTADISTICA!AE286</f>
        <v>APAGADO</v>
      </c>
      <c r="AF287" t="str">
        <f>ESTADISTICA!AF286</f>
        <v>APAGADO</v>
      </c>
      <c r="AG287" t="str">
        <f>ESTADISTICA!AG286</f>
        <v>APAGADO</v>
      </c>
      <c r="AH287"/>
      <c r="AI287"/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 t="str">
        <f>ESTADISTICA!AB287</f>
        <v>APAGADO</v>
      </c>
      <c r="AC288" t="str">
        <f>ESTADISTICA!AC287</f>
        <v>APAGADO</v>
      </c>
      <c r="AD288" t="str">
        <f>ESTADISTICA!AD287</f>
        <v>APAGADO</v>
      </c>
      <c r="AE288" t="str">
        <f>ESTADISTICA!AE287</f>
        <v>APAGADO</v>
      </c>
      <c r="AF288" t="str">
        <f>ESTADISTICA!AF287</f>
        <v>APAGADO</v>
      </c>
      <c r="AG288" t="str">
        <f>ESTADISTICA!AG287</f>
        <v>APAGADO</v>
      </c>
      <c r="AH288"/>
      <c r="AI288"/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 t="str">
        <f>ESTADISTICA!AE288</f>
        <v>APAGADO</v>
      </c>
      <c r="AF289" t="str">
        <f>ESTADISTICA!AF288</f>
        <v>APAGADO</v>
      </c>
      <c r="AG289" t="str">
        <f>ESTADISTICA!AG288</f>
        <v>APAGADO</v>
      </c>
      <c r="AH289"/>
      <c r="AI289"/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 t="str">
        <f>ESTADISTICA!AB289</f>
        <v>APAGADO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 t="str">
        <f>ESTADISTICA!AG289</f>
        <v>APAGADO</v>
      </c>
      <c r="AH290"/>
      <c r="AI290"/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 t="str">
        <f>ESTADISTICA!AF292</f>
        <v>APAGADO</v>
      </c>
      <c r="AG293">
        <f>ESTADISTICA!AG292</f>
        <v>0</v>
      </c>
      <c r="AH293"/>
      <c r="AI293"/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 t="str">
        <f>ESTADISTICA!AF295</f>
        <v>APAGADO</v>
      </c>
      <c r="AG296">
        <f>ESTADISTICA!AG295</f>
        <v>0</v>
      </c>
      <c r="AH296"/>
      <c r="AI296"/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 t="str">
        <f>ESTADISTICA!V296</f>
        <v>APAGADO</v>
      </c>
      <c r="W297" t="str">
        <f>ESTADISTICA!W296</f>
        <v>APAGADO</v>
      </c>
      <c r="X297" t="str">
        <f>ESTADISTICA!X296</f>
        <v>APAGADO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 t="str">
        <f>ESTADISTICA!AF296</f>
        <v>APAGADO</v>
      </c>
      <c r="AG297" t="str">
        <f>ESTADISTICA!AG296</f>
        <v>APAGADO</v>
      </c>
      <c r="AH297"/>
      <c r="AI297"/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 t="str">
        <f>ESTADISTICA!AG297</f>
        <v>APAGADO</v>
      </c>
      <c r="AH298"/>
      <c r="AI298"/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 t="str">
        <f>ESTADISTICA!AF299</f>
        <v>APAGADO</v>
      </c>
      <c r="AG300" t="str">
        <f>ESTADISTICA!AG299</f>
        <v>APAGADO</v>
      </c>
      <c r="AH300"/>
      <c r="AI300"/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 t="str">
        <f>ESTADISTICA!AF300</f>
        <v>APAGADO</v>
      </c>
      <c r="AG301">
        <f>ESTADISTICA!AG300</f>
        <v>0</v>
      </c>
      <c r="AH301"/>
      <c r="AI301"/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 t="str">
        <f>ESTADISTICA!AF324</f>
        <v>APAGADO</v>
      </c>
      <c r="AG325" t="str">
        <f>ESTADISTICA!AG324</f>
        <v>APAGADO</v>
      </c>
      <c r="AH325"/>
      <c r="AI325"/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 t="str">
        <f>ESTADISTICA!AC325</f>
        <v>APAGADO</v>
      </c>
      <c r="AD326" t="str">
        <f>ESTADISTICA!AD325</f>
        <v>APAGADO</v>
      </c>
      <c r="AE326" t="str">
        <f>ESTADISTICA!AE325</f>
        <v>APAGADO</v>
      </c>
      <c r="AF326" t="str">
        <f>ESTADISTICA!AF325</f>
        <v>APAGADO</v>
      </c>
      <c r="AG326" t="str">
        <f>ESTADISTICA!AG325</f>
        <v>APAGADO</v>
      </c>
      <c r="AH326"/>
      <c r="AI326"/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 t="str">
        <f>ESTADISTICA!V333</f>
        <v>APAGADO</v>
      </c>
      <c r="W334" t="str">
        <f>ESTADISTICA!W333</f>
        <v>APAGADO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 t="str">
        <f>ESTADISTICA!V343</f>
        <v>APAGADO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PueyrredÃ³n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PerÃ³n y Lavalle</v>
      </c>
      <c r="D346" t="str">
        <f>ESTADISTICA!D345</f>
        <v>f</v>
      </c>
      <c r="E346" t="str">
        <f>ESTADISTICA!E345</f>
        <v>PTO A FO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 t="str">
        <f>ESTADISTICA!AF349</f>
        <v>APAGADO</v>
      </c>
      <c r="AG350">
        <f>ESTADISTICA!AG349</f>
        <v>0</v>
      </c>
      <c r="AH350"/>
      <c r="AI350"/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 t="str">
        <f>ESTADISTICA!AG358</f>
        <v>APAGADO</v>
      </c>
      <c r="AH359"/>
      <c r="AI359"/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 t="str">
        <f>ESTADISTICA!AG359</f>
        <v>APAGADO</v>
      </c>
      <c r="AH360"/>
      <c r="AI360"/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 t="str">
        <f>ESTADISTICA!V372</f>
        <v>APAGADO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>APAGADO</v>
      </c>
      <c r="W376">
        <f>ESTADISTICA!W375</f>
        <v>0</v>
      </c>
      <c r="X376">
        <f>ESTADISTICA!X375</f>
        <v>0</v>
      </c>
      <c r="Y376" t="str">
        <f>ESTADISTICA!Y375</f>
        <v>APAGADO</v>
      </c>
      <c r="Z376" t="str">
        <f>ESTADISTICA!Z375</f>
        <v>APAGADO</v>
      </c>
      <c r="AA376" t="str">
        <f>ESTADISTICA!AA375</f>
        <v>APAGADO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 t="str">
        <f>ESTADISTICA!V376</f>
        <v>APAGADO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 t="str">
        <f>ESTADISTICA!V377</f>
        <v>APAGADO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  <row r="380" spans="1:35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 t="str">
        <f>ESTADISTICA!V379</f>
        <v>APAGADO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</row>
    <row r="381" spans="1:35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 t="str">
        <f>ESTADISTICA!V380</f>
        <v>APAGADO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</row>
    <row r="382" spans="1:35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 t="str">
        <f>ESTADISTICA!V381</f>
        <v>APAGADO</v>
      </c>
      <c r="W382" s="51">
        <f>ESTADISTICA!W381</f>
        <v>0</v>
      </c>
      <c r="X382" s="51">
        <f>ESTADISTICA!X381</f>
        <v>0</v>
      </c>
      <c r="Y382" s="51" t="str">
        <f>ESTADISTICA!Y381</f>
        <v>APAGADO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>
        <f>ESTADISTICA!F382</f>
        <v>0</v>
      </c>
      <c r="G383" s="51">
        <f>ESTADISTICA!G382</f>
        <v>0</v>
      </c>
      <c r="H383" s="51">
        <f>ESTADISTICA!H382</f>
        <v>0</v>
      </c>
      <c r="I383" s="51">
        <f>ESTADISTICA!I382</f>
        <v>0</v>
      </c>
      <c r="J383" s="51">
        <f>ESTADISTICA!J382</f>
        <v>0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 t="str">
        <f>ESTADISTICA!V382</f>
        <v>APAGADO</v>
      </c>
      <c r="W383" s="51">
        <f>ESTADISTICA!W382</f>
        <v>0</v>
      </c>
      <c r="X383" s="51">
        <f>ESTADISTICA!X382</f>
        <v>0</v>
      </c>
      <c r="Y383" s="51" t="str">
        <f>ESTADISTICA!Y382</f>
        <v>APAGADO</v>
      </c>
      <c r="Z383" s="51" t="str">
        <f>ESTADISTICA!Z382</f>
        <v>APAGADO</v>
      </c>
      <c r="AA383" s="51" t="str">
        <f>ESTADISTICA!AA382</f>
        <v>APAGADO</v>
      </c>
      <c r="AB383" s="51" t="str">
        <f>ESTADISTICA!AB382</f>
        <v>APAGADO</v>
      </c>
      <c r="AC383" s="51" t="str">
        <f>ESTADISTICA!AC382</f>
        <v>APAGADO</v>
      </c>
      <c r="AD383" s="51" t="str">
        <f>ESTADISTICA!AD382</f>
        <v>APAGADO</v>
      </c>
      <c r="AE383" s="51" t="str">
        <f>ESTADISTICA!AE382</f>
        <v>APAGADO</v>
      </c>
      <c r="AF383" s="51" t="str">
        <f>ESTADISTICA!AF382</f>
        <v>APAGADO</v>
      </c>
      <c r="AG383" s="51" t="str">
        <f>ESTADISTICA!AG382</f>
        <v>APAGADO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>
        <f>ESTADISTICA!F383</f>
        <v>0</v>
      </c>
      <c r="G384" s="51">
        <f>ESTADISTICA!G383</f>
        <v>0</v>
      </c>
      <c r="H384" s="51">
        <f>ESTADISTICA!H383</f>
        <v>0</v>
      </c>
      <c r="I384" s="51">
        <f>ESTADISTICA!I383</f>
        <v>0</v>
      </c>
      <c r="J384" s="51">
        <f>ESTADISTICA!J383</f>
        <v>0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 t="str">
        <f>ESTADISTICA!V383</f>
        <v>APAGADO</v>
      </c>
      <c r="W384" s="51">
        <f>ESTADISTICA!W383</f>
        <v>0</v>
      </c>
      <c r="X384" s="51">
        <f>ESTADISTICA!X383</f>
        <v>0</v>
      </c>
      <c r="Y384" s="51" t="str">
        <f>ESTADISTICA!Y383</f>
        <v>APAGADO</v>
      </c>
      <c r="Z384" s="51" t="str">
        <f>ESTADISTICA!Z383</f>
        <v>APAGADO</v>
      </c>
      <c r="AA384" s="51" t="str">
        <f>ESTADISTICA!AA383</f>
        <v>APAGADO</v>
      </c>
      <c r="AB384" s="51" t="str">
        <f>ESTADISTICA!AB383</f>
        <v>APAGADO</v>
      </c>
      <c r="AC384" s="51" t="str">
        <f>ESTADISTICA!AC383</f>
        <v>APAGADO</v>
      </c>
      <c r="AD384" s="51" t="str">
        <f>ESTADISTICA!AD383</f>
        <v>APAGADO</v>
      </c>
      <c r="AE384" s="51" t="str">
        <f>ESTADISTICA!AE383</f>
        <v>APAGADO</v>
      </c>
      <c r="AF384" s="51" t="str">
        <f>ESTADISTICA!AF383</f>
        <v>APAGADO</v>
      </c>
      <c r="AG384" s="51" t="str">
        <f>ESTADISTICA!AG383</f>
        <v>APAGADO</v>
      </c>
    </row>
    <row r="385" spans="1:33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>
        <f>ESTADISTICA!F384</f>
        <v>0</v>
      </c>
      <c r="G385" s="51">
        <f>ESTADISTICA!G384</f>
        <v>0</v>
      </c>
      <c r="H385" s="51">
        <f>ESTADISTICA!H384</f>
        <v>0</v>
      </c>
      <c r="I385" s="51">
        <f>ESTADISTICA!I384</f>
        <v>0</v>
      </c>
      <c r="J385" s="51">
        <f>ESTADISTICA!J384</f>
        <v>0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 t="str">
        <f>ESTADISTICA!V384</f>
        <v>APAGADO</v>
      </c>
      <c r="W385" s="51">
        <f>ESTADISTICA!W384</f>
        <v>0</v>
      </c>
      <c r="X385" s="51">
        <f>ESTADISTICA!X384</f>
        <v>0</v>
      </c>
      <c r="Y385" s="51" t="str">
        <f>ESTADISTICA!Y384</f>
        <v>APAGADO</v>
      </c>
      <c r="Z385" s="51" t="str">
        <f>ESTADISTICA!Z384</f>
        <v>APAGADO</v>
      </c>
      <c r="AA385" s="51" t="str">
        <f>ESTADISTICA!AA384</f>
        <v>APAGADO</v>
      </c>
      <c r="AB385" s="51" t="str">
        <f>ESTADISTICA!AB384</f>
        <v>APAGADO</v>
      </c>
      <c r="AC385" s="51" t="str">
        <f>ESTADISTICA!AC384</f>
        <v>APAGADO</v>
      </c>
      <c r="AD385" s="51" t="str">
        <f>ESTADISTICA!AD384</f>
        <v>APAGADO</v>
      </c>
      <c r="AE385" s="51" t="str">
        <f>ESTADISTICA!AE384</f>
        <v>APAGADO</v>
      </c>
      <c r="AF385" s="51" t="str">
        <f>ESTADISTICA!AF384</f>
        <v>APAGADO</v>
      </c>
      <c r="AG385" s="51" t="str">
        <f>ESTADISTICA!AG384</f>
        <v>APAGADO</v>
      </c>
    </row>
    <row r="386" spans="1:33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>
        <f>ESTADISTICA!F385</f>
        <v>0</v>
      </c>
      <c r="G386" s="51">
        <f>ESTADISTICA!G385</f>
        <v>0</v>
      </c>
      <c r="H386" s="51">
        <f>ESTADISTICA!H385</f>
        <v>0</v>
      </c>
      <c r="I386" s="51">
        <f>ESTADISTICA!I385</f>
        <v>0</v>
      </c>
      <c r="J386" s="51">
        <f>ESTADISTICA!J385</f>
        <v>0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 t="str">
        <f>ESTADISTICA!V385</f>
        <v>APAGADO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 t="str">
        <f>ESTADISTICA!Z385</f>
        <v>APAGADO</v>
      </c>
      <c r="AA386" s="51" t="str">
        <f>ESTADISTICA!AA385</f>
        <v>APAGADO</v>
      </c>
      <c r="AB386" s="51" t="str">
        <f>ESTADISTICA!AB385</f>
        <v>APAGADO</v>
      </c>
      <c r="AC386" s="51" t="str">
        <f>ESTADISTICA!AC385</f>
        <v>APAGADO</v>
      </c>
      <c r="AD386" s="51" t="str">
        <f>ESTADISTICA!AD385</f>
        <v>APAGADO</v>
      </c>
      <c r="AE386" s="51" t="str">
        <f>ESTADISTICA!AE385</f>
        <v>APAGADO</v>
      </c>
      <c r="AF386" s="51" t="str">
        <f>ESTADISTICA!AF385</f>
        <v>APAGADO</v>
      </c>
      <c r="AG386" s="51" t="str">
        <f>ESTADISTICA!AG385</f>
        <v>APAGADO</v>
      </c>
    </row>
    <row r="387" spans="1:33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 t="str">
        <f>ESTADISTICA!V386</f>
        <v>APAGADO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</row>
    <row r="388" spans="1:33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 t="str">
        <f>ESTADISTICA!V387</f>
        <v>APAGADO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</row>
    <row r="389" spans="1:33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 t="str">
        <f>ESTADISTICA!V388</f>
        <v>APAGADO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</row>
    <row r="390" spans="1:33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 t="str">
        <f>ESTADISTICA!V389</f>
        <v>APAGADO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</row>
    <row r="391" spans="1:33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 t="str">
        <f>ESTADISTICA!V390</f>
        <v>APAGADO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</row>
    <row r="392" spans="1:33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 t="str">
        <f>ESTADISTICA!V391</f>
        <v>APAGADO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</row>
    <row r="393" spans="1:33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 t="str">
        <f>ESTADISTICA!V392</f>
        <v>APAGADO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</row>
    <row r="394" spans="1:33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 t="str">
        <f>ESTADISTICA!V393</f>
        <v>APAGADO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</row>
    <row r="395" spans="1:33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</row>
    <row r="396" spans="1:33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</row>
    <row r="397" spans="1:33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</row>
    <row r="398" spans="1:33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</row>
    <row r="399" spans="1:33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</row>
    <row r="400" spans="1:33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</row>
    <row r="401" spans="1:33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</row>
  </sheetData>
  <autoFilter ref="A2:AG379" xr:uid="{2CD2C71F-307D-4E12-901F-A6B69A40CA8C}"/>
  <conditionalFormatting sqref="AH78:AI78 AH87:AI90 AH102:AI103 AH113:AI114 AH127:AI128 AH131:AI131 AH136:AI139 AH151:AI151 AH154:AI154 AH157:AI157 AH189:AI192 AH204:AI204 AH209:AI210 AH243:AI244 AH249:AI252 AH260:AI264 AH279:AI280 AH282:AI283 AH302:AI305 AH309:AI311 AH319:AI319 AH322:AI322 AH347:AI348 F3:AG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V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1190</v>
      </c>
      <c r="D1" s="49">
        <f>COUNTIFS(E4:E400,"=Fibra Optica")</f>
        <v>261</v>
      </c>
    </row>
    <row r="2" spans="1:35" ht="21" x14ac:dyDescent="0.4">
      <c r="E2" s="26" t="s">
        <v>821</v>
      </c>
      <c r="F2" s="26">
        <f>COUNTIFS(F4:F400, "=APAGADO",E4:E400,"=Fibra Optica")</f>
        <v>20</v>
      </c>
      <c r="G2" s="26">
        <f>COUNTIFS(G4:G400, "=APAGADO",E4:E400,"=Fibra Optica")</f>
        <v>19</v>
      </c>
      <c r="H2" s="26">
        <f>COUNTIFS(H4:H400, "=APAGADO",E4:E400,"=Fibra Optica")</f>
        <v>20</v>
      </c>
      <c r="I2" s="26">
        <f>COUNTIFS(I4:I400, "=APAGADO",E4:E400,"=Fibra Optica")</f>
        <v>21</v>
      </c>
      <c r="J2" s="26">
        <f>COUNTIFS(J4:J400, "=APAGADO",E4:E400,"=Fibra Optica")</f>
        <v>18</v>
      </c>
      <c r="K2" s="26">
        <f>COUNTIFS(K4:K400, "=APAGADO",E4:E400,"=Fibra Optica")</f>
        <v>0</v>
      </c>
      <c r="L2" s="26">
        <f>COUNTIFS(L4:L400, "=APAGADO",E4:E400,"=Fibra Optica")</f>
        <v>31</v>
      </c>
      <c r="M2" s="26">
        <f>COUNTIFS(M4:M400, "=APAGADO",E4:E400,"=Fibra Optica")</f>
        <v>30</v>
      </c>
      <c r="N2" s="26">
        <f>COUNTIFS(N4:N400, "=APAGADO",E4:E400,"=Fibra Optica")</f>
        <v>22</v>
      </c>
      <c r="O2" s="26">
        <f>COUNTIFS(O4:O400, "=APAGADO",E4:E400,"=Fibra Optica")</f>
        <v>19</v>
      </c>
      <c r="P2" s="26">
        <f>COUNTIFS(P4:P400, "=APAGADO",E4:E400,"=Fibra Optica")</f>
        <v>19</v>
      </c>
      <c r="Q2" s="26">
        <f>COUNTIFS(Q4:Q400, "=APAGADO",E4:E400,"=Fibra Optica")</f>
        <v>20</v>
      </c>
      <c r="R2" s="26">
        <f>COUNTIFS(R4:R400, "=APAGADO",E4:E400,"=Fibra Optica")</f>
        <v>23</v>
      </c>
      <c r="S2" s="26">
        <f>COUNTIFS(S4:S400, "=APAGADO",E4:E400,"=Fibra Optica")</f>
        <v>21</v>
      </c>
      <c r="T2" s="26">
        <f>COUNTIFS(T4:T400, "=APAGADO",E4:E400,"=Fibra Optica")</f>
        <v>19</v>
      </c>
      <c r="U2" s="26">
        <f>COUNTIFS(U4:U400, "=APAGADO",E4:E400,"=Fibra Optica")</f>
        <v>18</v>
      </c>
      <c r="V2" s="26">
        <f>COUNTIFS(V4:V400, "=APAGADO",E4:E400,"=Fibra Optica")</f>
        <v>47</v>
      </c>
      <c r="W2" s="26">
        <f>COUNTIFS(W4:W400, "=APAGADO",E4:E400,"=Fibra Optica")</f>
        <v>18</v>
      </c>
      <c r="X2" s="26">
        <f>COUNTIFS(X4:X400, "=APAGADO",E4:E400,"=Fibra Optica")</f>
        <v>16</v>
      </c>
      <c r="Y2" s="26">
        <f>COUNTIFS(Y4:Y400, "=APAGADO",E4:E400,"=Fibra Optica")</f>
        <v>17</v>
      </c>
      <c r="Z2" s="26">
        <f>COUNTIFS(Z4:Z400, "=APAGADO",E4:E400,"=Fibra Optica")</f>
        <v>16</v>
      </c>
      <c r="AA2" s="26">
        <f>COUNTIFS(AA4:AA400, "=APAGADO",E4:E400,"=Fibra Optica")</f>
        <v>16</v>
      </c>
      <c r="AB2" s="26">
        <f>COUNTIFS(AB4:AB400, "=APAGADO",E4:E400,"=Fibra Optica")</f>
        <v>24</v>
      </c>
      <c r="AC2" s="26">
        <f>COUNTIFS(AC4:AC400, "=APAGADO",E4:E400,"=Fibra Optica")</f>
        <v>23</v>
      </c>
      <c r="AD2" s="26">
        <f>COUNTIFS(AD4:AD400, "=APAGADO",E4:E400,"=Fibra Optica")</f>
        <v>27</v>
      </c>
      <c r="AE2" s="26">
        <f>COUNTIFS(AE4:AE400, "=APAGADO",E4:E400,"=Fibra Optica")</f>
        <v>29</v>
      </c>
      <c r="AF2" s="26">
        <f>COUNTIFS(AF4:AF400, "=APAGADO",E4:E400,"=Fibra Optica")</f>
        <v>38</v>
      </c>
      <c r="AG2" s="26">
        <f>COUNTIFS(AG4:AG400, "=APAGADO",E4:E400,"=Fibra Optica")</f>
        <v>34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 t="str">
        <f>ESTADISTICA!AF26</f>
        <v>APAGADO</v>
      </c>
      <c r="AG28" t="str">
        <f>ESTADISTICA!AG26</f>
        <v>APAGADO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 t="str">
        <f>ESTADISTICA!AF50</f>
        <v>APAGADO</v>
      </c>
      <c r="AG52" t="str">
        <f>ESTADISTICA!AG50</f>
        <v>APAGADO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 t="str">
        <f>ESTADISTICA!AG119</f>
        <v>APAGADO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 t="str">
        <f>ESTADISTICA!AF125</f>
        <v>APAGADO</v>
      </c>
      <c r="AG127" t="str">
        <f>ESTADISTICA!AG125</f>
        <v>APAGADO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 t="str">
        <f>ESTADISTICA!AG138</f>
        <v>APAGADO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 t="str">
        <f>ESTADISTICA!AF145</f>
        <v>APAGADO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 t="str">
        <f>ESTADISTICA!AG212</f>
        <v>APAGADO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 t="str">
        <f>ESTADISTICA!AF222</f>
        <v>APAGADO</v>
      </c>
      <c r="AG224" t="str">
        <f>ESTADISTICA!AG222</f>
        <v>APAGADO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 t="str">
        <f>ESTADISTICA!AG252</f>
        <v>APAGADO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 t="str">
        <f>ESTADISTICA!AG275</f>
        <v>APAGADO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 t="str">
        <f>ESTADISTICA!AG276</f>
        <v>APAGADO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 t="str">
        <f>ESTADISTICA!AG277</f>
        <v>APAGADO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 t="str">
        <f>ESTADISTICA!AF278</f>
        <v>APAGADO</v>
      </c>
      <c r="AG280" t="str">
        <f>ESTADISTICA!AG278</f>
        <v>APAGADO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 t="str">
        <f>ESTADISTICA!AF292</f>
        <v>APAGADO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 t="str">
        <f>ESTADISTICA!AF295</f>
        <v>APAGADO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 t="str">
        <f>ESTADISTICA!AF296</f>
        <v>APAGADO</v>
      </c>
      <c r="AG298" t="str">
        <f>ESTADISTICA!AG296</f>
        <v>APAGADO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 t="str">
        <f>ESTADISTICA!AG297</f>
        <v>APAGADO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 t="str">
        <f>ESTADISTICA!AG299</f>
        <v>APAGADO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 t="str">
        <f>ESTADISTICA!AF324</f>
        <v>APAGADO</v>
      </c>
      <c r="AG326" t="str">
        <f>ESTADISTICA!AG324</f>
        <v>APAGADO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 t="str">
        <f>ESTADISTICA!AF325</f>
        <v>APAGADO</v>
      </c>
      <c r="AG327" t="str">
        <f>ESTADISTICA!AG325</f>
        <v>APAGADO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 t="str">
        <f>ESTADISTICA!AF382</f>
        <v>APAGADO</v>
      </c>
      <c r="AG384" s="51" t="str">
        <f>ESTADISTICA!AG382</f>
        <v>APAGADO</v>
      </c>
      <c r="AH384" s="51"/>
      <c r="AI384" s="51"/>
    </row>
    <row r="385" spans="1:35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 t="str">
        <f>ESTADISTICA!AF383</f>
        <v>APAGADO</v>
      </c>
      <c r="AG385" s="51" t="str">
        <f>ESTADISTICA!AG383</f>
        <v>APAGADO</v>
      </c>
      <c r="AH385" s="51"/>
      <c r="AI385" s="51"/>
    </row>
    <row r="386" spans="1:35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 t="str">
        <f>ESTADISTICA!AF384</f>
        <v>APAGADO</v>
      </c>
      <c r="AG386" s="51" t="str">
        <f>ESTADISTICA!AG384</f>
        <v>APAGADO</v>
      </c>
      <c r="AH386" s="51"/>
      <c r="AI386" s="51"/>
    </row>
    <row r="387" spans="1:35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 t="str">
        <f>ESTADISTICA!AF385</f>
        <v>APAGADO</v>
      </c>
      <c r="AG387" s="51" t="str">
        <f>ESTADISTICA!AG385</f>
        <v>APAGADO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26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V4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1399</v>
      </c>
      <c r="D1" s="50">
        <f>COUNTIFS(E4:E400,"=PTo A FO")</f>
        <v>37</v>
      </c>
    </row>
    <row r="2" spans="1:35" ht="21" x14ac:dyDescent="0.4">
      <c r="E2" s="26" t="s">
        <v>821</v>
      </c>
      <c r="F2" s="26">
        <f>COUNTIFS(F4:F400, "=APAGADO",E4:E400,"=PTO A FO")</f>
        <v>9</v>
      </c>
      <c r="G2" s="26">
        <f>COUNTIFS(G4:G400, "=APAGADO",E4:E400,"=PTO A FO")</f>
        <v>6</v>
      </c>
      <c r="H2" s="26">
        <f>COUNTIFS(H4:H400, "=APAGADO",E4:E400,"=PTO A FO")</f>
        <v>5</v>
      </c>
      <c r="I2" s="26">
        <f>COUNTIFS(I4:I400, "=APAGADO",E4:E400,"=PTO A FO")</f>
        <v>5</v>
      </c>
      <c r="J2" s="26">
        <f>COUNTIFS(J4:J400, "=APAGADO",E4:E400,"=PTO A FO")</f>
        <v>5</v>
      </c>
      <c r="K2" s="26">
        <f>COUNTIFS(K4:K400, "=APAGADO",E4:E400,"=PTO A FO")</f>
        <v>0</v>
      </c>
      <c r="L2" s="26">
        <f>COUNTIFS(L4:L400, "=APAGADO",E4:E400,"=PTO A FO")</f>
        <v>11</v>
      </c>
      <c r="M2" s="26">
        <f>COUNTIFS(M4:M400, "=APAGADO",E4:E400,"=PTO A FO")</f>
        <v>8</v>
      </c>
      <c r="N2" s="26">
        <f>COUNTIFS(N4:N400, "=APAGADO",E4:E400,"=PTO A FO")</f>
        <v>5</v>
      </c>
      <c r="O2" s="26">
        <f>COUNTIFS(O4:O400, "=APAGADO",E4:E400,"=PTO A FO")</f>
        <v>5</v>
      </c>
      <c r="P2" s="26">
        <f>COUNTIFS(P4:P400, "=APAGADO",E4:E400,"=PTO A FO")</f>
        <v>5</v>
      </c>
      <c r="Q2" s="26">
        <f>COUNTIFS(Q4:Q400, "=APAGADO",E4:E400,"=PTO A FO")</f>
        <v>5</v>
      </c>
      <c r="R2" s="26">
        <f>COUNTIFS(R4:R400, "=APAGADO",E4:E400,"=PTO A FO")</f>
        <v>5</v>
      </c>
      <c r="S2" s="26">
        <f>COUNTIFS(S4:S400, "=APAGADO",E4:E400,"=PTO A FO")</f>
        <v>6</v>
      </c>
      <c r="T2" s="26">
        <f>COUNTIFS(T4:T400, "=APAGADO",E4:E400,"=PTO A FO")</f>
        <v>7</v>
      </c>
      <c r="U2" s="26">
        <f>COUNTIFS(U4:U400, "=APAGADO",E4:E400,"=PTO A FO")</f>
        <v>5</v>
      </c>
      <c r="V2" s="26">
        <f>COUNTIFS(V4:V400, "=APAGADO",E4:E400,"=PTO A FO")</f>
        <v>6</v>
      </c>
      <c r="W2" s="26">
        <f>COUNTIFS(W4:W400, "=APAGADO",E4:E400,"=PTO A FO")</f>
        <v>5</v>
      </c>
      <c r="X2" s="26">
        <f>COUNTIFS(X4:X400, "=APAGADO",E4:E400,"=PTO A FO")</f>
        <v>5</v>
      </c>
      <c r="Y2" s="26">
        <f>COUNTIFS(Y4:Y400, "=APAGADO",E4:E400,"=PTO A FO")</f>
        <v>3</v>
      </c>
      <c r="Z2" s="26">
        <f>COUNTIFS(Z4:Z400, "=APAGADO",E4:E400,"=PTO A FO")</f>
        <v>2</v>
      </c>
      <c r="AA2" s="26">
        <f>COUNTIFS(AA4:AA400, "=APAGADO",E4:E400,"=PTO A FO")</f>
        <v>2</v>
      </c>
      <c r="AB2" s="26">
        <f>COUNTIFS(AB4:AB400, "=APAGADO",E4:E400,"=PTO A FO")</f>
        <v>6</v>
      </c>
      <c r="AC2" s="26">
        <f>COUNTIFS(AC4:AC400, "=APAGADO",E4:E400,"=PTO A FO")</f>
        <v>6</v>
      </c>
      <c r="AD2" s="26">
        <f>COUNTIFS(AD4:AD400, "=APAGADO",E4:E400,"=PTO A FO")</f>
        <v>6</v>
      </c>
      <c r="AE2" s="26">
        <f>COUNTIFS(AE4:AE400, "=APAGADO",E4:E400,"=PTO A FO")</f>
        <v>6</v>
      </c>
      <c r="AF2" s="26">
        <f>COUNTIFS(AF4:AF400, "=APAGADO",E4:E400,"=PTO A FO")</f>
        <v>9</v>
      </c>
      <c r="AG2" s="26">
        <f>COUNTIFS(AG4:AG400, "=APAGADO",E4:E400,"=PTO A FO")</f>
        <v>8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 t="str">
        <f>ESTADISTICA!AF26</f>
        <v>APAGADO</v>
      </c>
      <c r="AG28" t="str">
        <f>ESTADISTICA!AG26</f>
        <v>APAGADO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 t="str">
        <f>ESTADISTICA!AF50</f>
        <v>APAGADO</v>
      </c>
      <c r="AG52" t="str">
        <f>ESTADISTICA!AG50</f>
        <v>APAGADO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 t="str">
        <f>ESTADISTICA!AG119</f>
        <v>APAGADO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 t="str">
        <f>ESTADISTICA!AF125</f>
        <v>APAGADO</v>
      </c>
      <c r="AG127" t="str">
        <f>ESTADISTICA!AG125</f>
        <v>APAGADO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 t="str">
        <f>ESTADISTICA!AG138</f>
        <v>APAGADO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 t="str">
        <f>ESTADISTICA!AF145</f>
        <v>APAGADO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 t="str">
        <f>ESTADISTICA!AG212</f>
        <v>APAGADO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 t="str">
        <f>ESTADISTICA!AF222</f>
        <v>APAGADO</v>
      </c>
      <c r="AG224" t="str">
        <f>ESTADISTICA!AG222</f>
        <v>APAGADO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 t="str">
        <f>ESTADISTICA!AG252</f>
        <v>APAGADO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 t="str">
        <f>ESTADISTICA!AG275</f>
        <v>APAGADO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 t="str">
        <f>ESTADISTICA!AG276</f>
        <v>APAGADO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 t="str">
        <f>ESTADISTICA!AG277</f>
        <v>APAGADO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 t="str">
        <f>ESTADISTICA!AF278</f>
        <v>APAGADO</v>
      </c>
      <c r="AG280" t="str">
        <f>ESTADISTICA!AG278</f>
        <v>APAGADO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 t="str">
        <f>ESTADISTICA!AF292</f>
        <v>APAGADO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 t="str">
        <f>ESTADISTICA!AF295</f>
        <v>APAGADO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 t="str">
        <f>ESTADISTICA!AF296</f>
        <v>APAGADO</v>
      </c>
      <c r="AG298" t="str">
        <f>ESTADISTICA!AG296</f>
        <v>APAGADO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 t="str">
        <f>ESTADISTICA!AG297</f>
        <v>APAGADO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 t="str">
        <f>ESTADISTICA!AG299</f>
        <v>APAGADO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 t="str">
        <f>ESTADISTICA!AF324</f>
        <v>APAGADO</v>
      </c>
      <c r="AG326" t="str">
        <f>ESTADISTICA!AG324</f>
        <v>APAGADO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 t="str">
        <f>ESTADISTICA!AF325</f>
        <v>APAGADO</v>
      </c>
      <c r="AG327" t="str">
        <f>ESTADISTICA!AG325</f>
        <v>APAGADO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 t="str">
        <f>ESTADISTICA!AF382</f>
        <v>APAGADO</v>
      </c>
      <c r="AG384" s="51" t="str">
        <f>ESTADISTICA!AG382</f>
        <v>APAGADO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 t="str">
        <f>ESTADISTICA!AF383</f>
        <v>APAGADO</v>
      </c>
      <c r="AG385" s="51" t="str">
        <f>ESTADISTICA!AG383</f>
        <v>APAGADO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 t="str">
        <f>ESTADISTICA!AF384</f>
        <v>APAGADO</v>
      </c>
      <c r="AG386" s="51" t="str">
        <f>ESTADISTICA!AG384</f>
        <v>APAGADO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 t="str">
        <f>ESTADISTICA!AF385</f>
        <v>APAGADO</v>
      </c>
      <c r="AG387" s="51" t="str">
        <f>ESTADISTICA!AG385</f>
        <v>APAGADO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26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1191</v>
      </c>
      <c r="D1" s="50">
        <f>COUNTIFS(E4:E400,"=radio")</f>
        <v>94</v>
      </c>
    </row>
    <row r="2" spans="1:35" ht="21" x14ac:dyDescent="0.4">
      <c r="E2" s="26" t="s">
        <v>821</v>
      </c>
      <c r="F2" s="26">
        <f>COUNTIFS(F4:F367, "=APAGADO",E4:E367,"=radio")</f>
        <v>6</v>
      </c>
      <c r="G2" s="26">
        <f>COUNTIFS(G4:G367, "=APAGADO",E4:E367,"=radio")</f>
        <v>8</v>
      </c>
      <c r="H2" s="26">
        <f>COUNTIFS(H4:H367, "=APAGADO",E4:E367,"=radio")</f>
        <v>11</v>
      </c>
      <c r="I2" s="26">
        <f>COUNTIFS(I4:I367, "=APAGADO",E4:E367,"=radio")</f>
        <v>14</v>
      </c>
      <c r="J2" s="26">
        <f>COUNTIFS(J4:J367, "=APAGADO",E4:E367,"=radio")</f>
        <v>9</v>
      </c>
      <c r="K2" s="26">
        <f>COUNTIFS(K4:K367, "=APAGADO",E4:E367,"=radio")</f>
        <v>0</v>
      </c>
      <c r="L2" s="26">
        <f>COUNTIFS(L4:L367, "=APAGADO",E4:E367,"=radio")</f>
        <v>15</v>
      </c>
      <c r="M2" s="26">
        <f>COUNTIFS(M4:M367, "=APAGADO",E4:E367,"=radio")</f>
        <v>10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7</v>
      </c>
      <c r="T2" s="26">
        <f>COUNTIFS(T4:T367, "=APAGADO",E4:E367,"=radio")</f>
        <v>7</v>
      </c>
      <c r="U2" s="26">
        <f>COUNTIFS(U4:U367, "=APAGADO",E4:E367,"=radio")</f>
        <v>5</v>
      </c>
      <c r="V2" s="26">
        <f>COUNTIFS(V4:V367, "=APAGADO",E4:E367,"=radio")</f>
        <v>10</v>
      </c>
      <c r="W2" s="26">
        <f>COUNTIFS(W4:W367, "=APAGADO",E4:E367,"=radio")</f>
        <v>7</v>
      </c>
      <c r="X2" s="26">
        <f>COUNTIFS(X4:X367, "=APAGADO",E4:E367,"=radio")</f>
        <v>6</v>
      </c>
      <c r="Y2" s="26">
        <f>COUNTIFS(Y4:Y367, "=APAGADO",E4:E367,"=radio")</f>
        <v>4</v>
      </c>
      <c r="Z2" s="26">
        <f>COUNTIFS(Z4:Z367, "=APAGADO",E4:E367,"=radio")</f>
        <v>5</v>
      </c>
      <c r="AA2" s="26">
        <f>COUNTIFS(AA4:AA367, "=APAGADO",E4:E367,"=radio")</f>
        <v>7</v>
      </c>
      <c r="AB2" s="26">
        <f>COUNTIFS(AB4:AB367, "=APAGADO",E4:E367,"=radio")</f>
        <v>5</v>
      </c>
      <c r="AC2" s="26">
        <f>COUNTIFS(AC4:AC367, "=APAGADO",E4:E367,"=radio")</f>
        <v>7</v>
      </c>
      <c r="AD2" s="26">
        <f>COUNTIFS(AD4:AD367, "=APAGADO",E4:E367,"=radio")</f>
        <v>5</v>
      </c>
      <c r="AE2" s="26">
        <f>COUNTIFS(AE4:AE367, "=APAGADO",E4:E367,"=radio")</f>
        <v>5</v>
      </c>
      <c r="AF2" s="26">
        <f>COUNTIFS(AF4:AF367, "=APAGADO",E4:E367,"=radio")</f>
        <v>8</v>
      </c>
      <c r="AG2" s="26">
        <f>COUNTIFS(AG4:AG367, "=APAGADO",E4:E367,"=radio")</f>
        <v>8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 t="str">
        <f>ESTADISTICA!AF26</f>
        <v>APAGADO</v>
      </c>
      <c r="AG28" t="str">
        <f>ESTADISTICA!AG26</f>
        <v>APAGADO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 t="str">
        <f>ESTADISTICA!AF50</f>
        <v>APAGADO</v>
      </c>
      <c r="AG52" t="str">
        <f>ESTADISTICA!AG50</f>
        <v>APAGADO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 t="str">
        <f>ESTADISTICA!AG119</f>
        <v>APAGADO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 t="str">
        <f>ESTADISTICA!AF125</f>
        <v>APAGADO</v>
      </c>
      <c r="AG127" t="str">
        <f>ESTADISTICA!AG125</f>
        <v>APAGADO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 t="str">
        <f>ESTADISTICA!AG138</f>
        <v>APAGADO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 t="str">
        <f>ESTADISTICA!AF145</f>
        <v>APAGADO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 t="str">
        <f>ESTADISTICA!AG212</f>
        <v>APAGADO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 t="str">
        <f>ESTADISTICA!AF222</f>
        <v>APAGADO</v>
      </c>
      <c r="AG224" t="str">
        <f>ESTADISTICA!AG222</f>
        <v>APAGADO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 t="str">
        <f>ESTADISTICA!AG252</f>
        <v>APAGADO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 t="str">
        <f>ESTADISTICA!AG275</f>
        <v>APAGADO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 t="str">
        <f>ESTADISTICA!AG276</f>
        <v>APAGADO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 t="str">
        <f>ESTADISTICA!AG277</f>
        <v>APAGADO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 t="str">
        <f>ESTADISTICA!AF278</f>
        <v>APAGADO</v>
      </c>
      <c r="AG280" t="str">
        <f>ESTADISTICA!AG278</f>
        <v>APAGADO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 t="str">
        <f>ESTADISTICA!AF292</f>
        <v>APAGADO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 t="str">
        <f>ESTADISTICA!AF295</f>
        <v>APAGADO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 t="str">
        <f>ESTADISTICA!AF296</f>
        <v>APAGADO</v>
      </c>
      <c r="AG298" t="str">
        <f>ESTADISTICA!AG296</f>
        <v>APAGADO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 t="str">
        <f>ESTADISTICA!AG297</f>
        <v>APAGADO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 t="str">
        <f>ESTADISTICA!AG299</f>
        <v>APAGADO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 t="str">
        <f>ESTADISTICA!AF324</f>
        <v>APAGADO</v>
      </c>
      <c r="AG326" t="str">
        <f>ESTADISTICA!AG324</f>
        <v>APAGADO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 t="str">
        <f>ESTADISTICA!AF325</f>
        <v>APAGADO</v>
      </c>
      <c r="AG327" t="str">
        <f>ESTADISTICA!AG325</f>
        <v>APAGADO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 t="str">
        <f>ESTADISTICA!AF382</f>
        <v>APAGADO</v>
      </c>
      <c r="AG384" s="51" t="str">
        <f>ESTADISTICA!AG382</f>
        <v>APAGADO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 t="str">
        <f>ESTADISTICA!AF383</f>
        <v>APAGADO</v>
      </c>
      <c r="AG385" s="51" t="str">
        <f>ESTADISTICA!AG383</f>
        <v>APAGADO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 t="str">
        <f>ESTADISTICA!AF384</f>
        <v>APAGADO</v>
      </c>
      <c r="AG386" s="51" t="str">
        <f>ESTADISTICA!AG384</f>
        <v>APAGADO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 t="str">
        <f>ESTADISTICA!AF385</f>
        <v>APAGADO</v>
      </c>
      <c r="AG387" s="51" t="str">
        <f>ESTADISTICA!AG385</f>
        <v>APAGADO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9" sqref="R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32" sqref="G32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822</v>
      </c>
      <c r="B1" t="s">
        <v>20</v>
      </c>
      <c r="C1" t="s">
        <v>823</v>
      </c>
      <c r="D1" t="s">
        <v>1185</v>
      </c>
      <c r="E1" t="s">
        <v>825</v>
      </c>
      <c r="F1" t="s">
        <v>824</v>
      </c>
      <c r="G1" s="55" t="s">
        <v>1202</v>
      </c>
    </row>
    <row r="2" spans="1:7" x14ac:dyDescent="0.3">
      <c r="A2" s="25">
        <f>'APAGADOS RADIO'!F3</f>
        <v>44743</v>
      </c>
      <c r="B2">
        <f>'APAGADOS RADIO'!F2+D2</f>
        <v>15</v>
      </c>
      <c r="C2">
        <f>'APAGADOS FIBRA'!F2</f>
        <v>20</v>
      </c>
      <c r="D2">
        <f>'APAGADOS ANTENA'!F2</f>
        <v>9</v>
      </c>
      <c r="E2">
        <f t="shared" ref="E2" si="0">B2+C2</f>
        <v>35</v>
      </c>
      <c r="F2">
        <f>'RESUMEN TOTAL'!B1</f>
        <v>392</v>
      </c>
      <c r="G2" s="55">
        <f t="shared" ref="G2:G3" si="1">E2/F2</f>
        <v>8.9285714285714288E-2</v>
      </c>
    </row>
    <row r="3" spans="1:7" x14ac:dyDescent="0.3">
      <c r="A3" s="25">
        <f>'APAGADOS RADIO'!G3</f>
        <v>44744</v>
      </c>
      <c r="B3" s="51">
        <f>'APAGADOS RADIO'!G2+D3</f>
        <v>14</v>
      </c>
      <c r="C3" s="51">
        <f>'APAGADOS FIBRA'!G2</f>
        <v>19</v>
      </c>
      <c r="D3" s="51">
        <f>'APAGADOS ANTENA'!G2</f>
        <v>6</v>
      </c>
      <c r="E3" s="51">
        <f t="shared" ref="E3" si="2">B3+C3</f>
        <v>33</v>
      </c>
      <c r="F3" s="51">
        <f>'RESUMEN TOTAL'!B1</f>
        <v>392</v>
      </c>
      <c r="G3" s="55">
        <f t="shared" si="1"/>
        <v>8.4183673469387751E-2</v>
      </c>
    </row>
    <row r="4" spans="1:7" x14ac:dyDescent="0.3">
      <c r="A4" s="25">
        <f>'APAGADOS RADIO'!H3</f>
        <v>44745</v>
      </c>
      <c r="B4" s="51">
        <f>'APAGADOS RADIO'!H2+D4</f>
        <v>16</v>
      </c>
      <c r="C4" s="51">
        <f>'APAGADOS FIBRA'!H2</f>
        <v>20</v>
      </c>
      <c r="D4" s="51">
        <f>'APAGADOS ANTENA'!H2</f>
        <v>5</v>
      </c>
      <c r="E4" s="51">
        <f t="shared" ref="E4" si="3">B4+C4</f>
        <v>36</v>
      </c>
      <c r="F4" s="51">
        <f>'RESUMEN TOTAL'!B1</f>
        <v>392</v>
      </c>
      <c r="G4" s="55">
        <f t="shared" ref="G4" si="4">E4/F4</f>
        <v>9.1836734693877556E-2</v>
      </c>
    </row>
    <row r="5" spans="1:7" x14ac:dyDescent="0.3">
      <c r="A5" s="25">
        <f>'APAGADOS RADIO'!I3</f>
        <v>44746</v>
      </c>
      <c r="B5" s="51">
        <f>'APAGADOS RADIO'!I2+D5</f>
        <v>19</v>
      </c>
      <c r="C5" s="51">
        <f>'APAGADOS FIBRA'!I2</f>
        <v>21</v>
      </c>
      <c r="D5" s="51">
        <f>'APAGADOS ANTENA'!I2</f>
        <v>5</v>
      </c>
      <c r="E5" s="51">
        <f t="shared" ref="E5:E6" si="5">B5+C5</f>
        <v>40</v>
      </c>
      <c r="F5" s="51">
        <f>'RESUMEN TOTAL'!B1</f>
        <v>392</v>
      </c>
      <c r="G5" s="55">
        <f t="shared" ref="G5:G7" si="6">E5/F5</f>
        <v>0.10204081632653061</v>
      </c>
    </row>
    <row r="6" spans="1:7" x14ac:dyDescent="0.3">
      <c r="A6" s="25">
        <f>'APAGADOS RADIO'!J3</f>
        <v>44747</v>
      </c>
      <c r="B6" s="51">
        <f>'APAGADOS RADIO'!J2+D6</f>
        <v>14</v>
      </c>
      <c r="C6" s="51">
        <f>'APAGADOS FIBRA'!J2</f>
        <v>18</v>
      </c>
      <c r="D6" s="51">
        <f>'APAGADOS ANTENA'!J2</f>
        <v>5</v>
      </c>
      <c r="E6" s="51">
        <f t="shared" si="5"/>
        <v>32</v>
      </c>
      <c r="F6" s="51">
        <f>'RESUMEN TOTAL'!B1</f>
        <v>392</v>
      </c>
      <c r="G6" s="55">
        <f t="shared" si="6"/>
        <v>8.1632653061224483E-2</v>
      </c>
    </row>
    <row r="7" spans="1:7" x14ac:dyDescent="0.3">
      <c r="A7" s="25">
        <f>'APAGADOS RADIO'!K3</f>
        <v>44748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44749</v>
      </c>
      <c r="B8" s="51">
        <f>'APAGADOS RADIO'!L2+D8</f>
        <v>26</v>
      </c>
      <c r="C8" s="51">
        <f>'APAGADOS FIBRA'!L2</f>
        <v>31</v>
      </c>
      <c r="D8" s="51">
        <f>'APAGADOS ANTENA'!L2</f>
        <v>11</v>
      </c>
      <c r="E8" s="51">
        <f t="shared" ref="E8" si="7">B8+C8</f>
        <v>57</v>
      </c>
      <c r="F8" s="51">
        <f>'RESUMEN TOTAL'!B1</f>
        <v>392</v>
      </c>
      <c r="G8" s="55">
        <f t="shared" ref="G8" si="8">E8/F8</f>
        <v>0.14540816326530612</v>
      </c>
    </row>
    <row r="9" spans="1:7" x14ac:dyDescent="0.3">
      <c r="A9" s="25">
        <f>'APAGADOS RADIO'!M3</f>
        <v>44750</v>
      </c>
      <c r="B9" s="51">
        <f>'APAGADOS RADIO'!M2+D9</f>
        <v>18</v>
      </c>
      <c r="C9" s="51">
        <f>'APAGADOS FIBRA'!M2</f>
        <v>30</v>
      </c>
      <c r="D9" s="51">
        <f>'APAGADOS ANTENA'!M2</f>
        <v>8</v>
      </c>
      <c r="E9" s="51">
        <f t="shared" ref="E9" si="9">B9+C9</f>
        <v>48</v>
      </c>
      <c r="F9" s="51">
        <f>'RESUMEN TOTAL'!B1</f>
        <v>392</v>
      </c>
      <c r="G9" s="55">
        <f t="shared" ref="G9" si="10">E9/F9</f>
        <v>0.12244897959183673</v>
      </c>
    </row>
    <row r="10" spans="1:7" x14ac:dyDescent="0.3">
      <c r="A10" s="25">
        <f>'APAGADOS RADIO'!N3</f>
        <v>44751</v>
      </c>
      <c r="B10" s="51">
        <f>'APAGADOS RADIO'!N2+D10</f>
        <v>12</v>
      </c>
      <c r="C10" s="51">
        <f>'APAGADOS FIBRA'!N2</f>
        <v>22</v>
      </c>
      <c r="D10" s="51">
        <f>'APAGADOS ANTENA'!N2</f>
        <v>5</v>
      </c>
      <c r="E10" s="51">
        <f t="shared" ref="E10" si="11">B10+C10</f>
        <v>34</v>
      </c>
      <c r="F10" s="51">
        <f>'RESUMEN TOTAL'!B1</f>
        <v>392</v>
      </c>
      <c r="G10" s="55">
        <f t="shared" ref="G10" si="12">E10/F10</f>
        <v>8.673469387755102E-2</v>
      </c>
    </row>
    <row r="11" spans="1:7" x14ac:dyDescent="0.3">
      <c r="A11" s="25">
        <f>'APAGADOS RADIO'!O3</f>
        <v>44752</v>
      </c>
      <c r="B11" s="51">
        <f>'APAGADOS RADIO'!O2+D11</f>
        <v>10</v>
      </c>
      <c r="C11" s="51">
        <f>'APAGADOS FIBRA'!O2</f>
        <v>19</v>
      </c>
      <c r="D11" s="51">
        <f>'APAGADOS ANTENA'!O2</f>
        <v>5</v>
      </c>
      <c r="E11" s="51">
        <f t="shared" ref="E11" si="13">B11+C11</f>
        <v>29</v>
      </c>
      <c r="F11" s="51">
        <f>'RESUMEN TOTAL'!B1</f>
        <v>392</v>
      </c>
      <c r="G11" s="55">
        <f t="shared" ref="G11" si="14">E11/F11</f>
        <v>7.3979591836734693E-2</v>
      </c>
    </row>
    <row r="12" spans="1:7" x14ac:dyDescent="0.3">
      <c r="A12" s="25">
        <f>'APAGADOS RADIO'!P3</f>
        <v>44753</v>
      </c>
      <c r="B12" s="51">
        <f>'APAGADOS RADIO'!P2+D12</f>
        <v>10</v>
      </c>
      <c r="C12" s="51">
        <f>'APAGADOS FIBRA'!P2</f>
        <v>19</v>
      </c>
      <c r="D12" s="51">
        <f>'APAGADOS ANTENA'!P2</f>
        <v>5</v>
      </c>
      <c r="E12" s="51">
        <f t="shared" ref="E12" si="15">B12+C12</f>
        <v>29</v>
      </c>
      <c r="F12" s="51">
        <f>'RESUMEN TOTAL'!B1</f>
        <v>392</v>
      </c>
      <c r="G12" s="55">
        <f t="shared" ref="G12" si="16">E12/F12</f>
        <v>7.3979591836734693E-2</v>
      </c>
    </row>
    <row r="13" spans="1:7" x14ac:dyDescent="0.3">
      <c r="A13" s="25">
        <f>'APAGADOS RADIO'!Q3</f>
        <v>44754</v>
      </c>
      <c r="B13" s="51">
        <f>'APAGADOS RADIO'!Q2+D13</f>
        <v>13</v>
      </c>
      <c r="C13" s="51">
        <f>'APAGADOS FIBRA'!Q2</f>
        <v>20</v>
      </c>
      <c r="D13" s="51">
        <f>'APAGADOS ANTENA'!Q2</f>
        <v>5</v>
      </c>
      <c r="E13" s="51">
        <f t="shared" ref="E13:E14" si="17">B13+C13</f>
        <v>33</v>
      </c>
      <c r="F13" s="51">
        <f>'RESUMEN TOTAL'!B1</f>
        <v>392</v>
      </c>
      <c r="G13" s="55">
        <f t="shared" ref="G13:G14" si="18">E13/F13</f>
        <v>8.4183673469387751E-2</v>
      </c>
    </row>
    <row r="14" spans="1:7" x14ac:dyDescent="0.3">
      <c r="A14" s="25">
        <f>'APAGADOS RADIO'!R3</f>
        <v>44755</v>
      </c>
      <c r="B14" s="51">
        <f>'APAGADOS RADIO'!R2+D14</f>
        <v>13</v>
      </c>
      <c r="C14" s="51">
        <f>'APAGADOS FIBRA'!R2</f>
        <v>23</v>
      </c>
      <c r="D14" s="51">
        <f>'APAGADOS ANTENA'!R2</f>
        <v>5</v>
      </c>
      <c r="E14" s="51">
        <f t="shared" si="17"/>
        <v>36</v>
      </c>
      <c r="F14" s="51">
        <f>'RESUMEN TOTAL'!B1</f>
        <v>392</v>
      </c>
      <c r="G14" s="55">
        <f t="shared" si="18"/>
        <v>9.1836734693877556E-2</v>
      </c>
    </row>
    <row r="15" spans="1:7" x14ac:dyDescent="0.3">
      <c r="A15" s="25">
        <f>'APAGADOS RADIO'!S3</f>
        <v>44756</v>
      </c>
      <c r="B15" s="51">
        <f>'APAGADOS RADIO'!S2+D15</f>
        <v>13</v>
      </c>
      <c r="C15" s="51">
        <f>'APAGADOS FIBRA'!S2</f>
        <v>21</v>
      </c>
      <c r="D15" s="51">
        <f>'APAGADOS ANTENA'!S2</f>
        <v>6</v>
      </c>
      <c r="E15" s="51">
        <f t="shared" ref="E15" si="19">B15+C15</f>
        <v>34</v>
      </c>
      <c r="F15" s="51">
        <f>'RESUMEN TOTAL'!B1</f>
        <v>392</v>
      </c>
      <c r="G15" s="55">
        <f t="shared" ref="G15" si="20">E15/F15</f>
        <v>8.673469387755102E-2</v>
      </c>
    </row>
    <row r="16" spans="1:7" x14ac:dyDescent="0.3">
      <c r="A16" s="25">
        <f>'APAGADOS RADIO'!T3</f>
        <v>44757</v>
      </c>
      <c r="B16" s="51">
        <f>'APAGADOS RADIO'!T2+D16</f>
        <v>14</v>
      </c>
      <c r="C16" s="51">
        <f>'APAGADOS FIBRA'!T2</f>
        <v>19</v>
      </c>
      <c r="D16" s="51">
        <f>'APAGADOS ANTENA'!T2</f>
        <v>7</v>
      </c>
      <c r="E16" s="51">
        <f t="shared" ref="E16:E21" si="21">B16+C16</f>
        <v>33</v>
      </c>
      <c r="F16" s="51">
        <f>'RESUMEN TOTAL'!B1</f>
        <v>392</v>
      </c>
      <c r="G16" s="55">
        <f t="shared" ref="G16:G21" si="22">E16/F16</f>
        <v>8.4183673469387751E-2</v>
      </c>
    </row>
    <row r="17" spans="1:7" x14ac:dyDescent="0.3">
      <c r="A17" s="25">
        <f>'APAGADOS RADIO'!U3</f>
        <v>44758</v>
      </c>
      <c r="B17" s="51">
        <f>'APAGADOS RADIO'!U2+D17</f>
        <v>10</v>
      </c>
      <c r="C17" s="51">
        <f>'APAGADOS FIBRA'!U2</f>
        <v>18</v>
      </c>
      <c r="D17" s="51">
        <f>'APAGADOS ANTENA'!U2</f>
        <v>5</v>
      </c>
      <c r="E17" s="51">
        <f t="shared" si="21"/>
        <v>28</v>
      </c>
      <c r="F17" s="51">
        <f>'RESUMEN TOTAL'!B1</f>
        <v>392</v>
      </c>
      <c r="G17" s="55">
        <f t="shared" si="22"/>
        <v>7.1428571428571425E-2</v>
      </c>
    </row>
    <row r="18" spans="1:7" x14ac:dyDescent="0.3">
      <c r="A18" s="25">
        <f>'APAGADOS RADIO'!V3</f>
        <v>44759</v>
      </c>
      <c r="B18" s="51">
        <f>'APAGADOS RADIO'!V2+D18</f>
        <v>16</v>
      </c>
      <c r="C18" s="51">
        <f>'APAGADOS FIBRA'!V2</f>
        <v>47</v>
      </c>
      <c r="D18" s="51">
        <f>'APAGADOS ANTENA'!V2</f>
        <v>6</v>
      </c>
      <c r="E18" s="51">
        <f t="shared" si="21"/>
        <v>63</v>
      </c>
      <c r="F18" s="51">
        <f>'RESUMEN TOTAL'!B1</f>
        <v>392</v>
      </c>
      <c r="G18" s="55">
        <f t="shared" si="22"/>
        <v>0.16071428571428573</v>
      </c>
    </row>
    <row r="19" spans="1:7" x14ac:dyDescent="0.3">
      <c r="A19" s="25">
        <f>'APAGADOS RADIO'!W3</f>
        <v>44760</v>
      </c>
      <c r="B19" s="51">
        <f>'APAGADOS RADIO'!W2+D19</f>
        <v>12</v>
      </c>
      <c r="C19" s="51">
        <f>'APAGADOS FIBRA'!W2</f>
        <v>18</v>
      </c>
      <c r="D19" s="51">
        <f>'APAGADOS ANTENA'!W2</f>
        <v>5</v>
      </c>
      <c r="E19" s="51">
        <f t="shared" si="21"/>
        <v>30</v>
      </c>
      <c r="F19" s="51">
        <f>'RESUMEN TOTAL'!B1</f>
        <v>392</v>
      </c>
      <c r="G19" s="55">
        <f t="shared" si="22"/>
        <v>7.6530612244897961E-2</v>
      </c>
    </row>
    <row r="20" spans="1:7" x14ac:dyDescent="0.3">
      <c r="A20" s="25">
        <f>'APAGADOS RADIO'!X3</f>
        <v>44761</v>
      </c>
      <c r="B20" s="51">
        <f>'APAGADOS RADIO'!X2+D20</f>
        <v>11</v>
      </c>
      <c r="C20" s="51">
        <f>'APAGADOS FIBRA'!X2</f>
        <v>16</v>
      </c>
      <c r="D20" s="51">
        <f>'APAGADOS ANTENA'!X2</f>
        <v>5</v>
      </c>
      <c r="E20" s="51">
        <f t="shared" si="21"/>
        <v>27</v>
      </c>
      <c r="F20" s="51">
        <f>'RESUMEN TOTAL'!B1</f>
        <v>392</v>
      </c>
      <c r="G20" s="55">
        <f t="shared" si="22"/>
        <v>6.8877551020408156E-2</v>
      </c>
    </row>
    <row r="21" spans="1:7" x14ac:dyDescent="0.3">
      <c r="A21" s="25">
        <f>'APAGADOS RADIO'!Y3</f>
        <v>44762</v>
      </c>
      <c r="B21" s="51">
        <f>'APAGADOS RADIO'!Y2+D21</f>
        <v>7</v>
      </c>
      <c r="C21" s="51">
        <f>'APAGADOS FIBRA'!Y2</f>
        <v>17</v>
      </c>
      <c r="D21" s="51">
        <f>'APAGADOS ANTENA'!Y2</f>
        <v>3</v>
      </c>
      <c r="E21" s="51">
        <f t="shared" si="21"/>
        <v>24</v>
      </c>
      <c r="F21" s="51">
        <f>'RESUMEN TOTAL'!B1</f>
        <v>392</v>
      </c>
      <c r="G21" s="55">
        <f t="shared" si="22"/>
        <v>6.1224489795918366E-2</v>
      </c>
    </row>
    <row r="22" spans="1:7" x14ac:dyDescent="0.3">
      <c r="A22" s="25">
        <f>'APAGADOS RADIO'!Z3</f>
        <v>44763</v>
      </c>
      <c r="B22" s="51">
        <f>'APAGADOS RADIO'!Z2+D22</f>
        <v>7</v>
      </c>
      <c r="C22" s="51">
        <f>'APAGADOS FIBRA'!Z2</f>
        <v>16</v>
      </c>
      <c r="D22" s="51">
        <f>'APAGADOS ANTENA'!Z2</f>
        <v>2</v>
      </c>
      <c r="E22" s="51">
        <f t="shared" ref="E22" si="23">B22+C22</f>
        <v>23</v>
      </c>
      <c r="F22" s="51">
        <f>'RESUMEN TOTAL'!B1</f>
        <v>392</v>
      </c>
      <c r="G22" s="55">
        <f t="shared" ref="G22" si="24">E22/F22</f>
        <v>5.8673469387755105E-2</v>
      </c>
    </row>
    <row r="23" spans="1:7" x14ac:dyDescent="0.3">
      <c r="A23" s="25">
        <f>'APAGADOS RADIO'!AA3</f>
        <v>44764</v>
      </c>
      <c r="B23" s="51">
        <f>'APAGADOS RADIO'!AA2+D23</f>
        <v>9</v>
      </c>
      <c r="C23" s="51">
        <f>'APAGADOS FIBRA'!AA2</f>
        <v>16</v>
      </c>
      <c r="D23" s="51">
        <f>'APAGADOS ANTENA'!AA2</f>
        <v>2</v>
      </c>
      <c r="E23" s="51">
        <f t="shared" ref="E23" si="25">B23+C23</f>
        <v>25</v>
      </c>
      <c r="F23" s="51">
        <f>'RESUMEN TOTAL'!B1</f>
        <v>392</v>
      </c>
      <c r="G23" s="55">
        <f t="shared" ref="G23" si="26">E23/F23</f>
        <v>6.3775510204081634E-2</v>
      </c>
    </row>
    <row r="24" spans="1:7" x14ac:dyDescent="0.3">
      <c r="A24" s="25">
        <f>'APAGADOS RADIO'!AB3</f>
        <v>44765</v>
      </c>
      <c r="B24" s="51">
        <f>'APAGADOS RADIO'!AB2+D24</f>
        <v>11</v>
      </c>
      <c r="C24" s="51">
        <f>'APAGADOS FIBRA'!AB2</f>
        <v>24</v>
      </c>
      <c r="D24" s="51">
        <f>'APAGADOS ANTENA'!AB2</f>
        <v>6</v>
      </c>
      <c r="E24" s="51">
        <f t="shared" ref="E24:E26" si="27">B24+C24</f>
        <v>35</v>
      </c>
      <c r="F24" s="51">
        <f>'RESUMEN TOTAL'!B1</f>
        <v>392</v>
      </c>
      <c r="G24" s="55">
        <f t="shared" ref="G24:G26" si="28">E24/F24</f>
        <v>8.9285714285714288E-2</v>
      </c>
    </row>
    <row r="25" spans="1:7" x14ac:dyDescent="0.3">
      <c r="A25" s="25">
        <f>'APAGADOS RADIO'!AC3</f>
        <v>44766</v>
      </c>
      <c r="B25" s="51">
        <f>'APAGADOS RADIO'!AC2+D25</f>
        <v>13</v>
      </c>
      <c r="C25" s="51">
        <f>'APAGADOS FIBRA'!AC2</f>
        <v>23</v>
      </c>
      <c r="D25" s="51">
        <f>'APAGADOS ANTENA'!AC2</f>
        <v>6</v>
      </c>
      <c r="E25" s="51">
        <f t="shared" si="27"/>
        <v>36</v>
      </c>
      <c r="F25" s="51">
        <f>'RESUMEN TOTAL'!B1</f>
        <v>392</v>
      </c>
      <c r="G25" s="55">
        <f t="shared" si="28"/>
        <v>9.1836734693877556E-2</v>
      </c>
    </row>
    <row r="26" spans="1:7" x14ac:dyDescent="0.3">
      <c r="A26" s="25">
        <f>'APAGADOS RADIO'!AD3</f>
        <v>44767</v>
      </c>
      <c r="B26" s="51">
        <f>'APAGADOS RADIO'!AD2+D26</f>
        <v>11</v>
      </c>
      <c r="C26" s="51">
        <f>'APAGADOS FIBRA'!AD2</f>
        <v>27</v>
      </c>
      <c r="D26" s="51">
        <f>'APAGADOS ANTENA'!AD2</f>
        <v>6</v>
      </c>
      <c r="E26" s="51">
        <f t="shared" si="27"/>
        <v>38</v>
      </c>
      <c r="F26" s="51">
        <f>'RESUMEN TOTAL'!B1</f>
        <v>392</v>
      </c>
      <c r="G26" s="55">
        <f t="shared" si="28"/>
        <v>9.6938775510204078E-2</v>
      </c>
    </row>
    <row r="27" spans="1:7" x14ac:dyDescent="0.3">
      <c r="A27" s="25">
        <f>'APAGADOS RADIO'!AE3</f>
        <v>44768</v>
      </c>
      <c r="B27" s="51">
        <f>'APAGADOS RADIO'!AE2+D27</f>
        <v>11</v>
      </c>
      <c r="C27" s="51">
        <f>'APAGADOS FIBRA'!AE2</f>
        <v>29</v>
      </c>
      <c r="D27" s="51">
        <f>'APAGADOS ANTENA'!AE2</f>
        <v>6</v>
      </c>
      <c r="E27" s="51">
        <f t="shared" ref="E27" si="29">B27+C27</f>
        <v>40</v>
      </c>
      <c r="F27" s="51">
        <f>'RESUMEN TOTAL'!B1</f>
        <v>392</v>
      </c>
      <c r="G27" s="55">
        <f t="shared" ref="G27" si="30">E27/F27</f>
        <v>0.10204081632653061</v>
      </c>
    </row>
    <row r="28" spans="1:7" x14ac:dyDescent="0.3">
      <c r="A28" s="25">
        <f>'APAGADOS RADIO'!AF3</f>
        <v>44769</v>
      </c>
      <c r="B28" s="51">
        <f>'APAGADOS RADIO'!AF2+D28</f>
        <v>17</v>
      </c>
      <c r="C28" s="51">
        <f>'APAGADOS FIBRA'!AF2</f>
        <v>38</v>
      </c>
      <c r="D28" s="51">
        <f>'APAGADOS ANTENA'!AF2</f>
        <v>9</v>
      </c>
      <c r="E28" s="51">
        <f t="shared" ref="E28:E29" si="31">B28+C28</f>
        <v>55</v>
      </c>
      <c r="F28" s="51">
        <f>'RESUMEN TOTAL'!B1</f>
        <v>392</v>
      </c>
      <c r="G28" s="55">
        <f t="shared" ref="G28:G29" si="32">E28/F28</f>
        <v>0.14030612244897958</v>
      </c>
    </row>
    <row r="29" spans="1:7" x14ac:dyDescent="0.3">
      <c r="A29" s="25">
        <f>'APAGADOS RADIO'!AG3</f>
        <v>44770</v>
      </c>
      <c r="B29" s="51">
        <f>'APAGADOS RADIO'!AG2+D29</f>
        <v>16</v>
      </c>
      <c r="C29" s="51">
        <f>'APAGADOS FIBRA'!AG2</f>
        <v>34</v>
      </c>
      <c r="D29" s="51">
        <f>'APAGADOS ANTENA'!AG2</f>
        <v>8</v>
      </c>
      <c r="E29" s="51">
        <f t="shared" si="31"/>
        <v>50</v>
      </c>
      <c r="F29" s="51">
        <f>'RESUMEN TOTAL'!B1</f>
        <v>392</v>
      </c>
      <c r="G29" s="55">
        <f t="shared" si="32"/>
        <v>0.12755102040816327</v>
      </c>
    </row>
    <row r="30" spans="1:7" x14ac:dyDescent="0.3">
      <c r="A30" s="25">
        <f>'APAGADOS RADIO'!AH3</f>
        <v>44771</v>
      </c>
      <c r="B30" s="51"/>
      <c r="C30" s="51"/>
      <c r="D30" s="51"/>
      <c r="E30" s="51"/>
    </row>
    <row r="31" spans="1:7" x14ac:dyDescent="0.3">
      <c r="A31" s="25">
        <f>'APAGADOS RADIO'!AI3</f>
        <v>44772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16" workbookViewId="0">
      <selection activeCell="F43" sqref="F43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1206</v>
      </c>
      <c r="D1" s="61" t="s">
        <v>1207</v>
      </c>
    </row>
    <row r="2" spans="1:13" ht="15.6" thickTop="1" thickBot="1" x14ac:dyDescent="0.35">
      <c r="A2" s="58" t="s">
        <v>1203</v>
      </c>
      <c r="B2" s="69">
        <v>375</v>
      </c>
      <c r="C2" s="65"/>
      <c r="D2" s="62"/>
      <c r="E2" s="113">
        <v>44753</v>
      </c>
    </row>
    <row r="3" spans="1:13" ht="15" customHeight="1" thickTop="1" x14ac:dyDescent="0.3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987</v>
      </c>
      <c r="L3" s="88" t="s">
        <v>1210</v>
      </c>
      <c r="M3" s="110">
        <v>44753</v>
      </c>
    </row>
    <row r="4" spans="1:13" x14ac:dyDescent="0.3">
      <c r="A4" s="59" t="s">
        <v>1205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1000</v>
      </c>
      <c r="L4" s="92" t="s">
        <v>1210</v>
      </c>
      <c r="M4" s="111"/>
    </row>
    <row r="5" spans="1:13" x14ac:dyDescent="0.3">
      <c r="A5" s="59" t="s">
        <v>1204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1135</v>
      </c>
      <c r="L5" s="92" t="s">
        <v>1211</v>
      </c>
      <c r="M5" s="111"/>
    </row>
    <row r="6" spans="1:13" ht="15" thickBot="1" x14ac:dyDescent="0.35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1024</v>
      </c>
      <c r="L6" s="92" t="s">
        <v>1208</v>
      </c>
      <c r="M6" s="111"/>
    </row>
    <row r="7" spans="1:13" ht="15" customHeight="1" thickTop="1" x14ac:dyDescent="0.3">
      <c r="A7" s="58" t="s">
        <v>1203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1027</v>
      </c>
      <c r="L7" s="92" t="s">
        <v>1208</v>
      </c>
      <c r="M7" s="111"/>
    </row>
    <row r="8" spans="1:13" ht="15" thickBot="1" x14ac:dyDescent="0.35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1026</v>
      </c>
      <c r="L8" s="96" t="s">
        <v>1208</v>
      </c>
      <c r="M8" s="116"/>
    </row>
    <row r="9" spans="1:13" ht="15.6" thickTop="1" thickBot="1" x14ac:dyDescent="0.35">
      <c r="A9" s="59" t="s">
        <v>1205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1204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1210</v>
      </c>
      <c r="M10" s="110">
        <v>44755</v>
      </c>
    </row>
    <row r="11" spans="1:13" ht="15" thickBot="1" x14ac:dyDescent="0.35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1212</v>
      </c>
      <c r="M11" s="111"/>
    </row>
    <row r="12" spans="1:13" ht="15" thickTop="1" x14ac:dyDescent="0.3">
      <c r="A12" s="58" t="s">
        <v>1203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1212</v>
      </c>
      <c r="M12" s="111"/>
    </row>
    <row r="13" spans="1:13" x14ac:dyDescent="0.3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1149</v>
      </c>
      <c r="L13" s="79" t="s">
        <v>1213</v>
      </c>
      <c r="M13" s="111"/>
    </row>
    <row r="14" spans="1:13" x14ac:dyDescent="0.3">
      <c r="A14" s="59" t="s">
        <v>1205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1024</v>
      </c>
      <c r="L14" s="79" t="s">
        <v>1208</v>
      </c>
      <c r="M14" s="111"/>
    </row>
    <row r="15" spans="1:13" ht="15" customHeight="1" thickBot="1" x14ac:dyDescent="0.35">
      <c r="A15" s="59" t="s">
        <v>1204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1026</v>
      </c>
      <c r="L15" s="82" t="s">
        <v>1208</v>
      </c>
      <c r="M15" s="112"/>
    </row>
    <row r="16" spans="1:13" ht="15.6" thickTop="1" thickBot="1" x14ac:dyDescent="0.35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1400</v>
      </c>
      <c r="M16" s="110">
        <v>44763</v>
      </c>
    </row>
    <row r="17" spans="1:13" ht="15" thickTop="1" x14ac:dyDescent="0.3">
      <c r="A17" s="58" t="s">
        <v>1203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1212</v>
      </c>
      <c r="M17" s="111"/>
    </row>
    <row r="18" spans="1:13" x14ac:dyDescent="0.3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1167</v>
      </c>
      <c r="L18" s="108" t="s">
        <v>1401</v>
      </c>
      <c r="M18" s="111"/>
    </row>
    <row r="19" spans="1:13" x14ac:dyDescent="0.3">
      <c r="A19" s="59" t="s">
        <v>1205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1026</v>
      </c>
      <c r="L19" s="108" t="s">
        <v>1208</v>
      </c>
      <c r="M19" s="111"/>
    </row>
    <row r="20" spans="1:13" x14ac:dyDescent="0.3">
      <c r="A20" s="59" t="s">
        <v>1204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" thickBot="1" x14ac:dyDescent="0.35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" thickTop="1" x14ac:dyDescent="0.3">
      <c r="A22" s="58" t="s">
        <v>1203</v>
      </c>
      <c r="B22" s="69">
        <v>392</v>
      </c>
      <c r="C22" s="65"/>
      <c r="D22" s="62"/>
      <c r="E22" s="113">
        <v>44763</v>
      </c>
    </row>
    <row r="23" spans="1:13" ht="15" thickBot="1" x14ac:dyDescent="0.35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" thickTop="1" x14ac:dyDescent="0.3">
      <c r="A24" s="59" t="s">
        <v>1205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3">
      <c r="A25" s="59" t="s">
        <v>1204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" thickBot="1" x14ac:dyDescent="0.35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" thickTop="1" x14ac:dyDescent="0.3">
      <c r="A27" s="58" t="s">
        <v>1203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3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" thickBot="1" x14ac:dyDescent="0.35">
      <c r="A29" s="59" t="s">
        <v>1205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" thickTop="1" x14ac:dyDescent="0.3">
      <c r="A30" s="59" t="s">
        <v>1204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" thickBot="1" x14ac:dyDescent="0.35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" thickTop="1" x14ac:dyDescent="0.3">
      <c r="A32" s="58" t="s">
        <v>1203</v>
      </c>
      <c r="B32" s="69">
        <v>392</v>
      </c>
      <c r="C32" s="65"/>
      <c r="D32" s="62"/>
      <c r="E32" s="113">
        <v>44768</v>
      </c>
      <c r="G32" s="52"/>
      <c r="H32" s="51"/>
      <c r="I32" s="51"/>
      <c r="J32" s="51"/>
      <c r="K32" s="16"/>
      <c r="L32" s="83"/>
    </row>
    <row r="33" spans="1:13" x14ac:dyDescent="0.3">
      <c r="A33" s="59" t="s">
        <v>6</v>
      </c>
      <c r="B33" s="70">
        <v>40</v>
      </c>
      <c r="C33" s="66">
        <v>40</v>
      </c>
      <c r="D33" s="63">
        <f>C33/B32</f>
        <v>0.10204081632653061</v>
      </c>
      <c r="E33" s="114"/>
      <c r="G33" s="52"/>
      <c r="H33" s="51"/>
      <c r="I33" s="51"/>
      <c r="J33" s="51"/>
      <c r="K33" s="16"/>
      <c r="L33" s="83"/>
    </row>
    <row r="34" spans="1:13" x14ac:dyDescent="0.3">
      <c r="A34" s="59" t="s">
        <v>1205</v>
      </c>
      <c r="B34" s="70">
        <v>2</v>
      </c>
      <c r="C34" s="66">
        <f>B33-B34</f>
        <v>38</v>
      </c>
      <c r="D34" s="63">
        <f>C34/B32</f>
        <v>9.6938775510204078E-2</v>
      </c>
      <c r="E34" s="114"/>
      <c r="G34" s="52"/>
      <c r="H34" s="51"/>
      <c r="I34" s="51"/>
      <c r="J34" s="51"/>
      <c r="K34" s="16"/>
      <c r="L34" s="83"/>
    </row>
    <row r="35" spans="1:13" x14ac:dyDescent="0.3">
      <c r="A35" s="59" t="s">
        <v>1204</v>
      </c>
      <c r="B35" s="70">
        <v>2</v>
      </c>
      <c r="C35" s="66">
        <f>C34-B35</f>
        <v>36</v>
      </c>
      <c r="D35" s="63">
        <f>C35/B32</f>
        <v>9.1836734693877556E-2</v>
      </c>
      <c r="E35" s="114"/>
      <c r="G35" s="52"/>
      <c r="H35" s="51"/>
      <c r="I35" s="51"/>
      <c r="J35" s="51"/>
      <c r="K35" s="16"/>
      <c r="L35" s="83"/>
    </row>
    <row r="36" spans="1:13" ht="15" thickBot="1" x14ac:dyDescent="0.35">
      <c r="A36" s="60" t="s">
        <v>20</v>
      </c>
      <c r="B36" s="71">
        <v>6</v>
      </c>
      <c r="C36" s="67">
        <f>C35-B36</f>
        <v>30</v>
      </c>
      <c r="D36" s="64">
        <f>C36/B32</f>
        <v>7.6530612244897961E-2</v>
      </c>
      <c r="E36" s="115"/>
      <c r="G36" s="52"/>
      <c r="H36" s="51"/>
      <c r="I36" s="51"/>
      <c r="J36" s="51"/>
      <c r="K36" s="16"/>
      <c r="L36" s="83"/>
    </row>
    <row r="37" spans="1:13" ht="15" thickTop="1" x14ac:dyDescent="0.3">
      <c r="A37" s="58" t="s">
        <v>1203</v>
      </c>
      <c r="B37" s="69">
        <v>392</v>
      </c>
      <c r="C37" s="65"/>
      <c r="D37" s="62"/>
      <c r="E37" s="113">
        <v>44770</v>
      </c>
      <c r="G37" s="52"/>
      <c r="H37" s="51"/>
      <c r="I37" s="51"/>
      <c r="J37" s="51"/>
      <c r="K37" s="16"/>
      <c r="L37" s="83"/>
    </row>
    <row r="38" spans="1:13" x14ac:dyDescent="0.3">
      <c r="A38" s="59" t="s">
        <v>6</v>
      </c>
      <c r="B38" s="70">
        <v>50</v>
      </c>
      <c r="C38" s="66">
        <v>50</v>
      </c>
      <c r="D38" s="63">
        <f>C38/B37</f>
        <v>0.12755102040816327</v>
      </c>
      <c r="E38" s="114"/>
      <c r="G38" s="52"/>
      <c r="H38" s="51"/>
      <c r="I38" s="51"/>
      <c r="J38" s="51"/>
      <c r="K38" s="16"/>
      <c r="L38" s="84"/>
    </row>
    <row r="39" spans="1:13" ht="15" thickBot="1" x14ac:dyDescent="0.35">
      <c r="A39" s="59" t="s">
        <v>1205</v>
      </c>
      <c r="B39" s="70">
        <v>2</v>
      </c>
      <c r="C39" s="66">
        <f>B38-B39</f>
        <v>48</v>
      </c>
      <c r="D39" s="63">
        <f>C39/B37</f>
        <v>0.12244897959183673</v>
      </c>
      <c r="E39" s="114"/>
    </row>
    <row r="40" spans="1:13" ht="15" thickTop="1" x14ac:dyDescent="0.3">
      <c r="A40" s="59" t="s">
        <v>1204</v>
      </c>
      <c r="B40" s="70">
        <v>2</v>
      </c>
      <c r="C40" s="66">
        <f>C39-B40</f>
        <v>46</v>
      </c>
      <c r="D40" s="63">
        <f>C40/B37</f>
        <v>0.11734693877551021</v>
      </c>
      <c r="E40" s="114"/>
      <c r="G40" s="72"/>
      <c r="H40" s="73"/>
      <c r="I40" s="73"/>
      <c r="J40" s="73"/>
      <c r="K40" s="74"/>
      <c r="L40" s="75"/>
      <c r="M40" s="110"/>
    </row>
    <row r="41" spans="1:13" ht="15" thickBot="1" x14ac:dyDescent="0.35">
      <c r="A41" s="60" t="s">
        <v>20</v>
      </c>
      <c r="B41" s="71">
        <v>9</v>
      </c>
      <c r="C41" s="67">
        <f>C40-B41</f>
        <v>37</v>
      </c>
      <c r="D41" s="64">
        <f>C41/B37</f>
        <v>9.438775510204081E-2</v>
      </c>
      <c r="E41" s="115"/>
      <c r="G41" s="76"/>
      <c r="H41" s="77"/>
      <c r="I41" s="77"/>
      <c r="J41" s="77"/>
      <c r="K41" s="78"/>
      <c r="L41" s="79"/>
      <c r="M41" s="111"/>
    </row>
    <row r="42" spans="1:13" ht="15" thickTop="1" x14ac:dyDescent="0.3">
      <c r="G42" s="76"/>
      <c r="H42" s="77"/>
      <c r="I42" s="77"/>
      <c r="J42" s="77"/>
      <c r="K42" s="78"/>
      <c r="L42" s="79"/>
      <c r="M42" s="111"/>
    </row>
    <row r="43" spans="1:13" x14ac:dyDescent="0.3">
      <c r="G43" s="76"/>
      <c r="H43" s="77"/>
      <c r="I43" s="77"/>
      <c r="J43" s="77"/>
      <c r="K43" s="78"/>
      <c r="L43" s="79"/>
      <c r="M43" s="111"/>
    </row>
    <row r="44" spans="1:13" x14ac:dyDescent="0.3">
      <c r="G44" s="76"/>
      <c r="H44" s="77"/>
      <c r="I44" s="77"/>
      <c r="J44" s="77"/>
      <c r="K44" s="78"/>
      <c r="L44" s="79"/>
      <c r="M44" s="111"/>
    </row>
    <row r="45" spans="1:13" ht="15" thickBot="1" x14ac:dyDescent="0.35">
      <c r="G45" s="80"/>
      <c r="H45" s="81"/>
      <c r="I45" s="81"/>
      <c r="J45" s="81"/>
      <c r="K45" s="81"/>
      <c r="L45" s="82"/>
      <c r="M45" s="112"/>
    </row>
    <row r="46" spans="1:13" ht="15" thickTop="1" x14ac:dyDescent="0.3"/>
    <row r="47" spans="1:13" x14ac:dyDescent="0.3">
      <c r="G47" s="52"/>
      <c r="H47" s="51"/>
      <c r="I47" s="51"/>
      <c r="J47" s="51"/>
      <c r="K47" s="16"/>
      <c r="L47" s="83"/>
    </row>
    <row r="48" spans="1:13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2022-07-28T16:03:13Z</dcterms:modified>
</cp:coreProperties>
</file>