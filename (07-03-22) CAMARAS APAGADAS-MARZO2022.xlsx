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8_{BB8C5F24-A152-45BA-9798-DB6084990B02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TOTAL'!$A$4:$C$347</definedName>
    <definedName name="_xlnm._FilterDatabase" localSheetId="3" hidden="1">APAGADOS!$A$2:$AG$366</definedName>
    <definedName name="_xlnm._FilterDatabase" localSheetId="5" hidden="1">'APAGADOS ANTENA'!$A$2:$AG$366</definedName>
    <definedName name="_xlnm._FilterDatabase" localSheetId="4" hidden="1">'APAGADOS FIBRA'!$A$2:$AG$366</definedName>
    <definedName name="_xlnm._FilterDatabase" localSheetId="6" hidden="1">'APAGADOS RADIO'!$A$2:$AG$366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4" l="1"/>
  <c r="F31" i="14"/>
  <c r="F30" i="14"/>
  <c r="A32" i="14"/>
  <c r="AH1" i="21"/>
  <c r="AI1" i="21"/>
  <c r="AJ1" i="21"/>
  <c r="AH2" i="21"/>
  <c r="AI2" i="21"/>
  <c r="AJ2" i="21"/>
  <c r="AH1" i="10"/>
  <c r="AI1" i="10"/>
  <c r="AJ1" i="10"/>
  <c r="AH2" i="10"/>
  <c r="AI2" i="10"/>
  <c r="AJ2" i="10"/>
  <c r="AH1" i="11"/>
  <c r="AI1" i="11"/>
  <c r="AJ1" i="11"/>
  <c r="AJ2" i="11"/>
  <c r="AJ1" i="8"/>
  <c r="AH1" i="8"/>
  <c r="AH2" i="11" s="1"/>
  <c r="A30" i="14" s="1"/>
  <c r="AI1" i="8"/>
  <c r="AI2" i="11" s="1"/>
  <c r="A31" i="14" s="1"/>
  <c r="AP2" i="2"/>
  <c r="AQ2" i="2"/>
  <c r="AR2" i="2"/>
  <c r="AP3" i="2"/>
  <c r="AP1" i="2" s="1"/>
  <c r="AQ3" i="2"/>
  <c r="AQ1" i="2" s="1"/>
  <c r="AR3" i="2"/>
  <c r="AR1" i="2" s="1"/>
  <c r="L370" i="2" l="1"/>
  <c r="K370" i="2"/>
  <c r="L369" i="2"/>
  <c r="K369" i="2"/>
  <c r="E366" i="21"/>
  <c r="D366" i="21"/>
  <c r="C366" i="21"/>
  <c r="B366" i="21"/>
  <c r="A366" i="21"/>
  <c r="AG365" i="21"/>
  <c r="E365" i="21"/>
  <c r="D365" i="21"/>
  <c r="C365" i="21"/>
  <c r="B365" i="21"/>
  <c r="A365" i="21"/>
  <c r="AG364" i="21"/>
  <c r="E364" i="21"/>
  <c r="D364" i="21"/>
  <c r="C364" i="21"/>
  <c r="B364" i="21"/>
  <c r="A364" i="21"/>
  <c r="AG363" i="21"/>
  <c r="E363" i="21"/>
  <c r="D363" i="21"/>
  <c r="C363" i="21"/>
  <c r="B363" i="21"/>
  <c r="A363" i="21"/>
  <c r="AG362" i="21"/>
  <c r="E362" i="21"/>
  <c r="D362" i="21"/>
  <c r="C362" i="21"/>
  <c r="B362" i="21"/>
  <c r="A362" i="21"/>
  <c r="AG361" i="21"/>
  <c r="E361" i="21"/>
  <c r="D361" i="21"/>
  <c r="C361" i="21"/>
  <c r="B361" i="21"/>
  <c r="A361" i="21"/>
  <c r="AG360" i="21"/>
  <c r="E360" i="21"/>
  <c r="D360" i="21"/>
  <c r="C360" i="21"/>
  <c r="B360" i="21"/>
  <c r="A360" i="21"/>
  <c r="AG359" i="21"/>
  <c r="E359" i="21"/>
  <c r="D359" i="21"/>
  <c r="C359" i="21"/>
  <c r="B359" i="21"/>
  <c r="A359" i="21"/>
  <c r="AG358" i="21"/>
  <c r="E358" i="21"/>
  <c r="D358" i="21"/>
  <c r="C358" i="21"/>
  <c r="B358" i="21"/>
  <c r="A358" i="21"/>
  <c r="AG357" i="21"/>
  <c r="E357" i="21"/>
  <c r="D357" i="21"/>
  <c r="C357" i="21"/>
  <c r="B357" i="21"/>
  <c r="A357" i="21"/>
  <c r="AG356" i="21"/>
  <c r="E356" i="21"/>
  <c r="D356" i="21"/>
  <c r="C356" i="21"/>
  <c r="B356" i="21"/>
  <c r="A356" i="21"/>
  <c r="AG355" i="21"/>
  <c r="E355" i="21"/>
  <c r="D355" i="21"/>
  <c r="C355" i="21"/>
  <c r="B355" i="21"/>
  <c r="A355" i="21"/>
  <c r="AG354" i="21"/>
  <c r="E354" i="21"/>
  <c r="D354" i="21"/>
  <c r="C354" i="21"/>
  <c r="B354" i="21"/>
  <c r="A354" i="21"/>
  <c r="AG353" i="21"/>
  <c r="E353" i="21"/>
  <c r="D353" i="21"/>
  <c r="C353" i="21"/>
  <c r="B353" i="21"/>
  <c r="A353" i="21"/>
  <c r="AG352" i="21"/>
  <c r="E352" i="21"/>
  <c r="D352" i="21"/>
  <c r="C352" i="21"/>
  <c r="B352" i="21"/>
  <c r="A352" i="21"/>
  <c r="AG351" i="21"/>
  <c r="E351" i="21"/>
  <c r="D351" i="21"/>
  <c r="C351" i="21"/>
  <c r="B351" i="21"/>
  <c r="A351" i="21"/>
  <c r="AG350" i="21"/>
  <c r="E350" i="21"/>
  <c r="D350" i="21"/>
  <c r="C350" i="21"/>
  <c r="B350" i="21"/>
  <c r="A350" i="21"/>
  <c r="AG349" i="21"/>
  <c r="E349" i="21"/>
  <c r="D349" i="21"/>
  <c r="C349" i="21"/>
  <c r="B349" i="21"/>
  <c r="A349" i="21"/>
  <c r="AG348" i="21"/>
  <c r="E348" i="21"/>
  <c r="D348" i="21"/>
  <c r="C348" i="21"/>
  <c r="B348" i="21"/>
  <c r="A348" i="21"/>
  <c r="AG347" i="21"/>
  <c r="E347" i="21"/>
  <c r="D347" i="21"/>
  <c r="C347" i="21"/>
  <c r="B347" i="21"/>
  <c r="A347" i="21"/>
  <c r="AG346" i="21"/>
  <c r="E346" i="21"/>
  <c r="D346" i="21"/>
  <c r="C346" i="21"/>
  <c r="B346" i="21"/>
  <c r="A346" i="21"/>
  <c r="AG345" i="21"/>
  <c r="E345" i="21"/>
  <c r="D345" i="21"/>
  <c r="C345" i="21"/>
  <c r="B345" i="21"/>
  <c r="A345" i="21"/>
  <c r="AG344" i="21"/>
  <c r="E344" i="21"/>
  <c r="D344" i="21"/>
  <c r="C344" i="21"/>
  <c r="B344" i="21"/>
  <c r="A344" i="21"/>
  <c r="AG343" i="21"/>
  <c r="E343" i="21"/>
  <c r="D343" i="21"/>
  <c r="C343" i="21"/>
  <c r="B343" i="21"/>
  <c r="A343" i="21"/>
  <c r="AG342" i="21"/>
  <c r="E342" i="21"/>
  <c r="D342" i="21"/>
  <c r="C342" i="21"/>
  <c r="B342" i="21"/>
  <c r="A342" i="21"/>
  <c r="AG341" i="21"/>
  <c r="E341" i="21"/>
  <c r="D341" i="21"/>
  <c r="C341" i="21"/>
  <c r="B341" i="21"/>
  <c r="A341" i="21"/>
  <c r="AG340" i="21"/>
  <c r="E340" i="21"/>
  <c r="D340" i="21"/>
  <c r="C340" i="21"/>
  <c r="B340" i="21"/>
  <c r="A340" i="21"/>
  <c r="AG339" i="21"/>
  <c r="E339" i="21"/>
  <c r="D339" i="21"/>
  <c r="C339" i="21"/>
  <c r="B339" i="21"/>
  <c r="A339" i="21"/>
  <c r="AG338" i="21"/>
  <c r="E338" i="21"/>
  <c r="D338" i="21"/>
  <c r="C338" i="21"/>
  <c r="B338" i="21"/>
  <c r="A338" i="21"/>
  <c r="AG337" i="21"/>
  <c r="E337" i="21"/>
  <c r="D337" i="21"/>
  <c r="C337" i="21"/>
  <c r="B337" i="21"/>
  <c r="A337" i="21"/>
  <c r="AG336" i="21"/>
  <c r="E336" i="21"/>
  <c r="D336" i="21"/>
  <c r="C336" i="21"/>
  <c r="B336" i="21"/>
  <c r="A336" i="21"/>
  <c r="AG335" i="21"/>
  <c r="E335" i="21"/>
  <c r="D335" i="21"/>
  <c r="C335" i="21"/>
  <c r="B335" i="21"/>
  <c r="A335" i="21"/>
  <c r="AG334" i="21"/>
  <c r="E334" i="21"/>
  <c r="D334" i="21"/>
  <c r="C334" i="21"/>
  <c r="B334" i="21"/>
  <c r="A334" i="21"/>
  <c r="AG333" i="21"/>
  <c r="E333" i="21"/>
  <c r="D333" i="21"/>
  <c r="C333" i="21"/>
  <c r="B333" i="21"/>
  <c r="A333" i="21"/>
  <c r="AG332" i="21"/>
  <c r="E332" i="21"/>
  <c r="D332" i="21"/>
  <c r="C332" i="21"/>
  <c r="B332" i="21"/>
  <c r="A332" i="21"/>
  <c r="AG331" i="21"/>
  <c r="E331" i="21"/>
  <c r="D331" i="21"/>
  <c r="C331" i="21"/>
  <c r="B331" i="21"/>
  <c r="A331" i="21"/>
  <c r="AG330" i="21"/>
  <c r="E330" i="21"/>
  <c r="D330" i="21"/>
  <c r="C330" i="21"/>
  <c r="B330" i="21"/>
  <c r="A330" i="21"/>
  <c r="AG329" i="21"/>
  <c r="E329" i="21"/>
  <c r="D329" i="21"/>
  <c r="C329" i="21"/>
  <c r="B329" i="21"/>
  <c r="A329" i="21"/>
  <c r="AG328" i="21"/>
  <c r="E328" i="21"/>
  <c r="D328" i="21"/>
  <c r="C328" i="21"/>
  <c r="B328" i="21"/>
  <c r="A328" i="21"/>
  <c r="AG327" i="21"/>
  <c r="E327" i="21"/>
  <c r="D327" i="21"/>
  <c r="C327" i="21"/>
  <c r="B327" i="21"/>
  <c r="A327" i="21"/>
  <c r="AG326" i="21"/>
  <c r="E326" i="21"/>
  <c r="D326" i="21"/>
  <c r="C326" i="21"/>
  <c r="B326" i="21"/>
  <c r="A326" i="21"/>
  <c r="AG325" i="21"/>
  <c r="E325" i="21"/>
  <c r="D325" i="21"/>
  <c r="C325" i="21"/>
  <c r="B325" i="21"/>
  <c r="A325" i="21"/>
  <c r="AG324" i="21"/>
  <c r="E324" i="21"/>
  <c r="D324" i="21"/>
  <c r="C324" i="21"/>
  <c r="B324" i="21"/>
  <c r="A324" i="21"/>
  <c r="AG323" i="21"/>
  <c r="E323" i="21"/>
  <c r="D323" i="21"/>
  <c r="C323" i="21"/>
  <c r="B323" i="21"/>
  <c r="A323" i="21"/>
  <c r="AG322" i="21"/>
  <c r="E322" i="21"/>
  <c r="D322" i="21"/>
  <c r="C322" i="21"/>
  <c r="B322" i="21"/>
  <c r="A322" i="21"/>
  <c r="AG321" i="21"/>
  <c r="E321" i="21"/>
  <c r="D321" i="21"/>
  <c r="C321" i="21"/>
  <c r="B321" i="21"/>
  <c r="A321" i="21"/>
  <c r="AG320" i="21"/>
  <c r="E320" i="21"/>
  <c r="D320" i="21"/>
  <c r="C320" i="21"/>
  <c r="B320" i="21"/>
  <c r="A320" i="21"/>
  <c r="AG319" i="21"/>
  <c r="E319" i="21"/>
  <c r="D319" i="21"/>
  <c r="C319" i="21"/>
  <c r="B319" i="21"/>
  <c r="A319" i="21"/>
  <c r="AG318" i="21"/>
  <c r="E318" i="21"/>
  <c r="D318" i="21"/>
  <c r="C318" i="21"/>
  <c r="B318" i="21"/>
  <c r="A318" i="21"/>
  <c r="AG317" i="21"/>
  <c r="E317" i="21"/>
  <c r="D317" i="21"/>
  <c r="C317" i="21"/>
  <c r="B317" i="21"/>
  <c r="A317" i="21"/>
  <c r="AG316" i="21"/>
  <c r="E316" i="21"/>
  <c r="D316" i="21"/>
  <c r="C316" i="21"/>
  <c r="B316" i="21"/>
  <c r="A316" i="21"/>
  <c r="AG315" i="21"/>
  <c r="E315" i="21"/>
  <c r="D315" i="21"/>
  <c r="C315" i="21"/>
  <c r="B315" i="21"/>
  <c r="A315" i="21"/>
  <c r="AG314" i="21"/>
  <c r="E314" i="21"/>
  <c r="D314" i="21"/>
  <c r="C314" i="21"/>
  <c r="B314" i="21"/>
  <c r="A314" i="21"/>
  <c r="AG313" i="21"/>
  <c r="E313" i="21"/>
  <c r="D313" i="21"/>
  <c r="C313" i="21"/>
  <c r="B313" i="21"/>
  <c r="A313" i="21"/>
  <c r="AG312" i="21"/>
  <c r="E312" i="21"/>
  <c r="D312" i="21"/>
  <c r="C312" i="21"/>
  <c r="B312" i="21"/>
  <c r="A312" i="21"/>
  <c r="AG311" i="21"/>
  <c r="E311" i="21"/>
  <c r="D311" i="21"/>
  <c r="C311" i="21"/>
  <c r="B311" i="21"/>
  <c r="A311" i="21"/>
  <c r="AG310" i="21"/>
  <c r="E310" i="21"/>
  <c r="D310" i="21"/>
  <c r="C310" i="21"/>
  <c r="B310" i="21"/>
  <c r="A310" i="21"/>
  <c r="AG309" i="21"/>
  <c r="E309" i="21"/>
  <c r="D309" i="21"/>
  <c r="C309" i="21"/>
  <c r="B309" i="21"/>
  <c r="A309" i="21"/>
  <c r="AG308" i="21"/>
  <c r="E308" i="21"/>
  <c r="D308" i="21"/>
  <c r="C308" i="21"/>
  <c r="B308" i="21"/>
  <c r="A308" i="21"/>
  <c r="AG307" i="21"/>
  <c r="E307" i="21"/>
  <c r="D307" i="21"/>
  <c r="C307" i="21"/>
  <c r="B307" i="21"/>
  <c r="A307" i="21"/>
  <c r="AG306" i="21"/>
  <c r="E306" i="21"/>
  <c r="D306" i="21"/>
  <c r="C306" i="21"/>
  <c r="B306" i="21"/>
  <c r="A306" i="21"/>
  <c r="AG305" i="21"/>
  <c r="E305" i="21"/>
  <c r="D305" i="21"/>
  <c r="C305" i="21"/>
  <c r="B305" i="21"/>
  <c r="A305" i="21"/>
  <c r="AG304" i="21"/>
  <c r="E304" i="21"/>
  <c r="D304" i="21"/>
  <c r="C304" i="21"/>
  <c r="B304" i="21"/>
  <c r="A304" i="21"/>
  <c r="AG303" i="21"/>
  <c r="E303" i="21"/>
  <c r="D303" i="21"/>
  <c r="C303" i="21"/>
  <c r="B303" i="21"/>
  <c r="A303" i="21"/>
  <c r="AG302" i="21"/>
  <c r="E302" i="21"/>
  <c r="D302" i="21"/>
  <c r="C302" i="21"/>
  <c r="B302" i="21"/>
  <c r="A302" i="21"/>
  <c r="AG301" i="21"/>
  <c r="E301" i="21"/>
  <c r="D301" i="21"/>
  <c r="C301" i="21"/>
  <c r="B301" i="21"/>
  <c r="A301" i="21"/>
  <c r="AG300" i="21"/>
  <c r="E300" i="21"/>
  <c r="D300" i="21"/>
  <c r="C300" i="21"/>
  <c r="B300" i="21"/>
  <c r="A300" i="21"/>
  <c r="AG299" i="21"/>
  <c r="E299" i="21"/>
  <c r="D299" i="21"/>
  <c r="C299" i="21"/>
  <c r="B299" i="21"/>
  <c r="A299" i="21"/>
  <c r="AG298" i="21"/>
  <c r="E298" i="21"/>
  <c r="D298" i="21"/>
  <c r="C298" i="21"/>
  <c r="B298" i="21"/>
  <c r="A298" i="21"/>
  <c r="AG297" i="21"/>
  <c r="E297" i="21"/>
  <c r="D297" i="21"/>
  <c r="C297" i="21"/>
  <c r="B297" i="21"/>
  <c r="A297" i="21"/>
  <c r="AG296" i="21"/>
  <c r="E296" i="21"/>
  <c r="D296" i="21"/>
  <c r="C296" i="21"/>
  <c r="B296" i="21"/>
  <c r="A296" i="21"/>
  <c r="AG295" i="21"/>
  <c r="E295" i="21"/>
  <c r="D295" i="21"/>
  <c r="C295" i="21"/>
  <c r="B295" i="21"/>
  <c r="A295" i="21"/>
  <c r="AG294" i="21"/>
  <c r="E294" i="21"/>
  <c r="D294" i="21"/>
  <c r="C294" i="21"/>
  <c r="B294" i="21"/>
  <c r="A294" i="21"/>
  <c r="AG293" i="21"/>
  <c r="E293" i="21"/>
  <c r="D293" i="21"/>
  <c r="C293" i="21"/>
  <c r="B293" i="21"/>
  <c r="A293" i="21"/>
  <c r="AG292" i="21"/>
  <c r="E292" i="21"/>
  <c r="D292" i="21"/>
  <c r="C292" i="21"/>
  <c r="B292" i="21"/>
  <c r="A292" i="21"/>
  <c r="AG291" i="21"/>
  <c r="E291" i="21"/>
  <c r="D291" i="21"/>
  <c r="C291" i="21"/>
  <c r="B291" i="21"/>
  <c r="A291" i="21"/>
  <c r="AG290" i="21"/>
  <c r="E290" i="21"/>
  <c r="D290" i="21"/>
  <c r="C290" i="21"/>
  <c r="B290" i="21"/>
  <c r="A290" i="21"/>
  <c r="AG289" i="21"/>
  <c r="E289" i="21"/>
  <c r="D289" i="21"/>
  <c r="C289" i="21"/>
  <c r="B289" i="21"/>
  <c r="A289" i="21"/>
  <c r="AG288" i="21"/>
  <c r="E288" i="21"/>
  <c r="D288" i="21"/>
  <c r="C288" i="21"/>
  <c r="B288" i="21"/>
  <c r="A288" i="21"/>
  <c r="AG287" i="21"/>
  <c r="E287" i="21"/>
  <c r="D287" i="21"/>
  <c r="C287" i="21"/>
  <c r="B287" i="21"/>
  <c r="A287" i="21"/>
  <c r="AG286" i="21"/>
  <c r="E286" i="21"/>
  <c r="D286" i="21"/>
  <c r="C286" i="21"/>
  <c r="B286" i="21"/>
  <c r="A286" i="21"/>
  <c r="AG285" i="21"/>
  <c r="E285" i="21"/>
  <c r="D285" i="21"/>
  <c r="C285" i="21"/>
  <c r="B285" i="21"/>
  <c r="A285" i="21"/>
  <c r="AG284" i="21"/>
  <c r="E284" i="21"/>
  <c r="D284" i="21"/>
  <c r="C284" i="21"/>
  <c r="B284" i="21"/>
  <c r="A284" i="21"/>
  <c r="AG283" i="21"/>
  <c r="E283" i="21"/>
  <c r="D283" i="21"/>
  <c r="C283" i="21"/>
  <c r="B283" i="21"/>
  <c r="A283" i="21"/>
  <c r="AG282" i="21"/>
  <c r="E282" i="21"/>
  <c r="D282" i="21"/>
  <c r="C282" i="21"/>
  <c r="B282" i="21"/>
  <c r="A282" i="21"/>
  <c r="AG281" i="21"/>
  <c r="E281" i="21"/>
  <c r="D281" i="21"/>
  <c r="C281" i="21"/>
  <c r="B281" i="21"/>
  <c r="A281" i="21"/>
  <c r="AG280" i="21"/>
  <c r="E280" i="21"/>
  <c r="D280" i="21"/>
  <c r="C280" i="21"/>
  <c r="B280" i="21"/>
  <c r="A280" i="21"/>
  <c r="AG279" i="21"/>
  <c r="E279" i="21"/>
  <c r="D279" i="21"/>
  <c r="C279" i="21"/>
  <c r="B279" i="21"/>
  <c r="A279" i="21"/>
  <c r="AG278" i="21"/>
  <c r="E278" i="21"/>
  <c r="D278" i="21"/>
  <c r="C278" i="21"/>
  <c r="B278" i="21"/>
  <c r="AG277" i="21"/>
  <c r="E277" i="21"/>
  <c r="D277" i="21"/>
  <c r="C277" i="21"/>
  <c r="B277" i="21"/>
  <c r="A277" i="21"/>
  <c r="AG276" i="21"/>
  <c r="E276" i="21"/>
  <c r="D276" i="21"/>
  <c r="C276" i="21"/>
  <c r="B276" i="21"/>
  <c r="A276" i="21"/>
  <c r="AG275" i="21"/>
  <c r="E275" i="21"/>
  <c r="D275" i="21"/>
  <c r="C275" i="21"/>
  <c r="B275" i="21"/>
  <c r="A275" i="21"/>
  <c r="AG274" i="21"/>
  <c r="E274" i="21"/>
  <c r="D274" i="21"/>
  <c r="C274" i="21"/>
  <c r="B274" i="21"/>
  <c r="A274" i="21"/>
  <c r="AG273" i="21"/>
  <c r="E273" i="21"/>
  <c r="D273" i="21"/>
  <c r="C273" i="21"/>
  <c r="B273" i="21"/>
  <c r="A273" i="21"/>
  <c r="AG272" i="21"/>
  <c r="E272" i="21"/>
  <c r="D272" i="21"/>
  <c r="C272" i="21"/>
  <c r="B272" i="21"/>
  <c r="A272" i="21"/>
  <c r="AG271" i="21"/>
  <c r="E271" i="21"/>
  <c r="D271" i="21"/>
  <c r="C271" i="21"/>
  <c r="B271" i="21"/>
  <c r="A271" i="21"/>
  <c r="AG270" i="21"/>
  <c r="E270" i="21"/>
  <c r="D270" i="21"/>
  <c r="C270" i="21"/>
  <c r="B270" i="21"/>
  <c r="A270" i="21"/>
  <c r="AG269" i="21"/>
  <c r="E269" i="21"/>
  <c r="D269" i="21"/>
  <c r="C269" i="21"/>
  <c r="B269" i="21"/>
  <c r="A269" i="21"/>
  <c r="AG268" i="21"/>
  <c r="E268" i="21"/>
  <c r="D268" i="21"/>
  <c r="C268" i="21"/>
  <c r="B268" i="21"/>
  <c r="A268" i="21"/>
  <c r="AG267" i="21"/>
  <c r="E267" i="21"/>
  <c r="D267" i="21"/>
  <c r="C267" i="21"/>
  <c r="B267" i="21"/>
  <c r="A267" i="21"/>
  <c r="AG266" i="21"/>
  <c r="E266" i="21"/>
  <c r="D266" i="21"/>
  <c r="C266" i="21"/>
  <c r="B266" i="21"/>
  <c r="A266" i="21"/>
  <c r="AG265" i="21"/>
  <c r="E265" i="21"/>
  <c r="D265" i="21"/>
  <c r="C265" i="21"/>
  <c r="B265" i="21"/>
  <c r="A265" i="21"/>
  <c r="AG264" i="21"/>
  <c r="E264" i="21"/>
  <c r="D264" i="21"/>
  <c r="C264" i="21"/>
  <c r="B264" i="21"/>
  <c r="A264" i="21"/>
  <c r="AG263" i="21"/>
  <c r="E263" i="21"/>
  <c r="D263" i="21"/>
  <c r="C263" i="21"/>
  <c r="B263" i="21"/>
  <c r="A263" i="21"/>
  <c r="AG262" i="21"/>
  <c r="E262" i="21"/>
  <c r="D262" i="21"/>
  <c r="C262" i="21"/>
  <c r="B262" i="21"/>
  <c r="A262" i="21"/>
  <c r="AG261" i="21"/>
  <c r="E261" i="21"/>
  <c r="D261" i="21"/>
  <c r="C261" i="21"/>
  <c r="B261" i="21"/>
  <c r="A261" i="21"/>
  <c r="AG260" i="21"/>
  <c r="E260" i="21"/>
  <c r="D260" i="21"/>
  <c r="C260" i="21"/>
  <c r="B260" i="21"/>
  <c r="A260" i="21"/>
  <c r="AG259" i="21"/>
  <c r="E259" i="21"/>
  <c r="D259" i="21"/>
  <c r="C259" i="21"/>
  <c r="B259" i="21"/>
  <c r="A259" i="21"/>
  <c r="AG258" i="21"/>
  <c r="E258" i="21"/>
  <c r="D258" i="21"/>
  <c r="C258" i="21"/>
  <c r="B258" i="21"/>
  <c r="A258" i="21"/>
  <c r="AG257" i="21"/>
  <c r="E257" i="21"/>
  <c r="D257" i="21"/>
  <c r="C257" i="21"/>
  <c r="B257" i="21"/>
  <c r="A257" i="21"/>
  <c r="AG256" i="21"/>
  <c r="E256" i="21"/>
  <c r="D256" i="21"/>
  <c r="C256" i="21"/>
  <c r="B256" i="21"/>
  <c r="A256" i="21"/>
  <c r="AG255" i="21"/>
  <c r="E255" i="21"/>
  <c r="D255" i="21"/>
  <c r="C255" i="21"/>
  <c r="B255" i="21"/>
  <c r="A255" i="21"/>
  <c r="AG254" i="21"/>
  <c r="E254" i="21"/>
  <c r="D254" i="21"/>
  <c r="C254" i="21"/>
  <c r="B254" i="21"/>
  <c r="A254" i="21"/>
  <c r="AG253" i="21"/>
  <c r="E253" i="21"/>
  <c r="D253" i="21"/>
  <c r="C253" i="21"/>
  <c r="B253" i="21"/>
  <c r="A253" i="21"/>
  <c r="AG252" i="21"/>
  <c r="E252" i="21"/>
  <c r="D252" i="21"/>
  <c r="C252" i="21"/>
  <c r="B252" i="21"/>
  <c r="A252" i="21"/>
  <c r="AG251" i="21"/>
  <c r="E251" i="21"/>
  <c r="D251" i="21"/>
  <c r="C251" i="21"/>
  <c r="B251" i="21"/>
  <c r="A251" i="21"/>
  <c r="AG250" i="21"/>
  <c r="E250" i="21"/>
  <c r="D250" i="21"/>
  <c r="C250" i="21"/>
  <c r="B250" i="21"/>
  <c r="A250" i="21"/>
  <c r="AG249" i="21"/>
  <c r="E249" i="21"/>
  <c r="D249" i="21"/>
  <c r="C249" i="21"/>
  <c r="B249" i="21"/>
  <c r="A249" i="21"/>
  <c r="AG248" i="21"/>
  <c r="E248" i="21"/>
  <c r="D248" i="21"/>
  <c r="C248" i="21"/>
  <c r="B248" i="21"/>
  <c r="A248" i="21"/>
  <c r="AG247" i="21"/>
  <c r="E247" i="21"/>
  <c r="D247" i="21"/>
  <c r="C247" i="21"/>
  <c r="B247" i="21"/>
  <c r="A247" i="21"/>
  <c r="AG246" i="21"/>
  <c r="E246" i="21"/>
  <c r="D246" i="21"/>
  <c r="C246" i="21"/>
  <c r="B246" i="21"/>
  <c r="A246" i="21"/>
  <c r="AG245" i="21"/>
  <c r="E245" i="21"/>
  <c r="D245" i="21"/>
  <c r="C245" i="21"/>
  <c r="B245" i="21"/>
  <c r="A245" i="21"/>
  <c r="AG244" i="21"/>
  <c r="E244" i="21"/>
  <c r="D244" i="21"/>
  <c r="C244" i="21"/>
  <c r="B244" i="21"/>
  <c r="A244" i="21"/>
  <c r="AG243" i="21"/>
  <c r="E243" i="21"/>
  <c r="D243" i="21"/>
  <c r="C243" i="21"/>
  <c r="B243" i="21"/>
  <c r="A243" i="21"/>
  <c r="AG242" i="21"/>
  <c r="E242" i="21"/>
  <c r="D242" i="21"/>
  <c r="C242" i="21"/>
  <c r="B242" i="21"/>
  <c r="A242" i="21"/>
  <c r="AG241" i="21"/>
  <c r="E241" i="21"/>
  <c r="D241" i="21"/>
  <c r="C241" i="21"/>
  <c r="B241" i="21"/>
  <c r="A241" i="21"/>
  <c r="AG240" i="21"/>
  <c r="E240" i="21"/>
  <c r="D240" i="21"/>
  <c r="C240" i="21"/>
  <c r="B240" i="21"/>
  <c r="A240" i="21"/>
  <c r="AG239" i="21"/>
  <c r="E239" i="21"/>
  <c r="D239" i="21"/>
  <c r="C239" i="21"/>
  <c r="B239" i="21"/>
  <c r="A239" i="21"/>
  <c r="AG238" i="21"/>
  <c r="E238" i="21"/>
  <c r="D238" i="21"/>
  <c r="C238" i="21"/>
  <c r="B238" i="21"/>
  <c r="A238" i="21"/>
  <c r="AG237" i="21"/>
  <c r="E237" i="21"/>
  <c r="D237" i="21"/>
  <c r="C237" i="21"/>
  <c r="B237" i="21"/>
  <c r="A237" i="21"/>
  <c r="AG236" i="21"/>
  <c r="E236" i="21"/>
  <c r="D236" i="21"/>
  <c r="C236" i="21"/>
  <c r="B236" i="21"/>
  <c r="A236" i="21"/>
  <c r="AG235" i="21"/>
  <c r="E235" i="21"/>
  <c r="D235" i="21"/>
  <c r="C235" i="21"/>
  <c r="B235" i="21"/>
  <c r="A235" i="21"/>
  <c r="AG234" i="21"/>
  <c r="E234" i="21"/>
  <c r="D234" i="21"/>
  <c r="C234" i="21"/>
  <c r="B234" i="21"/>
  <c r="A234" i="21"/>
  <c r="AG233" i="21"/>
  <c r="E233" i="21"/>
  <c r="D233" i="21"/>
  <c r="C233" i="21"/>
  <c r="B233" i="21"/>
  <c r="A233" i="21"/>
  <c r="AG232" i="21"/>
  <c r="E232" i="21"/>
  <c r="D232" i="21"/>
  <c r="C232" i="21"/>
  <c r="B232" i="21"/>
  <c r="A232" i="21"/>
  <c r="AG231" i="21"/>
  <c r="E231" i="21"/>
  <c r="D231" i="21"/>
  <c r="C231" i="21"/>
  <c r="B231" i="21"/>
  <c r="A231" i="21"/>
  <c r="AG230" i="21"/>
  <c r="E230" i="21"/>
  <c r="D230" i="21"/>
  <c r="C230" i="21"/>
  <c r="B230" i="21"/>
  <c r="A230" i="21"/>
  <c r="AG229" i="21"/>
  <c r="E229" i="21"/>
  <c r="D229" i="21"/>
  <c r="C229" i="21"/>
  <c r="B229" i="21"/>
  <c r="A229" i="21"/>
  <c r="AG228" i="21"/>
  <c r="E228" i="21"/>
  <c r="D228" i="21"/>
  <c r="C228" i="21"/>
  <c r="B228" i="21"/>
  <c r="A228" i="21"/>
  <c r="AG227" i="21"/>
  <c r="E227" i="21"/>
  <c r="D227" i="21"/>
  <c r="C227" i="21"/>
  <c r="B227" i="21"/>
  <c r="A227" i="21"/>
  <c r="AG226" i="21"/>
  <c r="E226" i="21"/>
  <c r="D226" i="21"/>
  <c r="C226" i="21"/>
  <c r="B226" i="21"/>
  <c r="A226" i="21"/>
  <c r="AG225" i="21"/>
  <c r="E225" i="21"/>
  <c r="D225" i="21"/>
  <c r="C225" i="21"/>
  <c r="B225" i="21"/>
  <c r="A225" i="21"/>
  <c r="AG224" i="21"/>
  <c r="E224" i="21"/>
  <c r="D224" i="21"/>
  <c r="C224" i="21"/>
  <c r="B224" i="21"/>
  <c r="A224" i="21"/>
  <c r="AG223" i="21"/>
  <c r="E223" i="21"/>
  <c r="D223" i="21"/>
  <c r="C223" i="21"/>
  <c r="B223" i="21"/>
  <c r="A223" i="21"/>
  <c r="AG222" i="21"/>
  <c r="E222" i="21"/>
  <c r="D222" i="21"/>
  <c r="C222" i="21"/>
  <c r="B222" i="21"/>
  <c r="A222" i="21"/>
  <c r="AG221" i="21"/>
  <c r="E221" i="21"/>
  <c r="D221" i="21"/>
  <c r="C221" i="21"/>
  <c r="B221" i="21"/>
  <c r="A221" i="21"/>
  <c r="AG220" i="21"/>
  <c r="E220" i="21"/>
  <c r="D220" i="21"/>
  <c r="C220" i="21"/>
  <c r="B220" i="21"/>
  <c r="A220" i="21"/>
  <c r="AG219" i="21"/>
  <c r="E219" i="21"/>
  <c r="D219" i="21"/>
  <c r="C219" i="21"/>
  <c r="B219" i="21"/>
  <c r="A219" i="21"/>
  <c r="AG218" i="21"/>
  <c r="E218" i="21"/>
  <c r="D218" i="21"/>
  <c r="C218" i="21"/>
  <c r="B218" i="21"/>
  <c r="A218" i="21"/>
  <c r="AG217" i="21"/>
  <c r="E217" i="21"/>
  <c r="D217" i="21"/>
  <c r="C217" i="21"/>
  <c r="B217" i="21"/>
  <c r="A217" i="21"/>
  <c r="AG216" i="21"/>
  <c r="E216" i="21"/>
  <c r="D216" i="21"/>
  <c r="C216" i="21"/>
  <c r="B216" i="21"/>
  <c r="A216" i="21"/>
  <c r="AG215" i="21"/>
  <c r="E215" i="21"/>
  <c r="D215" i="21"/>
  <c r="C215" i="21"/>
  <c r="B215" i="21"/>
  <c r="A215" i="21"/>
  <c r="AG214" i="21"/>
  <c r="E214" i="21"/>
  <c r="D214" i="21"/>
  <c r="C214" i="21"/>
  <c r="B214" i="21"/>
  <c r="A214" i="21"/>
  <c r="AG213" i="21"/>
  <c r="E213" i="21"/>
  <c r="D213" i="21"/>
  <c r="C213" i="21"/>
  <c r="B213" i="21"/>
  <c r="A213" i="21"/>
  <c r="AG212" i="21"/>
  <c r="E212" i="21"/>
  <c r="D212" i="21"/>
  <c r="C212" i="21"/>
  <c r="B212" i="21"/>
  <c r="A212" i="21"/>
  <c r="AG211" i="21"/>
  <c r="E211" i="21"/>
  <c r="D211" i="21"/>
  <c r="C211" i="21"/>
  <c r="B211" i="21"/>
  <c r="A211" i="21"/>
  <c r="AG210" i="21"/>
  <c r="E210" i="21"/>
  <c r="D210" i="21"/>
  <c r="C210" i="21"/>
  <c r="B210" i="21"/>
  <c r="A210" i="21"/>
  <c r="AG209" i="21"/>
  <c r="E209" i="21"/>
  <c r="D209" i="21"/>
  <c r="C209" i="21"/>
  <c r="B209" i="21"/>
  <c r="A209" i="21"/>
  <c r="AG208" i="21"/>
  <c r="E208" i="21"/>
  <c r="D208" i="21"/>
  <c r="C208" i="21"/>
  <c r="B208" i="21"/>
  <c r="A208" i="21"/>
  <c r="AG207" i="21"/>
  <c r="E207" i="21"/>
  <c r="D207" i="21"/>
  <c r="C207" i="21"/>
  <c r="B207" i="21"/>
  <c r="A207" i="21"/>
  <c r="AG206" i="21"/>
  <c r="E206" i="21"/>
  <c r="D206" i="21"/>
  <c r="C206" i="21"/>
  <c r="B206" i="21"/>
  <c r="A206" i="21"/>
  <c r="AG205" i="21"/>
  <c r="E205" i="21"/>
  <c r="D205" i="21"/>
  <c r="C205" i="21"/>
  <c r="B205" i="21"/>
  <c r="A205" i="21"/>
  <c r="AG204" i="21"/>
  <c r="E204" i="21"/>
  <c r="D204" i="21"/>
  <c r="C204" i="21"/>
  <c r="B204" i="21"/>
  <c r="A204" i="21"/>
  <c r="AG203" i="21"/>
  <c r="E203" i="21"/>
  <c r="D203" i="21"/>
  <c r="C203" i="21"/>
  <c r="B203" i="21"/>
  <c r="A203" i="21"/>
  <c r="AG202" i="21"/>
  <c r="E202" i="21"/>
  <c r="D202" i="21"/>
  <c r="C202" i="21"/>
  <c r="B202" i="21"/>
  <c r="A202" i="21"/>
  <c r="AG201" i="21"/>
  <c r="E201" i="21"/>
  <c r="D201" i="21"/>
  <c r="C201" i="21"/>
  <c r="B201" i="21"/>
  <c r="A201" i="21"/>
  <c r="AG200" i="21"/>
  <c r="E200" i="21"/>
  <c r="D200" i="21"/>
  <c r="C200" i="21"/>
  <c r="B200" i="21"/>
  <c r="A200" i="21"/>
  <c r="AG199" i="21"/>
  <c r="E199" i="21"/>
  <c r="D199" i="21"/>
  <c r="C199" i="21"/>
  <c r="B199" i="21"/>
  <c r="A199" i="21"/>
  <c r="AG198" i="21"/>
  <c r="E198" i="21"/>
  <c r="D198" i="21"/>
  <c r="C198" i="21"/>
  <c r="B198" i="21"/>
  <c r="A198" i="21"/>
  <c r="AG197" i="21"/>
  <c r="E197" i="21"/>
  <c r="D197" i="21"/>
  <c r="C197" i="21"/>
  <c r="B197" i="21"/>
  <c r="A197" i="21"/>
  <c r="AG196" i="21"/>
  <c r="E196" i="21"/>
  <c r="D196" i="21"/>
  <c r="C196" i="21"/>
  <c r="B196" i="21"/>
  <c r="A196" i="21"/>
  <c r="AG195" i="21"/>
  <c r="E195" i="21"/>
  <c r="D195" i="21"/>
  <c r="C195" i="21"/>
  <c r="B195" i="21"/>
  <c r="A195" i="21"/>
  <c r="AG194" i="21"/>
  <c r="E194" i="21"/>
  <c r="D194" i="21"/>
  <c r="C194" i="21"/>
  <c r="B194" i="21"/>
  <c r="A194" i="21"/>
  <c r="AG193" i="21"/>
  <c r="E193" i="21"/>
  <c r="D193" i="21"/>
  <c r="C193" i="21"/>
  <c r="B193" i="21"/>
  <c r="A193" i="21"/>
  <c r="AG192" i="21"/>
  <c r="E192" i="21"/>
  <c r="D192" i="21"/>
  <c r="C192" i="21"/>
  <c r="B192" i="21"/>
  <c r="A192" i="21"/>
  <c r="AG191" i="21"/>
  <c r="E191" i="21"/>
  <c r="D191" i="21"/>
  <c r="C191" i="21"/>
  <c r="B191" i="21"/>
  <c r="A191" i="21"/>
  <c r="AG190" i="21"/>
  <c r="E190" i="21"/>
  <c r="D190" i="21"/>
  <c r="C190" i="21"/>
  <c r="B190" i="21"/>
  <c r="A190" i="21"/>
  <c r="AG189" i="21"/>
  <c r="E189" i="21"/>
  <c r="D189" i="21"/>
  <c r="C189" i="21"/>
  <c r="B189" i="21"/>
  <c r="A189" i="21"/>
  <c r="AG188" i="21"/>
  <c r="E188" i="21"/>
  <c r="D188" i="21"/>
  <c r="C188" i="21"/>
  <c r="B188" i="21"/>
  <c r="A188" i="21"/>
  <c r="AG187" i="21"/>
  <c r="E187" i="21"/>
  <c r="D187" i="21"/>
  <c r="C187" i="21"/>
  <c r="B187" i="21"/>
  <c r="A187" i="21"/>
  <c r="AG186" i="21"/>
  <c r="E186" i="21"/>
  <c r="D186" i="21"/>
  <c r="C186" i="21"/>
  <c r="B186" i="21"/>
  <c r="A186" i="21"/>
  <c r="AG185" i="21"/>
  <c r="E185" i="21"/>
  <c r="D185" i="21"/>
  <c r="C185" i="21"/>
  <c r="B185" i="21"/>
  <c r="A185" i="21"/>
  <c r="AG184" i="21"/>
  <c r="E184" i="21"/>
  <c r="D184" i="21"/>
  <c r="C184" i="21"/>
  <c r="B184" i="21"/>
  <c r="A184" i="21"/>
  <c r="AG183" i="21"/>
  <c r="E183" i="21"/>
  <c r="D183" i="21"/>
  <c r="C183" i="21"/>
  <c r="B183" i="21"/>
  <c r="A183" i="21"/>
  <c r="AG182" i="21"/>
  <c r="E182" i="21"/>
  <c r="D182" i="21"/>
  <c r="C182" i="21"/>
  <c r="B182" i="21"/>
  <c r="A182" i="21"/>
  <c r="AG181" i="21"/>
  <c r="E181" i="21"/>
  <c r="D181" i="21"/>
  <c r="C181" i="21"/>
  <c r="B181" i="21"/>
  <c r="A181" i="21"/>
  <c r="AG180" i="21"/>
  <c r="E180" i="21"/>
  <c r="D180" i="21"/>
  <c r="C180" i="21"/>
  <c r="B180" i="21"/>
  <c r="A180" i="21"/>
  <c r="AG179" i="21"/>
  <c r="E179" i="21"/>
  <c r="D179" i="21"/>
  <c r="C179" i="21"/>
  <c r="B179" i="21"/>
  <c r="A179" i="21"/>
  <c r="AG178" i="21"/>
  <c r="E178" i="21"/>
  <c r="D178" i="21"/>
  <c r="C178" i="21"/>
  <c r="B178" i="21"/>
  <c r="A178" i="21"/>
  <c r="AG177" i="21"/>
  <c r="E177" i="21"/>
  <c r="D177" i="21"/>
  <c r="C177" i="21"/>
  <c r="B177" i="21"/>
  <c r="A177" i="21"/>
  <c r="AG176" i="21"/>
  <c r="E176" i="21"/>
  <c r="D176" i="21"/>
  <c r="C176" i="21"/>
  <c r="B176" i="21"/>
  <c r="A176" i="21"/>
  <c r="AG175" i="21"/>
  <c r="E175" i="21"/>
  <c r="D175" i="21"/>
  <c r="C175" i="21"/>
  <c r="B175" i="21"/>
  <c r="A175" i="21"/>
  <c r="AG174" i="21"/>
  <c r="E174" i="21"/>
  <c r="D174" i="21"/>
  <c r="C174" i="21"/>
  <c r="B174" i="21"/>
  <c r="A174" i="21"/>
  <c r="AG173" i="21"/>
  <c r="E173" i="21"/>
  <c r="D173" i="21"/>
  <c r="C173" i="21"/>
  <c r="B173" i="21"/>
  <c r="A173" i="21"/>
  <c r="AG172" i="21"/>
  <c r="E172" i="21"/>
  <c r="D172" i="21"/>
  <c r="C172" i="21"/>
  <c r="B172" i="21"/>
  <c r="A172" i="21"/>
  <c r="AG171" i="21"/>
  <c r="E171" i="21"/>
  <c r="D171" i="21"/>
  <c r="C171" i="21"/>
  <c r="B171" i="21"/>
  <c r="A171" i="21"/>
  <c r="AG170" i="21"/>
  <c r="E170" i="21"/>
  <c r="D170" i="21"/>
  <c r="C170" i="21"/>
  <c r="B170" i="21"/>
  <c r="A170" i="21"/>
  <c r="AG169" i="21"/>
  <c r="E169" i="21"/>
  <c r="D169" i="21"/>
  <c r="C169" i="21"/>
  <c r="B169" i="21"/>
  <c r="A169" i="21"/>
  <c r="AG168" i="21"/>
  <c r="E168" i="21"/>
  <c r="D168" i="21"/>
  <c r="C168" i="21"/>
  <c r="B168" i="21"/>
  <c r="A168" i="21"/>
  <c r="AG167" i="21"/>
  <c r="E167" i="21"/>
  <c r="D167" i="21"/>
  <c r="C167" i="21"/>
  <c r="B167" i="21"/>
  <c r="A167" i="21"/>
  <c r="AG166" i="21"/>
  <c r="E166" i="21"/>
  <c r="D166" i="21"/>
  <c r="C166" i="21"/>
  <c r="B166" i="21"/>
  <c r="A166" i="21"/>
  <c r="AG165" i="21"/>
  <c r="E165" i="21"/>
  <c r="D165" i="21"/>
  <c r="C165" i="21"/>
  <c r="B165" i="21"/>
  <c r="A165" i="21"/>
  <c r="AG164" i="21"/>
  <c r="E164" i="21"/>
  <c r="D164" i="21"/>
  <c r="C164" i="21"/>
  <c r="B164" i="21"/>
  <c r="A164" i="21"/>
  <c r="AG163" i="21"/>
  <c r="E163" i="21"/>
  <c r="D163" i="21"/>
  <c r="C163" i="21"/>
  <c r="B163" i="21"/>
  <c r="A163" i="21"/>
  <c r="AG162" i="21"/>
  <c r="E162" i="21"/>
  <c r="D162" i="21"/>
  <c r="C162" i="21"/>
  <c r="B162" i="21"/>
  <c r="A162" i="21"/>
  <c r="AG161" i="21"/>
  <c r="E161" i="21"/>
  <c r="D161" i="21"/>
  <c r="C161" i="21"/>
  <c r="B161" i="21"/>
  <c r="A161" i="21"/>
  <c r="AG160" i="21"/>
  <c r="E160" i="21"/>
  <c r="D160" i="21"/>
  <c r="C160" i="21"/>
  <c r="B160" i="21"/>
  <c r="A160" i="21"/>
  <c r="AG159" i="21"/>
  <c r="E159" i="21"/>
  <c r="D159" i="21"/>
  <c r="C159" i="21"/>
  <c r="B159" i="21"/>
  <c r="A159" i="21"/>
  <c r="AG158" i="21"/>
  <c r="E158" i="21"/>
  <c r="D158" i="21"/>
  <c r="C158" i="21"/>
  <c r="B158" i="21"/>
  <c r="A158" i="21"/>
  <c r="AG157" i="21"/>
  <c r="E157" i="21"/>
  <c r="D157" i="21"/>
  <c r="C157" i="21"/>
  <c r="B157" i="21"/>
  <c r="A157" i="21"/>
  <c r="AG156" i="21"/>
  <c r="E156" i="21"/>
  <c r="D156" i="21"/>
  <c r="C156" i="21"/>
  <c r="B156" i="21"/>
  <c r="A156" i="21"/>
  <c r="AG155" i="21"/>
  <c r="E155" i="21"/>
  <c r="D155" i="21"/>
  <c r="C155" i="21"/>
  <c r="B155" i="21"/>
  <c r="A155" i="21"/>
  <c r="AG154" i="21"/>
  <c r="E154" i="21"/>
  <c r="D154" i="21"/>
  <c r="C154" i="21"/>
  <c r="B154" i="21"/>
  <c r="A154" i="21"/>
  <c r="AG153" i="21"/>
  <c r="E153" i="21"/>
  <c r="D153" i="21"/>
  <c r="C153" i="21"/>
  <c r="B153" i="21"/>
  <c r="A153" i="21"/>
  <c r="AG152" i="21"/>
  <c r="E152" i="21"/>
  <c r="D152" i="21"/>
  <c r="C152" i="21"/>
  <c r="B152" i="21"/>
  <c r="A152" i="21"/>
  <c r="AG151" i="21"/>
  <c r="E151" i="21"/>
  <c r="D151" i="21"/>
  <c r="C151" i="21"/>
  <c r="B151" i="21"/>
  <c r="A151" i="21"/>
  <c r="AG150" i="21"/>
  <c r="E150" i="21"/>
  <c r="D150" i="21"/>
  <c r="C150" i="21"/>
  <c r="B150" i="21"/>
  <c r="A150" i="21"/>
  <c r="AG149" i="21"/>
  <c r="E149" i="21"/>
  <c r="D149" i="21"/>
  <c r="C149" i="21"/>
  <c r="B149" i="21"/>
  <c r="A149" i="21"/>
  <c r="AG148" i="21"/>
  <c r="E148" i="21"/>
  <c r="D148" i="21"/>
  <c r="C148" i="21"/>
  <c r="B148" i="21"/>
  <c r="A148" i="21"/>
  <c r="AG147" i="21"/>
  <c r="E147" i="21"/>
  <c r="D147" i="21"/>
  <c r="C147" i="21"/>
  <c r="B147" i="21"/>
  <c r="A147" i="21"/>
  <c r="AG146" i="21"/>
  <c r="E146" i="21"/>
  <c r="D146" i="21"/>
  <c r="C146" i="21"/>
  <c r="B146" i="21"/>
  <c r="A146" i="21"/>
  <c r="AG145" i="21"/>
  <c r="E145" i="21"/>
  <c r="D145" i="21"/>
  <c r="C145" i="21"/>
  <c r="B145" i="21"/>
  <c r="A145" i="21"/>
  <c r="AG144" i="21"/>
  <c r="E144" i="21"/>
  <c r="D144" i="21"/>
  <c r="C144" i="21"/>
  <c r="B144" i="21"/>
  <c r="A144" i="21"/>
  <c r="AG143" i="21"/>
  <c r="E143" i="21"/>
  <c r="D143" i="21"/>
  <c r="C143" i="21"/>
  <c r="B143" i="21"/>
  <c r="A143" i="21"/>
  <c r="AG142" i="21"/>
  <c r="E142" i="21"/>
  <c r="D142" i="21"/>
  <c r="C142" i="21"/>
  <c r="B142" i="21"/>
  <c r="A142" i="21"/>
  <c r="AG141" i="21"/>
  <c r="E141" i="21"/>
  <c r="D141" i="21"/>
  <c r="C141" i="21"/>
  <c r="B141" i="21"/>
  <c r="A141" i="21"/>
  <c r="AG140" i="21"/>
  <c r="E140" i="21"/>
  <c r="D140" i="21"/>
  <c r="C140" i="21"/>
  <c r="B140" i="21"/>
  <c r="A140" i="21"/>
  <c r="AG139" i="21"/>
  <c r="E139" i="21"/>
  <c r="D139" i="21"/>
  <c r="C139" i="21"/>
  <c r="B139" i="21"/>
  <c r="A139" i="21"/>
  <c r="AG138" i="21"/>
  <c r="E138" i="21"/>
  <c r="D138" i="21"/>
  <c r="C138" i="21"/>
  <c r="B138" i="21"/>
  <c r="A138" i="21"/>
  <c r="AG137" i="21"/>
  <c r="E137" i="21"/>
  <c r="D137" i="21"/>
  <c r="C137" i="21"/>
  <c r="B137" i="21"/>
  <c r="A137" i="21"/>
  <c r="AG136" i="21"/>
  <c r="E136" i="21"/>
  <c r="D136" i="21"/>
  <c r="C136" i="21"/>
  <c r="B136" i="21"/>
  <c r="A136" i="21"/>
  <c r="AG135" i="21"/>
  <c r="E135" i="21"/>
  <c r="D135" i="21"/>
  <c r="C135" i="21"/>
  <c r="B135" i="21"/>
  <c r="A135" i="21"/>
  <c r="AG134" i="21"/>
  <c r="E134" i="21"/>
  <c r="D134" i="21"/>
  <c r="C134" i="21"/>
  <c r="B134" i="21"/>
  <c r="A134" i="21"/>
  <c r="AG133" i="21"/>
  <c r="E133" i="21"/>
  <c r="D133" i="21"/>
  <c r="C133" i="21"/>
  <c r="B133" i="21"/>
  <c r="A133" i="21"/>
  <c r="AG132" i="21"/>
  <c r="E132" i="21"/>
  <c r="D132" i="21"/>
  <c r="C132" i="21"/>
  <c r="B132" i="21"/>
  <c r="A132" i="21"/>
  <c r="AG131" i="21"/>
  <c r="E131" i="21"/>
  <c r="D131" i="21"/>
  <c r="C131" i="21"/>
  <c r="B131" i="21"/>
  <c r="A131" i="21"/>
  <c r="AG130" i="21"/>
  <c r="E130" i="21"/>
  <c r="D130" i="21"/>
  <c r="C130" i="21"/>
  <c r="B130" i="21"/>
  <c r="A130" i="21"/>
  <c r="AG129" i="21"/>
  <c r="E129" i="21"/>
  <c r="D129" i="21"/>
  <c r="C129" i="21"/>
  <c r="B129" i="21"/>
  <c r="A129" i="21"/>
  <c r="AG128" i="21"/>
  <c r="E128" i="21"/>
  <c r="D128" i="21"/>
  <c r="C128" i="21"/>
  <c r="B128" i="21"/>
  <c r="A128" i="21"/>
  <c r="AG127" i="21"/>
  <c r="E127" i="21"/>
  <c r="D127" i="21"/>
  <c r="C127" i="21"/>
  <c r="B127" i="21"/>
  <c r="A127" i="21"/>
  <c r="AG126" i="21"/>
  <c r="E126" i="21"/>
  <c r="D126" i="21"/>
  <c r="C126" i="21"/>
  <c r="B126" i="21"/>
  <c r="A126" i="21"/>
  <c r="AG125" i="21"/>
  <c r="E125" i="21"/>
  <c r="D125" i="21"/>
  <c r="C125" i="21"/>
  <c r="B125" i="21"/>
  <c r="A125" i="21"/>
  <c r="AG124" i="21"/>
  <c r="E124" i="21"/>
  <c r="D124" i="21"/>
  <c r="C124" i="21"/>
  <c r="B124" i="21"/>
  <c r="A124" i="21"/>
  <c r="AG123" i="21"/>
  <c r="E123" i="21"/>
  <c r="D123" i="21"/>
  <c r="C123" i="21"/>
  <c r="B123" i="21"/>
  <c r="A123" i="21"/>
  <c r="AG122" i="21"/>
  <c r="E122" i="21"/>
  <c r="D122" i="21"/>
  <c r="C122" i="21"/>
  <c r="B122" i="21"/>
  <c r="A122" i="21"/>
  <c r="AG121" i="21"/>
  <c r="E121" i="21"/>
  <c r="D121" i="21"/>
  <c r="C121" i="21"/>
  <c r="B121" i="21"/>
  <c r="A121" i="21"/>
  <c r="AG120" i="21"/>
  <c r="E120" i="21"/>
  <c r="D120" i="21"/>
  <c r="C120" i="21"/>
  <c r="B120" i="21"/>
  <c r="A120" i="21"/>
  <c r="AG119" i="21"/>
  <c r="E119" i="21"/>
  <c r="D119" i="21"/>
  <c r="C119" i="21"/>
  <c r="B119" i="21"/>
  <c r="A119" i="21"/>
  <c r="AG118" i="21"/>
  <c r="E118" i="21"/>
  <c r="D118" i="21"/>
  <c r="C118" i="21"/>
  <c r="B118" i="21"/>
  <c r="A118" i="21"/>
  <c r="AG117" i="21"/>
  <c r="E117" i="21"/>
  <c r="D117" i="21"/>
  <c r="C117" i="21"/>
  <c r="B117" i="21"/>
  <c r="A117" i="21"/>
  <c r="AG116" i="21"/>
  <c r="E116" i="21"/>
  <c r="D116" i="21"/>
  <c r="C116" i="21"/>
  <c r="B116" i="21"/>
  <c r="A116" i="21"/>
  <c r="AG115" i="21"/>
  <c r="E115" i="21"/>
  <c r="D115" i="21"/>
  <c r="C115" i="21"/>
  <c r="B115" i="21"/>
  <c r="A115" i="21"/>
  <c r="AG114" i="21"/>
  <c r="E114" i="21"/>
  <c r="D114" i="21"/>
  <c r="C114" i="21"/>
  <c r="B114" i="21"/>
  <c r="A114" i="21"/>
  <c r="AG113" i="21"/>
  <c r="E113" i="21"/>
  <c r="D113" i="21"/>
  <c r="C113" i="21"/>
  <c r="B113" i="21"/>
  <c r="A113" i="21"/>
  <c r="AG112" i="21"/>
  <c r="E112" i="21"/>
  <c r="D112" i="21"/>
  <c r="C112" i="21"/>
  <c r="B112" i="21"/>
  <c r="A112" i="21"/>
  <c r="AG111" i="21"/>
  <c r="E111" i="21"/>
  <c r="D111" i="21"/>
  <c r="C111" i="21"/>
  <c r="B111" i="21"/>
  <c r="A111" i="21"/>
  <c r="AG110" i="21"/>
  <c r="E110" i="21"/>
  <c r="D110" i="21"/>
  <c r="C110" i="21"/>
  <c r="B110" i="21"/>
  <c r="A110" i="21"/>
  <c r="AG109" i="21"/>
  <c r="E109" i="21"/>
  <c r="D109" i="21"/>
  <c r="C109" i="21"/>
  <c r="B109" i="21"/>
  <c r="A109" i="21"/>
  <c r="AG108" i="21"/>
  <c r="E108" i="21"/>
  <c r="D108" i="21"/>
  <c r="C108" i="21"/>
  <c r="B108" i="21"/>
  <c r="A108" i="21"/>
  <c r="AG107" i="21"/>
  <c r="E107" i="21"/>
  <c r="D107" i="21"/>
  <c r="C107" i="21"/>
  <c r="B107" i="21"/>
  <c r="A107" i="21"/>
  <c r="AG106" i="21"/>
  <c r="E106" i="21"/>
  <c r="D106" i="21"/>
  <c r="C106" i="21"/>
  <c r="B106" i="21"/>
  <c r="A106" i="21"/>
  <c r="AG105" i="21"/>
  <c r="E105" i="21"/>
  <c r="D105" i="21"/>
  <c r="C105" i="21"/>
  <c r="B105" i="21"/>
  <c r="A105" i="21"/>
  <c r="AG104" i="21"/>
  <c r="E104" i="21"/>
  <c r="D104" i="21"/>
  <c r="C104" i="21"/>
  <c r="B104" i="21"/>
  <c r="A104" i="21"/>
  <c r="AG103" i="21"/>
  <c r="E103" i="21"/>
  <c r="D103" i="21"/>
  <c r="C103" i="21"/>
  <c r="B103" i="21"/>
  <c r="A103" i="21"/>
  <c r="AG102" i="21"/>
  <c r="E102" i="21"/>
  <c r="D102" i="21"/>
  <c r="C102" i="21"/>
  <c r="B102" i="21"/>
  <c r="A102" i="21"/>
  <c r="AG101" i="21"/>
  <c r="E101" i="21"/>
  <c r="D101" i="21"/>
  <c r="C101" i="21"/>
  <c r="B101" i="21"/>
  <c r="A101" i="21"/>
  <c r="AG100" i="21"/>
  <c r="E100" i="21"/>
  <c r="D100" i="21"/>
  <c r="C100" i="21"/>
  <c r="B100" i="21"/>
  <c r="A100" i="21"/>
  <c r="AG99" i="21"/>
  <c r="E99" i="21"/>
  <c r="D99" i="21"/>
  <c r="C99" i="21"/>
  <c r="B99" i="21"/>
  <c r="A99" i="21"/>
  <c r="AG98" i="21"/>
  <c r="E98" i="21"/>
  <c r="D98" i="21"/>
  <c r="C98" i="21"/>
  <c r="B98" i="21"/>
  <c r="A98" i="21"/>
  <c r="AG97" i="21"/>
  <c r="E97" i="21"/>
  <c r="D97" i="21"/>
  <c r="C97" i="21"/>
  <c r="B97" i="21"/>
  <c r="A97" i="21"/>
  <c r="AG96" i="21"/>
  <c r="E96" i="21"/>
  <c r="D96" i="21"/>
  <c r="C96" i="21"/>
  <c r="B96" i="21"/>
  <c r="A96" i="21"/>
  <c r="AG95" i="21"/>
  <c r="E95" i="21"/>
  <c r="D95" i="21"/>
  <c r="C95" i="21"/>
  <c r="B95" i="21"/>
  <c r="A95" i="21"/>
  <c r="AG94" i="21"/>
  <c r="E94" i="21"/>
  <c r="D94" i="21"/>
  <c r="C94" i="21"/>
  <c r="B94" i="21"/>
  <c r="A94" i="21"/>
  <c r="AG93" i="21"/>
  <c r="E93" i="21"/>
  <c r="D93" i="21"/>
  <c r="C93" i="21"/>
  <c r="B93" i="21"/>
  <c r="A93" i="21"/>
  <c r="AG92" i="21"/>
  <c r="E92" i="21"/>
  <c r="D92" i="21"/>
  <c r="C92" i="21"/>
  <c r="B92" i="21"/>
  <c r="A92" i="21"/>
  <c r="AG91" i="21"/>
  <c r="E91" i="21"/>
  <c r="D91" i="21"/>
  <c r="C91" i="21"/>
  <c r="B91" i="21"/>
  <c r="A91" i="21"/>
  <c r="AG90" i="21"/>
  <c r="E90" i="21"/>
  <c r="D90" i="21"/>
  <c r="C90" i="21"/>
  <c r="B90" i="21"/>
  <c r="A90" i="21"/>
  <c r="AG89" i="21"/>
  <c r="E89" i="21"/>
  <c r="D89" i="21"/>
  <c r="C89" i="21"/>
  <c r="B89" i="21"/>
  <c r="A89" i="21"/>
  <c r="AG88" i="21"/>
  <c r="E88" i="21"/>
  <c r="D88" i="21"/>
  <c r="C88" i="21"/>
  <c r="B88" i="21"/>
  <c r="A88" i="21"/>
  <c r="AG87" i="21"/>
  <c r="E87" i="21"/>
  <c r="D87" i="21"/>
  <c r="C87" i="21"/>
  <c r="B87" i="21"/>
  <c r="A87" i="21"/>
  <c r="AG86" i="21"/>
  <c r="E86" i="21"/>
  <c r="D86" i="21"/>
  <c r="C86" i="21"/>
  <c r="B86" i="21"/>
  <c r="A86" i="21"/>
  <c r="AG85" i="21"/>
  <c r="E85" i="21"/>
  <c r="D85" i="21"/>
  <c r="C85" i="21"/>
  <c r="B85" i="21"/>
  <c r="A85" i="21"/>
  <c r="AG84" i="21"/>
  <c r="E84" i="21"/>
  <c r="D84" i="21"/>
  <c r="C84" i="21"/>
  <c r="B84" i="21"/>
  <c r="A84" i="21"/>
  <c r="AG83" i="21"/>
  <c r="E83" i="21"/>
  <c r="D83" i="21"/>
  <c r="C83" i="21"/>
  <c r="B83" i="21"/>
  <c r="A83" i="21"/>
  <c r="AG82" i="21"/>
  <c r="E82" i="21"/>
  <c r="D82" i="21"/>
  <c r="C82" i="21"/>
  <c r="B82" i="21"/>
  <c r="A82" i="21"/>
  <c r="AG81" i="21"/>
  <c r="E81" i="21"/>
  <c r="D81" i="21"/>
  <c r="C81" i="21"/>
  <c r="B81" i="21"/>
  <c r="A81" i="21"/>
  <c r="AG80" i="21"/>
  <c r="E80" i="21"/>
  <c r="D80" i="21"/>
  <c r="C80" i="21"/>
  <c r="B80" i="21"/>
  <c r="A80" i="21"/>
  <c r="AG79" i="21"/>
  <c r="E79" i="21"/>
  <c r="D79" i="21"/>
  <c r="C79" i="21"/>
  <c r="B79" i="21"/>
  <c r="A79" i="21"/>
  <c r="AG78" i="21"/>
  <c r="E78" i="21"/>
  <c r="D78" i="21"/>
  <c r="C78" i="21"/>
  <c r="B78" i="21"/>
  <c r="A78" i="21"/>
  <c r="AG77" i="21"/>
  <c r="E77" i="21"/>
  <c r="D77" i="21"/>
  <c r="C77" i="21"/>
  <c r="B77" i="21"/>
  <c r="A77" i="21"/>
  <c r="AG76" i="21"/>
  <c r="E76" i="21"/>
  <c r="D76" i="21"/>
  <c r="C76" i="21"/>
  <c r="B76" i="21"/>
  <c r="A76" i="21"/>
  <c r="AG75" i="21"/>
  <c r="E75" i="21"/>
  <c r="D75" i="21"/>
  <c r="C75" i="21"/>
  <c r="B75" i="21"/>
  <c r="A75" i="21"/>
  <c r="AG74" i="21"/>
  <c r="E74" i="21"/>
  <c r="D74" i="21"/>
  <c r="C74" i="21"/>
  <c r="B74" i="21"/>
  <c r="A74" i="21"/>
  <c r="AG73" i="21"/>
  <c r="E73" i="21"/>
  <c r="D73" i="21"/>
  <c r="C73" i="21"/>
  <c r="B73" i="21"/>
  <c r="A73" i="21"/>
  <c r="AG72" i="21"/>
  <c r="E72" i="21"/>
  <c r="D72" i="21"/>
  <c r="C72" i="21"/>
  <c r="B72" i="21"/>
  <c r="A72" i="21"/>
  <c r="AG71" i="21"/>
  <c r="E71" i="21"/>
  <c r="D71" i="21"/>
  <c r="C71" i="21"/>
  <c r="B71" i="21"/>
  <c r="A71" i="21"/>
  <c r="AG70" i="21"/>
  <c r="E70" i="21"/>
  <c r="D70" i="21"/>
  <c r="C70" i="21"/>
  <c r="B70" i="21"/>
  <c r="A70" i="21"/>
  <c r="AG69" i="21"/>
  <c r="E69" i="21"/>
  <c r="D69" i="21"/>
  <c r="C69" i="21"/>
  <c r="B69" i="21"/>
  <c r="A69" i="21"/>
  <c r="AG68" i="21"/>
  <c r="E68" i="21"/>
  <c r="D68" i="21"/>
  <c r="C68" i="21"/>
  <c r="B68" i="21"/>
  <c r="A68" i="21"/>
  <c r="AG67" i="21"/>
  <c r="E67" i="21"/>
  <c r="D67" i="21"/>
  <c r="C67" i="21"/>
  <c r="B67" i="21"/>
  <c r="A67" i="21"/>
  <c r="AG66" i="21"/>
  <c r="E66" i="21"/>
  <c r="D66" i="21"/>
  <c r="C66" i="21"/>
  <c r="B66" i="21"/>
  <c r="A66" i="21"/>
  <c r="AG65" i="21"/>
  <c r="E65" i="21"/>
  <c r="D65" i="21"/>
  <c r="C65" i="21"/>
  <c r="B65" i="21"/>
  <c r="A65" i="21"/>
  <c r="AG64" i="21"/>
  <c r="E64" i="21"/>
  <c r="D64" i="21"/>
  <c r="C64" i="21"/>
  <c r="B64" i="21"/>
  <c r="A64" i="21"/>
  <c r="AG63" i="21"/>
  <c r="E63" i="21"/>
  <c r="D63" i="21"/>
  <c r="C63" i="21"/>
  <c r="B63" i="21"/>
  <c r="A63" i="21"/>
  <c r="AG62" i="21"/>
  <c r="E62" i="21"/>
  <c r="D62" i="21"/>
  <c r="C62" i="21"/>
  <c r="B62" i="21"/>
  <c r="A62" i="21"/>
  <c r="AG61" i="21"/>
  <c r="E61" i="21"/>
  <c r="D61" i="21"/>
  <c r="C61" i="21"/>
  <c r="B61" i="21"/>
  <c r="A61" i="21"/>
  <c r="AG60" i="21"/>
  <c r="E60" i="21"/>
  <c r="D60" i="21"/>
  <c r="C60" i="21"/>
  <c r="B60" i="21"/>
  <c r="A60" i="21"/>
  <c r="AG59" i="21"/>
  <c r="E59" i="21"/>
  <c r="D59" i="21"/>
  <c r="C59" i="21"/>
  <c r="B59" i="21"/>
  <c r="A59" i="21"/>
  <c r="AG58" i="21"/>
  <c r="E58" i="21"/>
  <c r="D58" i="21"/>
  <c r="C58" i="21"/>
  <c r="B58" i="21"/>
  <c r="A58" i="21"/>
  <c r="AG57" i="21"/>
  <c r="E57" i="21"/>
  <c r="D57" i="21"/>
  <c r="C57" i="21"/>
  <c r="B57" i="21"/>
  <c r="A57" i="21"/>
  <c r="AG56" i="21"/>
  <c r="E56" i="21"/>
  <c r="D56" i="21"/>
  <c r="C56" i="21"/>
  <c r="B56" i="21"/>
  <c r="A56" i="21"/>
  <c r="AG55" i="21"/>
  <c r="E55" i="21"/>
  <c r="D55" i="21"/>
  <c r="C55" i="21"/>
  <c r="B55" i="21"/>
  <c r="A55" i="21"/>
  <c r="AG54" i="21"/>
  <c r="E54" i="21"/>
  <c r="D54" i="21"/>
  <c r="C54" i="21"/>
  <c r="B54" i="21"/>
  <c r="A54" i="21"/>
  <c r="AG53" i="21"/>
  <c r="E53" i="21"/>
  <c r="D53" i="21"/>
  <c r="C53" i="21"/>
  <c r="B53" i="21"/>
  <c r="A53" i="21"/>
  <c r="AG52" i="21"/>
  <c r="E52" i="21"/>
  <c r="D52" i="21"/>
  <c r="C52" i="21"/>
  <c r="B52" i="21"/>
  <c r="A52" i="21"/>
  <c r="AG51" i="21"/>
  <c r="E51" i="21"/>
  <c r="D51" i="21"/>
  <c r="C51" i="21"/>
  <c r="B51" i="21"/>
  <c r="A51" i="21"/>
  <c r="AG50" i="21"/>
  <c r="E50" i="21"/>
  <c r="D50" i="21"/>
  <c r="C50" i="21"/>
  <c r="B50" i="21"/>
  <c r="A50" i="21"/>
  <c r="AG49" i="21"/>
  <c r="E49" i="21"/>
  <c r="D49" i="21"/>
  <c r="C49" i="21"/>
  <c r="B49" i="21"/>
  <c r="A49" i="21"/>
  <c r="AG48" i="21"/>
  <c r="E48" i="21"/>
  <c r="D48" i="21"/>
  <c r="C48" i="21"/>
  <c r="B48" i="21"/>
  <c r="A48" i="21"/>
  <c r="AG47" i="21"/>
  <c r="E47" i="21"/>
  <c r="D47" i="21"/>
  <c r="C47" i="21"/>
  <c r="B47" i="21"/>
  <c r="A47" i="21"/>
  <c r="AG46" i="21"/>
  <c r="E46" i="21"/>
  <c r="D46" i="21"/>
  <c r="C46" i="21"/>
  <c r="B46" i="21"/>
  <c r="A46" i="21"/>
  <c r="AG45" i="21"/>
  <c r="E45" i="21"/>
  <c r="D45" i="21"/>
  <c r="C45" i="21"/>
  <c r="B45" i="21"/>
  <c r="A45" i="21"/>
  <c r="AG44" i="21"/>
  <c r="E44" i="21"/>
  <c r="D44" i="21"/>
  <c r="C44" i="21"/>
  <c r="B44" i="21"/>
  <c r="A44" i="21"/>
  <c r="AG43" i="21"/>
  <c r="E43" i="21"/>
  <c r="D43" i="21"/>
  <c r="C43" i="21"/>
  <c r="B43" i="21"/>
  <c r="A43" i="21"/>
  <c r="AG42" i="21"/>
  <c r="E42" i="21"/>
  <c r="D42" i="21"/>
  <c r="C42" i="21"/>
  <c r="B42" i="21"/>
  <c r="A42" i="21"/>
  <c r="AG41" i="21"/>
  <c r="E41" i="21"/>
  <c r="D41" i="21"/>
  <c r="C41" i="21"/>
  <c r="B41" i="21"/>
  <c r="A41" i="21"/>
  <c r="AG40" i="21"/>
  <c r="E40" i="21"/>
  <c r="D40" i="21"/>
  <c r="C40" i="21"/>
  <c r="B40" i="21"/>
  <c r="A40" i="21"/>
  <c r="AG39" i="21"/>
  <c r="E39" i="21"/>
  <c r="D39" i="21"/>
  <c r="C39" i="21"/>
  <c r="B39" i="21"/>
  <c r="A39" i="21"/>
  <c r="AG38" i="21"/>
  <c r="E38" i="21"/>
  <c r="D38" i="21"/>
  <c r="C38" i="21"/>
  <c r="B38" i="21"/>
  <c r="A38" i="21"/>
  <c r="AG37" i="21"/>
  <c r="E37" i="21"/>
  <c r="D37" i="21"/>
  <c r="C37" i="21"/>
  <c r="B37" i="21"/>
  <c r="A37" i="21"/>
  <c r="AG36" i="21"/>
  <c r="E36" i="21"/>
  <c r="D36" i="21"/>
  <c r="C36" i="21"/>
  <c r="B36" i="21"/>
  <c r="A36" i="21"/>
  <c r="AG35" i="21"/>
  <c r="E35" i="21"/>
  <c r="D35" i="21"/>
  <c r="C35" i="21"/>
  <c r="B35" i="21"/>
  <c r="A35" i="21"/>
  <c r="AG34" i="21"/>
  <c r="E34" i="21"/>
  <c r="D34" i="21"/>
  <c r="C34" i="21"/>
  <c r="B34" i="21"/>
  <c r="A34" i="21"/>
  <c r="AG33" i="21"/>
  <c r="E33" i="21"/>
  <c r="D33" i="21"/>
  <c r="C33" i="21"/>
  <c r="B33" i="21"/>
  <c r="A33" i="21"/>
  <c r="AG32" i="21"/>
  <c r="E32" i="21"/>
  <c r="D32" i="21"/>
  <c r="C32" i="21"/>
  <c r="B32" i="21"/>
  <c r="A32" i="21"/>
  <c r="AG31" i="21"/>
  <c r="E31" i="21"/>
  <c r="D31" i="21"/>
  <c r="C31" i="21"/>
  <c r="B31" i="21"/>
  <c r="A31" i="21"/>
  <c r="AG30" i="21"/>
  <c r="E30" i="21"/>
  <c r="D30" i="21"/>
  <c r="C30" i="21"/>
  <c r="B30" i="21"/>
  <c r="A30" i="21"/>
  <c r="AG29" i="21"/>
  <c r="E29" i="21"/>
  <c r="D29" i="21"/>
  <c r="C29" i="21"/>
  <c r="B29" i="21"/>
  <c r="A29" i="21"/>
  <c r="AG28" i="21"/>
  <c r="E28" i="21"/>
  <c r="D28" i="21"/>
  <c r="C28" i="21"/>
  <c r="B28" i="21"/>
  <c r="A28" i="21"/>
  <c r="AG27" i="21"/>
  <c r="E27" i="21"/>
  <c r="D27" i="21"/>
  <c r="C27" i="21"/>
  <c r="B27" i="21"/>
  <c r="A27" i="21"/>
  <c r="AG26" i="21"/>
  <c r="E26" i="21"/>
  <c r="D26" i="21"/>
  <c r="C26" i="21"/>
  <c r="B26" i="21"/>
  <c r="A26" i="21"/>
  <c r="AG25" i="21"/>
  <c r="E25" i="21"/>
  <c r="D25" i="21"/>
  <c r="C25" i="21"/>
  <c r="B25" i="21"/>
  <c r="A25" i="21"/>
  <c r="AG24" i="21"/>
  <c r="E24" i="21"/>
  <c r="D24" i="21"/>
  <c r="C24" i="21"/>
  <c r="B24" i="21"/>
  <c r="A24" i="21"/>
  <c r="AG23" i="21"/>
  <c r="E23" i="21"/>
  <c r="D23" i="21"/>
  <c r="C23" i="21"/>
  <c r="B23" i="21"/>
  <c r="A23" i="21"/>
  <c r="AG22" i="21"/>
  <c r="E22" i="21"/>
  <c r="D22" i="21"/>
  <c r="C22" i="21"/>
  <c r="B22" i="21"/>
  <c r="A22" i="21"/>
  <c r="AG21" i="21"/>
  <c r="E21" i="21"/>
  <c r="D21" i="21"/>
  <c r="C21" i="21"/>
  <c r="B21" i="21"/>
  <c r="A21" i="21"/>
  <c r="AG20" i="21"/>
  <c r="E20" i="21"/>
  <c r="D20" i="21"/>
  <c r="C20" i="21"/>
  <c r="B20" i="21"/>
  <c r="A20" i="21"/>
  <c r="AG19" i="21"/>
  <c r="E19" i="21"/>
  <c r="D19" i="21"/>
  <c r="C19" i="21"/>
  <c r="B19" i="21"/>
  <c r="A19" i="21"/>
  <c r="AG18" i="21"/>
  <c r="E18" i="21"/>
  <c r="D18" i="21"/>
  <c r="C18" i="21"/>
  <c r="B18" i="21"/>
  <c r="A18" i="21"/>
  <c r="AG17" i="21"/>
  <c r="E17" i="21"/>
  <c r="D17" i="21"/>
  <c r="C17" i="21"/>
  <c r="B17" i="21"/>
  <c r="A17" i="21"/>
  <c r="AG16" i="21"/>
  <c r="E16" i="21"/>
  <c r="D16" i="21"/>
  <c r="C16" i="21"/>
  <c r="B16" i="21"/>
  <c r="A16" i="21"/>
  <c r="AG15" i="21"/>
  <c r="E15" i="21"/>
  <c r="D15" i="21"/>
  <c r="C15" i="21"/>
  <c r="B15" i="21"/>
  <c r="A15" i="21"/>
  <c r="AG14" i="21"/>
  <c r="E14" i="21"/>
  <c r="D14" i="21"/>
  <c r="C14" i="21"/>
  <c r="B14" i="21"/>
  <c r="A14" i="21"/>
  <c r="AG13" i="21"/>
  <c r="E13" i="21"/>
  <c r="D13" i="21"/>
  <c r="C13" i="21"/>
  <c r="B13" i="21"/>
  <c r="A13" i="21"/>
  <c r="AG12" i="21"/>
  <c r="E12" i="21"/>
  <c r="D12" i="21"/>
  <c r="C12" i="21"/>
  <c r="B12" i="21"/>
  <c r="A12" i="21"/>
  <c r="AG11" i="21"/>
  <c r="E11" i="21"/>
  <c r="D11" i="21"/>
  <c r="C11" i="21"/>
  <c r="B11" i="21"/>
  <c r="A11" i="21"/>
  <c r="AG10" i="21"/>
  <c r="E10" i="21"/>
  <c r="D10" i="21"/>
  <c r="C10" i="21"/>
  <c r="B10" i="21"/>
  <c r="A10" i="21"/>
  <c r="AG9" i="21"/>
  <c r="E9" i="21"/>
  <c r="D9" i="21"/>
  <c r="C9" i="21"/>
  <c r="B9" i="21"/>
  <c r="A9" i="21"/>
  <c r="AG8" i="21"/>
  <c r="E8" i="21"/>
  <c r="D8" i="21"/>
  <c r="C8" i="21"/>
  <c r="B8" i="21"/>
  <c r="A8" i="21"/>
  <c r="AG7" i="21"/>
  <c r="E7" i="21"/>
  <c r="D7" i="21"/>
  <c r="C7" i="21"/>
  <c r="B7" i="21"/>
  <c r="A7" i="21"/>
  <c r="AG6" i="21"/>
  <c r="E6" i="21"/>
  <c r="D6" i="21"/>
  <c r="C6" i="21"/>
  <c r="B6" i="21"/>
  <c r="A6" i="21"/>
  <c r="AG5" i="21"/>
  <c r="E5" i="21"/>
  <c r="D5" i="21"/>
  <c r="C5" i="21"/>
  <c r="B5" i="21"/>
  <c r="A5" i="21"/>
  <c r="AG4" i="21"/>
  <c r="E4" i="21"/>
  <c r="D4" i="21"/>
  <c r="C4" i="21"/>
  <c r="B4" i="21"/>
  <c r="A4" i="21"/>
  <c r="AG3" i="21"/>
  <c r="E3" i="21"/>
  <c r="D3" i="21"/>
  <c r="C3" i="21"/>
  <c r="B3" i="21"/>
  <c r="A3" i="21"/>
  <c r="E2" i="21"/>
  <c r="D2" i="21"/>
  <c r="C2" i="21"/>
  <c r="B2" i="21"/>
  <c r="A2" i="21"/>
  <c r="M370" i="2" l="1"/>
  <c r="M369" i="2"/>
  <c r="AA3" i="2"/>
  <c r="N2" i="2"/>
  <c r="O3" i="2"/>
  <c r="P3" i="2"/>
  <c r="Q3" i="2"/>
  <c r="R3" i="2"/>
  <c r="S3" i="2"/>
  <c r="T3" i="2"/>
  <c r="U3" i="2"/>
  <c r="V3" i="2"/>
  <c r="W3" i="2"/>
  <c r="X3" i="2"/>
  <c r="Y3" i="2"/>
  <c r="Z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N3" i="2"/>
  <c r="F3" i="8"/>
  <c r="F4" i="21" s="1"/>
  <c r="F4" i="8"/>
  <c r="F5" i="21" s="1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O2" i="2"/>
  <c r="AB1" i="2" l="1"/>
  <c r="A1" i="8"/>
  <c r="B1" i="8"/>
  <c r="C1" i="8"/>
  <c r="D1" i="8"/>
  <c r="E1" i="8"/>
  <c r="F1" i="8"/>
  <c r="G1" i="8"/>
  <c r="H1" i="8"/>
  <c r="I1" i="8"/>
  <c r="J1" i="8"/>
  <c r="J2" i="21" s="1"/>
  <c r="K1" i="8"/>
  <c r="K2" i="21" s="1"/>
  <c r="L1" i="8"/>
  <c r="M1" i="8"/>
  <c r="N1" i="8"/>
  <c r="N2" i="21" s="1"/>
  <c r="O1" i="8"/>
  <c r="P1" i="8"/>
  <c r="Q1" i="8"/>
  <c r="R1" i="8"/>
  <c r="R2" i="21" s="1"/>
  <c r="S1" i="8"/>
  <c r="S2" i="21" s="1"/>
  <c r="T1" i="8"/>
  <c r="U1" i="8"/>
  <c r="V1" i="8"/>
  <c r="V2" i="21" s="1"/>
  <c r="W1" i="8"/>
  <c r="X1" i="8"/>
  <c r="Y1" i="8"/>
  <c r="Z1" i="8"/>
  <c r="Z2" i="21" s="1"/>
  <c r="AA1" i="8"/>
  <c r="AA2" i="21" s="1"/>
  <c r="AB1" i="8"/>
  <c r="AC1" i="8"/>
  <c r="AD1" i="8"/>
  <c r="AD2" i="21" s="1"/>
  <c r="AE1" i="8"/>
  <c r="AF1" i="8"/>
  <c r="AG1" i="8"/>
  <c r="R53" i="8"/>
  <c r="R54" i="21" s="1"/>
  <c r="A2" i="8"/>
  <c r="B2" i="8"/>
  <c r="C2" i="8"/>
  <c r="D2" i="8"/>
  <c r="E2" i="8"/>
  <c r="F2" i="8"/>
  <c r="F3" i="21" s="1"/>
  <c r="G2" i="8"/>
  <c r="G3" i="21" s="1"/>
  <c r="H2" i="8"/>
  <c r="H3" i="21" s="1"/>
  <c r="I2" i="8"/>
  <c r="I3" i="21" s="1"/>
  <c r="J2" i="8"/>
  <c r="J3" i="21" s="1"/>
  <c r="K2" i="8"/>
  <c r="K3" i="21" s="1"/>
  <c r="L2" i="8"/>
  <c r="L3" i="21" s="1"/>
  <c r="M2" i="8"/>
  <c r="M3" i="21" s="1"/>
  <c r="N2" i="8"/>
  <c r="N3" i="21" s="1"/>
  <c r="O2" i="8"/>
  <c r="O3" i="21" s="1"/>
  <c r="P2" i="8"/>
  <c r="P3" i="21" s="1"/>
  <c r="Q2" i="8"/>
  <c r="Q3" i="21" s="1"/>
  <c r="R2" i="8"/>
  <c r="R3" i="21" s="1"/>
  <c r="S2" i="8"/>
  <c r="S3" i="21" s="1"/>
  <c r="T2" i="8"/>
  <c r="T3" i="21" s="1"/>
  <c r="U2" i="8"/>
  <c r="U3" i="21" s="1"/>
  <c r="V2" i="8"/>
  <c r="V3" i="21" s="1"/>
  <c r="W2" i="8"/>
  <c r="W3" i="21" s="1"/>
  <c r="X2" i="8"/>
  <c r="X3" i="21" s="1"/>
  <c r="Y2" i="8"/>
  <c r="Y3" i="21" s="1"/>
  <c r="Z2" i="8"/>
  <c r="Z3" i="21" s="1"/>
  <c r="AA2" i="8"/>
  <c r="AA3" i="21" s="1"/>
  <c r="AB2" i="8"/>
  <c r="AB3" i="21" s="1"/>
  <c r="AC2" i="8"/>
  <c r="AC3" i="21" s="1"/>
  <c r="AD2" i="8"/>
  <c r="AD3" i="21" s="1"/>
  <c r="AE2" i="8"/>
  <c r="AE3" i="21" s="1"/>
  <c r="AF2" i="8"/>
  <c r="AG2" i="8"/>
  <c r="AG3" i="11" s="1"/>
  <c r="A3" i="8"/>
  <c r="B3" i="8"/>
  <c r="C3" i="8"/>
  <c r="D3" i="8"/>
  <c r="E3" i="8"/>
  <c r="G3" i="8"/>
  <c r="G4" i="21" s="1"/>
  <c r="H3" i="8"/>
  <c r="H4" i="21" s="1"/>
  <c r="I3" i="8"/>
  <c r="I4" i="21" s="1"/>
  <c r="J3" i="8"/>
  <c r="J4" i="21" s="1"/>
  <c r="K3" i="8"/>
  <c r="K4" i="21" s="1"/>
  <c r="L3" i="8"/>
  <c r="L4" i="21" s="1"/>
  <c r="M3" i="8"/>
  <c r="M4" i="21" s="1"/>
  <c r="N3" i="8"/>
  <c r="N4" i="21" s="1"/>
  <c r="O3" i="8"/>
  <c r="O4" i="21" s="1"/>
  <c r="P3" i="8"/>
  <c r="P4" i="21" s="1"/>
  <c r="Q3" i="8"/>
  <c r="Q4" i="21" s="1"/>
  <c r="R3" i="8"/>
  <c r="R4" i="21" s="1"/>
  <c r="S3" i="8"/>
  <c r="S4" i="21" s="1"/>
  <c r="T3" i="8"/>
  <c r="T4" i="21" s="1"/>
  <c r="U3" i="8"/>
  <c r="U4" i="21" s="1"/>
  <c r="V3" i="8"/>
  <c r="V4" i="21" s="1"/>
  <c r="W3" i="8"/>
  <c r="W4" i="21" s="1"/>
  <c r="X3" i="8"/>
  <c r="X4" i="21" s="1"/>
  <c r="Y3" i="8"/>
  <c r="Y4" i="21" s="1"/>
  <c r="Z3" i="8"/>
  <c r="Z4" i="21" s="1"/>
  <c r="AA3" i="8"/>
  <c r="AA4" i="21" s="1"/>
  <c r="AB3" i="8"/>
  <c r="AB4" i="21" s="1"/>
  <c r="AC3" i="8"/>
  <c r="AC4" i="21" s="1"/>
  <c r="AD3" i="8"/>
  <c r="AD4" i="21" s="1"/>
  <c r="AE3" i="8"/>
  <c r="AE4" i="21" s="1"/>
  <c r="AF3" i="8"/>
  <c r="AF4" i="21" s="1"/>
  <c r="AG3" i="8"/>
  <c r="A4" i="8"/>
  <c r="B4" i="8"/>
  <c r="C4" i="8"/>
  <c r="D4" i="8"/>
  <c r="E4" i="8"/>
  <c r="G4" i="8"/>
  <c r="G5" i="21" s="1"/>
  <c r="H4" i="8"/>
  <c r="H5" i="21" s="1"/>
  <c r="I4" i="8"/>
  <c r="I5" i="21" s="1"/>
  <c r="J4" i="8"/>
  <c r="J5" i="21" s="1"/>
  <c r="K4" i="8"/>
  <c r="K5" i="21" s="1"/>
  <c r="L4" i="8"/>
  <c r="L5" i="21" s="1"/>
  <c r="M4" i="8"/>
  <c r="M5" i="21" s="1"/>
  <c r="N4" i="8"/>
  <c r="N5" i="21" s="1"/>
  <c r="O4" i="8"/>
  <c r="O5" i="21" s="1"/>
  <c r="P4" i="8"/>
  <c r="P5" i="21" s="1"/>
  <c r="Q4" i="8"/>
  <c r="Q5" i="21" s="1"/>
  <c r="R4" i="8"/>
  <c r="R5" i="21" s="1"/>
  <c r="S4" i="8"/>
  <c r="S5" i="21" s="1"/>
  <c r="T4" i="8"/>
  <c r="T5" i="21" s="1"/>
  <c r="U4" i="8"/>
  <c r="U5" i="21" s="1"/>
  <c r="V4" i="8"/>
  <c r="V5" i="21" s="1"/>
  <c r="W4" i="8"/>
  <c r="W5" i="21" s="1"/>
  <c r="X4" i="8"/>
  <c r="X5" i="21" s="1"/>
  <c r="Y4" i="8"/>
  <c r="Y5" i="21" s="1"/>
  <c r="Z4" i="8"/>
  <c r="Z5" i="21" s="1"/>
  <c r="AA4" i="8"/>
  <c r="AA5" i="21" s="1"/>
  <c r="AB4" i="8"/>
  <c r="AB5" i="21" s="1"/>
  <c r="AC4" i="8"/>
  <c r="AC5" i="21" s="1"/>
  <c r="AD4" i="8"/>
  <c r="AD5" i="21" s="1"/>
  <c r="AE4" i="8"/>
  <c r="AE5" i="21" s="1"/>
  <c r="AF4" i="8"/>
  <c r="AF5" i="21" s="1"/>
  <c r="AG4" i="8"/>
  <c r="AG5" i="11" s="1"/>
  <c r="A5" i="8"/>
  <c r="B5" i="8"/>
  <c r="C5" i="8"/>
  <c r="D5" i="8"/>
  <c r="E5" i="8"/>
  <c r="F5" i="8"/>
  <c r="F6" i="21" s="1"/>
  <c r="G5" i="8"/>
  <c r="G6" i="21" s="1"/>
  <c r="H5" i="8"/>
  <c r="H6" i="21" s="1"/>
  <c r="I5" i="8"/>
  <c r="I6" i="21" s="1"/>
  <c r="J5" i="8"/>
  <c r="J6" i="21" s="1"/>
  <c r="K5" i="8"/>
  <c r="K6" i="21" s="1"/>
  <c r="L5" i="8"/>
  <c r="L6" i="21" s="1"/>
  <c r="M5" i="8"/>
  <c r="M6" i="21" s="1"/>
  <c r="N5" i="8"/>
  <c r="N6" i="21" s="1"/>
  <c r="O5" i="8"/>
  <c r="O6" i="21" s="1"/>
  <c r="P5" i="8"/>
  <c r="P6" i="21" s="1"/>
  <c r="Q5" i="8"/>
  <c r="Q6" i="21" s="1"/>
  <c r="R5" i="8"/>
  <c r="R6" i="21" s="1"/>
  <c r="S5" i="8"/>
  <c r="S6" i="21" s="1"/>
  <c r="T5" i="8"/>
  <c r="T6" i="21" s="1"/>
  <c r="U5" i="8"/>
  <c r="U6" i="21" s="1"/>
  <c r="V5" i="8"/>
  <c r="V6" i="21" s="1"/>
  <c r="W5" i="8"/>
  <c r="W6" i="21" s="1"/>
  <c r="X5" i="8"/>
  <c r="X6" i="21" s="1"/>
  <c r="Y5" i="8"/>
  <c r="Y6" i="21" s="1"/>
  <c r="Z5" i="8"/>
  <c r="Z6" i="21" s="1"/>
  <c r="AA5" i="8"/>
  <c r="AA6" i="21" s="1"/>
  <c r="AB5" i="8"/>
  <c r="AB6" i="21" s="1"/>
  <c r="AC5" i="8"/>
  <c r="AC6" i="21" s="1"/>
  <c r="AD5" i="8"/>
  <c r="AD6" i="21" s="1"/>
  <c r="AE5" i="8"/>
  <c r="AE6" i="21" s="1"/>
  <c r="AF5" i="8"/>
  <c r="AG5" i="8"/>
  <c r="A6" i="8"/>
  <c r="B6" i="8"/>
  <c r="C6" i="8"/>
  <c r="D6" i="8"/>
  <c r="E6" i="8"/>
  <c r="F6" i="8"/>
  <c r="F7" i="21" s="1"/>
  <c r="G6" i="8"/>
  <c r="G7" i="21" s="1"/>
  <c r="H6" i="8"/>
  <c r="H7" i="21" s="1"/>
  <c r="I6" i="8"/>
  <c r="I7" i="21" s="1"/>
  <c r="J6" i="8"/>
  <c r="J7" i="21" s="1"/>
  <c r="K6" i="8"/>
  <c r="K7" i="21" s="1"/>
  <c r="L6" i="8"/>
  <c r="L7" i="21" s="1"/>
  <c r="M6" i="8"/>
  <c r="M7" i="21" s="1"/>
  <c r="N6" i="8"/>
  <c r="N7" i="21" s="1"/>
  <c r="O6" i="8"/>
  <c r="O7" i="21" s="1"/>
  <c r="P6" i="8"/>
  <c r="P7" i="21" s="1"/>
  <c r="Q6" i="8"/>
  <c r="Q7" i="21" s="1"/>
  <c r="R6" i="8"/>
  <c r="R7" i="21" s="1"/>
  <c r="S6" i="8"/>
  <c r="S7" i="21" s="1"/>
  <c r="T6" i="8"/>
  <c r="T7" i="21" s="1"/>
  <c r="U6" i="8"/>
  <c r="U7" i="21" s="1"/>
  <c r="V6" i="8"/>
  <c r="V7" i="21" s="1"/>
  <c r="W6" i="8"/>
  <c r="W7" i="21" s="1"/>
  <c r="X6" i="8"/>
  <c r="X7" i="21" s="1"/>
  <c r="Y6" i="8"/>
  <c r="Y7" i="21" s="1"/>
  <c r="Z6" i="8"/>
  <c r="Z7" i="21" s="1"/>
  <c r="AA6" i="8"/>
  <c r="AA7" i="21" s="1"/>
  <c r="AB6" i="8"/>
  <c r="AB7" i="21" s="1"/>
  <c r="AC6" i="8"/>
  <c r="AC7" i="21" s="1"/>
  <c r="AD6" i="8"/>
  <c r="AD7" i="21" s="1"/>
  <c r="AE6" i="8"/>
  <c r="AE7" i="21" s="1"/>
  <c r="AF6" i="8"/>
  <c r="AF7" i="21" s="1"/>
  <c r="AG6" i="8"/>
  <c r="A7" i="8"/>
  <c r="B7" i="8"/>
  <c r="C7" i="8"/>
  <c r="D7" i="8"/>
  <c r="E7" i="8"/>
  <c r="F7" i="8"/>
  <c r="F8" i="21" s="1"/>
  <c r="G7" i="8"/>
  <c r="G8" i="21" s="1"/>
  <c r="H7" i="8"/>
  <c r="H8" i="21" s="1"/>
  <c r="I7" i="8"/>
  <c r="I8" i="21" s="1"/>
  <c r="J7" i="8"/>
  <c r="J8" i="21" s="1"/>
  <c r="K7" i="8"/>
  <c r="K8" i="21" s="1"/>
  <c r="L7" i="8"/>
  <c r="L8" i="21" s="1"/>
  <c r="M7" i="8"/>
  <c r="M8" i="21" s="1"/>
  <c r="N7" i="8"/>
  <c r="N8" i="21" s="1"/>
  <c r="O7" i="8"/>
  <c r="O8" i="21" s="1"/>
  <c r="P7" i="8"/>
  <c r="P8" i="21" s="1"/>
  <c r="Q7" i="8"/>
  <c r="Q8" i="21" s="1"/>
  <c r="R7" i="8"/>
  <c r="R8" i="21" s="1"/>
  <c r="S7" i="8"/>
  <c r="S8" i="21" s="1"/>
  <c r="T7" i="8"/>
  <c r="T8" i="21" s="1"/>
  <c r="U7" i="8"/>
  <c r="U8" i="21" s="1"/>
  <c r="V7" i="8"/>
  <c r="V8" i="21" s="1"/>
  <c r="W7" i="8"/>
  <c r="W8" i="21" s="1"/>
  <c r="X7" i="8"/>
  <c r="X8" i="21" s="1"/>
  <c r="Y7" i="8"/>
  <c r="Y8" i="21" s="1"/>
  <c r="Z7" i="8"/>
  <c r="Z8" i="21" s="1"/>
  <c r="AA7" i="8"/>
  <c r="AA8" i="21" s="1"/>
  <c r="AB7" i="8"/>
  <c r="AB8" i="21" s="1"/>
  <c r="AC7" i="8"/>
  <c r="AC8" i="21" s="1"/>
  <c r="AD7" i="8"/>
  <c r="AD8" i="21" s="1"/>
  <c r="AE7" i="8"/>
  <c r="AE8" i="21" s="1"/>
  <c r="AF7" i="8"/>
  <c r="AF8" i="21" s="1"/>
  <c r="AG7" i="8"/>
  <c r="A8" i="8"/>
  <c r="B8" i="8"/>
  <c r="C8" i="8"/>
  <c r="D8" i="8"/>
  <c r="E8" i="8"/>
  <c r="F8" i="8"/>
  <c r="F9" i="21" s="1"/>
  <c r="G8" i="8"/>
  <c r="G9" i="21" s="1"/>
  <c r="H8" i="8"/>
  <c r="H9" i="21" s="1"/>
  <c r="I8" i="8"/>
  <c r="I9" i="21" s="1"/>
  <c r="J8" i="8"/>
  <c r="J9" i="21" s="1"/>
  <c r="K8" i="8"/>
  <c r="K9" i="21" s="1"/>
  <c r="L8" i="8"/>
  <c r="L9" i="21" s="1"/>
  <c r="M8" i="8"/>
  <c r="M9" i="21" s="1"/>
  <c r="N8" i="8"/>
  <c r="N9" i="21" s="1"/>
  <c r="O8" i="8"/>
  <c r="O9" i="21" s="1"/>
  <c r="P8" i="8"/>
  <c r="P9" i="21" s="1"/>
  <c r="Q8" i="8"/>
  <c r="Q9" i="21" s="1"/>
  <c r="R8" i="8"/>
  <c r="R9" i="21" s="1"/>
  <c r="S8" i="8"/>
  <c r="S9" i="21" s="1"/>
  <c r="T8" i="8"/>
  <c r="T9" i="21" s="1"/>
  <c r="U8" i="8"/>
  <c r="U9" i="21" s="1"/>
  <c r="V8" i="8"/>
  <c r="V9" i="21" s="1"/>
  <c r="W8" i="8"/>
  <c r="W9" i="21" s="1"/>
  <c r="X8" i="8"/>
  <c r="X9" i="21" s="1"/>
  <c r="Y8" i="8"/>
  <c r="Y9" i="21" s="1"/>
  <c r="Z8" i="8"/>
  <c r="Z9" i="21" s="1"/>
  <c r="AA8" i="8"/>
  <c r="AA9" i="21" s="1"/>
  <c r="AB8" i="8"/>
  <c r="AB9" i="21" s="1"/>
  <c r="AC8" i="8"/>
  <c r="AC9" i="21" s="1"/>
  <c r="AD8" i="8"/>
  <c r="AD9" i="21" s="1"/>
  <c r="AE8" i="8"/>
  <c r="AE9" i="21" s="1"/>
  <c r="AF8" i="8"/>
  <c r="AF9" i="21" s="1"/>
  <c r="AG8" i="8"/>
  <c r="A9" i="8"/>
  <c r="B9" i="8"/>
  <c r="C9" i="8"/>
  <c r="D9" i="8"/>
  <c r="E9" i="8"/>
  <c r="F9" i="8"/>
  <c r="F10" i="21" s="1"/>
  <c r="G9" i="8"/>
  <c r="G10" i="21" s="1"/>
  <c r="H9" i="8"/>
  <c r="H10" i="21" s="1"/>
  <c r="I9" i="8"/>
  <c r="I10" i="21" s="1"/>
  <c r="J9" i="8"/>
  <c r="J10" i="21" s="1"/>
  <c r="K9" i="8"/>
  <c r="K10" i="21" s="1"/>
  <c r="L9" i="8"/>
  <c r="L10" i="21" s="1"/>
  <c r="M9" i="8"/>
  <c r="M10" i="21" s="1"/>
  <c r="N9" i="8"/>
  <c r="N10" i="21" s="1"/>
  <c r="O9" i="8"/>
  <c r="O10" i="21" s="1"/>
  <c r="P9" i="8"/>
  <c r="P10" i="21" s="1"/>
  <c r="Q9" i="8"/>
  <c r="Q10" i="21" s="1"/>
  <c r="R9" i="8"/>
  <c r="R10" i="21" s="1"/>
  <c r="S9" i="8"/>
  <c r="S10" i="21" s="1"/>
  <c r="T9" i="8"/>
  <c r="T10" i="21" s="1"/>
  <c r="U9" i="8"/>
  <c r="U10" i="21" s="1"/>
  <c r="V9" i="8"/>
  <c r="V10" i="21" s="1"/>
  <c r="W9" i="8"/>
  <c r="W10" i="21" s="1"/>
  <c r="X9" i="8"/>
  <c r="X10" i="21" s="1"/>
  <c r="Y9" i="8"/>
  <c r="Y10" i="21" s="1"/>
  <c r="Z9" i="8"/>
  <c r="Z10" i="21" s="1"/>
  <c r="AA9" i="8"/>
  <c r="AA10" i="21" s="1"/>
  <c r="AB9" i="8"/>
  <c r="AB10" i="21" s="1"/>
  <c r="AC9" i="8"/>
  <c r="AC10" i="21" s="1"/>
  <c r="AD9" i="8"/>
  <c r="AD10" i="21" s="1"/>
  <c r="AE9" i="8"/>
  <c r="AE10" i="21" s="1"/>
  <c r="AF9" i="8"/>
  <c r="AF10" i="21" s="1"/>
  <c r="AG9" i="8"/>
  <c r="A10" i="8"/>
  <c r="B10" i="8"/>
  <c r="C10" i="8"/>
  <c r="D10" i="8"/>
  <c r="E10" i="8"/>
  <c r="F10" i="8"/>
  <c r="F11" i="21" s="1"/>
  <c r="G10" i="8"/>
  <c r="G11" i="21" s="1"/>
  <c r="H10" i="8"/>
  <c r="H11" i="21" s="1"/>
  <c r="I10" i="8"/>
  <c r="I11" i="21" s="1"/>
  <c r="J10" i="8"/>
  <c r="J11" i="21" s="1"/>
  <c r="K10" i="8"/>
  <c r="K11" i="21" s="1"/>
  <c r="L10" i="8"/>
  <c r="L11" i="21" s="1"/>
  <c r="M10" i="8"/>
  <c r="M11" i="21" s="1"/>
  <c r="N10" i="8"/>
  <c r="N11" i="21" s="1"/>
  <c r="O10" i="8"/>
  <c r="O11" i="21" s="1"/>
  <c r="P10" i="8"/>
  <c r="P11" i="21" s="1"/>
  <c r="Q10" i="8"/>
  <c r="Q11" i="21" s="1"/>
  <c r="R10" i="8"/>
  <c r="R11" i="21" s="1"/>
  <c r="S10" i="8"/>
  <c r="S11" i="21" s="1"/>
  <c r="T10" i="8"/>
  <c r="T11" i="21" s="1"/>
  <c r="U10" i="8"/>
  <c r="U11" i="21" s="1"/>
  <c r="V10" i="8"/>
  <c r="V11" i="21" s="1"/>
  <c r="W10" i="8"/>
  <c r="W11" i="21" s="1"/>
  <c r="X10" i="8"/>
  <c r="X11" i="21" s="1"/>
  <c r="Y10" i="8"/>
  <c r="Y11" i="21" s="1"/>
  <c r="Z10" i="8"/>
  <c r="Z11" i="21" s="1"/>
  <c r="AA10" i="8"/>
  <c r="AA11" i="21" s="1"/>
  <c r="AB10" i="8"/>
  <c r="AB11" i="21" s="1"/>
  <c r="AC10" i="8"/>
  <c r="AC11" i="21" s="1"/>
  <c r="AD10" i="8"/>
  <c r="AD11" i="21" s="1"/>
  <c r="AE10" i="8"/>
  <c r="AE11" i="21" s="1"/>
  <c r="AF10" i="8"/>
  <c r="AG10" i="8"/>
  <c r="AG11" i="10" s="1"/>
  <c r="A11" i="8"/>
  <c r="B11" i="8"/>
  <c r="C11" i="8"/>
  <c r="D11" i="8"/>
  <c r="E11" i="8"/>
  <c r="F11" i="8"/>
  <c r="F12" i="21" s="1"/>
  <c r="G11" i="8"/>
  <c r="G12" i="21" s="1"/>
  <c r="H11" i="8"/>
  <c r="H12" i="21" s="1"/>
  <c r="I11" i="8"/>
  <c r="I12" i="21" s="1"/>
  <c r="J11" i="8"/>
  <c r="J12" i="21" s="1"/>
  <c r="K11" i="8"/>
  <c r="K12" i="21" s="1"/>
  <c r="L11" i="8"/>
  <c r="L12" i="21" s="1"/>
  <c r="M11" i="8"/>
  <c r="M12" i="21" s="1"/>
  <c r="N11" i="8"/>
  <c r="N12" i="21" s="1"/>
  <c r="O11" i="8"/>
  <c r="O12" i="21" s="1"/>
  <c r="P11" i="8"/>
  <c r="P12" i="21" s="1"/>
  <c r="Q11" i="8"/>
  <c r="Q12" i="21" s="1"/>
  <c r="R11" i="8"/>
  <c r="R12" i="21" s="1"/>
  <c r="S11" i="8"/>
  <c r="S12" i="21" s="1"/>
  <c r="T11" i="8"/>
  <c r="T12" i="21" s="1"/>
  <c r="U11" i="8"/>
  <c r="U12" i="21" s="1"/>
  <c r="V11" i="8"/>
  <c r="V12" i="21" s="1"/>
  <c r="W11" i="8"/>
  <c r="W12" i="21" s="1"/>
  <c r="X11" i="8"/>
  <c r="X12" i="21" s="1"/>
  <c r="Y11" i="8"/>
  <c r="Y12" i="21" s="1"/>
  <c r="Z11" i="8"/>
  <c r="Z12" i="21" s="1"/>
  <c r="AA11" i="8"/>
  <c r="AA12" i="21" s="1"/>
  <c r="AB11" i="8"/>
  <c r="AB12" i="21" s="1"/>
  <c r="AC11" i="8"/>
  <c r="AC12" i="21" s="1"/>
  <c r="AD11" i="8"/>
  <c r="AD12" i="21" s="1"/>
  <c r="AE11" i="8"/>
  <c r="AE12" i="21" s="1"/>
  <c r="AF11" i="8"/>
  <c r="AG11" i="8"/>
  <c r="A12" i="8"/>
  <c r="B12" i="8"/>
  <c r="C12" i="8"/>
  <c r="D12" i="8"/>
  <c r="E12" i="8"/>
  <c r="F12" i="8"/>
  <c r="F13" i="21" s="1"/>
  <c r="G12" i="8"/>
  <c r="G13" i="21" s="1"/>
  <c r="H12" i="8"/>
  <c r="H13" i="21" s="1"/>
  <c r="I12" i="8"/>
  <c r="I13" i="21" s="1"/>
  <c r="J12" i="8"/>
  <c r="J13" i="21" s="1"/>
  <c r="K12" i="8"/>
  <c r="K13" i="21" s="1"/>
  <c r="L12" i="8"/>
  <c r="L13" i="21" s="1"/>
  <c r="M12" i="8"/>
  <c r="M13" i="21" s="1"/>
  <c r="N12" i="8"/>
  <c r="N13" i="21" s="1"/>
  <c r="O12" i="8"/>
  <c r="O13" i="21" s="1"/>
  <c r="P12" i="8"/>
  <c r="P13" i="21" s="1"/>
  <c r="Q12" i="8"/>
  <c r="Q13" i="21" s="1"/>
  <c r="R12" i="8"/>
  <c r="R13" i="21" s="1"/>
  <c r="S12" i="8"/>
  <c r="S13" i="21" s="1"/>
  <c r="T12" i="8"/>
  <c r="T13" i="21" s="1"/>
  <c r="U12" i="8"/>
  <c r="U13" i="21" s="1"/>
  <c r="V12" i="8"/>
  <c r="V13" i="21" s="1"/>
  <c r="W12" i="8"/>
  <c r="W13" i="21" s="1"/>
  <c r="X12" i="8"/>
  <c r="X13" i="21" s="1"/>
  <c r="Y12" i="8"/>
  <c r="Y13" i="21" s="1"/>
  <c r="Z12" i="8"/>
  <c r="Z13" i="21" s="1"/>
  <c r="AA12" i="8"/>
  <c r="AA13" i="21" s="1"/>
  <c r="AB12" i="8"/>
  <c r="AB13" i="21" s="1"/>
  <c r="AC12" i="8"/>
  <c r="AC13" i="21" s="1"/>
  <c r="AD12" i="8"/>
  <c r="AD13" i="21" s="1"/>
  <c r="AE12" i="8"/>
  <c r="AE13" i="21" s="1"/>
  <c r="AF12" i="8"/>
  <c r="AG12" i="8"/>
  <c r="AG13" i="9" s="1"/>
  <c r="A13" i="8"/>
  <c r="B13" i="8"/>
  <c r="C13" i="8"/>
  <c r="D13" i="8"/>
  <c r="E13" i="8"/>
  <c r="F13" i="8"/>
  <c r="F14" i="21" s="1"/>
  <c r="G13" i="8"/>
  <c r="G14" i="21" s="1"/>
  <c r="H13" i="8"/>
  <c r="H14" i="21" s="1"/>
  <c r="I13" i="8"/>
  <c r="I14" i="21" s="1"/>
  <c r="J13" i="8"/>
  <c r="J14" i="21" s="1"/>
  <c r="K13" i="8"/>
  <c r="K14" i="21" s="1"/>
  <c r="L13" i="8"/>
  <c r="L14" i="21" s="1"/>
  <c r="M13" i="8"/>
  <c r="M14" i="21" s="1"/>
  <c r="N13" i="8"/>
  <c r="N14" i="21" s="1"/>
  <c r="O13" i="8"/>
  <c r="O14" i="21" s="1"/>
  <c r="P13" i="8"/>
  <c r="P14" i="21" s="1"/>
  <c r="Q13" i="8"/>
  <c r="Q14" i="21" s="1"/>
  <c r="R13" i="8"/>
  <c r="R14" i="21" s="1"/>
  <c r="S13" i="8"/>
  <c r="S14" i="21" s="1"/>
  <c r="T13" i="8"/>
  <c r="T14" i="21" s="1"/>
  <c r="U13" i="8"/>
  <c r="U14" i="21" s="1"/>
  <c r="V13" i="8"/>
  <c r="V14" i="21" s="1"/>
  <c r="W13" i="8"/>
  <c r="W14" i="21" s="1"/>
  <c r="X13" i="8"/>
  <c r="X14" i="21" s="1"/>
  <c r="Y13" i="8"/>
  <c r="Y14" i="21" s="1"/>
  <c r="Z13" i="8"/>
  <c r="Z14" i="21" s="1"/>
  <c r="AA13" i="8"/>
  <c r="AA14" i="21" s="1"/>
  <c r="AB13" i="8"/>
  <c r="AB14" i="21" s="1"/>
  <c r="AC13" i="8"/>
  <c r="AC14" i="21" s="1"/>
  <c r="AD13" i="8"/>
  <c r="AD14" i="21" s="1"/>
  <c r="AE13" i="8"/>
  <c r="AE14" i="21" s="1"/>
  <c r="AF13" i="8"/>
  <c r="AF14" i="21" s="1"/>
  <c r="AG13" i="8"/>
  <c r="A14" i="8"/>
  <c r="B14" i="8"/>
  <c r="C14" i="8"/>
  <c r="D14" i="8"/>
  <c r="E14" i="8"/>
  <c r="F14" i="8"/>
  <c r="F15" i="21" s="1"/>
  <c r="G14" i="8"/>
  <c r="G15" i="21" s="1"/>
  <c r="H14" i="8"/>
  <c r="H15" i="21" s="1"/>
  <c r="I14" i="8"/>
  <c r="I15" i="21" s="1"/>
  <c r="J14" i="8"/>
  <c r="J15" i="21" s="1"/>
  <c r="K14" i="8"/>
  <c r="K15" i="21" s="1"/>
  <c r="L14" i="8"/>
  <c r="L15" i="21" s="1"/>
  <c r="M14" i="8"/>
  <c r="M15" i="21" s="1"/>
  <c r="N14" i="8"/>
  <c r="N15" i="21" s="1"/>
  <c r="O14" i="8"/>
  <c r="O15" i="21" s="1"/>
  <c r="P14" i="8"/>
  <c r="P15" i="21" s="1"/>
  <c r="Q14" i="8"/>
  <c r="Q15" i="21" s="1"/>
  <c r="R14" i="8"/>
  <c r="R15" i="21" s="1"/>
  <c r="S14" i="8"/>
  <c r="S15" i="21" s="1"/>
  <c r="T14" i="8"/>
  <c r="T15" i="21" s="1"/>
  <c r="U14" i="8"/>
  <c r="U15" i="21" s="1"/>
  <c r="V14" i="8"/>
  <c r="V15" i="21" s="1"/>
  <c r="W14" i="8"/>
  <c r="W15" i="21" s="1"/>
  <c r="X14" i="8"/>
  <c r="X15" i="21" s="1"/>
  <c r="Y14" i="8"/>
  <c r="Y15" i="21" s="1"/>
  <c r="Z14" i="8"/>
  <c r="Z15" i="21" s="1"/>
  <c r="AA14" i="8"/>
  <c r="AA15" i="21" s="1"/>
  <c r="AB14" i="8"/>
  <c r="AB15" i="21" s="1"/>
  <c r="AC14" i="8"/>
  <c r="AC15" i="21" s="1"/>
  <c r="AD14" i="8"/>
  <c r="AD15" i="21" s="1"/>
  <c r="AE14" i="8"/>
  <c r="AE15" i="21" s="1"/>
  <c r="AF14" i="8"/>
  <c r="AG14" i="8"/>
  <c r="AG15" i="11" s="1"/>
  <c r="A15" i="8"/>
  <c r="B15" i="8"/>
  <c r="C15" i="8"/>
  <c r="D15" i="8"/>
  <c r="E15" i="8"/>
  <c r="F15" i="8"/>
  <c r="F16" i="21" s="1"/>
  <c r="G15" i="8"/>
  <c r="G16" i="21" s="1"/>
  <c r="H15" i="8"/>
  <c r="H16" i="21" s="1"/>
  <c r="I15" i="8"/>
  <c r="I16" i="21" s="1"/>
  <c r="J15" i="8"/>
  <c r="J16" i="21" s="1"/>
  <c r="K15" i="8"/>
  <c r="K16" i="21" s="1"/>
  <c r="L15" i="8"/>
  <c r="L16" i="21" s="1"/>
  <c r="M15" i="8"/>
  <c r="M16" i="21" s="1"/>
  <c r="N15" i="8"/>
  <c r="N16" i="21" s="1"/>
  <c r="O15" i="8"/>
  <c r="O16" i="21" s="1"/>
  <c r="P15" i="8"/>
  <c r="P16" i="21" s="1"/>
  <c r="Q15" i="8"/>
  <c r="Q16" i="21" s="1"/>
  <c r="R15" i="8"/>
  <c r="R16" i="21" s="1"/>
  <c r="S15" i="8"/>
  <c r="S16" i="21" s="1"/>
  <c r="T15" i="8"/>
  <c r="T16" i="21" s="1"/>
  <c r="U15" i="8"/>
  <c r="U16" i="21" s="1"/>
  <c r="V15" i="8"/>
  <c r="V16" i="21" s="1"/>
  <c r="W15" i="8"/>
  <c r="W16" i="21" s="1"/>
  <c r="X15" i="8"/>
  <c r="X16" i="21" s="1"/>
  <c r="Y15" i="8"/>
  <c r="Y16" i="21" s="1"/>
  <c r="Z15" i="8"/>
  <c r="Z16" i="21" s="1"/>
  <c r="AA15" i="8"/>
  <c r="AA16" i="21" s="1"/>
  <c r="AB15" i="8"/>
  <c r="AB16" i="21" s="1"/>
  <c r="AC15" i="8"/>
  <c r="AC16" i="21" s="1"/>
  <c r="AD15" i="8"/>
  <c r="AD16" i="21" s="1"/>
  <c r="AE15" i="8"/>
  <c r="AE16" i="21" s="1"/>
  <c r="AF15" i="8"/>
  <c r="AG15" i="8"/>
  <c r="AG16" i="10" s="1"/>
  <c r="A16" i="8"/>
  <c r="B16" i="8"/>
  <c r="C16" i="8"/>
  <c r="D16" i="8"/>
  <c r="E16" i="8"/>
  <c r="F16" i="8"/>
  <c r="F17" i="21" s="1"/>
  <c r="G16" i="8"/>
  <c r="G17" i="21" s="1"/>
  <c r="H16" i="8"/>
  <c r="H17" i="21" s="1"/>
  <c r="I16" i="8"/>
  <c r="I17" i="21" s="1"/>
  <c r="J16" i="8"/>
  <c r="J17" i="21" s="1"/>
  <c r="K16" i="8"/>
  <c r="K17" i="21" s="1"/>
  <c r="L16" i="8"/>
  <c r="L17" i="21" s="1"/>
  <c r="M16" i="8"/>
  <c r="M17" i="21" s="1"/>
  <c r="N16" i="8"/>
  <c r="N17" i="21" s="1"/>
  <c r="O16" i="8"/>
  <c r="O17" i="21" s="1"/>
  <c r="P16" i="8"/>
  <c r="P17" i="21" s="1"/>
  <c r="Q16" i="8"/>
  <c r="Q17" i="21" s="1"/>
  <c r="R16" i="8"/>
  <c r="R17" i="21" s="1"/>
  <c r="S16" i="8"/>
  <c r="S17" i="21" s="1"/>
  <c r="T16" i="8"/>
  <c r="T17" i="21" s="1"/>
  <c r="U16" i="8"/>
  <c r="U17" i="21" s="1"/>
  <c r="V16" i="8"/>
  <c r="V17" i="21" s="1"/>
  <c r="W16" i="8"/>
  <c r="W17" i="21" s="1"/>
  <c r="X16" i="8"/>
  <c r="X17" i="21" s="1"/>
  <c r="Y16" i="8"/>
  <c r="Y17" i="21" s="1"/>
  <c r="Z16" i="8"/>
  <c r="Z17" i="21" s="1"/>
  <c r="AA16" i="8"/>
  <c r="AA17" i="21" s="1"/>
  <c r="AB16" i="8"/>
  <c r="AB17" i="21" s="1"/>
  <c r="AC16" i="8"/>
  <c r="AC17" i="21" s="1"/>
  <c r="AD16" i="8"/>
  <c r="AD17" i="21" s="1"/>
  <c r="AE16" i="8"/>
  <c r="AE17" i="21" s="1"/>
  <c r="AF16" i="8"/>
  <c r="AF17" i="21" s="1"/>
  <c r="AG16" i="8"/>
  <c r="A17" i="8"/>
  <c r="B17" i="8"/>
  <c r="C17" i="8"/>
  <c r="D17" i="8"/>
  <c r="E17" i="8"/>
  <c r="F17" i="8"/>
  <c r="F18" i="21" s="1"/>
  <c r="G17" i="8"/>
  <c r="G18" i="21" s="1"/>
  <c r="H17" i="8"/>
  <c r="H18" i="21" s="1"/>
  <c r="I17" i="8"/>
  <c r="I18" i="21" s="1"/>
  <c r="J17" i="8"/>
  <c r="J18" i="21" s="1"/>
  <c r="K17" i="8"/>
  <c r="K18" i="21" s="1"/>
  <c r="L17" i="8"/>
  <c r="L18" i="21" s="1"/>
  <c r="M17" i="8"/>
  <c r="M18" i="21" s="1"/>
  <c r="N17" i="8"/>
  <c r="N18" i="21" s="1"/>
  <c r="O17" i="8"/>
  <c r="O18" i="21" s="1"/>
  <c r="P17" i="8"/>
  <c r="P18" i="21" s="1"/>
  <c r="Q17" i="8"/>
  <c r="Q18" i="21" s="1"/>
  <c r="R17" i="8"/>
  <c r="R18" i="21" s="1"/>
  <c r="S17" i="8"/>
  <c r="S18" i="21" s="1"/>
  <c r="T17" i="8"/>
  <c r="T18" i="21" s="1"/>
  <c r="U17" i="8"/>
  <c r="U18" i="21" s="1"/>
  <c r="V17" i="8"/>
  <c r="V18" i="21" s="1"/>
  <c r="W17" i="8"/>
  <c r="W18" i="21" s="1"/>
  <c r="X17" i="8"/>
  <c r="X18" i="21" s="1"/>
  <c r="Y17" i="8"/>
  <c r="Y18" i="21" s="1"/>
  <c r="Z17" i="8"/>
  <c r="Z18" i="21" s="1"/>
  <c r="AA17" i="8"/>
  <c r="AA18" i="21" s="1"/>
  <c r="AB17" i="8"/>
  <c r="AB18" i="21" s="1"/>
  <c r="AC17" i="8"/>
  <c r="AC18" i="21" s="1"/>
  <c r="AD17" i="8"/>
  <c r="AD18" i="21" s="1"/>
  <c r="AE17" i="8"/>
  <c r="AE18" i="21" s="1"/>
  <c r="AF17" i="8"/>
  <c r="AF18" i="21" s="1"/>
  <c r="AG17" i="8"/>
  <c r="A18" i="8"/>
  <c r="B18" i="8"/>
  <c r="C18" i="8"/>
  <c r="D18" i="8"/>
  <c r="E18" i="8"/>
  <c r="F18" i="8"/>
  <c r="F19" i="21" s="1"/>
  <c r="G18" i="8"/>
  <c r="G19" i="21" s="1"/>
  <c r="H18" i="8"/>
  <c r="H19" i="21" s="1"/>
  <c r="I18" i="8"/>
  <c r="I19" i="21" s="1"/>
  <c r="J18" i="8"/>
  <c r="J19" i="21" s="1"/>
  <c r="K18" i="8"/>
  <c r="K19" i="21" s="1"/>
  <c r="L18" i="8"/>
  <c r="L19" i="21" s="1"/>
  <c r="M18" i="8"/>
  <c r="M19" i="21" s="1"/>
  <c r="N18" i="8"/>
  <c r="N19" i="21" s="1"/>
  <c r="O18" i="8"/>
  <c r="O19" i="21" s="1"/>
  <c r="P18" i="8"/>
  <c r="P19" i="21" s="1"/>
  <c r="Q18" i="8"/>
  <c r="Q19" i="21" s="1"/>
  <c r="R18" i="8"/>
  <c r="R19" i="21" s="1"/>
  <c r="S18" i="8"/>
  <c r="S19" i="21" s="1"/>
  <c r="T18" i="8"/>
  <c r="T19" i="21" s="1"/>
  <c r="U18" i="8"/>
  <c r="U19" i="21" s="1"/>
  <c r="V18" i="8"/>
  <c r="V19" i="21" s="1"/>
  <c r="W18" i="8"/>
  <c r="W19" i="21" s="1"/>
  <c r="X18" i="8"/>
  <c r="X19" i="21" s="1"/>
  <c r="Y18" i="8"/>
  <c r="Y19" i="21" s="1"/>
  <c r="Z18" i="8"/>
  <c r="Z19" i="21" s="1"/>
  <c r="AA18" i="8"/>
  <c r="AA19" i="21" s="1"/>
  <c r="AB18" i="8"/>
  <c r="AB19" i="21" s="1"/>
  <c r="AC18" i="8"/>
  <c r="AC19" i="21" s="1"/>
  <c r="AD18" i="8"/>
  <c r="AD19" i="21" s="1"/>
  <c r="AE18" i="8"/>
  <c r="AE19" i="21" s="1"/>
  <c r="AF18" i="8"/>
  <c r="AF19" i="21" s="1"/>
  <c r="AG18" i="8"/>
  <c r="A19" i="8"/>
  <c r="B19" i="8"/>
  <c r="C19" i="8"/>
  <c r="D19" i="8"/>
  <c r="E19" i="8"/>
  <c r="F19" i="8"/>
  <c r="F20" i="21" s="1"/>
  <c r="G19" i="8"/>
  <c r="G20" i="21" s="1"/>
  <c r="H19" i="8"/>
  <c r="H20" i="21" s="1"/>
  <c r="I19" i="8"/>
  <c r="I20" i="21" s="1"/>
  <c r="J19" i="8"/>
  <c r="J20" i="21" s="1"/>
  <c r="K19" i="8"/>
  <c r="K20" i="21" s="1"/>
  <c r="L19" i="8"/>
  <c r="L20" i="21" s="1"/>
  <c r="M19" i="8"/>
  <c r="M20" i="21" s="1"/>
  <c r="N19" i="8"/>
  <c r="N20" i="21" s="1"/>
  <c r="O19" i="8"/>
  <c r="O20" i="21" s="1"/>
  <c r="P19" i="8"/>
  <c r="P20" i="21" s="1"/>
  <c r="Q19" i="8"/>
  <c r="Q20" i="21" s="1"/>
  <c r="R19" i="8"/>
  <c r="R20" i="21" s="1"/>
  <c r="S19" i="8"/>
  <c r="S20" i="21" s="1"/>
  <c r="T19" i="8"/>
  <c r="T20" i="21" s="1"/>
  <c r="U19" i="8"/>
  <c r="U20" i="21" s="1"/>
  <c r="V19" i="8"/>
  <c r="V20" i="21" s="1"/>
  <c r="W19" i="8"/>
  <c r="W20" i="21" s="1"/>
  <c r="X19" i="8"/>
  <c r="X20" i="21" s="1"/>
  <c r="Y19" i="8"/>
  <c r="Y20" i="21" s="1"/>
  <c r="Z19" i="8"/>
  <c r="Z20" i="21" s="1"/>
  <c r="AA19" i="8"/>
  <c r="AA20" i="21" s="1"/>
  <c r="AB19" i="8"/>
  <c r="AB20" i="21" s="1"/>
  <c r="AC19" i="8"/>
  <c r="AC20" i="21" s="1"/>
  <c r="AD19" i="8"/>
  <c r="AD20" i="21" s="1"/>
  <c r="AE19" i="8"/>
  <c r="AE20" i="21" s="1"/>
  <c r="AF19" i="8"/>
  <c r="AF20" i="21" s="1"/>
  <c r="AG19" i="8"/>
  <c r="A20" i="8"/>
  <c r="B20" i="8"/>
  <c r="C20" i="8"/>
  <c r="D20" i="8"/>
  <c r="E20" i="8"/>
  <c r="F20" i="8"/>
  <c r="F21" i="21" s="1"/>
  <c r="G20" i="8"/>
  <c r="G21" i="21" s="1"/>
  <c r="H20" i="8"/>
  <c r="H21" i="21" s="1"/>
  <c r="I20" i="8"/>
  <c r="I21" i="21" s="1"/>
  <c r="J20" i="8"/>
  <c r="J21" i="21" s="1"/>
  <c r="K20" i="8"/>
  <c r="K21" i="21" s="1"/>
  <c r="L20" i="8"/>
  <c r="L21" i="21" s="1"/>
  <c r="M20" i="8"/>
  <c r="M21" i="21" s="1"/>
  <c r="N20" i="8"/>
  <c r="N21" i="21" s="1"/>
  <c r="O20" i="8"/>
  <c r="O21" i="21" s="1"/>
  <c r="P20" i="8"/>
  <c r="P21" i="21" s="1"/>
  <c r="Q20" i="8"/>
  <c r="Q21" i="21" s="1"/>
  <c r="R20" i="8"/>
  <c r="R21" i="21" s="1"/>
  <c r="S20" i="8"/>
  <c r="S21" i="21" s="1"/>
  <c r="T20" i="8"/>
  <c r="T21" i="21" s="1"/>
  <c r="U20" i="8"/>
  <c r="U21" i="21" s="1"/>
  <c r="V20" i="8"/>
  <c r="V21" i="21" s="1"/>
  <c r="W20" i="8"/>
  <c r="W21" i="21" s="1"/>
  <c r="X20" i="8"/>
  <c r="X21" i="21" s="1"/>
  <c r="Y20" i="8"/>
  <c r="Y21" i="21" s="1"/>
  <c r="Z20" i="8"/>
  <c r="Z21" i="21" s="1"/>
  <c r="AA20" i="8"/>
  <c r="AA21" i="21" s="1"/>
  <c r="AB20" i="8"/>
  <c r="AB21" i="21" s="1"/>
  <c r="AC20" i="8"/>
  <c r="AC21" i="21" s="1"/>
  <c r="AD20" i="8"/>
  <c r="AD21" i="21" s="1"/>
  <c r="AE20" i="8"/>
  <c r="AE21" i="21" s="1"/>
  <c r="AF20" i="8"/>
  <c r="AF21" i="21" s="1"/>
  <c r="AG20" i="8"/>
  <c r="A21" i="8"/>
  <c r="B21" i="8"/>
  <c r="C21" i="8"/>
  <c r="D21" i="8"/>
  <c r="E21" i="8"/>
  <c r="F21" i="8"/>
  <c r="F22" i="21" s="1"/>
  <c r="G21" i="8"/>
  <c r="G22" i="21" s="1"/>
  <c r="H21" i="8"/>
  <c r="H22" i="21" s="1"/>
  <c r="I21" i="8"/>
  <c r="I22" i="21" s="1"/>
  <c r="J21" i="8"/>
  <c r="J22" i="21" s="1"/>
  <c r="K21" i="8"/>
  <c r="K22" i="21" s="1"/>
  <c r="L21" i="8"/>
  <c r="L22" i="21" s="1"/>
  <c r="M21" i="8"/>
  <c r="M22" i="21" s="1"/>
  <c r="N21" i="8"/>
  <c r="N22" i="21" s="1"/>
  <c r="O21" i="8"/>
  <c r="O22" i="21" s="1"/>
  <c r="P21" i="8"/>
  <c r="P22" i="21" s="1"/>
  <c r="Q21" i="8"/>
  <c r="Q22" i="21" s="1"/>
  <c r="R21" i="8"/>
  <c r="R22" i="21" s="1"/>
  <c r="S21" i="8"/>
  <c r="S22" i="21" s="1"/>
  <c r="T21" i="8"/>
  <c r="T22" i="21" s="1"/>
  <c r="U21" i="8"/>
  <c r="U22" i="21" s="1"/>
  <c r="V21" i="8"/>
  <c r="V22" i="21" s="1"/>
  <c r="W21" i="8"/>
  <c r="W22" i="21" s="1"/>
  <c r="X21" i="8"/>
  <c r="X22" i="21" s="1"/>
  <c r="Y21" i="8"/>
  <c r="Y22" i="21" s="1"/>
  <c r="Z21" i="8"/>
  <c r="Z22" i="21" s="1"/>
  <c r="AA21" i="8"/>
  <c r="AA22" i="21" s="1"/>
  <c r="AB21" i="8"/>
  <c r="AB22" i="21" s="1"/>
  <c r="AC21" i="8"/>
  <c r="AC22" i="21" s="1"/>
  <c r="AD21" i="8"/>
  <c r="AD22" i="21" s="1"/>
  <c r="AE21" i="8"/>
  <c r="AE22" i="21" s="1"/>
  <c r="AF21" i="8"/>
  <c r="AF22" i="21" s="1"/>
  <c r="AG21" i="8"/>
  <c r="A22" i="8"/>
  <c r="B22" i="8"/>
  <c r="C22" i="8"/>
  <c r="D22" i="8"/>
  <c r="E22" i="8"/>
  <c r="F22" i="8"/>
  <c r="F23" i="21" s="1"/>
  <c r="G22" i="8"/>
  <c r="G23" i="21" s="1"/>
  <c r="H22" i="8"/>
  <c r="H23" i="21" s="1"/>
  <c r="I22" i="8"/>
  <c r="I23" i="21" s="1"/>
  <c r="J22" i="8"/>
  <c r="J23" i="21" s="1"/>
  <c r="K22" i="8"/>
  <c r="K23" i="21" s="1"/>
  <c r="L22" i="8"/>
  <c r="L23" i="21" s="1"/>
  <c r="M22" i="8"/>
  <c r="M23" i="21" s="1"/>
  <c r="N22" i="8"/>
  <c r="N23" i="21" s="1"/>
  <c r="O22" i="8"/>
  <c r="O23" i="21" s="1"/>
  <c r="P22" i="8"/>
  <c r="P23" i="21" s="1"/>
  <c r="Q22" i="8"/>
  <c r="Q23" i="21" s="1"/>
  <c r="R22" i="8"/>
  <c r="R23" i="21" s="1"/>
  <c r="S22" i="8"/>
  <c r="S23" i="21" s="1"/>
  <c r="T22" i="8"/>
  <c r="T23" i="21" s="1"/>
  <c r="U22" i="8"/>
  <c r="U23" i="21" s="1"/>
  <c r="V22" i="8"/>
  <c r="V23" i="21" s="1"/>
  <c r="W22" i="8"/>
  <c r="W23" i="21" s="1"/>
  <c r="X22" i="8"/>
  <c r="X23" i="21" s="1"/>
  <c r="Y22" i="8"/>
  <c r="Y23" i="21" s="1"/>
  <c r="Z22" i="8"/>
  <c r="Z23" i="21" s="1"/>
  <c r="AA22" i="8"/>
  <c r="AA23" i="21" s="1"/>
  <c r="AB22" i="8"/>
  <c r="AB23" i="21" s="1"/>
  <c r="AC22" i="8"/>
  <c r="AC23" i="21" s="1"/>
  <c r="AD22" i="8"/>
  <c r="AD23" i="21" s="1"/>
  <c r="AE22" i="8"/>
  <c r="AE23" i="21" s="1"/>
  <c r="AF22" i="8"/>
  <c r="AF23" i="21" s="1"/>
  <c r="AG22" i="8"/>
  <c r="A23" i="8"/>
  <c r="B23" i="8"/>
  <c r="C23" i="8"/>
  <c r="D23" i="8"/>
  <c r="E23" i="8"/>
  <c r="F23" i="8"/>
  <c r="F24" i="21" s="1"/>
  <c r="G23" i="8"/>
  <c r="G24" i="21" s="1"/>
  <c r="H23" i="8"/>
  <c r="H24" i="21" s="1"/>
  <c r="I23" i="8"/>
  <c r="I24" i="21" s="1"/>
  <c r="J23" i="8"/>
  <c r="J24" i="21" s="1"/>
  <c r="K23" i="8"/>
  <c r="K24" i="21" s="1"/>
  <c r="L23" i="8"/>
  <c r="L24" i="21" s="1"/>
  <c r="M23" i="8"/>
  <c r="M24" i="21" s="1"/>
  <c r="N23" i="8"/>
  <c r="N24" i="21" s="1"/>
  <c r="O23" i="8"/>
  <c r="O24" i="21" s="1"/>
  <c r="P23" i="8"/>
  <c r="P24" i="21" s="1"/>
  <c r="Q23" i="8"/>
  <c r="Q24" i="21" s="1"/>
  <c r="R23" i="8"/>
  <c r="R24" i="21" s="1"/>
  <c r="S23" i="8"/>
  <c r="S24" i="21" s="1"/>
  <c r="T23" i="8"/>
  <c r="T24" i="21" s="1"/>
  <c r="U23" i="8"/>
  <c r="U24" i="21" s="1"/>
  <c r="V23" i="8"/>
  <c r="V24" i="21" s="1"/>
  <c r="W23" i="8"/>
  <c r="W24" i="21" s="1"/>
  <c r="X23" i="8"/>
  <c r="X24" i="21" s="1"/>
  <c r="Y23" i="8"/>
  <c r="Y24" i="21" s="1"/>
  <c r="Z23" i="8"/>
  <c r="Z24" i="21" s="1"/>
  <c r="AA23" i="8"/>
  <c r="AA24" i="21" s="1"/>
  <c r="AB23" i="8"/>
  <c r="AB24" i="21" s="1"/>
  <c r="AC23" i="8"/>
  <c r="AC24" i="21" s="1"/>
  <c r="AD23" i="8"/>
  <c r="AD24" i="21" s="1"/>
  <c r="AE23" i="8"/>
  <c r="AE24" i="21" s="1"/>
  <c r="AF23" i="8"/>
  <c r="AF24" i="21" s="1"/>
  <c r="AG23" i="8"/>
  <c r="A24" i="8"/>
  <c r="B24" i="8"/>
  <c r="C24" i="8"/>
  <c r="D24" i="8"/>
  <c r="E24" i="8"/>
  <c r="F24" i="8"/>
  <c r="F25" i="21" s="1"/>
  <c r="G24" i="8"/>
  <c r="G25" i="21" s="1"/>
  <c r="H24" i="8"/>
  <c r="H25" i="21" s="1"/>
  <c r="I24" i="8"/>
  <c r="I25" i="21" s="1"/>
  <c r="J24" i="8"/>
  <c r="J25" i="21" s="1"/>
  <c r="K24" i="8"/>
  <c r="K25" i="21" s="1"/>
  <c r="L24" i="8"/>
  <c r="L25" i="21" s="1"/>
  <c r="M24" i="8"/>
  <c r="M25" i="21" s="1"/>
  <c r="N24" i="8"/>
  <c r="N25" i="21" s="1"/>
  <c r="O24" i="8"/>
  <c r="O25" i="21" s="1"/>
  <c r="P24" i="8"/>
  <c r="P25" i="21" s="1"/>
  <c r="Q24" i="8"/>
  <c r="Q25" i="21" s="1"/>
  <c r="R24" i="8"/>
  <c r="R25" i="21" s="1"/>
  <c r="S24" i="8"/>
  <c r="S25" i="21" s="1"/>
  <c r="T24" i="8"/>
  <c r="T25" i="21" s="1"/>
  <c r="U24" i="8"/>
  <c r="U25" i="21" s="1"/>
  <c r="V24" i="8"/>
  <c r="V25" i="21" s="1"/>
  <c r="W24" i="8"/>
  <c r="W25" i="21" s="1"/>
  <c r="X24" i="8"/>
  <c r="X25" i="21" s="1"/>
  <c r="Y24" i="8"/>
  <c r="Y25" i="21" s="1"/>
  <c r="Z24" i="8"/>
  <c r="Z25" i="21" s="1"/>
  <c r="AA24" i="8"/>
  <c r="AA25" i="21" s="1"/>
  <c r="AB24" i="8"/>
  <c r="AB25" i="21" s="1"/>
  <c r="AC24" i="8"/>
  <c r="AC25" i="21" s="1"/>
  <c r="AD24" i="8"/>
  <c r="AD25" i="21" s="1"/>
  <c r="AE24" i="8"/>
  <c r="AE25" i="21" s="1"/>
  <c r="AF24" i="8"/>
  <c r="AF25" i="21" s="1"/>
  <c r="AG24" i="8"/>
  <c r="A25" i="8"/>
  <c r="B25" i="8"/>
  <c r="C25" i="8"/>
  <c r="D25" i="8"/>
  <c r="E25" i="8"/>
  <c r="F25" i="8"/>
  <c r="F26" i="21" s="1"/>
  <c r="G25" i="8"/>
  <c r="G26" i="21" s="1"/>
  <c r="H25" i="8"/>
  <c r="H26" i="21" s="1"/>
  <c r="I25" i="8"/>
  <c r="I26" i="21" s="1"/>
  <c r="J25" i="8"/>
  <c r="J26" i="21" s="1"/>
  <c r="K25" i="8"/>
  <c r="K26" i="21" s="1"/>
  <c r="L25" i="8"/>
  <c r="L26" i="21" s="1"/>
  <c r="M25" i="8"/>
  <c r="M26" i="21" s="1"/>
  <c r="N25" i="8"/>
  <c r="N26" i="21" s="1"/>
  <c r="O25" i="8"/>
  <c r="O26" i="21" s="1"/>
  <c r="P25" i="8"/>
  <c r="P26" i="21" s="1"/>
  <c r="Q25" i="8"/>
  <c r="Q26" i="21" s="1"/>
  <c r="R25" i="8"/>
  <c r="R26" i="21" s="1"/>
  <c r="S25" i="8"/>
  <c r="S26" i="21" s="1"/>
  <c r="T25" i="8"/>
  <c r="T26" i="21" s="1"/>
  <c r="U25" i="8"/>
  <c r="U26" i="21" s="1"/>
  <c r="V25" i="8"/>
  <c r="V26" i="21" s="1"/>
  <c r="W25" i="8"/>
  <c r="W26" i="21" s="1"/>
  <c r="X25" i="8"/>
  <c r="X26" i="21" s="1"/>
  <c r="Y25" i="8"/>
  <c r="Y26" i="21" s="1"/>
  <c r="Z25" i="8"/>
  <c r="Z26" i="21" s="1"/>
  <c r="AA25" i="8"/>
  <c r="AA26" i="21" s="1"/>
  <c r="AB25" i="8"/>
  <c r="AB26" i="21" s="1"/>
  <c r="AC25" i="8"/>
  <c r="AC26" i="21" s="1"/>
  <c r="AD25" i="8"/>
  <c r="AD26" i="21" s="1"/>
  <c r="AE25" i="8"/>
  <c r="AE26" i="21" s="1"/>
  <c r="AF25" i="8"/>
  <c r="AF26" i="21" s="1"/>
  <c r="AG25" i="8"/>
  <c r="A26" i="8"/>
  <c r="B26" i="8"/>
  <c r="C26" i="8"/>
  <c r="D26" i="8"/>
  <c r="E26" i="8"/>
  <c r="F26" i="8"/>
  <c r="F27" i="21" s="1"/>
  <c r="G26" i="8"/>
  <c r="G27" i="21" s="1"/>
  <c r="H26" i="8"/>
  <c r="H27" i="21" s="1"/>
  <c r="I26" i="8"/>
  <c r="I27" i="21" s="1"/>
  <c r="J26" i="8"/>
  <c r="J27" i="21" s="1"/>
  <c r="K26" i="8"/>
  <c r="K27" i="21" s="1"/>
  <c r="L26" i="8"/>
  <c r="L27" i="21" s="1"/>
  <c r="M26" i="8"/>
  <c r="M27" i="21" s="1"/>
  <c r="N26" i="8"/>
  <c r="N27" i="21" s="1"/>
  <c r="O26" i="8"/>
  <c r="O27" i="21" s="1"/>
  <c r="P26" i="8"/>
  <c r="P27" i="21" s="1"/>
  <c r="Q26" i="8"/>
  <c r="Q27" i="21" s="1"/>
  <c r="R26" i="8"/>
  <c r="R27" i="21" s="1"/>
  <c r="S26" i="8"/>
  <c r="S27" i="21" s="1"/>
  <c r="T26" i="8"/>
  <c r="T27" i="21" s="1"/>
  <c r="U26" i="8"/>
  <c r="U27" i="21" s="1"/>
  <c r="V26" i="8"/>
  <c r="V27" i="21" s="1"/>
  <c r="W26" i="8"/>
  <c r="W27" i="21" s="1"/>
  <c r="X26" i="8"/>
  <c r="X27" i="21" s="1"/>
  <c r="Y26" i="8"/>
  <c r="Y27" i="21" s="1"/>
  <c r="Z26" i="8"/>
  <c r="Z27" i="21" s="1"/>
  <c r="AA26" i="8"/>
  <c r="AA27" i="21" s="1"/>
  <c r="AB26" i="8"/>
  <c r="AB27" i="21" s="1"/>
  <c r="AC26" i="8"/>
  <c r="AC27" i="21" s="1"/>
  <c r="AD26" i="8"/>
  <c r="AD27" i="21" s="1"/>
  <c r="AE26" i="8"/>
  <c r="AE27" i="21" s="1"/>
  <c r="AF26" i="8"/>
  <c r="AF27" i="21" s="1"/>
  <c r="AG26" i="8"/>
  <c r="A27" i="8"/>
  <c r="B27" i="8"/>
  <c r="C27" i="8"/>
  <c r="D27" i="8"/>
  <c r="E27" i="8"/>
  <c r="F27" i="8"/>
  <c r="F28" i="21" s="1"/>
  <c r="G27" i="8"/>
  <c r="G28" i="21" s="1"/>
  <c r="H27" i="8"/>
  <c r="H28" i="21" s="1"/>
  <c r="I27" i="8"/>
  <c r="I28" i="21" s="1"/>
  <c r="J27" i="8"/>
  <c r="J28" i="21" s="1"/>
  <c r="K27" i="8"/>
  <c r="K28" i="21" s="1"/>
  <c r="L27" i="8"/>
  <c r="L28" i="21" s="1"/>
  <c r="M27" i="8"/>
  <c r="M28" i="21" s="1"/>
  <c r="N27" i="8"/>
  <c r="N28" i="21" s="1"/>
  <c r="O27" i="8"/>
  <c r="O28" i="21" s="1"/>
  <c r="P27" i="8"/>
  <c r="P28" i="21" s="1"/>
  <c r="Q27" i="8"/>
  <c r="Q28" i="21" s="1"/>
  <c r="R27" i="8"/>
  <c r="R28" i="21" s="1"/>
  <c r="S27" i="8"/>
  <c r="S28" i="21" s="1"/>
  <c r="T27" i="8"/>
  <c r="T28" i="21" s="1"/>
  <c r="U27" i="8"/>
  <c r="U28" i="21" s="1"/>
  <c r="V27" i="8"/>
  <c r="V28" i="21" s="1"/>
  <c r="W27" i="8"/>
  <c r="W28" i="21" s="1"/>
  <c r="X27" i="8"/>
  <c r="X28" i="21" s="1"/>
  <c r="Y27" i="8"/>
  <c r="Y28" i="21" s="1"/>
  <c r="Z27" i="8"/>
  <c r="Z28" i="21" s="1"/>
  <c r="AA27" i="8"/>
  <c r="AA28" i="21" s="1"/>
  <c r="AB27" i="8"/>
  <c r="AB28" i="21" s="1"/>
  <c r="AC27" i="8"/>
  <c r="AC28" i="21" s="1"/>
  <c r="AD27" i="8"/>
  <c r="AD28" i="21" s="1"/>
  <c r="AE27" i="8"/>
  <c r="AE28" i="21" s="1"/>
  <c r="AF27" i="8"/>
  <c r="AF28" i="21" s="1"/>
  <c r="AG27" i="8"/>
  <c r="A28" i="8"/>
  <c r="B28" i="8"/>
  <c r="C28" i="8"/>
  <c r="D28" i="8"/>
  <c r="E28" i="8"/>
  <c r="F28" i="8"/>
  <c r="F29" i="21" s="1"/>
  <c r="G28" i="8"/>
  <c r="G29" i="21" s="1"/>
  <c r="H28" i="8"/>
  <c r="H29" i="21" s="1"/>
  <c r="I28" i="8"/>
  <c r="I29" i="21" s="1"/>
  <c r="J28" i="8"/>
  <c r="J29" i="21" s="1"/>
  <c r="K28" i="8"/>
  <c r="K29" i="21" s="1"/>
  <c r="L28" i="8"/>
  <c r="L29" i="21" s="1"/>
  <c r="M28" i="8"/>
  <c r="M29" i="21" s="1"/>
  <c r="N28" i="8"/>
  <c r="N29" i="21" s="1"/>
  <c r="O28" i="8"/>
  <c r="O29" i="21" s="1"/>
  <c r="P28" i="8"/>
  <c r="P29" i="21" s="1"/>
  <c r="Q28" i="8"/>
  <c r="Q29" i="21" s="1"/>
  <c r="R28" i="8"/>
  <c r="R29" i="21" s="1"/>
  <c r="S28" i="8"/>
  <c r="S29" i="21" s="1"/>
  <c r="T28" i="8"/>
  <c r="T29" i="21" s="1"/>
  <c r="U28" i="8"/>
  <c r="U29" i="21" s="1"/>
  <c r="V28" i="8"/>
  <c r="V29" i="21" s="1"/>
  <c r="W28" i="8"/>
  <c r="W29" i="21" s="1"/>
  <c r="X28" i="8"/>
  <c r="X29" i="21" s="1"/>
  <c r="Y28" i="8"/>
  <c r="Y29" i="21" s="1"/>
  <c r="Z28" i="8"/>
  <c r="Z29" i="21" s="1"/>
  <c r="AA28" i="8"/>
  <c r="AA29" i="21" s="1"/>
  <c r="AB28" i="8"/>
  <c r="AB29" i="21" s="1"/>
  <c r="AC28" i="8"/>
  <c r="AC29" i="21" s="1"/>
  <c r="AD28" i="8"/>
  <c r="AD29" i="21" s="1"/>
  <c r="AE28" i="8"/>
  <c r="AE29" i="21" s="1"/>
  <c r="AF28" i="8"/>
  <c r="AG28" i="8"/>
  <c r="AG29" i="11" s="1"/>
  <c r="A29" i="8"/>
  <c r="B29" i="8"/>
  <c r="C29" i="8"/>
  <c r="D29" i="8"/>
  <c r="E29" i="8"/>
  <c r="F29" i="8"/>
  <c r="F30" i="21" s="1"/>
  <c r="G29" i="8"/>
  <c r="G30" i="21" s="1"/>
  <c r="H29" i="8"/>
  <c r="H30" i="21" s="1"/>
  <c r="I29" i="8"/>
  <c r="I30" i="21" s="1"/>
  <c r="J29" i="8"/>
  <c r="J30" i="21" s="1"/>
  <c r="K29" i="8"/>
  <c r="K30" i="21" s="1"/>
  <c r="L29" i="8"/>
  <c r="L30" i="21" s="1"/>
  <c r="M29" i="8"/>
  <c r="M30" i="21" s="1"/>
  <c r="N29" i="8"/>
  <c r="N30" i="21" s="1"/>
  <c r="O29" i="8"/>
  <c r="O30" i="21" s="1"/>
  <c r="P29" i="8"/>
  <c r="P30" i="21" s="1"/>
  <c r="Q29" i="8"/>
  <c r="Q30" i="21" s="1"/>
  <c r="R29" i="8"/>
  <c r="R30" i="21" s="1"/>
  <c r="S29" i="8"/>
  <c r="S30" i="21" s="1"/>
  <c r="T29" i="8"/>
  <c r="T30" i="21" s="1"/>
  <c r="U29" i="8"/>
  <c r="U30" i="21" s="1"/>
  <c r="V29" i="8"/>
  <c r="V30" i="21" s="1"/>
  <c r="W29" i="8"/>
  <c r="W30" i="21" s="1"/>
  <c r="X29" i="8"/>
  <c r="X30" i="21" s="1"/>
  <c r="Y29" i="8"/>
  <c r="Y30" i="21" s="1"/>
  <c r="Z29" i="8"/>
  <c r="Z30" i="21" s="1"/>
  <c r="AA29" i="8"/>
  <c r="AA30" i="21" s="1"/>
  <c r="AB29" i="8"/>
  <c r="AB30" i="21" s="1"/>
  <c r="AC29" i="8"/>
  <c r="AC30" i="21" s="1"/>
  <c r="AD29" i="8"/>
  <c r="AD30" i="21" s="1"/>
  <c r="AE29" i="8"/>
  <c r="AE30" i="21" s="1"/>
  <c r="AF29" i="8"/>
  <c r="AF30" i="21" s="1"/>
  <c r="AG29" i="8"/>
  <c r="A30" i="8"/>
  <c r="B30" i="8"/>
  <c r="C30" i="8"/>
  <c r="D30" i="8"/>
  <c r="E30" i="8"/>
  <c r="F30" i="8"/>
  <c r="F31" i="21" s="1"/>
  <c r="G30" i="8"/>
  <c r="G31" i="21" s="1"/>
  <c r="H30" i="8"/>
  <c r="H31" i="21" s="1"/>
  <c r="I30" i="8"/>
  <c r="I31" i="21" s="1"/>
  <c r="J30" i="8"/>
  <c r="J31" i="21" s="1"/>
  <c r="K30" i="8"/>
  <c r="K31" i="21" s="1"/>
  <c r="L30" i="8"/>
  <c r="L31" i="21" s="1"/>
  <c r="M30" i="8"/>
  <c r="M31" i="21" s="1"/>
  <c r="N30" i="8"/>
  <c r="N31" i="21" s="1"/>
  <c r="O30" i="8"/>
  <c r="O31" i="21" s="1"/>
  <c r="P30" i="8"/>
  <c r="P31" i="21" s="1"/>
  <c r="Q30" i="8"/>
  <c r="Q31" i="21" s="1"/>
  <c r="R30" i="8"/>
  <c r="R31" i="21" s="1"/>
  <c r="S30" i="8"/>
  <c r="S31" i="21" s="1"/>
  <c r="T30" i="8"/>
  <c r="T31" i="21" s="1"/>
  <c r="U30" i="8"/>
  <c r="U31" i="21" s="1"/>
  <c r="V30" i="8"/>
  <c r="V31" i="21" s="1"/>
  <c r="W30" i="8"/>
  <c r="W31" i="21" s="1"/>
  <c r="X30" i="8"/>
  <c r="X31" i="21" s="1"/>
  <c r="Y30" i="8"/>
  <c r="Y31" i="21" s="1"/>
  <c r="Z30" i="8"/>
  <c r="Z31" i="21" s="1"/>
  <c r="AA30" i="8"/>
  <c r="AA31" i="21" s="1"/>
  <c r="AB30" i="8"/>
  <c r="AB31" i="21" s="1"/>
  <c r="AC30" i="8"/>
  <c r="AC31" i="21" s="1"/>
  <c r="AD30" i="8"/>
  <c r="AD31" i="21" s="1"/>
  <c r="AE30" i="8"/>
  <c r="AE31" i="21" s="1"/>
  <c r="AF30" i="8"/>
  <c r="AF31" i="21" s="1"/>
  <c r="AG30" i="8"/>
  <c r="A31" i="8"/>
  <c r="B31" i="8"/>
  <c r="C31" i="8"/>
  <c r="D31" i="8"/>
  <c r="E31" i="8"/>
  <c r="F31" i="8"/>
  <c r="F32" i="21" s="1"/>
  <c r="G31" i="8"/>
  <c r="G32" i="21" s="1"/>
  <c r="H31" i="8"/>
  <c r="H32" i="21" s="1"/>
  <c r="I31" i="8"/>
  <c r="I32" i="21" s="1"/>
  <c r="J31" i="8"/>
  <c r="J32" i="21" s="1"/>
  <c r="K31" i="8"/>
  <c r="K32" i="21" s="1"/>
  <c r="L31" i="8"/>
  <c r="L32" i="21" s="1"/>
  <c r="M31" i="8"/>
  <c r="M32" i="21" s="1"/>
  <c r="N31" i="8"/>
  <c r="N32" i="21" s="1"/>
  <c r="O31" i="8"/>
  <c r="O32" i="21" s="1"/>
  <c r="P31" i="8"/>
  <c r="P32" i="21" s="1"/>
  <c r="Q31" i="8"/>
  <c r="Q32" i="21" s="1"/>
  <c r="R31" i="8"/>
  <c r="R32" i="21" s="1"/>
  <c r="S31" i="8"/>
  <c r="S32" i="21" s="1"/>
  <c r="T31" i="8"/>
  <c r="T32" i="21" s="1"/>
  <c r="U31" i="8"/>
  <c r="U32" i="21" s="1"/>
  <c r="V31" i="8"/>
  <c r="V32" i="21" s="1"/>
  <c r="W31" i="8"/>
  <c r="W32" i="21" s="1"/>
  <c r="X31" i="8"/>
  <c r="X32" i="21" s="1"/>
  <c r="Y31" i="8"/>
  <c r="Y32" i="21" s="1"/>
  <c r="Z31" i="8"/>
  <c r="Z32" i="21" s="1"/>
  <c r="AA31" i="8"/>
  <c r="AA32" i="21" s="1"/>
  <c r="AB31" i="8"/>
  <c r="AB32" i="21" s="1"/>
  <c r="AC31" i="8"/>
  <c r="AC32" i="21" s="1"/>
  <c r="AD31" i="8"/>
  <c r="AD32" i="21" s="1"/>
  <c r="AE31" i="8"/>
  <c r="AE32" i="21" s="1"/>
  <c r="AF31" i="8"/>
  <c r="AF32" i="21" s="1"/>
  <c r="AG31" i="8"/>
  <c r="A32" i="8"/>
  <c r="B32" i="8"/>
  <c r="C32" i="8"/>
  <c r="D32" i="8"/>
  <c r="E32" i="8"/>
  <c r="F32" i="8"/>
  <c r="F33" i="21" s="1"/>
  <c r="G32" i="8"/>
  <c r="G33" i="21" s="1"/>
  <c r="H32" i="8"/>
  <c r="H33" i="21" s="1"/>
  <c r="I32" i="8"/>
  <c r="I33" i="21" s="1"/>
  <c r="J32" i="8"/>
  <c r="J33" i="21" s="1"/>
  <c r="K32" i="8"/>
  <c r="K33" i="21" s="1"/>
  <c r="L32" i="8"/>
  <c r="L33" i="21" s="1"/>
  <c r="M32" i="8"/>
  <c r="M33" i="21" s="1"/>
  <c r="N32" i="8"/>
  <c r="N33" i="21" s="1"/>
  <c r="O32" i="8"/>
  <c r="O33" i="21" s="1"/>
  <c r="P32" i="8"/>
  <c r="P33" i="21" s="1"/>
  <c r="Q32" i="8"/>
  <c r="Q33" i="21" s="1"/>
  <c r="R32" i="8"/>
  <c r="R33" i="21" s="1"/>
  <c r="S32" i="8"/>
  <c r="S33" i="21" s="1"/>
  <c r="T32" i="8"/>
  <c r="T33" i="21" s="1"/>
  <c r="U32" i="8"/>
  <c r="U33" i="21" s="1"/>
  <c r="V32" i="8"/>
  <c r="V33" i="21" s="1"/>
  <c r="W32" i="8"/>
  <c r="W33" i="21" s="1"/>
  <c r="X32" i="8"/>
  <c r="X33" i="21" s="1"/>
  <c r="Y32" i="8"/>
  <c r="Y33" i="21" s="1"/>
  <c r="Z32" i="8"/>
  <c r="Z33" i="21" s="1"/>
  <c r="AA32" i="8"/>
  <c r="AA33" i="21" s="1"/>
  <c r="AB32" i="8"/>
  <c r="AB33" i="21" s="1"/>
  <c r="AC32" i="8"/>
  <c r="AC33" i="21" s="1"/>
  <c r="AD32" i="8"/>
  <c r="AD33" i="21" s="1"/>
  <c r="AE32" i="8"/>
  <c r="AE33" i="21" s="1"/>
  <c r="AF32" i="8"/>
  <c r="AF33" i="21" s="1"/>
  <c r="AG32" i="8"/>
  <c r="A33" i="8"/>
  <c r="B33" i="8"/>
  <c r="C33" i="8"/>
  <c r="D33" i="8"/>
  <c r="E33" i="8"/>
  <c r="F33" i="8"/>
  <c r="F34" i="21" s="1"/>
  <c r="G33" i="8"/>
  <c r="G34" i="21" s="1"/>
  <c r="H33" i="8"/>
  <c r="H34" i="21" s="1"/>
  <c r="I33" i="8"/>
  <c r="I34" i="21" s="1"/>
  <c r="J33" i="8"/>
  <c r="J34" i="21" s="1"/>
  <c r="K33" i="8"/>
  <c r="K34" i="21" s="1"/>
  <c r="L33" i="8"/>
  <c r="L34" i="21" s="1"/>
  <c r="M33" i="8"/>
  <c r="M34" i="21" s="1"/>
  <c r="N33" i="8"/>
  <c r="N34" i="21" s="1"/>
  <c r="O33" i="8"/>
  <c r="O34" i="21" s="1"/>
  <c r="P33" i="8"/>
  <c r="P34" i="21" s="1"/>
  <c r="Q33" i="8"/>
  <c r="Q34" i="21" s="1"/>
  <c r="R33" i="8"/>
  <c r="R34" i="21" s="1"/>
  <c r="S33" i="8"/>
  <c r="S34" i="21" s="1"/>
  <c r="T33" i="8"/>
  <c r="T34" i="21" s="1"/>
  <c r="U33" i="8"/>
  <c r="U34" i="21" s="1"/>
  <c r="V33" i="8"/>
  <c r="V34" i="21" s="1"/>
  <c r="W33" i="8"/>
  <c r="W34" i="21" s="1"/>
  <c r="X33" i="8"/>
  <c r="X34" i="21" s="1"/>
  <c r="Y33" i="8"/>
  <c r="Y34" i="21" s="1"/>
  <c r="Z33" i="8"/>
  <c r="Z34" i="21" s="1"/>
  <c r="AA33" i="8"/>
  <c r="AA34" i="21" s="1"/>
  <c r="AB33" i="8"/>
  <c r="AB34" i="21" s="1"/>
  <c r="AC33" i="8"/>
  <c r="AC34" i="21" s="1"/>
  <c r="AD33" i="8"/>
  <c r="AD34" i="21" s="1"/>
  <c r="AE33" i="8"/>
  <c r="AE34" i="21" s="1"/>
  <c r="AF33" i="8"/>
  <c r="AF34" i="21" s="1"/>
  <c r="AG33" i="8"/>
  <c r="A34" i="8"/>
  <c r="B34" i="8"/>
  <c r="C34" i="8"/>
  <c r="D34" i="8"/>
  <c r="E34" i="8"/>
  <c r="F34" i="8"/>
  <c r="F35" i="21" s="1"/>
  <c r="G34" i="8"/>
  <c r="G35" i="21" s="1"/>
  <c r="H34" i="8"/>
  <c r="H35" i="21" s="1"/>
  <c r="I34" i="8"/>
  <c r="I35" i="21" s="1"/>
  <c r="J34" i="8"/>
  <c r="J35" i="21" s="1"/>
  <c r="K34" i="8"/>
  <c r="K35" i="21" s="1"/>
  <c r="L34" i="8"/>
  <c r="L35" i="21" s="1"/>
  <c r="M34" i="8"/>
  <c r="M35" i="21" s="1"/>
  <c r="N34" i="8"/>
  <c r="N35" i="21" s="1"/>
  <c r="O34" i="8"/>
  <c r="O35" i="21" s="1"/>
  <c r="P34" i="8"/>
  <c r="P35" i="21" s="1"/>
  <c r="Q34" i="8"/>
  <c r="Q35" i="21" s="1"/>
  <c r="R34" i="8"/>
  <c r="R35" i="21" s="1"/>
  <c r="S34" i="8"/>
  <c r="S35" i="21" s="1"/>
  <c r="T34" i="8"/>
  <c r="T35" i="21" s="1"/>
  <c r="U34" i="8"/>
  <c r="U35" i="21" s="1"/>
  <c r="V34" i="8"/>
  <c r="V35" i="21" s="1"/>
  <c r="W34" i="8"/>
  <c r="W35" i="21" s="1"/>
  <c r="X34" i="8"/>
  <c r="X35" i="21" s="1"/>
  <c r="Y34" i="8"/>
  <c r="Y35" i="21" s="1"/>
  <c r="Z34" i="8"/>
  <c r="Z35" i="21" s="1"/>
  <c r="AA34" i="8"/>
  <c r="AA35" i="21" s="1"/>
  <c r="AB34" i="8"/>
  <c r="AB35" i="21" s="1"/>
  <c r="AC34" i="8"/>
  <c r="AC35" i="21" s="1"/>
  <c r="AD34" i="8"/>
  <c r="AD35" i="21" s="1"/>
  <c r="AE34" i="8"/>
  <c r="AE35" i="21" s="1"/>
  <c r="AF34" i="8"/>
  <c r="AF35" i="21" s="1"/>
  <c r="AG34" i="8"/>
  <c r="A35" i="8"/>
  <c r="B35" i="8"/>
  <c r="C35" i="8"/>
  <c r="D35" i="8"/>
  <c r="E35" i="8"/>
  <c r="F35" i="8"/>
  <c r="F36" i="21" s="1"/>
  <c r="G35" i="8"/>
  <c r="G36" i="21" s="1"/>
  <c r="H35" i="8"/>
  <c r="H36" i="21" s="1"/>
  <c r="I35" i="8"/>
  <c r="I36" i="21" s="1"/>
  <c r="J35" i="8"/>
  <c r="J36" i="21" s="1"/>
  <c r="K35" i="8"/>
  <c r="K36" i="21" s="1"/>
  <c r="L35" i="8"/>
  <c r="L36" i="21" s="1"/>
  <c r="M35" i="8"/>
  <c r="M36" i="21" s="1"/>
  <c r="N35" i="8"/>
  <c r="N36" i="21" s="1"/>
  <c r="O35" i="8"/>
  <c r="O36" i="21" s="1"/>
  <c r="P35" i="8"/>
  <c r="P36" i="21" s="1"/>
  <c r="Q35" i="8"/>
  <c r="Q36" i="21" s="1"/>
  <c r="R35" i="8"/>
  <c r="R36" i="21" s="1"/>
  <c r="S35" i="8"/>
  <c r="S36" i="21" s="1"/>
  <c r="T35" i="8"/>
  <c r="T36" i="21" s="1"/>
  <c r="U35" i="8"/>
  <c r="U36" i="21" s="1"/>
  <c r="V35" i="8"/>
  <c r="V36" i="21" s="1"/>
  <c r="W35" i="8"/>
  <c r="W36" i="21" s="1"/>
  <c r="X35" i="8"/>
  <c r="X36" i="21" s="1"/>
  <c r="Y35" i="8"/>
  <c r="Y36" i="21" s="1"/>
  <c r="Z35" i="8"/>
  <c r="Z36" i="21" s="1"/>
  <c r="AA35" i="8"/>
  <c r="AA36" i="21" s="1"/>
  <c r="AB35" i="8"/>
  <c r="AB36" i="21" s="1"/>
  <c r="AC35" i="8"/>
  <c r="AC36" i="21" s="1"/>
  <c r="AD35" i="8"/>
  <c r="AD36" i="21" s="1"/>
  <c r="AE35" i="8"/>
  <c r="AE36" i="21" s="1"/>
  <c r="AF35" i="8"/>
  <c r="AF36" i="21" s="1"/>
  <c r="AG35" i="8"/>
  <c r="A36" i="8"/>
  <c r="B36" i="8"/>
  <c r="C36" i="8"/>
  <c r="D36" i="8"/>
  <c r="E36" i="8"/>
  <c r="F36" i="8"/>
  <c r="F37" i="21" s="1"/>
  <c r="G36" i="8"/>
  <c r="G37" i="21" s="1"/>
  <c r="H36" i="8"/>
  <c r="H37" i="21" s="1"/>
  <c r="I36" i="8"/>
  <c r="I37" i="21" s="1"/>
  <c r="J36" i="8"/>
  <c r="J37" i="21" s="1"/>
  <c r="K36" i="8"/>
  <c r="K37" i="21" s="1"/>
  <c r="L36" i="8"/>
  <c r="L37" i="21" s="1"/>
  <c r="M36" i="8"/>
  <c r="M37" i="21" s="1"/>
  <c r="N36" i="8"/>
  <c r="N37" i="21" s="1"/>
  <c r="O36" i="8"/>
  <c r="O37" i="21" s="1"/>
  <c r="P36" i="8"/>
  <c r="P37" i="21" s="1"/>
  <c r="Q36" i="8"/>
  <c r="Q37" i="21" s="1"/>
  <c r="R36" i="8"/>
  <c r="R37" i="21" s="1"/>
  <c r="S36" i="8"/>
  <c r="S37" i="21" s="1"/>
  <c r="T36" i="8"/>
  <c r="T37" i="21" s="1"/>
  <c r="U36" i="8"/>
  <c r="U37" i="21" s="1"/>
  <c r="V36" i="8"/>
  <c r="V37" i="21" s="1"/>
  <c r="W36" i="8"/>
  <c r="W37" i="21" s="1"/>
  <c r="X36" i="8"/>
  <c r="X37" i="21" s="1"/>
  <c r="Y36" i="8"/>
  <c r="Y37" i="21" s="1"/>
  <c r="Z36" i="8"/>
  <c r="Z37" i="21" s="1"/>
  <c r="AA36" i="8"/>
  <c r="AA37" i="21" s="1"/>
  <c r="AB36" i="8"/>
  <c r="AB37" i="21" s="1"/>
  <c r="AC36" i="8"/>
  <c r="AC37" i="21" s="1"/>
  <c r="AD36" i="8"/>
  <c r="AD37" i="21" s="1"/>
  <c r="AE36" i="8"/>
  <c r="AE37" i="21" s="1"/>
  <c r="AF36" i="8"/>
  <c r="AF37" i="21" s="1"/>
  <c r="AG36" i="8"/>
  <c r="A37" i="8"/>
  <c r="B37" i="8"/>
  <c r="C37" i="8"/>
  <c r="D37" i="8"/>
  <c r="E37" i="8"/>
  <c r="F37" i="8"/>
  <c r="F38" i="21" s="1"/>
  <c r="G37" i="8"/>
  <c r="G38" i="21" s="1"/>
  <c r="H37" i="8"/>
  <c r="H38" i="21" s="1"/>
  <c r="I37" i="8"/>
  <c r="I38" i="21" s="1"/>
  <c r="J37" i="8"/>
  <c r="J38" i="21" s="1"/>
  <c r="K37" i="8"/>
  <c r="K38" i="21" s="1"/>
  <c r="L37" i="8"/>
  <c r="L38" i="21" s="1"/>
  <c r="M37" i="8"/>
  <c r="M38" i="21" s="1"/>
  <c r="N37" i="8"/>
  <c r="N38" i="21" s="1"/>
  <c r="O37" i="8"/>
  <c r="O38" i="21" s="1"/>
  <c r="P37" i="8"/>
  <c r="P38" i="21" s="1"/>
  <c r="Q37" i="8"/>
  <c r="Q38" i="21" s="1"/>
  <c r="R37" i="8"/>
  <c r="R38" i="21" s="1"/>
  <c r="S37" i="8"/>
  <c r="S38" i="21" s="1"/>
  <c r="T37" i="8"/>
  <c r="T38" i="21" s="1"/>
  <c r="U37" i="8"/>
  <c r="U38" i="21" s="1"/>
  <c r="V37" i="8"/>
  <c r="V38" i="21" s="1"/>
  <c r="W37" i="8"/>
  <c r="W38" i="21" s="1"/>
  <c r="X37" i="8"/>
  <c r="X38" i="21" s="1"/>
  <c r="Y37" i="8"/>
  <c r="Y38" i="21" s="1"/>
  <c r="Z37" i="8"/>
  <c r="Z38" i="21" s="1"/>
  <c r="AA37" i="8"/>
  <c r="AA38" i="21" s="1"/>
  <c r="AB37" i="8"/>
  <c r="AB38" i="21" s="1"/>
  <c r="AC37" i="8"/>
  <c r="AC38" i="21" s="1"/>
  <c r="AD37" i="8"/>
  <c r="AD38" i="21" s="1"/>
  <c r="AE37" i="8"/>
  <c r="AE38" i="21" s="1"/>
  <c r="AF37" i="8"/>
  <c r="AF38" i="21" s="1"/>
  <c r="AG37" i="8"/>
  <c r="A38" i="8"/>
  <c r="B38" i="8"/>
  <c r="C38" i="8"/>
  <c r="D38" i="8"/>
  <c r="E38" i="8"/>
  <c r="F38" i="8"/>
  <c r="F39" i="21" s="1"/>
  <c r="G38" i="8"/>
  <c r="G39" i="21" s="1"/>
  <c r="H38" i="8"/>
  <c r="H39" i="21" s="1"/>
  <c r="I38" i="8"/>
  <c r="I39" i="21" s="1"/>
  <c r="J38" i="8"/>
  <c r="J39" i="21" s="1"/>
  <c r="K38" i="8"/>
  <c r="K39" i="21" s="1"/>
  <c r="L38" i="8"/>
  <c r="L39" i="21" s="1"/>
  <c r="M38" i="8"/>
  <c r="M39" i="21" s="1"/>
  <c r="N38" i="8"/>
  <c r="N39" i="21" s="1"/>
  <c r="O38" i="8"/>
  <c r="O39" i="21" s="1"/>
  <c r="P38" i="8"/>
  <c r="P39" i="21" s="1"/>
  <c r="Q38" i="8"/>
  <c r="Q39" i="21" s="1"/>
  <c r="R38" i="8"/>
  <c r="R39" i="21" s="1"/>
  <c r="S38" i="8"/>
  <c r="S39" i="21" s="1"/>
  <c r="T38" i="8"/>
  <c r="T39" i="21" s="1"/>
  <c r="U38" i="8"/>
  <c r="U39" i="21" s="1"/>
  <c r="V38" i="8"/>
  <c r="V39" i="21" s="1"/>
  <c r="W38" i="8"/>
  <c r="W39" i="21" s="1"/>
  <c r="X38" i="8"/>
  <c r="X39" i="21" s="1"/>
  <c r="Y38" i="8"/>
  <c r="Y39" i="21" s="1"/>
  <c r="Z38" i="8"/>
  <c r="Z39" i="21" s="1"/>
  <c r="AA38" i="8"/>
  <c r="AA39" i="21" s="1"/>
  <c r="AB38" i="8"/>
  <c r="AB39" i="21" s="1"/>
  <c r="AC38" i="8"/>
  <c r="AC39" i="21" s="1"/>
  <c r="AD38" i="8"/>
  <c r="AD39" i="21" s="1"/>
  <c r="AE38" i="8"/>
  <c r="AE39" i="21" s="1"/>
  <c r="AF38" i="8"/>
  <c r="AF39" i="21" s="1"/>
  <c r="AG38" i="8"/>
  <c r="A39" i="8"/>
  <c r="B39" i="8"/>
  <c r="C39" i="8"/>
  <c r="D39" i="8"/>
  <c r="E39" i="8"/>
  <c r="F39" i="8"/>
  <c r="F40" i="21" s="1"/>
  <c r="G39" i="8"/>
  <c r="G40" i="21" s="1"/>
  <c r="H39" i="8"/>
  <c r="H40" i="21" s="1"/>
  <c r="I39" i="8"/>
  <c r="I40" i="21" s="1"/>
  <c r="J39" i="8"/>
  <c r="J40" i="21" s="1"/>
  <c r="K39" i="8"/>
  <c r="K40" i="21" s="1"/>
  <c r="L39" i="8"/>
  <c r="L40" i="21" s="1"/>
  <c r="M39" i="8"/>
  <c r="M40" i="21" s="1"/>
  <c r="N39" i="8"/>
  <c r="N40" i="21" s="1"/>
  <c r="O39" i="8"/>
  <c r="O40" i="21" s="1"/>
  <c r="P39" i="8"/>
  <c r="P40" i="21" s="1"/>
  <c r="Q39" i="8"/>
  <c r="Q40" i="21" s="1"/>
  <c r="R39" i="8"/>
  <c r="R40" i="21" s="1"/>
  <c r="S39" i="8"/>
  <c r="S40" i="21" s="1"/>
  <c r="T39" i="8"/>
  <c r="T40" i="21" s="1"/>
  <c r="U39" i="8"/>
  <c r="U40" i="21" s="1"/>
  <c r="V39" i="8"/>
  <c r="V40" i="21" s="1"/>
  <c r="W39" i="8"/>
  <c r="W40" i="21" s="1"/>
  <c r="X39" i="8"/>
  <c r="X40" i="21" s="1"/>
  <c r="Y39" i="8"/>
  <c r="Y40" i="21" s="1"/>
  <c r="Z39" i="8"/>
  <c r="Z40" i="21" s="1"/>
  <c r="AA39" i="8"/>
  <c r="AA40" i="21" s="1"/>
  <c r="AB39" i="8"/>
  <c r="AB40" i="21" s="1"/>
  <c r="AC39" i="8"/>
  <c r="AC40" i="21" s="1"/>
  <c r="AD39" i="8"/>
  <c r="AD40" i="21" s="1"/>
  <c r="AE39" i="8"/>
  <c r="AE40" i="21" s="1"/>
  <c r="AF39" i="8"/>
  <c r="AF40" i="21" s="1"/>
  <c r="AG39" i="8"/>
  <c r="A40" i="8"/>
  <c r="B40" i="8"/>
  <c r="C40" i="8"/>
  <c r="D40" i="8"/>
  <c r="E40" i="8"/>
  <c r="F40" i="8"/>
  <c r="F41" i="21" s="1"/>
  <c r="G40" i="8"/>
  <c r="G41" i="21" s="1"/>
  <c r="H40" i="8"/>
  <c r="H41" i="21" s="1"/>
  <c r="I40" i="8"/>
  <c r="I41" i="21" s="1"/>
  <c r="J40" i="8"/>
  <c r="J41" i="21" s="1"/>
  <c r="K40" i="8"/>
  <c r="K41" i="21" s="1"/>
  <c r="L40" i="8"/>
  <c r="L41" i="21" s="1"/>
  <c r="M40" i="8"/>
  <c r="M41" i="21" s="1"/>
  <c r="N40" i="8"/>
  <c r="N41" i="21" s="1"/>
  <c r="O40" i="8"/>
  <c r="O41" i="21" s="1"/>
  <c r="P40" i="8"/>
  <c r="P41" i="21" s="1"/>
  <c r="Q40" i="8"/>
  <c r="Q41" i="21" s="1"/>
  <c r="R40" i="8"/>
  <c r="R41" i="21" s="1"/>
  <c r="S40" i="8"/>
  <c r="S41" i="21" s="1"/>
  <c r="T40" i="8"/>
  <c r="T41" i="21" s="1"/>
  <c r="U40" i="8"/>
  <c r="U41" i="21" s="1"/>
  <c r="V40" i="8"/>
  <c r="V41" i="21" s="1"/>
  <c r="W40" i="8"/>
  <c r="W41" i="21" s="1"/>
  <c r="X40" i="8"/>
  <c r="X41" i="21" s="1"/>
  <c r="Y40" i="8"/>
  <c r="Y41" i="21" s="1"/>
  <c r="Z40" i="8"/>
  <c r="Z41" i="21" s="1"/>
  <c r="AA40" i="8"/>
  <c r="AA41" i="21" s="1"/>
  <c r="AB40" i="8"/>
  <c r="AB41" i="21" s="1"/>
  <c r="AC40" i="8"/>
  <c r="AC41" i="21" s="1"/>
  <c r="AD40" i="8"/>
  <c r="AD41" i="21" s="1"/>
  <c r="AE40" i="8"/>
  <c r="AE41" i="21" s="1"/>
  <c r="AF40" i="8"/>
  <c r="AF41" i="21" s="1"/>
  <c r="AG40" i="8"/>
  <c r="A41" i="8"/>
  <c r="B41" i="8"/>
  <c r="C41" i="8"/>
  <c r="D41" i="8"/>
  <c r="E41" i="8"/>
  <c r="F41" i="8"/>
  <c r="F42" i="21" s="1"/>
  <c r="G41" i="8"/>
  <c r="G42" i="21" s="1"/>
  <c r="H41" i="8"/>
  <c r="H42" i="21" s="1"/>
  <c r="I41" i="8"/>
  <c r="I42" i="21" s="1"/>
  <c r="J41" i="8"/>
  <c r="J42" i="21" s="1"/>
  <c r="K41" i="8"/>
  <c r="K42" i="21" s="1"/>
  <c r="L41" i="8"/>
  <c r="L42" i="21" s="1"/>
  <c r="M41" i="8"/>
  <c r="M42" i="21" s="1"/>
  <c r="N41" i="8"/>
  <c r="N42" i="21" s="1"/>
  <c r="O41" i="8"/>
  <c r="O42" i="21" s="1"/>
  <c r="P41" i="8"/>
  <c r="P42" i="21" s="1"/>
  <c r="Q41" i="8"/>
  <c r="Q42" i="21" s="1"/>
  <c r="R41" i="8"/>
  <c r="R42" i="21" s="1"/>
  <c r="S41" i="8"/>
  <c r="S42" i="21" s="1"/>
  <c r="T41" i="8"/>
  <c r="T42" i="21" s="1"/>
  <c r="U41" i="8"/>
  <c r="U42" i="21" s="1"/>
  <c r="V41" i="8"/>
  <c r="V42" i="21" s="1"/>
  <c r="W41" i="8"/>
  <c r="W42" i="21" s="1"/>
  <c r="X41" i="8"/>
  <c r="X42" i="21" s="1"/>
  <c r="Y41" i="8"/>
  <c r="Y42" i="21" s="1"/>
  <c r="Z41" i="8"/>
  <c r="Z42" i="21" s="1"/>
  <c r="AA41" i="8"/>
  <c r="AA42" i="21" s="1"/>
  <c r="AB41" i="8"/>
  <c r="AB42" i="21" s="1"/>
  <c r="AC41" i="8"/>
  <c r="AC42" i="21" s="1"/>
  <c r="AD41" i="8"/>
  <c r="AD42" i="21" s="1"/>
  <c r="AE41" i="8"/>
  <c r="AE42" i="21" s="1"/>
  <c r="AF41" i="8"/>
  <c r="AF42" i="21" s="1"/>
  <c r="AG41" i="8"/>
  <c r="A42" i="8"/>
  <c r="B42" i="8"/>
  <c r="C42" i="8"/>
  <c r="D42" i="8"/>
  <c r="E42" i="8"/>
  <c r="F42" i="8"/>
  <c r="F43" i="21" s="1"/>
  <c r="G42" i="8"/>
  <c r="G43" i="21" s="1"/>
  <c r="H42" i="8"/>
  <c r="H43" i="21" s="1"/>
  <c r="I42" i="8"/>
  <c r="I43" i="21" s="1"/>
  <c r="J42" i="8"/>
  <c r="J43" i="21" s="1"/>
  <c r="K42" i="8"/>
  <c r="K43" i="21" s="1"/>
  <c r="L42" i="8"/>
  <c r="L43" i="21" s="1"/>
  <c r="M42" i="8"/>
  <c r="M43" i="21" s="1"/>
  <c r="N42" i="8"/>
  <c r="N43" i="21" s="1"/>
  <c r="O42" i="8"/>
  <c r="O43" i="21" s="1"/>
  <c r="P42" i="8"/>
  <c r="P43" i="21" s="1"/>
  <c r="Q42" i="8"/>
  <c r="Q43" i="21" s="1"/>
  <c r="R42" i="8"/>
  <c r="R43" i="21" s="1"/>
  <c r="S42" i="8"/>
  <c r="S43" i="21" s="1"/>
  <c r="T42" i="8"/>
  <c r="T43" i="21" s="1"/>
  <c r="U42" i="8"/>
  <c r="U43" i="21" s="1"/>
  <c r="V42" i="8"/>
  <c r="V43" i="21" s="1"/>
  <c r="W42" i="8"/>
  <c r="W43" i="21" s="1"/>
  <c r="X42" i="8"/>
  <c r="X43" i="21" s="1"/>
  <c r="Y42" i="8"/>
  <c r="Y43" i="21" s="1"/>
  <c r="Z42" i="8"/>
  <c r="Z43" i="21" s="1"/>
  <c r="AA42" i="8"/>
  <c r="AA43" i="21" s="1"/>
  <c r="AB42" i="8"/>
  <c r="AB43" i="21" s="1"/>
  <c r="AC42" i="8"/>
  <c r="AC43" i="21" s="1"/>
  <c r="AD42" i="8"/>
  <c r="AD43" i="21" s="1"/>
  <c r="AE42" i="8"/>
  <c r="AE43" i="21" s="1"/>
  <c r="AF42" i="8"/>
  <c r="AF43" i="21" s="1"/>
  <c r="AG42" i="8"/>
  <c r="A43" i="8"/>
  <c r="B43" i="8"/>
  <c r="C43" i="8"/>
  <c r="D43" i="8"/>
  <c r="E43" i="8"/>
  <c r="F43" i="8"/>
  <c r="F44" i="21" s="1"/>
  <c r="G43" i="8"/>
  <c r="G44" i="21" s="1"/>
  <c r="H43" i="8"/>
  <c r="H44" i="21" s="1"/>
  <c r="I43" i="8"/>
  <c r="I44" i="21" s="1"/>
  <c r="J43" i="8"/>
  <c r="J44" i="21" s="1"/>
  <c r="K43" i="8"/>
  <c r="K44" i="21" s="1"/>
  <c r="L43" i="8"/>
  <c r="L44" i="21" s="1"/>
  <c r="M43" i="8"/>
  <c r="M44" i="21" s="1"/>
  <c r="N43" i="8"/>
  <c r="N44" i="21" s="1"/>
  <c r="O43" i="8"/>
  <c r="O44" i="21" s="1"/>
  <c r="P43" i="8"/>
  <c r="P44" i="21" s="1"/>
  <c r="Q43" i="8"/>
  <c r="Q44" i="21" s="1"/>
  <c r="R43" i="8"/>
  <c r="R44" i="21" s="1"/>
  <c r="S43" i="8"/>
  <c r="S44" i="21" s="1"/>
  <c r="T43" i="8"/>
  <c r="T44" i="21" s="1"/>
  <c r="U43" i="8"/>
  <c r="U44" i="21" s="1"/>
  <c r="V43" i="8"/>
  <c r="V44" i="21" s="1"/>
  <c r="W43" i="8"/>
  <c r="W44" i="21" s="1"/>
  <c r="X43" i="8"/>
  <c r="X44" i="21" s="1"/>
  <c r="Y43" i="8"/>
  <c r="Y44" i="21" s="1"/>
  <c r="Z43" i="8"/>
  <c r="Z44" i="21" s="1"/>
  <c r="AA43" i="8"/>
  <c r="AA44" i="21" s="1"/>
  <c r="AB43" i="8"/>
  <c r="AB44" i="21" s="1"/>
  <c r="AC43" i="8"/>
  <c r="AC44" i="21" s="1"/>
  <c r="AD43" i="8"/>
  <c r="AD44" i="21" s="1"/>
  <c r="AE43" i="8"/>
  <c r="AE44" i="21" s="1"/>
  <c r="AF43" i="8"/>
  <c r="AF44" i="21" s="1"/>
  <c r="AG43" i="8"/>
  <c r="A44" i="8"/>
  <c r="B44" i="8"/>
  <c r="C44" i="8"/>
  <c r="D44" i="8"/>
  <c r="E44" i="8"/>
  <c r="F44" i="8"/>
  <c r="F45" i="21" s="1"/>
  <c r="G44" i="8"/>
  <c r="G45" i="21" s="1"/>
  <c r="H44" i="8"/>
  <c r="H45" i="21" s="1"/>
  <c r="I44" i="8"/>
  <c r="I45" i="21" s="1"/>
  <c r="J44" i="8"/>
  <c r="J45" i="21" s="1"/>
  <c r="K44" i="8"/>
  <c r="K45" i="21" s="1"/>
  <c r="L44" i="8"/>
  <c r="L45" i="21" s="1"/>
  <c r="M44" i="8"/>
  <c r="M45" i="21" s="1"/>
  <c r="N44" i="8"/>
  <c r="N45" i="21" s="1"/>
  <c r="O44" i="8"/>
  <c r="O45" i="21" s="1"/>
  <c r="P44" i="8"/>
  <c r="P45" i="21" s="1"/>
  <c r="Q44" i="8"/>
  <c r="Q45" i="21" s="1"/>
  <c r="R44" i="8"/>
  <c r="R45" i="21" s="1"/>
  <c r="S44" i="8"/>
  <c r="S45" i="21" s="1"/>
  <c r="T44" i="8"/>
  <c r="T45" i="21" s="1"/>
  <c r="U44" i="8"/>
  <c r="U45" i="21" s="1"/>
  <c r="V44" i="8"/>
  <c r="V45" i="21" s="1"/>
  <c r="W44" i="8"/>
  <c r="W45" i="21" s="1"/>
  <c r="X44" i="8"/>
  <c r="X45" i="21" s="1"/>
  <c r="Y44" i="8"/>
  <c r="Y45" i="21" s="1"/>
  <c r="Z44" i="8"/>
  <c r="Z45" i="21" s="1"/>
  <c r="AA44" i="8"/>
  <c r="AA45" i="21" s="1"/>
  <c r="AB44" i="8"/>
  <c r="AB45" i="21" s="1"/>
  <c r="AC44" i="8"/>
  <c r="AC45" i="21" s="1"/>
  <c r="AD44" i="8"/>
  <c r="AD45" i="21" s="1"/>
  <c r="AE44" i="8"/>
  <c r="AE45" i="21" s="1"/>
  <c r="AF44" i="8"/>
  <c r="AF45" i="21" s="1"/>
  <c r="AG44" i="8"/>
  <c r="A45" i="8"/>
  <c r="B45" i="8"/>
  <c r="C45" i="8"/>
  <c r="D45" i="8"/>
  <c r="E45" i="8"/>
  <c r="F45" i="8"/>
  <c r="F46" i="21" s="1"/>
  <c r="G45" i="8"/>
  <c r="G46" i="21" s="1"/>
  <c r="H45" i="8"/>
  <c r="H46" i="21" s="1"/>
  <c r="I45" i="8"/>
  <c r="I46" i="21" s="1"/>
  <c r="J45" i="8"/>
  <c r="J46" i="21" s="1"/>
  <c r="K45" i="8"/>
  <c r="K46" i="21" s="1"/>
  <c r="L45" i="8"/>
  <c r="L46" i="21" s="1"/>
  <c r="M45" i="8"/>
  <c r="M46" i="21" s="1"/>
  <c r="N45" i="8"/>
  <c r="N46" i="21" s="1"/>
  <c r="O45" i="8"/>
  <c r="O46" i="21" s="1"/>
  <c r="P45" i="8"/>
  <c r="P46" i="21" s="1"/>
  <c r="Q45" i="8"/>
  <c r="Q46" i="21" s="1"/>
  <c r="R45" i="8"/>
  <c r="R46" i="21" s="1"/>
  <c r="S45" i="8"/>
  <c r="S46" i="21" s="1"/>
  <c r="T45" i="8"/>
  <c r="T46" i="21" s="1"/>
  <c r="U45" i="8"/>
  <c r="U46" i="21" s="1"/>
  <c r="V45" i="8"/>
  <c r="V46" i="21" s="1"/>
  <c r="W45" i="8"/>
  <c r="W46" i="21" s="1"/>
  <c r="X45" i="8"/>
  <c r="X46" i="21" s="1"/>
  <c r="Y45" i="8"/>
  <c r="Y46" i="21" s="1"/>
  <c r="Z45" i="8"/>
  <c r="Z46" i="21" s="1"/>
  <c r="AA45" i="8"/>
  <c r="AA46" i="21" s="1"/>
  <c r="AB45" i="8"/>
  <c r="AB46" i="21" s="1"/>
  <c r="AC45" i="8"/>
  <c r="AC46" i="21" s="1"/>
  <c r="AD45" i="8"/>
  <c r="AD46" i="21" s="1"/>
  <c r="AE45" i="8"/>
  <c r="AE46" i="21" s="1"/>
  <c r="AF45" i="8"/>
  <c r="AF46" i="21" s="1"/>
  <c r="AG45" i="8"/>
  <c r="A46" i="8"/>
  <c r="B46" i="8"/>
  <c r="C46" i="8"/>
  <c r="D46" i="8"/>
  <c r="E46" i="8"/>
  <c r="F46" i="8"/>
  <c r="F47" i="21" s="1"/>
  <c r="G46" i="8"/>
  <c r="G47" i="21" s="1"/>
  <c r="H46" i="8"/>
  <c r="H47" i="21" s="1"/>
  <c r="I46" i="8"/>
  <c r="I47" i="21" s="1"/>
  <c r="J46" i="8"/>
  <c r="J47" i="21" s="1"/>
  <c r="K46" i="8"/>
  <c r="K47" i="21" s="1"/>
  <c r="L46" i="8"/>
  <c r="L47" i="21" s="1"/>
  <c r="M46" i="8"/>
  <c r="M47" i="21" s="1"/>
  <c r="N46" i="8"/>
  <c r="N47" i="21" s="1"/>
  <c r="O46" i="8"/>
  <c r="O47" i="21" s="1"/>
  <c r="P46" i="8"/>
  <c r="P47" i="21" s="1"/>
  <c r="Q46" i="8"/>
  <c r="Q47" i="21" s="1"/>
  <c r="R46" i="8"/>
  <c r="R47" i="21" s="1"/>
  <c r="S46" i="8"/>
  <c r="S47" i="21" s="1"/>
  <c r="T46" i="8"/>
  <c r="T47" i="21" s="1"/>
  <c r="U46" i="8"/>
  <c r="U47" i="21" s="1"/>
  <c r="V46" i="8"/>
  <c r="V47" i="21" s="1"/>
  <c r="W46" i="8"/>
  <c r="W47" i="21" s="1"/>
  <c r="X46" i="8"/>
  <c r="X47" i="21" s="1"/>
  <c r="Y46" i="8"/>
  <c r="Y47" i="21" s="1"/>
  <c r="Z46" i="8"/>
  <c r="Z47" i="21" s="1"/>
  <c r="AA46" i="8"/>
  <c r="AA47" i="21" s="1"/>
  <c r="AB46" i="8"/>
  <c r="AB47" i="21" s="1"/>
  <c r="AC46" i="8"/>
  <c r="AC47" i="21" s="1"/>
  <c r="AD46" i="8"/>
  <c r="AD47" i="21" s="1"/>
  <c r="AE46" i="8"/>
  <c r="AE47" i="21" s="1"/>
  <c r="AF46" i="8"/>
  <c r="AF47" i="21" s="1"/>
  <c r="AG46" i="8"/>
  <c r="A47" i="8"/>
  <c r="B47" i="8"/>
  <c r="C47" i="8"/>
  <c r="D47" i="8"/>
  <c r="E47" i="8"/>
  <c r="F47" i="8"/>
  <c r="F48" i="21" s="1"/>
  <c r="G47" i="8"/>
  <c r="G48" i="21" s="1"/>
  <c r="H47" i="8"/>
  <c r="H48" i="21" s="1"/>
  <c r="I47" i="8"/>
  <c r="I48" i="21" s="1"/>
  <c r="J47" i="8"/>
  <c r="J48" i="21" s="1"/>
  <c r="K47" i="8"/>
  <c r="K48" i="21" s="1"/>
  <c r="L47" i="8"/>
  <c r="L48" i="21" s="1"/>
  <c r="M47" i="8"/>
  <c r="M48" i="21" s="1"/>
  <c r="N47" i="8"/>
  <c r="N48" i="21" s="1"/>
  <c r="O47" i="8"/>
  <c r="O48" i="21" s="1"/>
  <c r="P47" i="8"/>
  <c r="P48" i="21" s="1"/>
  <c r="Q47" i="8"/>
  <c r="Q48" i="21" s="1"/>
  <c r="R47" i="8"/>
  <c r="R48" i="21" s="1"/>
  <c r="S47" i="8"/>
  <c r="S48" i="21" s="1"/>
  <c r="T47" i="8"/>
  <c r="T48" i="21" s="1"/>
  <c r="U47" i="8"/>
  <c r="U48" i="21" s="1"/>
  <c r="V47" i="8"/>
  <c r="V48" i="21" s="1"/>
  <c r="W47" i="8"/>
  <c r="W48" i="21" s="1"/>
  <c r="X47" i="8"/>
  <c r="X48" i="21" s="1"/>
  <c r="Y47" i="8"/>
  <c r="Y48" i="21" s="1"/>
  <c r="Z47" i="8"/>
  <c r="Z48" i="21" s="1"/>
  <c r="AA47" i="8"/>
  <c r="AA48" i="21" s="1"/>
  <c r="AB47" i="8"/>
  <c r="AB48" i="21" s="1"/>
  <c r="AC47" i="8"/>
  <c r="AC48" i="21" s="1"/>
  <c r="AD47" i="8"/>
  <c r="AD48" i="21" s="1"/>
  <c r="AE47" i="8"/>
  <c r="AE48" i="21" s="1"/>
  <c r="AF47" i="8"/>
  <c r="AF48" i="21" s="1"/>
  <c r="AG47" i="8"/>
  <c r="A48" i="8"/>
  <c r="B48" i="8"/>
  <c r="C48" i="8"/>
  <c r="D48" i="8"/>
  <c r="E48" i="8"/>
  <c r="F48" i="8"/>
  <c r="F49" i="21" s="1"/>
  <c r="G48" i="8"/>
  <c r="G49" i="21" s="1"/>
  <c r="H48" i="8"/>
  <c r="H49" i="21" s="1"/>
  <c r="I48" i="8"/>
  <c r="I49" i="21" s="1"/>
  <c r="J48" i="8"/>
  <c r="J49" i="21" s="1"/>
  <c r="K48" i="8"/>
  <c r="K49" i="21" s="1"/>
  <c r="L48" i="8"/>
  <c r="L49" i="21" s="1"/>
  <c r="M48" i="8"/>
  <c r="M49" i="21" s="1"/>
  <c r="N48" i="8"/>
  <c r="N49" i="21" s="1"/>
  <c r="O48" i="8"/>
  <c r="O49" i="21" s="1"/>
  <c r="P48" i="8"/>
  <c r="P49" i="21" s="1"/>
  <c r="Q48" i="8"/>
  <c r="Q49" i="21" s="1"/>
  <c r="R48" i="8"/>
  <c r="R49" i="21" s="1"/>
  <c r="S48" i="8"/>
  <c r="S49" i="21" s="1"/>
  <c r="T48" i="8"/>
  <c r="T49" i="21" s="1"/>
  <c r="U48" i="8"/>
  <c r="U49" i="21" s="1"/>
  <c r="V48" i="8"/>
  <c r="V49" i="21" s="1"/>
  <c r="W48" i="8"/>
  <c r="W49" i="21" s="1"/>
  <c r="X48" i="8"/>
  <c r="X49" i="21" s="1"/>
  <c r="Y48" i="8"/>
  <c r="Y49" i="21" s="1"/>
  <c r="Z48" i="8"/>
  <c r="Z49" i="21" s="1"/>
  <c r="AA48" i="8"/>
  <c r="AA49" i="21" s="1"/>
  <c r="AB48" i="8"/>
  <c r="AB49" i="21" s="1"/>
  <c r="AC48" i="8"/>
  <c r="AC49" i="21" s="1"/>
  <c r="AD48" i="8"/>
  <c r="AD49" i="21" s="1"/>
  <c r="AE48" i="8"/>
  <c r="AE49" i="21" s="1"/>
  <c r="AF48" i="8"/>
  <c r="AF49" i="21" s="1"/>
  <c r="AG48" i="8"/>
  <c r="A49" i="8"/>
  <c r="B49" i="8"/>
  <c r="C49" i="8"/>
  <c r="D49" i="8"/>
  <c r="E49" i="8"/>
  <c r="F49" i="8"/>
  <c r="F50" i="21" s="1"/>
  <c r="G49" i="8"/>
  <c r="G50" i="21" s="1"/>
  <c r="H49" i="8"/>
  <c r="H50" i="21" s="1"/>
  <c r="I49" i="8"/>
  <c r="I50" i="21" s="1"/>
  <c r="J49" i="8"/>
  <c r="J50" i="21" s="1"/>
  <c r="K49" i="8"/>
  <c r="K50" i="21" s="1"/>
  <c r="L49" i="8"/>
  <c r="L50" i="21" s="1"/>
  <c r="M49" i="8"/>
  <c r="M50" i="21" s="1"/>
  <c r="N49" i="8"/>
  <c r="N50" i="21" s="1"/>
  <c r="O49" i="8"/>
  <c r="O50" i="21" s="1"/>
  <c r="P49" i="8"/>
  <c r="P50" i="21" s="1"/>
  <c r="Q49" i="8"/>
  <c r="Q50" i="21" s="1"/>
  <c r="R49" i="8"/>
  <c r="R50" i="21" s="1"/>
  <c r="S49" i="8"/>
  <c r="S50" i="21" s="1"/>
  <c r="T49" i="8"/>
  <c r="T50" i="21" s="1"/>
  <c r="U49" i="8"/>
  <c r="U50" i="21" s="1"/>
  <c r="V49" i="8"/>
  <c r="V50" i="21" s="1"/>
  <c r="W49" i="8"/>
  <c r="W50" i="21" s="1"/>
  <c r="X49" i="8"/>
  <c r="X50" i="21" s="1"/>
  <c r="Y49" i="8"/>
  <c r="Y50" i="21" s="1"/>
  <c r="Z49" i="8"/>
  <c r="Z50" i="21" s="1"/>
  <c r="AA49" i="8"/>
  <c r="AA50" i="21" s="1"/>
  <c r="AB49" i="8"/>
  <c r="AB50" i="21" s="1"/>
  <c r="AC49" i="8"/>
  <c r="AC50" i="21" s="1"/>
  <c r="AD49" i="8"/>
  <c r="AD50" i="21" s="1"/>
  <c r="AE49" i="8"/>
  <c r="AE50" i="21" s="1"/>
  <c r="AF49" i="8"/>
  <c r="AF50" i="21" s="1"/>
  <c r="AG49" i="8"/>
  <c r="A50" i="8"/>
  <c r="B50" i="8"/>
  <c r="C50" i="8"/>
  <c r="D50" i="8"/>
  <c r="E50" i="8"/>
  <c r="F50" i="8"/>
  <c r="F51" i="21" s="1"/>
  <c r="G50" i="8"/>
  <c r="G51" i="21" s="1"/>
  <c r="H50" i="8"/>
  <c r="H51" i="21" s="1"/>
  <c r="I50" i="8"/>
  <c r="I51" i="21" s="1"/>
  <c r="J50" i="8"/>
  <c r="J51" i="21" s="1"/>
  <c r="K50" i="8"/>
  <c r="K51" i="21" s="1"/>
  <c r="L50" i="8"/>
  <c r="L51" i="21" s="1"/>
  <c r="M50" i="8"/>
  <c r="M51" i="21" s="1"/>
  <c r="N50" i="8"/>
  <c r="N51" i="21" s="1"/>
  <c r="O50" i="8"/>
  <c r="O51" i="21" s="1"/>
  <c r="P50" i="8"/>
  <c r="P51" i="21" s="1"/>
  <c r="Q50" i="8"/>
  <c r="Q51" i="21" s="1"/>
  <c r="R50" i="8"/>
  <c r="R51" i="21" s="1"/>
  <c r="S50" i="8"/>
  <c r="S51" i="21" s="1"/>
  <c r="T50" i="8"/>
  <c r="T51" i="21" s="1"/>
  <c r="U50" i="8"/>
  <c r="U51" i="21" s="1"/>
  <c r="V50" i="8"/>
  <c r="V51" i="21" s="1"/>
  <c r="W50" i="8"/>
  <c r="W51" i="21" s="1"/>
  <c r="X50" i="8"/>
  <c r="X51" i="21" s="1"/>
  <c r="Y50" i="8"/>
  <c r="Y51" i="21" s="1"/>
  <c r="Z50" i="8"/>
  <c r="Z51" i="21" s="1"/>
  <c r="AA50" i="8"/>
  <c r="AA51" i="21" s="1"/>
  <c r="AB50" i="8"/>
  <c r="AB51" i="21" s="1"/>
  <c r="AC50" i="8"/>
  <c r="AC51" i="21" s="1"/>
  <c r="AD50" i="8"/>
  <c r="AD51" i="21" s="1"/>
  <c r="AE50" i="8"/>
  <c r="AE51" i="21" s="1"/>
  <c r="AF50" i="8"/>
  <c r="AF51" i="21" s="1"/>
  <c r="AG50" i="8"/>
  <c r="A51" i="8"/>
  <c r="B51" i="8"/>
  <c r="C51" i="8"/>
  <c r="D51" i="8"/>
  <c r="E51" i="8"/>
  <c r="F51" i="8"/>
  <c r="F52" i="21" s="1"/>
  <c r="G51" i="8"/>
  <c r="G52" i="21" s="1"/>
  <c r="H51" i="8"/>
  <c r="H52" i="21" s="1"/>
  <c r="I51" i="8"/>
  <c r="I52" i="21" s="1"/>
  <c r="J51" i="8"/>
  <c r="J52" i="21" s="1"/>
  <c r="K51" i="8"/>
  <c r="K52" i="21" s="1"/>
  <c r="L51" i="8"/>
  <c r="L52" i="21" s="1"/>
  <c r="M51" i="8"/>
  <c r="M52" i="21" s="1"/>
  <c r="N51" i="8"/>
  <c r="N52" i="21" s="1"/>
  <c r="O51" i="8"/>
  <c r="O52" i="21" s="1"/>
  <c r="P51" i="8"/>
  <c r="P52" i="21" s="1"/>
  <c r="Q51" i="8"/>
  <c r="Q52" i="21" s="1"/>
  <c r="R51" i="8"/>
  <c r="R52" i="21" s="1"/>
  <c r="S51" i="8"/>
  <c r="S52" i="21" s="1"/>
  <c r="T51" i="8"/>
  <c r="T52" i="21" s="1"/>
  <c r="U51" i="8"/>
  <c r="U52" i="21" s="1"/>
  <c r="V51" i="8"/>
  <c r="V52" i="21" s="1"/>
  <c r="W51" i="8"/>
  <c r="W52" i="21" s="1"/>
  <c r="X51" i="8"/>
  <c r="X52" i="21" s="1"/>
  <c r="Y51" i="8"/>
  <c r="Y52" i="21" s="1"/>
  <c r="Z51" i="8"/>
  <c r="Z52" i="21" s="1"/>
  <c r="AA51" i="8"/>
  <c r="AA52" i="21" s="1"/>
  <c r="AB51" i="8"/>
  <c r="AB52" i="21" s="1"/>
  <c r="AC51" i="8"/>
  <c r="AC52" i="21" s="1"/>
  <c r="AD51" i="8"/>
  <c r="AD52" i="21" s="1"/>
  <c r="AE51" i="8"/>
  <c r="AE52" i="21" s="1"/>
  <c r="AF51" i="8"/>
  <c r="AF52" i="21" s="1"/>
  <c r="AG51" i="8"/>
  <c r="A52" i="8"/>
  <c r="B52" i="8"/>
  <c r="C52" i="8"/>
  <c r="D52" i="8"/>
  <c r="E52" i="8"/>
  <c r="F52" i="8"/>
  <c r="F53" i="21" s="1"/>
  <c r="G52" i="8"/>
  <c r="G53" i="21" s="1"/>
  <c r="H52" i="8"/>
  <c r="H53" i="21" s="1"/>
  <c r="I52" i="8"/>
  <c r="I53" i="21" s="1"/>
  <c r="J52" i="8"/>
  <c r="J53" i="21" s="1"/>
  <c r="K52" i="8"/>
  <c r="K53" i="21" s="1"/>
  <c r="L52" i="8"/>
  <c r="L53" i="21" s="1"/>
  <c r="M52" i="8"/>
  <c r="M53" i="21" s="1"/>
  <c r="N52" i="8"/>
  <c r="N53" i="21" s="1"/>
  <c r="O52" i="8"/>
  <c r="O53" i="21" s="1"/>
  <c r="P52" i="8"/>
  <c r="P53" i="21" s="1"/>
  <c r="Q52" i="8"/>
  <c r="Q53" i="21" s="1"/>
  <c r="R52" i="8"/>
  <c r="R53" i="21" s="1"/>
  <c r="S52" i="8"/>
  <c r="S53" i="21" s="1"/>
  <c r="T52" i="8"/>
  <c r="T53" i="21" s="1"/>
  <c r="U52" i="8"/>
  <c r="U53" i="21" s="1"/>
  <c r="V52" i="8"/>
  <c r="V53" i="21" s="1"/>
  <c r="W52" i="8"/>
  <c r="W53" i="21" s="1"/>
  <c r="X52" i="8"/>
  <c r="X53" i="21" s="1"/>
  <c r="Y52" i="8"/>
  <c r="Y53" i="21" s="1"/>
  <c r="Z52" i="8"/>
  <c r="Z53" i="21" s="1"/>
  <c r="AA52" i="8"/>
  <c r="AA53" i="21" s="1"/>
  <c r="AB52" i="8"/>
  <c r="AB53" i="21" s="1"/>
  <c r="AC52" i="8"/>
  <c r="AC53" i="21" s="1"/>
  <c r="AD52" i="8"/>
  <c r="AD53" i="21" s="1"/>
  <c r="AE52" i="8"/>
  <c r="AE53" i="21" s="1"/>
  <c r="AF52" i="8"/>
  <c r="AF53" i="21" s="1"/>
  <c r="AG52" i="8"/>
  <c r="A53" i="8"/>
  <c r="B53" i="8"/>
  <c r="C53" i="8"/>
  <c r="D53" i="8"/>
  <c r="E53" i="8"/>
  <c r="F53" i="8"/>
  <c r="F54" i="21" s="1"/>
  <c r="G53" i="8"/>
  <c r="G54" i="21" s="1"/>
  <c r="H53" i="8"/>
  <c r="H54" i="21" s="1"/>
  <c r="I53" i="8"/>
  <c r="I54" i="21" s="1"/>
  <c r="J53" i="8"/>
  <c r="J54" i="21" s="1"/>
  <c r="K53" i="8"/>
  <c r="K54" i="21" s="1"/>
  <c r="L53" i="8"/>
  <c r="L54" i="21" s="1"/>
  <c r="M53" i="8"/>
  <c r="M54" i="21" s="1"/>
  <c r="N53" i="8"/>
  <c r="N54" i="21" s="1"/>
  <c r="O53" i="8"/>
  <c r="O54" i="21" s="1"/>
  <c r="P53" i="8"/>
  <c r="P54" i="21" s="1"/>
  <c r="Q53" i="8"/>
  <c r="Q54" i="21" s="1"/>
  <c r="S53" i="8"/>
  <c r="S54" i="21" s="1"/>
  <c r="T53" i="8"/>
  <c r="T54" i="21" s="1"/>
  <c r="U53" i="8"/>
  <c r="U54" i="21" s="1"/>
  <c r="V53" i="8"/>
  <c r="V54" i="21" s="1"/>
  <c r="W53" i="8"/>
  <c r="W54" i="21" s="1"/>
  <c r="X53" i="8"/>
  <c r="X54" i="21" s="1"/>
  <c r="Y53" i="8"/>
  <c r="Y54" i="21" s="1"/>
  <c r="Z53" i="8"/>
  <c r="Z54" i="21" s="1"/>
  <c r="AA53" i="8"/>
  <c r="AA54" i="21" s="1"/>
  <c r="AB53" i="8"/>
  <c r="AB54" i="21" s="1"/>
  <c r="AC53" i="8"/>
  <c r="AC54" i="21" s="1"/>
  <c r="AD53" i="8"/>
  <c r="AD54" i="21" s="1"/>
  <c r="AE53" i="8"/>
  <c r="AE54" i="21" s="1"/>
  <c r="AF53" i="8"/>
  <c r="AF54" i="21" s="1"/>
  <c r="AG53" i="8"/>
  <c r="A54" i="8"/>
  <c r="B54" i="8"/>
  <c r="C54" i="8"/>
  <c r="D54" i="8"/>
  <c r="E54" i="8"/>
  <c r="F54" i="8"/>
  <c r="F55" i="21" s="1"/>
  <c r="G54" i="8"/>
  <c r="G55" i="21" s="1"/>
  <c r="H54" i="8"/>
  <c r="H55" i="21" s="1"/>
  <c r="I54" i="8"/>
  <c r="I55" i="21" s="1"/>
  <c r="J54" i="8"/>
  <c r="J55" i="21" s="1"/>
  <c r="K54" i="8"/>
  <c r="K55" i="21" s="1"/>
  <c r="L54" i="8"/>
  <c r="L55" i="21" s="1"/>
  <c r="M54" i="8"/>
  <c r="M55" i="21" s="1"/>
  <c r="N54" i="8"/>
  <c r="N55" i="21" s="1"/>
  <c r="O54" i="8"/>
  <c r="O55" i="21" s="1"/>
  <c r="P54" i="8"/>
  <c r="P55" i="21" s="1"/>
  <c r="Q54" i="8"/>
  <c r="Q55" i="21" s="1"/>
  <c r="R54" i="8"/>
  <c r="R55" i="21" s="1"/>
  <c r="S54" i="8"/>
  <c r="S55" i="21" s="1"/>
  <c r="T54" i="8"/>
  <c r="T55" i="21" s="1"/>
  <c r="U54" i="8"/>
  <c r="U55" i="21" s="1"/>
  <c r="V54" i="8"/>
  <c r="V55" i="21" s="1"/>
  <c r="W54" i="8"/>
  <c r="W55" i="21" s="1"/>
  <c r="X54" i="8"/>
  <c r="X55" i="21" s="1"/>
  <c r="Y54" i="8"/>
  <c r="Y55" i="21" s="1"/>
  <c r="Z54" i="8"/>
  <c r="Z55" i="21" s="1"/>
  <c r="AA54" i="8"/>
  <c r="AA55" i="21" s="1"/>
  <c r="AB54" i="8"/>
  <c r="AB55" i="21" s="1"/>
  <c r="AC54" i="8"/>
  <c r="AC55" i="21" s="1"/>
  <c r="AD54" i="8"/>
  <c r="AD55" i="21" s="1"/>
  <c r="AE54" i="8"/>
  <c r="AE55" i="21" s="1"/>
  <c r="AF54" i="8"/>
  <c r="AF55" i="21" s="1"/>
  <c r="AG54" i="8"/>
  <c r="A55" i="8"/>
  <c r="B55" i="8"/>
  <c r="C55" i="8"/>
  <c r="D55" i="8"/>
  <c r="E55" i="8"/>
  <c r="F55" i="8"/>
  <c r="F56" i="21" s="1"/>
  <c r="G55" i="8"/>
  <c r="G56" i="21" s="1"/>
  <c r="H55" i="8"/>
  <c r="H56" i="21" s="1"/>
  <c r="I55" i="8"/>
  <c r="I56" i="21" s="1"/>
  <c r="J55" i="8"/>
  <c r="J56" i="21" s="1"/>
  <c r="K55" i="8"/>
  <c r="K56" i="21" s="1"/>
  <c r="L55" i="8"/>
  <c r="L56" i="21" s="1"/>
  <c r="M55" i="8"/>
  <c r="M56" i="21" s="1"/>
  <c r="N55" i="8"/>
  <c r="N56" i="21" s="1"/>
  <c r="O55" i="8"/>
  <c r="O56" i="21" s="1"/>
  <c r="P55" i="8"/>
  <c r="P56" i="21" s="1"/>
  <c r="Q55" i="8"/>
  <c r="Q56" i="21" s="1"/>
  <c r="R55" i="8"/>
  <c r="R56" i="21" s="1"/>
  <c r="S55" i="8"/>
  <c r="S56" i="21" s="1"/>
  <c r="T55" i="8"/>
  <c r="T56" i="21" s="1"/>
  <c r="U55" i="8"/>
  <c r="U56" i="21" s="1"/>
  <c r="V55" i="8"/>
  <c r="V56" i="21" s="1"/>
  <c r="W55" i="8"/>
  <c r="W56" i="21" s="1"/>
  <c r="X55" i="8"/>
  <c r="X56" i="21" s="1"/>
  <c r="Y55" i="8"/>
  <c r="Y56" i="21" s="1"/>
  <c r="Z55" i="8"/>
  <c r="Z56" i="21" s="1"/>
  <c r="AA55" i="8"/>
  <c r="AA56" i="21" s="1"/>
  <c r="AB55" i="8"/>
  <c r="AB56" i="21" s="1"/>
  <c r="AC55" i="8"/>
  <c r="AC56" i="21" s="1"/>
  <c r="AD55" i="8"/>
  <c r="AD56" i="21" s="1"/>
  <c r="AE55" i="8"/>
  <c r="AE56" i="21" s="1"/>
  <c r="AF55" i="8"/>
  <c r="AF56" i="21" s="1"/>
  <c r="AG55" i="8"/>
  <c r="A56" i="8"/>
  <c r="B56" i="8"/>
  <c r="C56" i="8"/>
  <c r="D56" i="8"/>
  <c r="E56" i="8"/>
  <c r="F56" i="8"/>
  <c r="F57" i="21" s="1"/>
  <c r="G56" i="8"/>
  <c r="G57" i="21" s="1"/>
  <c r="H56" i="8"/>
  <c r="H57" i="21" s="1"/>
  <c r="I56" i="8"/>
  <c r="I57" i="21" s="1"/>
  <c r="J56" i="8"/>
  <c r="J57" i="21" s="1"/>
  <c r="K56" i="8"/>
  <c r="K57" i="21" s="1"/>
  <c r="L56" i="8"/>
  <c r="L57" i="21" s="1"/>
  <c r="M56" i="8"/>
  <c r="M57" i="21" s="1"/>
  <c r="N56" i="8"/>
  <c r="N57" i="21" s="1"/>
  <c r="O56" i="8"/>
  <c r="O57" i="21" s="1"/>
  <c r="P56" i="8"/>
  <c r="P57" i="21" s="1"/>
  <c r="Q56" i="8"/>
  <c r="Q57" i="21" s="1"/>
  <c r="R56" i="8"/>
  <c r="R57" i="21" s="1"/>
  <c r="S56" i="8"/>
  <c r="S57" i="21" s="1"/>
  <c r="T56" i="8"/>
  <c r="T57" i="21" s="1"/>
  <c r="U56" i="8"/>
  <c r="U57" i="21" s="1"/>
  <c r="V56" i="8"/>
  <c r="V57" i="21" s="1"/>
  <c r="W56" i="8"/>
  <c r="W57" i="21" s="1"/>
  <c r="X56" i="8"/>
  <c r="X57" i="21" s="1"/>
  <c r="Y56" i="8"/>
  <c r="Y57" i="21" s="1"/>
  <c r="Z56" i="8"/>
  <c r="Z57" i="21" s="1"/>
  <c r="AA56" i="8"/>
  <c r="AA57" i="21" s="1"/>
  <c r="AB56" i="8"/>
  <c r="AB57" i="21" s="1"/>
  <c r="AC56" i="8"/>
  <c r="AC57" i="21" s="1"/>
  <c r="AD56" i="8"/>
  <c r="AD57" i="21" s="1"/>
  <c r="AE56" i="8"/>
  <c r="AE57" i="21" s="1"/>
  <c r="AF56" i="8"/>
  <c r="AF57" i="21" s="1"/>
  <c r="AG56" i="8"/>
  <c r="A57" i="8"/>
  <c r="B57" i="8"/>
  <c r="C57" i="8"/>
  <c r="D57" i="8"/>
  <c r="E57" i="8"/>
  <c r="F57" i="8"/>
  <c r="F58" i="21" s="1"/>
  <c r="G57" i="8"/>
  <c r="G58" i="21" s="1"/>
  <c r="H57" i="8"/>
  <c r="H58" i="21" s="1"/>
  <c r="I57" i="8"/>
  <c r="I58" i="21" s="1"/>
  <c r="J57" i="8"/>
  <c r="J58" i="21" s="1"/>
  <c r="K57" i="8"/>
  <c r="K58" i="21" s="1"/>
  <c r="L57" i="8"/>
  <c r="L58" i="21" s="1"/>
  <c r="M57" i="8"/>
  <c r="M58" i="21" s="1"/>
  <c r="N57" i="8"/>
  <c r="N58" i="21" s="1"/>
  <c r="O57" i="8"/>
  <c r="O58" i="21" s="1"/>
  <c r="P57" i="8"/>
  <c r="P58" i="21" s="1"/>
  <c r="Q57" i="8"/>
  <c r="Q58" i="21" s="1"/>
  <c r="R57" i="8"/>
  <c r="R58" i="21" s="1"/>
  <c r="S57" i="8"/>
  <c r="S58" i="21" s="1"/>
  <c r="T57" i="8"/>
  <c r="T58" i="21" s="1"/>
  <c r="U57" i="8"/>
  <c r="U58" i="21" s="1"/>
  <c r="V57" i="8"/>
  <c r="V58" i="21" s="1"/>
  <c r="W57" i="8"/>
  <c r="W58" i="21" s="1"/>
  <c r="X57" i="8"/>
  <c r="X58" i="21" s="1"/>
  <c r="Y57" i="8"/>
  <c r="Y58" i="21" s="1"/>
  <c r="Z57" i="8"/>
  <c r="Z58" i="21" s="1"/>
  <c r="AA57" i="8"/>
  <c r="AA58" i="21" s="1"/>
  <c r="AB57" i="8"/>
  <c r="AB58" i="21" s="1"/>
  <c r="AC57" i="8"/>
  <c r="AC58" i="21" s="1"/>
  <c r="AD57" i="8"/>
  <c r="AD58" i="21" s="1"/>
  <c r="AE57" i="8"/>
  <c r="AE58" i="21" s="1"/>
  <c r="AF57" i="8"/>
  <c r="AG57" i="8"/>
  <c r="A58" i="8"/>
  <c r="B58" i="8"/>
  <c r="C58" i="8"/>
  <c r="D58" i="8"/>
  <c r="E58" i="8"/>
  <c r="F58" i="8"/>
  <c r="F59" i="21" s="1"/>
  <c r="G58" i="8"/>
  <c r="G59" i="21" s="1"/>
  <c r="H58" i="8"/>
  <c r="H59" i="21" s="1"/>
  <c r="I58" i="8"/>
  <c r="I59" i="21" s="1"/>
  <c r="J58" i="8"/>
  <c r="J59" i="21" s="1"/>
  <c r="K58" i="8"/>
  <c r="K59" i="21" s="1"/>
  <c r="L58" i="8"/>
  <c r="L59" i="21" s="1"/>
  <c r="M58" i="8"/>
  <c r="M59" i="21" s="1"/>
  <c r="N58" i="8"/>
  <c r="N59" i="21" s="1"/>
  <c r="O58" i="8"/>
  <c r="O59" i="21" s="1"/>
  <c r="P58" i="8"/>
  <c r="P59" i="21" s="1"/>
  <c r="Q58" i="8"/>
  <c r="Q59" i="21" s="1"/>
  <c r="R58" i="8"/>
  <c r="R59" i="21" s="1"/>
  <c r="S58" i="8"/>
  <c r="S59" i="21" s="1"/>
  <c r="T58" i="8"/>
  <c r="T59" i="21" s="1"/>
  <c r="U58" i="8"/>
  <c r="U59" i="21" s="1"/>
  <c r="V58" i="8"/>
  <c r="V59" i="21" s="1"/>
  <c r="W58" i="8"/>
  <c r="W59" i="21" s="1"/>
  <c r="X58" i="8"/>
  <c r="X59" i="21" s="1"/>
  <c r="Y58" i="8"/>
  <c r="Y59" i="21" s="1"/>
  <c r="Z58" i="8"/>
  <c r="Z59" i="21" s="1"/>
  <c r="AA58" i="8"/>
  <c r="AA59" i="21" s="1"/>
  <c r="AB58" i="8"/>
  <c r="AB59" i="21" s="1"/>
  <c r="AC58" i="8"/>
  <c r="AC59" i="21" s="1"/>
  <c r="AD58" i="8"/>
  <c r="AD59" i="21" s="1"/>
  <c r="AE58" i="8"/>
  <c r="AE59" i="21" s="1"/>
  <c r="AF58" i="8"/>
  <c r="AF59" i="21" s="1"/>
  <c r="AG58" i="8"/>
  <c r="A59" i="8"/>
  <c r="B59" i="8"/>
  <c r="C59" i="8"/>
  <c r="D59" i="8"/>
  <c r="E59" i="8"/>
  <c r="F59" i="8"/>
  <c r="F60" i="21" s="1"/>
  <c r="G59" i="8"/>
  <c r="G60" i="21" s="1"/>
  <c r="H59" i="8"/>
  <c r="H60" i="21" s="1"/>
  <c r="I59" i="8"/>
  <c r="I60" i="21" s="1"/>
  <c r="J59" i="8"/>
  <c r="J60" i="21" s="1"/>
  <c r="K59" i="8"/>
  <c r="K60" i="21" s="1"/>
  <c r="L59" i="8"/>
  <c r="L60" i="21" s="1"/>
  <c r="M59" i="8"/>
  <c r="M60" i="21" s="1"/>
  <c r="N59" i="8"/>
  <c r="N60" i="21" s="1"/>
  <c r="O59" i="8"/>
  <c r="O60" i="21" s="1"/>
  <c r="P59" i="8"/>
  <c r="P60" i="21" s="1"/>
  <c r="Q59" i="8"/>
  <c r="Q60" i="21" s="1"/>
  <c r="R59" i="8"/>
  <c r="R60" i="21" s="1"/>
  <c r="S59" i="8"/>
  <c r="S60" i="21" s="1"/>
  <c r="T59" i="8"/>
  <c r="T60" i="21" s="1"/>
  <c r="U59" i="8"/>
  <c r="U60" i="21" s="1"/>
  <c r="V59" i="8"/>
  <c r="V60" i="21" s="1"/>
  <c r="W59" i="8"/>
  <c r="W60" i="21" s="1"/>
  <c r="X59" i="8"/>
  <c r="X60" i="21" s="1"/>
  <c r="Y59" i="8"/>
  <c r="Y60" i="21" s="1"/>
  <c r="Z59" i="8"/>
  <c r="Z60" i="21" s="1"/>
  <c r="AA59" i="8"/>
  <c r="AA60" i="21" s="1"/>
  <c r="AB59" i="8"/>
  <c r="AB60" i="21" s="1"/>
  <c r="AC59" i="8"/>
  <c r="AC60" i="21" s="1"/>
  <c r="AD59" i="8"/>
  <c r="AD60" i="21" s="1"/>
  <c r="AE59" i="8"/>
  <c r="AE60" i="21" s="1"/>
  <c r="AF59" i="8"/>
  <c r="AF60" i="21" s="1"/>
  <c r="AG59" i="8"/>
  <c r="A60" i="8"/>
  <c r="B60" i="8"/>
  <c r="C60" i="8"/>
  <c r="D60" i="8"/>
  <c r="E60" i="8"/>
  <c r="F60" i="8"/>
  <c r="F61" i="21" s="1"/>
  <c r="G60" i="8"/>
  <c r="G61" i="21" s="1"/>
  <c r="H60" i="8"/>
  <c r="H61" i="21" s="1"/>
  <c r="I60" i="8"/>
  <c r="I61" i="21" s="1"/>
  <c r="J60" i="8"/>
  <c r="J61" i="21" s="1"/>
  <c r="K60" i="8"/>
  <c r="K61" i="21" s="1"/>
  <c r="L60" i="8"/>
  <c r="L61" i="21" s="1"/>
  <c r="M60" i="8"/>
  <c r="M61" i="21" s="1"/>
  <c r="N60" i="8"/>
  <c r="N61" i="21" s="1"/>
  <c r="O60" i="8"/>
  <c r="O61" i="21" s="1"/>
  <c r="P60" i="8"/>
  <c r="P61" i="21" s="1"/>
  <c r="Q60" i="8"/>
  <c r="Q61" i="21" s="1"/>
  <c r="R60" i="8"/>
  <c r="R61" i="21" s="1"/>
  <c r="S60" i="8"/>
  <c r="S61" i="21" s="1"/>
  <c r="T60" i="8"/>
  <c r="T61" i="21" s="1"/>
  <c r="U60" i="8"/>
  <c r="U61" i="21" s="1"/>
  <c r="V60" i="8"/>
  <c r="V61" i="21" s="1"/>
  <c r="W60" i="8"/>
  <c r="W61" i="21" s="1"/>
  <c r="X60" i="8"/>
  <c r="X61" i="21" s="1"/>
  <c r="Y60" i="8"/>
  <c r="Y61" i="21" s="1"/>
  <c r="Z60" i="8"/>
  <c r="Z61" i="21" s="1"/>
  <c r="AA60" i="8"/>
  <c r="AA61" i="21" s="1"/>
  <c r="AB60" i="8"/>
  <c r="AB61" i="21" s="1"/>
  <c r="AC60" i="8"/>
  <c r="AC61" i="21" s="1"/>
  <c r="AD60" i="8"/>
  <c r="AD61" i="21" s="1"/>
  <c r="AE60" i="8"/>
  <c r="AE61" i="21" s="1"/>
  <c r="AF60" i="8"/>
  <c r="AG60" i="8"/>
  <c r="A61" i="8"/>
  <c r="B61" i="8"/>
  <c r="C61" i="8"/>
  <c r="D61" i="8"/>
  <c r="E61" i="8"/>
  <c r="F61" i="8"/>
  <c r="F62" i="21" s="1"/>
  <c r="G61" i="8"/>
  <c r="G62" i="21" s="1"/>
  <c r="H61" i="8"/>
  <c r="H62" i="21" s="1"/>
  <c r="I61" i="8"/>
  <c r="I62" i="21" s="1"/>
  <c r="J61" i="8"/>
  <c r="J62" i="21" s="1"/>
  <c r="K61" i="8"/>
  <c r="K62" i="21" s="1"/>
  <c r="L61" i="8"/>
  <c r="L62" i="21" s="1"/>
  <c r="M61" i="8"/>
  <c r="M62" i="21" s="1"/>
  <c r="N61" i="8"/>
  <c r="N62" i="21" s="1"/>
  <c r="O61" i="8"/>
  <c r="O62" i="21" s="1"/>
  <c r="P61" i="8"/>
  <c r="P62" i="21" s="1"/>
  <c r="Q61" i="8"/>
  <c r="Q62" i="21" s="1"/>
  <c r="R61" i="8"/>
  <c r="R62" i="21" s="1"/>
  <c r="S61" i="8"/>
  <c r="S62" i="21" s="1"/>
  <c r="T61" i="8"/>
  <c r="T62" i="21" s="1"/>
  <c r="U61" i="8"/>
  <c r="U62" i="21" s="1"/>
  <c r="V61" i="8"/>
  <c r="V62" i="21" s="1"/>
  <c r="W61" i="8"/>
  <c r="W62" i="21" s="1"/>
  <c r="X61" i="8"/>
  <c r="X62" i="21" s="1"/>
  <c r="Y61" i="8"/>
  <c r="Y62" i="21" s="1"/>
  <c r="Z61" i="8"/>
  <c r="Z62" i="21" s="1"/>
  <c r="AA61" i="8"/>
  <c r="AA62" i="21" s="1"/>
  <c r="AB61" i="8"/>
  <c r="AB62" i="21" s="1"/>
  <c r="AC61" i="8"/>
  <c r="AC62" i="21" s="1"/>
  <c r="AD61" i="8"/>
  <c r="AD62" i="21" s="1"/>
  <c r="AE61" i="8"/>
  <c r="AE62" i="21" s="1"/>
  <c r="AF61" i="8"/>
  <c r="AF62" i="21" s="1"/>
  <c r="AG61" i="8"/>
  <c r="A62" i="8"/>
  <c r="B62" i="8"/>
  <c r="C62" i="8"/>
  <c r="D62" i="8"/>
  <c r="E62" i="8"/>
  <c r="F62" i="8"/>
  <c r="F63" i="21" s="1"/>
  <c r="G62" i="8"/>
  <c r="G63" i="21" s="1"/>
  <c r="H62" i="8"/>
  <c r="H63" i="21" s="1"/>
  <c r="I62" i="8"/>
  <c r="I63" i="21" s="1"/>
  <c r="J62" i="8"/>
  <c r="J63" i="21" s="1"/>
  <c r="K62" i="8"/>
  <c r="K63" i="21" s="1"/>
  <c r="L62" i="8"/>
  <c r="L63" i="21" s="1"/>
  <c r="M62" i="8"/>
  <c r="M63" i="21" s="1"/>
  <c r="N62" i="8"/>
  <c r="N63" i="21" s="1"/>
  <c r="O62" i="8"/>
  <c r="O63" i="21" s="1"/>
  <c r="P62" i="8"/>
  <c r="P63" i="21" s="1"/>
  <c r="Q62" i="8"/>
  <c r="Q63" i="21" s="1"/>
  <c r="R62" i="8"/>
  <c r="R63" i="21" s="1"/>
  <c r="S62" i="8"/>
  <c r="S63" i="21" s="1"/>
  <c r="T62" i="8"/>
  <c r="T63" i="21" s="1"/>
  <c r="U62" i="8"/>
  <c r="U63" i="21" s="1"/>
  <c r="V62" i="8"/>
  <c r="V63" i="21" s="1"/>
  <c r="W62" i="8"/>
  <c r="W63" i="21" s="1"/>
  <c r="X62" i="8"/>
  <c r="X63" i="21" s="1"/>
  <c r="Y62" i="8"/>
  <c r="Y63" i="21" s="1"/>
  <c r="Z62" i="8"/>
  <c r="Z63" i="21" s="1"/>
  <c r="AA62" i="8"/>
  <c r="AA63" i="21" s="1"/>
  <c r="AB62" i="8"/>
  <c r="AB63" i="21" s="1"/>
  <c r="AC62" i="8"/>
  <c r="AC63" i="21" s="1"/>
  <c r="AD62" i="8"/>
  <c r="AD63" i="21" s="1"/>
  <c r="AE62" i="8"/>
  <c r="AE63" i="21" s="1"/>
  <c r="AF62" i="8"/>
  <c r="AG62" i="8"/>
  <c r="A63" i="8"/>
  <c r="B63" i="8"/>
  <c r="C63" i="8"/>
  <c r="D63" i="8"/>
  <c r="E63" i="8"/>
  <c r="F63" i="8"/>
  <c r="F64" i="21" s="1"/>
  <c r="G63" i="8"/>
  <c r="G64" i="21" s="1"/>
  <c r="H63" i="8"/>
  <c r="H64" i="21" s="1"/>
  <c r="I63" i="8"/>
  <c r="I64" i="21" s="1"/>
  <c r="J63" i="8"/>
  <c r="J64" i="21" s="1"/>
  <c r="K63" i="8"/>
  <c r="K64" i="21" s="1"/>
  <c r="L63" i="8"/>
  <c r="L64" i="21" s="1"/>
  <c r="M63" i="8"/>
  <c r="M64" i="21" s="1"/>
  <c r="N63" i="8"/>
  <c r="N64" i="21" s="1"/>
  <c r="O63" i="8"/>
  <c r="O64" i="21" s="1"/>
  <c r="P63" i="8"/>
  <c r="P64" i="21" s="1"/>
  <c r="Q63" i="8"/>
  <c r="Q64" i="21" s="1"/>
  <c r="R63" i="8"/>
  <c r="R64" i="21" s="1"/>
  <c r="S63" i="8"/>
  <c r="S64" i="21" s="1"/>
  <c r="T63" i="8"/>
  <c r="T64" i="21" s="1"/>
  <c r="U63" i="8"/>
  <c r="U64" i="21" s="1"/>
  <c r="V63" i="8"/>
  <c r="V64" i="21" s="1"/>
  <c r="W63" i="8"/>
  <c r="W64" i="21" s="1"/>
  <c r="X63" i="8"/>
  <c r="X64" i="21" s="1"/>
  <c r="Y63" i="8"/>
  <c r="Y64" i="21" s="1"/>
  <c r="Z63" i="8"/>
  <c r="Z64" i="21" s="1"/>
  <c r="AA63" i="8"/>
  <c r="AA64" i="21" s="1"/>
  <c r="AB63" i="8"/>
  <c r="AB64" i="21" s="1"/>
  <c r="AC63" i="8"/>
  <c r="AC64" i="21" s="1"/>
  <c r="AD63" i="8"/>
  <c r="AD64" i="21" s="1"/>
  <c r="AE63" i="8"/>
  <c r="AE64" i="21" s="1"/>
  <c r="AF63" i="8"/>
  <c r="AF64" i="21" s="1"/>
  <c r="AG63" i="8"/>
  <c r="A64" i="8"/>
  <c r="B64" i="8"/>
  <c r="C64" i="8"/>
  <c r="D64" i="8"/>
  <c r="E64" i="8"/>
  <c r="F64" i="8"/>
  <c r="F65" i="21" s="1"/>
  <c r="G64" i="8"/>
  <c r="G65" i="21" s="1"/>
  <c r="H64" i="8"/>
  <c r="H65" i="21" s="1"/>
  <c r="I64" i="8"/>
  <c r="I65" i="21" s="1"/>
  <c r="J64" i="8"/>
  <c r="J65" i="21" s="1"/>
  <c r="K64" i="8"/>
  <c r="K65" i="21" s="1"/>
  <c r="L64" i="8"/>
  <c r="L65" i="21" s="1"/>
  <c r="M64" i="8"/>
  <c r="M65" i="21" s="1"/>
  <c r="N64" i="8"/>
  <c r="N65" i="21" s="1"/>
  <c r="O64" i="8"/>
  <c r="O65" i="21" s="1"/>
  <c r="P64" i="8"/>
  <c r="P65" i="21" s="1"/>
  <c r="Q64" i="8"/>
  <c r="Q65" i="21" s="1"/>
  <c r="R64" i="8"/>
  <c r="R65" i="21" s="1"/>
  <c r="S64" i="8"/>
  <c r="S65" i="21" s="1"/>
  <c r="T64" i="8"/>
  <c r="T65" i="21" s="1"/>
  <c r="U64" i="8"/>
  <c r="U65" i="21" s="1"/>
  <c r="V64" i="8"/>
  <c r="V65" i="21" s="1"/>
  <c r="W64" i="8"/>
  <c r="W65" i="21" s="1"/>
  <c r="X64" i="8"/>
  <c r="X65" i="21" s="1"/>
  <c r="Y64" i="8"/>
  <c r="Y65" i="21" s="1"/>
  <c r="Z64" i="8"/>
  <c r="Z65" i="21" s="1"/>
  <c r="AA64" i="8"/>
  <c r="AA65" i="21" s="1"/>
  <c r="AB64" i="8"/>
  <c r="AB65" i="21" s="1"/>
  <c r="AC64" i="8"/>
  <c r="AC65" i="21" s="1"/>
  <c r="AD64" i="8"/>
  <c r="AD65" i="21" s="1"/>
  <c r="AE64" i="8"/>
  <c r="AE65" i="21" s="1"/>
  <c r="AF64" i="8"/>
  <c r="AF65" i="21" s="1"/>
  <c r="AG64" i="8"/>
  <c r="A65" i="8"/>
  <c r="B65" i="8"/>
  <c r="C65" i="8"/>
  <c r="D65" i="8"/>
  <c r="E65" i="8"/>
  <c r="F65" i="8"/>
  <c r="F66" i="21" s="1"/>
  <c r="G65" i="8"/>
  <c r="G66" i="21" s="1"/>
  <c r="H65" i="8"/>
  <c r="H66" i="21" s="1"/>
  <c r="I65" i="8"/>
  <c r="I66" i="21" s="1"/>
  <c r="J65" i="8"/>
  <c r="J66" i="21" s="1"/>
  <c r="K65" i="8"/>
  <c r="K66" i="21" s="1"/>
  <c r="L65" i="8"/>
  <c r="L66" i="21" s="1"/>
  <c r="M65" i="8"/>
  <c r="M66" i="21" s="1"/>
  <c r="N65" i="8"/>
  <c r="N66" i="21" s="1"/>
  <c r="O65" i="8"/>
  <c r="O66" i="21" s="1"/>
  <c r="P65" i="8"/>
  <c r="P66" i="21" s="1"/>
  <c r="Q65" i="8"/>
  <c r="Q66" i="21" s="1"/>
  <c r="R65" i="8"/>
  <c r="R66" i="21" s="1"/>
  <c r="S65" i="8"/>
  <c r="S66" i="21" s="1"/>
  <c r="T65" i="8"/>
  <c r="T66" i="21" s="1"/>
  <c r="U65" i="8"/>
  <c r="U66" i="21" s="1"/>
  <c r="V65" i="8"/>
  <c r="V66" i="21" s="1"/>
  <c r="W65" i="8"/>
  <c r="W66" i="21" s="1"/>
  <c r="X65" i="8"/>
  <c r="X66" i="21" s="1"/>
  <c r="Y65" i="8"/>
  <c r="Y66" i="21" s="1"/>
  <c r="Z65" i="8"/>
  <c r="Z66" i="21" s="1"/>
  <c r="AA65" i="8"/>
  <c r="AA66" i="21" s="1"/>
  <c r="AB65" i="8"/>
  <c r="AB66" i="21" s="1"/>
  <c r="AC65" i="8"/>
  <c r="AC66" i="21" s="1"/>
  <c r="AD65" i="8"/>
  <c r="AD66" i="21" s="1"/>
  <c r="AE65" i="8"/>
  <c r="AE66" i="21" s="1"/>
  <c r="AF65" i="8"/>
  <c r="AG65" i="8"/>
  <c r="A66" i="8"/>
  <c r="B66" i="8"/>
  <c r="C66" i="8"/>
  <c r="D66" i="8"/>
  <c r="E66" i="8"/>
  <c r="F66" i="8"/>
  <c r="F67" i="21" s="1"/>
  <c r="G66" i="8"/>
  <c r="G67" i="21" s="1"/>
  <c r="H66" i="8"/>
  <c r="H67" i="21" s="1"/>
  <c r="I66" i="8"/>
  <c r="I67" i="21" s="1"/>
  <c r="J66" i="8"/>
  <c r="J67" i="21" s="1"/>
  <c r="K66" i="8"/>
  <c r="K67" i="21" s="1"/>
  <c r="L66" i="8"/>
  <c r="L67" i="21" s="1"/>
  <c r="M66" i="8"/>
  <c r="M67" i="21" s="1"/>
  <c r="N66" i="8"/>
  <c r="N67" i="21" s="1"/>
  <c r="O66" i="8"/>
  <c r="O67" i="21" s="1"/>
  <c r="P66" i="8"/>
  <c r="P67" i="21" s="1"/>
  <c r="Q66" i="8"/>
  <c r="Q67" i="21" s="1"/>
  <c r="R66" i="8"/>
  <c r="R67" i="21" s="1"/>
  <c r="S66" i="8"/>
  <c r="S67" i="21" s="1"/>
  <c r="T66" i="8"/>
  <c r="T67" i="21" s="1"/>
  <c r="U66" i="8"/>
  <c r="U67" i="21" s="1"/>
  <c r="V66" i="8"/>
  <c r="V67" i="21" s="1"/>
  <c r="W66" i="8"/>
  <c r="W67" i="21" s="1"/>
  <c r="X66" i="8"/>
  <c r="X67" i="21" s="1"/>
  <c r="Y66" i="8"/>
  <c r="Y67" i="21" s="1"/>
  <c r="Z66" i="8"/>
  <c r="Z67" i="21" s="1"/>
  <c r="AA66" i="8"/>
  <c r="AA67" i="21" s="1"/>
  <c r="AB66" i="8"/>
  <c r="AB67" i="21" s="1"/>
  <c r="AC66" i="8"/>
  <c r="AC67" i="21" s="1"/>
  <c r="AD66" i="8"/>
  <c r="AD67" i="21" s="1"/>
  <c r="AE66" i="8"/>
  <c r="AF66" i="8"/>
  <c r="AF67" i="21" s="1"/>
  <c r="AG66" i="8"/>
  <c r="A67" i="8"/>
  <c r="B67" i="8"/>
  <c r="C67" i="8"/>
  <c r="D67" i="8"/>
  <c r="E67" i="8"/>
  <c r="F67" i="8"/>
  <c r="F68" i="21" s="1"/>
  <c r="G67" i="8"/>
  <c r="G68" i="21" s="1"/>
  <c r="H67" i="8"/>
  <c r="H68" i="21" s="1"/>
  <c r="I67" i="8"/>
  <c r="I68" i="21" s="1"/>
  <c r="J67" i="8"/>
  <c r="J68" i="21" s="1"/>
  <c r="K67" i="8"/>
  <c r="K68" i="21" s="1"/>
  <c r="L67" i="8"/>
  <c r="L68" i="21" s="1"/>
  <c r="M67" i="8"/>
  <c r="M68" i="21" s="1"/>
  <c r="N67" i="8"/>
  <c r="N68" i="21" s="1"/>
  <c r="O67" i="8"/>
  <c r="O68" i="21" s="1"/>
  <c r="P67" i="8"/>
  <c r="P68" i="21" s="1"/>
  <c r="Q67" i="8"/>
  <c r="Q68" i="21" s="1"/>
  <c r="R67" i="8"/>
  <c r="R68" i="21" s="1"/>
  <c r="S67" i="8"/>
  <c r="S68" i="21" s="1"/>
  <c r="T67" i="8"/>
  <c r="T68" i="21" s="1"/>
  <c r="U67" i="8"/>
  <c r="U68" i="21" s="1"/>
  <c r="V67" i="8"/>
  <c r="V68" i="21" s="1"/>
  <c r="W67" i="8"/>
  <c r="W68" i="21" s="1"/>
  <c r="X67" i="8"/>
  <c r="X68" i="21" s="1"/>
  <c r="Y67" i="8"/>
  <c r="Y68" i="21" s="1"/>
  <c r="Z67" i="8"/>
  <c r="Z68" i="21" s="1"/>
  <c r="AA67" i="8"/>
  <c r="AA68" i="21" s="1"/>
  <c r="AB67" i="8"/>
  <c r="AB68" i="21" s="1"/>
  <c r="AC67" i="8"/>
  <c r="AC68" i="21" s="1"/>
  <c r="AD67" i="8"/>
  <c r="AD68" i="21" s="1"/>
  <c r="AE67" i="8"/>
  <c r="AE68" i="21" s="1"/>
  <c r="AF67" i="8"/>
  <c r="AG67" i="8"/>
  <c r="AG68" i="11" s="1"/>
  <c r="A68" i="8"/>
  <c r="B68" i="8"/>
  <c r="C68" i="8"/>
  <c r="D68" i="8"/>
  <c r="E68" i="8"/>
  <c r="F68" i="8"/>
  <c r="F69" i="21" s="1"/>
  <c r="G68" i="8"/>
  <c r="G69" i="21" s="1"/>
  <c r="H68" i="8"/>
  <c r="H69" i="21" s="1"/>
  <c r="I68" i="8"/>
  <c r="I69" i="21" s="1"/>
  <c r="J68" i="8"/>
  <c r="J69" i="21" s="1"/>
  <c r="K68" i="8"/>
  <c r="K69" i="21" s="1"/>
  <c r="L68" i="8"/>
  <c r="L69" i="21" s="1"/>
  <c r="M68" i="8"/>
  <c r="M69" i="21" s="1"/>
  <c r="N68" i="8"/>
  <c r="N69" i="21" s="1"/>
  <c r="O68" i="8"/>
  <c r="O69" i="21" s="1"/>
  <c r="P68" i="8"/>
  <c r="P69" i="21" s="1"/>
  <c r="Q68" i="8"/>
  <c r="Q69" i="21" s="1"/>
  <c r="R68" i="8"/>
  <c r="R69" i="21" s="1"/>
  <c r="S68" i="8"/>
  <c r="S69" i="21" s="1"/>
  <c r="T68" i="8"/>
  <c r="T69" i="21" s="1"/>
  <c r="U68" i="8"/>
  <c r="U69" i="21" s="1"/>
  <c r="V68" i="8"/>
  <c r="V69" i="21" s="1"/>
  <c r="W68" i="8"/>
  <c r="W69" i="21" s="1"/>
  <c r="X68" i="8"/>
  <c r="X69" i="21" s="1"/>
  <c r="Y68" i="8"/>
  <c r="Y69" i="21" s="1"/>
  <c r="Z68" i="8"/>
  <c r="Z69" i="21" s="1"/>
  <c r="AA68" i="8"/>
  <c r="AA69" i="21" s="1"/>
  <c r="AB68" i="8"/>
  <c r="AB69" i="21" s="1"/>
  <c r="AC68" i="8"/>
  <c r="AC69" i="21" s="1"/>
  <c r="AD68" i="8"/>
  <c r="AD69" i="21" s="1"/>
  <c r="AE68" i="8"/>
  <c r="AE69" i="21" s="1"/>
  <c r="AF68" i="8"/>
  <c r="AF69" i="21" s="1"/>
  <c r="AG68" i="8"/>
  <c r="A69" i="8"/>
  <c r="B69" i="8"/>
  <c r="C69" i="8"/>
  <c r="D69" i="8"/>
  <c r="E69" i="8"/>
  <c r="F69" i="8"/>
  <c r="F70" i="21" s="1"/>
  <c r="G69" i="8"/>
  <c r="G70" i="21" s="1"/>
  <c r="H69" i="8"/>
  <c r="H70" i="21" s="1"/>
  <c r="I69" i="8"/>
  <c r="I70" i="21" s="1"/>
  <c r="J69" i="8"/>
  <c r="J70" i="21" s="1"/>
  <c r="K69" i="8"/>
  <c r="K70" i="21" s="1"/>
  <c r="L69" i="8"/>
  <c r="L70" i="21" s="1"/>
  <c r="M69" i="8"/>
  <c r="M70" i="21" s="1"/>
  <c r="N69" i="8"/>
  <c r="N70" i="21" s="1"/>
  <c r="O69" i="8"/>
  <c r="O70" i="21" s="1"/>
  <c r="P69" i="8"/>
  <c r="P70" i="21" s="1"/>
  <c r="Q69" i="8"/>
  <c r="Q70" i="21" s="1"/>
  <c r="R69" i="8"/>
  <c r="R70" i="21" s="1"/>
  <c r="S69" i="8"/>
  <c r="S70" i="21" s="1"/>
  <c r="T69" i="8"/>
  <c r="T70" i="21" s="1"/>
  <c r="U69" i="8"/>
  <c r="U70" i="21" s="1"/>
  <c r="V69" i="8"/>
  <c r="V70" i="21" s="1"/>
  <c r="W69" i="8"/>
  <c r="W70" i="21" s="1"/>
  <c r="X69" i="8"/>
  <c r="X70" i="21" s="1"/>
  <c r="Y69" i="8"/>
  <c r="Y70" i="21" s="1"/>
  <c r="Z69" i="8"/>
  <c r="Z70" i="21" s="1"/>
  <c r="AA69" i="8"/>
  <c r="AA70" i="21" s="1"/>
  <c r="AB69" i="8"/>
  <c r="AB70" i="21" s="1"/>
  <c r="AC69" i="8"/>
  <c r="AC70" i="21" s="1"/>
  <c r="AD69" i="8"/>
  <c r="AD70" i="21" s="1"/>
  <c r="AE69" i="8"/>
  <c r="AE70" i="21" s="1"/>
  <c r="AF69" i="8"/>
  <c r="AF70" i="21" s="1"/>
  <c r="AG69" i="8"/>
  <c r="A70" i="8"/>
  <c r="B70" i="8"/>
  <c r="C70" i="8"/>
  <c r="D70" i="8"/>
  <c r="E70" i="8"/>
  <c r="F70" i="8"/>
  <c r="F71" i="21" s="1"/>
  <c r="G70" i="8"/>
  <c r="G71" i="21" s="1"/>
  <c r="H70" i="8"/>
  <c r="H71" i="21" s="1"/>
  <c r="I70" i="8"/>
  <c r="I71" i="21" s="1"/>
  <c r="J70" i="8"/>
  <c r="J71" i="21" s="1"/>
  <c r="K70" i="8"/>
  <c r="K71" i="21" s="1"/>
  <c r="L70" i="8"/>
  <c r="L71" i="21" s="1"/>
  <c r="M70" i="8"/>
  <c r="M71" i="21" s="1"/>
  <c r="N70" i="8"/>
  <c r="N71" i="21" s="1"/>
  <c r="O70" i="8"/>
  <c r="O71" i="21" s="1"/>
  <c r="P70" i="8"/>
  <c r="P71" i="21" s="1"/>
  <c r="Q70" i="8"/>
  <c r="Q71" i="21" s="1"/>
  <c r="R70" i="8"/>
  <c r="R71" i="21" s="1"/>
  <c r="S70" i="8"/>
  <c r="S71" i="21" s="1"/>
  <c r="T70" i="8"/>
  <c r="T71" i="21" s="1"/>
  <c r="U70" i="8"/>
  <c r="U71" i="21" s="1"/>
  <c r="V70" i="8"/>
  <c r="V71" i="21" s="1"/>
  <c r="W70" i="8"/>
  <c r="W71" i="21" s="1"/>
  <c r="X70" i="8"/>
  <c r="X71" i="21" s="1"/>
  <c r="Y70" i="8"/>
  <c r="Y71" i="21" s="1"/>
  <c r="Z70" i="8"/>
  <c r="Z71" i="21" s="1"/>
  <c r="AA70" i="8"/>
  <c r="AA71" i="21" s="1"/>
  <c r="AB70" i="8"/>
  <c r="AB71" i="21" s="1"/>
  <c r="AC70" i="8"/>
  <c r="AC71" i="21" s="1"/>
  <c r="AD70" i="8"/>
  <c r="AD71" i="21" s="1"/>
  <c r="AE70" i="8"/>
  <c r="AE71" i="21" s="1"/>
  <c r="AF70" i="8"/>
  <c r="AF71" i="21" s="1"/>
  <c r="AG70" i="8"/>
  <c r="A71" i="8"/>
  <c r="B71" i="8"/>
  <c r="C71" i="8"/>
  <c r="D71" i="8"/>
  <c r="E71" i="8"/>
  <c r="F71" i="8"/>
  <c r="F72" i="21" s="1"/>
  <c r="G71" i="8"/>
  <c r="G72" i="21" s="1"/>
  <c r="H71" i="8"/>
  <c r="H72" i="21" s="1"/>
  <c r="I71" i="8"/>
  <c r="I72" i="21" s="1"/>
  <c r="J71" i="8"/>
  <c r="J72" i="21" s="1"/>
  <c r="K71" i="8"/>
  <c r="K72" i="21" s="1"/>
  <c r="L71" i="8"/>
  <c r="L72" i="21" s="1"/>
  <c r="M71" i="8"/>
  <c r="M72" i="21" s="1"/>
  <c r="N71" i="8"/>
  <c r="N72" i="21" s="1"/>
  <c r="O71" i="8"/>
  <c r="O72" i="21" s="1"/>
  <c r="P71" i="8"/>
  <c r="P72" i="21" s="1"/>
  <c r="Q71" i="8"/>
  <c r="Q72" i="21" s="1"/>
  <c r="R71" i="8"/>
  <c r="R72" i="21" s="1"/>
  <c r="S71" i="8"/>
  <c r="S72" i="21" s="1"/>
  <c r="T71" i="8"/>
  <c r="T72" i="21" s="1"/>
  <c r="U71" i="8"/>
  <c r="U72" i="21" s="1"/>
  <c r="V71" i="8"/>
  <c r="V72" i="21" s="1"/>
  <c r="W71" i="8"/>
  <c r="W72" i="21" s="1"/>
  <c r="X71" i="8"/>
  <c r="X72" i="21" s="1"/>
  <c r="Y71" i="8"/>
  <c r="Y72" i="21" s="1"/>
  <c r="Z71" i="8"/>
  <c r="Z72" i="21" s="1"/>
  <c r="AA71" i="8"/>
  <c r="AA72" i="21" s="1"/>
  <c r="AB71" i="8"/>
  <c r="AB72" i="21" s="1"/>
  <c r="AC71" i="8"/>
  <c r="AC72" i="21" s="1"/>
  <c r="AD71" i="8"/>
  <c r="AD72" i="21" s="1"/>
  <c r="AE71" i="8"/>
  <c r="AE72" i="21" s="1"/>
  <c r="AF71" i="8"/>
  <c r="AF72" i="21" s="1"/>
  <c r="AG71" i="8"/>
  <c r="A72" i="8"/>
  <c r="B72" i="8"/>
  <c r="C72" i="8"/>
  <c r="D72" i="8"/>
  <c r="E72" i="8"/>
  <c r="F72" i="8"/>
  <c r="F73" i="21" s="1"/>
  <c r="G72" i="8"/>
  <c r="G73" i="21" s="1"/>
  <c r="H72" i="8"/>
  <c r="H73" i="21" s="1"/>
  <c r="I72" i="8"/>
  <c r="I73" i="21" s="1"/>
  <c r="J72" i="8"/>
  <c r="J73" i="21" s="1"/>
  <c r="K72" i="8"/>
  <c r="K73" i="21" s="1"/>
  <c r="L72" i="8"/>
  <c r="L73" i="21" s="1"/>
  <c r="M72" i="8"/>
  <c r="M73" i="21" s="1"/>
  <c r="N72" i="8"/>
  <c r="N73" i="21" s="1"/>
  <c r="O72" i="8"/>
  <c r="O73" i="21" s="1"/>
  <c r="P72" i="8"/>
  <c r="P73" i="21" s="1"/>
  <c r="Q72" i="8"/>
  <c r="Q73" i="21" s="1"/>
  <c r="R72" i="8"/>
  <c r="R73" i="21" s="1"/>
  <c r="S72" i="8"/>
  <c r="S73" i="21" s="1"/>
  <c r="T72" i="8"/>
  <c r="T73" i="21" s="1"/>
  <c r="U72" i="8"/>
  <c r="U73" i="21" s="1"/>
  <c r="V72" i="8"/>
  <c r="V73" i="21" s="1"/>
  <c r="W72" i="8"/>
  <c r="W73" i="21" s="1"/>
  <c r="X72" i="8"/>
  <c r="X73" i="21" s="1"/>
  <c r="Y72" i="8"/>
  <c r="Y73" i="21" s="1"/>
  <c r="Z72" i="8"/>
  <c r="Z73" i="21" s="1"/>
  <c r="AA72" i="8"/>
  <c r="AA73" i="21" s="1"/>
  <c r="AB72" i="8"/>
  <c r="AB73" i="21" s="1"/>
  <c r="AC72" i="8"/>
  <c r="AC73" i="21" s="1"/>
  <c r="AD72" i="8"/>
  <c r="AD73" i="21" s="1"/>
  <c r="AE72" i="8"/>
  <c r="AE73" i="21" s="1"/>
  <c r="AF72" i="8"/>
  <c r="AF73" i="21" s="1"/>
  <c r="AG72" i="8"/>
  <c r="A73" i="8"/>
  <c r="B73" i="8"/>
  <c r="C73" i="8"/>
  <c r="D73" i="8"/>
  <c r="E73" i="8"/>
  <c r="F73" i="8"/>
  <c r="F74" i="21" s="1"/>
  <c r="G73" i="8"/>
  <c r="G74" i="21" s="1"/>
  <c r="H73" i="8"/>
  <c r="H74" i="21" s="1"/>
  <c r="I73" i="8"/>
  <c r="I74" i="21" s="1"/>
  <c r="J73" i="8"/>
  <c r="J74" i="21" s="1"/>
  <c r="K73" i="8"/>
  <c r="K74" i="21" s="1"/>
  <c r="L73" i="8"/>
  <c r="L74" i="21" s="1"/>
  <c r="M73" i="8"/>
  <c r="M74" i="21" s="1"/>
  <c r="N73" i="8"/>
  <c r="N74" i="21" s="1"/>
  <c r="O73" i="8"/>
  <c r="O74" i="21" s="1"/>
  <c r="P73" i="8"/>
  <c r="P74" i="21" s="1"/>
  <c r="Q73" i="8"/>
  <c r="Q74" i="21" s="1"/>
  <c r="R73" i="8"/>
  <c r="R74" i="21" s="1"/>
  <c r="S73" i="8"/>
  <c r="S74" i="21" s="1"/>
  <c r="T73" i="8"/>
  <c r="T74" i="21" s="1"/>
  <c r="U73" i="8"/>
  <c r="U74" i="21" s="1"/>
  <c r="V73" i="8"/>
  <c r="V74" i="21" s="1"/>
  <c r="W73" i="8"/>
  <c r="W74" i="21" s="1"/>
  <c r="X73" i="8"/>
  <c r="X74" i="21" s="1"/>
  <c r="Y73" i="8"/>
  <c r="Y74" i="21" s="1"/>
  <c r="Z73" i="8"/>
  <c r="Z74" i="21" s="1"/>
  <c r="AA73" i="8"/>
  <c r="AA74" i="21" s="1"/>
  <c r="AB73" i="8"/>
  <c r="AB74" i="21" s="1"/>
  <c r="AC73" i="8"/>
  <c r="AC74" i="21" s="1"/>
  <c r="AD73" i="8"/>
  <c r="AD74" i="21" s="1"/>
  <c r="AE73" i="8"/>
  <c r="AE74" i="21" s="1"/>
  <c r="AF73" i="8"/>
  <c r="AF74" i="21" s="1"/>
  <c r="AG73" i="8"/>
  <c r="A74" i="8"/>
  <c r="B74" i="8"/>
  <c r="C74" i="8"/>
  <c r="D74" i="8"/>
  <c r="E74" i="8"/>
  <c r="F74" i="8"/>
  <c r="F75" i="21" s="1"/>
  <c r="G74" i="8"/>
  <c r="G75" i="21" s="1"/>
  <c r="H74" i="8"/>
  <c r="H75" i="21" s="1"/>
  <c r="I74" i="8"/>
  <c r="I75" i="21" s="1"/>
  <c r="J74" i="8"/>
  <c r="J75" i="21" s="1"/>
  <c r="K74" i="8"/>
  <c r="K75" i="21" s="1"/>
  <c r="L74" i="8"/>
  <c r="L75" i="21" s="1"/>
  <c r="M74" i="8"/>
  <c r="M75" i="21" s="1"/>
  <c r="N74" i="8"/>
  <c r="N75" i="21" s="1"/>
  <c r="O74" i="8"/>
  <c r="O75" i="21" s="1"/>
  <c r="P74" i="8"/>
  <c r="P75" i="21" s="1"/>
  <c r="Q74" i="8"/>
  <c r="Q75" i="21" s="1"/>
  <c r="R74" i="8"/>
  <c r="R75" i="21" s="1"/>
  <c r="S74" i="8"/>
  <c r="S75" i="21" s="1"/>
  <c r="T74" i="8"/>
  <c r="T75" i="21" s="1"/>
  <c r="U74" i="8"/>
  <c r="U75" i="21" s="1"/>
  <c r="V74" i="8"/>
  <c r="V75" i="21" s="1"/>
  <c r="W74" i="8"/>
  <c r="W75" i="21" s="1"/>
  <c r="X74" i="8"/>
  <c r="X75" i="21" s="1"/>
  <c r="Y74" i="8"/>
  <c r="Y75" i="21" s="1"/>
  <c r="Z74" i="8"/>
  <c r="Z75" i="21" s="1"/>
  <c r="AA74" i="8"/>
  <c r="AA75" i="21" s="1"/>
  <c r="AB74" i="8"/>
  <c r="AB75" i="21" s="1"/>
  <c r="AC74" i="8"/>
  <c r="AC75" i="21" s="1"/>
  <c r="AD74" i="8"/>
  <c r="AD75" i="21" s="1"/>
  <c r="AE74" i="8"/>
  <c r="AE75" i="21" s="1"/>
  <c r="AF74" i="8"/>
  <c r="AF75" i="21" s="1"/>
  <c r="AG74" i="8"/>
  <c r="A75" i="8"/>
  <c r="B75" i="8"/>
  <c r="C75" i="8"/>
  <c r="D75" i="8"/>
  <c r="E75" i="8"/>
  <c r="F75" i="8"/>
  <c r="F76" i="21" s="1"/>
  <c r="G75" i="8"/>
  <c r="G76" i="21" s="1"/>
  <c r="H75" i="8"/>
  <c r="H76" i="21" s="1"/>
  <c r="I75" i="8"/>
  <c r="I76" i="21" s="1"/>
  <c r="J75" i="8"/>
  <c r="J76" i="21" s="1"/>
  <c r="K75" i="8"/>
  <c r="K76" i="21" s="1"/>
  <c r="L75" i="8"/>
  <c r="L76" i="21" s="1"/>
  <c r="M75" i="8"/>
  <c r="M76" i="21" s="1"/>
  <c r="N75" i="8"/>
  <c r="N76" i="21" s="1"/>
  <c r="O75" i="8"/>
  <c r="O76" i="21" s="1"/>
  <c r="P75" i="8"/>
  <c r="P76" i="21" s="1"/>
  <c r="Q75" i="8"/>
  <c r="Q76" i="21" s="1"/>
  <c r="R75" i="8"/>
  <c r="R76" i="21" s="1"/>
  <c r="S75" i="8"/>
  <c r="S76" i="21" s="1"/>
  <c r="T75" i="8"/>
  <c r="T76" i="21" s="1"/>
  <c r="U75" i="8"/>
  <c r="U76" i="21" s="1"/>
  <c r="V75" i="8"/>
  <c r="V76" i="21" s="1"/>
  <c r="W75" i="8"/>
  <c r="W76" i="21" s="1"/>
  <c r="X75" i="8"/>
  <c r="X76" i="21" s="1"/>
  <c r="Y75" i="8"/>
  <c r="Y76" i="21" s="1"/>
  <c r="Z75" i="8"/>
  <c r="Z76" i="21" s="1"/>
  <c r="AA75" i="8"/>
  <c r="AA76" i="21" s="1"/>
  <c r="AB75" i="8"/>
  <c r="AB76" i="21" s="1"/>
  <c r="AC75" i="8"/>
  <c r="AC76" i="21" s="1"/>
  <c r="AD75" i="8"/>
  <c r="AD76" i="21" s="1"/>
  <c r="AE75" i="8"/>
  <c r="AE76" i="21" s="1"/>
  <c r="AF75" i="8"/>
  <c r="AF76" i="21" s="1"/>
  <c r="AG75" i="8"/>
  <c r="A76" i="8"/>
  <c r="B76" i="8"/>
  <c r="C76" i="8"/>
  <c r="D76" i="8"/>
  <c r="E76" i="8"/>
  <c r="F76" i="8"/>
  <c r="F77" i="21" s="1"/>
  <c r="G76" i="8"/>
  <c r="G77" i="21" s="1"/>
  <c r="H76" i="8"/>
  <c r="H77" i="21" s="1"/>
  <c r="I76" i="8"/>
  <c r="I77" i="21" s="1"/>
  <c r="J76" i="8"/>
  <c r="J77" i="21" s="1"/>
  <c r="K76" i="8"/>
  <c r="K77" i="21" s="1"/>
  <c r="L76" i="8"/>
  <c r="L77" i="21" s="1"/>
  <c r="M76" i="8"/>
  <c r="M77" i="21" s="1"/>
  <c r="N76" i="8"/>
  <c r="N77" i="21" s="1"/>
  <c r="O76" i="8"/>
  <c r="O77" i="21" s="1"/>
  <c r="P76" i="8"/>
  <c r="P77" i="21" s="1"/>
  <c r="Q76" i="8"/>
  <c r="Q77" i="21" s="1"/>
  <c r="R76" i="8"/>
  <c r="R77" i="21" s="1"/>
  <c r="S76" i="8"/>
  <c r="S77" i="21" s="1"/>
  <c r="T76" i="8"/>
  <c r="T77" i="21" s="1"/>
  <c r="U76" i="8"/>
  <c r="U77" i="21" s="1"/>
  <c r="V76" i="8"/>
  <c r="V77" i="21" s="1"/>
  <c r="W76" i="8"/>
  <c r="W77" i="21" s="1"/>
  <c r="X76" i="8"/>
  <c r="X77" i="21" s="1"/>
  <c r="Y76" i="8"/>
  <c r="Y77" i="21" s="1"/>
  <c r="Z76" i="8"/>
  <c r="Z77" i="21" s="1"/>
  <c r="AA76" i="8"/>
  <c r="AA77" i="21" s="1"/>
  <c r="AB76" i="8"/>
  <c r="AB77" i="21" s="1"/>
  <c r="AC76" i="8"/>
  <c r="AC77" i="21" s="1"/>
  <c r="AD76" i="8"/>
  <c r="AD77" i="21" s="1"/>
  <c r="AE76" i="8"/>
  <c r="AE77" i="21" s="1"/>
  <c r="AF76" i="8"/>
  <c r="AF77" i="21" s="1"/>
  <c r="AG76" i="8"/>
  <c r="A77" i="8"/>
  <c r="B77" i="8"/>
  <c r="C77" i="8"/>
  <c r="D77" i="8"/>
  <c r="E77" i="8"/>
  <c r="F77" i="8"/>
  <c r="F78" i="21" s="1"/>
  <c r="G77" i="8"/>
  <c r="G78" i="21" s="1"/>
  <c r="H77" i="8"/>
  <c r="H78" i="21" s="1"/>
  <c r="I77" i="8"/>
  <c r="I78" i="21" s="1"/>
  <c r="J77" i="8"/>
  <c r="J78" i="21" s="1"/>
  <c r="K77" i="8"/>
  <c r="K78" i="21" s="1"/>
  <c r="L77" i="8"/>
  <c r="L78" i="21" s="1"/>
  <c r="M77" i="8"/>
  <c r="M78" i="21" s="1"/>
  <c r="N77" i="8"/>
  <c r="N78" i="21" s="1"/>
  <c r="O77" i="8"/>
  <c r="O78" i="21" s="1"/>
  <c r="P77" i="8"/>
  <c r="P78" i="21" s="1"/>
  <c r="Q77" i="8"/>
  <c r="Q78" i="21" s="1"/>
  <c r="R77" i="8"/>
  <c r="R78" i="21" s="1"/>
  <c r="S77" i="8"/>
  <c r="S78" i="21" s="1"/>
  <c r="T77" i="8"/>
  <c r="T78" i="21" s="1"/>
  <c r="U77" i="8"/>
  <c r="U78" i="21" s="1"/>
  <c r="V77" i="8"/>
  <c r="V78" i="21" s="1"/>
  <c r="W77" i="8"/>
  <c r="W78" i="21" s="1"/>
  <c r="X77" i="8"/>
  <c r="X78" i="21" s="1"/>
  <c r="Y77" i="8"/>
  <c r="Y78" i="21" s="1"/>
  <c r="Z77" i="8"/>
  <c r="Z78" i="21" s="1"/>
  <c r="AA77" i="8"/>
  <c r="AA78" i="21" s="1"/>
  <c r="AB77" i="8"/>
  <c r="AB78" i="21" s="1"/>
  <c r="AC77" i="8"/>
  <c r="AC78" i="21" s="1"/>
  <c r="AD77" i="8"/>
  <c r="AD78" i="21" s="1"/>
  <c r="AE77" i="8"/>
  <c r="AE78" i="21" s="1"/>
  <c r="AF77" i="8"/>
  <c r="AG77" i="8"/>
  <c r="AG78" i="11" s="1"/>
  <c r="A78" i="8"/>
  <c r="B78" i="8"/>
  <c r="C78" i="8"/>
  <c r="D78" i="8"/>
  <c r="E78" i="8"/>
  <c r="F78" i="8"/>
  <c r="F79" i="21" s="1"/>
  <c r="G78" i="8"/>
  <c r="G79" i="21" s="1"/>
  <c r="H78" i="8"/>
  <c r="H79" i="21" s="1"/>
  <c r="I78" i="8"/>
  <c r="I79" i="21" s="1"/>
  <c r="J78" i="8"/>
  <c r="J79" i="21" s="1"/>
  <c r="K78" i="8"/>
  <c r="K79" i="21" s="1"/>
  <c r="L78" i="8"/>
  <c r="L79" i="21" s="1"/>
  <c r="M78" i="8"/>
  <c r="M79" i="21" s="1"/>
  <c r="N78" i="8"/>
  <c r="N79" i="21" s="1"/>
  <c r="O78" i="8"/>
  <c r="O79" i="21" s="1"/>
  <c r="P78" i="8"/>
  <c r="P79" i="21" s="1"/>
  <c r="Q78" i="8"/>
  <c r="Q79" i="21" s="1"/>
  <c r="R78" i="8"/>
  <c r="R79" i="21" s="1"/>
  <c r="S78" i="8"/>
  <c r="S79" i="21" s="1"/>
  <c r="T78" i="8"/>
  <c r="T79" i="21" s="1"/>
  <c r="U78" i="8"/>
  <c r="U79" i="21" s="1"/>
  <c r="V78" i="8"/>
  <c r="V79" i="21" s="1"/>
  <c r="W78" i="8"/>
  <c r="W79" i="21" s="1"/>
  <c r="X78" i="8"/>
  <c r="X79" i="21" s="1"/>
  <c r="Y78" i="8"/>
  <c r="Y79" i="21" s="1"/>
  <c r="Z78" i="8"/>
  <c r="Z79" i="21" s="1"/>
  <c r="AA78" i="8"/>
  <c r="AA79" i="21" s="1"/>
  <c r="AB78" i="8"/>
  <c r="AB79" i="21" s="1"/>
  <c r="AC78" i="8"/>
  <c r="AC79" i="21" s="1"/>
  <c r="AD78" i="8"/>
  <c r="AD79" i="21" s="1"/>
  <c r="AE78" i="8"/>
  <c r="AE79" i="21" s="1"/>
  <c r="AF78" i="8"/>
  <c r="AF79" i="21" s="1"/>
  <c r="AG78" i="8"/>
  <c r="A79" i="8"/>
  <c r="B79" i="8"/>
  <c r="C79" i="8"/>
  <c r="D79" i="8"/>
  <c r="E79" i="8"/>
  <c r="F79" i="8"/>
  <c r="F80" i="21" s="1"/>
  <c r="G79" i="8"/>
  <c r="G80" i="21" s="1"/>
  <c r="H79" i="8"/>
  <c r="H80" i="21" s="1"/>
  <c r="I79" i="8"/>
  <c r="I80" i="21" s="1"/>
  <c r="J79" i="8"/>
  <c r="J80" i="21" s="1"/>
  <c r="K79" i="8"/>
  <c r="K80" i="21" s="1"/>
  <c r="L79" i="8"/>
  <c r="L80" i="21" s="1"/>
  <c r="M79" i="8"/>
  <c r="M80" i="21" s="1"/>
  <c r="N79" i="8"/>
  <c r="N80" i="21" s="1"/>
  <c r="O79" i="8"/>
  <c r="O80" i="21" s="1"/>
  <c r="P79" i="8"/>
  <c r="P80" i="21" s="1"/>
  <c r="Q79" i="8"/>
  <c r="Q80" i="21" s="1"/>
  <c r="R79" i="8"/>
  <c r="R80" i="21" s="1"/>
  <c r="S79" i="8"/>
  <c r="S80" i="21" s="1"/>
  <c r="T79" i="8"/>
  <c r="T80" i="21" s="1"/>
  <c r="U79" i="8"/>
  <c r="U80" i="21" s="1"/>
  <c r="V79" i="8"/>
  <c r="V80" i="21" s="1"/>
  <c r="W79" i="8"/>
  <c r="W80" i="21" s="1"/>
  <c r="X79" i="8"/>
  <c r="X80" i="21" s="1"/>
  <c r="Y79" i="8"/>
  <c r="Y80" i="21" s="1"/>
  <c r="Z79" i="8"/>
  <c r="Z80" i="21" s="1"/>
  <c r="AA79" i="8"/>
  <c r="AA80" i="21" s="1"/>
  <c r="AB79" i="8"/>
  <c r="AB80" i="21" s="1"/>
  <c r="AC79" i="8"/>
  <c r="AC80" i="21" s="1"/>
  <c r="AD79" i="8"/>
  <c r="AD80" i="21" s="1"/>
  <c r="AE79" i="8"/>
  <c r="AE80" i="21" s="1"/>
  <c r="AF79" i="8"/>
  <c r="AF80" i="21" s="1"/>
  <c r="AG79" i="8"/>
  <c r="A80" i="8"/>
  <c r="B80" i="8"/>
  <c r="C80" i="8"/>
  <c r="D80" i="8"/>
  <c r="E80" i="8"/>
  <c r="F80" i="8"/>
  <c r="F81" i="21" s="1"/>
  <c r="G80" i="8"/>
  <c r="G81" i="21" s="1"/>
  <c r="H80" i="8"/>
  <c r="H81" i="21" s="1"/>
  <c r="I80" i="8"/>
  <c r="I81" i="21" s="1"/>
  <c r="J80" i="8"/>
  <c r="J81" i="21" s="1"/>
  <c r="K80" i="8"/>
  <c r="K81" i="21" s="1"/>
  <c r="L80" i="8"/>
  <c r="L81" i="21" s="1"/>
  <c r="M80" i="8"/>
  <c r="M81" i="21" s="1"/>
  <c r="N80" i="8"/>
  <c r="N81" i="21" s="1"/>
  <c r="O80" i="8"/>
  <c r="O81" i="21" s="1"/>
  <c r="P80" i="8"/>
  <c r="P81" i="21" s="1"/>
  <c r="Q80" i="8"/>
  <c r="Q81" i="21" s="1"/>
  <c r="R80" i="8"/>
  <c r="R81" i="21" s="1"/>
  <c r="S80" i="8"/>
  <c r="S81" i="21" s="1"/>
  <c r="T80" i="8"/>
  <c r="T81" i="21" s="1"/>
  <c r="U80" i="8"/>
  <c r="U81" i="21" s="1"/>
  <c r="V80" i="8"/>
  <c r="V81" i="21" s="1"/>
  <c r="W80" i="8"/>
  <c r="W81" i="21" s="1"/>
  <c r="X80" i="8"/>
  <c r="X81" i="21" s="1"/>
  <c r="Y80" i="8"/>
  <c r="Y81" i="21" s="1"/>
  <c r="Z80" i="8"/>
  <c r="Z81" i="21" s="1"/>
  <c r="AA80" i="8"/>
  <c r="AA81" i="21" s="1"/>
  <c r="AB80" i="8"/>
  <c r="AB81" i="21" s="1"/>
  <c r="AC80" i="8"/>
  <c r="AC81" i="21" s="1"/>
  <c r="AD80" i="8"/>
  <c r="AD81" i="21" s="1"/>
  <c r="AE80" i="8"/>
  <c r="AE81" i="21" s="1"/>
  <c r="AF80" i="8"/>
  <c r="AF81" i="21" s="1"/>
  <c r="AG80" i="8"/>
  <c r="A81" i="8"/>
  <c r="B81" i="8"/>
  <c r="C81" i="8"/>
  <c r="D81" i="8"/>
  <c r="E81" i="8"/>
  <c r="F81" i="8"/>
  <c r="F82" i="21" s="1"/>
  <c r="G81" i="8"/>
  <c r="G82" i="21" s="1"/>
  <c r="H81" i="8"/>
  <c r="H82" i="21" s="1"/>
  <c r="I81" i="8"/>
  <c r="I82" i="21" s="1"/>
  <c r="J81" i="8"/>
  <c r="J82" i="21" s="1"/>
  <c r="K81" i="8"/>
  <c r="K82" i="21" s="1"/>
  <c r="L81" i="8"/>
  <c r="L82" i="21" s="1"/>
  <c r="M81" i="8"/>
  <c r="M82" i="21" s="1"/>
  <c r="N81" i="8"/>
  <c r="N82" i="21" s="1"/>
  <c r="O81" i="8"/>
  <c r="O82" i="21" s="1"/>
  <c r="P81" i="8"/>
  <c r="P82" i="21" s="1"/>
  <c r="Q81" i="8"/>
  <c r="Q82" i="21" s="1"/>
  <c r="R81" i="8"/>
  <c r="R82" i="21" s="1"/>
  <c r="S81" i="8"/>
  <c r="S82" i="21" s="1"/>
  <c r="T81" i="8"/>
  <c r="T82" i="21" s="1"/>
  <c r="U81" i="8"/>
  <c r="U82" i="21" s="1"/>
  <c r="V81" i="8"/>
  <c r="V82" i="21" s="1"/>
  <c r="W81" i="8"/>
  <c r="W82" i="21" s="1"/>
  <c r="X81" i="8"/>
  <c r="X82" i="21" s="1"/>
  <c r="Y81" i="8"/>
  <c r="Y82" i="21" s="1"/>
  <c r="Z81" i="8"/>
  <c r="Z82" i="21" s="1"/>
  <c r="AA81" i="8"/>
  <c r="AA82" i="21" s="1"/>
  <c r="AB81" i="8"/>
  <c r="AB82" i="21" s="1"/>
  <c r="AC81" i="8"/>
  <c r="AC82" i="21" s="1"/>
  <c r="AD81" i="8"/>
  <c r="AD82" i="21" s="1"/>
  <c r="AE81" i="8"/>
  <c r="AE82" i="21" s="1"/>
  <c r="AF81" i="8"/>
  <c r="AF82" i="21" s="1"/>
  <c r="AG81" i="8"/>
  <c r="A82" i="8"/>
  <c r="B82" i="8"/>
  <c r="C82" i="8"/>
  <c r="D82" i="8"/>
  <c r="E82" i="8"/>
  <c r="F82" i="8"/>
  <c r="F83" i="21" s="1"/>
  <c r="G82" i="8"/>
  <c r="G83" i="21" s="1"/>
  <c r="H82" i="8"/>
  <c r="H83" i="21" s="1"/>
  <c r="I82" i="8"/>
  <c r="I83" i="21" s="1"/>
  <c r="J82" i="8"/>
  <c r="J83" i="21" s="1"/>
  <c r="K82" i="8"/>
  <c r="K83" i="21" s="1"/>
  <c r="L82" i="8"/>
  <c r="L83" i="21" s="1"/>
  <c r="M82" i="8"/>
  <c r="M83" i="21" s="1"/>
  <c r="N82" i="8"/>
  <c r="N83" i="21" s="1"/>
  <c r="O82" i="8"/>
  <c r="O83" i="21" s="1"/>
  <c r="P82" i="8"/>
  <c r="P83" i="21" s="1"/>
  <c r="Q82" i="8"/>
  <c r="Q83" i="21" s="1"/>
  <c r="R82" i="8"/>
  <c r="R83" i="21" s="1"/>
  <c r="S82" i="8"/>
  <c r="S83" i="21" s="1"/>
  <c r="T82" i="8"/>
  <c r="T83" i="21" s="1"/>
  <c r="U82" i="8"/>
  <c r="U83" i="21" s="1"/>
  <c r="V82" i="8"/>
  <c r="V83" i="21" s="1"/>
  <c r="W82" i="8"/>
  <c r="W83" i="21" s="1"/>
  <c r="X82" i="8"/>
  <c r="X83" i="21" s="1"/>
  <c r="Y82" i="8"/>
  <c r="Y83" i="21" s="1"/>
  <c r="Z82" i="8"/>
  <c r="Z83" i="21" s="1"/>
  <c r="AA82" i="8"/>
  <c r="AA83" i="21" s="1"/>
  <c r="AB82" i="8"/>
  <c r="AB83" i="21" s="1"/>
  <c r="AC82" i="8"/>
  <c r="AC83" i="21" s="1"/>
  <c r="AD82" i="8"/>
  <c r="AD83" i="21" s="1"/>
  <c r="AE82" i="8"/>
  <c r="AE83" i="21" s="1"/>
  <c r="AF82" i="8"/>
  <c r="AF83" i="21" s="1"/>
  <c r="AG82" i="8"/>
  <c r="A83" i="8"/>
  <c r="B83" i="8"/>
  <c r="C83" i="8"/>
  <c r="D83" i="8"/>
  <c r="E83" i="8"/>
  <c r="F83" i="8"/>
  <c r="F84" i="21" s="1"/>
  <c r="G83" i="8"/>
  <c r="G84" i="21" s="1"/>
  <c r="H83" i="8"/>
  <c r="H84" i="21" s="1"/>
  <c r="I83" i="8"/>
  <c r="I84" i="21" s="1"/>
  <c r="J83" i="8"/>
  <c r="J84" i="21" s="1"/>
  <c r="K83" i="8"/>
  <c r="K84" i="21" s="1"/>
  <c r="L83" i="8"/>
  <c r="L84" i="21" s="1"/>
  <c r="M83" i="8"/>
  <c r="M84" i="21" s="1"/>
  <c r="N83" i="8"/>
  <c r="N84" i="21" s="1"/>
  <c r="O83" i="8"/>
  <c r="O84" i="21" s="1"/>
  <c r="P83" i="8"/>
  <c r="P84" i="21" s="1"/>
  <c r="Q83" i="8"/>
  <c r="Q84" i="21" s="1"/>
  <c r="R83" i="8"/>
  <c r="R84" i="21" s="1"/>
  <c r="S83" i="8"/>
  <c r="S84" i="21" s="1"/>
  <c r="T83" i="8"/>
  <c r="T84" i="21" s="1"/>
  <c r="U83" i="8"/>
  <c r="U84" i="21" s="1"/>
  <c r="V83" i="8"/>
  <c r="V84" i="21" s="1"/>
  <c r="W83" i="8"/>
  <c r="W84" i="21" s="1"/>
  <c r="X83" i="8"/>
  <c r="X84" i="21" s="1"/>
  <c r="Y83" i="8"/>
  <c r="Y84" i="21" s="1"/>
  <c r="Z83" i="8"/>
  <c r="Z84" i="21" s="1"/>
  <c r="AA83" i="8"/>
  <c r="AA84" i="21" s="1"/>
  <c r="AB83" i="8"/>
  <c r="AB84" i="21" s="1"/>
  <c r="AC83" i="8"/>
  <c r="AC84" i="21" s="1"/>
  <c r="AD83" i="8"/>
  <c r="AD84" i="21" s="1"/>
  <c r="AE83" i="8"/>
  <c r="AE84" i="21" s="1"/>
  <c r="AF83" i="8"/>
  <c r="AF84" i="21" s="1"/>
  <c r="AG83" i="8"/>
  <c r="A84" i="8"/>
  <c r="B84" i="8"/>
  <c r="C84" i="8"/>
  <c r="D84" i="8"/>
  <c r="E84" i="8"/>
  <c r="F84" i="8"/>
  <c r="F85" i="21" s="1"/>
  <c r="G84" i="8"/>
  <c r="G85" i="21" s="1"/>
  <c r="H84" i="8"/>
  <c r="H85" i="21" s="1"/>
  <c r="I84" i="8"/>
  <c r="I85" i="21" s="1"/>
  <c r="J84" i="8"/>
  <c r="J85" i="21" s="1"/>
  <c r="K84" i="8"/>
  <c r="K85" i="21" s="1"/>
  <c r="L84" i="8"/>
  <c r="L85" i="21" s="1"/>
  <c r="M84" i="8"/>
  <c r="M85" i="21" s="1"/>
  <c r="N84" i="8"/>
  <c r="N85" i="21" s="1"/>
  <c r="O84" i="8"/>
  <c r="O85" i="21" s="1"/>
  <c r="P84" i="8"/>
  <c r="P85" i="21" s="1"/>
  <c r="Q84" i="8"/>
  <c r="Q85" i="21" s="1"/>
  <c r="R84" i="8"/>
  <c r="R85" i="21" s="1"/>
  <c r="S84" i="8"/>
  <c r="S85" i="21" s="1"/>
  <c r="T84" i="8"/>
  <c r="T85" i="21" s="1"/>
  <c r="U84" i="8"/>
  <c r="U85" i="21" s="1"/>
  <c r="V84" i="8"/>
  <c r="V85" i="21" s="1"/>
  <c r="W84" i="8"/>
  <c r="W85" i="21" s="1"/>
  <c r="X84" i="8"/>
  <c r="X85" i="21" s="1"/>
  <c r="Y84" i="8"/>
  <c r="Y85" i="21" s="1"/>
  <c r="Z84" i="8"/>
  <c r="Z85" i="21" s="1"/>
  <c r="AA84" i="8"/>
  <c r="AA85" i="21" s="1"/>
  <c r="AB84" i="8"/>
  <c r="AB85" i="21" s="1"/>
  <c r="AC84" i="8"/>
  <c r="AC85" i="21" s="1"/>
  <c r="AD84" i="8"/>
  <c r="AD85" i="21" s="1"/>
  <c r="AE84" i="8"/>
  <c r="AE85" i="21" s="1"/>
  <c r="AF84" i="8"/>
  <c r="AF85" i="21" s="1"/>
  <c r="AG84" i="8"/>
  <c r="A85" i="8"/>
  <c r="B85" i="8"/>
  <c r="C85" i="8"/>
  <c r="D85" i="8"/>
  <c r="E85" i="8"/>
  <c r="F85" i="8"/>
  <c r="F86" i="21" s="1"/>
  <c r="G85" i="8"/>
  <c r="G86" i="21" s="1"/>
  <c r="H85" i="8"/>
  <c r="H86" i="21" s="1"/>
  <c r="I85" i="8"/>
  <c r="I86" i="21" s="1"/>
  <c r="J85" i="8"/>
  <c r="J86" i="21" s="1"/>
  <c r="K85" i="8"/>
  <c r="K86" i="21" s="1"/>
  <c r="L85" i="8"/>
  <c r="L86" i="21" s="1"/>
  <c r="M85" i="8"/>
  <c r="M86" i="21" s="1"/>
  <c r="N85" i="8"/>
  <c r="N86" i="21" s="1"/>
  <c r="O85" i="8"/>
  <c r="O86" i="21" s="1"/>
  <c r="P85" i="8"/>
  <c r="P86" i="21" s="1"/>
  <c r="Q85" i="8"/>
  <c r="Q86" i="21" s="1"/>
  <c r="R85" i="8"/>
  <c r="R86" i="21" s="1"/>
  <c r="S85" i="8"/>
  <c r="S86" i="21" s="1"/>
  <c r="T85" i="8"/>
  <c r="T86" i="21" s="1"/>
  <c r="U85" i="8"/>
  <c r="U86" i="21" s="1"/>
  <c r="V85" i="8"/>
  <c r="V86" i="21" s="1"/>
  <c r="W85" i="8"/>
  <c r="W86" i="21" s="1"/>
  <c r="X85" i="8"/>
  <c r="X86" i="21" s="1"/>
  <c r="Y85" i="8"/>
  <c r="Y86" i="21" s="1"/>
  <c r="Z85" i="8"/>
  <c r="Z86" i="21" s="1"/>
  <c r="AA85" i="8"/>
  <c r="AA86" i="21" s="1"/>
  <c r="AB85" i="8"/>
  <c r="AB86" i="21" s="1"/>
  <c r="AC85" i="8"/>
  <c r="AC86" i="21" s="1"/>
  <c r="AD85" i="8"/>
  <c r="AD86" i="21" s="1"/>
  <c r="AE85" i="8"/>
  <c r="AE86" i="21" s="1"/>
  <c r="AF85" i="8"/>
  <c r="AG85" i="8"/>
  <c r="AG86" i="11" s="1"/>
  <c r="A86" i="8"/>
  <c r="B86" i="8"/>
  <c r="C86" i="8"/>
  <c r="D86" i="8"/>
  <c r="E86" i="8"/>
  <c r="F86" i="8"/>
  <c r="F87" i="21" s="1"/>
  <c r="G86" i="8"/>
  <c r="G87" i="21" s="1"/>
  <c r="H86" i="8"/>
  <c r="H87" i="21" s="1"/>
  <c r="I86" i="8"/>
  <c r="I87" i="21" s="1"/>
  <c r="J86" i="8"/>
  <c r="J87" i="21" s="1"/>
  <c r="K86" i="8"/>
  <c r="K87" i="21" s="1"/>
  <c r="L86" i="8"/>
  <c r="L87" i="21" s="1"/>
  <c r="M86" i="8"/>
  <c r="M87" i="21" s="1"/>
  <c r="N86" i="8"/>
  <c r="N87" i="21" s="1"/>
  <c r="O86" i="8"/>
  <c r="O87" i="21" s="1"/>
  <c r="P86" i="8"/>
  <c r="P87" i="21" s="1"/>
  <c r="Q86" i="8"/>
  <c r="Q87" i="21" s="1"/>
  <c r="R86" i="8"/>
  <c r="R87" i="21" s="1"/>
  <c r="S86" i="8"/>
  <c r="S87" i="21" s="1"/>
  <c r="T86" i="8"/>
  <c r="T87" i="21" s="1"/>
  <c r="U86" i="8"/>
  <c r="U87" i="21" s="1"/>
  <c r="V86" i="8"/>
  <c r="V87" i="21" s="1"/>
  <c r="W86" i="8"/>
  <c r="W87" i="21" s="1"/>
  <c r="X86" i="8"/>
  <c r="X87" i="21" s="1"/>
  <c r="Y86" i="8"/>
  <c r="Y87" i="21" s="1"/>
  <c r="Z86" i="8"/>
  <c r="Z87" i="21" s="1"/>
  <c r="AA86" i="8"/>
  <c r="AA87" i="21" s="1"/>
  <c r="AB86" i="8"/>
  <c r="AB87" i="21" s="1"/>
  <c r="AC86" i="8"/>
  <c r="AC87" i="21" s="1"/>
  <c r="AD86" i="8"/>
  <c r="AD87" i="21" s="1"/>
  <c r="AE86" i="8"/>
  <c r="AE87" i="21" s="1"/>
  <c r="AF86" i="8"/>
  <c r="AF87" i="21" s="1"/>
  <c r="AG86" i="8"/>
  <c r="A87" i="8"/>
  <c r="B87" i="8"/>
  <c r="C87" i="8"/>
  <c r="D87" i="8"/>
  <c r="E87" i="8"/>
  <c r="F87" i="8"/>
  <c r="F88" i="21" s="1"/>
  <c r="G87" i="8"/>
  <c r="G88" i="21" s="1"/>
  <c r="H87" i="8"/>
  <c r="H88" i="21" s="1"/>
  <c r="I87" i="8"/>
  <c r="I88" i="21" s="1"/>
  <c r="J87" i="8"/>
  <c r="J88" i="21" s="1"/>
  <c r="K87" i="8"/>
  <c r="K88" i="21" s="1"/>
  <c r="L87" i="8"/>
  <c r="L88" i="21" s="1"/>
  <c r="M87" i="8"/>
  <c r="M88" i="21" s="1"/>
  <c r="N87" i="8"/>
  <c r="N88" i="21" s="1"/>
  <c r="O87" i="8"/>
  <c r="O88" i="21" s="1"/>
  <c r="P87" i="8"/>
  <c r="P88" i="21" s="1"/>
  <c r="Q87" i="8"/>
  <c r="Q88" i="21" s="1"/>
  <c r="R87" i="8"/>
  <c r="R88" i="21" s="1"/>
  <c r="S87" i="8"/>
  <c r="S88" i="21" s="1"/>
  <c r="T87" i="8"/>
  <c r="T88" i="21" s="1"/>
  <c r="U87" i="8"/>
  <c r="U88" i="21" s="1"/>
  <c r="V87" i="8"/>
  <c r="V88" i="21" s="1"/>
  <c r="W87" i="8"/>
  <c r="W88" i="21" s="1"/>
  <c r="X87" i="8"/>
  <c r="X88" i="21" s="1"/>
  <c r="Y87" i="8"/>
  <c r="Y88" i="21" s="1"/>
  <c r="Z87" i="8"/>
  <c r="Z88" i="21" s="1"/>
  <c r="AA87" i="8"/>
  <c r="AA88" i="21" s="1"/>
  <c r="AB87" i="8"/>
  <c r="AB88" i="21" s="1"/>
  <c r="AC87" i="8"/>
  <c r="AC88" i="21" s="1"/>
  <c r="AD87" i="8"/>
  <c r="AD88" i="21" s="1"/>
  <c r="AE87" i="8"/>
  <c r="AE88" i="21" s="1"/>
  <c r="AF87" i="8"/>
  <c r="AF88" i="21" s="1"/>
  <c r="AG87" i="8"/>
  <c r="A88" i="8"/>
  <c r="B88" i="8"/>
  <c r="C88" i="8"/>
  <c r="D88" i="8"/>
  <c r="E88" i="8"/>
  <c r="F88" i="8"/>
  <c r="F89" i="21" s="1"/>
  <c r="G88" i="8"/>
  <c r="G89" i="21" s="1"/>
  <c r="H88" i="8"/>
  <c r="H89" i="21" s="1"/>
  <c r="I88" i="8"/>
  <c r="I89" i="21" s="1"/>
  <c r="J88" i="8"/>
  <c r="J89" i="21" s="1"/>
  <c r="K88" i="8"/>
  <c r="K89" i="21" s="1"/>
  <c r="L88" i="8"/>
  <c r="L89" i="21" s="1"/>
  <c r="M88" i="8"/>
  <c r="M89" i="21" s="1"/>
  <c r="N88" i="8"/>
  <c r="N89" i="21" s="1"/>
  <c r="O88" i="8"/>
  <c r="O89" i="21" s="1"/>
  <c r="P88" i="8"/>
  <c r="P89" i="21" s="1"/>
  <c r="Q88" i="8"/>
  <c r="Q89" i="21" s="1"/>
  <c r="R88" i="8"/>
  <c r="R89" i="21" s="1"/>
  <c r="S88" i="8"/>
  <c r="S89" i="21" s="1"/>
  <c r="T88" i="8"/>
  <c r="T89" i="21" s="1"/>
  <c r="U88" i="8"/>
  <c r="U89" i="21" s="1"/>
  <c r="V88" i="8"/>
  <c r="V89" i="21" s="1"/>
  <c r="W88" i="8"/>
  <c r="W89" i="21" s="1"/>
  <c r="X88" i="8"/>
  <c r="X89" i="21" s="1"/>
  <c r="Y88" i="8"/>
  <c r="Y89" i="21" s="1"/>
  <c r="Z88" i="8"/>
  <c r="Z89" i="21" s="1"/>
  <c r="AA88" i="8"/>
  <c r="AA89" i="21" s="1"/>
  <c r="AB88" i="8"/>
  <c r="AB89" i="21" s="1"/>
  <c r="AC88" i="8"/>
  <c r="AC89" i="21" s="1"/>
  <c r="AD88" i="8"/>
  <c r="AD89" i="21" s="1"/>
  <c r="AE88" i="8"/>
  <c r="AE89" i="21" s="1"/>
  <c r="AF88" i="8"/>
  <c r="AF89" i="21" s="1"/>
  <c r="AG88" i="8"/>
  <c r="A89" i="8"/>
  <c r="B89" i="8"/>
  <c r="C89" i="8"/>
  <c r="D89" i="8"/>
  <c r="E89" i="8"/>
  <c r="F89" i="8"/>
  <c r="F90" i="21" s="1"/>
  <c r="G89" i="8"/>
  <c r="G90" i="21" s="1"/>
  <c r="H89" i="8"/>
  <c r="H90" i="21" s="1"/>
  <c r="I89" i="8"/>
  <c r="I90" i="21" s="1"/>
  <c r="J89" i="8"/>
  <c r="J90" i="21" s="1"/>
  <c r="K89" i="8"/>
  <c r="K90" i="21" s="1"/>
  <c r="L89" i="8"/>
  <c r="L90" i="21" s="1"/>
  <c r="M89" i="8"/>
  <c r="M90" i="21" s="1"/>
  <c r="N89" i="8"/>
  <c r="N90" i="21" s="1"/>
  <c r="O89" i="8"/>
  <c r="O90" i="21" s="1"/>
  <c r="P89" i="8"/>
  <c r="P90" i="21" s="1"/>
  <c r="Q89" i="8"/>
  <c r="Q90" i="21" s="1"/>
  <c r="R89" i="8"/>
  <c r="R90" i="21" s="1"/>
  <c r="S89" i="8"/>
  <c r="S90" i="21" s="1"/>
  <c r="T89" i="8"/>
  <c r="T90" i="21" s="1"/>
  <c r="U89" i="8"/>
  <c r="U90" i="21" s="1"/>
  <c r="V89" i="8"/>
  <c r="V90" i="21" s="1"/>
  <c r="W89" i="8"/>
  <c r="W90" i="21" s="1"/>
  <c r="X89" i="8"/>
  <c r="X90" i="21" s="1"/>
  <c r="Y89" i="8"/>
  <c r="Y90" i="21" s="1"/>
  <c r="Z89" i="8"/>
  <c r="Z90" i="21" s="1"/>
  <c r="AA89" i="8"/>
  <c r="AA90" i="21" s="1"/>
  <c r="AB89" i="8"/>
  <c r="AB90" i="21" s="1"/>
  <c r="AC89" i="8"/>
  <c r="AC90" i="21" s="1"/>
  <c r="AD89" i="8"/>
  <c r="AD90" i="21" s="1"/>
  <c r="AE89" i="8"/>
  <c r="AE90" i="21" s="1"/>
  <c r="AF89" i="8"/>
  <c r="AG89" i="8"/>
  <c r="AG90" i="9" s="1"/>
  <c r="A90" i="8"/>
  <c r="B90" i="8"/>
  <c r="C90" i="8"/>
  <c r="D90" i="8"/>
  <c r="E90" i="8"/>
  <c r="F90" i="8"/>
  <c r="F91" i="21" s="1"/>
  <c r="G90" i="8"/>
  <c r="G91" i="21" s="1"/>
  <c r="H90" i="8"/>
  <c r="H91" i="21" s="1"/>
  <c r="I90" i="8"/>
  <c r="I91" i="21" s="1"/>
  <c r="J90" i="8"/>
  <c r="J91" i="21" s="1"/>
  <c r="K90" i="8"/>
  <c r="K91" i="21" s="1"/>
  <c r="L90" i="8"/>
  <c r="L91" i="21" s="1"/>
  <c r="M90" i="8"/>
  <c r="M91" i="21" s="1"/>
  <c r="N90" i="8"/>
  <c r="N91" i="21" s="1"/>
  <c r="O90" i="8"/>
  <c r="O91" i="21" s="1"/>
  <c r="P90" i="8"/>
  <c r="P91" i="21" s="1"/>
  <c r="Q90" i="8"/>
  <c r="Q91" i="21" s="1"/>
  <c r="R90" i="8"/>
  <c r="R91" i="21" s="1"/>
  <c r="S90" i="8"/>
  <c r="S91" i="21" s="1"/>
  <c r="T90" i="8"/>
  <c r="T91" i="21" s="1"/>
  <c r="U90" i="8"/>
  <c r="U91" i="21" s="1"/>
  <c r="V90" i="8"/>
  <c r="V91" i="21" s="1"/>
  <c r="W90" i="8"/>
  <c r="W91" i="21" s="1"/>
  <c r="X90" i="8"/>
  <c r="X91" i="21" s="1"/>
  <c r="Y90" i="8"/>
  <c r="Y91" i="21" s="1"/>
  <c r="Z90" i="8"/>
  <c r="Z91" i="21" s="1"/>
  <c r="AA90" i="8"/>
  <c r="AA91" i="21" s="1"/>
  <c r="AB90" i="8"/>
  <c r="AB91" i="21" s="1"/>
  <c r="AC90" i="8"/>
  <c r="AC91" i="21" s="1"/>
  <c r="AD90" i="8"/>
  <c r="AD91" i="21" s="1"/>
  <c r="AE90" i="8"/>
  <c r="AE91" i="21" s="1"/>
  <c r="AF90" i="8"/>
  <c r="AF91" i="21" s="1"/>
  <c r="AG90" i="8"/>
  <c r="A91" i="8"/>
  <c r="B91" i="8"/>
  <c r="C91" i="8"/>
  <c r="D91" i="8"/>
  <c r="E91" i="8"/>
  <c r="F91" i="8"/>
  <c r="F92" i="21" s="1"/>
  <c r="G91" i="8"/>
  <c r="G92" i="21" s="1"/>
  <c r="H91" i="8"/>
  <c r="H92" i="21" s="1"/>
  <c r="I91" i="8"/>
  <c r="I92" i="21" s="1"/>
  <c r="J91" i="8"/>
  <c r="J92" i="21" s="1"/>
  <c r="K91" i="8"/>
  <c r="K92" i="21" s="1"/>
  <c r="L91" i="8"/>
  <c r="L92" i="21" s="1"/>
  <c r="M91" i="8"/>
  <c r="M92" i="21" s="1"/>
  <c r="N91" i="8"/>
  <c r="N92" i="21" s="1"/>
  <c r="O91" i="8"/>
  <c r="O92" i="21" s="1"/>
  <c r="P91" i="8"/>
  <c r="P92" i="21" s="1"/>
  <c r="Q91" i="8"/>
  <c r="Q92" i="21" s="1"/>
  <c r="R91" i="8"/>
  <c r="R92" i="21" s="1"/>
  <c r="S91" i="8"/>
  <c r="S92" i="21" s="1"/>
  <c r="T91" i="8"/>
  <c r="T92" i="21" s="1"/>
  <c r="U91" i="8"/>
  <c r="U92" i="21" s="1"/>
  <c r="V91" i="8"/>
  <c r="V92" i="21" s="1"/>
  <c r="W91" i="8"/>
  <c r="W92" i="21" s="1"/>
  <c r="X91" i="8"/>
  <c r="X92" i="21" s="1"/>
  <c r="Y91" i="8"/>
  <c r="Y92" i="21" s="1"/>
  <c r="Z91" i="8"/>
  <c r="Z92" i="21" s="1"/>
  <c r="AA91" i="8"/>
  <c r="AA92" i="21" s="1"/>
  <c r="AB91" i="8"/>
  <c r="AB92" i="21" s="1"/>
  <c r="AC91" i="8"/>
  <c r="AC92" i="21" s="1"/>
  <c r="AD91" i="8"/>
  <c r="AD92" i="21" s="1"/>
  <c r="AE91" i="8"/>
  <c r="AE92" i="21" s="1"/>
  <c r="AF91" i="8"/>
  <c r="AF92" i="21" s="1"/>
  <c r="AG91" i="8"/>
  <c r="A92" i="8"/>
  <c r="B92" i="8"/>
  <c r="C92" i="8"/>
  <c r="D92" i="8"/>
  <c r="E92" i="8"/>
  <c r="F92" i="8"/>
  <c r="F93" i="21" s="1"/>
  <c r="G92" i="8"/>
  <c r="G93" i="21" s="1"/>
  <c r="H92" i="8"/>
  <c r="H93" i="21" s="1"/>
  <c r="I92" i="8"/>
  <c r="I93" i="21" s="1"/>
  <c r="J92" i="8"/>
  <c r="J93" i="21" s="1"/>
  <c r="K92" i="8"/>
  <c r="K93" i="21" s="1"/>
  <c r="L92" i="8"/>
  <c r="L93" i="21" s="1"/>
  <c r="M92" i="8"/>
  <c r="M93" i="21" s="1"/>
  <c r="N92" i="8"/>
  <c r="N93" i="21" s="1"/>
  <c r="O92" i="8"/>
  <c r="O93" i="21" s="1"/>
  <c r="P92" i="8"/>
  <c r="P93" i="21" s="1"/>
  <c r="Q92" i="8"/>
  <c r="Q93" i="21" s="1"/>
  <c r="R92" i="8"/>
  <c r="R93" i="21" s="1"/>
  <c r="S92" i="8"/>
  <c r="S93" i="21" s="1"/>
  <c r="T92" i="8"/>
  <c r="T93" i="21" s="1"/>
  <c r="U92" i="8"/>
  <c r="U93" i="21" s="1"/>
  <c r="V92" i="8"/>
  <c r="V93" i="21" s="1"/>
  <c r="W92" i="8"/>
  <c r="W93" i="21" s="1"/>
  <c r="X92" i="8"/>
  <c r="X93" i="21" s="1"/>
  <c r="Y92" i="8"/>
  <c r="Y93" i="21" s="1"/>
  <c r="Z92" i="8"/>
  <c r="Z93" i="21" s="1"/>
  <c r="AA92" i="8"/>
  <c r="AA93" i="21" s="1"/>
  <c r="AB92" i="8"/>
  <c r="AB93" i="21" s="1"/>
  <c r="AC92" i="8"/>
  <c r="AC93" i="21" s="1"/>
  <c r="AD92" i="8"/>
  <c r="AD93" i="21" s="1"/>
  <c r="AE92" i="8"/>
  <c r="AE93" i="21" s="1"/>
  <c r="AF92" i="8"/>
  <c r="AF93" i="21" s="1"/>
  <c r="AG92" i="8"/>
  <c r="A93" i="8"/>
  <c r="B93" i="8"/>
  <c r="C93" i="8"/>
  <c r="D93" i="8"/>
  <c r="E93" i="8"/>
  <c r="F93" i="8"/>
  <c r="F94" i="21" s="1"/>
  <c r="G93" i="8"/>
  <c r="G94" i="21" s="1"/>
  <c r="H93" i="8"/>
  <c r="H94" i="21" s="1"/>
  <c r="I93" i="8"/>
  <c r="I94" i="21" s="1"/>
  <c r="J93" i="8"/>
  <c r="J94" i="21" s="1"/>
  <c r="K93" i="8"/>
  <c r="K94" i="21" s="1"/>
  <c r="L93" i="8"/>
  <c r="L94" i="21" s="1"/>
  <c r="M93" i="8"/>
  <c r="M94" i="21" s="1"/>
  <c r="N93" i="8"/>
  <c r="N94" i="21" s="1"/>
  <c r="O93" i="8"/>
  <c r="O94" i="21" s="1"/>
  <c r="P93" i="8"/>
  <c r="P94" i="21" s="1"/>
  <c r="Q93" i="8"/>
  <c r="Q94" i="21" s="1"/>
  <c r="R93" i="8"/>
  <c r="R94" i="21" s="1"/>
  <c r="S93" i="8"/>
  <c r="S94" i="21" s="1"/>
  <c r="T93" i="8"/>
  <c r="T94" i="21" s="1"/>
  <c r="U93" i="8"/>
  <c r="U94" i="21" s="1"/>
  <c r="V93" i="8"/>
  <c r="V94" i="21" s="1"/>
  <c r="W93" i="8"/>
  <c r="W94" i="21" s="1"/>
  <c r="X93" i="8"/>
  <c r="X94" i="21" s="1"/>
  <c r="Y93" i="8"/>
  <c r="Y94" i="21" s="1"/>
  <c r="Z93" i="8"/>
  <c r="Z94" i="21" s="1"/>
  <c r="AA93" i="8"/>
  <c r="AA94" i="21" s="1"/>
  <c r="AB93" i="8"/>
  <c r="AB94" i="21" s="1"/>
  <c r="AC93" i="8"/>
  <c r="AC94" i="21" s="1"/>
  <c r="AD93" i="8"/>
  <c r="AD94" i="21" s="1"/>
  <c r="AE93" i="8"/>
  <c r="AE94" i="21" s="1"/>
  <c r="AF93" i="8"/>
  <c r="AF94" i="21" s="1"/>
  <c r="AG93" i="8"/>
  <c r="A94" i="8"/>
  <c r="B94" i="8"/>
  <c r="C94" i="8"/>
  <c r="D94" i="8"/>
  <c r="E94" i="8"/>
  <c r="F94" i="8"/>
  <c r="F95" i="21" s="1"/>
  <c r="G94" i="8"/>
  <c r="G95" i="21" s="1"/>
  <c r="H94" i="8"/>
  <c r="H95" i="21" s="1"/>
  <c r="I94" i="8"/>
  <c r="I95" i="21" s="1"/>
  <c r="J94" i="8"/>
  <c r="J95" i="21" s="1"/>
  <c r="K94" i="8"/>
  <c r="K95" i="21" s="1"/>
  <c r="L94" i="8"/>
  <c r="L95" i="21" s="1"/>
  <c r="M94" i="8"/>
  <c r="M95" i="21" s="1"/>
  <c r="N94" i="8"/>
  <c r="N95" i="21" s="1"/>
  <c r="O94" i="8"/>
  <c r="O95" i="21" s="1"/>
  <c r="P94" i="8"/>
  <c r="P95" i="21" s="1"/>
  <c r="Q94" i="8"/>
  <c r="Q95" i="21" s="1"/>
  <c r="R94" i="8"/>
  <c r="R95" i="21" s="1"/>
  <c r="S94" i="8"/>
  <c r="S95" i="21" s="1"/>
  <c r="T94" i="8"/>
  <c r="T95" i="21" s="1"/>
  <c r="U94" i="8"/>
  <c r="U95" i="21" s="1"/>
  <c r="V94" i="8"/>
  <c r="V95" i="21" s="1"/>
  <c r="W94" i="8"/>
  <c r="W95" i="21" s="1"/>
  <c r="X94" i="8"/>
  <c r="X95" i="21" s="1"/>
  <c r="Y94" i="8"/>
  <c r="Y95" i="21" s="1"/>
  <c r="Z94" i="8"/>
  <c r="Z95" i="21" s="1"/>
  <c r="AA94" i="8"/>
  <c r="AA95" i="21" s="1"/>
  <c r="AB94" i="8"/>
  <c r="AB95" i="21" s="1"/>
  <c r="AC94" i="8"/>
  <c r="AC95" i="21" s="1"/>
  <c r="AD94" i="8"/>
  <c r="AD95" i="21" s="1"/>
  <c r="AE94" i="8"/>
  <c r="AE95" i="21" s="1"/>
  <c r="AF94" i="8"/>
  <c r="AF95" i="21" s="1"/>
  <c r="AG94" i="8"/>
  <c r="A95" i="8"/>
  <c r="B95" i="8"/>
  <c r="C95" i="8"/>
  <c r="D95" i="8"/>
  <c r="E95" i="8"/>
  <c r="F95" i="8"/>
  <c r="F96" i="21" s="1"/>
  <c r="G95" i="8"/>
  <c r="G96" i="21" s="1"/>
  <c r="H95" i="8"/>
  <c r="H96" i="21" s="1"/>
  <c r="I95" i="8"/>
  <c r="I96" i="21" s="1"/>
  <c r="J95" i="8"/>
  <c r="J96" i="21" s="1"/>
  <c r="K95" i="8"/>
  <c r="K96" i="21" s="1"/>
  <c r="L95" i="8"/>
  <c r="L96" i="21" s="1"/>
  <c r="M95" i="8"/>
  <c r="M96" i="21" s="1"/>
  <c r="N95" i="8"/>
  <c r="N96" i="21" s="1"/>
  <c r="O95" i="8"/>
  <c r="O96" i="21" s="1"/>
  <c r="P95" i="8"/>
  <c r="P96" i="21" s="1"/>
  <c r="Q95" i="8"/>
  <c r="Q96" i="21" s="1"/>
  <c r="R95" i="8"/>
  <c r="R96" i="21" s="1"/>
  <c r="S95" i="8"/>
  <c r="S96" i="21" s="1"/>
  <c r="T95" i="8"/>
  <c r="T96" i="21" s="1"/>
  <c r="U95" i="8"/>
  <c r="U96" i="21" s="1"/>
  <c r="V95" i="8"/>
  <c r="V96" i="21" s="1"/>
  <c r="W95" i="8"/>
  <c r="W96" i="21" s="1"/>
  <c r="X95" i="8"/>
  <c r="X96" i="21" s="1"/>
  <c r="Y95" i="8"/>
  <c r="Y96" i="21" s="1"/>
  <c r="Z95" i="8"/>
  <c r="Z96" i="21" s="1"/>
  <c r="AA95" i="8"/>
  <c r="AA96" i="21" s="1"/>
  <c r="AB95" i="8"/>
  <c r="AB96" i="21" s="1"/>
  <c r="AC95" i="8"/>
  <c r="AC96" i="21" s="1"/>
  <c r="AD95" i="8"/>
  <c r="AD96" i="21" s="1"/>
  <c r="AE95" i="8"/>
  <c r="AE96" i="21" s="1"/>
  <c r="AF95" i="8"/>
  <c r="AF96" i="21" s="1"/>
  <c r="AG95" i="8"/>
  <c r="A96" i="8"/>
  <c r="B96" i="8"/>
  <c r="C96" i="8"/>
  <c r="D96" i="8"/>
  <c r="E96" i="8"/>
  <c r="F96" i="8"/>
  <c r="F97" i="21" s="1"/>
  <c r="G96" i="8"/>
  <c r="G97" i="21" s="1"/>
  <c r="H96" i="8"/>
  <c r="H97" i="21" s="1"/>
  <c r="I96" i="8"/>
  <c r="I97" i="21" s="1"/>
  <c r="J96" i="8"/>
  <c r="J97" i="21" s="1"/>
  <c r="K96" i="8"/>
  <c r="K97" i="21" s="1"/>
  <c r="L96" i="8"/>
  <c r="L97" i="21" s="1"/>
  <c r="M96" i="8"/>
  <c r="M97" i="21" s="1"/>
  <c r="N96" i="8"/>
  <c r="N97" i="21" s="1"/>
  <c r="O96" i="8"/>
  <c r="O97" i="21" s="1"/>
  <c r="P96" i="8"/>
  <c r="P97" i="21" s="1"/>
  <c r="Q96" i="8"/>
  <c r="Q97" i="21" s="1"/>
  <c r="R96" i="8"/>
  <c r="R97" i="21" s="1"/>
  <c r="S96" i="8"/>
  <c r="S97" i="21" s="1"/>
  <c r="T96" i="8"/>
  <c r="T97" i="21" s="1"/>
  <c r="U96" i="8"/>
  <c r="U97" i="21" s="1"/>
  <c r="V96" i="8"/>
  <c r="V97" i="21" s="1"/>
  <c r="W96" i="8"/>
  <c r="W97" i="21" s="1"/>
  <c r="X96" i="8"/>
  <c r="X97" i="21" s="1"/>
  <c r="Y96" i="8"/>
  <c r="Y97" i="21" s="1"/>
  <c r="Z96" i="8"/>
  <c r="Z97" i="21" s="1"/>
  <c r="AA96" i="8"/>
  <c r="AA97" i="21" s="1"/>
  <c r="AB96" i="8"/>
  <c r="AB97" i="21" s="1"/>
  <c r="AC96" i="8"/>
  <c r="AC97" i="21" s="1"/>
  <c r="AD96" i="8"/>
  <c r="AD97" i="21" s="1"/>
  <c r="AE96" i="8"/>
  <c r="AE97" i="21" s="1"/>
  <c r="AF96" i="8"/>
  <c r="AF97" i="21" s="1"/>
  <c r="AG96" i="8"/>
  <c r="A97" i="8"/>
  <c r="B97" i="8"/>
  <c r="C97" i="8"/>
  <c r="D97" i="8"/>
  <c r="E97" i="8"/>
  <c r="F97" i="8"/>
  <c r="F98" i="21" s="1"/>
  <c r="G97" i="8"/>
  <c r="G98" i="21" s="1"/>
  <c r="H97" i="8"/>
  <c r="H98" i="21" s="1"/>
  <c r="I97" i="8"/>
  <c r="I98" i="21" s="1"/>
  <c r="J97" i="8"/>
  <c r="J98" i="21" s="1"/>
  <c r="K97" i="8"/>
  <c r="K98" i="21" s="1"/>
  <c r="L97" i="8"/>
  <c r="L98" i="21" s="1"/>
  <c r="M97" i="8"/>
  <c r="M98" i="21" s="1"/>
  <c r="N97" i="8"/>
  <c r="N98" i="21" s="1"/>
  <c r="O97" i="8"/>
  <c r="O98" i="21" s="1"/>
  <c r="P97" i="8"/>
  <c r="P98" i="21" s="1"/>
  <c r="Q97" i="8"/>
  <c r="Q98" i="21" s="1"/>
  <c r="R97" i="8"/>
  <c r="R98" i="21" s="1"/>
  <c r="S97" i="8"/>
  <c r="S98" i="21" s="1"/>
  <c r="T97" i="8"/>
  <c r="T98" i="21" s="1"/>
  <c r="U97" i="8"/>
  <c r="U98" i="21" s="1"/>
  <c r="V97" i="8"/>
  <c r="V98" i="21" s="1"/>
  <c r="W97" i="8"/>
  <c r="W98" i="21" s="1"/>
  <c r="X97" i="8"/>
  <c r="X98" i="21" s="1"/>
  <c r="Y97" i="8"/>
  <c r="Y98" i="21" s="1"/>
  <c r="Z97" i="8"/>
  <c r="Z98" i="21" s="1"/>
  <c r="AA97" i="8"/>
  <c r="AA98" i="21" s="1"/>
  <c r="AB97" i="8"/>
  <c r="AB98" i="21" s="1"/>
  <c r="AC97" i="8"/>
  <c r="AC98" i="21" s="1"/>
  <c r="AD97" i="8"/>
  <c r="AD98" i="21" s="1"/>
  <c r="AE97" i="8"/>
  <c r="AE98" i="21" s="1"/>
  <c r="AF97" i="8"/>
  <c r="AG97" i="8"/>
  <c r="A98" i="8"/>
  <c r="B98" i="8"/>
  <c r="C98" i="8"/>
  <c r="D98" i="8"/>
  <c r="E98" i="8"/>
  <c r="F98" i="8"/>
  <c r="F99" i="21" s="1"/>
  <c r="G98" i="8"/>
  <c r="G99" i="21" s="1"/>
  <c r="H98" i="8"/>
  <c r="H99" i="21" s="1"/>
  <c r="I98" i="8"/>
  <c r="I99" i="21" s="1"/>
  <c r="J98" i="8"/>
  <c r="J99" i="21" s="1"/>
  <c r="K98" i="8"/>
  <c r="K99" i="21" s="1"/>
  <c r="L98" i="8"/>
  <c r="L99" i="21" s="1"/>
  <c r="M98" i="8"/>
  <c r="M99" i="21" s="1"/>
  <c r="N98" i="8"/>
  <c r="N99" i="21" s="1"/>
  <c r="O98" i="8"/>
  <c r="O99" i="21" s="1"/>
  <c r="P98" i="8"/>
  <c r="P99" i="21" s="1"/>
  <c r="Q98" i="8"/>
  <c r="Q99" i="21" s="1"/>
  <c r="R98" i="8"/>
  <c r="R99" i="21" s="1"/>
  <c r="S98" i="8"/>
  <c r="S99" i="21" s="1"/>
  <c r="T98" i="8"/>
  <c r="T99" i="21" s="1"/>
  <c r="U98" i="8"/>
  <c r="U99" i="21" s="1"/>
  <c r="V98" i="8"/>
  <c r="V99" i="21" s="1"/>
  <c r="W98" i="8"/>
  <c r="W99" i="21" s="1"/>
  <c r="X98" i="8"/>
  <c r="X99" i="21" s="1"/>
  <c r="Y98" i="8"/>
  <c r="Y99" i="21" s="1"/>
  <c r="Z98" i="8"/>
  <c r="Z99" i="21" s="1"/>
  <c r="AA98" i="8"/>
  <c r="AA99" i="21" s="1"/>
  <c r="AB98" i="8"/>
  <c r="AB99" i="21" s="1"/>
  <c r="AC98" i="8"/>
  <c r="AC99" i="21" s="1"/>
  <c r="AD98" i="8"/>
  <c r="AD99" i="21" s="1"/>
  <c r="AE98" i="8"/>
  <c r="AE99" i="21" s="1"/>
  <c r="AF98" i="8"/>
  <c r="AF99" i="21" s="1"/>
  <c r="AG98" i="8"/>
  <c r="A99" i="8"/>
  <c r="B99" i="8"/>
  <c r="C99" i="8"/>
  <c r="D99" i="8"/>
  <c r="E99" i="8"/>
  <c r="F99" i="8"/>
  <c r="F100" i="21" s="1"/>
  <c r="G99" i="8"/>
  <c r="G100" i="21" s="1"/>
  <c r="H99" i="8"/>
  <c r="H100" i="21" s="1"/>
  <c r="I99" i="8"/>
  <c r="I100" i="21" s="1"/>
  <c r="J99" i="8"/>
  <c r="J100" i="21" s="1"/>
  <c r="K99" i="8"/>
  <c r="K100" i="21" s="1"/>
  <c r="L99" i="8"/>
  <c r="L100" i="21" s="1"/>
  <c r="M99" i="8"/>
  <c r="M100" i="21" s="1"/>
  <c r="N99" i="8"/>
  <c r="N100" i="21" s="1"/>
  <c r="O99" i="8"/>
  <c r="O100" i="21" s="1"/>
  <c r="P99" i="8"/>
  <c r="P100" i="21" s="1"/>
  <c r="Q99" i="8"/>
  <c r="Q100" i="21" s="1"/>
  <c r="R99" i="8"/>
  <c r="R100" i="21" s="1"/>
  <c r="S99" i="8"/>
  <c r="S100" i="21" s="1"/>
  <c r="T99" i="8"/>
  <c r="T100" i="21" s="1"/>
  <c r="U99" i="8"/>
  <c r="U100" i="21" s="1"/>
  <c r="V99" i="8"/>
  <c r="V100" i="21" s="1"/>
  <c r="W99" i="8"/>
  <c r="W100" i="21" s="1"/>
  <c r="X99" i="8"/>
  <c r="X100" i="21" s="1"/>
  <c r="Y99" i="8"/>
  <c r="Y100" i="21" s="1"/>
  <c r="Z99" i="8"/>
  <c r="Z100" i="21" s="1"/>
  <c r="AA99" i="8"/>
  <c r="AA100" i="21" s="1"/>
  <c r="AB99" i="8"/>
  <c r="AB100" i="21" s="1"/>
  <c r="AC99" i="8"/>
  <c r="AC100" i="21" s="1"/>
  <c r="AD99" i="8"/>
  <c r="AD100" i="21" s="1"/>
  <c r="AE99" i="8"/>
  <c r="AE100" i="21" s="1"/>
  <c r="AF99" i="8"/>
  <c r="AF100" i="21" s="1"/>
  <c r="AG99" i="8"/>
  <c r="A100" i="8"/>
  <c r="B100" i="8"/>
  <c r="C100" i="8"/>
  <c r="D100" i="8"/>
  <c r="E100" i="8"/>
  <c r="F100" i="8"/>
  <c r="F101" i="21" s="1"/>
  <c r="G100" i="8"/>
  <c r="G101" i="21" s="1"/>
  <c r="H100" i="8"/>
  <c r="H101" i="21" s="1"/>
  <c r="I100" i="8"/>
  <c r="I101" i="21" s="1"/>
  <c r="J100" i="8"/>
  <c r="J101" i="21" s="1"/>
  <c r="K100" i="8"/>
  <c r="K101" i="21" s="1"/>
  <c r="L100" i="8"/>
  <c r="L101" i="21" s="1"/>
  <c r="M100" i="8"/>
  <c r="M101" i="21" s="1"/>
  <c r="N100" i="8"/>
  <c r="N101" i="21" s="1"/>
  <c r="O100" i="8"/>
  <c r="O101" i="21" s="1"/>
  <c r="P100" i="8"/>
  <c r="P101" i="21" s="1"/>
  <c r="Q100" i="8"/>
  <c r="Q101" i="21" s="1"/>
  <c r="R100" i="8"/>
  <c r="R101" i="21" s="1"/>
  <c r="S100" i="8"/>
  <c r="S101" i="21" s="1"/>
  <c r="T100" i="8"/>
  <c r="T101" i="21" s="1"/>
  <c r="U100" i="8"/>
  <c r="U101" i="21" s="1"/>
  <c r="V100" i="8"/>
  <c r="V101" i="21" s="1"/>
  <c r="W100" i="8"/>
  <c r="W101" i="21" s="1"/>
  <c r="X100" i="8"/>
  <c r="X101" i="21" s="1"/>
  <c r="Y100" i="8"/>
  <c r="Y101" i="21" s="1"/>
  <c r="Z100" i="8"/>
  <c r="Z101" i="21" s="1"/>
  <c r="AA100" i="8"/>
  <c r="AA101" i="21" s="1"/>
  <c r="AB100" i="8"/>
  <c r="AB101" i="21" s="1"/>
  <c r="AC100" i="8"/>
  <c r="AC101" i="21" s="1"/>
  <c r="AD100" i="8"/>
  <c r="AD101" i="21" s="1"/>
  <c r="AE100" i="8"/>
  <c r="AE101" i="21" s="1"/>
  <c r="AF100" i="8"/>
  <c r="AF101" i="21" s="1"/>
  <c r="AG100" i="8"/>
  <c r="A101" i="8"/>
  <c r="B101" i="8"/>
  <c r="C101" i="8"/>
  <c r="D101" i="8"/>
  <c r="E101" i="8"/>
  <c r="F101" i="8"/>
  <c r="F102" i="21" s="1"/>
  <c r="G101" i="8"/>
  <c r="G102" i="21" s="1"/>
  <c r="H101" i="8"/>
  <c r="H102" i="21" s="1"/>
  <c r="I101" i="8"/>
  <c r="I102" i="21" s="1"/>
  <c r="J101" i="8"/>
  <c r="J102" i="21" s="1"/>
  <c r="K101" i="8"/>
  <c r="K102" i="21" s="1"/>
  <c r="L101" i="8"/>
  <c r="L102" i="21" s="1"/>
  <c r="M101" i="8"/>
  <c r="M102" i="21" s="1"/>
  <c r="N101" i="8"/>
  <c r="N102" i="21" s="1"/>
  <c r="O101" i="8"/>
  <c r="O102" i="21" s="1"/>
  <c r="P101" i="8"/>
  <c r="P102" i="21" s="1"/>
  <c r="Q101" i="8"/>
  <c r="Q102" i="21" s="1"/>
  <c r="R101" i="8"/>
  <c r="R102" i="21" s="1"/>
  <c r="S101" i="8"/>
  <c r="S102" i="21" s="1"/>
  <c r="T101" i="8"/>
  <c r="T102" i="21" s="1"/>
  <c r="U101" i="8"/>
  <c r="U102" i="21" s="1"/>
  <c r="V101" i="8"/>
  <c r="V102" i="21" s="1"/>
  <c r="W101" i="8"/>
  <c r="W102" i="21" s="1"/>
  <c r="X101" i="8"/>
  <c r="X102" i="21" s="1"/>
  <c r="Y101" i="8"/>
  <c r="Y102" i="21" s="1"/>
  <c r="Z101" i="8"/>
  <c r="Z102" i="21" s="1"/>
  <c r="AA101" i="8"/>
  <c r="AA102" i="21" s="1"/>
  <c r="AB101" i="8"/>
  <c r="AB102" i="21" s="1"/>
  <c r="AC101" i="8"/>
  <c r="AC102" i="21" s="1"/>
  <c r="AD101" i="8"/>
  <c r="AD102" i="21" s="1"/>
  <c r="AE101" i="8"/>
  <c r="AE102" i="21" s="1"/>
  <c r="AF101" i="8"/>
  <c r="AG101" i="8"/>
  <c r="AG102" i="9" s="1"/>
  <c r="A102" i="8"/>
  <c r="B102" i="8"/>
  <c r="C102" i="8"/>
  <c r="D102" i="8"/>
  <c r="E102" i="8"/>
  <c r="F102" i="8"/>
  <c r="F103" i="21" s="1"/>
  <c r="G102" i="8"/>
  <c r="G103" i="21" s="1"/>
  <c r="H102" i="8"/>
  <c r="H103" i="21" s="1"/>
  <c r="I102" i="8"/>
  <c r="I103" i="21" s="1"/>
  <c r="J102" i="8"/>
  <c r="J103" i="21" s="1"/>
  <c r="K102" i="8"/>
  <c r="K103" i="21" s="1"/>
  <c r="L102" i="8"/>
  <c r="L103" i="21" s="1"/>
  <c r="M102" i="8"/>
  <c r="M103" i="21" s="1"/>
  <c r="N102" i="8"/>
  <c r="N103" i="21" s="1"/>
  <c r="O102" i="8"/>
  <c r="O103" i="21" s="1"/>
  <c r="P102" i="8"/>
  <c r="P103" i="21" s="1"/>
  <c r="Q102" i="8"/>
  <c r="Q103" i="21" s="1"/>
  <c r="R102" i="8"/>
  <c r="R103" i="21" s="1"/>
  <c r="S102" i="8"/>
  <c r="S103" i="21" s="1"/>
  <c r="T102" i="8"/>
  <c r="T103" i="21" s="1"/>
  <c r="U102" i="8"/>
  <c r="U103" i="21" s="1"/>
  <c r="V102" i="8"/>
  <c r="V103" i="21" s="1"/>
  <c r="W102" i="8"/>
  <c r="W103" i="21" s="1"/>
  <c r="X102" i="8"/>
  <c r="X103" i="21" s="1"/>
  <c r="Y102" i="8"/>
  <c r="Y103" i="21" s="1"/>
  <c r="Z102" i="8"/>
  <c r="Z103" i="21" s="1"/>
  <c r="AA102" i="8"/>
  <c r="AA103" i="21" s="1"/>
  <c r="AB102" i="8"/>
  <c r="AB103" i="21" s="1"/>
  <c r="AC102" i="8"/>
  <c r="AC103" i="21" s="1"/>
  <c r="AD102" i="8"/>
  <c r="AD103" i="21" s="1"/>
  <c r="AE102" i="8"/>
  <c r="AE103" i="21" s="1"/>
  <c r="AF102" i="8"/>
  <c r="AG102" i="8"/>
  <c r="AG103" i="10" s="1"/>
  <c r="A103" i="8"/>
  <c r="B103" i="8"/>
  <c r="C103" i="8"/>
  <c r="D103" i="8"/>
  <c r="E103" i="8"/>
  <c r="F103" i="8"/>
  <c r="F104" i="21" s="1"/>
  <c r="G103" i="8"/>
  <c r="G104" i="21" s="1"/>
  <c r="H103" i="8"/>
  <c r="H104" i="21" s="1"/>
  <c r="I103" i="8"/>
  <c r="I104" i="21" s="1"/>
  <c r="J103" i="8"/>
  <c r="J104" i="21" s="1"/>
  <c r="K103" i="8"/>
  <c r="K104" i="21" s="1"/>
  <c r="L103" i="8"/>
  <c r="L104" i="21" s="1"/>
  <c r="M103" i="8"/>
  <c r="M104" i="21" s="1"/>
  <c r="N103" i="8"/>
  <c r="N104" i="21" s="1"/>
  <c r="O103" i="8"/>
  <c r="O104" i="21" s="1"/>
  <c r="P103" i="8"/>
  <c r="P104" i="21" s="1"/>
  <c r="Q103" i="8"/>
  <c r="Q104" i="21" s="1"/>
  <c r="R103" i="8"/>
  <c r="R104" i="21" s="1"/>
  <c r="S103" i="8"/>
  <c r="S104" i="21" s="1"/>
  <c r="T103" i="8"/>
  <c r="T104" i="21" s="1"/>
  <c r="U103" i="8"/>
  <c r="U104" i="21" s="1"/>
  <c r="V103" i="8"/>
  <c r="V104" i="21" s="1"/>
  <c r="W103" i="8"/>
  <c r="W104" i="21" s="1"/>
  <c r="X103" i="8"/>
  <c r="X104" i="21" s="1"/>
  <c r="Y103" i="8"/>
  <c r="Y104" i="21" s="1"/>
  <c r="Z103" i="8"/>
  <c r="Z104" i="21" s="1"/>
  <c r="AA103" i="8"/>
  <c r="AA104" i="21" s="1"/>
  <c r="AB103" i="8"/>
  <c r="AB104" i="21" s="1"/>
  <c r="AC103" i="8"/>
  <c r="AC104" i="21" s="1"/>
  <c r="AD103" i="8"/>
  <c r="AD104" i="21" s="1"/>
  <c r="AE103" i="8"/>
  <c r="AE104" i="21" s="1"/>
  <c r="AF103" i="8"/>
  <c r="AF104" i="21" s="1"/>
  <c r="AG103" i="8"/>
  <c r="A104" i="8"/>
  <c r="B104" i="8"/>
  <c r="C104" i="8"/>
  <c r="D104" i="8"/>
  <c r="E104" i="8"/>
  <c r="F104" i="8"/>
  <c r="F105" i="21" s="1"/>
  <c r="G104" i="8"/>
  <c r="G105" i="21" s="1"/>
  <c r="H104" i="8"/>
  <c r="H105" i="21" s="1"/>
  <c r="I104" i="8"/>
  <c r="I105" i="21" s="1"/>
  <c r="J104" i="8"/>
  <c r="J105" i="21" s="1"/>
  <c r="K104" i="8"/>
  <c r="K105" i="21" s="1"/>
  <c r="L104" i="8"/>
  <c r="L105" i="21" s="1"/>
  <c r="M104" i="8"/>
  <c r="M105" i="21" s="1"/>
  <c r="N104" i="8"/>
  <c r="N105" i="21" s="1"/>
  <c r="O104" i="8"/>
  <c r="O105" i="21" s="1"/>
  <c r="P104" i="8"/>
  <c r="P105" i="21" s="1"/>
  <c r="Q104" i="8"/>
  <c r="Q105" i="21" s="1"/>
  <c r="R104" i="8"/>
  <c r="R105" i="21" s="1"/>
  <c r="S104" i="8"/>
  <c r="S105" i="21" s="1"/>
  <c r="T104" i="8"/>
  <c r="T105" i="21" s="1"/>
  <c r="U104" i="8"/>
  <c r="U105" i="21" s="1"/>
  <c r="V104" i="8"/>
  <c r="V105" i="21" s="1"/>
  <c r="W104" i="8"/>
  <c r="W105" i="21" s="1"/>
  <c r="X104" i="8"/>
  <c r="X105" i="21" s="1"/>
  <c r="Y104" i="8"/>
  <c r="Y105" i="21" s="1"/>
  <c r="Z104" i="8"/>
  <c r="Z105" i="21" s="1"/>
  <c r="AA104" i="8"/>
  <c r="AA105" i="21" s="1"/>
  <c r="AB104" i="8"/>
  <c r="AB105" i="21" s="1"/>
  <c r="AC104" i="8"/>
  <c r="AC105" i="21" s="1"/>
  <c r="AD104" i="8"/>
  <c r="AD105" i="21" s="1"/>
  <c r="AE104" i="8"/>
  <c r="AE105" i="21" s="1"/>
  <c r="AF104" i="8"/>
  <c r="AG104" i="8"/>
  <c r="A105" i="8"/>
  <c r="B105" i="8"/>
  <c r="C105" i="8"/>
  <c r="D105" i="8"/>
  <c r="E105" i="8"/>
  <c r="F105" i="8"/>
  <c r="F106" i="21" s="1"/>
  <c r="G105" i="8"/>
  <c r="G106" i="21" s="1"/>
  <c r="H105" i="8"/>
  <c r="H106" i="21" s="1"/>
  <c r="I105" i="8"/>
  <c r="I106" i="21" s="1"/>
  <c r="J105" i="8"/>
  <c r="J106" i="21" s="1"/>
  <c r="K105" i="8"/>
  <c r="K106" i="21" s="1"/>
  <c r="L105" i="8"/>
  <c r="L106" i="21" s="1"/>
  <c r="M105" i="8"/>
  <c r="M106" i="21" s="1"/>
  <c r="N105" i="8"/>
  <c r="N106" i="21" s="1"/>
  <c r="O105" i="8"/>
  <c r="O106" i="21" s="1"/>
  <c r="P105" i="8"/>
  <c r="P106" i="21" s="1"/>
  <c r="Q105" i="8"/>
  <c r="Q106" i="21" s="1"/>
  <c r="R105" i="8"/>
  <c r="R106" i="21" s="1"/>
  <c r="S105" i="8"/>
  <c r="S106" i="21" s="1"/>
  <c r="T105" i="8"/>
  <c r="T106" i="21" s="1"/>
  <c r="U105" i="8"/>
  <c r="U106" i="21" s="1"/>
  <c r="V105" i="8"/>
  <c r="V106" i="21" s="1"/>
  <c r="W105" i="8"/>
  <c r="W106" i="21" s="1"/>
  <c r="X105" i="8"/>
  <c r="X106" i="21" s="1"/>
  <c r="Y105" i="8"/>
  <c r="Y106" i="21" s="1"/>
  <c r="Z105" i="8"/>
  <c r="Z106" i="21" s="1"/>
  <c r="AA105" i="8"/>
  <c r="AA106" i="21" s="1"/>
  <c r="AB105" i="8"/>
  <c r="AB106" i="21" s="1"/>
  <c r="AC105" i="8"/>
  <c r="AC106" i="21" s="1"/>
  <c r="AD105" i="8"/>
  <c r="AD106" i="21" s="1"/>
  <c r="AE105" i="8"/>
  <c r="AE106" i="21" s="1"/>
  <c r="AF105" i="8"/>
  <c r="AG105" i="8"/>
  <c r="A106" i="8"/>
  <c r="B106" i="8"/>
  <c r="C106" i="8"/>
  <c r="D106" i="8"/>
  <c r="E106" i="8"/>
  <c r="F106" i="8"/>
  <c r="F107" i="21" s="1"/>
  <c r="G106" i="8"/>
  <c r="G107" i="21" s="1"/>
  <c r="H106" i="8"/>
  <c r="H107" i="21" s="1"/>
  <c r="I106" i="8"/>
  <c r="I107" i="21" s="1"/>
  <c r="J106" i="8"/>
  <c r="J107" i="21" s="1"/>
  <c r="K106" i="8"/>
  <c r="K107" i="21" s="1"/>
  <c r="L106" i="8"/>
  <c r="L107" i="21" s="1"/>
  <c r="M106" i="8"/>
  <c r="M107" i="21" s="1"/>
  <c r="N106" i="8"/>
  <c r="N107" i="21" s="1"/>
  <c r="O106" i="8"/>
  <c r="O107" i="21" s="1"/>
  <c r="P106" i="8"/>
  <c r="P107" i="21" s="1"/>
  <c r="Q106" i="8"/>
  <c r="Q107" i="21" s="1"/>
  <c r="R106" i="8"/>
  <c r="R107" i="21" s="1"/>
  <c r="S106" i="8"/>
  <c r="S107" i="21" s="1"/>
  <c r="T106" i="8"/>
  <c r="T107" i="21" s="1"/>
  <c r="U106" i="8"/>
  <c r="U107" i="21" s="1"/>
  <c r="V106" i="8"/>
  <c r="V107" i="21" s="1"/>
  <c r="W106" i="8"/>
  <c r="W107" i="21" s="1"/>
  <c r="X106" i="8"/>
  <c r="X107" i="21" s="1"/>
  <c r="Y106" i="8"/>
  <c r="Y107" i="21" s="1"/>
  <c r="Z106" i="8"/>
  <c r="Z107" i="21" s="1"/>
  <c r="AA106" i="8"/>
  <c r="AA107" i="21" s="1"/>
  <c r="AB106" i="8"/>
  <c r="AB107" i="21" s="1"/>
  <c r="AC106" i="8"/>
  <c r="AC107" i="21" s="1"/>
  <c r="AD106" i="8"/>
  <c r="AD107" i="21" s="1"/>
  <c r="AE106" i="8"/>
  <c r="AE107" i="21" s="1"/>
  <c r="AF106" i="8"/>
  <c r="AG106" i="8"/>
  <c r="A107" i="8"/>
  <c r="B107" i="8"/>
  <c r="C107" i="8"/>
  <c r="D107" i="8"/>
  <c r="E107" i="8"/>
  <c r="F107" i="8"/>
  <c r="F108" i="21" s="1"/>
  <c r="G107" i="8"/>
  <c r="G108" i="21" s="1"/>
  <c r="H107" i="8"/>
  <c r="H108" i="21" s="1"/>
  <c r="I107" i="8"/>
  <c r="I108" i="21" s="1"/>
  <c r="J107" i="8"/>
  <c r="J108" i="21" s="1"/>
  <c r="K107" i="8"/>
  <c r="K108" i="21" s="1"/>
  <c r="L107" i="8"/>
  <c r="L108" i="21" s="1"/>
  <c r="M107" i="8"/>
  <c r="M108" i="21" s="1"/>
  <c r="N107" i="8"/>
  <c r="N108" i="21" s="1"/>
  <c r="O107" i="8"/>
  <c r="O108" i="21" s="1"/>
  <c r="P107" i="8"/>
  <c r="P108" i="21" s="1"/>
  <c r="Q107" i="8"/>
  <c r="Q108" i="21" s="1"/>
  <c r="R107" i="8"/>
  <c r="R108" i="21" s="1"/>
  <c r="S107" i="8"/>
  <c r="S108" i="21" s="1"/>
  <c r="T107" i="8"/>
  <c r="T108" i="21" s="1"/>
  <c r="U107" i="8"/>
  <c r="U108" i="21" s="1"/>
  <c r="V107" i="8"/>
  <c r="V108" i="21" s="1"/>
  <c r="W107" i="8"/>
  <c r="W108" i="21" s="1"/>
  <c r="X107" i="8"/>
  <c r="X108" i="21" s="1"/>
  <c r="Y107" i="8"/>
  <c r="Y108" i="21" s="1"/>
  <c r="Z107" i="8"/>
  <c r="Z108" i="21" s="1"/>
  <c r="AA107" i="8"/>
  <c r="AA108" i="21" s="1"/>
  <c r="AB107" i="8"/>
  <c r="AB108" i="21" s="1"/>
  <c r="AC107" i="8"/>
  <c r="AC108" i="21" s="1"/>
  <c r="AD107" i="8"/>
  <c r="AD108" i="21" s="1"/>
  <c r="AE107" i="8"/>
  <c r="AE108" i="21" s="1"/>
  <c r="AF107" i="8"/>
  <c r="AF108" i="21" s="1"/>
  <c r="AG107" i="8"/>
  <c r="A108" i="8"/>
  <c r="B108" i="8"/>
  <c r="C108" i="8"/>
  <c r="D108" i="8"/>
  <c r="E108" i="8"/>
  <c r="F108" i="8"/>
  <c r="F109" i="21" s="1"/>
  <c r="G108" i="8"/>
  <c r="G109" i="21" s="1"/>
  <c r="H108" i="8"/>
  <c r="H109" i="21" s="1"/>
  <c r="I108" i="8"/>
  <c r="I109" i="21" s="1"/>
  <c r="J108" i="8"/>
  <c r="J109" i="21" s="1"/>
  <c r="K108" i="8"/>
  <c r="K109" i="21" s="1"/>
  <c r="L108" i="8"/>
  <c r="L109" i="21" s="1"/>
  <c r="M108" i="8"/>
  <c r="M109" i="21" s="1"/>
  <c r="N108" i="8"/>
  <c r="N109" i="21" s="1"/>
  <c r="O108" i="8"/>
  <c r="O109" i="21" s="1"/>
  <c r="P108" i="8"/>
  <c r="P109" i="21" s="1"/>
  <c r="Q108" i="8"/>
  <c r="Q109" i="21" s="1"/>
  <c r="R108" i="8"/>
  <c r="R109" i="21" s="1"/>
  <c r="S108" i="8"/>
  <c r="S109" i="21" s="1"/>
  <c r="T108" i="8"/>
  <c r="T109" i="21" s="1"/>
  <c r="U108" i="8"/>
  <c r="U109" i="21" s="1"/>
  <c r="V108" i="8"/>
  <c r="V109" i="21" s="1"/>
  <c r="W108" i="8"/>
  <c r="W109" i="21" s="1"/>
  <c r="X108" i="8"/>
  <c r="X109" i="21" s="1"/>
  <c r="Y108" i="8"/>
  <c r="Y109" i="21" s="1"/>
  <c r="Z108" i="8"/>
  <c r="Z109" i="21" s="1"/>
  <c r="AA108" i="8"/>
  <c r="AA109" i="21" s="1"/>
  <c r="AB108" i="8"/>
  <c r="AB109" i="21" s="1"/>
  <c r="AC108" i="8"/>
  <c r="AC109" i="21" s="1"/>
  <c r="AD108" i="8"/>
  <c r="AD109" i="21" s="1"/>
  <c r="AE108" i="8"/>
  <c r="AE109" i="21" s="1"/>
  <c r="AF108" i="8"/>
  <c r="AF109" i="21" s="1"/>
  <c r="AG108" i="8"/>
  <c r="A109" i="8"/>
  <c r="B109" i="8"/>
  <c r="C109" i="8"/>
  <c r="D109" i="8"/>
  <c r="E109" i="8"/>
  <c r="F109" i="8"/>
  <c r="F110" i="21" s="1"/>
  <c r="G109" i="8"/>
  <c r="G110" i="21" s="1"/>
  <c r="H109" i="8"/>
  <c r="H110" i="21" s="1"/>
  <c r="I109" i="8"/>
  <c r="I110" i="21" s="1"/>
  <c r="J109" i="8"/>
  <c r="J110" i="21" s="1"/>
  <c r="K109" i="8"/>
  <c r="K110" i="21" s="1"/>
  <c r="L109" i="8"/>
  <c r="L110" i="21" s="1"/>
  <c r="M109" i="8"/>
  <c r="M110" i="21" s="1"/>
  <c r="N109" i="8"/>
  <c r="N110" i="21" s="1"/>
  <c r="O109" i="8"/>
  <c r="O110" i="21" s="1"/>
  <c r="P109" i="8"/>
  <c r="P110" i="21" s="1"/>
  <c r="Q109" i="8"/>
  <c r="Q110" i="21" s="1"/>
  <c r="R109" i="8"/>
  <c r="R110" i="21" s="1"/>
  <c r="S109" i="8"/>
  <c r="S110" i="21" s="1"/>
  <c r="T109" i="8"/>
  <c r="T110" i="21" s="1"/>
  <c r="U109" i="8"/>
  <c r="U110" i="21" s="1"/>
  <c r="V109" i="8"/>
  <c r="V110" i="21" s="1"/>
  <c r="W109" i="8"/>
  <c r="W110" i="21" s="1"/>
  <c r="X109" i="8"/>
  <c r="X110" i="21" s="1"/>
  <c r="Y109" i="8"/>
  <c r="Y110" i="21" s="1"/>
  <c r="Z109" i="8"/>
  <c r="Z110" i="21" s="1"/>
  <c r="AA109" i="8"/>
  <c r="AA110" i="21" s="1"/>
  <c r="AB109" i="8"/>
  <c r="AB110" i="21" s="1"/>
  <c r="AC109" i="8"/>
  <c r="AC110" i="21" s="1"/>
  <c r="AD109" i="8"/>
  <c r="AD110" i="21" s="1"/>
  <c r="AE109" i="8"/>
  <c r="AE110" i="21" s="1"/>
  <c r="AF109" i="8"/>
  <c r="AF110" i="21" s="1"/>
  <c r="AG109" i="8"/>
  <c r="A110" i="8"/>
  <c r="B110" i="8"/>
  <c r="C110" i="8"/>
  <c r="D110" i="8"/>
  <c r="E110" i="8"/>
  <c r="F110" i="8"/>
  <c r="F111" i="21" s="1"/>
  <c r="G110" i="8"/>
  <c r="G111" i="21" s="1"/>
  <c r="H110" i="8"/>
  <c r="H111" i="21" s="1"/>
  <c r="I110" i="8"/>
  <c r="I111" i="21" s="1"/>
  <c r="J110" i="8"/>
  <c r="J111" i="21" s="1"/>
  <c r="K110" i="8"/>
  <c r="K111" i="21" s="1"/>
  <c r="L110" i="8"/>
  <c r="L111" i="21" s="1"/>
  <c r="M110" i="8"/>
  <c r="M111" i="21" s="1"/>
  <c r="N110" i="8"/>
  <c r="N111" i="21" s="1"/>
  <c r="O110" i="8"/>
  <c r="O111" i="21" s="1"/>
  <c r="P110" i="8"/>
  <c r="P111" i="21" s="1"/>
  <c r="Q110" i="8"/>
  <c r="Q111" i="21" s="1"/>
  <c r="R110" i="8"/>
  <c r="R111" i="21" s="1"/>
  <c r="S110" i="8"/>
  <c r="S111" i="21" s="1"/>
  <c r="T110" i="8"/>
  <c r="T111" i="21" s="1"/>
  <c r="U110" i="8"/>
  <c r="U111" i="21" s="1"/>
  <c r="V110" i="8"/>
  <c r="V111" i="21" s="1"/>
  <c r="W110" i="8"/>
  <c r="W111" i="21" s="1"/>
  <c r="X110" i="8"/>
  <c r="X111" i="21" s="1"/>
  <c r="Y110" i="8"/>
  <c r="Y111" i="21" s="1"/>
  <c r="Z110" i="8"/>
  <c r="Z111" i="21" s="1"/>
  <c r="AA110" i="8"/>
  <c r="AA111" i="21" s="1"/>
  <c r="AB110" i="8"/>
  <c r="AB111" i="21" s="1"/>
  <c r="AC110" i="8"/>
  <c r="AC111" i="21" s="1"/>
  <c r="AD110" i="8"/>
  <c r="AD111" i="21" s="1"/>
  <c r="AE110" i="8"/>
  <c r="AE111" i="21" s="1"/>
  <c r="AF110" i="8"/>
  <c r="AF111" i="21" s="1"/>
  <c r="AG110" i="8"/>
  <c r="A111" i="8"/>
  <c r="B111" i="8"/>
  <c r="C111" i="8"/>
  <c r="D111" i="8"/>
  <c r="E111" i="8"/>
  <c r="F111" i="8"/>
  <c r="F112" i="21" s="1"/>
  <c r="G111" i="8"/>
  <c r="G112" i="21" s="1"/>
  <c r="H111" i="8"/>
  <c r="H112" i="21" s="1"/>
  <c r="I111" i="8"/>
  <c r="I112" i="21" s="1"/>
  <c r="J111" i="8"/>
  <c r="J112" i="21" s="1"/>
  <c r="K111" i="8"/>
  <c r="K112" i="21" s="1"/>
  <c r="L111" i="8"/>
  <c r="L112" i="21" s="1"/>
  <c r="M111" i="8"/>
  <c r="M112" i="21" s="1"/>
  <c r="N111" i="8"/>
  <c r="N112" i="21" s="1"/>
  <c r="O111" i="8"/>
  <c r="O112" i="21" s="1"/>
  <c r="P111" i="8"/>
  <c r="P112" i="21" s="1"/>
  <c r="Q111" i="8"/>
  <c r="Q112" i="21" s="1"/>
  <c r="R111" i="8"/>
  <c r="R112" i="21" s="1"/>
  <c r="S111" i="8"/>
  <c r="S112" i="21" s="1"/>
  <c r="T111" i="8"/>
  <c r="T112" i="21" s="1"/>
  <c r="U111" i="8"/>
  <c r="U112" i="21" s="1"/>
  <c r="V111" i="8"/>
  <c r="V112" i="21" s="1"/>
  <c r="W111" i="8"/>
  <c r="W112" i="21" s="1"/>
  <c r="X111" i="8"/>
  <c r="X112" i="21" s="1"/>
  <c r="Y111" i="8"/>
  <c r="Y112" i="21" s="1"/>
  <c r="Z111" i="8"/>
  <c r="Z112" i="21" s="1"/>
  <c r="AA111" i="8"/>
  <c r="AA112" i="21" s="1"/>
  <c r="AB111" i="8"/>
  <c r="AB112" i="21" s="1"/>
  <c r="AC111" i="8"/>
  <c r="AC112" i="21" s="1"/>
  <c r="AD111" i="8"/>
  <c r="AD112" i="21" s="1"/>
  <c r="AE111" i="8"/>
  <c r="AE112" i="21" s="1"/>
  <c r="AF111" i="8"/>
  <c r="AF112" i="21" s="1"/>
  <c r="AG111" i="8"/>
  <c r="A112" i="8"/>
  <c r="B112" i="8"/>
  <c r="C112" i="8"/>
  <c r="D112" i="8"/>
  <c r="E112" i="8"/>
  <c r="F112" i="8"/>
  <c r="F113" i="21" s="1"/>
  <c r="G112" i="8"/>
  <c r="G113" i="21" s="1"/>
  <c r="H112" i="8"/>
  <c r="H113" i="21" s="1"/>
  <c r="I112" i="8"/>
  <c r="I113" i="21" s="1"/>
  <c r="J112" i="8"/>
  <c r="J113" i="21" s="1"/>
  <c r="K112" i="8"/>
  <c r="K113" i="21" s="1"/>
  <c r="L112" i="8"/>
  <c r="L113" i="21" s="1"/>
  <c r="M112" i="8"/>
  <c r="M113" i="21" s="1"/>
  <c r="N112" i="8"/>
  <c r="N113" i="21" s="1"/>
  <c r="O112" i="8"/>
  <c r="O113" i="21" s="1"/>
  <c r="P112" i="8"/>
  <c r="P113" i="21" s="1"/>
  <c r="Q112" i="8"/>
  <c r="Q113" i="21" s="1"/>
  <c r="R112" i="8"/>
  <c r="R113" i="21" s="1"/>
  <c r="S112" i="8"/>
  <c r="S113" i="21" s="1"/>
  <c r="T112" i="8"/>
  <c r="T113" i="21" s="1"/>
  <c r="U112" i="8"/>
  <c r="U113" i="21" s="1"/>
  <c r="V112" i="8"/>
  <c r="V113" i="21" s="1"/>
  <c r="W112" i="8"/>
  <c r="W113" i="21" s="1"/>
  <c r="X112" i="8"/>
  <c r="X113" i="21" s="1"/>
  <c r="Y112" i="8"/>
  <c r="Y113" i="21" s="1"/>
  <c r="Z112" i="8"/>
  <c r="Z113" i="21" s="1"/>
  <c r="AA112" i="8"/>
  <c r="AA113" i="21" s="1"/>
  <c r="AB112" i="8"/>
  <c r="AB113" i="21" s="1"/>
  <c r="AC112" i="8"/>
  <c r="AC113" i="21" s="1"/>
  <c r="AD112" i="8"/>
  <c r="AD113" i="21" s="1"/>
  <c r="AE112" i="8"/>
  <c r="AE113" i="21" s="1"/>
  <c r="AF112" i="8"/>
  <c r="AG112" i="8"/>
  <c r="AG113" i="9" s="1"/>
  <c r="A113" i="8"/>
  <c r="B113" i="8"/>
  <c r="C113" i="8"/>
  <c r="D113" i="8"/>
  <c r="E113" i="8"/>
  <c r="F113" i="8"/>
  <c r="F114" i="21" s="1"/>
  <c r="G113" i="8"/>
  <c r="G114" i="21" s="1"/>
  <c r="H113" i="8"/>
  <c r="H114" i="21" s="1"/>
  <c r="I113" i="8"/>
  <c r="I114" i="21" s="1"/>
  <c r="J113" i="8"/>
  <c r="J114" i="21" s="1"/>
  <c r="K113" i="8"/>
  <c r="K114" i="21" s="1"/>
  <c r="L113" i="8"/>
  <c r="L114" i="21" s="1"/>
  <c r="M113" i="8"/>
  <c r="M114" i="21" s="1"/>
  <c r="N113" i="8"/>
  <c r="N114" i="21" s="1"/>
  <c r="O113" i="8"/>
  <c r="O114" i="21" s="1"/>
  <c r="P113" i="8"/>
  <c r="P114" i="21" s="1"/>
  <c r="Q113" i="8"/>
  <c r="Q114" i="21" s="1"/>
  <c r="R113" i="8"/>
  <c r="R114" i="21" s="1"/>
  <c r="S113" i="8"/>
  <c r="S114" i="21" s="1"/>
  <c r="T113" i="8"/>
  <c r="T114" i="21" s="1"/>
  <c r="U113" i="8"/>
  <c r="U114" i="21" s="1"/>
  <c r="V113" i="8"/>
  <c r="V114" i="21" s="1"/>
  <c r="W113" i="8"/>
  <c r="W114" i="21" s="1"/>
  <c r="X113" i="8"/>
  <c r="X114" i="21" s="1"/>
  <c r="Y113" i="8"/>
  <c r="Y114" i="21" s="1"/>
  <c r="Z113" i="8"/>
  <c r="Z114" i="21" s="1"/>
  <c r="AA113" i="8"/>
  <c r="AA114" i="21" s="1"/>
  <c r="AB113" i="8"/>
  <c r="AB114" i="21" s="1"/>
  <c r="AC113" i="8"/>
  <c r="AC114" i="21" s="1"/>
  <c r="AD113" i="8"/>
  <c r="AD114" i="21" s="1"/>
  <c r="AE113" i="8"/>
  <c r="AE114" i="21" s="1"/>
  <c r="AF113" i="8"/>
  <c r="AG113" i="8"/>
  <c r="AG114" i="11" s="1"/>
  <c r="A114" i="8"/>
  <c r="B114" i="8"/>
  <c r="C114" i="8"/>
  <c r="D114" i="8"/>
  <c r="E114" i="8"/>
  <c r="F114" i="8"/>
  <c r="F115" i="21" s="1"/>
  <c r="G114" i="8"/>
  <c r="G115" i="21" s="1"/>
  <c r="H114" i="8"/>
  <c r="H115" i="21" s="1"/>
  <c r="I114" i="8"/>
  <c r="I115" i="21" s="1"/>
  <c r="J114" i="8"/>
  <c r="J115" i="21" s="1"/>
  <c r="K114" i="8"/>
  <c r="K115" i="21" s="1"/>
  <c r="L114" i="8"/>
  <c r="L115" i="21" s="1"/>
  <c r="M114" i="8"/>
  <c r="M115" i="21" s="1"/>
  <c r="N114" i="8"/>
  <c r="N115" i="21" s="1"/>
  <c r="O114" i="8"/>
  <c r="O115" i="21" s="1"/>
  <c r="P114" i="8"/>
  <c r="P115" i="21" s="1"/>
  <c r="Q114" i="8"/>
  <c r="Q115" i="21" s="1"/>
  <c r="R114" i="8"/>
  <c r="R115" i="21" s="1"/>
  <c r="S114" i="8"/>
  <c r="S115" i="21" s="1"/>
  <c r="T114" i="8"/>
  <c r="T115" i="21" s="1"/>
  <c r="U114" i="8"/>
  <c r="U115" i="21" s="1"/>
  <c r="V114" i="8"/>
  <c r="V115" i="21" s="1"/>
  <c r="W114" i="8"/>
  <c r="W115" i="21" s="1"/>
  <c r="X114" i="8"/>
  <c r="X115" i="21" s="1"/>
  <c r="Y114" i="8"/>
  <c r="Y115" i="21" s="1"/>
  <c r="Z114" i="8"/>
  <c r="Z115" i="21" s="1"/>
  <c r="AA114" i="8"/>
  <c r="AA115" i="21" s="1"/>
  <c r="AB114" i="8"/>
  <c r="AB115" i="21" s="1"/>
  <c r="AC114" i="8"/>
  <c r="AC115" i="21" s="1"/>
  <c r="AD114" i="8"/>
  <c r="AD115" i="21" s="1"/>
  <c r="AE114" i="8"/>
  <c r="AE115" i="21" s="1"/>
  <c r="AF114" i="8"/>
  <c r="AF115" i="21" s="1"/>
  <c r="AG114" i="8"/>
  <c r="A115" i="8"/>
  <c r="B115" i="8"/>
  <c r="C115" i="8"/>
  <c r="D115" i="8"/>
  <c r="E115" i="8"/>
  <c r="F115" i="8"/>
  <c r="F116" i="21" s="1"/>
  <c r="G115" i="8"/>
  <c r="G116" i="21" s="1"/>
  <c r="H115" i="8"/>
  <c r="H116" i="21" s="1"/>
  <c r="I115" i="8"/>
  <c r="I116" i="21" s="1"/>
  <c r="J115" i="8"/>
  <c r="J116" i="21" s="1"/>
  <c r="K115" i="8"/>
  <c r="K116" i="21" s="1"/>
  <c r="L115" i="8"/>
  <c r="L116" i="21" s="1"/>
  <c r="M115" i="8"/>
  <c r="M116" i="21" s="1"/>
  <c r="N115" i="8"/>
  <c r="N116" i="21" s="1"/>
  <c r="O115" i="8"/>
  <c r="O116" i="21" s="1"/>
  <c r="P115" i="8"/>
  <c r="P116" i="21" s="1"/>
  <c r="Q115" i="8"/>
  <c r="Q116" i="21" s="1"/>
  <c r="R115" i="8"/>
  <c r="R116" i="21" s="1"/>
  <c r="S115" i="8"/>
  <c r="S116" i="21" s="1"/>
  <c r="T115" i="8"/>
  <c r="T116" i="21" s="1"/>
  <c r="U115" i="8"/>
  <c r="U116" i="21" s="1"/>
  <c r="V115" i="8"/>
  <c r="V116" i="21" s="1"/>
  <c r="W115" i="8"/>
  <c r="W116" i="21" s="1"/>
  <c r="X115" i="8"/>
  <c r="X116" i="21" s="1"/>
  <c r="Y115" i="8"/>
  <c r="Y116" i="21" s="1"/>
  <c r="Z115" i="8"/>
  <c r="Z116" i="21" s="1"/>
  <c r="AA115" i="8"/>
  <c r="AA116" i="21" s="1"/>
  <c r="AB115" i="8"/>
  <c r="AB116" i="21" s="1"/>
  <c r="AC115" i="8"/>
  <c r="AC116" i="21" s="1"/>
  <c r="AD115" i="8"/>
  <c r="AD116" i="21" s="1"/>
  <c r="AE115" i="8"/>
  <c r="AE116" i="21" s="1"/>
  <c r="AF115" i="8"/>
  <c r="AF116" i="21" s="1"/>
  <c r="AG115" i="8"/>
  <c r="A116" i="8"/>
  <c r="B116" i="8"/>
  <c r="C116" i="8"/>
  <c r="D116" i="8"/>
  <c r="E116" i="8"/>
  <c r="F116" i="8"/>
  <c r="F117" i="21" s="1"/>
  <c r="G116" i="8"/>
  <c r="G117" i="21" s="1"/>
  <c r="H116" i="8"/>
  <c r="H117" i="21" s="1"/>
  <c r="I116" i="8"/>
  <c r="I117" i="21" s="1"/>
  <c r="J116" i="8"/>
  <c r="J117" i="21" s="1"/>
  <c r="K116" i="8"/>
  <c r="K117" i="21" s="1"/>
  <c r="L116" i="8"/>
  <c r="L117" i="21" s="1"/>
  <c r="M116" i="8"/>
  <c r="M117" i="21" s="1"/>
  <c r="N116" i="8"/>
  <c r="N117" i="21" s="1"/>
  <c r="O116" i="8"/>
  <c r="O117" i="21" s="1"/>
  <c r="P116" i="8"/>
  <c r="P117" i="21" s="1"/>
  <c r="Q116" i="8"/>
  <c r="Q117" i="21" s="1"/>
  <c r="R116" i="8"/>
  <c r="R117" i="21" s="1"/>
  <c r="S116" i="8"/>
  <c r="S117" i="21" s="1"/>
  <c r="T116" i="8"/>
  <c r="T117" i="21" s="1"/>
  <c r="U116" i="8"/>
  <c r="U117" i="21" s="1"/>
  <c r="V116" i="8"/>
  <c r="V117" i="21" s="1"/>
  <c r="W116" i="8"/>
  <c r="W117" i="21" s="1"/>
  <c r="X116" i="8"/>
  <c r="X117" i="21" s="1"/>
  <c r="Y116" i="8"/>
  <c r="Y117" i="21" s="1"/>
  <c r="Z116" i="8"/>
  <c r="Z117" i="21" s="1"/>
  <c r="AA116" i="8"/>
  <c r="AA117" i="21" s="1"/>
  <c r="AB116" i="8"/>
  <c r="AB117" i="21" s="1"/>
  <c r="AC116" i="8"/>
  <c r="AC117" i="21" s="1"/>
  <c r="AD116" i="8"/>
  <c r="AD117" i="21" s="1"/>
  <c r="AE116" i="8"/>
  <c r="AE117" i="21" s="1"/>
  <c r="AF116" i="8"/>
  <c r="AF117" i="21" s="1"/>
  <c r="AG116" i="8"/>
  <c r="A117" i="8"/>
  <c r="B117" i="8"/>
  <c r="C117" i="8"/>
  <c r="D117" i="8"/>
  <c r="E117" i="8"/>
  <c r="F117" i="8"/>
  <c r="F118" i="21" s="1"/>
  <c r="G117" i="8"/>
  <c r="G118" i="21" s="1"/>
  <c r="H117" i="8"/>
  <c r="H118" i="21" s="1"/>
  <c r="I117" i="8"/>
  <c r="I118" i="21" s="1"/>
  <c r="J117" i="8"/>
  <c r="J118" i="21" s="1"/>
  <c r="K117" i="8"/>
  <c r="K118" i="21" s="1"/>
  <c r="L117" i="8"/>
  <c r="L118" i="21" s="1"/>
  <c r="M117" i="8"/>
  <c r="M118" i="21" s="1"/>
  <c r="N117" i="8"/>
  <c r="N118" i="21" s="1"/>
  <c r="O117" i="8"/>
  <c r="O118" i="21" s="1"/>
  <c r="P117" i="8"/>
  <c r="P118" i="21" s="1"/>
  <c r="Q117" i="8"/>
  <c r="Q118" i="21" s="1"/>
  <c r="R117" i="8"/>
  <c r="R118" i="21" s="1"/>
  <c r="S117" i="8"/>
  <c r="S118" i="21" s="1"/>
  <c r="T117" i="8"/>
  <c r="T118" i="21" s="1"/>
  <c r="U117" i="8"/>
  <c r="U118" i="21" s="1"/>
  <c r="V117" i="8"/>
  <c r="V118" i="21" s="1"/>
  <c r="W117" i="8"/>
  <c r="W118" i="21" s="1"/>
  <c r="X117" i="8"/>
  <c r="X118" i="21" s="1"/>
  <c r="Y117" i="8"/>
  <c r="Y118" i="21" s="1"/>
  <c r="Z117" i="8"/>
  <c r="Z118" i="21" s="1"/>
  <c r="AA117" i="8"/>
  <c r="AA118" i="21" s="1"/>
  <c r="AB117" i="8"/>
  <c r="AB118" i="21" s="1"/>
  <c r="AC117" i="8"/>
  <c r="AC118" i="21" s="1"/>
  <c r="AD117" i="8"/>
  <c r="AD118" i="21" s="1"/>
  <c r="AE117" i="8"/>
  <c r="AE118" i="21" s="1"/>
  <c r="AF117" i="8"/>
  <c r="AG117" i="8"/>
  <c r="AG118" i="10" s="1"/>
  <c r="A118" i="8"/>
  <c r="B118" i="8"/>
  <c r="C118" i="8"/>
  <c r="D118" i="8"/>
  <c r="E118" i="8"/>
  <c r="F118" i="8"/>
  <c r="F119" i="21" s="1"/>
  <c r="G118" i="8"/>
  <c r="G119" i="21" s="1"/>
  <c r="H118" i="8"/>
  <c r="H119" i="21" s="1"/>
  <c r="I118" i="8"/>
  <c r="I119" i="21" s="1"/>
  <c r="J118" i="8"/>
  <c r="J119" i="21" s="1"/>
  <c r="K118" i="8"/>
  <c r="K119" i="21" s="1"/>
  <c r="L118" i="8"/>
  <c r="L119" i="21" s="1"/>
  <c r="M118" i="8"/>
  <c r="M119" i="21" s="1"/>
  <c r="N118" i="8"/>
  <c r="N119" i="21" s="1"/>
  <c r="O118" i="8"/>
  <c r="O119" i="21" s="1"/>
  <c r="P118" i="8"/>
  <c r="P119" i="21" s="1"/>
  <c r="Q118" i="8"/>
  <c r="Q119" i="21" s="1"/>
  <c r="R118" i="8"/>
  <c r="R119" i="21" s="1"/>
  <c r="S118" i="8"/>
  <c r="S119" i="21" s="1"/>
  <c r="T118" i="8"/>
  <c r="T119" i="21" s="1"/>
  <c r="U118" i="8"/>
  <c r="U119" i="21" s="1"/>
  <c r="V118" i="8"/>
  <c r="V119" i="21" s="1"/>
  <c r="W118" i="8"/>
  <c r="W119" i="21" s="1"/>
  <c r="X118" i="8"/>
  <c r="X119" i="21" s="1"/>
  <c r="Y118" i="8"/>
  <c r="Y119" i="21" s="1"/>
  <c r="Z118" i="8"/>
  <c r="Z119" i="21" s="1"/>
  <c r="AA118" i="8"/>
  <c r="AA119" i="21" s="1"/>
  <c r="AB118" i="8"/>
  <c r="AB119" i="21" s="1"/>
  <c r="AC118" i="8"/>
  <c r="AC119" i="21" s="1"/>
  <c r="AD118" i="8"/>
  <c r="AD119" i="21" s="1"/>
  <c r="AE118" i="8"/>
  <c r="AE119" i="21" s="1"/>
  <c r="AF118" i="8"/>
  <c r="AG118" i="8"/>
  <c r="AG119" i="10" s="1"/>
  <c r="A119" i="8"/>
  <c r="B119" i="8"/>
  <c r="C119" i="8"/>
  <c r="D119" i="8"/>
  <c r="E119" i="8"/>
  <c r="F119" i="8"/>
  <c r="F120" i="21" s="1"/>
  <c r="G119" i="8"/>
  <c r="G120" i="21" s="1"/>
  <c r="H119" i="8"/>
  <c r="H120" i="21" s="1"/>
  <c r="I119" i="8"/>
  <c r="I120" i="21" s="1"/>
  <c r="J119" i="8"/>
  <c r="J120" i="21" s="1"/>
  <c r="K119" i="8"/>
  <c r="K120" i="21" s="1"/>
  <c r="L119" i="8"/>
  <c r="L120" i="21" s="1"/>
  <c r="M119" i="8"/>
  <c r="M120" i="21" s="1"/>
  <c r="N119" i="8"/>
  <c r="N120" i="21" s="1"/>
  <c r="O119" i="8"/>
  <c r="O120" i="21" s="1"/>
  <c r="P119" i="8"/>
  <c r="P120" i="21" s="1"/>
  <c r="Q119" i="8"/>
  <c r="Q120" i="21" s="1"/>
  <c r="R119" i="8"/>
  <c r="R120" i="21" s="1"/>
  <c r="S119" i="8"/>
  <c r="S120" i="21" s="1"/>
  <c r="T119" i="8"/>
  <c r="T120" i="21" s="1"/>
  <c r="U119" i="8"/>
  <c r="U120" i="21" s="1"/>
  <c r="V119" i="8"/>
  <c r="V120" i="21" s="1"/>
  <c r="W119" i="8"/>
  <c r="W120" i="21" s="1"/>
  <c r="X119" i="8"/>
  <c r="X120" i="21" s="1"/>
  <c r="Y119" i="8"/>
  <c r="Y120" i="21" s="1"/>
  <c r="Z119" i="8"/>
  <c r="Z120" i="21" s="1"/>
  <c r="AA119" i="8"/>
  <c r="AA120" i="21" s="1"/>
  <c r="AB119" i="8"/>
  <c r="AB120" i="21" s="1"/>
  <c r="AC119" i="8"/>
  <c r="AC120" i="21" s="1"/>
  <c r="AD119" i="8"/>
  <c r="AD120" i="21" s="1"/>
  <c r="AE119" i="8"/>
  <c r="AE120" i="21" s="1"/>
  <c r="AF119" i="8"/>
  <c r="AG119" i="8"/>
  <c r="A120" i="8"/>
  <c r="B120" i="8"/>
  <c r="C120" i="8"/>
  <c r="D120" i="8"/>
  <c r="E120" i="8"/>
  <c r="F120" i="8"/>
  <c r="F121" i="21" s="1"/>
  <c r="G120" i="8"/>
  <c r="G121" i="21" s="1"/>
  <c r="H120" i="8"/>
  <c r="H121" i="21" s="1"/>
  <c r="I120" i="8"/>
  <c r="I121" i="21" s="1"/>
  <c r="J120" i="8"/>
  <c r="J121" i="21" s="1"/>
  <c r="K120" i="8"/>
  <c r="K121" i="21" s="1"/>
  <c r="L120" i="8"/>
  <c r="L121" i="21" s="1"/>
  <c r="M120" i="8"/>
  <c r="M121" i="21" s="1"/>
  <c r="N120" i="8"/>
  <c r="N121" i="21" s="1"/>
  <c r="O120" i="8"/>
  <c r="O121" i="21" s="1"/>
  <c r="P120" i="8"/>
  <c r="P121" i="21" s="1"/>
  <c r="Q120" i="8"/>
  <c r="Q121" i="21" s="1"/>
  <c r="R120" i="8"/>
  <c r="R121" i="21" s="1"/>
  <c r="S120" i="8"/>
  <c r="S121" i="21" s="1"/>
  <c r="T120" i="8"/>
  <c r="T121" i="21" s="1"/>
  <c r="U120" i="8"/>
  <c r="U121" i="21" s="1"/>
  <c r="V120" i="8"/>
  <c r="V121" i="21" s="1"/>
  <c r="W120" i="8"/>
  <c r="W121" i="21" s="1"/>
  <c r="X120" i="8"/>
  <c r="X121" i="21" s="1"/>
  <c r="Y120" i="8"/>
  <c r="Y121" i="21" s="1"/>
  <c r="Z120" i="8"/>
  <c r="Z121" i="21" s="1"/>
  <c r="AA120" i="8"/>
  <c r="AA121" i="21" s="1"/>
  <c r="AB120" i="8"/>
  <c r="AB121" i="21" s="1"/>
  <c r="AC120" i="8"/>
  <c r="AC121" i="21" s="1"/>
  <c r="AD120" i="8"/>
  <c r="AD121" i="21" s="1"/>
  <c r="AE120" i="8"/>
  <c r="AE121" i="21" s="1"/>
  <c r="AF120" i="8"/>
  <c r="AG120" i="8"/>
  <c r="A121" i="8"/>
  <c r="B121" i="8"/>
  <c r="C121" i="8"/>
  <c r="D121" i="8"/>
  <c r="E121" i="8"/>
  <c r="F121" i="8"/>
  <c r="F122" i="21" s="1"/>
  <c r="G121" i="8"/>
  <c r="G122" i="21" s="1"/>
  <c r="H121" i="8"/>
  <c r="H122" i="21" s="1"/>
  <c r="I121" i="8"/>
  <c r="I122" i="21" s="1"/>
  <c r="J121" i="8"/>
  <c r="J122" i="21" s="1"/>
  <c r="K121" i="8"/>
  <c r="K122" i="21" s="1"/>
  <c r="L121" i="8"/>
  <c r="L122" i="21" s="1"/>
  <c r="M121" i="8"/>
  <c r="M122" i="21" s="1"/>
  <c r="N121" i="8"/>
  <c r="N122" i="21" s="1"/>
  <c r="O121" i="8"/>
  <c r="O122" i="21" s="1"/>
  <c r="P121" i="8"/>
  <c r="P122" i="21" s="1"/>
  <c r="Q121" i="8"/>
  <c r="Q122" i="21" s="1"/>
  <c r="R121" i="8"/>
  <c r="R122" i="21" s="1"/>
  <c r="S121" i="8"/>
  <c r="S122" i="21" s="1"/>
  <c r="T121" i="8"/>
  <c r="T122" i="21" s="1"/>
  <c r="U121" i="8"/>
  <c r="U122" i="21" s="1"/>
  <c r="V121" i="8"/>
  <c r="V122" i="21" s="1"/>
  <c r="W121" i="8"/>
  <c r="W122" i="21" s="1"/>
  <c r="X121" i="8"/>
  <c r="X122" i="21" s="1"/>
  <c r="Y121" i="8"/>
  <c r="Y122" i="21" s="1"/>
  <c r="Z121" i="8"/>
  <c r="Z122" i="21" s="1"/>
  <c r="AA121" i="8"/>
  <c r="AA122" i="21" s="1"/>
  <c r="AB121" i="8"/>
  <c r="AB122" i="21" s="1"/>
  <c r="AC121" i="8"/>
  <c r="AC122" i="21" s="1"/>
  <c r="AD121" i="8"/>
  <c r="AD122" i="21" s="1"/>
  <c r="AE121" i="8"/>
  <c r="AE122" i="21" s="1"/>
  <c r="AF121" i="8"/>
  <c r="AF122" i="21" s="1"/>
  <c r="AG121" i="8"/>
  <c r="A122" i="8"/>
  <c r="B122" i="8"/>
  <c r="C122" i="8"/>
  <c r="D122" i="8"/>
  <c r="E122" i="8"/>
  <c r="F122" i="8"/>
  <c r="F123" i="21" s="1"/>
  <c r="G122" i="8"/>
  <c r="G123" i="21" s="1"/>
  <c r="H122" i="8"/>
  <c r="H123" i="21" s="1"/>
  <c r="I122" i="8"/>
  <c r="I123" i="21" s="1"/>
  <c r="J122" i="8"/>
  <c r="J123" i="21" s="1"/>
  <c r="K122" i="8"/>
  <c r="K123" i="21" s="1"/>
  <c r="L122" i="8"/>
  <c r="L123" i="21" s="1"/>
  <c r="M122" i="8"/>
  <c r="M123" i="21" s="1"/>
  <c r="N122" i="8"/>
  <c r="N123" i="21" s="1"/>
  <c r="O122" i="8"/>
  <c r="O123" i="21" s="1"/>
  <c r="P122" i="8"/>
  <c r="P123" i="21" s="1"/>
  <c r="Q122" i="8"/>
  <c r="Q123" i="21" s="1"/>
  <c r="R122" i="8"/>
  <c r="R123" i="21" s="1"/>
  <c r="S122" i="8"/>
  <c r="S123" i="21" s="1"/>
  <c r="T122" i="8"/>
  <c r="T123" i="21" s="1"/>
  <c r="U122" i="8"/>
  <c r="U123" i="21" s="1"/>
  <c r="V122" i="8"/>
  <c r="V123" i="21" s="1"/>
  <c r="W122" i="8"/>
  <c r="W123" i="21" s="1"/>
  <c r="X122" i="8"/>
  <c r="X123" i="21" s="1"/>
  <c r="Y122" i="8"/>
  <c r="Y123" i="21" s="1"/>
  <c r="Z122" i="8"/>
  <c r="Z123" i="21" s="1"/>
  <c r="AA122" i="8"/>
  <c r="AA123" i="21" s="1"/>
  <c r="AB122" i="8"/>
  <c r="AB123" i="21" s="1"/>
  <c r="AC122" i="8"/>
  <c r="AC123" i="21" s="1"/>
  <c r="AD122" i="8"/>
  <c r="AD123" i="21" s="1"/>
  <c r="AE122" i="8"/>
  <c r="AE123" i="21" s="1"/>
  <c r="AF122" i="8"/>
  <c r="AF123" i="21" s="1"/>
  <c r="AG122" i="8"/>
  <c r="A123" i="8"/>
  <c r="B123" i="8"/>
  <c r="C123" i="8"/>
  <c r="D123" i="8"/>
  <c r="E123" i="8"/>
  <c r="F123" i="8"/>
  <c r="F124" i="21" s="1"/>
  <c r="G123" i="8"/>
  <c r="G124" i="21" s="1"/>
  <c r="H123" i="8"/>
  <c r="H124" i="21" s="1"/>
  <c r="I123" i="8"/>
  <c r="I124" i="21" s="1"/>
  <c r="J123" i="8"/>
  <c r="J124" i="21" s="1"/>
  <c r="K123" i="8"/>
  <c r="K124" i="21" s="1"/>
  <c r="L123" i="8"/>
  <c r="L124" i="21" s="1"/>
  <c r="M123" i="8"/>
  <c r="M124" i="21" s="1"/>
  <c r="N123" i="8"/>
  <c r="N124" i="21" s="1"/>
  <c r="O123" i="8"/>
  <c r="O124" i="21" s="1"/>
  <c r="P123" i="8"/>
  <c r="P124" i="21" s="1"/>
  <c r="Q123" i="8"/>
  <c r="Q124" i="21" s="1"/>
  <c r="R123" i="8"/>
  <c r="R124" i="21" s="1"/>
  <c r="S123" i="8"/>
  <c r="S124" i="21" s="1"/>
  <c r="T123" i="8"/>
  <c r="T124" i="21" s="1"/>
  <c r="U123" i="8"/>
  <c r="U124" i="21" s="1"/>
  <c r="V123" i="8"/>
  <c r="V124" i="21" s="1"/>
  <c r="W123" i="8"/>
  <c r="W124" i="21" s="1"/>
  <c r="X123" i="8"/>
  <c r="X124" i="21" s="1"/>
  <c r="Y123" i="8"/>
  <c r="Y124" i="21" s="1"/>
  <c r="Z123" i="8"/>
  <c r="Z124" i="21" s="1"/>
  <c r="AA123" i="8"/>
  <c r="AA124" i="21" s="1"/>
  <c r="AB123" i="8"/>
  <c r="AB124" i="21" s="1"/>
  <c r="AC123" i="8"/>
  <c r="AC124" i="21" s="1"/>
  <c r="AD123" i="8"/>
  <c r="AD124" i="21" s="1"/>
  <c r="AE123" i="8"/>
  <c r="AE124" i="21" s="1"/>
  <c r="AF123" i="8"/>
  <c r="AF124" i="21" s="1"/>
  <c r="AG123" i="8"/>
  <c r="A124" i="8"/>
  <c r="B124" i="8"/>
  <c r="C124" i="8"/>
  <c r="D124" i="8"/>
  <c r="E124" i="8"/>
  <c r="F124" i="8"/>
  <c r="F125" i="21" s="1"/>
  <c r="G124" i="8"/>
  <c r="G125" i="21" s="1"/>
  <c r="H124" i="8"/>
  <c r="H125" i="21" s="1"/>
  <c r="I124" i="8"/>
  <c r="I125" i="21" s="1"/>
  <c r="J124" i="8"/>
  <c r="J125" i="21" s="1"/>
  <c r="K124" i="8"/>
  <c r="K125" i="21" s="1"/>
  <c r="L124" i="8"/>
  <c r="L125" i="21" s="1"/>
  <c r="M124" i="8"/>
  <c r="M125" i="21" s="1"/>
  <c r="N124" i="8"/>
  <c r="N125" i="21" s="1"/>
  <c r="O124" i="8"/>
  <c r="O125" i="21" s="1"/>
  <c r="P124" i="8"/>
  <c r="P125" i="21" s="1"/>
  <c r="Q124" i="8"/>
  <c r="Q125" i="21" s="1"/>
  <c r="R124" i="8"/>
  <c r="R125" i="21" s="1"/>
  <c r="S124" i="8"/>
  <c r="S125" i="21" s="1"/>
  <c r="T124" i="8"/>
  <c r="T125" i="21" s="1"/>
  <c r="U124" i="8"/>
  <c r="U125" i="21" s="1"/>
  <c r="V124" i="8"/>
  <c r="V125" i="21" s="1"/>
  <c r="W124" i="8"/>
  <c r="W125" i="21" s="1"/>
  <c r="X124" i="8"/>
  <c r="X125" i="21" s="1"/>
  <c r="Y124" i="8"/>
  <c r="Y125" i="21" s="1"/>
  <c r="Z124" i="8"/>
  <c r="Z125" i="21" s="1"/>
  <c r="AA124" i="8"/>
  <c r="AA125" i="21" s="1"/>
  <c r="AB124" i="8"/>
  <c r="AB125" i="21" s="1"/>
  <c r="AC124" i="8"/>
  <c r="AC125" i="21" s="1"/>
  <c r="AD124" i="8"/>
  <c r="AD125" i="21" s="1"/>
  <c r="AE124" i="8"/>
  <c r="AE125" i="21" s="1"/>
  <c r="AF124" i="8"/>
  <c r="AF125" i="21" s="1"/>
  <c r="AG124" i="8"/>
  <c r="A125" i="8"/>
  <c r="B125" i="8"/>
  <c r="C125" i="8"/>
  <c r="D125" i="8"/>
  <c r="E125" i="8"/>
  <c r="F125" i="8"/>
  <c r="F126" i="21" s="1"/>
  <c r="G125" i="8"/>
  <c r="G126" i="21" s="1"/>
  <c r="H125" i="8"/>
  <c r="H126" i="21" s="1"/>
  <c r="I125" i="8"/>
  <c r="I126" i="21" s="1"/>
  <c r="J125" i="8"/>
  <c r="J126" i="21" s="1"/>
  <c r="K125" i="8"/>
  <c r="K126" i="21" s="1"/>
  <c r="L125" i="8"/>
  <c r="L126" i="21" s="1"/>
  <c r="M125" i="8"/>
  <c r="M126" i="21" s="1"/>
  <c r="N125" i="8"/>
  <c r="N126" i="21" s="1"/>
  <c r="O125" i="8"/>
  <c r="O126" i="21" s="1"/>
  <c r="P125" i="8"/>
  <c r="P126" i="21" s="1"/>
  <c r="Q125" i="8"/>
  <c r="Q126" i="21" s="1"/>
  <c r="R125" i="8"/>
  <c r="R126" i="21" s="1"/>
  <c r="S125" i="8"/>
  <c r="S126" i="21" s="1"/>
  <c r="T125" i="8"/>
  <c r="T126" i="21" s="1"/>
  <c r="U125" i="8"/>
  <c r="U126" i="21" s="1"/>
  <c r="V125" i="8"/>
  <c r="V126" i="21" s="1"/>
  <c r="W125" i="8"/>
  <c r="W126" i="21" s="1"/>
  <c r="X125" i="8"/>
  <c r="X126" i="21" s="1"/>
  <c r="Y125" i="8"/>
  <c r="Y126" i="21" s="1"/>
  <c r="Z125" i="8"/>
  <c r="Z126" i="21" s="1"/>
  <c r="AA125" i="8"/>
  <c r="AA126" i="21" s="1"/>
  <c r="AB125" i="8"/>
  <c r="AB126" i="21" s="1"/>
  <c r="AC125" i="8"/>
  <c r="AC126" i="21" s="1"/>
  <c r="AD125" i="8"/>
  <c r="AD126" i="21" s="1"/>
  <c r="AE125" i="8"/>
  <c r="AF125" i="8"/>
  <c r="AF126" i="21" s="1"/>
  <c r="AG125" i="8"/>
  <c r="A126" i="8"/>
  <c r="B126" i="8"/>
  <c r="C126" i="8"/>
  <c r="D126" i="8"/>
  <c r="E126" i="8"/>
  <c r="F126" i="8"/>
  <c r="F127" i="21" s="1"/>
  <c r="G126" i="8"/>
  <c r="G127" i="21" s="1"/>
  <c r="H126" i="8"/>
  <c r="H127" i="21" s="1"/>
  <c r="I126" i="8"/>
  <c r="I127" i="21" s="1"/>
  <c r="J126" i="8"/>
  <c r="J127" i="21" s="1"/>
  <c r="K126" i="8"/>
  <c r="K127" i="21" s="1"/>
  <c r="L126" i="8"/>
  <c r="L127" i="21" s="1"/>
  <c r="M126" i="8"/>
  <c r="M127" i="21" s="1"/>
  <c r="N126" i="8"/>
  <c r="N127" i="21" s="1"/>
  <c r="O126" i="8"/>
  <c r="O127" i="21" s="1"/>
  <c r="P126" i="8"/>
  <c r="P127" i="21" s="1"/>
  <c r="Q126" i="8"/>
  <c r="Q127" i="21" s="1"/>
  <c r="R126" i="8"/>
  <c r="R127" i="21" s="1"/>
  <c r="S126" i="8"/>
  <c r="S127" i="21" s="1"/>
  <c r="T126" i="8"/>
  <c r="T127" i="21" s="1"/>
  <c r="U126" i="8"/>
  <c r="U127" i="21" s="1"/>
  <c r="V126" i="8"/>
  <c r="V127" i="21" s="1"/>
  <c r="W126" i="8"/>
  <c r="W127" i="21" s="1"/>
  <c r="X126" i="8"/>
  <c r="X127" i="21" s="1"/>
  <c r="Y126" i="8"/>
  <c r="Y127" i="21" s="1"/>
  <c r="Z126" i="8"/>
  <c r="Z127" i="21" s="1"/>
  <c r="AA126" i="8"/>
  <c r="AA127" i="21" s="1"/>
  <c r="AB126" i="8"/>
  <c r="AB127" i="21" s="1"/>
  <c r="AC126" i="8"/>
  <c r="AC127" i="21" s="1"/>
  <c r="AD126" i="8"/>
  <c r="AD127" i="21" s="1"/>
  <c r="AE126" i="8"/>
  <c r="AE127" i="21" s="1"/>
  <c r="AF126" i="8"/>
  <c r="AF127" i="21" s="1"/>
  <c r="AG126" i="8"/>
  <c r="AG127" i="11" s="1"/>
  <c r="A127" i="8"/>
  <c r="B127" i="8"/>
  <c r="C127" i="8"/>
  <c r="D127" i="8"/>
  <c r="E127" i="8"/>
  <c r="F127" i="8"/>
  <c r="F128" i="21" s="1"/>
  <c r="G127" i="8"/>
  <c r="G128" i="21" s="1"/>
  <c r="H127" i="8"/>
  <c r="H128" i="21" s="1"/>
  <c r="I127" i="8"/>
  <c r="I128" i="21" s="1"/>
  <c r="J127" i="8"/>
  <c r="J128" i="21" s="1"/>
  <c r="K127" i="8"/>
  <c r="K128" i="21" s="1"/>
  <c r="L127" i="8"/>
  <c r="L128" i="21" s="1"/>
  <c r="M127" i="8"/>
  <c r="M128" i="21" s="1"/>
  <c r="N127" i="8"/>
  <c r="N128" i="21" s="1"/>
  <c r="O127" i="8"/>
  <c r="O128" i="21" s="1"/>
  <c r="P127" i="8"/>
  <c r="P128" i="21" s="1"/>
  <c r="Q127" i="8"/>
  <c r="Q128" i="21" s="1"/>
  <c r="R127" i="8"/>
  <c r="R128" i="21" s="1"/>
  <c r="S127" i="8"/>
  <c r="S128" i="21" s="1"/>
  <c r="T127" i="8"/>
  <c r="T128" i="21" s="1"/>
  <c r="U127" i="8"/>
  <c r="U128" i="21" s="1"/>
  <c r="V127" i="8"/>
  <c r="V128" i="21" s="1"/>
  <c r="W127" i="8"/>
  <c r="W128" i="21" s="1"/>
  <c r="X127" i="8"/>
  <c r="X128" i="21" s="1"/>
  <c r="Y127" i="8"/>
  <c r="Y128" i="21" s="1"/>
  <c r="Z127" i="8"/>
  <c r="Z128" i="21" s="1"/>
  <c r="AA127" i="8"/>
  <c r="AA128" i="21" s="1"/>
  <c r="AB127" i="8"/>
  <c r="AB128" i="21" s="1"/>
  <c r="AC127" i="8"/>
  <c r="AC128" i="21" s="1"/>
  <c r="AD127" i="8"/>
  <c r="AD128" i="21" s="1"/>
  <c r="AE127" i="8"/>
  <c r="AF127" i="8"/>
  <c r="AG127" i="8"/>
  <c r="AG128" i="10" s="1"/>
  <c r="A128" i="8"/>
  <c r="B128" i="8"/>
  <c r="C128" i="8"/>
  <c r="D128" i="8"/>
  <c r="E128" i="8"/>
  <c r="F128" i="8"/>
  <c r="F129" i="21" s="1"/>
  <c r="G128" i="8"/>
  <c r="G129" i="21" s="1"/>
  <c r="H128" i="8"/>
  <c r="H129" i="21" s="1"/>
  <c r="I128" i="8"/>
  <c r="I129" i="21" s="1"/>
  <c r="J128" i="8"/>
  <c r="J129" i="21" s="1"/>
  <c r="K128" i="8"/>
  <c r="K129" i="21" s="1"/>
  <c r="L128" i="8"/>
  <c r="L129" i="21" s="1"/>
  <c r="M128" i="8"/>
  <c r="M129" i="21" s="1"/>
  <c r="N128" i="8"/>
  <c r="N129" i="21" s="1"/>
  <c r="O128" i="8"/>
  <c r="O129" i="21" s="1"/>
  <c r="P128" i="8"/>
  <c r="P129" i="21" s="1"/>
  <c r="Q128" i="8"/>
  <c r="Q129" i="21" s="1"/>
  <c r="R128" i="8"/>
  <c r="R129" i="21" s="1"/>
  <c r="S128" i="8"/>
  <c r="S129" i="21" s="1"/>
  <c r="T128" i="8"/>
  <c r="T129" i="21" s="1"/>
  <c r="U128" i="8"/>
  <c r="U129" i="21" s="1"/>
  <c r="V128" i="8"/>
  <c r="V129" i="21" s="1"/>
  <c r="W128" i="8"/>
  <c r="W129" i="21" s="1"/>
  <c r="X128" i="8"/>
  <c r="X129" i="21" s="1"/>
  <c r="Y128" i="8"/>
  <c r="Y129" i="21" s="1"/>
  <c r="Z128" i="8"/>
  <c r="Z129" i="21" s="1"/>
  <c r="AA128" i="8"/>
  <c r="AA129" i="21" s="1"/>
  <c r="AB128" i="8"/>
  <c r="AB129" i="21" s="1"/>
  <c r="AC128" i="8"/>
  <c r="AC129" i="21" s="1"/>
  <c r="AD128" i="8"/>
  <c r="AD129" i="21" s="1"/>
  <c r="AE128" i="8"/>
  <c r="AE129" i="21" s="1"/>
  <c r="AF128" i="8"/>
  <c r="AG128" i="8"/>
  <c r="AG129" i="10" s="1"/>
  <c r="A129" i="8"/>
  <c r="B129" i="8"/>
  <c r="C129" i="8"/>
  <c r="D129" i="8"/>
  <c r="E129" i="8"/>
  <c r="F129" i="8"/>
  <c r="F130" i="21" s="1"/>
  <c r="G129" i="8"/>
  <c r="G130" i="21" s="1"/>
  <c r="H129" i="8"/>
  <c r="H130" i="21" s="1"/>
  <c r="I129" i="8"/>
  <c r="I130" i="21" s="1"/>
  <c r="J129" i="8"/>
  <c r="J130" i="21" s="1"/>
  <c r="K129" i="8"/>
  <c r="K130" i="21" s="1"/>
  <c r="L129" i="8"/>
  <c r="L130" i="21" s="1"/>
  <c r="M129" i="8"/>
  <c r="M130" i="21" s="1"/>
  <c r="N129" i="8"/>
  <c r="N130" i="21" s="1"/>
  <c r="O129" i="8"/>
  <c r="O130" i="21" s="1"/>
  <c r="P129" i="8"/>
  <c r="P130" i="21" s="1"/>
  <c r="Q129" i="8"/>
  <c r="Q130" i="21" s="1"/>
  <c r="R129" i="8"/>
  <c r="R130" i="21" s="1"/>
  <c r="S129" i="8"/>
  <c r="S130" i="21" s="1"/>
  <c r="T129" i="8"/>
  <c r="T130" i="21" s="1"/>
  <c r="U129" i="8"/>
  <c r="U130" i="21" s="1"/>
  <c r="V129" i="8"/>
  <c r="V130" i="21" s="1"/>
  <c r="W129" i="8"/>
  <c r="W130" i="21" s="1"/>
  <c r="X129" i="8"/>
  <c r="X130" i="21" s="1"/>
  <c r="Y129" i="8"/>
  <c r="Y130" i="21" s="1"/>
  <c r="Z129" i="8"/>
  <c r="Z130" i="21" s="1"/>
  <c r="AA129" i="8"/>
  <c r="AA130" i="21" s="1"/>
  <c r="AB129" i="8"/>
  <c r="AB130" i="21" s="1"/>
  <c r="AC129" i="8"/>
  <c r="AC130" i="21" s="1"/>
  <c r="AD129" i="8"/>
  <c r="AD130" i="21" s="1"/>
  <c r="AE129" i="8"/>
  <c r="AF129" i="8"/>
  <c r="AF130" i="21" s="1"/>
  <c r="AG129" i="8"/>
  <c r="A130" i="8"/>
  <c r="B130" i="8"/>
  <c r="C130" i="8"/>
  <c r="D130" i="8"/>
  <c r="E130" i="8"/>
  <c r="F130" i="8"/>
  <c r="F131" i="21" s="1"/>
  <c r="G130" i="8"/>
  <c r="G131" i="21" s="1"/>
  <c r="H130" i="8"/>
  <c r="H131" i="21" s="1"/>
  <c r="I130" i="8"/>
  <c r="I131" i="21" s="1"/>
  <c r="J130" i="8"/>
  <c r="J131" i="21" s="1"/>
  <c r="K130" i="8"/>
  <c r="K131" i="21" s="1"/>
  <c r="L130" i="8"/>
  <c r="L131" i="21" s="1"/>
  <c r="M130" i="8"/>
  <c r="M131" i="21" s="1"/>
  <c r="N130" i="8"/>
  <c r="N131" i="21" s="1"/>
  <c r="O130" i="8"/>
  <c r="O131" i="21" s="1"/>
  <c r="P130" i="8"/>
  <c r="P131" i="21" s="1"/>
  <c r="Q130" i="8"/>
  <c r="Q131" i="21" s="1"/>
  <c r="R130" i="8"/>
  <c r="R131" i="21" s="1"/>
  <c r="S130" i="8"/>
  <c r="S131" i="21" s="1"/>
  <c r="T130" i="8"/>
  <c r="T131" i="21" s="1"/>
  <c r="U130" i="8"/>
  <c r="U131" i="21" s="1"/>
  <c r="V130" i="8"/>
  <c r="V131" i="21" s="1"/>
  <c r="W130" i="8"/>
  <c r="W131" i="21" s="1"/>
  <c r="X130" i="8"/>
  <c r="X131" i="21" s="1"/>
  <c r="Y130" i="8"/>
  <c r="Y131" i="21" s="1"/>
  <c r="Z130" i="8"/>
  <c r="Z131" i="21" s="1"/>
  <c r="AA130" i="8"/>
  <c r="AA131" i="21" s="1"/>
  <c r="AB130" i="8"/>
  <c r="AB131" i="21" s="1"/>
  <c r="AC130" i="8"/>
  <c r="AC131" i="21" s="1"/>
  <c r="AD130" i="8"/>
  <c r="AD131" i="21" s="1"/>
  <c r="AE130" i="8"/>
  <c r="AF130" i="8"/>
  <c r="AG130" i="8"/>
  <c r="AG131" i="11" s="1"/>
  <c r="A131" i="8"/>
  <c r="B131" i="8"/>
  <c r="C131" i="8"/>
  <c r="D131" i="8"/>
  <c r="E131" i="8"/>
  <c r="F131" i="8"/>
  <c r="F132" i="21" s="1"/>
  <c r="G131" i="8"/>
  <c r="G132" i="21" s="1"/>
  <c r="H131" i="8"/>
  <c r="H132" i="21" s="1"/>
  <c r="I131" i="8"/>
  <c r="I132" i="21" s="1"/>
  <c r="J131" i="8"/>
  <c r="J132" i="21" s="1"/>
  <c r="K131" i="8"/>
  <c r="K132" i="21" s="1"/>
  <c r="L131" i="8"/>
  <c r="L132" i="21" s="1"/>
  <c r="M131" i="8"/>
  <c r="M132" i="21" s="1"/>
  <c r="N131" i="8"/>
  <c r="N132" i="21" s="1"/>
  <c r="O131" i="8"/>
  <c r="O132" i="21" s="1"/>
  <c r="P131" i="8"/>
  <c r="P132" i="21" s="1"/>
  <c r="Q131" i="8"/>
  <c r="Q132" i="21" s="1"/>
  <c r="R131" i="8"/>
  <c r="R132" i="21" s="1"/>
  <c r="S131" i="8"/>
  <c r="S132" i="21" s="1"/>
  <c r="T131" i="8"/>
  <c r="T132" i="21" s="1"/>
  <c r="U131" i="8"/>
  <c r="U132" i="21" s="1"/>
  <c r="V131" i="8"/>
  <c r="V132" i="21" s="1"/>
  <c r="W131" i="8"/>
  <c r="W132" i="21" s="1"/>
  <c r="X131" i="8"/>
  <c r="X132" i="21" s="1"/>
  <c r="Y131" i="8"/>
  <c r="Y132" i="21" s="1"/>
  <c r="Z131" i="8"/>
  <c r="Z132" i="21" s="1"/>
  <c r="AA131" i="8"/>
  <c r="AA132" i="21" s="1"/>
  <c r="AB131" i="8"/>
  <c r="AB132" i="21" s="1"/>
  <c r="AC131" i="8"/>
  <c r="AC132" i="21" s="1"/>
  <c r="AD131" i="8"/>
  <c r="AD132" i="21" s="1"/>
  <c r="AE131" i="8"/>
  <c r="AF131" i="8"/>
  <c r="AF132" i="21" s="1"/>
  <c r="AG131" i="8"/>
  <c r="A132" i="8"/>
  <c r="B132" i="8"/>
  <c r="C132" i="8"/>
  <c r="D132" i="8"/>
  <c r="E132" i="8"/>
  <c r="F132" i="8"/>
  <c r="F133" i="21" s="1"/>
  <c r="G132" i="8"/>
  <c r="G133" i="21" s="1"/>
  <c r="H132" i="8"/>
  <c r="H133" i="21" s="1"/>
  <c r="I132" i="8"/>
  <c r="I133" i="21" s="1"/>
  <c r="J132" i="8"/>
  <c r="J133" i="21" s="1"/>
  <c r="K132" i="8"/>
  <c r="K133" i="21" s="1"/>
  <c r="L132" i="8"/>
  <c r="L133" i="21" s="1"/>
  <c r="M132" i="8"/>
  <c r="M133" i="21" s="1"/>
  <c r="N132" i="8"/>
  <c r="N133" i="21" s="1"/>
  <c r="O132" i="8"/>
  <c r="O133" i="21" s="1"/>
  <c r="P132" i="8"/>
  <c r="P133" i="21" s="1"/>
  <c r="Q132" i="8"/>
  <c r="Q133" i="21" s="1"/>
  <c r="R132" i="8"/>
  <c r="R133" i="21" s="1"/>
  <c r="S132" i="8"/>
  <c r="S133" i="21" s="1"/>
  <c r="T132" i="8"/>
  <c r="T133" i="21" s="1"/>
  <c r="U132" i="8"/>
  <c r="U133" i="21" s="1"/>
  <c r="V132" i="8"/>
  <c r="V133" i="21" s="1"/>
  <c r="W132" i="8"/>
  <c r="W133" i="21" s="1"/>
  <c r="X132" i="8"/>
  <c r="X133" i="21" s="1"/>
  <c r="Y132" i="8"/>
  <c r="Y133" i="21" s="1"/>
  <c r="Z132" i="8"/>
  <c r="Z133" i="21" s="1"/>
  <c r="AA132" i="8"/>
  <c r="AA133" i="21" s="1"/>
  <c r="AB132" i="8"/>
  <c r="AB133" i="21" s="1"/>
  <c r="AC132" i="8"/>
  <c r="AC133" i="21" s="1"/>
  <c r="AD132" i="8"/>
  <c r="AD133" i="21" s="1"/>
  <c r="AE132" i="8"/>
  <c r="AE133" i="21" s="1"/>
  <c r="AF132" i="8"/>
  <c r="AG132" i="8"/>
  <c r="A133" i="8"/>
  <c r="B133" i="8"/>
  <c r="C133" i="8"/>
  <c r="D133" i="8"/>
  <c r="E133" i="8"/>
  <c r="F133" i="8"/>
  <c r="F134" i="21" s="1"/>
  <c r="G133" i="8"/>
  <c r="G134" i="21" s="1"/>
  <c r="H133" i="8"/>
  <c r="H134" i="21" s="1"/>
  <c r="I133" i="8"/>
  <c r="I134" i="21" s="1"/>
  <c r="J133" i="8"/>
  <c r="J134" i="21" s="1"/>
  <c r="K133" i="8"/>
  <c r="K134" i="21" s="1"/>
  <c r="L133" i="8"/>
  <c r="L134" i="21" s="1"/>
  <c r="M133" i="8"/>
  <c r="M134" i="21" s="1"/>
  <c r="N133" i="8"/>
  <c r="N134" i="21" s="1"/>
  <c r="O133" i="8"/>
  <c r="O134" i="21" s="1"/>
  <c r="P133" i="8"/>
  <c r="P134" i="21" s="1"/>
  <c r="Q133" i="8"/>
  <c r="Q134" i="21" s="1"/>
  <c r="R133" i="8"/>
  <c r="R134" i="21" s="1"/>
  <c r="S133" i="8"/>
  <c r="S134" i="21" s="1"/>
  <c r="T133" i="8"/>
  <c r="T134" i="21" s="1"/>
  <c r="U133" i="8"/>
  <c r="U134" i="21" s="1"/>
  <c r="V133" i="8"/>
  <c r="V134" i="21" s="1"/>
  <c r="W133" i="8"/>
  <c r="W134" i="21" s="1"/>
  <c r="X133" i="8"/>
  <c r="X134" i="21" s="1"/>
  <c r="Y133" i="8"/>
  <c r="Y134" i="21" s="1"/>
  <c r="Z133" i="8"/>
  <c r="Z134" i="21" s="1"/>
  <c r="AA133" i="8"/>
  <c r="AA134" i="21" s="1"/>
  <c r="AB133" i="8"/>
  <c r="AB134" i="21" s="1"/>
  <c r="AC133" i="8"/>
  <c r="AC134" i="21" s="1"/>
  <c r="AD133" i="8"/>
  <c r="AD134" i="21" s="1"/>
  <c r="AE133" i="8"/>
  <c r="AF133" i="8"/>
  <c r="AG133" i="8"/>
  <c r="AG134" i="9" s="1"/>
  <c r="A134" i="8"/>
  <c r="B134" i="8"/>
  <c r="C134" i="8"/>
  <c r="D134" i="8"/>
  <c r="E134" i="8"/>
  <c r="F134" i="8"/>
  <c r="F135" i="21" s="1"/>
  <c r="G134" i="8"/>
  <c r="G135" i="21" s="1"/>
  <c r="H134" i="8"/>
  <c r="H135" i="21" s="1"/>
  <c r="I134" i="8"/>
  <c r="I135" i="21" s="1"/>
  <c r="J134" i="8"/>
  <c r="J135" i="21" s="1"/>
  <c r="K134" i="8"/>
  <c r="K135" i="21" s="1"/>
  <c r="L134" i="8"/>
  <c r="L135" i="21" s="1"/>
  <c r="M134" i="8"/>
  <c r="M135" i="21" s="1"/>
  <c r="N134" i="8"/>
  <c r="N135" i="21" s="1"/>
  <c r="O134" i="8"/>
  <c r="O135" i="21" s="1"/>
  <c r="P134" i="8"/>
  <c r="P135" i="21" s="1"/>
  <c r="Q134" i="8"/>
  <c r="Q135" i="21" s="1"/>
  <c r="R134" i="8"/>
  <c r="R135" i="21" s="1"/>
  <c r="S134" i="8"/>
  <c r="S135" i="21" s="1"/>
  <c r="T134" i="8"/>
  <c r="T135" i="21" s="1"/>
  <c r="U134" i="8"/>
  <c r="U135" i="21" s="1"/>
  <c r="V134" i="8"/>
  <c r="V135" i="21" s="1"/>
  <c r="W134" i="8"/>
  <c r="W135" i="21" s="1"/>
  <c r="X134" i="8"/>
  <c r="X135" i="21" s="1"/>
  <c r="Y134" i="8"/>
  <c r="Y135" i="21" s="1"/>
  <c r="Z134" i="8"/>
  <c r="Z135" i="21" s="1"/>
  <c r="AA134" i="8"/>
  <c r="AA135" i="21" s="1"/>
  <c r="AB134" i="8"/>
  <c r="AB135" i="21" s="1"/>
  <c r="AC134" i="8"/>
  <c r="AC135" i="21" s="1"/>
  <c r="AD134" i="8"/>
  <c r="AD135" i="21" s="1"/>
  <c r="AE134" i="8"/>
  <c r="AE135" i="21" s="1"/>
  <c r="AF134" i="8"/>
  <c r="AF135" i="21" s="1"/>
  <c r="AG134" i="8"/>
  <c r="A135" i="8"/>
  <c r="B135" i="8"/>
  <c r="C135" i="8"/>
  <c r="D135" i="8"/>
  <c r="E135" i="8"/>
  <c r="F135" i="8"/>
  <c r="F136" i="21" s="1"/>
  <c r="G135" i="8"/>
  <c r="G136" i="21" s="1"/>
  <c r="H135" i="8"/>
  <c r="H136" i="21" s="1"/>
  <c r="I135" i="8"/>
  <c r="I136" i="21" s="1"/>
  <c r="J135" i="8"/>
  <c r="J136" i="21" s="1"/>
  <c r="K135" i="8"/>
  <c r="K136" i="21" s="1"/>
  <c r="L135" i="8"/>
  <c r="L136" i="21" s="1"/>
  <c r="M135" i="8"/>
  <c r="M136" i="21" s="1"/>
  <c r="N135" i="8"/>
  <c r="N136" i="21" s="1"/>
  <c r="O135" i="8"/>
  <c r="O136" i="21" s="1"/>
  <c r="P135" i="8"/>
  <c r="P136" i="21" s="1"/>
  <c r="Q135" i="8"/>
  <c r="Q136" i="21" s="1"/>
  <c r="R135" i="8"/>
  <c r="R136" i="21" s="1"/>
  <c r="S135" i="8"/>
  <c r="S136" i="21" s="1"/>
  <c r="T135" i="8"/>
  <c r="T136" i="21" s="1"/>
  <c r="U135" i="8"/>
  <c r="U136" i="21" s="1"/>
  <c r="V135" i="8"/>
  <c r="V136" i="21" s="1"/>
  <c r="W135" i="8"/>
  <c r="W136" i="21" s="1"/>
  <c r="X135" i="8"/>
  <c r="X136" i="21" s="1"/>
  <c r="Y135" i="8"/>
  <c r="Y136" i="21" s="1"/>
  <c r="Z135" i="8"/>
  <c r="Z136" i="21" s="1"/>
  <c r="AA135" i="8"/>
  <c r="AA136" i="21" s="1"/>
  <c r="AB135" i="8"/>
  <c r="AB136" i="21" s="1"/>
  <c r="AC135" i="8"/>
  <c r="AC136" i="21" s="1"/>
  <c r="AD135" i="8"/>
  <c r="AD136" i="21" s="1"/>
  <c r="AE135" i="8"/>
  <c r="AF135" i="8"/>
  <c r="AG135" i="8"/>
  <c r="AG136" i="11" s="1"/>
  <c r="A136" i="8"/>
  <c r="B136" i="8"/>
  <c r="C136" i="8"/>
  <c r="D136" i="8"/>
  <c r="E136" i="8"/>
  <c r="F136" i="8"/>
  <c r="F137" i="21" s="1"/>
  <c r="G136" i="8"/>
  <c r="G137" i="21" s="1"/>
  <c r="H136" i="8"/>
  <c r="H137" i="21" s="1"/>
  <c r="I136" i="8"/>
  <c r="I137" i="21" s="1"/>
  <c r="J136" i="8"/>
  <c r="J137" i="21" s="1"/>
  <c r="K136" i="8"/>
  <c r="K137" i="21" s="1"/>
  <c r="L136" i="8"/>
  <c r="L137" i="21" s="1"/>
  <c r="M136" i="8"/>
  <c r="M137" i="21" s="1"/>
  <c r="N136" i="8"/>
  <c r="N137" i="21" s="1"/>
  <c r="O136" i="8"/>
  <c r="O137" i="21" s="1"/>
  <c r="P136" i="8"/>
  <c r="P137" i="21" s="1"/>
  <c r="Q136" i="8"/>
  <c r="Q137" i="21" s="1"/>
  <c r="R136" i="8"/>
  <c r="R137" i="21" s="1"/>
  <c r="S136" i="8"/>
  <c r="S137" i="21" s="1"/>
  <c r="T136" i="8"/>
  <c r="T137" i="21" s="1"/>
  <c r="U136" i="8"/>
  <c r="U137" i="21" s="1"/>
  <c r="V136" i="8"/>
  <c r="V137" i="21" s="1"/>
  <c r="W136" i="8"/>
  <c r="W137" i="21" s="1"/>
  <c r="X136" i="8"/>
  <c r="X137" i="21" s="1"/>
  <c r="Y136" i="8"/>
  <c r="Y137" i="21" s="1"/>
  <c r="Z136" i="8"/>
  <c r="Z137" i="21" s="1"/>
  <c r="AA136" i="8"/>
  <c r="AA137" i="21" s="1"/>
  <c r="AB136" i="8"/>
  <c r="AB137" i="21" s="1"/>
  <c r="AC136" i="8"/>
  <c r="AC137" i="21" s="1"/>
  <c r="AD136" i="8"/>
  <c r="AD137" i="21" s="1"/>
  <c r="AE136" i="8"/>
  <c r="AE137" i="21" s="1"/>
  <c r="AF136" i="8"/>
  <c r="AG136" i="8"/>
  <c r="A137" i="8"/>
  <c r="B137" i="8"/>
  <c r="C137" i="8"/>
  <c r="D137" i="8"/>
  <c r="E137" i="8"/>
  <c r="F137" i="8"/>
  <c r="F138" i="21" s="1"/>
  <c r="G137" i="8"/>
  <c r="G138" i="21" s="1"/>
  <c r="H137" i="8"/>
  <c r="H138" i="21" s="1"/>
  <c r="I137" i="8"/>
  <c r="I138" i="21" s="1"/>
  <c r="J137" i="8"/>
  <c r="J138" i="21" s="1"/>
  <c r="K137" i="8"/>
  <c r="K138" i="21" s="1"/>
  <c r="L137" i="8"/>
  <c r="L138" i="21" s="1"/>
  <c r="M137" i="8"/>
  <c r="M138" i="21" s="1"/>
  <c r="N137" i="8"/>
  <c r="N138" i="21" s="1"/>
  <c r="O137" i="8"/>
  <c r="O138" i="21" s="1"/>
  <c r="P137" i="8"/>
  <c r="P138" i="21" s="1"/>
  <c r="Q137" i="8"/>
  <c r="Q138" i="21" s="1"/>
  <c r="R137" i="8"/>
  <c r="R138" i="21" s="1"/>
  <c r="S137" i="8"/>
  <c r="S138" i="21" s="1"/>
  <c r="T137" i="8"/>
  <c r="T138" i="21" s="1"/>
  <c r="U137" i="8"/>
  <c r="U138" i="21" s="1"/>
  <c r="V137" i="8"/>
  <c r="V138" i="21" s="1"/>
  <c r="W137" i="8"/>
  <c r="W138" i="21" s="1"/>
  <c r="X137" i="8"/>
  <c r="X138" i="21" s="1"/>
  <c r="Y137" i="8"/>
  <c r="Y138" i="21" s="1"/>
  <c r="Z137" i="8"/>
  <c r="Z138" i="21" s="1"/>
  <c r="AA137" i="8"/>
  <c r="AA138" i="21" s="1"/>
  <c r="AB137" i="8"/>
  <c r="AB138" i="21" s="1"/>
  <c r="AC137" i="8"/>
  <c r="AC138" i="21" s="1"/>
  <c r="AD137" i="8"/>
  <c r="AD138" i="21" s="1"/>
  <c r="AE137" i="8"/>
  <c r="AF137" i="8"/>
  <c r="AG137" i="8"/>
  <c r="AG138" i="11" s="1"/>
  <c r="A138" i="8"/>
  <c r="B138" i="8"/>
  <c r="C138" i="8"/>
  <c r="D138" i="8"/>
  <c r="E138" i="8"/>
  <c r="F138" i="8"/>
  <c r="F139" i="21" s="1"/>
  <c r="G138" i="8"/>
  <c r="G139" i="21" s="1"/>
  <c r="H138" i="8"/>
  <c r="H139" i="21" s="1"/>
  <c r="I138" i="8"/>
  <c r="I139" i="21" s="1"/>
  <c r="J138" i="8"/>
  <c r="J139" i="21" s="1"/>
  <c r="K138" i="8"/>
  <c r="K139" i="21" s="1"/>
  <c r="L138" i="8"/>
  <c r="L139" i="21" s="1"/>
  <c r="M138" i="8"/>
  <c r="M139" i="21" s="1"/>
  <c r="N138" i="8"/>
  <c r="N139" i="21" s="1"/>
  <c r="O138" i="8"/>
  <c r="O139" i="21" s="1"/>
  <c r="P138" i="8"/>
  <c r="P139" i="21" s="1"/>
  <c r="Q138" i="8"/>
  <c r="Q139" i="21" s="1"/>
  <c r="R138" i="8"/>
  <c r="R139" i="21" s="1"/>
  <c r="S138" i="8"/>
  <c r="S139" i="21" s="1"/>
  <c r="T138" i="8"/>
  <c r="T139" i="21" s="1"/>
  <c r="U138" i="8"/>
  <c r="U139" i="21" s="1"/>
  <c r="V138" i="8"/>
  <c r="V139" i="21" s="1"/>
  <c r="W138" i="8"/>
  <c r="W139" i="21" s="1"/>
  <c r="X138" i="8"/>
  <c r="X139" i="21" s="1"/>
  <c r="Y138" i="8"/>
  <c r="Y139" i="21" s="1"/>
  <c r="Z138" i="8"/>
  <c r="Z139" i="21" s="1"/>
  <c r="AA138" i="8"/>
  <c r="AA139" i="21" s="1"/>
  <c r="AB138" i="8"/>
  <c r="AB139" i="21" s="1"/>
  <c r="AC138" i="8"/>
  <c r="AC139" i="21" s="1"/>
  <c r="AD138" i="8"/>
  <c r="AD139" i="21" s="1"/>
  <c r="AE138" i="8"/>
  <c r="AE139" i="21" s="1"/>
  <c r="AF138" i="8"/>
  <c r="AG138" i="8"/>
  <c r="AG139" i="9" s="1"/>
  <c r="A139" i="8"/>
  <c r="B139" i="8"/>
  <c r="C139" i="8"/>
  <c r="D139" i="8"/>
  <c r="E139" i="8"/>
  <c r="F139" i="8"/>
  <c r="F140" i="21" s="1"/>
  <c r="G139" i="8"/>
  <c r="G140" i="21" s="1"/>
  <c r="H139" i="8"/>
  <c r="H140" i="21" s="1"/>
  <c r="I139" i="8"/>
  <c r="I140" i="21" s="1"/>
  <c r="J139" i="8"/>
  <c r="J140" i="21" s="1"/>
  <c r="K139" i="8"/>
  <c r="K140" i="21" s="1"/>
  <c r="L139" i="8"/>
  <c r="L140" i="21" s="1"/>
  <c r="M139" i="8"/>
  <c r="M140" i="21" s="1"/>
  <c r="N139" i="8"/>
  <c r="N140" i="21" s="1"/>
  <c r="O139" i="8"/>
  <c r="O140" i="21" s="1"/>
  <c r="P139" i="8"/>
  <c r="P140" i="21" s="1"/>
  <c r="Q139" i="8"/>
  <c r="Q140" i="21" s="1"/>
  <c r="R139" i="8"/>
  <c r="R140" i="21" s="1"/>
  <c r="S139" i="8"/>
  <c r="S140" i="21" s="1"/>
  <c r="T139" i="8"/>
  <c r="T140" i="21" s="1"/>
  <c r="U139" i="8"/>
  <c r="U140" i="21" s="1"/>
  <c r="V139" i="8"/>
  <c r="V140" i="21" s="1"/>
  <c r="W139" i="8"/>
  <c r="W140" i="21" s="1"/>
  <c r="X139" i="8"/>
  <c r="X140" i="21" s="1"/>
  <c r="Y139" i="8"/>
  <c r="Y140" i="21" s="1"/>
  <c r="Z139" i="8"/>
  <c r="Z140" i="21" s="1"/>
  <c r="AA139" i="8"/>
  <c r="AA140" i="21" s="1"/>
  <c r="AB139" i="8"/>
  <c r="AB140" i="21" s="1"/>
  <c r="AC139" i="8"/>
  <c r="AC140" i="21" s="1"/>
  <c r="AD139" i="8"/>
  <c r="AD140" i="21" s="1"/>
  <c r="AE139" i="8"/>
  <c r="AF139" i="8"/>
  <c r="AF140" i="21" s="1"/>
  <c r="AG139" i="8"/>
  <c r="A140" i="8"/>
  <c r="B140" i="8"/>
  <c r="C140" i="8"/>
  <c r="D140" i="8"/>
  <c r="E140" i="8"/>
  <c r="F140" i="8"/>
  <c r="F141" i="21" s="1"/>
  <c r="G140" i="8"/>
  <c r="G141" i="21" s="1"/>
  <c r="H140" i="8"/>
  <c r="H141" i="21" s="1"/>
  <c r="I140" i="8"/>
  <c r="I141" i="21" s="1"/>
  <c r="J140" i="8"/>
  <c r="J141" i="21" s="1"/>
  <c r="K140" i="8"/>
  <c r="K141" i="21" s="1"/>
  <c r="L140" i="8"/>
  <c r="L141" i="21" s="1"/>
  <c r="M140" i="8"/>
  <c r="M141" i="21" s="1"/>
  <c r="N140" i="8"/>
  <c r="N141" i="21" s="1"/>
  <c r="O140" i="8"/>
  <c r="O141" i="21" s="1"/>
  <c r="P140" i="8"/>
  <c r="P141" i="21" s="1"/>
  <c r="Q140" i="8"/>
  <c r="Q141" i="21" s="1"/>
  <c r="R140" i="8"/>
  <c r="R141" i="21" s="1"/>
  <c r="S140" i="8"/>
  <c r="S141" i="21" s="1"/>
  <c r="T140" i="8"/>
  <c r="T141" i="21" s="1"/>
  <c r="U140" i="8"/>
  <c r="U141" i="21" s="1"/>
  <c r="V140" i="8"/>
  <c r="V141" i="21" s="1"/>
  <c r="W140" i="8"/>
  <c r="W141" i="21" s="1"/>
  <c r="X140" i="8"/>
  <c r="X141" i="21" s="1"/>
  <c r="Y140" i="8"/>
  <c r="Y141" i="21" s="1"/>
  <c r="Z140" i="8"/>
  <c r="Z141" i="21" s="1"/>
  <c r="AA140" i="8"/>
  <c r="AA141" i="21" s="1"/>
  <c r="AB140" i="8"/>
  <c r="AB141" i="21" s="1"/>
  <c r="AC140" i="8"/>
  <c r="AC141" i="21" s="1"/>
  <c r="AD140" i="8"/>
  <c r="AD141" i="21" s="1"/>
  <c r="AE140" i="8"/>
  <c r="AE141" i="21" s="1"/>
  <c r="AF140" i="8"/>
  <c r="AF141" i="21" s="1"/>
  <c r="AG140" i="8"/>
  <c r="A141" i="8"/>
  <c r="B141" i="8"/>
  <c r="C141" i="8"/>
  <c r="D141" i="8"/>
  <c r="E141" i="8"/>
  <c r="F141" i="8"/>
  <c r="F142" i="21" s="1"/>
  <c r="G141" i="8"/>
  <c r="G142" i="21" s="1"/>
  <c r="H141" i="8"/>
  <c r="H142" i="21" s="1"/>
  <c r="I141" i="8"/>
  <c r="I142" i="21" s="1"/>
  <c r="J141" i="8"/>
  <c r="J142" i="21" s="1"/>
  <c r="K141" i="8"/>
  <c r="K142" i="21" s="1"/>
  <c r="L141" i="8"/>
  <c r="L142" i="21" s="1"/>
  <c r="M141" i="8"/>
  <c r="M142" i="21" s="1"/>
  <c r="N141" i="8"/>
  <c r="N142" i="21" s="1"/>
  <c r="O141" i="8"/>
  <c r="O142" i="21" s="1"/>
  <c r="P141" i="8"/>
  <c r="P142" i="21" s="1"/>
  <c r="Q141" i="8"/>
  <c r="Q142" i="21" s="1"/>
  <c r="R141" i="8"/>
  <c r="R142" i="21" s="1"/>
  <c r="S141" i="8"/>
  <c r="S142" i="21" s="1"/>
  <c r="T141" i="8"/>
  <c r="T142" i="21" s="1"/>
  <c r="U141" i="8"/>
  <c r="U142" i="21" s="1"/>
  <c r="V141" i="8"/>
  <c r="V142" i="21" s="1"/>
  <c r="W141" i="8"/>
  <c r="W142" i="21" s="1"/>
  <c r="X141" i="8"/>
  <c r="X142" i="21" s="1"/>
  <c r="Y141" i="8"/>
  <c r="Y142" i="21" s="1"/>
  <c r="Z141" i="8"/>
  <c r="Z142" i="21" s="1"/>
  <c r="AA141" i="8"/>
  <c r="AA142" i="21" s="1"/>
  <c r="AB141" i="8"/>
  <c r="AB142" i="21" s="1"/>
  <c r="AC141" i="8"/>
  <c r="AC142" i="21" s="1"/>
  <c r="AD141" i="8"/>
  <c r="AD142" i="21" s="1"/>
  <c r="AE141" i="8"/>
  <c r="AF141" i="8"/>
  <c r="AF142" i="21" s="1"/>
  <c r="AG141" i="8"/>
  <c r="A142" i="8"/>
  <c r="B142" i="8"/>
  <c r="C142" i="8"/>
  <c r="D142" i="8"/>
  <c r="E142" i="8"/>
  <c r="F142" i="8"/>
  <c r="F143" i="21" s="1"/>
  <c r="G142" i="8"/>
  <c r="G143" i="21" s="1"/>
  <c r="H142" i="8"/>
  <c r="H143" i="21" s="1"/>
  <c r="I142" i="8"/>
  <c r="I143" i="21" s="1"/>
  <c r="J142" i="8"/>
  <c r="J143" i="21" s="1"/>
  <c r="K142" i="8"/>
  <c r="K143" i="21" s="1"/>
  <c r="L142" i="8"/>
  <c r="L143" i="21" s="1"/>
  <c r="M142" i="8"/>
  <c r="M143" i="21" s="1"/>
  <c r="N142" i="8"/>
  <c r="N143" i="21" s="1"/>
  <c r="O142" i="8"/>
  <c r="O143" i="21" s="1"/>
  <c r="P142" i="8"/>
  <c r="P143" i="21" s="1"/>
  <c r="Q142" i="8"/>
  <c r="Q143" i="21" s="1"/>
  <c r="R142" i="8"/>
  <c r="R143" i="21" s="1"/>
  <c r="S142" i="8"/>
  <c r="S143" i="21" s="1"/>
  <c r="T142" i="8"/>
  <c r="T143" i="21" s="1"/>
  <c r="U142" i="8"/>
  <c r="U143" i="21" s="1"/>
  <c r="V142" i="8"/>
  <c r="V143" i="21" s="1"/>
  <c r="W142" i="8"/>
  <c r="W143" i="21" s="1"/>
  <c r="X142" i="8"/>
  <c r="X143" i="21" s="1"/>
  <c r="Y142" i="8"/>
  <c r="Y143" i="21" s="1"/>
  <c r="Z142" i="8"/>
  <c r="Z143" i="21" s="1"/>
  <c r="AA142" i="8"/>
  <c r="AA143" i="21" s="1"/>
  <c r="AB142" i="8"/>
  <c r="AB143" i="21" s="1"/>
  <c r="AC142" i="8"/>
  <c r="AC143" i="21" s="1"/>
  <c r="AD142" i="8"/>
  <c r="AD143" i="21" s="1"/>
  <c r="AE142" i="8"/>
  <c r="AE143" i="21" s="1"/>
  <c r="AF142" i="8"/>
  <c r="AF143" i="21" s="1"/>
  <c r="AG142" i="8"/>
  <c r="A143" i="8"/>
  <c r="B143" i="8"/>
  <c r="C143" i="8"/>
  <c r="D143" i="8"/>
  <c r="E143" i="8"/>
  <c r="F143" i="8"/>
  <c r="F144" i="21" s="1"/>
  <c r="G143" i="8"/>
  <c r="G144" i="21" s="1"/>
  <c r="H143" i="8"/>
  <c r="H144" i="21" s="1"/>
  <c r="I143" i="8"/>
  <c r="I144" i="21" s="1"/>
  <c r="J143" i="8"/>
  <c r="J144" i="21" s="1"/>
  <c r="K143" i="8"/>
  <c r="K144" i="21" s="1"/>
  <c r="L143" i="8"/>
  <c r="L144" i="21" s="1"/>
  <c r="M143" i="8"/>
  <c r="M144" i="21" s="1"/>
  <c r="N143" i="8"/>
  <c r="N144" i="21" s="1"/>
  <c r="O143" i="8"/>
  <c r="O144" i="21" s="1"/>
  <c r="P143" i="8"/>
  <c r="P144" i="21" s="1"/>
  <c r="Q143" i="8"/>
  <c r="Q144" i="21" s="1"/>
  <c r="R143" i="8"/>
  <c r="R144" i="21" s="1"/>
  <c r="S143" i="8"/>
  <c r="S144" i="21" s="1"/>
  <c r="T143" i="8"/>
  <c r="T144" i="21" s="1"/>
  <c r="U143" i="8"/>
  <c r="U144" i="21" s="1"/>
  <c r="V143" i="8"/>
  <c r="V144" i="21" s="1"/>
  <c r="W143" i="8"/>
  <c r="W144" i="21" s="1"/>
  <c r="X143" i="8"/>
  <c r="X144" i="21" s="1"/>
  <c r="Y143" i="8"/>
  <c r="Y144" i="21" s="1"/>
  <c r="Z143" i="8"/>
  <c r="Z144" i="21" s="1"/>
  <c r="AA143" i="8"/>
  <c r="AA144" i="21" s="1"/>
  <c r="AB143" i="8"/>
  <c r="AB144" i="21" s="1"/>
  <c r="AC143" i="8"/>
  <c r="AC144" i="21" s="1"/>
  <c r="AD143" i="8"/>
  <c r="AD144" i="21" s="1"/>
  <c r="AE143" i="8"/>
  <c r="AF143" i="8"/>
  <c r="AF144" i="21" s="1"/>
  <c r="AG143" i="8"/>
  <c r="A144" i="8"/>
  <c r="B144" i="8"/>
  <c r="C144" i="8"/>
  <c r="D144" i="8"/>
  <c r="E144" i="8"/>
  <c r="F144" i="8"/>
  <c r="F145" i="21" s="1"/>
  <c r="G144" i="8"/>
  <c r="G145" i="21" s="1"/>
  <c r="H144" i="8"/>
  <c r="H145" i="21" s="1"/>
  <c r="I144" i="8"/>
  <c r="I145" i="21" s="1"/>
  <c r="J144" i="8"/>
  <c r="J145" i="21" s="1"/>
  <c r="K144" i="8"/>
  <c r="K145" i="21" s="1"/>
  <c r="L144" i="8"/>
  <c r="L145" i="21" s="1"/>
  <c r="M144" i="8"/>
  <c r="M145" i="21" s="1"/>
  <c r="N144" i="8"/>
  <c r="N145" i="21" s="1"/>
  <c r="O144" i="8"/>
  <c r="O145" i="21" s="1"/>
  <c r="P144" i="8"/>
  <c r="P145" i="21" s="1"/>
  <c r="Q144" i="8"/>
  <c r="Q145" i="21" s="1"/>
  <c r="R144" i="8"/>
  <c r="R145" i="21" s="1"/>
  <c r="S144" i="8"/>
  <c r="S145" i="21" s="1"/>
  <c r="T144" i="8"/>
  <c r="T145" i="21" s="1"/>
  <c r="U144" i="8"/>
  <c r="U145" i="21" s="1"/>
  <c r="V144" i="8"/>
  <c r="V145" i="21" s="1"/>
  <c r="W144" i="8"/>
  <c r="W145" i="21" s="1"/>
  <c r="X144" i="8"/>
  <c r="X145" i="21" s="1"/>
  <c r="Y144" i="8"/>
  <c r="Y145" i="21" s="1"/>
  <c r="Z144" i="8"/>
  <c r="Z145" i="21" s="1"/>
  <c r="AA144" i="8"/>
  <c r="AA145" i="21" s="1"/>
  <c r="AB144" i="8"/>
  <c r="AB145" i="21" s="1"/>
  <c r="AC144" i="8"/>
  <c r="AC145" i="21" s="1"/>
  <c r="AD144" i="8"/>
  <c r="AD145" i="21" s="1"/>
  <c r="AE144" i="8"/>
  <c r="AE145" i="21" s="1"/>
  <c r="AF144" i="8"/>
  <c r="AF145" i="21" s="1"/>
  <c r="AG144" i="8"/>
  <c r="A145" i="8"/>
  <c r="B145" i="8"/>
  <c r="C145" i="8"/>
  <c r="D145" i="8"/>
  <c r="E145" i="8"/>
  <c r="F145" i="8"/>
  <c r="F146" i="21" s="1"/>
  <c r="G145" i="8"/>
  <c r="G146" i="21" s="1"/>
  <c r="H145" i="8"/>
  <c r="H146" i="21" s="1"/>
  <c r="I145" i="8"/>
  <c r="I146" i="21" s="1"/>
  <c r="J145" i="8"/>
  <c r="J146" i="21" s="1"/>
  <c r="K145" i="8"/>
  <c r="K146" i="21" s="1"/>
  <c r="L145" i="8"/>
  <c r="L146" i="21" s="1"/>
  <c r="M145" i="8"/>
  <c r="M146" i="21" s="1"/>
  <c r="N145" i="8"/>
  <c r="N146" i="21" s="1"/>
  <c r="O145" i="8"/>
  <c r="O146" i="21" s="1"/>
  <c r="P145" i="8"/>
  <c r="P146" i="21" s="1"/>
  <c r="Q145" i="8"/>
  <c r="Q146" i="21" s="1"/>
  <c r="R145" i="8"/>
  <c r="R146" i="21" s="1"/>
  <c r="S145" i="8"/>
  <c r="S146" i="21" s="1"/>
  <c r="T145" i="8"/>
  <c r="T146" i="21" s="1"/>
  <c r="U145" i="8"/>
  <c r="U146" i="21" s="1"/>
  <c r="V145" i="8"/>
  <c r="V146" i="21" s="1"/>
  <c r="W145" i="8"/>
  <c r="W146" i="21" s="1"/>
  <c r="X145" i="8"/>
  <c r="X146" i="21" s="1"/>
  <c r="Y145" i="8"/>
  <c r="Y146" i="21" s="1"/>
  <c r="Z145" i="8"/>
  <c r="Z146" i="21" s="1"/>
  <c r="AA145" i="8"/>
  <c r="AA146" i="21" s="1"/>
  <c r="AB145" i="8"/>
  <c r="AB146" i="21" s="1"/>
  <c r="AC145" i="8"/>
  <c r="AC146" i="21" s="1"/>
  <c r="AD145" i="8"/>
  <c r="AD146" i="21" s="1"/>
  <c r="AE145" i="8"/>
  <c r="AF145" i="8"/>
  <c r="AF146" i="21" s="1"/>
  <c r="AG145" i="8"/>
  <c r="A146" i="8"/>
  <c r="B146" i="8"/>
  <c r="C146" i="8"/>
  <c r="D146" i="8"/>
  <c r="E146" i="8"/>
  <c r="F146" i="8"/>
  <c r="F147" i="21" s="1"/>
  <c r="G146" i="8"/>
  <c r="G147" i="21" s="1"/>
  <c r="H146" i="8"/>
  <c r="H147" i="21" s="1"/>
  <c r="I146" i="8"/>
  <c r="I147" i="21" s="1"/>
  <c r="J146" i="8"/>
  <c r="J147" i="21" s="1"/>
  <c r="K146" i="8"/>
  <c r="K147" i="21" s="1"/>
  <c r="L146" i="8"/>
  <c r="L147" i="21" s="1"/>
  <c r="M146" i="8"/>
  <c r="M147" i="21" s="1"/>
  <c r="N146" i="8"/>
  <c r="N147" i="21" s="1"/>
  <c r="O146" i="8"/>
  <c r="O147" i="21" s="1"/>
  <c r="P146" i="8"/>
  <c r="P147" i="21" s="1"/>
  <c r="Q146" i="8"/>
  <c r="Q147" i="21" s="1"/>
  <c r="R146" i="8"/>
  <c r="R147" i="21" s="1"/>
  <c r="S146" i="8"/>
  <c r="S147" i="21" s="1"/>
  <c r="T146" i="8"/>
  <c r="T147" i="21" s="1"/>
  <c r="U146" i="8"/>
  <c r="U147" i="21" s="1"/>
  <c r="V146" i="8"/>
  <c r="V147" i="21" s="1"/>
  <c r="W146" i="8"/>
  <c r="W147" i="21" s="1"/>
  <c r="X146" i="8"/>
  <c r="X147" i="21" s="1"/>
  <c r="Y146" i="8"/>
  <c r="Y147" i="21" s="1"/>
  <c r="Z146" i="8"/>
  <c r="Z147" i="21" s="1"/>
  <c r="AA146" i="8"/>
  <c r="AA147" i="21" s="1"/>
  <c r="AB146" i="8"/>
  <c r="AB147" i="21" s="1"/>
  <c r="AC146" i="8"/>
  <c r="AC147" i="21" s="1"/>
  <c r="AD146" i="8"/>
  <c r="AD147" i="21" s="1"/>
  <c r="AE146" i="8"/>
  <c r="AE147" i="21" s="1"/>
  <c r="AF146" i="8"/>
  <c r="AG146" i="8"/>
  <c r="AG147" i="11" s="1"/>
  <c r="A147" i="8"/>
  <c r="B147" i="8"/>
  <c r="C147" i="8"/>
  <c r="D147" i="8"/>
  <c r="E147" i="8"/>
  <c r="F147" i="8"/>
  <c r="F148" i="21" s="1"/>
  <c r="G147" i="8"/>
  <c r="G148" i="21" s="1"/>
  <c r="H147" i="8"/>
  <c r="H148" i="21" s="1"/>
  <c r="I147" i="8"/>
  <c r="I148" i="21" s="1"/>
  <c r="J147" i="8"/>
  <c r="J148" i="21" s="1"/>
  <c r="K147" i="8"/>
  <c r="K148" i="21" s="1"/>
  <c r="L147" i="8"/>
  <c r="L148" i="21" s="1"/>
  <c r="M147" i="8"/>
  <c r="M148" i="21" s="1"/>
  <c r="N147" i="8"/>
  <c r="N148" i="21" s="1"/>
  <c r="O147" i="8"/>
  <c r="O148" i="21" s="1"/>
  <c r="P147" i="8"/>
  <c r="P148" i="21" s="1"/>
  <c r="Q147" i="8"/>
  <c r="Q148" i="21" s="1"/>
  <c r="R147" i="8"/>
  <c r="R148" i="21" s="1"/>
  <c r="S147" i="8"/>
  <c r="S148" i="21" s="1"/>
  <c r="T147" i="8"/>
  <c r="T148" i="21" s="1"/>
  <c r="U147" i="8"/>
  <c r="U148" i="21" s="1"/>
  <c r="V147" i="8"/>
  <c r="V148" i="21" s="1"/>
  <c r="W147" i="8"/>
  <c r="W148" i="21" s="1"/>
  <c r="X147" i="8"/>
  <c r="X148" i="21" s="1"/>
  <c r="Y147" i="8"/>
  <c r="Y148" i="21" s="1"/>
  <c r="Z147" i="8"/>
  <c r="Z148" i="21" s="1"/>
  <c r="AA147" i="8"/>
  <c r="AA148" i="21" s="1"/>
  <c r="AB147" i="8"/>
  <c r="AB148" i="21" s="1"/>
  <c r="AC147" i="8"/>
  <c r="AC148" i="21" s="1"/>
  <c r="AD147" i="8"/>
  <c r="AD148" i="21" s="1"/>
  <c r="AE147" i="8"/>
  <c r="AF147" i="8"/>
  <c r="AG147" i="8"/>
  <c r="AG148" i="10" s="1"/>
  <c r="A148" i="8"/>
  <c r="B148" i="8"/>
  <c r="C148" i="8"/>
  <c r="D148" i="8"/>
  <c r="E148" i="8"/>
  <c r="F148" i="8"/>
  <c r="F149" i="21" s="1"/>
  <c r="G148" i="8"/>
  <c r="G149" i="21" s="1"/>
  <c r="H148" i="8"/>
  <c r="H149" i="21" s="1"/>
  <c r="I148" i="8"/>
  <c r="I149" i="21" s="1"/>
  <c r="J148" i="8"/>
  <c r="J149" i="21" s="1"/>
  <c r="K148" i="8"/>
  <c r="K149" i="21" s="1"/>
  <c r="L148" i="8"/>
  <c r="L149" i="21" s="1"/>
  <c r="M148" i="8"/>
  <c r="M149" i="21" s="1"/>
  <c r="N148" i="8"/>
  <c r="N149" i="21" s="1"/>
  <c r="O148" i="8"/>
  <c r="O149" i="21" s="1"/>
  <c r="P148" i="8"/>
  <c r="P149" i="21" s="1"/>
  <c r="Q148" i="8"/>
  <c r="Q149" i="21" s="1"/>
  <c r="R148" i="8"/>
  <c r="R149" i="21" s="1"/>
  <c r="S148" i="8"/>
  <c r="S149" i="21" s="1"/>
  <c r="T148" i="8"/>
  <c r="T149" i="21" s="1"/>
  <c r="U148" i="8"/>
  <c r="U149" i="21" s="1"/>
  <c r="V148" i="8"/>
  <c r="V149" i="21" s="1"/>
  <c r="W148" i="8"/>
  <c r="W149" i="21" s="1"/>
  <c r="X148" i="8"/>
  <c r="X149" i="21" s="1"/>
  <c r="Y148" i="8"/>
  <c r="Y149" i="21" s="1"/>
  <c r="Z148" i="8"/>
  <c r="Z149" i="21" s="1"/>
  <c r="AA148" i="8"/>
  <c r="AA149" i="21" s="1"/>
  <c r="AB148" i="8"/>
  <c r="AB149" i="21" s="1"/>
  <c r="AC148" i="8"/>
  <c r="AC149" i="21" s="1"/>
  <c r="AD148" i="8"/>
  <c r="AD149" i="21" s="1"/>
  <c r="AE148" i="8"/>
  <c r="AE149" i="21" s="1"/>
  <c r="AF148" i="8"/>
  <c r="AG148" i="8"/>
  <c r="AG149" i="11" s="1"/>
  <c r="A149" i="8"/>
  <c r="B149" i="8"/>
  <c r="C149" i="8"/>
  <c r="D149" i="8"/>
  <c r="E149" i="8"/>
  <c r="F149" i="8"/>
  <c r="F150" i="21" s="1"/>
  <c r="G149" i="8"/>
  <c r="G150" i="21" s="1"/>
  <c r="H149" i="8"/>
  <c r="H150" i="21" s="1"/>
  <c r="I149" i="8"/>
  <c r="I150" i="21" s="1"/>
  <c r="J149" i="8"/>
  <c r="J150" i="21" s="1"/>
  <c r="K149" i="8"/>
  <c r="K150" i="21" s="1"/>
  <c r="L149" i="8"/>
  <c r="L150" i="21" s="1"/>
  <c r="M149" i="8"/>
  <c r="M150" i="21" s="1"/>
  <c r="N149" i="8"/>
  <c r="N150" i="21" s="1"/>
  <c r="O149" i="8"/>
  <c r="O150" i="21" s="1"/>
  <c r="P149" i="8"/>
  <c r="P150" i="21" s="1"/>
  <c r="Q149" i="8"/>
  <c r="Q150" i="21" s="1"/>
  <c r="R149" i="8"/>
  <c r="R150" i="21" s="1"/>
  <c r="S149" i="8"/>
  <c r="S150" i="21" s="1"/>
  <c r="T149" i="8"/>
  <c r="T150" i="21" s="1"/>
  <c r="U149" i="8"/>
  <c r="U150" i="21" s="1"/>
  <c r="V149" i="8"/>
  <c r="V150" i="21" s="1"/>
  <c r="W149" i="8"/>
  <c r="W150" i="21" s="1"/>
  <c r="X149" i="8"/>
  <c r="X150" i="21" s="1"/>
  <c r="Y149" i="8"/>
  <c r="Y150" i="21" s="1"/>
  <c r="Z149" i="8"/>
  <c r="Z150" i="21" s="1"/>
  <c r="AA149" i="8"/>
  <c r="AA150" i="21" s="1"/>
  <c r="AB149" i="8"/>
  <c r="AB150" i="21" s="1"/>
  <c r="AC149" i="8"/>
  <c r="AC150" i="21" s="1"/>
  <c r="AD149" i="8"/>
  <c r="AD150" i="21" s="1"/>
  <c r="AE149" i="8"/>
  <c r="AF149" i="8"/>
  <c r="AF150" i="21" s="1"/>
  <c r="AG149" i="8"/>
  <c r="A150" i="8"/>
  <c r="B150" i="8"/>
  <c r="C150" i="8"/>
  <c r="D150" i="8"/>
  <c r="E150" i="8"/>
  <c r="F150" i="8"/>
  <c r="F151" i="21" s="1"/>
  <c r="G150" i="8"/>
  <c r="G151" i="21" s="1"/>
  <c r="H150" i="8"/>
  <c r="H151" i="21" s="1"/>
  <c r="I150" i="8"/>
  <c r="I151" i="21" s="1"/>
  <c r="J150" i="8"/>
  <c r="J151" i="21" s="1"/>
  <c r="K150" i="8"/>
  <c r="K151" i="21" s="1"/>
  <c r="L150" i="8"/>
  <c r="L151" i="21" s="1"/>
  <c r="M150" i="8"/>
  <c r="M151" i="21" s="1"/>
  <c r="N150" i="8"/>
  <c r="N151" i="21" s="1"/>
  <c r="O150" i="8"/>
  <c r="O151" i="21" s="1"/>
  <c r="P150" i="8"/>
  <c r="P151" i="21" s="1"/>
  <c r="Q150" i="8"/>
  <c r="Q151" i="21" s="1"/>
  <c r="R150" i="8"/>
  <c r="R151" i="21" s="1"/>
  <c r="S150" i="8"/>
  <c r="S151" i="21" s="1"/>
  <c r="T150" i="8"/>
  <c r="T151" i="21" s="1"/>
  <c r="U150" i="8"/>
  <c r="U151" i="21" s="1"/>
  <c r="V150" i="8"/>
  <c r="V151" i="21" s="1"/>
  <c r="W150" i="8"/>
  <c r="W151" i="21" s="1"/>
  <c r="X150" i="8"/>
  <c r="X151" i="21" s="1"/>
  <c r="Y150" i="8"/>
  <c r="Y151" i="21" s="1"/>
  <c r="Z150" i="8"/>
  <c r="Z151" i="21" s="1"/>
  <c r="AA150" i="8"/>
  <c r="AA151" i="21" s="1"/>
  <c r="AB150" i="8"/>
  <c r="AB151" i="21" s="1"/>
  <c r="AC150" i="8"/>
  <c r="AC151" i="21" s="1"/>
  <c r="AD150" i="8"/>
  <c r="AD151" i="21" s="1"/>
  <c r="AE150" i="8"/>
  <c r="AE151" i="21" s="1"/>
  <c r="AF150" i="8"/>
  <c r="AF151" i="21" s="1"/>
  <c r="AG150" i="8"/>
  <c r="A151" i="8"/>
  <c r="B151" i="8"/>
  <c r="C151" i="8"/>
  <c r="D151" i="8"/>
  <c r="E151" i="8"/>
  <c r="F151" i="8"/>
  <c r="F152" i="21" s="1"/>
  <c r="G151" i="8"/>
  <c r="G152" i="21" s="1"/>
  <c r="H151" i="8"/>
  <c r="H152" i="21" s="1"/>
  <c r="I151" i="8"/>
  <c r="I152" i="21" s="1"/>
  <c r="J151" i="8"/>
  <c r="J152" i="21" s="1"/>
  <c r="K151" i="8"/>
  <c r="K152" i="21" s="1"/>
  <c r="L151" i="8"/>
  <c r="L152" i="21" s="1"/>
  <c r="M151" i="8"/>
  <c r="M152" i="21" s="1"/>
  <c r="N151" i="8"/>
  <c r="N152" i="21" s="1"/>
  <c r="O151" i="8"/>
  <c r="O152" i="21" s="1"/>
  <c r="P151" i="8"/>
  <c r="P152" i="21" s="1"/>
  <c r="Q151" i="8"/>
  <c r="Q152" i="21" s="1"/>
  <c r="R151" i="8"/>
  <c r="R152" i="21" s="1"/>
  <c r="S151" i="8"/>
  <c r="S152" i="21" s="1"/>
  <c r="T151" i="8"/>
  <c r="T152" i="21" s="1"/>
  <c r="U151" i="8"/>
  <c r="U152" i="21" s="1"/>
  <c r="V151" i="8"/>
  <c r="V152" i="21" s="1"/>
  <c r="W151" i="8"/>
  <c r="W152" i="21" s="1"/>
  <c r="X151" i="8"/>
  <c r="X152" i="21" s="1"/>
  <c r="Y151" i="8"/>
  <c r="Y152" i="21" s="1"/>
  <c r="Z151" i="8"/>
  <c r="Z152" i="21" s="1"/>
  <c r="AA151" i="8"/>
  <c r="AA152" i="21" s="1"/>
  <c r="AB151" i="8"/>
  <c r="AB152" i="21" s="1"/>
  <c r="AC151" i="8"/>
  <c r="AC152" i="21" s="1"/>
  <c r="AD151" i="8"/>
  <c r="AD152" i="21" s="1"/>
  <c r="AE151" i="8"/>
  <c r="AF151" i="8"/>
  <c r="AF152" i="21" s="1"/>
  <c r="AG151" i="8"/>
  <c r="A152" i="8"/>
  <c r="B152" i="8"/>
  <c r="C152" i="8"/>
  <c r="D152" i="8"/>
  <c r="E152" i="8"/>
  <c r="F152" i="8"/>
  <c r="F153" i="21" s="1"/>
  <c r="G152" i="8"/>
  <c r="G153" i="21" s="1"/>
  <c r="H152" i="8"/>
  <c r="H153" i="21" s="1"/>
  <c r="I152" i="8"/>
  <c r="I153" i="21" s="1"/>
  <c r="J152" i="8"/>
  <c r="J153" i="21" s="1"/>
  <c r="K152" i="8"/>
  <c r="K153" i="21" s="1"/>
  <c r="L152" i="8"/>
  <c r="L153" i="21" s="1"/>
  <c r="M152" i="8"/>
  <c r="M153" i="21" s="1"/>
  <c r="N152" i="8"/>
  <c r="N153" i="21" s="1"/>
  <c r="O152" i="8"/>
  <c r="O153" i="21" s="1"/>
  <c r="P152" i="8"/>
  <c r="P153" i="21" s="1"/>
  <c r="Q152" i="8"/>
  <c r="Q153" i="21" s="1"/>
  <c r="R152" i="8"/>
  <c r="R153" i="21" s="1"/>
  <c r="S152" i="8"/>
  <c r="S153" i="21" s="1"/>
  <c r="T152" i="8"/>
  <c r="T153" i="21" s="1"/>
  <c r="U152" i="8"/>
  <c r="U153" i="21" s="1"/>
  <c r="V152" i="8"/>
  <c r="V153" i="21" s="1"/>
  <c r="W152" i="8"/>
  <c r="W153" i="21" s="1"/>
  <c r="X152" i="8"/>
  <c r="X153" i="21" s="1"/>
  <c r="Y152" i="8"/>
  <c r="Y153" i="21" s="1"/>
  <c r="Z152" i="8"/>
  <c r="Z153" i="21" s="1"/>
  <c r="AA152" i="8"/>
  <c r="AA153" i="21" s="1"/>
  <c r="AB152" i="8"/>
  <c r="AB153" i="21" s="1"/>
  <c r="AC152" i="8"/>
  <c r="AC153" i="21" s="1"/>
  <c r="AD152" i="8"/>
  <c r="AD153" i="21" s="1"/>
  <c r="AE152" i="8"/>
  <c r="AE153" i="21" s="1"/>
  <c r="AF152" i="8"/>
  <c r="AF153" i="21" s="1"/>
  <c r="AG152" i="8"/>
  <c r="A153" i="8"/>
  <c r="B153" i="8"/>
  <c r="C153" i="8"/>
  <c r="D153" i="8"/>
  <c r="E153" i="8"/>
  <c r="F153" i="8"/>
  <c r="F154" i="21" s="1"/>
  <c r="G153" i="8"/>
  <c r="G154" i="21" s="1"/>
  <c r="H153" i="8"/>
  <c r="H154" i="21" s="1"/>
  <c r="I153" i="8"/>
  <c r="I154" i="21" s="1"/>
  <c r="J153" i="8"/>
  <c r="J154" i="21" s="1"/>
  <c r="K153" i="8"/>
  <c r="K154" i="21" s="1"/>
  <c r="L153" i="8"/>
  <c r="L154" i="21" s="1"/>
  <c r="M153" i="8"/>
  <c r="M154" i="21" s="1"/>
  <c r="N153" i="8"/>
  <c r="N154" i="21" s="1"/>
  <c r="O153" i="8"/>
  <c r="O154" i="21" s="1"/>
  <c r="P153" i="8"/>
  <c r="P154" i="21" s="1"/>
  <c r="Q153" i="8"/>
  <c r="Q154" i="21" s="1"/>
  <c r="R153" i="8"/>
  <c r="R154" i="21" s="1"/>
  <c r="S153" i="8"/>
  <c r="S154" i="21" s="1"/>
  <c r="T153" i="8"/>
  <c r="T154" i="21" s="1"/>
  <c r="U153" i="8"/>
  <c r="U154" i="21" s="1"/>
  <c r="V153" i="8"/>
  <c r="V154" i="21" s="1"/>
  <c r="W153" i="8"/>
  <c r="W154" i="21" s="1"/>
  <c r="X153" i="8"/>
  <c r="X154" i="21" s="1"/>
  <c r="Y153" i="8"/>
  <c r="Y154" i="21" s="1"/>
  <c r="Z153" i="8"/>
  <c r="Z154" i="21" s="1"/>
  <c r="AA153" i="8"/>
  <c r="AA154" i="21" s="1"/>
  <c r="AB153" i="8"/>
  <c r="AB154" i="21" s="1"/>
  <c r="AC153" i="8"/>
  <c r="AC154" i="21" s="1"/>
  <c r="AD153" i="8"/>
  <c r="AD154" i="21" s="1"/>
  <c r="AE153" i="8"/>
  <c r="AF153" i="8"/>
  <c r="AF154" i="21" s="1"/>
  <c r="AG153" i="8"/>
  <c r="A154" i="8"/>
  <c r="B154" i="8"/>
  <c r="C154" i="8"/>
  <c r="D154" i="8"/>
  <c r="E154" i="8"/>
  <c r="F154" i="8"/>
  <c r="F155" i="21" s="1"/>
  <c r="G154" i="8"/>
  <c r="G155" i="21" s="1"/>
  <c r="H154" i="8"/>
  <c r="H155" i="21" s="1"/>
  <c r="I154" i="8"/>
  <c r="I155" i="21" s="1"/>
  <c r="J154" i="8"/>
  <c r="J155" i="21" s="1"/>
  <c r="K154" i="8"/>
  <c r="K155" i="21" s="1"/>
  <c r="L154" i="8"/>
  <c r="L155" i="21" s="1"/>
  <c r="M154" i="8"/>
  <c r="M155" i="21" s="1"/>
  <c r="N154" i="8"/>
  <c r="N155" i="21" s="1"/>
  <c r="O154" i="8"/>
  <c r="O155" i="21" s="1"/>
  <c r="P154" i="8"/>
  <c r="P155" i="21" s="1"/>
  <c r="Q154" i="8"/>
  <c r="Q155" i="21" s="1"/>
  <c r="R154" i="8"/>
  <c r="R155" i="21" s="1"/>
  <c r="S154" i="8"/>
  <c r="S155" i="21" s="1"/>
  <c r="T154" i="8"/>
  <c r="T155" i="21" s="1"/>
  <c r="U154" i="8"/>
  <c r="U155" i="21" s="1"/>
  <c r="V154" i="8"/>
  <c r="V155" i="21" s="1"/>
  <c r="W154" i="8"/>
  <c r="W155" i="21" s="1"/>
  <c r="X154" i="8"/>
  <c r="X155" i="21" s="1"/>
  <c r="Y154" i="8"/>
  <c r="Y155" i="21" s="1"/>
  <c r="Z154" i="8"/>
  <c r="Z155" i="21" s="1"/>
  <c r="AA154" i="8"/>
  <c r="AA155" i="21" s="1"/>
  <c r="AB154" i="8"/>
  <c r="AB155" i="21" s="1"/>
  <c r="AC154" i="8"/>
  <c r="AC155" i="21" s="1"/>
  <c r="AD154" i="8"/>
  <c r="AD155" i="21" s="1"/>
  <c r="AE154" i="8"/>
  <c r="AE155" i="21" s="1"/>
  <c r="AF154" i="8"/>
  <c r="AF155" i="21" s="1"/>
  <c r="AG154" i="8"/>
  <c r="A155" i="8"/>
  <c r="B155" i="8"/>
  <c r="C155" i="8"/>
  <c r="D155" i="8"/>
  <c r="E155" i="8"/>
  <c r="F155" i="8"/>
  <c r="F156" i="21" s="1"/>
  <c r="G155" i="8"/>
  <c r="G156" i="21" s="1"/>
  <c r="H155" i="8"/>
  <c r="H156" i="21" s="1"/>
  <c r="I155" i="8"/>
  <c r="I156" i="21" s="1"/>
  <c r="J155" i="8"/>
  <c r="J156" i="21" s="1"/>
  <c r="K155" i="8"/>
  <c r="K156" i="21" s="1"/>
  <c r="L155" i="8"/>
  <c r="L156" i="21" s="1"/>
  <c r="M155" i="8"/>
  <c r="M156" i="21" s="1"/>
  <c r="N155" i="8"/>
  <c r="N156" i="21" s="1"/>
  <c r="O155" i="8"/>
  <c r="O156" i="21" s="1"/>
  <c r="P155" i="8"/>
  <c r="P156" i="21" s="1"/>
  <c r="Q155" i="8"/>
  <c r="Q156" i="21" s="1"/>
  <c r="R155" i="8"/>
  <c r="R156" i="21" s="1"/>
  <c r="S155" i="8"/>
  <c r="S156" i="21" s="1"/>
  <c r="T155" i="8"/>
  <c r="T156" i="21" s="1"/>
  <c r="U155" i="8"/>
  <c r="U156" i="21" s="1"/>
  <c r="V155" i="8"/>
  <c r="V156" i="21" s="1"/>
  <c r="W155" i="8"/>
  <c r="W156" i="21" s="1"/>
  <c r="X155" i="8"/>
  <c r="X156" i="21" s="1"/>
  <c r="Y155" i="8"/>
  <c r="Y156" i="21" s="1"/>
  <c r="Z155" i="8"/>
  <c r="Z156" i="21" s="1"/>
  <c r="AA155" i="8"/>
  <c r="AA156" i="21" s="1"/>
  <c r="AB155" i="8"/>
  <c r="AB156" i="21" s="1"/>
  <c r="AC155" i="8"/>
  <c r="AC156" i="21" s="1"/>
  <c r="AD155" i="8"/>
  <c r="AD156" i="21" s="1"/>
  <c r="AE155" i="8"/>
  <c r="AF155" i="8"/>
  <c r="AF156" i="21" s="1"/>
  <c r="AG155" i="8"/>
  <c r="A156" i="8"/>
  <c r="B156" i="8"/>
  <c r="C156" i="8"/>
  <c r="D156" i="8"/>
  <c r="E156" i="8"/>
  <c r="F156" i="8"/>
  <c r="F157" i="21" s="1"/>
  <c r="G156" i="8"/>
  <c r="G157" i="21" s="1"/>
  <c r="H156" i="8"/>
  <c r="H157" i="21" s="1"/>
  <c r="I156" i="8"/>
  <c r="I157" i="21" s="1"/>
  <c r="J156" i="8"/>
  <c r="J157" i="21" s="1"/>
  <c r="K156" i="8"/>
  <c r="K157" i="21" s="1"/>
  <c r="L156" i="8"/>
  <c r="L157" i="21" s="1"/>
  <c r="M156" i="8"/>
  <c r="M157" i="21" s="1"/>
  <c r="N156" i="8"/>
  <c r="N157" i="21" s="1"/>
  <c r="O156" i="8"/>
  <c r="O157" i="21" s="1"/>
  <c r="P156" i="8"/>
  <c r="P157" i="21" s="1"/>
  <c r="Q156" i="8"/>
  <c r="Q157" i="21" s="1"/>
  <c r="R156" i="8"/>
  <c r="R157" i="21" s="1"/>
  <c r="S156" i="8"/>
  <c r="S157" i="21" s="1"/>
  <c r="T156" i="8"/>
  <c r="T157" i="21" s="1"/>
  <c r="U156" i="8"/>
  <c r="U157" i="21" s="1"/>
  <c r="V156" i="8"/>
  <c r="V157" i="21" s="1"/>
  <c r="W156" i="8"/>
  <c r="W157" i="21" s="1"/>
  <c r="X156" i="8"/>
  <c r="X157" i="21" s="1"/>
  <c r="Y156" i="8"/>
  <c r="Y157" i="21" s="1"/>
  <c r="Z156" i="8"/>
  <c r="Z157" i="21" s="1"/>
  <c r="AA156" i="8"/>
  <c r="AA157" i="21" s="1"/>
  <c r="AB156" i="8"/>
  <c r="AB157" i="21" s="1"/>
  <c r="AC156" i="8"/>
  <c r="AC157" i="21" s="1"/>
  <c r="AD156" i="8"/>
  <c r="AD157" i="21" s="1"/>
  <c r="AE156" i="8"/>
  <c r="AE157" i="21" s="1"/>
  <c r="AF156" i="8"/>
  <c r="AF157" i="21" s="1"/>
  <c r="AG156" i="8"/>
  <c r="A157" i="8"/>
  <c r="B157" i="8"/>
  <c r="C157" i="8"/>
  <c r="D157" i="8"/>
  <c r="E157" i="8"/>
  <c r="F157" i="8"/>
  <c r="F158" i="21" s="1"/>
  <c r="G157" i="8"/>
  <c r="G158" i="21" s="1"/>
  <c r="H157" i="8"/>
  <c r="H158" i="21" s="1"/>
  <c r="I157" i="8"/>
  <c r="I158" i="21" s="1"/>
  <c r="J157" i="8"/>
  <c r="J158" i="21" s="1"/>
  <c r="K157" i="8"/>
  <c r="K158" i="21" s="1"/>
  <c r="L157" i="8"/>
  <c r="L158" i="21" s="1"/>
  <c r="M157" i="8"/>
  <c r="M158" i="21" s="1"/>
  <c r="N157" i="8"/>
  <c r="N158" i="21" s="1"/>
  <c r="O157" i="8"/>
  <c r="O158" i="21" s="1"/>
  <c r="P157" i="8"/>
  <c r="P158" i="21" s="1"/>
  <c r="Q157" i="8"/>
  <c r="Q158" i="21" s="1"/>
  <c r="R157" i="8"/>
  <c r="R158" i="21" s="1"/>
  <c r="S157" i="8"/>
  <c r="S158" i="21" s="1"/>
  <c r="T157" i="8"/>
  <c r="T158" i="21" s="1"/>
  <c r="U157" i="8"/>
  <c r="U158" i="21" s="1"/>
  <c r="V157" i="8"/>
  <c r="V158" i="21" s="1"/>
  <c r="W157" i="8"/>
  <c r="W158" i="21" s="1"/>
  <c r="X157" i="8"/>
  <c r="X158" i="21" s="1"/>
  <c r="Y157" i="8"/>
  <c r="Y158" i="21" s="1"/>
  <c r="Z157" i="8"/>
  <c r="Z158" i="21" s="1"/>
  <c r="AA157" i="8"/>
  <c r="AA158" i="21" s="1"/>
  <c r="AB157" i="8"/>
  <c r="AB158" i="21" s="1"/>
  <c r="AC157" i="8"/>
  <c r="AC158" i="21" s="1"/>
  <c r="AD157" i="8"/>
  <c r="AD158" i="21" s="1"/>
  <c r="AE157" i="8"/>
  <c r="AF157" i="8"/>
  <c r="AF158" i="21" s="1"/>
  <c r="AG157" i="8"/>
  <c r="A158" i="8"/>
  <c r="B158" i="8"/>
  <c r="C158" i="8"/>
  <c r="D158" i="8"/>
  <c r="E158" i="8"/>
  <c r="F158" i="8"/>
  <c r="F159" i="21" s="1"/>
  <c r="G158" i="8"/>
  <c r="G159" i="21" s="1"/>
  <c r="H158" i="8"/>
  <c r="H159" i="21" s="1"/>
  <c r="I158" i="8"/>
  <c r="I159" i="21" s="1"/>
  <c r="J158" i="8"/>
  <c r="J159" i="21" s="1"/>
  <c r="K158" i="8"/>
  <c r="K159" i="21" s="1"/>
  <c r="L158" i="8"/>
  <c r="L159" i="21" s="1"/>
  <c r="M158" i="8"/>
  <c r="M159" i="21" s="1"/>
  <c r="N158" i="8"/>
  <c r="N159" i="21" s="1"/>
  <c r="O158" i="8"/>
  <c r="O159" i="21" s="1"/>
  <c r="P158" i="8"/>
  <c r="P159" i="21" s="1"/>
  <c r="Q158" i="8"/>
  <c r="Q159" i="21" s="1"/>
  <c r="R158" i="8"/>
  <c r="R159" i="21" s="1"/>
  <c r="S158" i="8"/>
  <c r="S159" i="21" s="1"/>
  <c r="T158" i="8"/>
  <c r="T159" i="21" s="1"/>
  <c r="U158" i="8"/>
  <c r="U159" i="21" s="1"/>
  <c r="V158" i="8"/>
  <c r="V159" i="21" s="1"/>
  <c r="W158" i="8"/>
  <c r="W159" i="21" s="1"/>
  <c r="X158" i="8"/>
  <c r="X159" i="21" s="1"/>
  <c r="Y158" i="8"/>
  <c r="Y159" i="21" s="1"/>
  <c r="Z158" i="8"/>
  <c r="Z159" i="21" s="1"/>
  <c r="AA158" i="8"/>
  <c r="AA159" i="21" s="1"/>
  <c r="AB158" i="8"/>
  <c r="AB159" i="21" s="1"/>
  <c r="AC158" i="8"/>
  <c r="AC159" i="21" s="1"/>
  <c r="AD158" i="8"/>
  <c r="AD159" i="21" s="1"/>
  <c r="AE158" i="8"/>
  <c r="AE159" i="21" s="1"/>
  <c r="AF158" i="8"/>
  <c r="AF159" i="21" s="1"/>
  <c r="AG158" i="8"/>
  <c r="A159" i="8"/>
  <c r="B159" i="8"/>
  <c r="C159" i="8"/>
  <c r="D159" i="8"/>
  <c r="E159" i="8"/>
  <c r="F159" i="8"/>
  <c r="F160" i="21" s="1"/>
  <c r="G159" i="8"/>
  <c r="G160" i="21" s="1"/>
  <c r="H159" i="8"/>
  <c r="H160" i="21" s="1"/>
  <c r="I159" i="8"/>
  <c r="I160" i="21" s="1"/>
  <c r="J159" i="8"/>
  <c r="J160" i="21" s="1"/>
  <c r="K159" i="8"/>
  <c r="K160" i="21" s="1"/>
  <c r="L159" i="8"/>
  <c r="L160" i="21" s="1"/>
  <c r="M159" i="8"/>
  <c r="M160" i="21" s="1"/>
  <c r="N159" i="8"/>
  <c r="N160" i="21" s="1"/>
  <c r="O159" i="8"/>
  <c r="O160" i="21" s="1"/>
  <c r="P159" i="8"/>
  <c r="P160" i="21" s="1"/>
  <c r="Q159" i="8"/>
  <c r="Q160" i="21" s="1"/>
  <c r="R159" i="8"/>
  <c r="R160" i="21" s="1"/>
  <c r="S159" i="8"/>
  <c r="S160" i="21" s="1"/>
  <c r="T159" i="8"/>
  <c r="T160" i="21" s="1"/>
  <c r="U159" i="8"/>
  <c r="U160" i="21" s="1"/>
  <c r="V159" i="8"/>
  <c r="V160" i="21" s="1"/>
  <c r="W159" i="8"/>
  <c r="W160" i="21" s="1"/>
  <c r="X159" i="8"/>
  <c r="X160" i="21" s="1"/>
  <c r="Y159" i="8"/>
  <c r="Y160" i="21" s="1"/>
  <c r="Z159" i="8"/>
  <c r="Z160" i="21" s="1"/>
  <c r="AA159" i="8"/>
  <c r="AA160" i="21" s="1"/>
  <c r="AB159" i="8"/>
  <c r="AB160" i="21" s="1"/>
  <c r="AC159" i="8"/>
  <c r="AC160" i="21" s="1"/>
  <c r="AD159" i="8"/>
  <c r="AD160" i="21" s="1"/>
  <c r="AE159" i="8"/>
  <c r="AF159" i="8"/>
  <c r="AF160" i="21" s="1"/>
  <c r="AG159" i="8"/>
  <c r="A160" i="8"/>
  <c r="B160" i="8"/>
  <c r="C160" i="8"/>
  <c r="D160" i="8"/>
  <c r="E160" i="8"/>
  <c r="F160" i="8"/>
  <c r="F161" i="21" s="1"/>
  <c r="G160" i="8"/>
  <c r="G161" i="21" s="1"/>
  <c r="H160" i="8"/>
  <c r="H161" i="21" s="1"/>
  <c r="I160" i="8"/>
  <c r="I161" i="21" s="1"/>
  <c r="J160" i="8"/>
  <c r="J161" i="21" s="1"/>
  <c r="K160" i="8"/>
  <c r="K161" i="21" s="1"/>
  <c r="L160" i="8"/>
  <c r="L161" i="21" s="1"/>
  <c r="M160" i="8"/>
  <c r="M161" i="21" s="1"/>
  <c r="N160" i="8"/>
  <c r="N161" i="21" s="1"/>
  <c r="O160" i="8"/>
  <c r="O161" i="21" s="1"/>
  <c r="P160" i="8"/>
  <c r="P161" i="21" s="1"/>
  <c r="Q160" i="8"/>
  <c r="Q161" i="21" s="1"/>
  <c r="R160" i="8"/>
  <c r="R161" i="21" s="1"/>
  <c r="S160" i="8"/>
  <c r="S161" i="21" s="1"/>
  <c r="T160" i="8"/>
  <c r="T161" i="21" s="1"/>
  <c r="U160" i="8"/>
  <c r="U161" i="21" s="1"/>
  <c r="V160" i="8"/>
  <c r="V161" i="21" s="1"/>
  <c r="W160" i="8"/>
  <c r="W161" i="21" s="1"/>
  <c r="X160" i="8"/>
  <c r="X161" i="21" s="1"/>
  <c r="Y160" i="8"/>
  <c r="Y161" i="21" s="1"/>
  <c r="Z160" i="8"/>
  <c r="Z161" i="21" s="1"/>
  <c r="AA160" i="8"/>
  <c r="AA161" i="21" s="1"/>
  <c r="AB160" i="8"/>
  <c r="AB161" i="21" s="1"/>
  <c r="AC160" i="8"/>
  <c r="AC161" i="21" s="1"/>
  <c r="AD160" i="8"/>
  <c r="AD161" i="21" s="1"/>
  <c r="AE160" i="8"/>
  <c r="AE161" i="21" s="1"/>
  <c r="AF160" i="8"/>
  <c r="AF161" i="21" s="1"/>
  <c r="AG160" i="8"/>
  <c r="A161" i="8"/>
  <c r="B161" i="8"/>
  <c r="C161" i="8"/>
  <c r="D161" i="8"/>
  <c r="E161" i="8"/>
  <c r="F161" i="8"/>
  <c r="F162" i="21" s="1"/>
  <c r="G161" i="8"/>
  <c r="G162" i="21" s="1"/>
  <c r="H161" i="8"/>
  <c r="H162" i="21" s="1"/>
  <c r="I161" i="8"/>
  <c r="I162" i="21" s="1"/>
  <c r="J161" i="8"/>
  <c r="J162" i="21" s="1"/>
  <c r="K161" i="8"/>
  <c r="K162" i="21" s="1"/>
  <c r="L161" i="8"/>
  <c r="L162" i="21" s="1"/>
  <c r="M161" i="8"/>
  <c r="M162" i="21" s="1"/>
  <c r="N161" i="8"/>
  <c r="N162" i="21" s="1"/>
  <c r="O161" i="8"/>
  <c r="O162" i="21" s="1"/>
  <c r="P161" i="8"/>
  <c r="P162" i="21" s="1"/>
  <c r="Q161" i="8"/>
  <c r="Q162" i="21" s="1"/>
  <c r="R161" i="8"/>
  <c r="R162" i="21" s="1"/>
  <c r="S161" i="8"/>
  <c r="S162" i="21" s="1"/>
  <c r="T161" i="8"/>
  <c r="T162" i="21" s="1"/>
  <c r="U161" i="8"/>
  <c r="U162" i="21" s="1"/>
  <c r="V161" i="8"/>
  <c r="V162" i="21" s="1"/>
  <c r="W161" i="8"/>
  <c r="W162" i="21" s="1"/>
  <c r="X161" i="8"/>
  <c r="X162" i="21" s="1"/>
  <c r="Y161" i="8"/>
  <c r="Y162" i="21" s="1"/>
  <c r="Z161" i="8"/>
  <c r="Z162" i="21" s="1"/>
  <c r="AA161" i="8"/>
  <c r="AA162" i="21" s="1"/>
  <c r="AB161" i="8"/>
  <c r="AB162" i="21" s="1"/>
  <c r="AC161" i="8"/>
  <c r="AC162" i="21" s="1"/>
  <c r="AD161" i="8"/>
  <c r="AD162" i="21" s="1"/>
  <c r="AE161" i="8"/>
  <c r="AF161" i="8"/>
  <c r="AF162" i="21" s="1"/>
  <c r="AG161" i="8"/>
  <c r="A162" i="8"/>
  <c r="B162" i="8"/>
  <c r="C162" i="8"/>
  <c r="D162" i="8"/>
  <c r="E162" i="8"/>
  <c r="F162" i="8"/>
  <c r="F163" i="21" s="1"/>
  <c r="G162" i="8"/>
  <c r="G163" i="21" s="1"/>
  <c r="H162" i="8"/>
  <c r="H163" i="21" s="1"/>
  <c r="I162" i="8"/>
  <c r="I163" i="21" s="1"/>
  <c r="J162" i="8"/>
  <c r="J163" i="21" s="1"/>
  <c r="K162" i="8"/>
  <c r="K163" i="21" s="1"/>
  <c r="L162" i="8"/>
  <c r="L163" i="21" s="1"/>
  <c r="M162" i="8"/>
  <c r="M163" i="21" s="1"/>
  <c r="N162" i="8"/>
  <c r="N163" i="21" s="1"/>
  <c r="O162" i="8"/>
  <c r="O163" i="21" s="1"/>
  <c r="P162" i="8"/>
  <c r="P163" i="21" s="1"/>
  <c r="Q162" i="8"/>
  <c r="Q163" i="21" s="1"/>
  <c r="R162" i="8"/>
  <c r="R163" i="21" s="1"/>
  <c r="S162" i="8"/>
  <c r="S163" i="21" s="1"/>
  <c r="T162" i="8"/>
  <c r="T163" i="21" s="1"/>
  <c r="U162" i="8"/>
  <c r="U163" i="21" s="1"/>
  <c r="V162" i="8"/>
  <c r="V163" i="21" s="1"/>
  <c r="W162" i="8"/>
  <c r="W163" i="21" s="1"/>
  <c r="X162" i="8"/>
  <c r="X163" i="21" s="1"/>
  <c r="Y162" i="8"/>
  <c r="Y163" i="21" s="1"/>
  <c r="Z162" i="8"/>
  <c r="Z163" i="21" s="1"/>
  <c r="AA162" i="8"/>
  <c r="AA163" i="21" s="1"/>
  <c r="AB162" i="8"/>
  <c r="AB163" i="21" s="1"/>
  <c r="AC162" i="8"/>
  <c r="AC163" i="21" s="1"/>
  <c r="AD162" i="8"/>
  <c r="AD163" i="21" s="1"/>
  <c r="AE162" i="8"/>
  <c r="AE163" i="21" s="1"/>
  <c r="AF162" i="8"/>
  <c r="AF163" i="21" s="1"/>
  <c r="AG162" i="8"/>
  <c r="A163" i="8"/>
  <c r="B163" i="8"/>
  <c r="C163" i="8"/>
  <c r="D163" i="8"/>
  <c r="E163" i="8"/>
  <c r="F163" i="8"/>
  <c r="F164" i="21" s="1"/>
  <c r="G163" i="8"/>
  <c r="G164" i="21" s="1"/>
  <c r="H163" i="8"/>
  <c r="H164" i="21" s="1"/>
  <c r="I163" i="8"/>
  <c r="I164" i="21" s="1"/>
  <c r="J163" i="8"/>
  <c r="J164" i="21" s="1"/>
  <c r="K163" i="8"/>
  <c r="K164" i="21" s="1"/>
  <c r="L163" i="8"/>
  <c r="L164" i="21" s="1"/>
  <c r="M163" i="8"/>
  <c r="M164" i="21" s="1"/>
  <c r="N163" i="8"/>
  <c r="N164" i="21" s="1"/>
  <c r="O163" i="8"/>
  <c r="O164" i="21" s="1"/>
  <c r="P163" i="8"/>
  <c r="P164" i="21" s="1"/>
  <c r="Q163" i="8"/>
  <c r="Q164" i="21" s="1"/>
  <c r="R163" i="8"/>
  <c r="R164" i="21" s="1"/>
  <c r="S163" i="8"/>
  <c r="S164" i="21" s="1"/>
  <c r="T163" i="8"/>
  <c r="T164" i="21" s="1"/>
  <c r="U163" i="8"/>
  <c r="U164" i="21" s="1"/>
  <c r="V163" i="8"/>
  <c r="V164" i="21" s="1"/>
  <c r="W163" i="8"/>
  <c r="W164" i="21" s="1"/>
  <c r="X163" i="8"/>
  <c r="X164" i="21" s="1"/>
  <c r="Y163" i="8"/>
  <c r="Y164" i="21" s="1"/>
  <c r="Z163" i="8"/>
  <c r="Z164" i="21" s="1"/>
  <c r="AA163" i="8"/>
  <c r="AA164" i="21" s="1"/>
  <c r="AB163" i="8"/>
  <c r="AB164" i="21" s="1"/>
  <c r="AC163" i="8"/>
  <c r="AC164" i="21" s="1"/>
  <c r="AD163" i="8"/>
  <c r="AD164" i="21" s="1"/>
  <c r="AE163" i="8"/>
  <c r="AF163" i="8"/>
  <c r="AG163" i="8"/>
  <c r="A164" i="8"/>
  <c r="B164" i="8"/>
  <c r="C164" i="8"/>
  <c r="D164" i="8"/>
  <c r="E164" i="8"/>
  <c r="F164" i="8"/>
  <c r="F165" i="21" s="1"/>
  <c r="G164" i="8"/>
  <c r="G165" i="21" s="1"/>
  <c r="H164" i="8"/>
  <c r="H165" i="21" s="1"/>
  <c r="I164" i="8"/>
  <c r="I165" i="21" s="1"/>
  <c r="J164" i="8"/>
  <c r="J165" i="21" s="1"/>
  <c r="K164" i="8"/>
  <c r="K165" i="21" s="1"/>
  <c r="L164" i="8"/>
  <c r="L165" i="21" s="1"/>
  <c r="M164" i="8"/>
  <c r="M165" i="21" s="1"/>
  <c r="N164" i="8"/>
  <c r="N165" i="21" s="1"/>
  <c r="O164" i="8"/>
  <c r="O165" i="21" s="1"/>
  <c r="P164" i="8"/>
  <c r="P165" i="21" s="1"/>
  <c r="Q164" i="8"/>
  <c r="Q165" i="21" s="1"/>
  <c r="R164" i="8"/>
  <c r="R165" i="21" s="1"/>
  <c r="S164" i="8"/>
  <c r="S165" i="21" s="1"/>
  <c r="T164" i="8"/>
  <c r="T165" i="21" s="1"/>
  <c r="U164" i="8"/>
  <c r="U165" i="21" s="1"/>
  <c r="V164" i="8"/>
  <c r="V165" i="21" s="1"/>
  <c r="W164" i="8"/>
  <c r="W165" i="21" s="1"/>
  <c r="X164" i="8"/>
  <c r="X165" i="21" s="1"/>
  <c r="Y164" i="8"/>
  <c r="Y165" i="21" s="1"/>
  <c r="Z164" i="8"/>
  <c r="Z165" i="21" s="1"/>
  <c r="AA164" i="8"/>
  <c r="AA165" i="21" s="1"/>
  <c r="AB164" i="8"/>
  <c r="AB165" i="21" s="1"/>
  <c r="AC164" i="8"/>
  <c r="AC165" i="21" s="1"/>
  <c r="AD164" i="8"/>
  <c r="AD165" i="21" s="1"/>
  <c r="AE164" i="8"/>
  <c r="AE165" i="21" s="1"/>
  <c r="AF164" i="8"/>
  <c r="AG164" i="8"/>
  <c r="AG165" i="10" s="1"/>
  <c r="A165" i="8"/>
  <c r="B165" i="8"/>
  <c r="C165" i="8"/>
  <c r="D165" i="8"/>
  <c r="E165" i="8"/>
  <c r="F165" i="8"/>
  <c r="F166" i="21" s="1"/>
  <c r="G165" i="8"/>
  <c r="G166" i="21" s="1"/>
  <c r="H165" i="8"/>
  <c r="H166" i="21" s="1"/>
  <c r="I165" i="8"/>
  <c r="I166" i="21" s="1"/>
  <c r="J165" i="8"/>
  <c r="J166" i="21" s="1"/>
  <c r="K165" i="8"/>
  <c r="K166" i="21" s="1"/>
  <c r="L165" i="8"/>
  <c r="L166" i="21" s="1"/>
  <c r="M165" i="8"/>
  <c r="M166" i="21" s="1"/>
  <c r="N165" i="8"/>
  <c r="N166" i="21" s="1"/>
  <c r="O165" i="8"/>
  <c r="O166" i="21" s="1"/>
  <c r="P165" i="8"/>
  <c r="P166" i="21" s="1"/>
  <c r="Q165" i="8"/>
  <c r="Q166" i="21" s="1"/>
  <c r="R165" i="8"/>
  <c r="R166" i="21" s="1"/>
  <c r="S165" i="8"/>
  <c r="S166" i="21" s="1"/>
  <c r="T165" i="8"/>
  <c r="T166" i="21" s="1"/>
  <c r="U165" i="8"/>
  <c r="U166" i="21" s="1"/>
  <c r="V165" i="8"/>
  <c r="V166" i="21" s="1"/>
  <c r="W165" i="8"/>
  <c r="W166" i="21" s="1"/>
  <c r="X165" i="8"/>
  <c r="X166" i="21" s="1"/>
  <c r="Y165" i="8"/>
  <c r="Y166" i="21" s="1"/>
  <c r="Z165" i="8"/>
  <c r="Z166" i="21" s="1"/>
  <c r="AA165" i="8"/>
  <c r="AA166" i="21" s="1"/>
  <c r="AB165" i="8"/>
  <c r="AB166" i="21" s="1"/>
  <c r="AC165" i="8"/>
  <c r="AC166" i="21" s="1"/>
  <c r="AD165" i="8"/>
  <c r="AD166" i="21" s="1"/>
  <c r="AE165" i="8"/>
  <c r="AF165" i="8"/>
  <c r="AF166" i="21" s="1"/>
  <c r="AG165" i="8"/>
  <c r="A166" i="8"/>
  <c r="B166" i="8"/>
  <c r="C166" i="8"/>
  <c r="D166" i="8"/>
  <c r="E166" i="8"/>
  <c r="F166" i="8"/>
  <c r="F167" i="21" s="1"/>
  <c r="G166" i="8"/>
  <c r="G167" i="21" s="1"/>
  <c r="H166" i="8"/>
  <c r="H167" i="21" s="1"/>
  <c r="I166" i="8"/>
  <c r="I167" i="21" s="1"/>
  <c r="J166" i="8"/>
  <c r="J167" i="21" s="1"/>
  <c r="K166" i="8"/>
  <c r="K167" i="21" s="1"/>
  <c r="L166" i="8"/>
  <c r="L167" i="21" s="1"/>
  <c r="M166" i="8"/>
  <c r="M167" i="21" s="1"/>
  <c r="N166" i="8"/>
  <c r="N167" i="21" s="1"/>
  <c r="O166" i="8"/>
  <c r="O167" i="21" s="1"/>
  <c r="P166" i="8"/>
  <c r="P167" i="21" s="1"/>
  <c r="Q166" i="8"/>
  <c r="Q167" i="21" s="1"/>
  <c r="R166" i="8"/>
  <c r="R167" i="21" s="1"/>
  <c r="S166" i="8"/>
  <c r="S167" i="21" s="1"/>
  <c r="T166" i="8"/>
  <c r="T167" i="21" s="1"/>
  <c r="U166" i="8"/>
  <c r="U167" i="21" s="1"/>
  <c r="V166" i="8"/>
  <c r="V167" i="21" s="1"/>
  <c r="W166" i="8"/>
  <c r="W167" i="21" s="1"/>
  <c r="X166" i="8"/>
  <c r="X167" i="21" s="1"/>
  <c r="Y166" i="8"/>
  <c r="Y167" i="21" s="1"/>
  <c r="Z166" i="8"/>
  <c r="Z167" i="21" s="1"/>
  <c r="AA166" i="8"/>
  <c r="AA167" i="21" s="1"/>
  <c r="AB166" i="8"/>
  <c r="AB167" i="21" s="1"/>
  <c r="AC166" i="8"/>
  <c r="AC167" i="21" s="1"/>
  <c r="AD166" i="8"/>
  <c r="AD167" i="21" s="1"/>
  <c r="AE166" i="8"/>
  <c r="AE167" i="21" s="1"/>
  <c r="AF166" i="8"/>
  <c r="AF167" i="21" s="1"/>
  <c r="AG166" i="8"/>
  <c r="A167" i="8"/>
  <c r="B167" i="8"/>
  <c r="C167" i="8"/>
  <c r="D167" i="8"/>
  <c r="E167" i="8"/>
  <c r="F167" i="8"/>
  <c r="F168" i="21" s="1"/>
  <c r="G167" i="8"/>
  <c r="G168" i="21" s="1"/>
  <c r="H167" i="8"/>
  <c r="H168" i="21" s="1"/>
  <c r="I167" i="8"/>
  <c r="I168" i="21" s="1"/>
  <c r="J167" i="8"/>
  <c r="J168" i="21" s="1"/>
  <c r="K167" i="8"/>
  <c r="K168" i="21" s="1"/>
  <c r="L167" i="8"/>
  <c r="L168" i="21" s="1"/>
  <c r="M167" i="8"/>
  <c r="M168" i="21" s="1"/>
  <c r="N167" i="8"/>
  <c r="N168" i="21" s="1"/>
  <c r="O167" i="8"/>
  <c r="O168" i="21" s="1"/>
  <c r="P167" i="8"/>
  <c r="P168" i="21" s="1"/>
  <c r="Q167" i="8"/>
  <c r="Q168" i="21" s="1"/>
  <c r="R167" i="8"/>
  <c r="R168" i="21" s="1"/>
  <c r="S167" i="8"/>
  <c r="S168" i="21" s="1"/>
  <c r="T167" i="8"/>
  <c r="T168" i="21" s="1"/>
  <c r="U167" i="8"/>
  <c r="U168" i="21" s="1"/>
  <c r="V167" i="8"/>
  <c r="V168" i="21" s="1"/>
  <c r="W167" i="8"/>
  <c r="W168" i="21" s="1"/>
  <c r="X167" i="8"/>
  <c r="X168" i="21" s="1"/>
  <c r="Y167" i="8"/>
  <c r="Y168" i="21" s="1"/>
  <c r="Z167" i="8"/>
  <c r="Z168" i="21" s="1"/>
  <c r="AA167" i="8"/>
  <c r="AA168" i="21" s="1"/>
  <c r="AB167" i="8"/>
  <c r="AB168" i="21" s="1"/>
  <c r="AC167" i="8"/>
  <c r="AC168" i="21" s="1"/>
  <c r="AD167" i="8"/>
  <c r="AD168" i="21" s="1"/>
  <c r="AE167" i="8"/>
  <c r="AF167" i="8"/>
  <c r="AF168" i="21" s="1"/>
  <c r="AG167" i="8"/>
  <c r="A168" i="8"/>
  <c r="B168" i="8"/>
  <c r="C168" i="8"/>
  <c r="D168" i="8"/>
  <c r="E168" i="8"/>
  <c r="F168" i="8"/>
  <c r="F169" i="21" s="1"/>
  <c r="G168" i="8"/>
  <c r="G169" i="21" s="1"/>
  <c r="H168" i="8"/>
  <c r="H169" i="21" s="1"/>
  <c r="I168" i="8"/>
  <c r="I169" i="21" s="1"/>
  <c r="J168" i="8"/>
  <c r="J169" i="21" s="1"/>
  <c r="K168" i="8"/>
  <c r="K169" i="21" s="1"/>
  <c r="L168" i="8"/>
  <c r="L169" i="21" s="1"/>
  <c r="M168" i="8"/>
  <c r="M169" i="21" s="1"/>
  <c r="N168" i="8"/>
  <c r="N169" i="21" s="1"/>
  <c r="O168" i="8"/>
  <c r="O169" i="21" s="1"/>
  <c r="P168" i="8"/>
  <c r="P169" i="21" s="1"/>
  <c r="Q168" i="8"/>
  <c r="Q169" i="21" s="1"/>
  <c r="R168" i="8"/>
  <c r="R169" i="21" s="1"/>
  <c r="S168" i="8"/>
  <c r="S169" i="21" s="1"/>
  <c r="T168" i="8"/>
  <c r="T169" i="21" s="1"/>
  <c r="U168" i="8"/>
  <c r="U169" i="21" s="1"/>
  <c r="V168" i="8"/>
  <c r="V169" i="21" s="1"/>
  <c r="W168" i="8"/>
  <c r="W169" i="21" s="1"/>
  <c r="X168" i="8"/>
  <c r="X169" i="21" s="1"/>
  <c r="Y168" i="8"/>
  <c r="Y169" i="21" s="1"/>
  <c r="Z168" i="8"/>
  <c r="Z169" i="21" s="1"/>
  <c r="AA168" i="8"/>
  <c r="AA169" i="21" s="1"/>
  <c r="AB168" i="8"/>
  <c r="AB169" i="21" s="1"/>
  <c r="AC168" i="8"/>
  <c r="AC169" i="21" s="1"/>
  <c r="AD168" i="8"/>
  <c r="AD169" i="21" s="1"/>
  <c r="AE168" i="8"/>
  <c r="AE169" i="21" s="1"/>
  <c r="AF168" i="8"/>
  <c r="AG168" i="8"/>
  <c r="AG169" i="11" s="1"/>
  <c r="A169" i="8"/>
  <c r="B169" i="8"/>
  <c r="C169" i="8"/>
  <c r="D169" i="8"/>
  <c r="E169" i="8"/>
  <c r="F169" i="8"/>
  <c r="F170" i="21" s="1"/>
  <c r="G169" i="8"/>
  <c r="G170" i="21" s="1"/>
  <c r="H169" i="8"/>
  <c r="H170" i="21" s="1"/>
  <c r="I169" i="8"/>
  <c r="I170" i="21" s="1"/>
  <c r="J169" i="8"/>
  <c r="J170" i="21" s="1"/>
  <c r="K169" i="8"/>
  <c r="K170" i="21" s="1"/>
  <c r="L169" i="8"/>
  <c r="L170" i="21" s="1"/>
  <c r="M169" i="8"/>
  <c r="M170" i="21" s="1"/>
  <c r="N169" i="8"/>
  <c r="N170" i="21" s="1"/>
  <c r="O169" i="8"/>
  <c r="O170" i="21" s="1"/>
  <c r="P169" i="8"/>
  <c r="P170" i="21" s="1"/>
  <c r="Q169" i="8"/>
  <c r="Q170" i="21" s="1"/>
  <c r="R169" i="8"/>
  <c r="R170" i="21" s="1"/>
  <c r="S169" i="8"/>
  <c r="S170" i="21" s="1"/>
  <c r="T169" i="8"/>
  <c r="T170" i="21" s="1"/>
  <c r="U169" i="8"/>
  <c r="U170" i="21" s="1"/>
  <c r="V169" i="8"/>
  <c r="V170" i="21" s="1"/>
  <c r="W169" i="8"/>
  <c r="W170" i="21" s="1"/>
  <c r="X169" i="8"/>
  <c r="X170" i="21" s="1"/>
  <c r="Y169" i="8"/>
  <c r="Y170" i="21" s="1"/>
  <c r="Z169" i="8"/>
  <c r="Z170" i="21" s="1"/>
  <c r="AA169" i="8"/>
  <c r="AA170" i="21" s="1"/>
  <c r="AB169" i="8"/>
  <c r="AB170" i="21" s="1"/>
  <c r="AC169" i="8"/>
  <c r="AC170" i="21" s="1"/>
  <c r="AD169" i="8"/>
  <c r="AD170" i="21" s="1"/>
  <c r="AE169" i="8"/>
  <c r="AF169" i="8"/>
  <c r="AF170" i="21" s="1"/>
  <c r="AG169" i="8"/>
  <c r="A170" i="8"/>
  <c r="B170" i="8"/>
  <c r="C170" i="8"/>
  <c r="D170" i="8"/>
  <c r="E170" i="8"/>
  <c r="F170" i="8"/>
  <c r="F171" i="21" s="1"/>
  <c r="G170" i="8"/>
  <c r="G171" i="21" s="1"/>
  <c r="H170" i="8"/>
  <c r="H171" i="21" s="1"/>
  <c r="I170" i="8"/>
  <c r="I171" i="21" s="1"/>
  <c r="J170" i="8"/>
  <c r="J171" i="21" s="1"/>
  <c r="K170" i="8"/>
  <c r="K171" i="21" s="1"/>
  <c r="L170" i="8"/>
  <c r="L171" i="21" s="1"/>
  <c r="M170" i="8"/>
  <c r="M171" i="21" s="1"/>
  <c r="N170" i="8"/>
  <c r="N171" i="21" s="1"/>
  <c r="O170" i="8"/>
  <c r="O171" i="21" s="1"/>
  <c r="P170" i="8"/>
  <c r="P171" i="21" s="1"/>
  <c r="Q170" i="8"/>
  <c r="Q171" i="21" s="1"/>
  <c r="R170" i="8"/>
  <c r="R171" i="21" s="1"/>
  <c r="S170" i="8"/>
  <c r="S171" i="21" s="1"/>
  <c r="T170" i="8"/>
  <c r="T171" i="21" s="1"/>
  <c r="U170" i="8"/>
  <c r="U171" i="21" s="1"/>
  <c r="V170" i="8"/>
  <c r="V171" i="21" s="1"/>
  <c r="W170" i="8"/>
  <c r="W171" i="21" s="1"/>
  <c r="X170" i="8"/>
  <c r="X171" i="21" s="1"/>
  <c r="Y170" i="8"/>
  <c r="Y171" i="21" s="1"/>
  <c r="Z170" i="8"/>
  <c r="Z171" i="21" s="1"/>
  <c r="AA170" i="8"/>
  <c r="AA171" i="21" s="1"/>
  <c r="AB170" i="8"/>
  <c r="AB171" i="21" s="1"/>
  <c r="AC170" i="8"/>
  <c r="AC171" i="21" s="1"/>
  <c r="AD170" i="8"/>
  <c r="AD171" i="21" s="1"/>
  <c r="AE170" i="8"/>
  <c r="AE171" i="21" s="1"/>
  <c r="AF170" i="8"/>
  <c r="AG170" i="8"/>
  <c r="A171" i="8"/>
  <c r="B171" i="8"/>
  <c r="C171" i="8"/>
  <c r="D171" i="8"/>
  <c r="E171" i="8"/>
  <c r="F171" i="8"/>
  <c r="F172" i="21" s="1"/>
  <c r="G171" i="8"/>
  <c r="G172" i="21" s="1"/>
  <c r="H171" i="8"/>
  <c r="H172" i="21" s="1"/>
  <c r="I171" i="8"/>
  <c r="I172" i="21" s="1"/>
  <c r="J171" i="8"/>
  <c r="J172" i="21" s="1"/>
  <c r="K171" i="8"/>
  <c r="K172" i="21" s="1"/>
  <c r="L171" i="8"/>
  <c r="L172" i="21" s="1"/>
  <c r="M171" i="8"/>
  <c r="M172" i="21" s="1"/>
  <c r="N171" i="8"/>
  <c r="N172" i="21" s="1"/>
  <c r="O171" i="8"/>
  <c r="O172" i="21" s="1"/>
  <c r="P171" i="8"/>
  <c r="P172" i="21" s="1"/>
  <c r="Q171" i="8"/>
  <c r="Q172" i="21" s="1"/>
  <c r="R171" i="8"/>
  <c r="R172" i="21" s="1"/>
  <c r="S171" i="8"/>
  <c r="S172" i="21" s="1"/>
  <c r="T171" i="8"/>
  <c r="T172" i="21" s="1"/>
  <c r="U171" i="8"/>
  <c r="U172" i="21" s="1"/>
  <c r="V171" i="8"/>
  <c r="V172" i="21" s="1"/>
  <c r="W171" i="8"/>
  <c r="W172" i="21" s="1"/>
  <c r="X171" i="8"/>
  <c r="X172" i="21" s="1"/>
  <c r="Y171" i="8"/>
  <c r="Y172" i="21" s="1"/>
  <c r="Z171" i="8"/>
  <c r="Z172" i="21" s="1"/>
  <c r="AA171" i="8"/>
  <c r="AA172" i="21" s="1"/>
  <c r="AB171" i="8"/>
  <c r="AB172" i="21" s="1"/>
  <c r="AC171" i="8"/>
  <c r="AC172" i="21" s="1"/>
  <c r="AD171" i="8"/>
  <c r="AD172" i="21" s="1"/>
  <c r="AE171" i="8"/>
  <c r="AF171" i="8"/>
  <c r="AG171" i="8"/>
  <c r="AG172" i="10" s="1"/>
  <c r="A172" i="8"/>
  <c r="B172" i="8"/>
  <c r="C172" i="8"/>
  <c r="D172" i="8"/>
  <c r="E172" i="8"/>
  <c r="F172" i="8"/>
  <c r="F173" i="21" s="1"/>
  <c r="G172" i="8"/>
  <c r="G173" i="21" s="1"/>
  <c r="H172" i="8"/>
  <c r="H173" i="21" s="1"/>
  <c r="I172" i="8"/>
  <c r="I173" i="21" s="1"/>
  <c r="J172" i="8"/>
  <c r="J173" i="21" s="1"/>
  <c r="K172" i="8"/>
  <c r="K173" i="21" s="1"/>
  <c r="L172" i="8"/>
  <c r="L173" i="21" s="1"/>
  <c r="M172" i="8"/>
  <c r="M173" i="21" s="1"/>
  <c r="N172" i="8"/>
  <c r="N173" i="21" s="1"/>
  <c r="O172" i="8"/>
  <c r="O173" i="21" s="1"/>
  <c r="P172" i="8"/>
  <c r="P173" i="21" s="1"/>
  <c r="Q172" i="8"/>
  <c r="Q173" i="21" s="1"/>
  <c r="R172" i="8"/>
  <c r="R173" i="21" s="1"/>
  <c r="S172" i="8"/>
  <c r="S173" i="21" s="1"/>
  <c r="T172" i="8"/>
  <c r="T173" i="21" s="1"/>
  <c r="U172" i="8"/>
  <c r="U173" i="21" s="1"/>
  <c r="V172" i="8"/>
  <c r="V173" i="21" s="1"/>
  <c r="W172" i="8"/>
  <c r="W173" i="21" s="1"/>
  <c r="X172" i="8"/>
  <c r="X173" i="21" s="1"/>
  <c r="Y172" i="8"/>
  <c r="Y173" i="21" s="1"/>
  <c r="Z172" i="8"/>
  <c r="Z173" i="21" s="1"/>
  <c r="AA172" i="8"/>
  <c r="AA173" i="21" s="1"/>
  <c r="AB172" i="8"/>
  <c r="AB173" i="21" s="1"/>
  <c r="AC172" i="8"/>
  <c r="AC173" i="21" s="1"/>
  <c r="AD172" i="8"/>
  <c r="AD173" i="21" s="1"/>
  <c r="AE172" i="8"/>
  <c r="AE173" i="21" s="1"/>
  <c r="AF172" i="8"/>
  <c r="AF173" i="21" s="1"/>
  <c r="AG172" i="8"/>
  <c r="A173" i="8"/>
  <c r="B173" i="8"/>
  <c r="C173" i="8"/>
  <c r="D173" i="8"/>
  <c r="E173" i="8"/>
  <c r="F173" i="8"/>
  <c r="F174" i="21" s="1"/>
  <c r="G173" i="8"/>
  <c r="G174" i="21" s="1"/>
  <c r="H173" i="8"/>
  <c r="H174" i="21" s="1"/>
  <c r="I173" i="8"/>
  <c r="I174" i="21" s="1"/>
  <c r="J173" i="8"/>
  <c r="J174" i="21" s="1"/>
  <c r="K173" i="8"/>
  <c r="K174" i="21" s="1"/>
  <c r="L173" i="8"/>
  <c r="L174" i="21" s="1"/>
  <c r="M173" i="8"/>
  <c r="M174" i="21" s="1"/>
  <c r="N173" i="8"/>
  <c r="N174" i="21" s="1"/>
  <c r="O173" i="8"/>
  <c r="O174" i="21" s="1"/>
  <c r="P173" i="8"/>
  <c r="P174" i="21" s="1"/>
  <c r="Q173" i="8"/>
  <c r="Q174" i="21" s="1"/>
  <c r="R173" i="8"/>
  <c r="R174" i="21" s="1"/>
  <c r="S173" i="8"/>
  <c r="S174" i="21" s="1"/>
  <c r="T173" i="8"/>
  <c r="T174" i="21" s="1"/>
  <c r="U173" i="8"/>
  <c r="U174" i="21" s="1"/>
  <c r="V173" i="8"/>
  <c r="V174" i="21" s="1"/>
  <c r="W173" i="8"/>
  <c r="W174" i="21" s="1"/>
  <c r="X173" i="8"/>
  <c r="X174" i="21" s="1"/>
  <c r="Y173" i="8"/>
  <c r="Y174" i="21" s="1"/>
  <c r="Z173" i="8"/>
  <c r="Z174" i="21" s="1"/>
  <c r="AA173" i="8"/>
  <c r="AA174" i="21" s="1"/>
  <c r="AB173" i="8"/>
  <c r="AB174" i="21" s="1"/>
  <c r="AC173" i="8"/>
  <c r="AC174" i="21" s="1"/>
  <c r="AD173" i="8"/>
  <c r="AD174" i="21" s="1"/>
  <c r="AE173" i="8"/>
  <c r="AF173" i="8"/>
  <c r="AF174" i="21" s="1"/>
  <c r="AG173" i="8"/>
  <c r="A174" i="8"/>
  <c r="B174" i="8"/>
  <c r="C174" i="8"/>
  <c r="D174" i="8"/>
  <c r="E174" i="8"/>
  <c r="F174" i="8"/>
  <c r="F175" i="21" s="1"/>
  <c r="G174" i="8"/>
  <c r="G175" i="21" s="1"/>
  <c r="H174" i="8"/>
  <c r="H175" i="21" s="1"/>
  <c r="I174" i="8"/>
  <c r="I175" i="21" s="1"/>
  <c r="J174" i="8"/>
  <c r="J175" i="21" s="1"/>
  <c r="K174" i="8"/>
  <c r="K175" i="21" s="1"/>
  <c r="L174" i="8"/>
  <c r="L175" i="21" s="1"/>
  <c r="M174" i="8"/>
  <c r="M175" i="21" s="1"/>
  <c r="N174" i="8"/>
  <c r="N175" i="21" s="1"/>
  <c r="O174" i="8"/>
  <c r="O175" i="21" s="1"/>
  <c r="P174" i="8"/>
  <c r="P175" i="21" s="1"/>
  <c r="Q174" i="8"/>
  <c r="Q175" i="21" s="1"/>
  <c r="R174" i="8"/>
  <c r="R175" i="21" s="1"/>
  <c r="S174" i="8"/>
  <c r="S175" i="21" s="1"/>
  <c r="T174" i="8"/>
  <c r="T175" i="21" s="1"/>
  <c r="U174" i="8"/>
  <c r="U175" i="21" s="1"/>
  <c r="V174" i="8"/>
  <c r="V175" i="21" s="1"/>
  <c r="W174" i="8"/>
  <c r="W175" i="21" s="1"/>
  <c r="X174" i="8"/>
  <c r="X175" i="21" s="1"/>
  <c r="Y174" i="8"/>
  <c r="Y175" i="21" s="1"/>
  <c r="Z174" i="8"/>
  <c r="Z175" i="21" s="1"/>
  <c r="AA174" i="8"/>
  <c r="AA175" i="21" s="1"/>
  <c r="AB174" i="8"/>
  <c r="AB175" i="21" s="1"/>
  <c r="AC174" i="8"/>
  <c r="AC175" i="21" s="1"/>
  <c r="AD174" i="8"/>
  <c r="AD175" i="21" s="1"/>
  <c r="AE174" i="8"/>
  <c r="AE175" i="21" s="1"/>
  <c r="AF174" i="8"/>
  <c r="AF175" i="21" s="1"/>
  <c r="AG174" i="8"/>
  <c r="A175" i="8"/>
  <c r="B175" i="8"/>
  <c r="C175" i="8"/>
  <c r="D175" i="8"/>
  <c r="E175" i="8"/>
  <c r="F175" i="8"/>
  <c r="F176" i="21" s="1"/>
  <c r="G175" i="8"/>
  <c r="G176" i="21" s="1"/>
  <c r="H175" i="8"/>
  <c r="H176" i="21" s="1"/>
  <c r="I175" i="8"/>
  <c r="I176" i="21" s="1"/>
  <c r="J175" i="8"/>
  <c r="J176" i="21" s="1"/>
  <c r="K175" i="8"/>
  <c r="K176" i="21" s="1"/>
  <c r="L175" i="8"/>
  <c r="L176" i="21" s="1"/>
  <c r="M175" i="8"/>
  <c r="M176" i="21" s="1"/>
  <c r="N175" i="8"/>
  <c r="N176" i="21" s="1"/>
  <c r="O175" i="8"/>
  <c r="O176" i="21" s="1"/>
  <c r="P175" i="8"/>
  <c r="P176" i="21" s="1"/>
  <c r="Q175" i="8"/>
  <c r="Q176" i="21" s="1"/>
  <c r="R175" i="8"/>
  <c r="R176" i="21" s="1"/>
  <c r="S175" i="8"/>
  <c r="S176" i="21" s="1"/>
  <c r="T175" i="8"/>
  <c r="T176" i="21" s="1"/>
  <c r="U175" i="8"/>
  <c r="U176" i="21" s="1"/>
  <c r="V175" i="8"/>
  <c r="V176" i="21" s="1"/>
  <c r="W175" i="8"/>
  <c r="W176" i="21" s="1"/>
  <c r="X175" i="8"/>
  <c r="X176" i="21" s="1"/>
  <c r="Y175" i="8"/>
  <c r="Y176" i="21" s="1"/>
  <c r="Z175" i="8"/>
  <c r="Z176" i="21" s="1"/>
  <c r="AA175" i="8"/>
  <c r="AA176" i="21" s="1"/>
  <c r="AB175" i="8"/>
  <c r="AB176" i="21" s="1"/>
  <c r="AC175" i="8"/>
  <c r="AC176" i="21" s="1"/>
  <c r="AD175" i="8"/>
  <c r="AD176" i="21" s="1"/>
  <c r="AE175" i="8"/>
  <c r="AF175" i="8"/>
  <c r="AF176" i="21" s="1"/>
  <c r="AG175" i="8"/>
  <c r="A176" i="8"/>
  <c r="B176" i="8"/>
  <c r="C176" i="8"/>
  <c r="D176" i="8"/>
  <c r="E176" i="8"/>
  <c r="F176" i="8"/>
  <c r="F177" i="21" s="1"/>
  <c r="G176" i="8"/>
  <c r="G177" i="21" s="1"/>
  <c r="H176" i="8"/>
  <c r="H177" i="21" s="1"/>
  <c r="I176" i="8"/>
  <c r="I177" i="21" s="1"/>
  <c r="J176" i="8"/>
  <c r="J177" i="21" s="1"/>
  <c r="K176" i="8"/>
  <c r="K177" i="21" s="1"/>
  <c r="L176" i="8"/>
  <c r="L177" i="21" s="1"/>
  <c r="M176" i="8"/>
  <c r="M177" i="21" s="1"/>
  <c r="N176" i="8"/>
  <c r="N177" i="21" s="1"/>
  <c r="O176" i="8"/>
  <c r="O177" i="21" s="1"/>
  <c r="P176" i="8"/>
  <c r="P177" i="21" s="1"/>
  <c r="Q176" i="8"/>
  <c r="Q177" i="21" s="1"/>
  <c r="R176" i="8"/>
  <c r="R177" i="21" s="1"/>
  <c r="S176" i="8"/>
  <c r="S177" i="21" s="1"/>
  <c r="T176" i="8"/>
  <c r="T177" i="21" s="1"/>
  <c r="U176" i="8"/>
  <c r="U177" i="21" s="1"/>
  <c r="V176" i="8"/>
  <c r="V177" i="21" s="1"/>
  <c r="W176" i="8"/>
  <c r="W177" i="21" s="1"/>
  <c r="X176" i="8"/>
  <c r="X177" i="21" s="1"/>
  <c r="Y176" i="8"/>
  <c r="Y177" i="21" s="1"/>
  <c r="Z176" i="8"/>
  <c r="Z177" i="21" s="1"/>
  <c r="AA176" i="8"/>
  <c r="AA177" i="21" s="1"/>
  <c r="AB176" i="8"/>
  <c r="AB177" i="21" s="1"/>
  <c r="AC176" i="8"/>
  <c r="AC177" i="21" s="1"/>
  <c r="AD176" i="8"/>
  <c r="AD177" i="21" s="1"/>
  <c r="AE176" i="8"/>
  <c r="AE177" i="21" s="1"/>
  <c r="AF176" i="8"/>
  <c r="AF177" i="21" s="1"/>
  <c r="AG176" i="8"/>
  <c r="A177" i="8"/>
  <c r="B177" i="8"/>
  <c r="C177" i="8"/>
  <c r="D177" i="8"/>
  <c r="E177" i="8"/>
  <c r="F177" i="8"/>
  <c r="F178" i="21" s="1"/>
  <c r="G177" i="8"/>
  <c r="G178" i="21" s="1"/>
  <c r="H177" i="8"/>
  <c r="H178" i="21" s="1"/>
  <c r="I177" i="8"/>
  <c r="I178" i="21" s="1"/>
  <c r="J177" i="8"/>
  <c r="J178" i="21" s="1"/>
  <c r="K177" i="8"/>
  <c r="K178" i="21" s="1"/>
  <c r="L177" i="8"/>
  <c r="L178" i="21" s="1"/>
  <c r="M177" i="8"/>
  <c r="M178" i="21" s="1"/>
  <c r="N177" i="8"/>
  <c r="N178" i="21" s="1"/>
  <c r="O177" i="8"/>
  <c r="O178" i="21" s="1"/>
  <c r="P177" i="8"/>
  <c r="P178" i="21" s="1"/>
  <c r="Q177" i="8"/>
  <c r="Q178" i="21" s="1"/>
  <c r="R177" i="8"/>
  <c r="R178" i="21" s="1"/>
  <c r="S177" i="8"/>
  <c r="S178" i="21" s="1"/>
  <c r="T177" i="8"/>
  <c r="T178" i="21" s="1"/>
  <c r="U177" i="8"/>
  <c r="U178" i="21" s="1"/>
  <c r="V177" i="8"/>
  <c r="V178" i="21" s="1"/>
  <c r="W177" i="8"/>
  <c r="W178" i="21" s="1"/>
  <c r="X177" i="8"/>
  <c r="X178" i="21" s="1"/>
  <c r="Y177" i="8"/>
  <c r="Y178" i="21" s="1"/>
  <c r="Z177" i="8"/>
  <c r="Z178" i="21" s="1"/>
  <c r="AA177" i="8"/>
  <c r="AA178" i="21" s="1"/>
  <c r="AB177" i="8"/>
  <c r="AB178" i="21" s="1"/>
  <c r="AC177" i="8"/>
  <c r="AC178" i="21" s="1"/>
  <c r="AD177" i="8"/>
  <c r="AD178" i="21" s="1"/>
  <c r="AE177" i="8"/>
  <c r="AF177" i="8"/>
  <c r="AF178" i="21" s="1"/>
  <c r="AG177" i="8"/>
  <c r="A178" i="8"/>
  <c r="B178" i="8"/>
  <c r="C178" i="8"/>
  <c r="D178" i="8"/>
  <c r="E178" i="8"/>
  <c r="F178" i="8"/>
  <c r="F179" i="21" s="1"/>
  <c r="G178" i="8"/>
  <c r="G179" i="21" s="1"/>
  <c r="H178" i="8"/>
  <c r="H179" i="21" s="1"/>
  <c r="I178" i="8"/>
  <c r="I179" i="21" s="1"/>
  <c r="J178" i="8"/>
  <c r="J179" i="21" s="1"/>
  <c r="K178" i="8"/>
  <c r="K179" i="21" s="1"/>
  <c r="L178" i="8"/>
  <c r="L179" i="21" s="1"/>
  <c r="M178" i="8"/>
  <c r="M179" i="21" s="1"/>
  <c r="N178" i="8"/>
  <c r="N179" i="21" s="1"/>
  <c r="O178" i="8"/>
  <c r="O179" i="21" s="1"/>
  <c r="P178" i="8"/>
  <c r="P179" i="21" s="1"/>
  <c r="Q178" i="8"/>
  <c r="Q179" i="21" s="1"/>
  <c r="R178" i="8"/>
  <c r="R179" i="21" s="1"/>
  <c r="S178" i="8"/>
  <c r="S179" i="21" s="1"/>
  <c r="T178" i="8"/>
  <c r="T179" i="21" s="1"/>
  <c r="U178" i="8"/>
  <c r="U179" i="21" s="1"/>
  <c r="V178" i="8"/>
  <c r="V179" i="21" s="1"/>
  <c r="W178" i="8"/>
  <c r="W179" i="21" s="1"/>
  <c r="X178" i="8"/>
  <c r="X179" i="21" s="1"/>
  <c r="Y178" i="8"/>
  <c r="Y179" i="21" s="1"/>
  <c r="Z178" i="8"/>
  <c r="Z179" i="21" s="1"/>
  <c r="AA178" i="8"/>
  <c r="AA179" i="21" s="1"/>
  <c r="AB178" i="8"/>
  <c r="AB179" i="21" s="1"/>
  <c r="AC178" i="8"/>
  <c r="AC179" i="21" s="1"/>
  <c r="AD178" i="8"/>
  <c r="AD179" i="21" s="1"/>
  <c r="AE178" i="8"/>
  <c r="AE179" i="21" s="1"/>
  <c r="AF178" i="8"/>
  <c r="AF179" i="21" s="1"/>
  <c r="AG178" i="8"/>
  <c r="A179" i="8"/>
  <c r="B179" i="8"/>
  <c r="C179" i="8"/>
  <c r="D179" i="8"/>
  <c r="E179" i="8"/>
  <c r="F179" i="8"/>
  <c r="F180" i="21" s="1"/>
  <c r="G179" i="8"/>
  <c r="G180" i="21" s="1"/>
  <c r="H179" i="8"/>
  <c r="H180" i="21" s="1"/>
  <c r="I179" i="8"/>
  <c r="I180" i="21" s="1"/>
  <c r="J179" i="8"/>
  <c r="J180" i="21" s="1"/>
  <c r="K179" i="8"/>
  <c r="K180" i="21" s="1"/>
  <c r="L179" i="8"/>
  <c r="L180" i="21" s="1"/>
  <c r="M179" i="8"/>
  <c r="M180" i="21" s="1"/>
  <c r="N179" i="8"/>
  <c r="N180" i="21" s="1"/>
  <c r="O179" i="8"/>
  <c r="O180" i="21" s="1"/>
  <c r="P179" i="8"/>
  <c r="P180" i="21" s="1"/>
  <c r="Q179" i="8"/>
  <c r="Q180" i="21" s="1"/>
  <c r="R179" i="8"/>
  <c r="R180" i="21" s="1"/>
  <c r="S179" i="8"/>
  <c r="S180" i="21" s="1"/>
  <c r="T179" i="8"/>
  <c r="T180" i="21" s="1"/>
  <c r="U179" i="8"/>
  <c r="U180" i="21" s="1"/>
  <c r="V179" i="8"/>
  <c r="V180" i="21" s="1"/>
  <c r="W179" i="8"/>
  <c r="W180" i="21" s="1"/>
  <c r="X179" i="8"/>
  <c r="X180" i="21" s="1"/>
  <c r="Y179" i="8"/>
  <c r="Y180" i="21" s="1"/>
  <c r="Z179" i="8"/>
  <c r="Z180" i="21" s="1"/>
  <c r="AA179" i="8"/>
  <c r="AA180" i="21" s="1"/>
  <c r="AB179" i="8"/>
  <c r="AB180" i="21" s="1"/>
  <c r="AC179" i="8"/>
  <c r="AC180" i="21" s="1"/>
  <c r="AD179" i="8"/>
  <c r="AD180" i="21" s="1"/>
  <c r="AE179" i="8"/>
  <c r="AF179" i="8"/>
  <c r="AF180" i="21" s="1"/>
  <c r="AG179" i="8"/>
  <c r="A180" i="8"/>
  <c r="B180" i="8"/>
  <c r="C180" i="8"/>
  <c r="D180" i="8"/>
  <c r="E180" i="8"/>
  <c r="F180" i="8"/>
  <c r="F181" i="21" s="1"/>
  <c r="G180" i="8"/>
  <c r="G181" i="21" s="1"/>
  <c r="H180" i="8"/>
  <c r="H181" i="21" s="1"/>
  <c r="I180" i="8"/>
  <c r="I181" i="21" s="1"/>
  <c r="J180" i="8"/>
  <c r="J181" i="21" s="1"/>
  <c r="K180" i="8"/>
  <c r="K181" i="21" s="1"/>
  <c r="L180" i="8"/>
  <c r="L181" i="21" s="1"/>
  <c r="M180" i="8"/>
  <c r="M181" i="21" s="1"/>
  <c r="N180" i="8"/>
  <c r="N181" i="21" s="1"/>
  <c r="O180" i="8"/>
  <c r="O181" i="21" s="1"/>
  <c r="P180" i="8"/>
  <c r="P181" i="21" s="1"/>
  <c r="Q180" i="8"/>
  <c r="Q181" i="21" s="1"/>
  <c r="R180" i="8"/>
  <c r="R181" i="21" s="1"/>
  <c r="S180" i="8"/>
  <c r="S181" i="21" s="1"/>
  <c r="T180" i="8"/>
  <c r="T181" i="21" s="1"/>
  <c r="U180" i="8"/>
  <c r="U181" i="21" s="1"/>
  <c r="V180" i="8"/>
  <c r="V181" i="21" s="1"/>
  <c r="W180" i="8"/>
  <c r="W181" i="21" s="1"/>
  <c r="X180" i="8"/>
  <c r="X181" i="21" s="1"/>
  <c r="Y180" i="8"/>
  <c r="Y181" i="21" s="1"/>
  <c r="Z180" i="8"/>
  <c r="Z181" i="21" s="1"/>
  <c r="AA180" i="8"/>
  <c r="AA181" i="21" s="1"/>
  <c r="AB180" i="8"/>
  <c r="AB181" i="21" s="1"/>
  <c r="AC180" i="8"/>
  <c r="AC181" i="21" s="1"/>
  <c r="AD180" i="8"/>
  <c r="AD181" i="21" s="1"/>
  <c r="AE180" i="8"/>
  <c r="AE181" i="21" s="1"/>
  <c r="AF180" i="8"/>
  <c r="AF181" i="21" s="1"/>
  <c r="AG180" i="8"/>
  <c r="AG181" i="11" s="1"/>
  <c r="A181" i="8"/>
  <c r="B181" i="8"/>
  <c r="C181" i="8"/>
  <c r="D181" i="8"/>
  <c r="E181" i="8"/>
  <c r="F181" i="8"/>
  <c r="F182" i="21" s="1"/>
  <c r="G181" i="8"/>
  <c r="G182" i="21" s="1"/>
  <c r="H181" i="8"/>
  <c r="H182" i="21" s="1"/>
  <c r="I181" i="8"/>
  <c r="I182" i="21" s="1"/>
  <c r="J181" i="8"/>
  <c r="J182" i="21" s="1"/>
  <c r="K181" i="8"/>
  <c r="K182" i="21" s="1"/>
  <c r="L181" i="8"/>
  <c r="L182" i="21" s="1"/>
  <c r="M181" i="8"/>
  <c r="M182" i="21" s="1"/>
  <c r="N181" i="8"/>
  <c r="N182" i="21" s="1"/>
  <c r="O181" i="8"/>
  <c r="O182" i="21" s="1"/>
  <c r="P181" i="8"/>
  <c r="P182" i="21" s="1"/>
  <c r="Q181" i="8"/>
  <c r="Q182" i="21" s="1"/>
  <c r="R181" i="8"/>
  <c r="R182" i="21" s="1"/>
  <c r="S181" i="8"/>
  <c r="S182" i="21" s="1"/>
  <c r="T181" i="8"/>
  <c r="T182" i="21" s="1"/>
  <c r="U181" i="8"/>
  <c r="U182" i="21" s="1"/>
  <c r="V181" i="8"/>
  <c r="V182" i="21" s="1"/>
  <c r="W181" i="8"/>
  <c r="W182" i="21" s="1"/>
  <c r="X181" i="8"/>
  <c r="X182" i="21" s="1"/>
  <c r="Y181" i="8"/>
  <c r="Y182" i="21" s="1"/>
  <c r="Z181" i="8"/>
  <c r="Z182" i="21" s="1"/>
  <c r="AA181" i="8"/>
  <c r="AA182" i="21" s="1"/>
  <c r="AB181" i="8"/>
  <c r="AB182" i="21" s="1"/>
  <c r="AC181" i="8"/>
  <c r="AC182" i="21" s="1"/>
  <c r="AD181" i="8"/>
  <c r="AD182" i="21" s="1"/>
  <c r="AE181" i="8"/>
  <c r="AF181" i="8"/>
  <c r="AF182" i="21" s="1"/>
  <c r="AG181" i="8"/>
  <c r="A182" i="8"/>
  <c r="B182" i="8"/>
  <c r="C182" i="8"/>
  <c r="D182" i="8"/>
  <c r="E182" i="8"/>
  <c r="F182" i="8"/>
  <c r="F183" i="21" s="1"/>
  <c r="G182" i="8"/>
  <c r="G183" i="21" s="1"/>
  <c r="H182" i="8"/>
  <c r="H183" i="21" s="1"/>
  <c r="I182" i="8"/>
  <c r="I183" i="21" s="1"/>
  <c r="J182" i="8"/>
  <c r="J183" i="21" s="1"/>
  <c r="K182" i="8"/>
  <c r="K183" i="21" s="1"/>
  <c r="L182" i="8"/>
  <c r="L183" i="21" s="1"/>
  <c r="M182" i="8"/>
  <c r="M183" i="21" s="1"/>
  <c r="N182" i="8"/>
  <c r="N183" i="21" s="1"/>
  <c r="O182" i="8"/>
  <c r="O183" i="21" s="1"/>
  <c r="P182" i="8"/>
  <c r="P183" i="21" s="1"/>
  <c r="Q182" i="8"/>
  <c r="Q183" i="21" s="1"/>
  <c r="R182" i="8"/>
  <c r="R183" i="21" s="1"/>
  <c r="S182" i="8"/>
  <c r="S183" i="21" s="1"/>
  <c r="T182" i="8"/>
  <c r="T183" i="21" s="1"/>
  <c r="U182" i="8"/>
  <c r="U183" i="21" s="1"/>
  <c r="V182" i="8"/>
  <c r="V183" i="21" s="1"/>
  <c r="W182" i="8"/>
  <c r="W183" i="21" s="1"/>
  <c r="X182" i="8"/>
  <c r="X183" i="21" s="1"/>
  <c r="Y182" i="8"/>
  <c r="Y183" i="21" s="1"/>
  <c r="Z182" i="8"/>
  <c r="Z183" i="21" s="1"/>
  <c r="AA182" i="8"/>
  <c r="AA183" i="21" s="1"/>
  <c r="AB182" i="8"/>
  <c r="AB183" i="21" s="1"/>
  <c r="AC182" i="8"/>
  <c r="AC183" i="21" s="1"/>
  <c r="AD182" i="8"/>
  <c r="AD183" i="21" s="1"/>
  <c r="AE182" i="8"/>
  <c r="AE183" i="21" s="1"/>
  <c r="AF182" i="8"/>
  <c r="AG182" i="8"/>
  <c r="A183" i="8"/>
  <c r="B183" i="8"/>
  <c r="C183" i="8"/>
  <c r="D183" i="8"/>
  <c r="E183" i="8"/>
  <c r="F183" i="8"/>
  <c r="F184" i="21" s="1"/>
  <c r="G183" i="8"/>
  <c r="G184" i="21" s="1"/>
  <c r="H183" i="8"/>
  <c r="H184" i="21" s="1"/>
  <c r="I183" i="8"/>
  <c r="I184" i="21" s="1"/>
  <c r="J183" i="8"/>
  <c r="J184" i="21" s="1"/>
  <c r="K183" i="8"/>
  <c r="K184" i="21" s="1"/>
  <c r="L183" i="8"/>
  <c r="L184" i="21" s="1"/>
  <c r="M183" i="8"/>
  <c r="M184" i="21" s="1"/>
  <c r="N183" i="8"/>
  <c r="N184" i="21" s="1"/>
  <c r="O183" i="8"/>
  <c r="O184" i="21" s="1"/>
  <c r="P183" i="8"/>
  <c r="P184" i="21" s="1"/>
  <c r="Q183" i="8"/>
  <c r="Q184" i="21" s="1"/>
  <c r="R183" i="8"/>
  <c r="R184" i="21" s="1"/>
  <c r="S183" i="8"/>
  <c r="S184" i="21" s="1"/>
  <c r="T183" i="8"/>
  <c r="T184" i="21" s="1"/>
  <c r="U183" i="8"/>
  <c r="U184" i="21" s="1"/>
  <c r="V183" i="8"/>
  <c r="V184" i="21" s="1"/>
  <c r="W183" i="8"/>
  <c r="W184" i="21" s="1"/>
  <c r="X183" i="8"/>
  <c r="X184" i="21" s="1"/>
  <c r="Y183" i="8"/>
  <c r="Y184" i="21" s="1"/>
  <c r="Z183" i="8"/>
  <c r="Z184" i="21" s="1"/>
  <c r="AA183" i="8"/>
  <c r="AA184" i="21" s="1"/>
  <c r="AB183" i="8"/>
  <c r="AB184" i="21" s="1"/>
  <c r="AC183" i="8"/>
  <c r="AC184" i="21" s="1"/>
  <c r="AD183" i="8"/>
  <c r="AD184" i="21" s="1"/>
  <c r="AE183" i="8"/>
  <c r="AF183" i="8"/>
  <c r="AF184" i="21" s="1"/>
  <c r="AG183" i="8"/>
  <c r="A184" i="8"/>
  <c r="B184" i="8"/>
  <c r="C184" i="8"/>
  <c r="D184" i="8"/>
  <c r="E184" i="8"/>
  <c r="F184" i="8"/>
  <c r="G184" i="8"/>
  <c r="G185" i="21" s="1"/>
  <c r="H184" i="8"/>
  <c r="H185" i="21" s="1"/>
  <c r="I184" i="8"/>
  <c r="I185" i="21" s="1"/>
  <c r="J184" i="8"/>
  <c r="J185" i="21" s="1"/>
  <c r="K184" i="8"/>
  <c r="K185" i="21" s="1"/>
  <c r="L184" i="8"/>
  <c r="L185" i="21" s="1"/>
  <c r="M184" i="8"/>
  <c r="M185" i="21" s="1"/>
  <c r="N184" i="8"/>
  <c r="N185" i="21" s="1"/>
  <c r="O184" i="8"/>
  <c r="O185" i="21" s="1"/>
  <c r="P184" i="8"/>
  <c r="P185" i="21" s="1"/>
  <c r="Q184" i="8"/>
  <c r="Q185" i="21" s="1"/>
  <c r="R184" i="8"/>
  <c r="R185" i="21" s="1"/>
  <c r="S184" i="8"/>
  <c r="S185" i="21" s="1"/>
  <c r="T184" i="8"/>
  <c r="T185" i="21" s="1"/>
  <c r="U184" i="8"/>
  <c r="U185" i="21" s="1"/>
  <c r="V184" i="8"/>
  <c r="V185" i="21" s="1"/>
  <c r="W184" i="8"/>
  <c r="W185" i="21" s="1"/>
  <c r="X184" i="8"/>
  <c r="X185" i="21" s="1"/>
  <c r="Y184" i="8"/>
  <c r="Y185" i="21" s="1"/>
  <c r="Z184" i="8"/>
  <c r="Z185" i="21" s="1"/>
  <c r="AA184" i="8"/>
  <c r="AA185" i="21" s="1"/>
  <c r="AB184" i="8"/>
  <c r="AB185" i="21" s="1"/>
  <c r="AC184" i="8"/>
  <c r="AC185" i="21" s="1"/>
  <c r="AD184" i="8"/>
  <c r="AD185" i="21" s="1"/>
  <c r="AE184" i="8"/>
  <c r="AE185" i="21" s="1"/>
  <c r="AF184" i="8"/>
  <c r="AG184" i="8"/>
  <c r="AG185" i="11" s="1"/>
  <c r="A185" i="8"/>
  <c r="B185" i="8"/>
  <c r="C185" i="8"/>
  <c r="D185" i="8"/>
  <c r="E185" i="8"/>
  <c r="F185" i="8"/>
  <c r="F186" i="21" s="1"/>
  <c r="G185" i="8"/>
  <c r="G186" i="21" s="1"/>
  <c r="H185" i="8"/>
  <c r="H186" i="21" s="1"/>
  <c r="I185" i="8"/>
  <c r="I186" i="21" s="1"/>
  <c r="J185" i="8"/>
  <c r="J186" i="21" s="1"/>
  <c r="K185" i="8"/>
  <c r="K186" i="21" s="1"/>
  <c r="L185" i="8"/>
  <c r="L186" i="21" s="1"/>
  <c r="M185" i="8"/>
  <c r="M186" i="21" s="1"/>
  <c r="N185" i="8"/>
  <c r="N186" i="21" s="1"/>
  <c r="O185" i="8"/>
  <c r="O186" i="21" s="1"/>
  <c r="P185" i="8"/>
  <c r="P186" i="21" s="1"/>
  <c r="Q185" i="8"/>
  <c r="Q186" i="21" s="1"/>
  <c r="R185" i="8"/>
  <c r="R186" i="21" s="1"/>
  <c r="S185" i="8"/>
  <c r="S186" i="21" s="1"/>
  <c r="T185" i="8"/>
  <c r="T186" i="21" s="1"/>
  <c r="U185" i="8"/>
  <c r="U186" i="21" s="1"/>
  <c r="V185" i="8"/>
  <c r="V186" i="21" s="1"/>
  <c r="W185" i="8"/>
  <c r="W186" i="21" s="1"/>
  <c r="X185" i="8"/>
  <c r="X186" i="21" s="1"/>
  <c r="Y185" i="8"/>
  <c r="Y186" i="21" s="1"/>
  <c r="Z185" i="8"/>
  <c r="Z186" i="21" s="1"/>
  <c r="AA185" i="8"/>
  <c r="AA186" i="21" s="1"/>
  <c r="AB185" i="8"/>
  <c r="AB186" i="21" s="1"/>
  <c r="AC185" i="8"/>
  <c r="AC186" i="21" s="1"/>
  <c r="AD185" i="8"/>
  <c r="AD186" i="21" s="1"/>
  <c r="AE185" i="8"/>
  <c r="AF185" i="8"/>
  <c r="AG185" i="8"/>
  <c r="AG186" i="10" s="1"/>
  <c r="A186" i="8"/>
  <c r="B186" i="8"/>
  <c r="C186" i="8"/>
  <c r="D186" i="8"/>
  <c r="E186" i="8"/>
  <c r="F186" i="8"/>
  <c r="F187" i="21" s="1"/>
  <c r="G186" i="8"/>
  <c r="G187" i="21" s="1"/>
  <c r="H186" i="8"/>
  <c r="H187" i="21" s="1"/>
  <c r="I186" i="8"/>
  <c r="I187" i="21" s="1"/>
  <c r="J186" i="8"/>
  <c r="J187" i="21" s="1"/>
  <c r="K186" i="8"/>
  <c r="K187" i="21" s="1"/>
  <c r="L186" i="8"/>
  <c r="L187" i="21" s="1"/>
  <c r="M186" i="8"/>
  <c r="M187" i="21" s="1"/>
  <c r="N186" i="8"/>
  <c r="N187" i="21" s="1"/>
  <c r="O186" i="8"/>
  <c r="O187" i="21" s="1"/>
  <c r="P186" i="8"/>
  <c r="P187" i="21" s="1"/>
  <c r="Q186" i="8"/>
  <c r="Q187" i="21" s="1"/>
  <c r="R186" i="8"/>
  <c r="R187" i="21" s="1"/>
  <c r="S186" i="8"/>
  <c r="S187" i="21" s="1"/>
  <c r="T186" i="8"/>
  <c r="T187" i="21" s="1"/>
  <c r="U186" i="8"/>
  <c r="U187" i="21" s="1"/>
  <c r="V186" i="8"/>
  <c r="V187" i="21" s="1"/>
  <c r="W186" i="8"/>
  <c r="W187" i="21" s="1"/>
  <c r="X186" i="8"/>
  <c r="X187" i="21" s="1"/>
  <c r="Y186" i="8"/>
  <c r="Y187" i="21" s="1"/>
  <c r="Z186" i="8"/>
  <c r="Z187" i="21" s="1"/>
  <c r="AA186" i="8"/>
  <c r="AA187" i="21" s="1"/>
  <c r="AB186" i="8"/>
  <c r="AB187" i="21" s="1"/>
  <c r="AC186" i="8"/>
  <c r="AC187" i="21" s="1"/>
  <c r="AD186" i="8"/>
  <c r="AD187" i="21" s="1"/>
  <c r="AE186" i="8"/>
  <c r="AE187" i="21" s="1"/>
  <c r="AF186" i="8"/>
  <c r="AF187" i="21" s="1"/>
  <c r="AG186" i="8"/>
  <c r="A187" i="8"/>
  <c r="B187" i="8"/>
  <c r="C187" i="8"/>
  <c r="D187" i="8"/>
  <c r="E187" i="8"/>
  <c r="F187" i="8"/>
  <c r="F188" i="21" s="1"/>
  <c r="G187" i="8"/>
  <c r="G188" i="21" s="1"/>
  <c r="H187" i="8"/>
  <c r="H188" i="21" s="1"/>
  <c r="I187" i="8"/>
  <c r="I188" i="21" s="1"/>
  <c r="J187" i="8"/>
  <c r="J188" i="21" s="1"/>
  <c r="K187" i="8"/>
  <c r="K188" i="21" s="1"/>
  <c r="L187" i="8"/>
  <c r="L188" i="21" s="1"/>
  <c r="M187" i="8"/>
  <c r="M188" i="21" s="1"/>
  <c r="N187" i="8"/>
  <c r="N188" i="21" s="1"/>
  <c r="O187" i="8"/>
  <c r="O188" i="21" s="1"/>
  <c r="P187" i="8"/>
  <c r="P188" i="21" s="1"/>
  <c r="Q187" i="8"/>
  <c r="Q188" i="21" s="1"/>
  <c r="R187" i="8"/>
  <c r="R188" i="21" s="1"/>
  <c r="S187" i="8"/>
  <c r="S188" i="21" s="1"/>
  <c r="T187" i="8"/>
  <c r="T188" i="21" s="1"/>
  <c r="U187" i="8"/>
  <c r="U188" i="21" s="1"/>
  <c r="V187" i="8"/>
  <c r="V188" i="21" s="1"/>
  <c r="W187" i="8"/>
  <c r="W188" i="21" s="1"/>
  <c r="X187" i="8"/>
  <c r="X188" i="21" s="1"/>
  <c r="Y187" i="8"/>
  <c r="Y188" i="21" s="1"/>
  <c r="Z187" i="8"/>
  <c r="Z188" i="21" s="1"/>
  <c r="AA187" i="8"/>
  <c r="AA188" i="21" s="1"/>
  <c r="AB187" i="8"/>
  <c r="AB188" i="21" s="1"/>
  <c r="AC187" i="8"/>
  <c r="AC188" i="21" s="1"/>
  <c r="AD187" i="8"/>
  <c r="AD188" i="21" s="1"/>
  <c r="AE187" i="8"/>
  <c r="AF187" i="8"/>
  <c r="AF188" i="21" s="1"/>
  <c r="AG187" i="8"/>
  <c r="A188" i="8"/>
  <c r="B188" i="8"/>
  <c r="C188" i="8"/>
  <c r="D188" i="8"/>
  <c r="E188" i="8"/>
  <c r="F188" i="8"/>
  <c r="F189" i="21" s="1"/>
  <c r="G188" i="8"/>
  <c r="G189" i="21" s="1"/>
  <c r="H188" i="8"/>
  <c r="H189" i="21" s="1"/>
  <c r="I188" i="8"/>
  <c r="I189" i="21" s="1"/>
  <c r="J188" i="8"/>
  <c r="J189" i="21" s="1"/>
  <c r="K188" i="8"/>
  <c r="K189" i="21" s="1"/>
  <c r="L188" i="8"/>
  <c r="L189" i="21" s="1"/>
  <c r="M188" i="8"/>
  <c r="M189" i="21" s="1"/>
  <c r="N188" i="8"/>
  <c r="N189" i="21" s="1"/>
  <c r="O188" i="8"/>
  <c r="O189" i="21" s="1"/>
  <c r="P188" i="8"/>
  <c r="P189" i="21" s="1"/>
  <c r="Q188" i="8"/>
  <c r="Q189" i="21" s="1"/>
  <c r="R188" i="8"/>
  <c r="R189" i="21" s="1"/>
  <c r="S188" i="8"/>
  <c r="S189" i="21" s="1"/>
  <c r="T188" i="8"/>
  <c r="T189" i="21" s="1"/>
  <c r="U188" i="8"/>
  <c r="U189" i="21" s="1"/>
  <c r="V188" i="8"/>
  <c r="V189" i="21" s="1"/>
  <c r="W188" i="8"/>
  <c r="W189" i="21" s="1"/>
  <c r="X188" i="8"/>
  <c r="X189" i="21" s="1"/>
  <c r="Y188" i="8"/>
  <c r="Y189" i="21" s="1"/>
  <c r="Z188" i="8"/>
  <c r="Z189" i="21" s="1"/>
  <c r="AA188" i="8"/>
  <c r="AA189" i="21" s="1"/>
  <c r="AB188" i="8"/>
  <c r="AB189" i="21" s="1"/>
  <c r="AC188" i="8"/>
  <c r="AC189" i="21" s="1"/>
  <c r="AD188" i="8"/>
  <c r="AD189" i="21" s="1"/>
  <c r="AE188" i="8"/>
  <c r="AE189" i="21" s="1"/>
  <c r="AF188" i="8"/>
  <c r="AG188" i="8"/>
  <c r="AG189" i="10" s="1"/>
  <c r="A189" i="8"/>
  <c r="B189" i="8"/>
  <c r="C189" i="8"/>
  <c r="D189" i="8"/>
  <c r="E189" i="8"/>
  <c r="F189" i="8"/>
  <c r="F190" i="21" s="1"/>
  <c r="G189" i="8"/>
  <c r="G190" i="21" s="1"/>
  <c r="H189" i="8"/>
  <c r="H190" i="21" s="1"/>
  <c r="I189" i="8"/>
  <c r="I190" i="21" s="1"/>
  <c r="J189" i="8"/>
  <c r="J190" i="21" s="1"/>
  <c r="K189" i="8"/>
  <c r="K190" i="21" s="1"/>
  <c r="L189" i="8"/>
  <c r="L190" i="21" s="1"/>
  <c r="M189" i="8"/>
  <c r="M190" i="21" s="1"/>
  <c r="N189" i="8"/>
  <c r="N190" i="21" s="1"/>
  <c r="O189" i="8"/>
  <c r="O190" i="21" s="1"/>
  <c r="P189" i="8"/>
  <c r="P190" i="21" s="1"/>
  <c r="Q189" i="8"/>
  <c r="Q190" i="21" s="1"/>
  <c r="R189" i="8"/>
  <c r="R190" i="21" s="1"/>
  <c r="S189" i="8"/>
  <c r="S190" i="21" s="1"/>
  <c r="T189" i="8"/>
  <c r="T190" i="21" s="1"/>
  <c r="U189" i="8"/>
  <c r="U190" i="21" s="1"/>
  <c r="V189" i="8"/>
  <c r="V190" i="21" s="1"/>
  <c r="W189" i="8"/>
  <c r="W190" i="21" s="1"/>
  <c r="X189" i="8"/>
  <c r="X190" i="21" s="1"/>
  <c r="Y189" i="8"/>
  <c r="Y190" i="21" s="1"/>
  <c r="Z189" i="8"/>
  <c r="Z190" i="21" s="1"/>
  <c r="AA189" i="8"/>
  <c r="AA190" i="21" s="1"/>
  <c r="AB189" i="8"/>
  <c r="AB190" i="21" s="1"/>
  <c r="AC189" i="8"/>
  <c r="AC190" i="21" s="1"/>
  <c r="AD189" i="8"/>
  <c r="AD190" i="21" s="1"/>
  <c r="AE189" i="8"/>
  <c r="AF189" i="8"/>
  <c r="AG189" i="8"/>
  <c r="AG190" i="11" s="1"/>
  <c r="A190" i="8"/>
  <c r="B190" i="8"/>
  <c r="C190" i="8"/>
  <c r="D190" i="8"/>
  <c r="E190" i="8"/>
  <c r="F190" i="8"/>
  <c r="F191" i="21" s="1"/>
  <c r="G190" i="8"/>
  <c r="G191" i="21" s="1"/>
  <c r="H190" i="8"/>
  <c r="H191" i="21" s="1"/>
  <c r="I190" i="8"/>
  <c r="I191" i="21" s="1"/>
  <c r="J190" i="8"/>
  <c r="J191" i="21" s="1"/>
  <c r="K190" i="8"/>
  <c r="K191" i="21" s="1"/>
  <c r="L190" i="8"/>
  <c r="L191" i="21" s="1"/>
  <c r="M190" i="8"/>
  <c r="M191" i="21" s="1"/>
  <c r="N190" i="8"/>
  <c r="N191" i="21" s="1"/>
  <c r="O190" i="8"/>
  <c r="O191" i="21" s="1"/>
  <c r="P190" i="8"/>
  <c r="P191" i="21" s="1"/>
  <c r="Q190" i="8"/>
  <c r="Q191" i="21" s="1"/>
  <c r="R190" i="8"/>
  <c r="R191" i="21" s="1"/>
  <c r="S190" i="8"/>
  <c r="S191" i="21" s="1"/>
  <c r="T190" i="8"/>
  <c r="T191" i="21" s="1"/>
  <c r="U190" i="8"/>
  <c r="U191" i="21" s="1"/>
  <c r="V190" i="8"/>
  <c r="V191" i="21" s="1"/>
  <c r="W190" i="8"/>
  <c r="W191" i="21" s="1"/>
  <c r="X190" i="8"/>
  <c r="X191" i="21" s="1"/>
  <c r="Y190" i="8"/>
  <c r="Y191" i="21" s="1"/>
  <c r="Z190" i="8"/>
  <c r="Z191" i="21" s="1"/>
  <c r="AA190" i="8"/>
  <c r="AA191" i="21" s="1"/>
  <c r="AB190" i="8"/>
  <c r="AB191" i="21" s="1"/>
  <c r="AC190" i="8"/>
  <c r="AC191" i="21" s="1"/>
  <c r="AD190" i="8"/>
  <c r="AD191" i="21" s="1"/>
  <c r="AE190" i="8"/>
  <c r="AE191" i="21" s="1"/>
  <c r="AF190" i="8"/>
  <c r="AG190" i="8"/>
  <c r="A191" i="8"/>
  <c r="B191" i="8"/>
  <c r="C191" i="8"/>
  <c r="D191" i="8"/>
  <c r="E191" i="8"/>
  <c r="F191" i="8"/>
  <c r="F192" i="21" s="1"/>
  <c r="G191" i="8"/>
  <c r="G192" i="21" s="1"/>
  <c r="H191" i="8"/>
  <c r="H192" i="21" s="1"/>
  <c r="I191" i="8"/>
  <c r="I192" i="21" s="1"/>
  <c r="J191" i="8"/>
  <c r="J192" i="21" s="1"/>
  <c r="K191" i="8"/>
  <c r="K192" i="21" s="1"/>
  <c r="L191" i="8"/>
  <c r="L192" i="21" s="1"/>
  <c r="M191" i="8"/>
  <c r="M192" i="21" s="1"/>
  <c r="N191" i="8"/>
  <c r="N192" i="21" s="1"/>
  <c r="O191" i="8"/>
  <c r="O192" i="21" s="1"/>
  <c r="P191" i="8"/>
  <c r="P192" i="21" s="1"/>
  <c r="Q191" i="8"/>
  <c r="Q192" i="21" s="1"/>
  <c r="R191" i="8"/>
  <c r="R192" i="21" s="1"/>
  <c r="S191" i="8"/>
  <c r="S192" i="21" s="1"/>
  <c r="T191" i="8"/>
  <c r="T192" i="21" s="1"/>
  <c r="U191" i="8"/>
  <c r="U192" i="21" s="1"/>
  <c r="V191" i="8"/>
  <c r="V192" i="21" s="1"/>
  <c r="W191" i="8"/>
  <c r="W192" i="21" s="1"/>
  <c r="X191" i="8"/>
  <c r="X192" i="21" s="1"/>
  <c r="Y191" i="8"/>
  <c r="Y192" i="21" s="1"/>
  <c r="Z191" i="8"/>
  <c r="Z192" i="21" s="1"/>
  <c r="AA191" i="8"/>
  <c r="AA192" i="21" s="1"/>
  <c r="AB191" i="8"/>
  <c r="AB192" i="21" s="1"/>
  <c r="AC191" i="8"/>
  <c r="AC192" i="21" s="1"/>
  <c r="AD191" i="8"/>
  <c r="AD192" i="21" s="1"/>
  <c r="AE191" i="8"/>
  <c r="AF191" i="8"/>
  <c r="AG191" i="8"/>
  <c r="AG192" i="10" s="1"/>
  <c r="A192" i="8"/>
  <c r="B192" i="8"/>
  <c r="C192" i="8"/>
  <c r="D192" i="8"/>
  <c r="E192" i="8"/>
  <c r="F192" i="8"/>
  <c r="F193" i="21" s="1"/>
  <c r="G192" i="8"/>
  <c r="G193" i="21" s="1"/>
  <c r="H192" i="8"/>
  <c r="H193" i="21" s="1"/>
  <c r="I192" i="8"/>
  <c r="I193" i="21" s="1"/>
  <c r="J192" i="8"/>
  <c r="J193" i="21" s="1"/>
  <c r="K192" i="8"/>
  <c r="K193" i="21" s="1"/>
  <c r="L192" i="8"/>
  <c r="L193" i="21" s="1"/>
  <c r="M192" i="8"/>
  <c r="M193" i="21" s="1"/>
  <c r="N192" i="8"/>
  <c r="N193" i="21" s="1"/>
  <c r="O192" i="8"/>
  <c r="O193" i="21" s="1"/>
  <c r="P192" i="8"/>
  <c r="P193" i="21" s="1"/>
  <c r="Q192" i="8"/>
  <c r="Q193" i="21" s="1"/>
  <c r="R192" i="8"/>
  <c r="R193" i="21" s="1"/>
  <c r="S192" i="8"/>
  <c r="S193" i="21" s="1"/>
  <c r="T192" i="8"/>
  <c r="T193" i="21" s="1"/>
  <c r="U192" i="8"/>
  <c r="U193" i="21" s="1"/>
  <c r="V192" i="8"/>
  <c r="V193" i="21" s="1"/>
  <c r="W192" i="8"/>
  <c r="W193" i="21" s="1"/>
  <c r="X192" i="8"/>
  <c r="X193" i="21" s="1"/>
  <c r="Y192" i="8"/>
  <c r="Y193" i="21" s="1"/>
  <c r="Z192" i="8"/>
  <c r="Z193" i="21" s="1"/>
  <c r="AA192" i="8"/>
  <c r="AA193" i="21" s="1"/>
  <c r="AB192" i="8"/>
  <c r="AB193" i="21" s="1"/>
  <c r="AC192" i="8"/>
  <c r="AC193" i="21" s="1"/>
  <c r="AD192" i="8"/>
  <c r="AD193" i="21" s="1"/>
  <c r="AE192" i="8"/>
  <c r="AE193" i="21" s="1"/>
  <c r="AF192" i="8"/>
  <c r="AF193" i="21" s="1"/>
  <c r="AG192" i="8"/>
  <c r="A193" i="8"/>
  <c r="B193" i="8"/>
  <c r="C193" i="8"/>
  <c r="D193" i="8"/>
  <c r="E193" i="8"/>
  <c r="F193" i="8"/>
  <c r="F194" i="21" s="1"/>
  <c r="G193" i="8"/>
  <c r="G194" i="21" s="1"/>
  <c r="H193" i="8"/>
  <c r="H194" i="21" s="1"/>
  <c r="I193" i="8"/>
  <c r="I194" i="21" s="1"/>
  <c r="J193" i="8"/>
  <c r="J194" i="21" s="1"/>
  <c r="K193" i="8"/>
  <c r="K194" i="21" s="1"/>
  <c r="L193" i="8"/>
  <c r="L194" i="21" s="1"/>
  <c r="M193" i="8"/>
  <c r="M194" i="21" s="1"/>
  <c r="N193" i="8"/>
  <c r="N194" i="21" s="1"/>
  <c r="O193" i="8"/>
  <c r="O194" i="21" s="1"/>
  <c r="P193" i="8"/>
  <c r="P194" i="21" s="1"/>
  <c r="Q193" i="8"/>
  <c r="Q194" i="21" s="1"/>
  <c r="R193" i="8"/>
  <c r="R194" i="21" s="1"/>
  <c r="S193" i="8"/>
  <c r="S194" i="21" s="1"/>
  <c r="T193" i="8"/>
  <c r="T194" i="21" s="1"/>
  <c r="U193" i="8"/>
  <c r="U194" i="21" s="1"/>
  <c r="V193" i="8"/>
  <c r="V194" i="21" s="1"/>
  <c r="W193" i="8"/>
  <c r="W194" i="21" s="1"/>
  <c r="X193" i="8"/>
  <c r="X194" i="21" s="1"/>
  <c r="Y193" i="8"/>
  <c r="Y194" i="21" s="1"/>
  <c r="Z193" i="8"/>
  <c r="Z194" i="21" s="1"/>
  <c r="AA193" i="8"/>
  <c r="AA194" i="21" s="1"/>
  <c r="AB193" i="8"/>
  <c r="AB194" i="21" s="1"/>
  <c r="AC193" i="8"/>
  <c r="AC194" i="21" s="1"/>
  <c r="AD193" i="8"/>
  <c r="AD194" i="21" s="1"/>
  <c r="AE193" i="8"/>
  <c r="AF193" i="8"/>
  <c r="AF194" i="21" s="1"/>
  <c r="AG193" i="8"/>
  <c r="A194" i="8"/>
  <c r="B194" i="8"/>
  <c r="C194" i="8"/>
  <c r="D194" i="8"/>
  <c r="E194" i="8"/>
  <c r="F194" i="8"/>
  <c r="F195" i="21" s="1"/>
  <c r="G194" i="8"/>
  <c r="G195" i="21" s="1"/>
  <c r="H194" i="8"/>
  <c r="H195" i="21" s="1"/>
  <c r="I194" i="8"/>
  <c r="I195" i="21" s="1"/>
  <c r="J194" i="8"/>
  <c r="J195" i="21" s="1"/>
  <c r="K194" i="8"/>
  <c r="K195" i="21" s="1"/>
  <c r="L194" i="8"/>
  <c r="L195" i="21" s="1"/>
  <c r="M194" i="8"/>
  <c r="M195" i="21" s="1"/>
  <c r="N194" i="8"/>
  <c r="N195" i="21" s="1"/>
  <c r="O194" i="8"/>
  <c r="O195" i="21" s="1"/>
  <c r="P194" i="8"/>
  <c r="P195" i="21" s="1"/>
  <c r="Q194" i="8"/>
  <c r="Q195" i="21" s="1"/>
  <c r="R194" i="8"/>
  <c r="R195" i="21" s="1"/>
  <c r="S194" i="8"/>
  <c r="S195" i="21" s="1"/>
  <c r="T194" i="8"/>
  <c r="T195" i="21" s="1"/>
  <c r="U194" i="8"/>
  <c r="U195" i="21" s="1"/>
  <c r="V194" i="8"/>
  <c r="V195" i="21" s="1"/>
  <c r="W194" i="8"/>
  <c r="W195" i="21" s="1"/>
  <c r="X194" i="8"/>
  <c r="X195" i="21" s="1"/>
  <c r="Y194" i="8"/>
  <c r="Y195" i="21" s="1"/>
  <c r="Z194" i="8"/>
  <c r="Z195" i="21" s="1"/>
  <c r="AA194" i="8"/>
  <c r="AA195" i="21" s="1"/>
  <c r="AB194" i="8"/>
  <c r="AB195" i="21" s="1"/>
  <c r="AC194" i="8"/>
  <c r="AC195" i="21" s="1"/>
  <c r="AD194" i="8"/>
  <c r="AD195" i="21" s="1"/>
  <c r="AE194" i="8"/>
  <c r="AF194" i="8"/>
  <c r="AG194" i="8"/>
  <c r="A195" i="8"/>
  <c r="B195" i="8"/>
  <c r="C195" i="8"/>
  <c r="D195" i="8"/>
  <c r="E195" i="8"/>
  <c r="F195" i="8"/>
  <c r="F196" i="21" s="1"/>
  <c r="G195" i="8"/>
  <c r="G196" i="21" s="1"/>
  <c r="H195" i="8"/>
  <c r="H196" i="21" s="1"/>
  <c r="I195" i="8"/>
  <c r="I196" i="21" s="1"/>
  <c r="J195" i="8"/>
  <c r="J196" i="21" s="1"/>
  <c r="K195" i="8"/>
  <c r="K196" i="21" s="1"/>
  <c r="L195" i="8"/>
  <c r="L196" i="21" s="1"/>
  <c r="M195" i="8"/>
  <c r="M196" i="21" s="1"/>
  <c r="N195" i="8"/>
  <c r="N196" i="21" s="1"/>
  <c r="O195" i="8"/>
  <c r="O196" i="21" s="1"/>
  <c r="P195" i="8"/>
  <c r="P196" i="21" s="1"/>
  <c r="Q195" i="8"/>
  <c r="Q196" i="21" s="1"/>
  <c r="R195" i="8"/>
  <c r="R196" i="21" s="1"/>
  <c r="S195" i="8"/>
  <c r="S196" i="21" s="1"/>
  <c r="T195" i="8"/>
  <c r="T196" i="21" s="1"/>
  <c r="U195" i="8"/>
  <c r="U196" i="21" s="1"/>
  <c r="V195" i="8"/>
  <c r="V196" i="21" s="1"/>
  <c r="W195" i="8"/>
  <c r="W196" i="21" s="1"/>
  <c r="X195" i="8"/>
  <c r="X196" i="21" s="1"/>
  <c r="Y195" i="8"/>
  <c r="Y196" i="21" s="1"/>
  <c r="Z195" i="8"/>
  <c r="Z196" i="21" s="1"/>
  <c r="AA195" i="8"/>
  <c r="AA196" i="21" s="1"/>
  <c r="AB195" i="8"/>
  <c r="AB196" i="21" s="1"/>
  <c r="AC195" i="8"/>
  <c r="AC196" i="21" s="1"/>
  <c r="AD195" i="8"/>
  <c r="AD196" i="21" s="1"/>
  <c r="AE195" i="8"/>
  <c r="AF195" i="8"/>
  <c r="AG195" i="8"/>
  <c r="A196" i="8"/>
  <c r="B196" i="8"/>
  <c r="C196" i="8"/>
  <c r="D196" i="8"/>
  <c r="E196" i="8"/>
  <c r="F196" i="8"/>
  <c r="F197" i="21" s="1"/>
  <c r="G196" i="8"/>
  <c r="G197" i="21" s="1"/>
  <c r="H196" i="8"/>
  <c r="H197" i="21" s="1"/>
  <c r="I196" i="8"/>
  <c r="I197" i="21" s="1"/>
  <c r="J196" i="8"/>
  <c r="J197" i="21" s="1"/>
  <c r="K196" i="8"/>
  <c r="K197" i="21" s="1"/>
  <c r="L196" i="8"/>
  <c r="L197" i="21" s="1"/>
  <c r="M196" i="8"/>
  <c r="M197" i="21" s="1"/>
  <c r="N196" i="8"/>
  <c r="N197" i="21" s="1"/>
  <c r="O196" i="8"/>
  <c r="O197" i="21" s="1"/>
  <c r="P196" i="8"/>
  <c r="P197" i="21" s="1"/>
  <c r="Q196" i="8"/>
  <c r="Q197" i="21" s="1"/>
  <c r="R196" i="8"/>
  <c r="R197" i="21" s="1"/>
  <c r="S196" i="8"/>
  <c r="S197" i="21" s="1"/>
  <c r="T196" i="8"/>
  <c r="T197" i="21" s="1"/>
  <c r="U196" i="8"/>
  <c r="U197" i="21" s="1"/>
  <c r="V196" i="8"/>
  <c r="V197" i="21" s="1"/>
  <c r="W196" i="8"/>
  <c r="W197" i="21" s="1"/>
  <c r="X196" i="8"/>
  <c r="X197" i="21" s="1"/>
  <c r="Y196" i="8"/>
  <c r="Y197" i="21" s="1"/>
  <c r="Z196" i="8"/>
  <c r="Z197" i="21" s="1"/>
  <c r="AA196" i="8"/>
  <c r="AA197" i="21" s="1"/>
  <c r="AB196" i="8"/>
  <c r="AB197" i="21" s="1"/>
  <c r="AC196" i="8"/>
  <c r="AC197" i="21" s="1"/>
  <c r="AD196" i="8"/>
  <c r="AD197" i="21" s="1"/>
  <c r="AE196" i="8"/>
  <c r="AE197" i="21" s="1"/>
  <c r="AF196" i="8"/>
  <c r="AF197" i="21" s="1"/>
  <c r="AG196" i="8"/>
  <c r="A197" i="8"/>
  <c r="B197" i="8"/>
  <c r="C197" i="8"/>
  <c r="D197" i="8"/>
  <c r="E197" i="8"/>
  <c r="F197" i="8"/>
  <c r="F198" i="21" s="1"/>
  <c r="G197" i="8"/>
  <c r="G198" i="21" s="1"/>
  <c r="H197" i="8"/>
  <c r="H198" i="21" s="1"/>
  <c r="I197" i="8"/>
  <c r="I198" i="21" s="1"/>
  <c r="J197" i="8"/>
  <c r="J198" i="21" s="1"/>
  <c r="K197" i="8"/>
  <c r="K198" i="21" s="1"/>
  <c r="L197" i="8"/>
  <c r="L198" i="21" s="1"/>
  <c r="M197" i="8"/>
  <c r="M198" i="21" s="1"/>
  <c r="N197" i="8"/>
  <c r="N198" i="21" s="1"/>
  <c r="O197" i="8"/>
  <c r="O198" i="21" s="1"/>
  <c r="P197" i="8"/>
  <c r="P198" i="21" s="1"/>
  <c r="Q197" i="8"/>
  <c r="Q198" i="21" s="1"/>
  <c r="R197" i="8"/>
  <c r="R198" i="21" s="1"/>
  <c r="S197" i="8"/>
  <c r="S198" i="21" s="1"/>
  <c r="T197" i="8"/>
  <c r="T198" i="21" s="1"/>
  <c r="U197" i="8"/>
  <c r="U198" i="21" s="1"/>
  <c r="V197" i="8"/>
  <c r="V198" i="21" s="1"/>
  <c r="W197" i="8"/>
  <c r="W198" i="21" s="1"/>
  <c r="X197" i="8"/>
  <c r="X198" i="21" s="1"/>
  <c r="Y197" i="8"/>
  <c r="Y198" i="21" s="1"/>
  <c r="Z197" i="8"/>
  <c r="Z198" i="21" s="1"/>
  <c r="AA197" i="8"/>
  <c r="AA198" i="21" s="1"/>
  <c r="AB197" i="8"/>
  <c r="AB198" i="21" s="1"/>
  <c r="AC197" i="8"/>
  <c r="AC198" i="21" s="1"/>
  <c r="AD197" i="8"/>
  <c r="AD198" i="21" s="1"/>
  <c r="AE197" i="8"/>
  <c r="AF197" i="8"/>
  <c r="AF198" i="21" s="1"/>
  <c r="AG197" i="8"/>
  <c r="A198" i="8"/>
  <c r="B198" i="8"/>
  <c r="C198" i="8"/>
  <c r="D198" i="8"/>
  <c r="E198" i="8"/>
  <c r="F198" i="8"/>
  <c r="F199" i="21" s="1"/>
  <c r="G198" i="8"/>
  <c r="G199" i="21" s="1"/>
  <c r="H198" i="8"/>
  <c r="H199" i="21" s="1"/>
  <c r="I198" i="8"/>
  <c r="I199" i="21" s="1"/>
  <c r="J198" i="8"/>
  <c r="J199" i="21" s="1"/>
  <c r="K198" i="8"/>
  <c r="K199" i="21" s="1"/>
  <c r="L198" i="8"/>
  <c r="L199" i="21" s="1"/>
  <c r="M198" i="8"/>
  <c r="M199" i="21" s="1"/>
  <c r="N198" i="8"/>
  <c r="N199" i="21" s="1"/>
  <c r="O198" i="8"/>
  <c r="O199" i="21" s="1"/>
  <c r="P198" i="8"/>
  <c r="P199" i="21" s="1"/>
  <c r="Q198" i="8"/>
  <c r="Q199" i="21" s="1"/>
  <c r="R198" i="8"/>
  <c r="R199" i="21" s="1"/>
  <c r="S198" i="8"/>
  <c r="S199" i="21" s="1"/>
  <c r="T198" i="8"/>
  <c r="T199" i="21" s="1"/>
  <c r="U198" i="8"/>
  <c r="U199" i="21" s="1"/>
  <c r="V198" i="8"/>
  <c r="V199" i="21" s="1"/>
  <c r="W198" i="8"/>
  <c r="W199" i="21" s="1"/>
  <c r="X198" i="8"/>
  <c r="X199" i="21" s="1"/>
  <c r="Y198" i="8"/>
  <c r="Y199" i="21" s="1"/>
  <c r="Z198" i="8"/>
  <c r="Z199" i="21" s="1"/>
  <c r="AA198" i="8"/>
  <c r="AA199" i="21" s="1"/>
  <c r="AB198" i="8"/>
  <c r="AB199" i="21" s="1"/>
  <c r="AC198" i="8"/>
  <c r="AC199" i="21" s="1"/>
  <c r="AD198" i="8"/>
  <c r="AD199" i="21" s="1"/>
  <c r="AE198" i="8"/>
  <c r="AE199" i="21" s="1"/>
  <c r="AF198" i="8"/>
  <c r="AG198" i="8"/>
  <c r="A199" i="8"/>
  <c r="B199" i="8"/>
  <c r="C199" i="8"/>
  <c r="D199" i="8"/>
  <c r="E199" i="8"/>
  <c r="F199" i="8"/>
  <c r="F200" i="21" s="1"/>
  <c r="G199" i="8"/>
  <c r="G200" i="21" s="1"/>
  <c r="H199" i="8"/>
  <c r="H200" i="21" s="1"/>
  <c r="I199" i="8"/>
  <c r="I200" i="21" s="1"/>
  <c r="J199" i="8"/>
  <c r="J200" i="21" s="1"/>
  <c r="K199" i="8"/>
  <c r="K200" i="21" s="1"/>
  <c r="L199" i="8"/>
  <c r="L200" i="21" s="1"/>
  <c r="M199" i="8"/>
  <c r="M200" i="21" s="1"/>
  <c r="N199" i="8"/>
  <c r="N200" i="21" s="1"/>
  <c r="O199" i="8"/>
  <c r="O200" i="21" s="1"/>
  <c r="P199" i="8"/>
  <c r="P200" i="21" s="1"/>
  <c r="Q199" i="8"/>
  <c r="Q200" i="21" s="1"/>
  <c r="R199" i="8"/>
  <c r="R200" i="21" s="1"/>
  <c r="S199" i="8"/>
  <c r="S200" i="21" s="1"/>
  <c r="T199" i="8"/>
  <c r="T200" i="21" s="1"/>
  <c r="U199" i="8"/>
  <c r="U200" i="21" s="1"/>
  <c r="V199" i="8"/>
  <c r="V200" i="21" s="1"/>
  <c r="W199" i="8"/>
  <c r="W200" i="21" s="1"/>
  <c r="X199" i="8"/>
  <c r="X200" i="21" s="1"/>
  <c r="Y199" i="8"/>
  <c r="Y200" i="21" s="1"/>
  <c r="Z199" i="8"/>
  <c r="Z200" i="21" s="1"/>
  <c r="AA199" i="8"/>
  <c r="AA200" i="21" s="1"/>
  <c r="AB199" i="8"/>
  <c r="AB200" i="21" s="1"/>
  <c r="AC199" i="8"/>
  <c r="AC200" i="21" s="1"/>
  <c r="AD199" i="8"/>
  <c r="AD200" i="21" s="1"/>
  <c r="AE199" i="8"/>
  <c r="AF199" i="8"/>
  <c r="AG199" i="8"/>
  <c r="A200" i="8"/>
  <c r="B200" i="8"/>
  <c r="C200" i="8"/>
  <c r="D200" i="8"/>
  <c r="E200" i="8"/>
  <c r="F200" i="8"/>
  <c r="F201" i="21" s="1"/>
  <c r="G200" i="8"/>
  <c r="G201" i="21" s="1"/>
  <c r="H200" i="8"/>
  <c r="H201" i="21" s="1"/>
  <c r="I200" i="8"/>
  <c r="I201" i="21" s="1"/>
  <c r="J200" i="8"/>
  <c r="J201" i="21" s="1"/>
  <c r="K200" i="8"/>
  <c r="K201" i="21" s="1"/>
  <c r="L200" i="8"/>
  <c r="L201" i="21" s="1"/>
  <c r="M200" i="8"/>
  <c r="M201" i="21" s="1"/>
  <c r="N200" i="8"/>
  <c r="N201" i="21" s="1"/>
  <c r="O200" i="8"/>
  <c r="O201" i="21" s="1"/>
  <c r="P200" i="8"/>
  <c r="P201" i="21" s="1"/>
  <c r="Q200" i="8"/>
  <c r="Q201" i="21" s="1"/>
  <c r="R200" i="8"/>
  <c r="R201" i="21" s="1"/>
  <c r="S200" i="8"/>
  <c r="S201" i="21" s="1"/>
  <c r="T200" i="8"/>
  <c r="T201" i="21" s="1"/>
  <c r="U200" i="8"/>
  <c r="U201" i="21" s="1"/>
  <c r="V200" i="8"/>
  <c r="V201" i="21" s="1"/>
  <c r="W200" i="8"/>
  <c r="W201" i="21" s="1"/>
  <c r="X200" i="8"/>
  <c r="X201" i="21" s="1"/>
  <c r="Y200" i="8"/>
  <c r="Y201" i="21" s="1"/>
  <c r="Z200" i="8"/>
  <c r="Z201" i="21" s="1"/>
  <c r="AA200" i="8"/>
  <c r="AA201" i="21" s="1"/>
  <c r="AB200" i="8"/>
  <c r="AB201" i="21" s="1"/>
  <c r="AC200" i="8"/>
  <c r="AC201" i="21" s="1"/>
  <c r="AD200" i="8"/>
  <c r="AD201" i="21" s="1"/>
  <c r="AE200" i="8"/>
  <c r="AE201" i="21" s="1"/>
  <c r="AF200" i="8"/>
  <c r="AF201" i="21" s="1"/>
  <c r="AG200" i="8"/>
  <c r="A201" i="8"/>
  <c r="B201" i="8"/>
  <c r="C201" i="8"/>
  <c r="D201" i="8"/>
  <c r="E201" i="8"/>
  <c r="F201" i="8"/>
  <c r="F202" i="21" s="1"/>
  <c r="G201" i="8"/>
  <c r="G202" i="21" s="1"/>
  <c r="H201" i="8"/>
  <c r="H202" i="21" s="1"/>
  <c r="I201" i="8"/>
  <c r="I202" i="21" s="1"/>
  <c r="J201" i="8"/>
  <c r="J202" i="21" s="1"/>
  <c r="K201" i="8"/>
  <c r="K202" i="21" s="1"/>
  <c r="L201" i="8"/>
  <c r="L202" i="21" s="1"/>
  <c r="M201" i="8"/>
  <c r="M202" i="21" s="1"/>
  <c r="N201" i="8"/>
  <c r="N202" i="21" s="1"/>
  <c r="O201" i="8"/>
  <c r="O202" i="21" s="1"/>
  <c r="P201" i="8"/>
  <c r="P202" i="21" s="1"/>
  <c r="Q201" i="8"/>
  <c r="Q202" i="21" s="1"/>
  <c r="R201" i="8"/>
  <c r="R202" i="21" s="1"/>
  <c r="S201" i="8"/>
  <c r="S202" i="21" s="1"/>
  <c r="T201" i="8"/>
  <c r="T202" i="21" s="1"/>
  <c r="U201" i="8"/>
  <c r="U202" i="21" s="1"/>
  <c r="V201" i="8"/>
  <c r="V202" i="21" s="1"/>
  <c r="W201" i="8"/>
  <c r="W202" i="21" s="1"/>
  <c r="X201" i="8"/>
  <c r="X202" i="21" s="1"/>
  <c r="Y201" i="8"/>
  <c r="Y202" i="21" s="1"/>
  <c r="Z201" i="8"/>
  <c r="Z202" i="21" s="1"/>
  <c r="AA201" i="8"/>
  <c r="AA202" i="21" s="1"/>
  <c r="AB201" i="8"/>
  <c r="AB202" i="21" s="1"/>
  <c r="AC201" i="8"/>
  <c r="AC202" i="21" s="1"/>
  <c r="AD201" i="8"/>
  <c r="AD202" i="21" s="1"/>
  <c r="AE201" i="8"/>
  <c r="AF201" i="8"/>
  <c r="AF202" i="21" s="1"/>
  <c r="AG201" i="8"/>
  <c r="A202" i="8"/>
  <c r="B202" i="8"/>
  <c r="C202" i="8"/>
  <c r="D202" i="8"/>
  <c r="E202" i="8"/>
  <c r="F202" i="8"/>
  <c r="F203" i="21" s="1"/>
  <c r="G202" i="8"/>
  <c r="G203" i="21" s="1"/>
  <c r="H202" i="8"/>
  <c r="H203" i="21" s="1"/>
  <c r="I202" i="8"/>
  <c r="I203" i="21" s="1"/>
  <c r="J202" i="8"/>
  <c r="J203" i="21" s="1"/>
  <c r="K202" i="8"/>
  <c r="K203" i="21" s="1"/>
  <c r="L202" i="8"/>
  <c r="L203" i="21" s="1"/>
  <c r="M202" i="8"/>
  <c r="M203" i="21" s="1"/>
  <c r="N202" i="8"/>
  <c r="N203" i="21" s="1"/>
  <c r="O202" i="8"/>
  <c r="O203" i="21" s="1"/>
  <c r="P202" i="8"/>
  <c r="P203" i="21" s="1"/>
  <c r="Q202" i="8"/>
  <c r="Q203" i="21" s="1"/>
  <c r="R202" i="8"/>
  <c r="R203" i="21" s="1"/>
  <c r="S202" i="8"/>
  <c r="S203" i="21" s="1"/>
  <c r="T202" i="8"/>
  <c r="T203" i="21" s="1"/>
  <c r="U202" i="8"/>
  <c r="U203" i="21" s="1"/>
  <c r="V202" i="8"/>
  <c r="V203" i="21" s="1"/>
  <c r="W202" i="8"/>
  <c r="W203" i="21" s="1"/>
  <c r="X202" i="8"/>
  <c r="X203" i="21" s="1"/>
  <c r="Y202" i="8"/>
  <c r="Y203" i="21" s="1"/>
  <c r="Z202" i="8"/>
  <c r="Z203" i="21" s="1"/>
  <c r="AA202" i="8"/>
  <c r="AA203" i="21" s="1"/>
  <c r="AB202" i="8"/>
  <c r="AB203" i="21" s="1"/>
  <c r="AC202" i="8"/>
  <c r="AC203" i="21" s="1"/>
  <c r="AD202" i="8"/>
  <c r="AD203" i="21" s="1"/>
  <c r="AE202" i="8"/>
  <c r="AE203" i="21" s="1"/>
  <c r="AF202" i="8"/>
  <c r="AG202" i="8"/>
  <c r="AG203" i="9" s="1"/>
  <c r="A203" i="8"/>
  <c r="B203" i="8"/>
  <c r="C203" i="8"/>
  <c r="D203" i="8"/>
  <c r="E203" i="8"/>
  <c r="F203" i="8"/>
  <c r="F204" i="21" s="1"/>
  <c r="G203" i="8"/>
  <c r="G204" i="21" s="1"/>
  <c r="H203" i="8"/>
  <c r="H204" i="21" s="1"/>
  <c r="I203" i="8"/>
  <c r="I204" i="21" s="1"/>
  <c r="J203" i="8"/>
  <c r="J204" i="21" s="1"/>
  <c r="K203" i="8"/>
  <c r="K204" i="21" s="1"/>
  <c r="L203" i="8"/>
  <c r="L204" i="21" s="1"/>
  <c r="M203" i="8"/>
  <c r="M204" i="21" s="1"/>
  <c r="N203" i="8"/>
  <c r="N204" i="21" s="1"/>
  <c r="O203" i="8"/>
  <c r="O204" i="21" s="1"/>
  <c r="P203" i="8"/>
  <c r="P204" i="21" s="1"/>
  <c r="Q203" i="8"/>
  <c r="Q204" i="21" s="1"/>
  <c r="R203" i="8"/>
  <c r="R204" i="21" s="1"/>
  <c r="S203" i="8"/>
  <c r="S204" i="21" s="1"/>
  <c r="T203" i="8"/>
  <c r="T204" i="21" s="1"/>
  <c r="U203" i="8"/>
  <c r="U204" i="21" s="1"/>
  <c r="V203" i="8"/>
  <c r="V204" i="21" s="1"/>
  <c r="W203" i="8"/>
  <c r="W204" i="21" s="1"/>
  <c r="X203" i="8"/>
  <c r="X204" i="21" s="1"/>
  <c r="Y203" i="8"/>
  <c r="Y204" i="21" s="1"/>
  <c r="Z203" i="8"/>
  <c r="Z204" i="21" s="1"/>
  <c r="AA203" i="8"/>
  <c r="AA204" i="21" s="1"/>
  <c r="AB203" i="8"/>
  <c r="AB204" i="21" s="1"/>
  <c r="AC203" i="8"/>
  <c r="AC204" i="21" s="1"/>
  <c r="AD203" i="8"/>
  <c r="AD204" i="21" s="1"/>
  <c r="AE203" i="8"/>
  <c r="AF203" i="8"/>
  <c r="AG203" i="8"/>
  <c r="AG204" i="10" s="1"/>
  <c r="A204" i="8"/>
  <c r="B204" i="8"/>
  <c r="C204" i="8"/>
  <c r="D204" i="8"/>
  <c r="E204" i="8"/>
  <c r="F204" i="8"/>
  <c r="F205" i="21" s="1"/>
  <c r="G204" i="8"/>
  <c r="G205" i="21" s="1"/>
  <c r="H204" i="8"/>
  <c r="H205" i="21" s="1"/>
  <c r="I204" i="8"/>
  <c r="I205" i="21" s="1"/>
  <c r="J204" i="8"/>
  <c r="J205" i="21" s="1"/>
  <c r="K204" i="8"/>
  <c r="K205" i="21" s="1"/>
  <c r="L204" i="8"/>
  <c r="L205" i="21" s="1"/>
  <c r="M204" i="8"/>
  <c r="M205" i="21" s="1"/>
  <c r="N204" i="8"/>
  <c r="N205" i="21" s="1"/>
  <c r="O204" i="8"/>
  <c r="O205" i="21" s="1"/>
  <c r="P204" i="8"/>
  <c r="P205" i="21" s="1"/>
  <c r="Q204" i="8"/>
  <c r="Q205" i="21" s="1"/>
  <c r="R204" i="8"/>
  <c r="R205" i="21" s="1"/>
  <c r="S204" i="8"/>
  <c r="S205" i="21" s="1"/>
  <c r="T204" i="8"/>
  <c r="T205" i="21" s="1"/>
  <c r="U204" i="8"/>
  <c r="U205" i="21" s="1"/>
  <c r="V204" i="8"/>
  <c r="V205" i="21" s="1"/>
  <c r="W204" i="8"/>
  <c r="W205" i="21" s="1"/>
  <c r="X204" i="8"/>
  <c r="X205" i="21" s="1"/>
  <c r="Y204" i="8"/>
  <c r="Y205" i="21" s="1"/>
  <c r="Z204" i="8"/>
  <c r="Z205" i="21" s="1"/>
  <c r="AA204" i="8"/>
  <c r="AA205" i="21" s="1"/>
  <c r="AB204" i="8"/>
  <c r="AB205" i="21" s="1"/>
  <c r="AC204" i="8"/>
  <c r="AC205" i="21" s="1"/>
  <c r="AD204" i="8"/>
  <c r="AD205" i="21" s="1"/>
  <c r="AE204" i="8"/>
  <c r="AE205" i="21" s="1"/>
  <c r="AF204" i="8"/>
  <c r="AF205" i="21" s="1"/>
  <c r="AG204" i="8"/>
  <c r="A205" i="8"/>
  <c r="B205" i="8"/>
  <c r="C205" i="8"/>
  <c r="D205" i="8"/>
  <c r="E205" i="8"/>
  <c r="F205" i="8"/>
  <c r="F206" i="21" s="1"/>
  <c r="G205" i="8"/>
  <c r="G206" i="21" s="1"/>
  <c r="H205" i="8"/>
  <c r="H206" i="21" s="1"/>
  <c r="I205" i="8"/>
  <c r="I206" i="21" s="1"/>
  <c r="J205" i="8"/>
  <c r="J206" i="21" s="1"/>
  <c r="K205" i="8"/>
  <c r="K206" i="21" s="1"/>
  <c r="L205" i="8"/>
  <c r="L206" i="21" s="1"/>
  <c r="M205" i="8"/>
  <c r="M206" i="21" s="1"/>
  <c r="N205" i="8"/>
  <c r="N206" i="21" s="1"/>
  <c r="O205" i="8"/>
  <c r="O206" i="21" s="1"/>
  <c r="P205" i="8"/>
  <c r="P206" i="21" s="1"/>
  <c r="Q205" i="8"/>
  <c r="Q206" i="21" s="1"/>
  <c r="R205" i="8"/>
  <c r="R206" i="21" s="1"/>
  <c r="S205" i="8"/>
  <c r="S206" i="21" s="1"/>
  <c r="T205" i="8"/>
  <c r="T206" i="21" s="1"/>
  <c r="U205" i="8"/>
  <c r="U206" i="21" s="1"/>
  <c r="V205" i="8"/>
  <c r="V206" i="21" s="1"/>
  <c r="W205" i="8"/>
  <c r="W206" i="21" s="1"/>
  <c r="X205" i="8"/>
  <c r="X206" i="21" s="1"/>
  <c r="Y205" i="8"/>
  <c r="Y206" i="21" s="1"/>
  <c r="Z205" i="8"/>
  <c r="Z206" i="21" s="1"/>
  <c r="AA205" i="8"/>
  <c r="AA206" i="21" s="1"/>
  <c r="AB205" i="8"/>
  <c r="AB206" i="21" s="1"/>
  <c r="AC205" i="8"/>
  <c r="AC206" i="21" s="1"/>
  <c r="AD205" i="8"/>
  <c r="AD206" i="21" s="1"/>
  <c r="AE205" i="8"/>
  <c r="AF205" i="8"/>
  <c r="AF206" i="21" s="1"/>
  <c r="AG205" i="8"/>
  <c r="A206" i="8"/>
  <c r="B206" i="8"/>
  <c r="C206" i="8"/>
  <c r="D206" i="8"/>
  <c r="E206" i="8"/>
  <c r="F206" i="8"/>
  <c r="F207" i="21" s="1"/>
  <c r="G206" i="8"/>
  <c r="G207" i="21" s="1"/>
  <c r="H206" i="8"/>
  <c r="H207" i="21" s="1"/>
  <c r="I206" i="8"/>
  <c r="I207" i="21" s="1"/>
  <c r="J206" i="8"/>
  <c r="J207" i="21" s="1"/>
  <c r="K206" i="8"/>
  <c r="K207" i="21" s="1"/>
  <c r="L206" i="8"/>
  <c r="L207" i="21" s="1"/>
  <c r="M206" i="8"/>
  <c r="M207" i="21" s="1"/>
  <c r="N206" i="8"/>
  <c r="N207" i="21" s="1"/>
  <c r="O206" i="8"/>
  <c r="O207" i="21" s="1"/>
  <c r="P206" i="8"/>
  <c r="P207" i="21" s="1"/>
  <c r="Q206" i="8"/>
  <c r="Q207" i="21" s="1"/>
  <c r="R206" i="8"/>
  <c r="R207" i="21" s="1"/>
  <c r="S206" i="8"/>
  <c r="S207" i="21" s="1"/>
  <c r="T206" i="8"/>
  <c r="T207" i="21" s="1"/>
  <c r="U206" i="8"/>
  <c r="U207" i="21" s="1"/>
  <c r="V206" i="8"/>
  <c r="V207" i="21" s="1"/>
  <c r="W206" i="8"/>
  <c r="W207" i="21" s="1"/>
  <c r="X206" i="8"/>
  <c r="X207" i="21" s="1"/>
  <c r="Y206" i="8"/>
  <c r="Y207" i="21" s="1"/>
  <c r="Z206" i="8"/>
  <c r="Z207" i="21" s="1"/>
  <c r="AA206" i="8"/>
  <c r="AA207" i="21" s="1"/>
  <c r="AB206" i="8"/>
  <c r="AB207" i="21" s="1"/>
  <c r="AC206" i="8"/>
  <c r="AC207" i="21" s="1"/>
  <c r="AD206" i="8"/>
  <c r="AD207" i="21" s="1"/>
  <c r="AE206" i="8"/>
  <c r="AE207" i="21" s="1"/>
  <c r="AF206" i="8"/>
  <c r="AF207" i="21" s="1"/>
  <c r="AG206" i="8"/>
  <c r="A207" i="8"/>
  <c r="B207" i="8"/>
  <c r="C207" i="8"/>
  <c r="D207" i="8"/>
  <c r="E207" i="8"/>
  <c r="F207" i="8"/>
  <c r="F208" i="21" s="1"/>
  <c r="G207" i="8"/>
  <c r="G208" i="21" s="1"/>
  <c r="H207" i="8"/>
  <c r="H208" i="21" s="1"/>
  <c r="I207" i="8"/>
  <c r="I208" i="21" s="1"/>
  <c r="J207" i="8"/>
  <c r="J208" i="21" s="1"/>
  <c r="K207" i="8"/>
  <c r="K208" i="21" s="1"/>
  <c r="L207" i="8"/>
  <c r="L208" i="21" s="1"/>
  <c r="M207" i="8"/>
  <c r="M208" i="21" s="1"/>
  <c r="N207" i="8"/>
  <c r="N208" i="21" s="1"/>
  <c r="O207" i="8"/>
  <c r="O208" i="21" s="1"/>
  <c r="P207" i="8"/>
  <c r="P208" i="21" s="1"/>
  <c r="Q207" i="8"/>
  <c r="Q208" i="21" s="1"/>
  <c r="R207" i="8"/>
  <c r="R208" i="21" s="1"/>
  <c r="S207" i="8"/>
  <c r="S208" i="21" s="1"/>
  <c r="T207" i="8"/>
  <c r="T208" i="21" s="1"/>
  <c r="U207" i="8"/>
  <c r="U208" i="21" s="1"/>
  <c r="V207" i="8"/>
  <c r="V208" i="21" s="1"/>
  <c r="W207" i="8"/>
  <c r="W208" i="21" s="1"/>
  <c r="X207" i="8"/>
  <c r="X208" i="21" s="1"/>
  <c r="Y207" i="8"/>
  <c r="Y208" i="21" s="1"/>
  <c r="Z207" i="8"/>
  <c r="Z208" i="21" s="1"/>
  <c r="AA207" i="8"/>
  <c r="AA208" i="21" s="1"/>
  <c r="AB207" i="8"/>
  <c r="AB208" i="21" s="1"/>
  <c r="AC207" i="8"/>
  <c r="AC208" i="21" s="1"/>
  <c r="AD207" i="8"/>
  <c r="AD208" i="21" s="1"/>
  <c r="AE207" i="8"/>
  <c r="AF207" i="8"/>
  <c r="AF208" i="21" s="1"/>
  <c r="AG207" i="8"/>
  <c r="A208" i="8"/>
  <c r="B208" i="8"/>
  <c r="C208" i="8"/>
  <c r="D208" i="8"/>
  <c r="E208" i="8"/>
  <c r="F208" i="8"/>
  <c r="F209" i="21" s="1"/>
  <c r="G208" i="8"/>
  <c r="G209" i="21" s="1"/>
  <c r="H208" i="8"/>
  <c r="H209" i="21" s="1"/>
  <c r="I208" i="8"/>
  <c r="I209" i="21" s="1"/>
  <c r="J208" i="8"/>
  <c r="J209" i="21" s="1"/>
  <c r="K208" i="8"/>
  <c r="K209" i="21" s="1"/>
  <c r="L208" i="8"/>
  <c r="L209" i="21" s="1"/>
  <c r="M208" i="8"/>
  <c r="M209" i="21" s="1"/>
  <c r="N208" i="8"/>
  <c r="N209" i="21" s="1"/>
  <c r="O208" i="8"/>
  <c r="O209" i="21" s="1"/>
  <c r="P208" i="8"/>
  <c r="P209" i="21" s="1"/>
  <c r="Q208" i="8"/>
  <c r="Q209" i="21" s="1"/>
  <c r="R208" i="8"/>
  <c r="R209" i="21" s="1"/>
  <c r="S208" i="8"/>
  <c r="S209" i="21" s="1"/>
  <c r="T208" i="8"/>
  <c r="T209" i="21" s="1"/>
  <c r="U208" i="8"/>
  <c r="U209" i="21" s="1"/>
  <c r="V208" i="8"/>
  <c r="V209" i="21" s="1"/>
  <c r="W208" i="8"/>
  <c r="W209" i="21" s="1"/>
  <c r="X208" i="8"/>
  <c r="X209" i="21" s="1"/>
  <c r="Y208" i="8"/>
  <c r="Y209" i="21" s="1"/>
  <c r="Z208" i="8"/>
  <c r="Z209" i="21" s="1"/>
  <c r="AA208" i="8"/>
  <c r="AA209" i="21" s="1"/>
  <c r="AB208" i="8"/>
  <c r="AB209" i="21" s="1"/>
  <c r="AC208" i="8"/>
  <c r="AC209" i="21" s="1"/>
  <c r="AD208" i="8"/>
  <c r="AD209" i="21" s="1"/>
  <c r="AE208" i="8"/>
  <c r="AE209" i="21" s="1"/>
  <c r="AF208" i="8"/>
  <c r="AF209" i="21" s="1"/>
  <c r="AG208" i="8"/>
  <c r="A209" i="8"/>
  <c r="B209" i="8"/>
  <c r="C209" i="8"/>
  <c r="D209" i="8"/>
  <c r="E209" i="8"/>
  <c r="F209" i="8"/>
  <c r="F210" i="21" s="1"/>
  <c r="G209" i="8"/>
  <c r="G210" i="21" s="1"/>
  <c r="H209" i="8"/>
  <c r="H210" i="21" s="1"/>
  <c r="I209" i="8"/>
  <c r="I210" i="21" s="1"/>
  <c r="J209" i="8"/>
  <c r="J210" i="21" s="1"/>
  <c r="K209" i="8"/>
  <c r="K210" i="21" s="1"/>
  <c r="L209" i="8"/>
  <c r="L210" i="21" s="1"/>
  <c r="M209" i="8"/>
  <c r="M210" i="21" s="1"/>
  <c r="N209" i="8"/>
  <c r="N210" i="21" s="1"/>
  <c r="O209" i="8"/>
  <c r="O210" i="21" s="1"/>
  <c r="P209" i="8"/>
  <c r="P210" i="21" s="1"/>
  <c r="Q209" i="8"/>
  <c r="Q210" i="21" s="1"/>
  <c r="R209" i="8"/>
  <c r="R210" i="21" s="1"/>
  <c r="S209" i="8"/>
  <c r="S210" i="21" s="1"/>
  <c r="T209" i="8"/>
  <c r="T210" i="21" s="1"/>
  <c r="U209" i="8"/>
  <c r="U210" i="21" s="1"/>
  <c r="V209" i="8"/>
  <c r="V210" i="21" s="1"/>
  <c r="W209" i="8"/>
  <c r="W210" i="21" s="1"/>
  <c r="X209" i="8"/>
  <c r="X210" i="21" s="1"/>
  <c r="Y209" i="8"/>
  <c r="Y210" i="21" s="1"/>
  <c r="Z209" i="8"/>
  <c r="Z210" i="21" s="1"/>
  <c r="AA209" i="8"/>
  <c r="AA210" i="21" s="1"/>
  <c r="AB209" i="8"/>
  <c r="AB210" i="21" s="1"/>
  <c r="AC209" i="8"/>
  <c r="AC210" i="21" s="1"/>
  <c r="AD209" i="8"/>
  <c r="AD210" i="21" s="1"/>
  <c r="AE209" i="8"/>
  <c r="AF209" i="8"/>
  <c r="AF210" i="21" s="1"/>
  <c r="AG209" i="8"/>
  <c r="A210" i="8"/>
  <c r="B210" i="8"/>
  <c r="C210" i="8"/>
  <c r="D210" i="8"/>
  <c r="E210" i="8"/>
  <c r="F210" i="8"/>
  <c r="F211" i="21" s="1"/>
  <c r="G210" i="8"/>
  <c r="G211" i="21" s="1"/>
  <c r="H210" i="8"/>
  <c r="H211" i="21" s="1"/>
  <c r="I210" i="8"/>
  <c r="I211" i="21" s="1"/>
  <c r="J210" i="8"/>
  <c r="J211" i="21" s="1"/>
  <c r="K210" i="8"/>
  <c r="K211" i="21" s="1"/>
  <c r="L210" i="8"/>
  <c r="L211" i="21" s="1"/>
  <c r="M210" i="8"/>
  <c r="M211" i="21" s="1"/>
  <c r="N210" i="8"/>
  <c r="N211" i="21" s="1"/>
  <c r="O210" i="8"/>
  <c r="O211" i="21" s="1"/>
  <c r="P210" i="8"/>
  <c r="P211" i="21" s="1"/>
  <c r="Q210" i="8"/>
  <c r="Q211" i="21" s="1"/>
  <c r="R210" i="8"/>
  <c r="R211" i="21" s="1"/>
  <c r="S210" i="8"/>
  <c r="S211" i="21" s="1"/>
  <c r="T210" i="8"/>
  <c r="T211" i="21" s="1"/>
  <c r="U210" i="8"/>
  <c r="U211" i="21" s="1"/>
  <c r="V210" i="8"/>
  <c r="V211" i="21" s="1"/>
  <c r="W210" i="8"/>
  <c r="W211" i="21" s="1"/>
  <c r="X210" i="8"/>
  <c r="X211" i="21" s="1"/>
  <c r="Y210" i="8"/>
  <c r="Y211" i="21" s="1"/>
  <c r="Z210" i="8"/>
  <c r="Z211" i="21" s="1"/>
  <c r="AA210" i="8"/>
  <c r="AA211" i="21" s="1"/>
  <c r="AB210" i="8"/>
  <c r="AB211" i="21" s="1"/>
  <c r="AC210" i="8"/>
  <c r="AC211" i="21" s="1"/>
  <c r="AD210" i="8"/>
  <c r="AD211" i="21" s="1"/>
  <c r="AE210" i="8"/>
  <c r="AE211" i="21" s="1"/>
  <c r="AF210" i="8"/>
  <c r="AF211" i="21" s="1"/>
  <c r="AG210" i="8"/>
  <c r="A211" i="8"/>
  <c r="B211" i="8"/>
  <c r="C211" i="8"/>
  <c r="D211" i="8"/>
  <c r="E211" i="8"/>
  <c r="F211" i="8"/>
  <c r="F212" i="21" s="1"/>
  <c r="G211" i="8"/>
  <c r="G212" i="21" s="1"/>
  <c r="H211" i="8"/>
  <c r="H212" i="21" s="1"/>
  <c r="I211" i="8"/>
  <c r="I212" i="21" s="1"/>
  <c r="J211" i="8"/>
  <c r="J212" i="21" s="1"/>
  <c r="K211" i="8"/>
  <c r="K212" i="21" s="1"/>
  <c r="L211" i="8"/>
  <c r="L212" i="21" s="1"/>
  <c r="M211" i="8"/>
  <c r="M212" i="21" s="1"/>
  <c r="N211" i="8"/>
  <c r="N212" i="21" s="1"/>
  <c r="O211" i="8"/>
  <c r="O212" i="21" s="1"/>
  <c r="P211" i="8"/>
  <c r="P212" i="21" s="1"/>
  <c r="Q211" i="8"/>
  <c r="Q212" i="21" s="1"/>
  <c r="R211" i="8"/>
  <c r="R212" i="21" s="1"/>
  <c r="S211" i="8"/>
  <c r="S212" i="21" s="1"/>
  <c r="T211" i="8"/>
  <c r="T212" i="21" s="1"/>
  <c r="U211" i="8"/>
  <c r="U212" i="21" s="1"/>
  <c r="V211" i="8"/>
  <c r="V212" i="21" s="1"/>
  <c r="W211" i="8"/>
  <c r="W212" i="21" s="1"/>
  <c r="X211" i="8"/>
  <c r="X212" i="21" s="1"/>
  <c r="Y211" i="8"/>
  <c r="Y212" i="21" s="1"/>
  <c r="Z211" i="8"/>
  <c r="Z212" i="21" s="1"/>
  <c r="AA211" i="8"/>
  <c r="AA212" i="21" s="1"/>
  <c r="AB211" i="8"/>
  <c r="AB212" i="21" s="1"/>
  <c r="AC211" i="8"/>
  <c r="AC212" i="21" s="1"/>
  <c r="AD211" i="8"/>
  <c r="AD212" i="21" s="1"/>
  <c r="AE211" i="8"/>
  <c r="AF211" i="8"/>
  <c r="AF212" i="21" s="1"/>
  <c r="AG211" i="8"/>
  <c r="A212" i="8"/>
  <c r="B212" i="8"/>
  <c r="C212" i="8"/>
  <c r="D212" i="8"/>
  <c r="E212" i="8"/>
  <c r="F212" i="8"/>
  <c r="F213" i="21" s="1"/>
  <c r="G212" i="8"/>
  <c r="G213" i="21" s="1"/>
  <c r="H212" i="8"/>
  <c r="H213" i="21" s="1"/>
  <c r="I212" i="8"/>
  <c r="I213" i="21" s="1"/>
  <c r="J212" i="8"/>
  <c r="J213" i="21" s="1"/>
  <c r="K212" i="8"/>
  <c r="K213" i="21" s="1"/>
  <c r="L212" i="8"/>
  <c r="L213" i="21" s="1"/>
  <c r="M212" i="8"/>
  <c r="M213" i="21" s="1"/>
  <c r="N212" i="8"/>
  <c r="N213" i="21" s="1"/>
  <c r="O212" i="8"/>
  <c r="O213" i="21" s="1"/>
  <c r="P212" i="8"/>
  <c r="P213" i="21" s="1"/>
  <c r="Q212" i="8"/>
  <c r="Q213" i="21" s="1"/>
  <c r="R212" i="8"/>
  <c r="R213" i="21" s="1"/>
  <c r="S212" i="8"/>
  <c r="S213" i="21" s="1"/>
  <c r="T212" i="8"/>
  <c r="T213" i="21" s="1"/>
  <c r="U212" i="8"/>
  <c r="U213" i="21" s="1"/>
  <c r="V212" i="8"/>
  <c r="V213" i="21" s="1"/>
  <c r="W212" i="8"/>
  <c r="W213" i="21" s="1"/>
  <c r="X212" i="8"/>
  <c r="X213" i="21" s="1"/>
  <c r="Y212" i="8"/>
  <c r="Y213" i="21" s="1"/>
  <c r="Z212" i="8"/>
  <c r="Z213" i="21" s="1"/>
  <c r="AA212" i="8"/>
  <c r="AA213" i="21" s="1"/>
  <c r="AB212" i="8"/>
  <c r="AB213" i="21" s="1"/>
  <c r="AC212" i="8"/>
  <c r="AC213" i="21" s="1"/>
  <c r="AD212" i="8"/>
  <c r="AD213" i="21" s="1"/>
  <c r="AE212" i="8"/>
  <c r="AE213" i="21" s="1"/>
  <c r="AF212" i="8"/>
  <c r="AF213" i="21" s="1"/>
  <c r="AG212" i="8"/>
  <c r="A213" i="8"/>
  <c r="B213" i="8"/>
  <c r="C213" i="8"/>
  <c r="D213" i="8"/>
  <c r="E213" i="8"/>
  <c r="F213" i="8"/>
  <c r="F214" i="21" s="1"/>
  <c r="G213" i="8"/>
  <c r="G214" i="21" s="1"/>
  <c r="H213" i="8"/>
  <c r="H214" i="21" s="1"/>
  <c r="I213" i="8"/>
  <c r="I214" i="21" s="1"/>
  <c r="J213" i="8"/>
  <c r="J214" i="21" s="1"/>
  <c r="K213" i="8"/>
  <c r="K214" i="21" s="1"/>
  <c r="L213" i="8"/>
  <c r="L214" i="21" s="1"/>
  <c r="M213" i="8"/>
  <c r="M214" i="21" s="1"/>
  <c r="N213" i="8"/>
  <c r="N214" i="21" s="1"/>
  <c r="O213" i="8"/>
  <c r="O214" i="21" s="1"/>
  <c r="P213" i="8"/>
  <c r="P214" i="21" s="1"/>
  <c r="Q213" i="8"/>
  <c r="Q214" i="21" s="1"/>
  <c r="R213" i="8"/>
  <c r="R214" i="21" s="1"/>
  <c r="S213" i="8"/>
  <c r="S214" i="21" s="1"/>
  <c r="T213" i="8"/>
  <c r="T214" i="21" s="1"/>
  <c r="U213" i="8"/>
  <c r="U214" i="21" s="1"/>
  <c r="V213" i="8"/>
  <c r="V214" i="21" s="1"/>
  <c r="W213" i="8"/>
  <c r="W214" i="21" s="1"/>
  <c r="X213" i="8"/>
  <c r="X214" i="21" s="1"/>
  <c r="Y213" i="8"/>
  <c r="Y214" i="21" s="1"/>
  <c r="Z213" i="8"/>
  <c r="Z214" i="21" s="1"/>
  <c r="AA213" i="8"/>
  <c r="AA214" i="21" s="1"/>
  <c r="AB213" i="8"/>
  <c r="AB214" i="21" s="1"/>
  <c r="AC213" i="8"/>
  <c r="AC214" i="21" s="1"/>
  <c r="AD213" i="8"/>
  <c r="AD214" i="21" s="1"/>
  <c r="AE213" i="8"/>
  <c r="AF213" i="8"/>
  <c r="AF214" i="21" s="1"/>
  <c r="AG213" i="8"/>
  <c r="A214" i="8"/>
  <c r="B214" i="8"/>
  <c r="C214" i="8"/>
  <c r="D214" i="8"/>
  <c r="E214" i="8"/>
  <c r="F214" i="8"/>
  <c r="F215" i="21" s="1"/>
  <c r="G214" i="8"/>
  <c r="G215" i="21" s="1"/>
  <c r="H214" i="8"/>
  <c r="H215" i="21" s="1"/>
  <c r="I214" i="8"/>
  <c r="I215" i="21" s="1"/>
  <c r="J214" i="8"/>
  <c r="J215" i="21" s="1"/>
  <c r="K214" i="8"/>
  <c r="K215" i="21" s="1"/>
  <c r="L214" i="8"/>
  <c r="L215" i="21" s="1"/>
  <c r="M214" i="8"/>
  <c r="M215" i="21" s="1"/>
  <c r="N214" i="8"/>
  <c r="N215" i="21" s="1"/>
  <c r="O214" i="8"/>
  <c r="O215" i="21" s="1"/>
  <c r="P214" i="8"/>
  <c r="P215" i="21" s="1"/>
  <c r="Q214" i="8"/>
  <c r="Q215" i="21" s="1"/>
  <c r="R214" i="8"/>
  <c r="R215" i="21" s="1"/>
  <c r="S214" i="8"/>
  <c r="S215" i="21" s="1"/>
  <c r="T214" i="8"/>
  <c r="T215" i="21" s="1"/>
  <c r="U214" i="8"/>
  <c r="U215" i="21" s="1"/>
  <c r="V214" i="8"/>
  <c r="V215" i="21" s="1"/>
  <c r="W214" i="8"/>
  <c r="W215" i="21" s="1"/>
  <c r="X214" i="8"/>
  <c r="X215" i="21" s="1"/>
  <c r="Y214" i="8"/>
  <c r="Y215" i="21" s="1"/>
  <c r="Z214" i="8"/>
  <c r="Z215" i="21" s="1"/>
  <c r="AA214" i="8"/>
  <c r="AA215" i="21" s="1"/>
  <c r="AB214" i="8"/>
  <c r="AB215" i="21" s="1"/>
  <c r="AC214" i="8"/>
  <c r="AC215" i="21" s="1"/>
  <c r="AD214" i="8"/>
  <c r="AD215" i="21" s="1"/>
  <c r="AE214" i="8"/>
  <c r="AE215" i="21" s="1"/>
  <c r="AF214" i="8"/>
  <c r="AF215" i="21" s="1"/>
  <c r="AG214" i="8"/>
  <c r="A215" i="8"/>
  <c r="B215" i="8"/>
  <c r="C215" i="8"/>
  <c r="D215" i="8"/>
  <c r="E215" i="8"/>
  <c r="F215" i="8"/>
  <c r="F216" i="21" s="1"/>
  <c r="G215" i="8"/>
  <c r="G216" i="21" s="1"/>
  <c r="H215" i="8"/>
  <c r="H216" i="21" s="1"/>
  <c r="I215" i="8"/>
  <c r="I216" i="21" s="1"/>
  <c r="J215" i="8"/>
  <c r="J216" i="21" s="1"/>
  <c r="K215" i="8"/>
  <c r="K216" i="21" s="1"/>
  <c r="L215" i="8"/>
  <c r="L216" i="21" s="1"/>
  <c r="M215" i="8"/>
  <c r="M216" i="21" s="1"/>
  <c r="N215" i="8"/>
  <c r="N216" i="21" s="1"/>
  <c r="O215" i="8"/>
  <c r="O216" i="21" s="1"/>
  <c r="P215" i="8"/>
  <c r="P216" i="21" s="1"/>
  <c r="Q215" i="8"/>
  <c r="Q216" i="21" s="1"/>
  <c r="R215" i="8"/>
  <c r="R216" i="21" s="1"/>
  <c r="S215" i="8"/>
  <c r="S216" i="21" s="1"/>
  <c r="T215" i="8"/>
  <c r="T216" i="21" s="1"/>
  <c r="U215" i="8"/>
  <c r="U216" i="21" s="1"/>
  <c r="V215" i="8"/>
  <c r="V216" i="21" s="1"/>
  <c r="W215" i="8"/>
  <c r="W216" i="21" s="1"/>
  <c r="X215" i="8"/>
  <c r="X216" i="21" s="1"/>
  <c r="Y215" i="8"/>
  <c r="Y216" i="21" s="1"/>
  <c r="Z215" i="8"/>
  <c r="Z216" i="21" s="1"/>
  <c r="AA215" i="8"/>
  <c r="AA216" i="21" s="1"/>
  <c r="AB215" i="8"/>
  <c r="AB216" i="21" s="1"/>
  <c r="AC215" i="8"/>
  <c r="AC216" i="21" s="1"/>
  <c r="AD215" i="8"/>
  <c r="AD216" i="21" s="1"/>
  <c r="AE215" i="8"/>
  <c r="AF215" i="8"/>
  <c r="AF216" i="21" s="1"/>
  <c r="AG215" i="8"/>
  <c r="A216" i="8"/>
  <c r="B216" i="8"/>
  <c r="C216" i="8"/>
  <c r="D216" i="8"/>
  <c r="E216" i="8"/>
  <c r="F216" i="8"/>
  <c r="F217" i="21" s="1"/>
  <c r="G216" i="8"/>
  <c r="G217" i="21" s="1"/>
  <c r="H216" i="8"/>
  <c r="H217" i="21" s="1"/>
  <c r="I216" i="8"/>
  <c r="I217" i="21" s="1"/>
  <c r="J216" i="8"/>
  <c r="J217" i="21" s="1"/>
  <c r="K216" i="8"/>
  <c r="K217" i="21" s="1"/>
  <c r="L216" i="8"/>
  <c r="L217" i="21" s="1"/>
  <c r="M216" i="8"/>
  <c r="M217" i="21" s="1"/>
  <c r="N216" i="8"/>
  <c r="N217" i="21" s="1"/>
  <c r="O216" i="8"/>
  <c r="O217" i="21" s="1"/>
  <c r="P216" i="8"/>
  <c r="P217" i="21" s="1"/>
  <c r="Q216" i="8"/>
  <c r="Q217" i="21" s="1"/>
  <c r="R216" i="8"/>
  <c r="R217" i="21" s="1"/>
  <c r="S216" i="8"/>
  <c r="S217" i="21" s="1"/>
  <c r="T216" i="8"/>
  <c r="T217" i="21" s="1"/>
  <c r="U216" i="8"/>
  <c r="U217" i="21" s="1"/>
  <c r="V216" i="8"/>
  <c r="V217" i="21" s="1"/>
  <c r="W216" i="8"/>
  <c r="W217" i="21" s="1"/>
  <c r="X216" i="8"/>
  <c r="X217" i="21" s="1"/>
  <c r="Y216" i="8"/>
  <c r="Y217" i="21" s="1"/>
  <c r="Z216" i="8"/>
  <c r="Z217" i="21" s="1"/>
  <c r="AA216" i="8"/>
  <c r="AA217" i="21" s="1"/>
  <c r="AB216" i="8"/>
  <c r="AB217" i="21" s="1"/>
  <c r="AC216" i="8"/>
  <c r="AC217" i="21" s="1"/>
  <c r="AD216" i="8"/>
  <c r="AD217" i="21" s="1"/>
  <c r="AE216" i="8"/>
  <c r="AE217" i="21" s="1"/>
  <c r="AF216" i="8"/>
  <c r="AF217" i="21" s="1"/>
  <c r="AG216" i="8"/>
  <c r="A217" i="8"/>
  <c r="B217" i="8"/>
  <c r="C217" i="8"/>
  <c r="D217" i="8"/>
  <c r="E217" i="8"/>
  <c r="F217" i="8"/>
  <c r="F218" i="21" s="1"/>
  <c r="G217" i="8"/>
  <c r="G218" i="21" s="1"/>
  <c r="H217" i="8"/>
  <c r="H218" i="21" s="1"/>
  <c r="I217" i="8"/>
  <c r="I218" i="21" s="1"/>
  <c r="J217" i="8"/>
  <c r="J218" i="21" s="1"/>
  <c r="K217" i="8"/>
  <c r="K218" i="21" s="1"/>
  <c r="L217" i="8"/>
  <c r="L218" i="21" s="1"/>
  <c r="M217" i="8"/>
  <c r="M218" i="21" s="1"/>
  <c r="N217" i="8"/>
  <c r="N218" i="21" s="1"/>
  <c r="O217" i="8"/>
  <c r="O218" i="21" s="1"/>
  <c r="P217" i="8"/>
  <c r="P218" i="21" s="1"/>
  <c r="Q217" i="8"/>
  <c r="Q218" i="21" s="1"/>
  <c r="R217" i="8"/>
  <c r="R218" i="21" s="1"/>
  <c r="S217" i="8"/>
  <c r="S218" i="21" s="1"/>
  <c r="T217" i="8"/>
  <c r="T218" i="21" s="1"/>
  <c r="U217" i="8"/>
  <c r="U218" i="21" s="1"/>
  <c r="V217" i="8"/>
  <c r="V218" i="21" s="1"/>
  <c r="W217" i="8"/>
  <c r="W218" i="21" s="1"/>
  <c r="X217" i="8"/>
  <c r="X218" i="21" s="1"/>
  <c r="Y217" i="8"/>
  <c r="Y218" i="21" s="1"/>
  <c r="Z217" i="8"/>
  <c r="Z218" i="21" s="1"/>
  <c r="AA217" i="8"/>
  <c r="AA218" i="21" s="1"/>
  <c r="AB217" i="8"/>
  <c r="AB218" i="21" s="1"/>
  <c r="AC217" i="8"/>
  <c r="AC218" i="21" s="1"/>
  <c r="AD217" i="8"/>
  <c r="AD218" i="21" s="1"/>
  <c r="AE217" i="8"/>
  <c r="AF217" i="8"/>
  <c r="AF218" i="21" s="1"/>
  <c r="AG217" i="8"/>
  <c r="A218" i="8"/>
  <c r="B218" i="8"/>
  <c r="C218" i="8"/>
  <c r="D218" i="8"/>
  <c r="E218" i="8"/>
  <c r="F218" i="8"/>
  <c r="F219" i="21" s="1"/>
  <c r="G218" i="8"/>
  <c r="G219" i="21" s="1"/>
  <c r="H218" i="8"/>
  <c r="H219" i="21" s="1"/>
  <c r="I218" i="8"/>
  <c r="I219" i="21" s="1"/>
  <c r="J218" i="8"/>
  <c r="J219" i="21" s="1"/>
  <c r="K218" i="8"/>
  <c r="K219" i="21" s="1"/>
  <c r="L218" i="8"/>
  <c r="L219" i="21" s="1"/>
  <c r="M218" i="8"/>
  <c r="M219" i="21" s="1"/>
  <c r="N218" i="8"/>
  <c r="N219" i="21" s="1"/>
  <c r="O218" i="8"/>
  <c r="O219" i="21" s="1"/>
  <c r="P218" i="8"/>
  <c r="P219" i="21" s="1"/>
  <c r="Q218" i="8"/>
  <c r="Q219" i="21" s="1"/>
  <c r="R218" i="8"/>
  <c r="R219" i="21" s="1"/>
  <c r="S218" i="8"/>
  <c r="S219" i="21" s="1"/>
  <c r="T218" i="8"/>
  <c r="T219" i="21" s="1"/>
  <c r="U218" i="8"/>
  <c r="U219" i="21" s="1"/>
  <c r="V218" i="8"/>
  <c r="V219" i="21" s="1"/>
  <c r="W218" i="8"/>
  <c r="W219" i="21" s="1"/>
  <c r="X218" i="8"/>
  <c r="X219" i="21" s="1"/>
  <c r="Y218" i="8"/>
  <c r="Y219" i="21" s="1"/>
  <c r="Z218" i="8"/>
  <c r="Z219" i="21" s="1"/>
  <c r="AA218" i="8"/>
  <c r="AA219" i="21" s="1"/>
  <c r="AB218" i="8"/>
  <c r="AB219" i="21" s="1"/>
  <c r="AC218" i="8"/>
  <c r="AC219" i="21" s="1"/>
  <c r="AD218" i="8"/>
  <c r="AD219" i="21" s="1"/>
  <c r="AE218" i="8"/>
  <c r="AE219" i="21" s="1"/>
  <c r="AF218" i="8"/>
  <c r="AF219" i="21" s="1"/>
  <c r="AG218" i="8"/>
  <c r="A219" i="8"/>
  <c r="B219" i="8"/>
  <c r="C219" i="8"/>
  <c r="D219" i="8"/>
  <c r="E219" i="8"/>
  <c r="F219" i="8"/>
  <c r="F220" i="21" s="1"/>
  <c r="G219" i="8"/>
  <c r="G220" i="21" s="1"/>
  <c r="H219" i="8"/>
  <c r="H220" i="21" s="1"/>
  <c r="I219" i="8"/>
  <c r="I220" i="21" s="1"/>
  <c r="J219" i="8"/>
  <c r="J220" i="21" s="1"/>
  <c r="K219" i="8"/>
  <c r="K220" i="21" s="1"/>
  <c r="L219" i="8"/>
  <c r="L220" i="21" s="1"/>
  <c r="M219" i="8"/>
  <c r="M220" i="21" s="1"/>
  <c r="N219" i="8"/>
  <c r="N220" i="21" s="1"/>
  <c r="O219" i="8"/>
  <c r="O220" i="21" s="1"/>
  <c r="P219" i="8"/>
  <c r="P220" i="21" s="1"/>
  <c r="Q219" i="8"/>
  <c r="Q220" i="21" s="1"/>
  <c r="R219" i="8"/>
  <c r="R220" i="21" s="1"/>
  <c r="S219" i="8"/>
  <c r="S220" i="21" s="1"/>
  <c r="T219" i="8"/>
  <c r="T220" i="21" s="1"/>
  <c r="U219" i="8"/>
  <c r="U220" i="21" s="1"/>
  <c r="V219" i="8"/>
  <c r="V220" i="21" s="1"/>
  <c r="W219" i="8"/>
  <c r="W220" i="21" s="1"/>
  <c r="X219" i="8"/>
  <c r="X220" i="21" s="1"/>
  <c r="Y219" i="8"/>
  <c r="Y220" i="21" s="1"/>
  <c r="Z219" i="8"/>
  <c r="Z220" i="21" s="1"/>
  <c r="AA219" i="8"/>
  <c r="AA220" i="21" s="1"/>
  <c r="AB219" i="8"/>
  <c r="AB220" i="21" s="1"/>
  <c r="AC219" i="8"/>
  <c r="AC220" i="21" s="1"/>
  <c r="AD219" i="8"/>
  <c r="AD220" i="21" s="1"/>
  <c r="AE219" i="8"/>
  <c r="AF219" i="8"/>
  <c r="AF220" i="21" s="1"/>
  <c r="AG219" i="8"/>
  <c r="A220" i="8"/>
  <c r="B220" i="8"/>
  <c r="C220" i="8"/>
  <c r="D220" i="8"/>
  <c r="E220" i="8"/>
  <c r="F220" i="8"/>
  <c r="F221" i="21" s="1"/>
  <c r="G220" i="8"/>
  <c r="G221" i="21" s="1"/>
  <c r="H220" i="8"/>
  <c r="H221" i="21" s="1"/>
  <c r="I220" i="8"/>
  <c r="I221" i="21" s="1"/>
  <c r="J220" i="8"/>
  <c r="J221" i="21" s="1"/>
  <c r="K220" i="8"/>
  <c r="K221" i="21" s="1"/>
  <c r="L220" i="8"/>
  <c r="L221" i="21" s="1"/>
  <c r="M220" i="8"/>
  <c r="M221" i="21" s="1"/>
  <c r="N220" i="8"/>
  <c r="N221" i="21" s="1"/>
  <c r="O220" i="8"/>
  <c r="O221" i="21" s="1"/>
  <c r="P220" i="8"/>
  <c r="P221" i="21" s="1"/>
  <c r="Q220" i="8"/>
  <c r="Q221" i="21" s="1"/>
  <c r="R220" i="8"/>
  <c r="R221" i="21" s="1"/>
  <c r="S220" i="8"/>
  <c r="S221" i="21" s="1"/>
  <c r="T220" i="8"/>
  <c r="T221" i="21" s="1"/>
  <c r="U220" i="8"/>
  <c r="U221" i="21" s="1"/>
  <c r="V220" i="8"/>
  <c r="V221" i="21" s="1"/>
  <c r="W220" i="8"/>
  <c r="W221" i="21" s="1"/>
  <c r="X220" i="8"/>
  <c r="X221" i="21" s="1"/>
  <c r="Y220" i="8"/>
  <c r="Y221" i="21" s="1"/>
  <c r="Z220" i="8"/>
  <c r="Z221" i="21" s="1"/>
  <c r="AA220" i="8"/>
  <c r="AA221" i="21" s="1"/>
  <c r="AB220" i="8"/>
  <c r="AB221" i="21" s="1"/>
  <c r="AC220" i="8"/>
  <c r="AC221" i="21" s="1"/>
  <c r="AD220" i="8"/>
  <c r="AD221" i="21" s="1"/>
  <c r="AE220" i="8"/>
  <c r="AE221" i="21" s="1"/>
  <c r="AF220" i="8"/>
  <c r="AF221" i="21" s="1"/>
  <c r="AG220" i="8"/>
  <c r="A221" i="8"/>
  <c r="B221" i="8"/>
  <c r="C221" i="8"/>
  <c r="D221" i="8"/>
  <c r="E221" i="8"/>
  <c r="F221" i="8"/>
  <c r="F222" i="21" s="1"/>
  <c r="G221" i="8"/>
  <c r="G222" i="21" s="1"/>
  <c r="H221" i="8"/>
  <c r="H222" i="21" s="1"/>
  <c r="I221" i="8"/>
  <c r="I222" i="21" s="1"/>
  <c r="J221" i="8"/>
  <c r="J222" i="21" s="1"/>
  <c r="K221" i="8"/>
  <c r="K222" i="21" s="1"/>
  <c r="L221" i="8"/>
  <c r="L222" i="21" s="1"/>
  <c r="M221" i="8"/>
  <c r="M222" i="21" s="1"/>
  <c r="N221" i="8"/>
  <c r="N222" i="21" s="1"/>
  <c r="O221" i="8"/>
  <c r="O222" i="21" s="1"/>
  <c r="P221" i="8"/>
  <c r="P222" i="21" s="1"/>
  <c r="Q221" i="8"/>
  <c r="Q222" i="21" s="1"/>
  <c r="R221" i="8"/>
  <c r="R222" i="21" s="1"/>
  <c r="S221" i="8"/>
  <c r="S222" i="21" s="1"/>
  <c r="T221" i="8"/>
  <c r="T222" i="21" s="1"/>
  <c r="U221" i="8"/>
  <c r="U222" i="21" s="1"/>
  <c r="V221" i="8"/>
  <c r="V222" i="21" s="1"/>
  <c r="W221" i="8"/>
  <c r="W222" i="21" s="1"/>
  <c r="X221" i="8"/>
  <c r="X222" i="21" s="1"/>
  <c r="Y221" i="8"/>
  <c r="Y222" i="21" s="1"/>
  <c r="Z221" i="8"/>
  <c r="Z222" i="21" s="1"/>
  <c r="AA221" i="8"/>
  <c r="AA222" i="21" s="1"/>
  <c r="AB221" i="8"/>
  <c r="AB222" i="21" s="1"/>
  <c r="AC221" i="8"/>
  <c r="AC222" i="21" s="1"/>
  <c r="AD221" i="8"/>
  <c r="AD222" i="21" s="1"/>
  <c r="AE221" i="8"/>
  <c r="AF221" i="8"/>
  <c r="AG221" i="8"/>
  <c r="AG222" i="9" s="1"/>
  <c r="A222" i="8"/>
  <c r="B222" i="8"/>
  <c r="C222" i="8"/>
  <c r="D222" i="8"/>
  <c r="E222" i="8"/>
  <c r="F222" i="8"/>
  <c r="F223" i="21" s="1"/>
  <c r="G222" i="8"/>
  <c r="G223" i="21" s="1"/>
  <c r="H222" i="8"/>
  <c r="H223" i="21" s="1"/>
  <c r="I222" i="8"/>
  <c r="I223" i="21" s="1"/>
  <c r="J222" i="8"/>
  <c r="J223" i="21" s="1"/>
  <c r="K222" i="8"/>
  <c r="K223" i="21" s="1"/>
  <c r="L222" i="8"/>
  <c r="L223" i="21" s="1"/>
  <c r="M222" i="8"/>
  <c r="M223" i="21" s="1"/>
  <c r="N222" i="8"/>
  <c r="N223" i="21" s="1"/>
  <c r="O222" i="8"/>
  <c r="O223" i="21" s="1"/>
  <c r="P222" i="8"/>
  <c r="P223" i="21" s="1"/>
  <c r="Q222" i="8"/>
  <c r="Q223" i="21" s="1"/>
  <c r="R222" i="8"/>
  <c r="R223" i="21" s="1"/>
  <c r="S222" i="8"/>
  <c r="S223" i="21" s="1"/>
  <c r="T222" i="8"/>
  <c r="T223" i="21" s="1"/>
  <c r="U222" i="8"/>
  <c r="U223" i="21" s="1"/>
  <c r="V222" i="8"/>
  <c r="V223" i="21" s="1"/>
  <c r="W222" i="8"/>
  <c r="W223" i="21" s="1"/>
  <c r="X222" i="8"/>
  <c r="X223" i="21" s="1"/>
  <c r="Y222" i="8"/>
  <c r="Y223" i="21" s="1"/>
  <c r="Z222" i="8"/>
  <c r="Z223" i="21" s="1"/>
  <c r="AA222" i="8"/>
  <c r="AA223" i="21" s="1"/>
  <c r="AB222" i="8"/>
  <c r="AB223" i="21" s="1"/>
  <c r="AC222" i="8"/>
  <c r="AC223" i="21" s="1"/>
  <c r="AD222" i="8"/>
  <c r="AD223" i="21" s="1"/>
  <c r="AE222" i="8"/>
  <c r="AE223" i="21" s="1"/>
  <c r="AF222" i="8"/>
  <c r="AF223" i="21" s="1"/>
  <c r="AG222" i="8"/>
  <c r="A223" i="8"/>
  <c r="B223" i="8"/>
  <c r="C223" i="8"/>
  <c r="D223" i="8"/>
  <c r="E223" i="8"/>
  <c r="F223" i="8"/>
  <c r="F224" i="21" s="1"/>
  <c r="G223" i="8"/>
  <c r="G224" i="21" s="1"/>
  <c r="H223" i="8"/>
  <c r="H224" i="21" s="1"/>
  <c r="I223" i="8"/>
  <c r="I224" i="21" s="1"/>
  <c r="J223" i="8"/>
  <c r="J224" i="21" s="1"/>
  <c r="K223" i="8"/>
  <c r="K224" i="21" s="1"/>
  <c r="L223" i="8"/>
  <c r="L224" i="21" s="1"/>
  <c r="M223" i="8"/>
  <c r="M224" i="21" s="1"/>
  <c r="N223" i="8"/>
  <c r="N224" i="21" s="1"/>
  <c r="O223" i="8"/>
  <c r="O224" i="21" s="1"/>
  <c r="P223" i="8"/>
  <c r="P224" i="21" s="1"/>
  <c r="Q223" i="8"/>
  <c r="Q224" i="21" s="1"/>
  <c r="R223" i="8"/>
  <c r="R224" i="21" s="1"/>
  <c r="S223" i="8"/>
  <c r="S224" i="21" s="1"/>
  <c r="T223" i="8"/>
  <c r="T224" i="21" s="1"/>
  <c r="U223" i="8"/>
  <c r="U224" i="21" s="1"/>
  <c r="V223" i="8"/>
  <c r="V224" i="21" s="1"/>
  <c r="W223" i="8"/>
  <c r="W224" i="21" s="1"/>
  <c r="X223" i="8"/>
  <c r="X224" i="21" s="1"/>
  <c r="Y223" i="8"/>
  <c r="Y224" i="21" s="1"/>
  <c r="Z223" i="8"/>
  <c r="Z224" i="21" s="1"/>
  <c r="AA223" i="8"/>
  <c r="AA224" i="21" s="1"/>
  <c r="AB223" i="8"/>
  <c r="AB224" i="21" s="1"/>
  <c r="AC223" i="8"/>
  <c r="AC224" i="21" s="1"/>
  <c r="AD223" i="8"/>
  <c r="AD224" i="21" s="1"/>
  <c r="AE223" i="8"/>
  <c r="AF223" i="8"/>
  <c r="AF224" i="21" s="1"/>
  <c r="AG223" i="8"/>
  <c r="A224" i="8"/>
  <c r="B224" i="8"/>
  <c r="C224" i="8"/>
  <c r="D224" i="8"/>
  <c r="E224" i="8"/>
  <c r="F224" i="8"/>
  <c r="F225" i="21" s="1"/>
  <c r="G224" i="8"/>
  <c r="G225" i="21" s="1"/>
  <c r="H224" i="8"/>
  <c r="H225" i="21" s="1"/>
  <c r="I224" i="8"/>
  <c r="I225" i="21" s="1"/>
  <c r="J224" i="8"/>
  <c r="J225" i="21" s="1"/>
  <c r="K224" i="8"/>
  <c r="K225" i="21" s="1"/>
  <c r="L224" i="8"/>
  <c r="L225" i="21" s="1"/>
  <c r="M224" i="8"/>
  <c r="M225" i="21" s="1"/>
  <c r="N224" i="8"/>
  <c r="N225" i="21" s="1"/>
  <c r="O224" i="8"/>
  <c r="O225" i="21" s="1"/>
  <c r="P224" i="8"/>
  <c r="P225" i="21" s="1"/>
  <c r="Q224" i="8"/>
  <c r="Q225" i="21" s="1"/>
  <c r="R224" i="8"/>
  <c r="R225" i="21" s="1"/>
  <c r="S224" i="8"/>
  <c r="S225" i="21" s="1"/>
  <c r="T224" i="8"/>
  <c r="T225" i="21" s="1"/>
  <c r="U224" i="8"/>
  <c r="U225" i="21" s="1"/>
  <c r="V224" i="8"/>
  <c r="V225" i="21" s="1"/>
  <c r="W224" i="8"/>
  <c r="W225" i="21" s="1"/>
  <c r="X224" i="8"/>
  <c r="X225" i="21" s="1"/>
  <c r="Y224" i="8"/>
  <c r="Y225" i="21" s="1"/>
  <c r="Z224" i="8"/>
  <c r="Z225" i="21" s="1"/>
  <c r="AA224" i="8"/>
  <c r="AA225" i="21" s="1"/>
  <c r="AB224" i="8"/>
  <c r="AB225" i="21" s="1"/>
  <c r="AC224" i="8"/>
  <c r="AC225" i="21" s="1"/>
  <c r="AD224" i="8"/>
  <c r="AD225" i="21" s="1"/>
  <c r="AE224" i="8"/>
  <c r="AE225" i="21" s="1"/>
  <c r="AF224" i="8"/>
  <c r="AF225" i="21" s="1"/>
  <c r="AG224" i="8"/>
  <c r="A225" i="8"/>
  <c r="B225" i="8"/>
  <c r="C225" i="8"/>
  <c r="D225" i="8"/>
  <c r="E225" i="8"/>
  <c r="F225" i="8"/>
  <c r="F226" i="21" s="1"/>
  <c r="G225" i="8"/>
  <c r="G226" i="21" s="1"/>
  <c r="H225" i="8"/>
  <c r="H226" i="21" s="1"/>
  <c r="I225" i="8"/>
  <c r="I226" i="21" s="1"/>
  <c r="J225" i="8"/>
  <c r="J226" i="21" s="1"/>
  <c r="K225" i="8"/>
  <c r="K226" i="21" s="1"/>
  <c r="L225" i="8"/>
  <c r="L226" i="21" s="1"/>
  <c r="M225" i="8"/>
  <c r="M226" i="21" s="1"/>
  <c r="N225" i="8"/>
  <c r="N226" i="21" s="1"/>
  <c r="O225" i="8"/>
  <c r="O226" i="21" s="1"/>
  <c r="P225" i="8"/>
  <c r="P226" i="21" s="1"/>
  <c r="Q225" i="8"/>
  <c r="Q226" i="21" s="1"/>
  <c r="R225" i="8"/>
  <c r="R226" i="21" s="1"/>
  <c r="S225" i="8"/>
  <c r="S226" i="21" s="1"/>
  <c r="T225" i="8"/>
  <c r="T226" i="21" s="1"/>
  <c r="U225" i="8"/>
  <c r="U226" i="21" s="1"/>
  <c r="V225" i="8"/>
  <c r="V226" i="21" s="1"/>
  <c r="W225" i="8"/>
  <c r="W226" i="21" s="1"/>
  <c r="X225" i="8"/>
  <c r="X226" i="21" s="1"/>
  <c r="Y225" i="8"/>
  <c r="Y226" i="21" s="1"/>
  <c r="Z225" i="8"/>
  <c r="Z226" i="21" s="1"/>
  <c r="AA225" i="8"/>
  <c r="AA226" i="21" s="1"/>
  <c r="AB225" i="8"/>
  <c r="AB226" i="21" s="1"/>
  <c r="AC225" i="8"/>
  <c r="AC226" i="21" s="1"/>
  <c r="AD225" i="8"/>
  <c r="AD226" i="21" s="1"/>
  <c r="AE225" i="8"/>
  <c r="AF225" i="8"/>
  <c r="AG225" i="8"/>
  <c r="AG226" i="11" s="1"/>
  <c r="A226" i="8"/>
  <c r="B226" i="8"/>
  <c r="C226" i="8"/>
  <c r="D226" i="8"/>
  <c r="E226" i="8"/>
  <c r="F226" i="8"/>
  <c r="F227" i="21" s="1"/>
  <c r="G226" i="8"/>
  <c r="G227" i="21" s="1"/>
  <c r="H226" i="8"/>
  <c r="H227" i="21" s="1"/>
  <c r="I226" i="8"/>
  <c r="I227" i="21" s="1"/>
  <c r="J226" i="8"/>
  <c r="J227" i="21" s="1"/>
  <c r="K226" i="8"/>
  <c r="K227" i="21" s="1"/>
  <c r="L226" i="8"/>
  <c r="L227" i="21" s="1"/>
  <c r="M226" i="8"/>
  <c r="M227" i="21" s="1"/>
  <c r="N226" i="8"/>
  <c r="N227" i="21" s="1"/>
  <c r="O226" i="8"/>
  <c r="O227" i="21" s="1"/>
  <c r="P226" i="8"/>
  <c r="P227" i="21" s="1"/>
  <c r="Q226" i="8"/>
  <c r="Q227" i="21" s="1"/>
  <c r="R226" i="8"/>
  <c r="R227" i="21" s="1"/>
  <c r="S226" i="8"/>
  <c r="S227" i="21" s="1"/>
  <c r="T226" i="8"/>
  <c r="T227" i="21" s="1"/>
  <c r="U226" i="8"/>
  <c r="U227" i="21" s="1"/>
  <c r="V226" i="8"/>
  <c r="V227" i="21" s="1"/>
  <c r="W226" i="8"/>
  <c r="W227" i="21" s="1"/>
  <c r="X226" i="8"/>
  <c r="X227" i="21" s="1"/>
  <c r="Y226" i="8"/>
  <c r="Y227" i="21" s="1"/>
  <c r="Z226" i="8"/>
  <c r="Z227" i="21" s="1"/>
  <c r="AA226" i="8"/>
  <c r="AA227" i="21" s="1"/>
  <c r="AB226" i="8"/>
  <c r="AB227" i="21" s="1"/>
  <c r="AC226" i="8"/>
  <c r="AC227" i="21" s="1"/>
  <c r="AD226" i="8"/>
  <c r="AD227" i="21" s="1"/>
  <c r="AE226" i="8"/>
  <c r="AE227" i="21" s="1"/>
  <c r="AF226" i="8"/>
  <c r="AF227" i="21" s="1"/>
  <c r="AG226" i="8"/>
  <c r="A227" i="8"/>
  <c r="B227" i="8"/>
  <c r="C227" i="8"/>
  <c r="D227" i="8"/>
  <c r="E227" i="8"/>
  <c r="F227" i="8"/>
  <c r="F228" i="21" s="1"/>
  <c r="G227" i="8"/>
  <c r="G228" i="21" s="1"/>
  <c r="H227" i="8"/>
  <c r="H228" i="21" s="1"/>
  <c r="I227" i="8"/>
  <c r="I228" i="21" s="1"/>
  <c r="J227" i="8"/>
  <c r="J228" i="21" s="1"/>
  <c r="K227" i="8"/>
  <c r="K228" i="21" s="1"/>
  <c r="L227" i="8"/>
  <c r="L228" i="21" s="1"/>
  <c r="M227" i="8"/>
  <c r="M228" i="21" s="1"/>
  <c r="N227" i="8"/>
  <c r="N228" i="21" s="1"/>
  <c r="O227" i="8"/>
  <c r="O228" i="21" s="1"/>
  <c r="P227" i="8"/>
  <c r="P228" i="21" s="1"/>
  <c r="Q227" i="8"/>
  <c r="Q228" i="21" s="1"/>
  <c r="R227" i="8"/>
  <c r="R228" i="21" s="1"/>
  <c r="S227" i="8"/>
  <c r="S228" i="21" s="1"/>
  <c r="T227" i="8"/>
  <c r="T228" i="21" s="1"/>
  <c r="U227" i="8"/>
  <c r="U228" i="21" s="1"/>
  <c r="V227" i="8"/>
  <c r="V228" i="21" s="1"/>
  <c r="W227" i="8"/>
  <c r="W228" i="21" s="1"/>
  <c r="X227" i="8"/>
  <c r="X228" i="21" s="1"/>
  <c r="Y227" i="8"/>
  <c r="Y228" i="21" s="1"/>
  <c r="Z227" i="8"/>
  <c r="Z228" i="21" s="1"/>
  <c r="AA227" i="8"/>
  <c r="AA228" i="21" s="1"/>
  <c r="AB227" i="8"/>
  <c r="AB228" i="21" s="1"/>
  <c r="AC227" i="8"/>
  <c r="AC228" i="21" s="1"/>
  <c r="AD227" i="8"/>
  <c r="AD228" i="21" s="1"/>
  <c r="AE227" i="8"/>
  <c r="AF227" i="8"/>
  <c r="AG227" i="8"/>
  <c r="AG228" i="10" s="1"/>
  <c r="A228" i="8"/>
  <c r="B228" i="8"/>
  <c r="C228" i="8"/>
  <c r="D228" i="8"/>
  <c r="E228" i="8"/>
  <c r="F228" i="8"/>
  <c r="F229" i="21" s="1"/>
  <c r="G228" i="8"/>
  <c r="G229" i="21" s="1"/>
  <c r="H228" i="8"/>
  <c r="H229" i="21" s="1"/>
  <c r="I228" i="8"/>
  <c r="I229" i="21" s="1"/>
  <c r="J228" i="8"/>
  <c r="J229" i="21" s="1"/>
  <c r="K228" i="8"/>
  <c r="K229" i="21" s="1"/>
  <c r="L228" i="8"/>
  <c r="L229" i="21" s="1"/>
  <c r="M228" i="8"/>
  <c r="M229" i="21" s="1"/>
  <c r="N228" i="8"/>
  <c r="N229" i="21" s="1"/>
  <c r="O228" i="8"/>
  <c r="O229" i="21" s="1"/>
  <c r="P228" i="8"/>
  <c r="P229" i="21" s="1"/>
  <c r="Q228" i="8"/>
  <c r="Q229" i="21" s="1"/>
  <c r="R228" i="8"/>
  <c r="R229" i="21" s="1"/>
  <c r="S228" i="8"/>
  <c r="S229" i="21" s="1"/>
  <c r="T228" i="8"/>
  <c r="T229" i="21" s="1"/>
  <c r="U228" i="8"/>
  <c r="U229" i="21" s="1"/>
  <c r="V228" i="8"/>
  <c r="V229" i="21" s="1"/>
  <c r="W228" i="8"/>
  <c r="W229" i="21" s="1"/>
  <c r="X228" i="8"/>
  <c r="X229" i="21" s="1"/>
  <c r="Y228" i="8"/>
  <c r="Y229" i="21" s="1"/>
  <c r="Z228" i="8"/>
  <c r="Z229" i="21" s="1"/>
  <c r="AA228" i="8"/>
  <c r="AA229" i="21" s="1"/>
  <c r="AB228" i="8"/>
  <c r="AB229" i="21" s="1"/>
  <c r="AC228" i="8"/>
  <c r="AC229" i="21" s="1"/>
  <c r="AD228" i="8"/>
  <c r="AD229" i="21" s="1"/>
  <c r="AE228" i="8"/>
  <c r="AE229" i="21" s="1"/>
  <c r="AF228" i="8"/>
  <c r="AF229" i="21" s="1"/>
  <c r="AG228" i="8"/>
  <c r="A229" i="8"/>
  <c r="B229" i="8"/>
  <c r="C229" i="8"/>
  <c r="D229" i="8"/>
  <c r="E229" i="8"/>
  <c r="F229" i="8"/>
  <c r="F230" i="21" s="1"/>
  <c r="G229" i="8"/>
  <c r="G230" i="21" s="1"/>
  <c r="H229" i="8"/>
  <c r="H230" i="21" s="1"/>
  <c r="I229" i="8"/>
  <c r="I230" i="21" s="1"/>
  <c r="J229" i="8"/>
  <c r="J230" i="21" s="1"/>
  <c r="K229" i="8"/>
  <c r="K230" i="21" s="1"/>
  <c r="L229" i="8"/>
  <c r="L230" i="21" s="1"/>
  <c r="M229" i="8"/>
  <c r="M230" i="21" s="1"/>
  <c r="N229" i="8"/>
  <c r="N230" i="21" s="1"/>
  <c r="O229" i="8"/>
  <c r="O230" i="21" s="1"/>
  <c r="P229" i="8"/>
  <c r="P230" i="21" s="1"/>
  <c r="Q229" i="8"/>
  <c r="Q230" i="21" s="1"/>
  <c r="R229" i="8"/>
  <c r="R230" i="21" s="1"/>
  <c r="S229" i="8"/>
  <c r="S230" i="21" s="1"/>
  <c r="T229" i="8"/>
  <c r="T230" i="21" s="1"/>
  <c r="U229" i="8"/>
  <c r="U230" i="21" s="1"/>
  <c r="V229" i="8"/>
  <c r="V230" i="21" s="1"/>
  <c r="W229" i="8"/>
  <c r="W230" i="21" s="1"/>
  <c r="X229" i="8"/>
  <c r="X230" i="21" s="1"/>
  <c r="Y229" i="8"/>
  <c r="Y230" i="21" s="1"/>
  <c r="Z229" i="8"/>
  <c r="Z230" i="21" s="1"/>
  <c r="AA229" i="8"/>
  <c r="AA230" i="21" s="1"/>
  <c r="AB229" i="8"/>
  <c r="AB230" i="21" s="1"/>
  <c r="AC229" i="8"/>
  <c r="AC230" i="21" s="1"/>
  <c r="AD229" i="8"/>
  <c r="AD230" i="21" s="1"/>
  <c r="AE229" i="8"/>
  <c r="AF229" i="8"/>
  <c r="AF230" i="21" s="1"/>
  <c r="AG229" i="8"/>
  <c r="A230" i="8"/>
  <c r="B230" i="8"/>
  <c r="C230" i="8"/>
  <c r="D230" i="8"/>
  <c r="E230" i="8"/>
  <c r="F230" i="8"/>
  <c r="F231" i="21" s="1"/>
  <c r="G230" i="8"/>
  <c r="G231" i="21" s="1"/>
  <c r="H230" i="8"/>
  <c r="H231" i="21" s="1"/>
  <c r="I230" i="8"/>
  <c r="I231" i="21" s="1"/>
  <c r="J230" i="8"/>
  <c r="J231" i="21" s="1"/>
  <c r="K230" i="8"/>
  <c r="K231" i="21" s="1"/>
  <c r="L230" i="8"/>
  <c r="L231" i="21" s="1"/>
  <c r="M230" i="8"/>
  <c r="M231" i="21" s="1"/>
  <c r="N230" i="8"/>
  <c r="N231" i="21" s="1"/>
  <c r="O230" i="8"/>
  <c r="O231" i="21" s="1"/>
  <c r="P230" i="8"/>
  <c r="P231" i="21" s="1"/>
  <c r="Q230" i="8"/>
  <c r="Q231" i="21" s="1"/>
  <c r="R230" i="8"/>
  <c r="R231" i="21" s="1"/>
  <c r="S230" i="8"/>
  <c r="S231" i="21" s="1"/>
  <c r="T230" i="8"/>
  <c r="T231" i="21" s="1"/>
  <c r="U230" i="8"/>
  <c r="U231" i="21" s="1"/>
  <c r="V230" i="8"/>
  <c r="V231" i="21" s="1"/>
  <c r="W230" i="8"/>
  <c r="W231" i="21" s="1"/>
  <c r="X230" i="8"/>
  <c r="X231" i="21" s="1"/>
  <c r="Y230" i="8"/>
  <c r="Y231" i="21" s="1"/>
  <c r="Z230" i="8"/>
  <c r="Z231" i="21" s="1"/>
  <c r="AA230" i="8"/>
  <c r="AA231" i="21" s="1"/>
  <c r="AB230" i="8"/>
  <c r="AB231" i="21" s="1"/>
  <c r="AC230" i="8"/>
  <c r="AC231" i="21" s="1"/>
  <c r="AD230" i="8"/>
  <c r="AD231" i="21" s="1"/>
  <c r="AE230" i="8"/>
  <c r="AE231" i="21" s="1"/>
  <c r="AF230" i="8"/>
  <c r="AF231" i="21" s="1"/>
  <c r="AG230" i="8"/>
  <c r="A231" i="8"/>
  <c r="B231" i="8"/>
  <c r="C231" i="8"/>
  <c r="D231" i="8"/>
  <c r="E231" i="8"/>
  <c r="F231" i="8"/>
  <c r="F232" i="21" s="1"/>
  <c r="G231" i="8"/>
  <c r="G232" i="21" s="1"/>
  <c r="H231" i="8"/>
  <c r="H232" i="21" s="1"/>
  <c r="I231" i="8"/>
  <c r="I232" i="21" s="1"/>
  <c r="J231" i="8"/>
  <c r="J232" i="21" s="1"/>
  <c r="K231" i="8"/>
  <c r="K232" i="21" s="1"/>
  <c r="L231" i="8"/>
  <c r="L232" i="21" s="1"/>
  <c r="M231" i="8"/>
  <c r="M232" i="21" s="1"/>
  <c r="N231" i="8"/>
  <c r="N232" i="21" s="1"/>
  <c r="O231" i="8"/>
  <c r="O232" i="21" s="1"/>
  <c r="P231" i="8"/>
  <c r="P232" i="21" s="1"/>
  <c r="Q231" i="8"/>
  <c r="Q232" i="21" s="1"/>
  <c r="R231" i="8"/>
  <c r="R232" i="21" s="1"/>
  <c r="S231" i="8"/>
  <c r="S232" i="21" s="1"/>
  <c r="T231" i="8"/>
  <c r="T232" i="21" s="1"/>
  <c r="U231" i="8"/>
  <c r="U232" i="21" s="1"/>
  <c r="V231" i="8"/>
  <c r="V232" i="21" s="1"/>
  <c r="W231" i="8"/>
  <c r="W232" i="21" s="1"/>
  <c r="X231" i="8"/>
  <c r="X232" i="21" s="1"/>
  <c r="Y231" i="8"/>
  <c r="Y232" i="21" s="1"/>
  <c r="Z231" i="8"/>
  <c r="Z232" i="21" s="1"/>
  <c r="AA231" i="8"/>
  <c r="AA232" i="21" s="1"/>
  <c r="AB231" i="8"/>
  <c r="AB232" i="21" s="1"/>
  <c r="AC231" i="8"/>
  <c r="AC232" i="21" s="1"/>
  <c r="AD231" i="8"/>
  <c r="AD232" i="21" s="1"/>
  <c r="AE231" i="8"/>
  <c r="AF231" i="8"/>
  <c r="AF232" i="21" s="1"/>
  <c r="AG231" i="8"/>
  <c r="A232" i="8"/>
  <c r="B232" i="8"/>
  <c r="C232" i="8"/>
  <c r="D232" i="8"/>
  <c r="E232" i="8"/>
  <c r="F232" i="8"/>
  <c r="F233" i="21" s="1"/>
  <c r="G232" i="8"/>
  <c r="G233" i="21" s="1"/>
  <c r="H232" i="8"/>
  <c r="H233" i="21" s="1"/>
  <c r="I232" i="8"/>
  <c r="I233" i="21" s="1"/>
  <c r="J232" i="8"/>
  <c r="J233" i="21" s="1"/>
  <c r="K232" i="8"/>
  <c r="K233" i="21" s="1"/>
  <c r="L232" i="8"/>
  <c r="L233" i="21" s="1"/>
  <c r="M232" i="8"/>
  <c r="M233" i="21" s="1"/>
  <c r="N232" i="8"/>
  <c r="N233" i="21" s="1"/>
  <c r="O232" i="8"/>
  <c r="O233" i="21" s="1"/>
  <c r="P232" i="8"/>
  <c r="P233" i="21" s="1"/>
  <c r="Q232" i="8"/>
  <c r="Q233" i="21" s="1"/>
  <c r="R232" i="8"/>
  <c r="R233" i="21" s="1"/>
  <c r="S232" i="8"/>
  <c r="S233" i="21" s="1"/>
  <c r="T232" i="8"/>
  <c r="T233" i="21" s="1"/>
  <c r="U232" i="8"/>
  <c r="U233" i="21" s="1"/>
  <c r="V232" i="8"/>
  <c r="V233" i="21" s="1"/>
  <c r="W232" i="8"/>
  <c r="W233" i="21" s="1"/>
  <c r="X232" i="8"/>
  <c r="X233" i="21" s="1"/>
  <c r="Y232" i="8"/>
  <c r="Y233" i="21" s="1"/>
  <c r="Z232" i="8"/>
  <c r="Z233" i="21" s="1"/>
  <c r="AA232" i="8"/>
  <c r="AA233" i="21" s="1"/>
  <c r="AB232" i="8"/>
  <c r="AB233" i="21" s="1"/>
  <c r="AC232" i="8"/>
  <c r="AC233" i="21" s="1"/>
  <c r="AD232" i="8"/>
  <c r="AD233" i="21" s="1"/>
  <c r="AE232" i="8"/>
  <c r="AE233" i="21" s="1"/>
  <c r="AF232" i="8"/>
  <c r="AF233" i="21" s="1"/>
  <c r="AG232" i="8"/>
  <c r="A233" i="8"/>
  <c r="B233" i="8"/>
  <c r="C233" i="8"/>
  <c r="D233" i="8"/>
  <c r="E233" i="8"/>
  <c r="F233" i="8"/>
  <c r="F234" i="21" s="1"/>
  <c r="G233" i="8"/>
  <c r="G234" i="21" s="1"/>
  <c r="H233" i="8"/>
  <c r="H234" i="21" s="1"/>
  <c r="I233" i="8"/>
  <c r="I234" i="21" s="1"/>
  <c r="J233" i="8"/>
  <c r="J234" i="21" s="1"/>
  <c r="K233" i="8"/>
  <c r="K234" i="21" s="1"/>
  <c r="L233" i="8"/>
  <c r="L234" i="21" s="1"/>
  <c r="M233" i="8"/>
  <c r="M234" i="21" s="1"/>
  <c r="N233" i="8"/>
  <c r="N234" i="21" s="1"/>
  <c r="O233" i="8"/>
  <c r="O234" i="21" s="1"/>
  <c r="P233" i="8"/>
  <c r="P234" i="21" s="1"/>
  <c r="Q233" i="8"/>
  <c r="Q234" i="21" s="1"/>
  <c r="R233" i="8"/>
  <c r="R234" i="21" s="1"/>
  <c r="S233" i="8"/>
  <c r="S234" i="21" s="1"/>
  <c r="T233" i="8"/>
  <c r="T234" i="21" s="1"/>
  <c r="U233" i="8"/>
  <c r="U234" i="21" s="1"/>
  <c r="V233" i="8"/>
  <c r="V234" i="21" s="1"/>
  <c r="W233" i="8"/>
  <c r="W234" i="21" s="1"/>
  <c r="X233" i="8"/>
  <c r="X234" i="21" s="1"/>
  <c r="Y233" i="8"/>
  <c r="Y234" i="21" s="1"/>
  <c r="Z233" i="8"/>
  <c r="Z234" i="21" s="1"/>
  <c r="AA233" i="8"/>
  <c r="AA234" i="21" s="1"/>
  <c r="AB233" i="8"/>
  <c r="AB234" i="21" s="1"/>
  <c r="AC233" i="8"/>
  <c r="AC234" i="21" s="1"/>
  <c r="AD233" i="8"/>
  <c r="AD234" i="21" s="1"/>
  <c r="AE233" i="8"/>
  <c r="AF233" i="8"/>
  <c r="AF234" i="21" s="1"/>
  <c r="AG233" i="8"/>
  <c r="A234" i="8"/>
  <c r="B234" i="8"/>
  <c r="C234" i="8"/>
  <c r="D234" i="8"/>
  <c r="E234" i="8"/>
  <c r="F234" i="8"/>
  <c r="F235" i="21" s="1"/>
  <c r="G234" i="8"/>
  <c r="G235" i="21" s="1"/>
  <c r="H234" i="8"/>
  <c r="H235" i="21" s="1"/>
  <c r="I234" i="8"/>
  <c r="I235" i="21" s="1"/>
  <c r="J234" i="8"/>
  <c r="J235" i="21" s="1"/>
  <c r="K234" i="8"/>
  <c r="K235" i="21" s="1"/>
  <c r="L234" i="8"/>
  <c r="L235" i="21" s="1"/>
  <c r="M234" i="8"/>
  <c r="M235" i="21" s="1"/>
  <c r="N234" i="8"/>
  <c r="N235" i="21" s="1"/>
  <c r="O234" i="8"/>
  <c r="O235" i="21" s="1"/>
  <c r="P234" i="8"/>
  <c r="P235" i="21" s="1"/>
  <c r="Q234" i="8"/>
  <c r="Q235" i="21" s="1"/>
  <c r="R234" i="8"/>
  <c r="R235" i="21" s="1"/>
  <c r="S234" i="8"/>
  <c r="S235" i="21" s="1"/>
  <c r="T234" i="8"/>
  <c r="T235" i="21" s="1"/>
  <c r="U234" i="8"/>
  <c r="U235" i="21" s="1"/>
  <c r="V234" i="8"/>
  <c r="V235" i="21" s="1"/>
  <c r="W234" i="8"/>
  <c r="W235" i="21" s="1"/>
  <c r="X234" i="8"/>
  <c r="X235" i="21" s="1"/>
  <c r="Y234" i="8"/>
  <c r="Y235" i="21" s="1"/>
  <c r="Z234" i="8"/>
  <c r="Z235" i="21" s="1"/>
  <c r="AA234" i="8"/>
  <c r="AA235" i="21" s="1"/>
  <c r="AB234" i="8"/>
  <c r="AB235" i="21" s="1"/>
  <c r="AC234" i="8"/>
  <c r="AC235" i="21" s="1"/>
  <c r="AD234" i="8"/>
  <c r="AD235" i="21" s="1"/>
  <c r="AE234" i="8"/>
  <c r="AE235" i="21" s="1"/>
  <c r="AF234" i="8"/>
  <c r="AF235" i="21" s="1"/>
  <c r="AG234" i="8"/>
  <c r="A235" i="8"/>
  <c r="B235" i="8"/>
  <c r="C235" i="8"/>
  <c r="D235" i="8"/>
  <c r="E235" i="8"/>
  <c r="F235" i="8"/>
  <c r="F236" i="21" s="1"/>
  <c r="G235" i="8"/>
  <c r="G236" i="21" s="1"/>
  <c r="H235" i="8"/>
  <c r="H236" i="21" s="1"/>
  <c r="I235" i="8"/>
  <c r="I236" i="21" s="1"/>
  <c r="J235" i="8"/>
  <c r="J236" i="21" s="1"/>
  <c r="K235" i="8"/>
  <c r="K236" i="21" s="1"/>
  <c r="L235" i="8"/>
  <c r="L236" i="21" s="1"/>
  <c r="M235" i="8"/>
  <c r="M236" i="21" s="1"/>
  <c r="N235" i="8"/>
  <c r="N236" i="21" s="1"/>
  <c r="O235" i="8"/>
  <c r="O236" i="21" s="1"/>
  <c r="P235" i="8"/>
  <c r="P236" i="21" s="1"/>
  <c r="Q235" i="8"/>
  <c r="Q236" i="21" s="1"/>
  <c r="R235" i="8"/>
  <c r="R236" i="21" s="1"/>
  <c r="S235" i="8"/>
  <c r="S236" i="21" s="1"/>
  <c r="T235" i="8"/>
  <c r="T236" i="21" s="1"/>
  <c r="U235" i="8"/>
  <c r="U236" i="21" s="1"/>
  <c r="V235" i="8"/>
  <c r="V236" i="21" s="1"/>
  <c r="W235" i="8"/>
  <c r="W236" i="21" s="1"/>
  <c r="X235" i="8"/>
  <c r="X236" i="21" s="1"/>
  <c r="Y235" i="8"/>
  <c r="Y236" i="21" s="1"/>
  <c r="Z235" i="8"/>
  <c r="Z236" i="21" s="1"/>
  <c r="AA235" i="8"/>
  <c r="AA236" i="21" s="1"/>
  <c r="AB235" i="8"/>
  <c r="AB236" i="21" s="1"/>
  <c r="AC235" i="8"/>
  <c r="AC236" i="21" s="1"/>
  <c r="AD235" i="8"/>
  <c r="AD236" i="21" s="1"/>
  <c r="AE235" i="8"/>
  <c r="AF235" i="8"/>
  <c r="AG235" i="8"/>
  <c r="AG236" i="10" s="1"/>
  <c r="A236" i="8"/>
  <c r="B236" i="8"/>
  <c r="C236" i="8"/>
  <c r="D236" i="8"/>
  <c r="E236" i="8"/>
  <c r="F236" i="8"/>
  <c r="F237" i="21" s="1"/>
  <c r="G236" i="8"/>
  <c r="G237" i="21" s="1"/>
  <c r="H236" i="8"/>
  <c r="H237" i="21" s="1"/>
  <c r="I236" i="8"/>
  <c r="I237" i="21" s="1"/>
  <c r="J236" i="8"/>
  <c r="J237" i="21" s="1"/>
  <c r="K236" i="8"/>
  <c r="K237" i="21" s="1"/>
  <c r="L236" i="8"/>
  <c r="L237" i="21" s="1"/>
  <c r="M236" i="8"/>
  <c r="M237" i="21" s="1"/>
  <c r="N236" i="8"/>
  <c r="N237" i="21" s="1"/>
  <c r="O236" i="8"/>
  <c r="O237" i="21" s="1"/>
  <c r="P236" i="8"/>
  <c r="P237" i="21" s="1"/>
  <c r="Q236" i="8"/>
  <c r="Q237" i="21" s="1"/>
  <c r="R236" i="8"/>
  <c r="R237" i="21" s="1"/>
  <c r="S236" i="8"/>
  <c r="S237" i="21" s="1"/>
  <c r="T236" i="8"/>
  <c r="T237" i="21" s="1"/>
  <c r="U236" i="8"/>
  <c r="U237" i="21" s="1"/>
  <c r="V236" i="8"/>
  <c r="V237" i="21" s="1"/>
  <c r="W236" i="8"/>
  <c r="W237" i="21" s="1"/>
  <c r="X236" i="8"/>
  <c r="X237" i="21" s="1"/>
  <c r="Y236" i="8"/>
  <c r="Y237" i="21" s="1"/>
  <c r="Z236" i="8"/>
  <c r="Z237" i="21" s="1"/>
  <c r="AA236" i="8"/>
  <c r="AA237" i="21" s="1"/>
  <c r="AB236" i="8"/>
  <c r="AB237" i="21" s="1"/>
  <c r="AC236" i="8"/>
  <c r="AC237" i="21" s="1"/>
  <c r="AD236" i="8"/>
  <c r="AD237" i="21" s="1"/>
  <c r="AE236" i="8"/>
  <c r="AE237" i="21" s="1"/>
  <c r="AF236" i="8"/>
  <c r="AF237" i="21" s="1"/>
  <c r="AG236" i="8"/>
  <c r="A237" i="8"/>
  <c r="B237" i="8"/>
  <c r="C237" i="8"/>
  <c r="D237" i="8"/>
  <c r="E237" i="8"/>
  <c r="F237" i="8"/>
  <c r="F238" i="21" s="1"/>
  <c r="G237" i="8"/>
  <c r="G238" i="21" s="1"/>
  <c r="H237" i="8"/>
  <c r="H238" i="21" s="1"/>
  <c r="I237" i="8"/>
  <c r="I238" i="21" s="1"/>
  <c r="J237" i="8"/>
  <c r="J238" i="21" s="1"/>
  <c r="K237" i="8"/>
  <c r="K238" i="21" s="1"/>
  <c r="L237" i="8"/>
  <c r="L238" i="21" s="1"/>
  <c r="M237" i="8"/>
  <c r="M238" i="21" s="1"/>
  <c r="N237" i="8"/>
  <c r="N238" i="21" s="1"/>
  <c r="O237" i="8"/>
  <c r="O238" i="21" s="1"/>
  <c r="P237" i="8"/>
  <c r="P238" i="21" s="1"/>
  <c r="Q237" i="8"/>
  <c r="Q238" i="21" s="1"/>
  <c r="R237" i="8"/>
  <c r="R238" i="21" s="1"/>
  <c r="S237" i="8"/>
  <c r="S238" i="21" s="1"/>
  <c r="T237" i="8"/>
  <c r="T238" i="21" s="1"/>
  <c r="U237" i="8"/>
  <c r="U238" i="21" s="1"/>
  <c r="V237" i="8"/>
  <c r="V238" i="21" s="1"/>
  <c r="W237" i="8"/>
  <c r="W238" i="21" s="1"/>
  <c r="X237" i="8"/>
  <c r="X238" i="21" s="1"/>
  <c r="Y237" i="8"/>
  <c r="Y238" i="21" s="1"/>
  <c r="Z237" i="8"/>
  <c r="Z238" i="21" s="1"/>
  <c r="AA237" i="8"/>
  <c r="AA238" i="21" s="1"/>
  <c r="AB237" i="8"/>
  <c r="AB238" i="21" s="1"/>
  <c r="AC237" i="8"/>
  <c r="AC238" i="21" s="1"/>
  <c r="AD237" i="8"/>
  <c r="AD238" i="21" s="1"/>
  <c r="AE237" i="8"/>
  <c r="AF237" i="8"/>
  <c r="AF238" i="21" s="1"/>
  <c r="AG237" i="8"/>
  <c r="A238" i="8"/>
  <c r="B238" i="8"/>
  <c r="C238" i="8"/>
  <c r="D238" i="8"/>
  <c r="E238" i="8"/>
  <c r="F238" i="8"/>
  <c r="F239" i="21" s="1"/>
  <c r="G238" i="8"/>
  <c r="G239" i="21" s="1"/>
  <c r="H238" i="8"/>
  <c r="H239" i="21" s="1"/>
  <c r="I238" i="8"/>
  <c r="I239" i="21" s="1"/>
  <c r="J238" i="8"/>
  <c r="J239" i="21" s="1"/>
  <c r="K238" i="8"/>
  <c r="K239" i="21" s="1"/>
  <c r="L238" i="8"/>
  <c r="L239" i="21" s="1"/>
  <c r="M238" i="8"/>
  <c r="M239" i="21" s="1"/>
  <c r="N238" i="8"/>
  <c r="N239" i="21" s="1"/>
  <c r="O238" i="8"/>
  <c r="O239" i="21" s="1"/>
  <c r="P238" i="8"/>
  <c r="P239" i="21" s="1"/>
  <c r="Q238" i="8"/>
  <c r="Q239" i="21" s="1"/>
  <c r="R238" i="8"/>
  <c r="R239" i="21" s="1"/>
  <c r="S238" i="8"/>
  <c r="S239" i="21" s="1"/>
  <c r="T238" i="8"/>
  <c r="T239" i="21" s="1"/>
  <c r="U238" i="8"/>
  <c r="U239" i="21" s="1"/>
  <c r="V238" i="8"/>
  <c r="V239" i="21" s="1"/>
  <c r="W238" i="8"/>
  <c r="W239" i="21" s="1"/>
  <c r="X238" i="8"/>
  <c r="X239" i="21" s="1"/>
  <c r="Y238" i="8"/>
  <c r="Y239" i="21" s="1"/>
  <c r="Z238" i="8"/>
  <c r="Z239" i="21" s="1"/>
  <c r="AA238" i="8"/>
  <c r="AA239" i="21" s="1"/>
  <c r="AB238" i="8"/>
  <c r="AB239" i="21" s="1"/>
  <c r="AC238" i="8"/>
  <c r="AC239" i="21" s="1"/>
  <c r="AD238" i="8"/>
  <c r="AD239" i="21" s="1"/>
  <c r="AE238" i="8"/>
  <c r="AE239" i="21" s="1"/>
  <c r="AF238" i="8"/>
  <c r="AF239" i="21" s="1"/>
  <c r="AG238" i="8"/>
  <c r="A239" i="8"/>
  <c r="B239" i="8"/>
  <c r="C239" i="8"/>
  <c r="D239" i="8"/>
  <c r="E239" i="8"/>
  <c r="F239" i="8"/>
  <c r="F240" i="21" s="1"/>
  <c r="G239" i="8"/>
  <c r="G240" i="21" s="1"/>
  <c r="H239" i="8"/>
  <c r="H240" i="21" s="1"/>
  <c r="I239" i="8"/>
  <c r="I240" i="21" s="1"/>
  <c r="J239" i="8"/>
  <c r="J240" i="21" s="1"/>
  <c r="K239" i="8"/>
  <c r="K240" i="21" s="1"/>
  <c r="L239" i="8"/>
  <c r="L240" i="21" s="1"/>
  <c r="M239" i="8"/>
  <c r="M240" i="21" s="1"/>
  <c r="N239" i="8"/>
  <c r="N240" i="21" s="1"/>
  <c r="O239" i="8"/>
  <c r="O240" i="21" s="1"/>
  <c r="P239" i="8"/>
  <c r="P240" i="21" s="1"/>
  <c r="Q239" i="8"/>
  <c r="Q240" i="21" s="1"/>
  <c r="R239" i="8"/>
  <c r="R240" i="21" s="1"/>
  <c r="S239" i="8"/>
  <c r="S240" i="21" s="1"/>
  <c r="T239" i="8"/>
  <c r="T240" i="21" s="1"/>
  <c r="U239" i="8"/>
  <c r="U240" i="21" s="1"/>
  <c r="V239" i="8"/>
  <c r="V240" i="21" s="1"/>
  <c r="W239" i="8"/>
  <c r="W240" i="21" s="1"/>
  <c r="X239" i="8"/>
  <c r="X240" i="21" s="1"/>
  <c r="Y239" i="8"/>
  <c r="Y240" i="21" s="1"/>
  <c r="Z239" i="8"/>
  <c r="Z240" i="21" s="1"/>
  <c r="AA239" i="8"/>
  <c r="AA240" i="21" s="1"/>
  <c r="AB239" i="8"/>
  <c r="AB240" i="21" s="1"/>
  <c r="AC239" i="8"/>
  <c r="AC240" i="21" s="1"/>
  <c r="AD239" i="8"/>
  <c r="AD240" i="21" s="1"/>
  <c r="AE239" i="8"/>
  <c r="AF239" i="8"/>
  <c r="AF240" i="21" s="1"/>
  <c r="AG239" i="8"/>
  <c r="A240" i="8"/>
  <c r="B240" i="8"/>
  <c r="C240" i="8"/>
  <c r="D240" i="8"/>
  <c r="E240" i="8"/>
  <c r="F240" i="8"/>
  <c r="F241" i="21" s="1"/>
  <c r="G240" i="8"/>
  <c r="G241" i="21" s="1"/>
  <c r="H240" i="8"/>
  <c r="H241" i="21" s="1"/>
  <c r="I240" i="8"/>
  <c r="I241" i="21" s="1"/>
  <c r="J240" i="8"/>
  <c r="J241" i="21" s="1"/>
  <c r="K240" i="8"/>
  <c r="K241" i="21" s="1"/>
  <c r="L240" i="8"/>
  <c r="L241" i="21" s="1"/>
  <c r="M240" i="8"/>
  <c r="M241" i="21" s="1"/>
  <c r="N240" i="8"/>
  <c r="N241" i="21" s="1"/>
  <c r="O240" i="8"/>
  <c r="O241" i="21" s="1"/>
  <c r="P240" i="8"/>
  <c r="P241" i="21" s="1"/>
  <c r="Q240" i="8"/>
  <c r="Q241" i="21" s="1"/>
  <c r="R240" i="8"/>
  <c r="R241" i="21" s="1"/>
  <c r="S240" i="8"/>
  <c r="S241" i="21" s="1"/>
  <c r="T240" i="8"/>
  <c r="T241" i="21" s="1"/>
  <c r="U240" i="8"/>
  <c r="U241" i="21" s="1"/>
  <c r="V240" i="8"/>
  <c r="V241" i="21" s="1"/>
  <c r="W240" i="8"/>
  <c r="W241" i="21" s="1"/>
  <c r="X240" i="8"/>
  <c r="X241" i="21" s="1"/>
  <c r="Y240" i="8"/>
  <c r="Y241" i="21" s="1"/>
  <c r="Z240" i="8"/>
  <c r="Z241" i="21" s="1"/>
  <c r="AA240" i="8"/>
  <c r="AA241" i="21" s="1"/>
  <c r="AB240" i="8"/>
  <c r="AB241" i="21" s="1"/>
  <c r="AC240" i="8"/>
  <c r="AC241" i="21" s="1"/>
  <c r="AD240" i="8"/>
  <c r="AD241" i="21" s="1"/>
  <c r="AE240" i="8"/>
  <c r="AE241" i="21" s="1"/>
  <c r="AF240" i="8"/>
  <c r="AF241" i="21" s="1"/>
  <c r="AG240" i="8"/>
  <c r="A241" i="8"/>
  <c r="B241" i="8"/>
  <c r="C241" i="8"/>
  <c r="D241" i="8"/>
  <c r="E241" i="8"/>
  <c r="F241" i="8"/>
  <c r="F242" i="21" s="1"/>
  <c r="G241" i="8"/>
  <c r="G242" i="21" s="1"/>
  <c r="H241" i="8"/>
  <c r="H242" i="21" s="1"/>
  <c r="I241" i="8"/>
  <c r="I242" i="21" s="1"/>
  <c r="J241" i="8"/>
  <c r="J242" i="21" s="1"/>
  <c r="K241" i="8"/>
  <c r="K242" i="21" s="1"/>
  <c r="L241" i="8"/>
  <c r="L242" i="21" s="1"/>
  <c r="M241" i="8"/>
  <c r="M242" i="21" s="1"/>
  <c r="N241" i="8"/>
  <c r="N242" i="21" s="1"/>
  <c r="O241" i="8"/>
  <c r="O242" i="21" s="1"/>
  <c r="P241" i="8"/>
  <c r="P242" i="21" s="1"/>
  <c r="Q241" i="8"/>
  <c r="Q242" i="21" s="1"/>
  <c r="R241" i="8"/>
  <c r="R242" i="21" s="1"/>
  <c r="S241" i="8"/>
  <c r="S242" i="21" s="1"/>
  <c r="T241" i="8"/>
  <c r="T242" i="21" s="1"/>
  <c r="U241" i="8"/>
  <c r="U242" i="21" s="1"/>
  <c r="V241" i="8"/>
  <c r="V242" i="21" s="1"/>
  <c r="W241" i="8"/>
  <c r="W242" i="21" s="1"/>
  <c r="X241" i="8"/>
  <c r="X242" i="21" s="1"/>
  <c r="Y241" i="8"/>
  <c r="Y242" i="21" s="1"/>
  <c r="Z241" i="8"/>
  <c r="Z242" i="21" s="1"/>
  <c r="AA241" i="8"/>
  <c r="AA242" i="21" s="1"/>
  <c r="AB241" i="8"/>
  <c r="AB242" i="21" s="1"/>
  <c r="AC241" i="8"/>
  <c r="AC242" i="21" s="1"/>
  <c r="AD241" i="8"/>
  <c r="AD242" i="21" s="1"/>
  <c r="AE241" i="8"/>
  <c r="AF241" i="8"/>
  <c r="AF242" i="21" s="1"/>
  <c r="AG241" i="8"/>
  <c r="A242" i="8"/>
  <c r="B242" i="8"/>
  <c r="C242" i="8"/>
  <c r="D242" i="8"/>
  <c r="E242" i="8"/>
  <c r="F242" i="8"/>
  <c r="F243" i="21" s="1"/>
  <c r="G242" i="8"/>
  <c r="G243" i="21" s="1"/>
  <c r="H242" i="8"/>
  <c r="H243" i="21" s="1"/>
  <c r="I242" i="8"/>
  <c r="I243" i="21" s="1"/>
  <c r="J242" i="8"/>
  <c r="J243" i="21" s="1"/>
  <c r="K242" i="8"/>
  <c r="K243" i="21" s="1"/>
  <c r="L242" i="8"/>
  <c r="L243" i="21" s="1"/>
  <c r="M242" i="8"/>
  <c r="M243" i="21" s="1"/>
  <c r="N242" i="8"/>
  <c r="N243" i="21" s="1"/>
  <c r="O242" i="8"/>
  <c r="O243" i="21" s="1"/>
  <c r="P242" i="8"/>
  <c r="P243" i="21" s="1"/>
  <c r="Q242" i="8"/>
  <c r="Q243" i="21" s="1"/>
  <c r="R242" i="8"/>
  <c r="R243" i="21" s="1"/>
  <c r="S242" i="8"/>
  <c r="S243" i="21" s="1"/>
  <c r="T242" i="8"/>
  <c r="T243" i="21" s="1"/>
  <c r="U242" i="8"/>
  <c r="U243" i="21" s="1"/>
  <c r="V242" i="8"/>
  <c r="V243" i="21" s="1"/>
  <c r="W242" i="8"/>
  <c r="W243" i="21" s="1"/>
  <c r="X242" i="8"/>
  <c r="X243" i="21" s="1"/>
  <c r="Y242" i="8"/>
  <c r="Y243" i="21" s="1"/>
  <c r="Z242" i="8"/>
  <c r="Z243" i="21" s="1"/>
  <c r="AA242" i="8"/>
  <c r="AA243" i="21" s="1"/>
  <c r="AB242" i="8"/>
  <c r="AB243" i="21" s="1"/>
  <c r="AC242" i="8"/>
  <c r="AC243" i="21" s="1"/>
  <c r="AD242" i="8"/>
  <c r="AD243" i="21" s="1"/>
  <c r="AE242" i="8"/>
  <c r="AE243" i="21" s="1"/>
  <c r="AF242" i="8"/>
  <c r="AF243" i="21" s="1"/>
  <c r="AG242" i="8"/>
  <c r="A243" i="8"/>
  <c r="B243" i="8"/>
  <c r="C243" i="8"/>
  <c r="D243" i="8"/>
  <c r="E243" i="8"/>
  <c r="F243" i="8"/>
  <c r="F244" i="21" s="1"/>
  <c r="G243" i="8"/>
  <c r="G244" i="21" s="1"/>
  <c r="H243" i="8"/>
  <c r="H244" i="21" s="1"/>
  <c r="I243" i="8"/>
  <c r="I244" i="21" s="1"/>
  <c r="J243" i="8"/>
  <c r="J244" i="21" s="1"/>
  <c r="K243" i="8"/>
  <c r="K244" i="21" s="1"/>
  <c r="L243" i="8"/>
  <c r="L244" i="21" s="1"/>
  <c r="M243" i="8"/>
  <c r="M244" i="21" s="1"/>
  <c r="N243" i="8"/>
  <c r="N244" i="21" s="1"/>
  <c r="O243" i="8"/>
  <c r="O244" i="21" s="1"/>
  <c r="P243" i="8"/>
  <c r="P244" i="21" s="1"/>
  <c r="Q243" i="8"/>
  <c r="Q244" i="21" s="1"/>
  <c r="R243" i="8"/>
  <c r="R244" i="21" s="1"/>
  <c r="S243" i="8"/>
  <c r="S244" i="21" s="1"/>
  <c r="T243" i="8"/>
  <c r="T244" i="21" s="1"/>
  <c r="U243" i="8"/>
  <c r="U244" i="21" s="1"/>
  <c r="V243" i="8"/>
  <c r="V244" i="21" s="1"/>
  <c r="W243" i="8"/>
  <c r="W244" i="21" s="1"/>
  <c r="X243" i="8"/>
  <c r="X244" i="21" s="1"/>
  <c r="Y243" i="8"/>
  <c r="Y244" i="21" s="1"/>
  <c r="Z243" i="8"/>
  <c r="Z244" i="21" s="1"/>
  <c r="AA243" i="8"/>
  <c r="AA244" i="21" s="1"/>
  <c r="AB243" i="8"/>
  <c r="AB244" i="21" s="1"/>
  <c r="AC243" i="8"/>
  <c r="AC244" i="21" s="1"/>
  <c r="AD243" i="8"/>
  <c r="AD244" i="21" s="1"/>
  <c r="AE243" i="8"/>
  <c r="AF243" i="8"/>
  <c r="AF244" i="21" s="1"/>
  <c r="AG243" i="8"/>
  <c r="A244" i="8"/>
  <c r="B244" i="8"/>
  <c r="C244" i="8"/>
  <c r="D244" i="8"/>
  <c r="E244" i="8"/>
  <c r="F244" i="8"/>
  <c r="F245" i="21" s="1"/>
  <c r="G244" i="8"/>
  <c r="G245" i="21" s="1"/>
  <c r="H244" i="8"/>
  <c r="H245" i="21" s="1"/>
  <c r="I244" i="8"/>
  <c r="I245" i="21" s="1"/>
  <c r="J244" i="8"/>
  <c r="J245" i="21" s="1"/>
  <c r="K244" i="8"/>
  <c r="K245" i="21" s="1"/>
  <c r="L244" i="8"/>
  <c r="L245" i="21" s="1"/>
  <c r="M244" i="8"/>
  <c r="M245" i="21" s="1"/>
  <c r="N244" i="8"/>
  <c r="N245" i="21" s="1"/>
  <c r="O244" i="8"/>
  <c r="O245" i="21" s="1"/>
  <c r="P244" i="8"/>
  <c r="P245" i="21" s="1"/>
  <c r="Q244" i="8"/>
  <c r="Q245" i="21" s="1"/>
  <c r="R244" i="8"/>
  <c r="R245" i="21" s="1"/>
  <c r="S244" i="8"/>
  <c r="S245" i="21" s="1"/>
  <c r="T244" i="8"/>
  <c r="T245" i="21" s="1"/>
  <c r="U244" i="8"/>
  <c r="U245" i="21" s="1"/>
  <c r="V244" i="8"/>
  <c r="V245" i="21" s="1"/>
  <c r="W244" i="8"/>
  <c r="W245" i="21" s="1"/>
  <c r="X244" i="8"/>
  <c r="X245" i="21" s="1"/>
  <c r="Y244" i="8"/>
  <c r="Y245" i="21" s="1"/>
  <c r="Z244" i="8"/>
  <c r="Z245" i="21" s="1"/>
  <c r="AA244" i="8"/>
  <c r="AA245" i="21" s="1"/>
  <c r="AB244" i="8"/>
  <c r="AB245" i="21" s="1"/>
  <c r="AC244" i="8"/>
  <c r="AC245" i="21" s="1"/>
  <c r="AD244" i="8"/>
  <c r="AD245" i="21" s="1"/>
  <c r="AE244" i="8"/>
  <c r="AE245" i="21" s="1"/>
  <c r="AF244" i="8"/>
  <c r="AF245" i="21" s="1"/>
  <c r="AG244" i="8"/>
  <c r="AG245" i="11" s="1"/>
  <c r="A245" i="8"/>
  <c r="B245" i="8"/>
  <c r="C245" i="8"/>
  <c r="D245" i="8"/>
  <c r="E245" i="8"/>
  <c r="F245" i="8"/>
  <c r="F246" i="21" s="1"/>
  <c r="G245" i="8"/>
  <c r="G246" i="21" s="1"/>
  <c r="H245" i="8"/>
  <c r="H246" i="21" s="1"/>
  <c r="I245" i="8"/>
  <c r="I246" i="21" s="1"/>
  <c r="J245" i="8"/>
  <c r="J246" i="21" s="1"/>
  <c r="K245" i="8"/>
  <c r="K246" i="21" s="1"/>
  <c r="L245" i="8"/>
  <c r="L246" i="21" s="1"/>
  <c r="M245" i="8"/>
  <c r="M246" i="21" s="1"/>
  <c r="N245" i="8"/>
  <c r="N246" i="21" s="1"/>
  <c r="O245" i="8"/>
  <c r="O246" i="21" s="1"/>
  <c r="P245" i="8"/>
  <c r="P246" i="21" s="1"/>
  <c r="Q245" i="8"/>
  <c r="Q246" i="21" s="1"/>
  <c r="R245" i="8"/>
  <c r="R246" i="21" s="1"/>
  <c r="S245" i="8"/>
  <c r="S246" i="21" s="1"/>
  <c r="T245" i="8"/>
  <c r="T246" i="21" s="1"/>
  <c r="U245" i="8"/>
  <c r="U246" i="21" s="1"/>
  <c r="V245" i="8"/>
  <c r="V246" i="21" s="1"/>
  <c r="W245" i="8"/>
  <c r="W246" i="21" s="1"/>
  <c r="X245" i="8"/>
  <c r="X246" i="21" s="1"/>
  <c r="Y245" i="8"/>
  <c r="Y246" i="21" s="1"/>
  <c r="Z245" i="8"/>
  <c r="Z246" i="21" s="1"/>
  <c r="AA245" i="8"/>
  <c r="AA246" i="21" s="1"/>
  <c r="AB245" i="8"/>
  <c r="AB246" i="21" s="1"/>
  <c r="AC245" i="8"/>
  <c r="AC246" i="21" s="1"/>
  <c r="AD245" i="8"/>
  <c r="AD246" i="21" s="1"/>
  <c r="AE245" i="8"/>
  <c r="AF245" i="8"/>
  <c r="AF246" i="21" s="1"/>
  <c r="AG245" i="8"/>
  <c r="A246" i="8"/>
  <c r="B246" i="8"/>
  <c r="C246" i="8"/>
  <c r="D246" i="8"/>
  <c r="E246" i="8"/>
  <c r="F246" i="8"/>
  <c r="F247" i="21" s="1"/>
  <c r="G246" i="8"/>
  <c r="G247" i="21" s="1"/>
  <c r="H246" i="8"/>
  <c r="H247" i="21" s="1"/>
  <c r="I246" i="8"/>
  <c r="I247" i="21" s="1"/>
  <c r="J246" i="8"/>
  <c r="J247" i="21" s="1"/>
  <c r="K246" i="8"/>
  <c r="K247" i="21" s="1"/>
  <c r="L246" i="8"/>
  <c r="L247" i="21" s="1"/>
  <c r="M246" i="8"/>
  <c r="M247" i="21" s="1"/>
  <c r="N246" i="8"/>
  <c r="N247" i="21" s="1"/>
  <c r="O246" i="8"/>
  <c r="O247" i="21" s="1"/>
  <c r="P246" i="8"/>
  <c r="P247" i="21" s="1"/>
  <c r="Q246" i="8"/>
  <c r="Q247" i="21" s="1"/>
  <c r="R246" i="8"/>
  <c r="R247" i="21" s="1"/>
  <c r="S246" i="8"/>
  <c r="S247" i="21" s="1"/>
  <c r="T246" i="8"/>
  <c r="T247" i="21" s="1"/>
  <c r="U246" i="8"/>
  <c r="U247" i="21" s="1"/>
  <c r="V246" i="8"/>
  <c r="V247" i="21" s="1"/>
  <c r="W246" i="8"/>
  <c r="W247" i="21" s="1"/>
  <c r="X246" i="8"/>
  <c r="X247" i="21" s="1"/>
  <c r="Y246" i="8"/>
  <c r="Y247" i="21" s="1"/>
  <c r="Z246" i="8"/>
  <c r="Z247" i="21" s="1"/>
  <c r="AA246" i="8"/>
  <c r="AA247" i="21" s="1"/>
  <c r="AB246" i="8"/>
  <c r="AB247" i="21" s="1"/>
  <c r="AC246" i="8"/>
  <c r="AC247" i="21" s="1"/>
  <c r="AD246" i="8"/>
  <c r="AD247" i="21" s="1"/>
  <c r="AE246" i="8"/>
  <c r="AE247" i="21" s="1"/>
  <c r="AF246" i="8"/>
  <c r="AG246" i="8"/>
  <c r="AG247" i="11" s="1"/>
  <c r="A247" i="8"/>
  <c r="B247" i="8"/>
  <c r="C247" i="8"/>
  <c r="D247" i="8"/>
  <c r="E247" i="8"/>
  <c r="F247" i="8"/>
  <c r="F248" i="21" s="1"/>
  <c r="G247" i="8"/>
  <c r="G248" i="21" s="1"/>
  <c r="H247" i="8"/>
  <c r="H248" i="21" s="1"/>
  <c r="I247" i="8"/>
  <c r="I248" i="21" s="1"/>
  <c r="J247" i="8"/>
  <c r="J248" i="21" s="1"/>
  <c r="K247" i="8"/>
  <c r="K248" i="21" s="1"/>
  <c r="L247" i="8"/>
  <c r="L248" i="21" s="1"/>
  <c r="M247" i="8"/>
  <c r="M248" i="21" s="1"/>
  <c r="N247" i="8"/>
  <c r="N248" i="21" s="1"/>
  <c r="O247" i="8"/>
  <c r="O248" i="21" s="1"/>
  <c r="P247" i="8"/>
  <c r="P248" i="21" s="1"/>
  <c r="Q247" i="8"/>
  <c r="Q248" i="21" s="1"/>
  <c r="R247" i="8"/>
  <c r="R248" i="21" s="1"/>
  <c r="S247" i="8"/>
  <c r="S248" i="21" s="1"/>
  <c r="T247" i="8"/>
  <c r="T248" i="21" s="1"/>
  <c r="U247" i="8"/>
  <c r="U248" i="21" s="1"/>
  <c r="V247" i="8"/>
  <c r="V248" i="21" s="1"/>
  <c r="W247" i="8"/>
  <c r="W248" i="21" s="1"/>
  <c r="X247" i="8"/>
  <c r="X248" i="21" s="1"/>
  <c r="Y247" i="8"/>
  <c r="Y248" i="21" s="1"/>
  <c r="Z247" i="8"/>
  <c r="Z248" i="21" s="1"/>
  <c r="AA247" i="8"/>
  <c r="AA248" i="21" s="1"/>
  <c r="AB247" i="8"/>
  <c r="AB248" i="21" s="1"/>
  <c r="AC247" i="8"/>
  <c r="AC248" i="21" s="1"/>
  <c r="AD247" i="8"/>
  <c r="AD248" i="21" s="1"/>
  <c r="AE247" i="8"/>
  <c r="AF247" i="8"/>
  <c r="AG247" i="8"/>
  <c r="AG248" i="9" s="1"/>
  <c r="A248" i="8"/>
  <c r="B248" i="8"/>
  <c r="C248" i="8"/>
  <c r="D248" i="8"/>
  <c r="E248" i="8"/>
  <c r="F248" i="8"/>
  <c r="F249" i="21" s="1"/>
  <c r="G248" i="8"/>
  <c r="G249" i="21" s="1"/>
  <c r="H248" i="8"/>
  <c r="H249" i="21" s="1"/>
  <c r="I248" i="8"/>
  <c r="I249" i="21" s="1"/>
  <c r="J248" i="8"/>
  <c r="J249" i="21" s="1"/>
  <c r="K248" i="8"/>
  <c r="K249" i="21" s="1"/>
  <c r="L248" i="8"/>
  <c r="L249" i="21" s="1"/>
  <c r="M248" i="8"/>
  <c r="M249" i="21" s="1"/>
  <c r="N248" i="8"/>
  <c r="N249" i="21" s="1"/>
  <c r="O248" i="8"/>
  <c r="O249" i="21" s="1"/>
  <c r="P248" i="8"/>
  <c r="P249" i="21" s="1"/>
  <c r="Q248" i="8"/>
  <c r="Q249" i="21" s="1"/>
  <c r="R248" i="8"/>
  <c r="R249" i="21" s="1"/>
  <c r="S248" i="8"/>
  <c r="S249" i="21" s="1"/>
  <c r="T248" i="8"/>
  <c r="T249" i="21" s="1"/>
  <c r="U248" i="8"/>
  <c r="U249" i="21" s="1"/>
  <c r="V248" i="8"/>
  <c r="V249" i="21" s="1"/>
  <c r="W248" i="8"/>
  <c r="W249" i="21" s="1"/>
  <c r="X248" i="8"/>
  <c r="X249" i="21" s="1"/>
  <c r="Y248" i="8"/>
  <c r="Y249" i="21" s="1"/>
  <c r="Z248" i="8"/>
  <c r="Z249" i="21" s="1"/>
  <c r="AA248" i="8"/>
  <c r="AA249" i="21" s="1"/>
  <c r="AB248" i="8"/>
  <c r="AB249" i="21" s="1"/>
  <c r="AC248" i="8"/>
  <c r="AC249" i="21" s="1"/>
  <c r="AD248" i="8"/>
  <c r="AD249" i="21" s="1"/>
  <c r="AE248" i="8"/>
  <c r="AE249" i="21" s="1"/>
  <c r="AF248" i="8"/>
  <c r="AG248" i="8"/>
  <c r="AG249" i="11" s="1"/>
  <c r="A249" i="8"/>
  <c r="B249" i="8"/>
  <c r="C249" i="8"/>
  <c r="D249" i="8"/>
  <c r="E249" i="8"/>
  <c r="F249" i="8"/>
  <c r="F250" i="21" s="1"/>
  <c r="G249" i="8"/>
  <c r="G250" i="21" s="1"/>
  <c r="H249" i="8"/>
  <c r="H250" i="21" s="1"/>
  <c r="I249" i="8"/>
  <c r="I250" i="21" s="1"/>
  <c r="J249" i="8"/>
  <c r="J250" i="21" s="1"/>
  <c r="K249" i="8"/>
  <c r="K250" i="21" s="1"/>
  <c r="L249" i="8"/>
  <c r="L250" i="21" s="1"/>
  <c r="M249" i="8"/>
  <c r="M250" i="21" s="1"/>
  <c r="N249" i="8"/>
  <c r="N250" i="21" s="1"/>
  <c r="O249" i="8"/>
  <c r="O250" i="21" s="1"/>
  <c r="P249" i="8"/>
  <c r="P250" i="21" s="1"/>
  <c r="Q249" i="8"/>
  <c r="Q250" i="21" s="1"/>
  <c r="R249" i="8"/>
  <c r="R250" i="21" s="1"/>
  <c r="S249" i="8"/>
  <c r="S250" i="21" s="1"/>
  <c r="T249" i="8"/>
  <c r="T250" i="21" s="1"/>
  <c r="U249" i="8"/>
  <c r="U250" i="21" s="1"/>
  <c r="V249" i="8"/>
  <c r="V250" i="21" s="1"/>
  <c r="W249" i="8"/>
  <c r="W250" i="21" s="1"/>
  <c r="X249" i="8"/>
  <c r="X250" i="21" s="1"/>
  <c r="Y249" i="8"/>
  <c r="Y250" i="21" s="1"/>
  <c r="Z249" i="8"/>
  <c r="Z250" i="21" s="1"/>
  <c r="AA249" i="8"/>
  <c r="AA250" i="21" s="1"/>
  <c r="AB249" i="8"/>
  <c r="AB250" i="21" s="1"/>
  <c r="AC249" i="8"/>
  <c r="AC250" i="21" s="1"/>
  <c r="AD249" i="8"/>
  <c r="AD250" i="21" s="1"/>
  <c r="AE249" i="8"/>
  <c r="AF249" i="8"/>
  <c r="AG249" i="8"/>
  <c r="AG250" i="10" s="1"/>
  <c r="A250" i="8"/>
  <c r="B250" i="8"/>
  <c r="C250" i="8"/>
  <c r="D250" i="8"/>
  <c r="E250" i="8"/>
  <c r="F250" i="8"/>
  <c r="F251" i="21" s="1"/>
  <c r="G250" i="8"/>
  <c r="G251" i="21" s="1"/>
  <c r="H250" i="8"/>
  <c r="H251" i="21" s="1"/>
  <c r="I250" i="8"/>
  <c r="I251" i="21" s="1"/>
  <c r="J250" i="8"/>
  <c r="J251" i="21" s="1"/>
  <c r="K250" i="8"/>
  <c r="K251" i="21" s="1"/>
  <c r="L250" i="8"/>
  <c r="L251" i="21" s="1"/>
  <c r="M250" i="8"/>
  <c r="M251" i="21" s="1"/>
  <c r="N250" i="8"/>
  <c r="N251" i="21" s="1"/>
  <c r="O250" i="8"/>
  <c r="O251" i="21" s="1"/>
  <c r="P250" i="8"/>
  <c r="P251" i="21" s="1"/>
  <c r="Q250" i="8"/>
  <c r="Q251" i="21" s="1"/>
  <c r="R250" i="8"/>
  <c r="R251" i="21" s="1"/>
  <c r="S250" i="8"/>
  <c r="S251" i="21" s="1"/>
  <c r="T250" i="8"/>
  <c r="T251" i="21" s="1"/>
  <c r="U250" i="8"/>
  <c r="U251" i="21" s="1"/>
  <c r="V250" i="8"/>
  <c r="V251" i="21" s="1"/>
  <c r="W250" i="8"/>
  <c r="W251" i="21" s="1"/>
  <c r="X250" i="8"/>
  <c r="X251" i="21" s="1"/>
  <c r="Y250" i="8"/>
  <c r="Y251" i="21" s="1"/>
  <c r="Z250" i="8"/>
  <c r="Z251" i="21" s="1"/>
  <c r="AA250" i="8"/>
  <c r="AA251" i="21" s="1"/>
  <c r="AB250" i="8"/>
  <c r="AB251" i="21" s="1"/>
  <c r="AC250" i="8"/>
  <c r="AC251" i="21" s="1"/>
  <c r="AD250" i="8"/>
  <c r="AD251" i="21" s="1"/>
  <c r="AE250" i="8"/>
  <c r="AE251" i="21" s="1"/>
  <c r="AF250" i="8"/>
  <c r="AF251" i="21" s="1"/>
  <c r="AG250" i="8"/>
  <c r="A251" i="8"/>
  <c r="B251" i="8"/>
  <c r="C251" i="8"/>
  <c r="D251" i="8"/>
  <c r="E251" i="8"/>
  <c r="F251" i="8"/>
  <c r="F252" i="21" s="1"/>
  <c r="G251" i="8"/>
  <c r="G252" i="21" s="1"/>
  <c r="H251" i="8"/>
  <c r="H252" i="21" s="1"/>
  <c r="I251" i="8"/>
  <c r="I252" i="21" s="1"/>
  <c r="J251" i="8"/>
  <c r="J252" i="21" s="1"/>
  <c r="K251" i="8"/>
  <c r="K252" i="21" s="1"/>
  <c r="L251" i="8"/>
  <c r="L252" i="21" s="1"/>
  <c r="M251" i="8"/>
  <c r="M252" i="21" s="1"/>
  <c r="N251" i="8"/>
  <c r="N252" i="21" s="1"/>
  <c r="O251" i="8"/>
  <c r="O252" i="21" s="1"/>
  <c r="P251" i="8"/>
  <c r="P252" i="21" s="1"/>
  <c r="Q251" i="8"/>
  <c r="Q252" i="21" s="1"/>
  <c r="R251" i="8"/>
  <c r="R252" i="21" s="1"/>
  <c r="S251" i="8"/>
  <c r="S252" i="21" s="1"/>
  <c r="T251" i="8"/>
  <c r="T252" i="21" s="1"/>
  <c r="U251" i="8"/>
  <c r="U252" i="21" s="1"/>
  <c r="V251" i="8"/>
  <c r="V252" i="21" s="1"/>
  <c r="W251" i="8"/>
  <c r="W252" i="21" s="1"/>
  <c r="X251" i="8"/>
  <c r="X252" i="21" s="1"/>
  <c r="Y251" i="8"/>
  <c r="Y252" i="21" s="1"/>
  <c r="Z251" i="8"/>
  <c r="Z252" i="21" s="1"/>
  <c r="AA251" i="8"/>
  <c r="AA252" i="21" s="1"/>
  <c r="AB251" i="8"/>
  <c r="AB252" i="21" s="1"/>
  <c r="AC251" i="8"/>
  <c r="AC252" i="21" s="1"/>
  <c r="AD251" i="8"/>
  <c r="AD252" i="21" s="1"/>
  <c r="AE251" i="8"/>
  <c r="AF251" i="8"/>
  <c r="AF252" i="21" s="1"/>
  <c r="AG251" i="8"/>
  <c r="A252" i="8"/>
  <c r="B252" i="8"/>
  <c r="C252" i="8"/>
  <c r="D252" i="8"/>
  <c r="E252" i="8"/>
  <c r="F252" i="8"/>
  <c r="F253" i="21" s="1"/>
  <c r="G252" i="8"/>
  <c r="G253" i="21" s="1"/>
  <c r="H252" i="8"/>
  <c r="H253" i="21" s="1"/>
  <c r="I252" i="8"/>
  <c r="I253" i="21" s="1"/>
  <c r="J252" i="8"/>
  <c r="J253" i="21" s="1"/>
  <c r="K252" i="8"/>
  <c r="K253" i="21" s="1"/>
  <c r="L252" i="8"/>
  <c r="L253" i="21" s="1"/>
  <c r="M252" i="8"/>
  <c r="M253" i="21" s="1"/>
  <c r="N252" i="8"/>
  <c r="N253" i="21" s="1"/>
  <c r="O252" i="8"/>
  <c r="O253" i="21" s="1"/>
  <c r="P252" i="8"/>
  <c r="P253" i="21" s="1"/>
  <c r="Q252" i="8"/>
  <c r="Q253" i="21" s="1"/>
  <c r="R252" i="8"/>
  <c r="R253" i="21" s="1"/>
  <c r="S252" i="8"/>
  <c r="S253" i="21" s="1"/>
  <c r="T252" i="8"/>
  <c r="T253" i="21" s="1"/>
  <c r="U252" i="8"/>
  <c r="U253" i="21" s="1"/>
  <c r="V252" i="8"/>
  <c r="V253" i="21" s="1"/>
  <c r="W252" i="8"/>
  <c r="W253" i="21" s="1"/>
  <c r="X252" i="8"/>
  <c r="X253" i="21" s="1"/>
  <c r="Y252" i="8"/>
  <c r="Y253" i="21" s="1"/>
  <c r="Z252" i="8"/>
  <c r="Z253" i="21" s="1"/>
  <c r="AA252" i="8"/>
  <c r="AA253" i="21" s="1"/>
  <c r="AB252" i="8"/>
  <c r="AB253" i="21" s="1"/>
  <c r="AC252" i="8"/>
  <c r="AC253" i="21" s="1"/>
  <c r="AD252" i="8"/>
  <c r="AD253" i="21" s="1"/>
  <c r="AE252" i="8"/>
  <c r="AE253" i="21" s="1"/>
  <c r="AF252" i="8"/>
  <c r="AF253" i="21" s="1"/>
  <c r="AG252" i="8"/>
  <c r="A253" i="8"/>
  <c r="B253" i="8"/>
  <c r="C253" i="8"/>
  <c r="D253" i="8"/>
  <c r="E253" i="8"/>
  <c r="F253" i="8"/>
  <c r="F254" i="21" s="1"/>
  <c r="G253" i="8"/>
  <c r="G254" i="21" s="1"/>
  <c r="H253" i="8"/>
  <c r="H254" i="21" s="1"/>
  <c r="I253" i="8"/>
  <c r="I254" i="21" s="1"/>
  <c r="J253" i="8"/>
  <c r="J254" i="21" s="1"/>
  <c r="K253" i="8"/>
  <c r="K254" i="21" s="1"/>
  <c r="L253" i="8"/>
  <c r="L254" i="21" s="1"/>
  <c r="M253" i="8"/>
  <c r="M254" i="21" s="1"/>
  <c r="N253" i="8"/>
  <c r="N254" i="21" s="1"/>
  <c r="O253" i="8"/>
  <c r="O254" i="21" s="1"/>
  <c r="P253" i="8"/>
  <c r="P254" i="21" s="1"/>
  <c r="Q253" i="8"/>
  <c r="Q254" i="21" s="1"/>
  <c r="R253" i="8"/>
  <c r="R254" i="21" s="1"/>
  <c r="S253" i="8"/>
  <c r="S254" i="21" s="1"/>
  <c r="T253" i="8"/>
  <c r="T254" i="21" s="1"/>
  <c r="U253" i="8"/>
  <c r="U254" i="21" s="1"/>
  <c r="V253" i="8"/>
  <c r="V254" i="21" s="1"/>
  <c r="W253" i="8"/>
  <c r="W254" i="21" s="1"/>
  <c r="X253" i="8"/>
  <c r="X254" i="21" s="1"/>
  <c r="Y253" i="8"/>
  <c r="Y254" i="21" s="1"/>
  <c r="Z253" i="8"/>
  <c r="Z254" i="21" s="1"/>
  <c r="AA253" i="8"/>
  <c r="AA254" i="21" s="1"/>
  <c r="AB253" i="8"/>
  <c r="AB254" i="21" s="1"/>
  <c r="AC253" i="8"/>
  <c r="AC254" i="21" s="1"/>
  <c r="AD253" i="8"/>
  <c r="AD254" i="21" s="1"/>
  <c r="AE253" i="8"/>
  <c r="AF253" i="8"/>
  <c r="AF254" i="21" s="1"/>
  <c r="AG253" i="8"/>
  <c r="A254" i="8"/>
  <c r="B254" i="8"/>
  <c r="C254" i="8"/>
  <c r="D254" i="8"/>
  <c r="E254" i="8"/>
  <c r="F254" i="8"/>
  <c r="F255" i="21" s="1"/>
  <c r="G254" i="8"/>
  <c r="G255" i="21" s="1"/>
  <c r="H254" i="8"/>
  <c r="H255" i="21" s="1"/>
  <c r="I254" i="8"/>
  <c r="I255" i="21" s="1"/>
  <c r="J254" i="8"/>
  <c r="J255" i="21" s="1"/>
  <c r="K254" i="8"/>
  <c r="K255" i="21" s="1"/>
  <c r="L254" i="8"/>
  <c r="L255" i="21" s="1"/>
  <c r="M254" i="8"/>
  <c r="M255" i="21" s="1"/>
  <c r="N254" i="8"/>
  <c r="N255" i="21" s="1"/>
  <c r="O254" i="8"/>
  <c r="O255" i="21" s="1"/>
  <c r="P254" i="8"/>
  <c r="P255" i="21" s="1"/>
  <c r="Q254" i="8"/>
  <c r="Q255" i="21" s="1"/>
  <c r="R254" i="8"/>
  <c r="R255" i="21" s="1"/>
  <c r="S254" i="8"/>
  <c r="S255" i="21" s="1"/>
  <c r="T254" i="8"/>
  <c r="T255" i="21" s="1"/>
  <c r="U254" i="8"/>
  <c r="U255" i="21" s="1"/>
  <c r="V254" i="8"/>
  <c r="V255" i="21" s="1"/>
  <c r="W254" i="8"/>
  <c r="W255" i="21" s="1"/>
  <c r="X254" i="8"/>
  <c r="X255" i="21" s="1"/>
  <c r="Y254" i="8"/>
  <c r="Y255" i="21" s="1"/>
  <c r="Z254" i="8"/>
  <c r="Z255" i="21" s="1"/>
  <c r="AA254" i="8"/>
  <c r="AA255" i="21" s="1"/>
  <c r="AB254" i="8"/>
  <c r="AB255" i="21" s="1"/>
  <c r="AC254" i="8"/>
  <c r="AC255" i="21" s="1"/>
  <c r="AD254" i="8"/>
  <c r="AD255" i="21" s="1"/>
  <c r="AE254" i="8"/>
  <c r="AE255" i="21" s="1"/>
  <c r="AF254" i="8"/>
  <c r="AF255" i="21" s="1"/>
  <c r="AG254" i="8"/>
  <c r="A255" i="8"/>
  <c r="B255" i="8"/>
  <c r="C255" i="8"/>
  <c r="D255" i="8"/>
  <c r="E255" i="8"/>
  <c r="F255" i="8"/>
  <c r="F256" i="21" s="1"/>
  <c r="G255" i="8"/>
  <c r="G256" i="21" s="1"/>
  <c r="H255" i="8"/>
  <c r="H256" i="21" s="1"/>
  <c r="I255" i="8"/>
  <c r="I256" i="21" s="1"/>
  <c r="J255" i="8"/>
  <c r="J256" i="21" s="1"/>
  <c r="K255" i="8"/>
  <c r="K256" i="21" s="1"/>
  <c r="L255" i="8"/>
  <c r="L256" i="21" s="1"/>
  <c r="M255" i="8"/>
  <c r="M256" i="21" s="1"/>
  <c r="N255" i="8"/>
  <c r="N256" i="21" s="1"/>
  <c r="O255" i="8"/>
  <c r="O256" i="21" s="1"/>
  <c r="P255" i="8"/>
  <c r="P256" i="21" s="1"/>
  <c r="Q255" i="8"/>
  <c r="Q256" i="21" s="1"/>
  <c r="R255" i="8"/>
  <c r="R256" i="21" s="1"/>
  <c r="S255" i="8"/>
  <c r="S256" i="21" s="1"/>
  <c r="T255" i="8"/>
  <c r="T256" i="21" s="1"/>
  <c r="U255" i="8"/>
  <c r="U256" i="21" s="1"/>
  <c r="V255" i="8"/>
  <c r="V256" i="21" s="1"/>
  <c r="W255" i="8"/>
  <c r="W256" i="21" s="1"/>
  <c r="X255" i="8"/>
  <c r="X256" i="21" s="1"/>
  <c r="Y255" i="8"/>
  <c r="Y256" i="21" s="1"/>
  <c r="Z255" i="8"/>
  <c r="Z256" i="21" s="1"/>
  <c r="AA255" i="8"/>
  <c r="AA256" i="21" s="1"/>
  <c r="AB255" i="8"/>
  <c r="AB256" i="21" s="1"/>
  <c r="AC255" i="8"/>
  <c r="AC256" i="21" s="1"/>
  <c r="AD255" i="8"/>
  <c r="AD256" i="21" s="1"/>
  <c r="AE255" i="8"/>
  <c r="AF255" i="8"/>
  <c r="AF256" i="21" s="1"/>
  <c r="AG255" i="8"/>
  <c r="A256" i="8"/>
  <c r="B256" i="8"/>
  <c r="C256" i="8"/>
  <c r="D256" i="8"/>
  <c r="E256" i="8"/>
  <c r="F256" i="8"/>
  <c r="F257" i="21" s="1"/>
  <c r="G256" i="8"/>
  <c r="G257" i="21" s="1"/>
  <c r="H256" i="8"/>
  <c r="H257" i="21" s="1"/>
  <c r="I256" i="8"/>
  <c r="I257" i="21" s="1"/>
  <c r="J256" i="8"/>
  <c r="J257" i="21" s="1"/>
  <c r="K256" i="8"/>
  <c r="K257" i="21" s="1"/>
  <c r="L256" i="8"/>
  <c r="L257" i="21" s="1"/>
  <c r="M256" i="8"/>
  <c r="M257" i="21" s="1"/>
  <c r="N256" i="8"/>
  <c r="N257" i="21" s="1"/>
  <c r="O256" i="8"/>
  <c r="O257" i="21" s="1"/>
  <c r="P256" i="8"/>
  <c r="P257" i="21" s="1"/>
  <c r="Q256" i="8"/>
  <c r="Q257" i="21" s="1"/>
  <c r="R256" i="8"/>
  <c r="R257" i="21" s="1"/>
  <c r="S256" i="8"/>
  <c r="S257" i="21" s="1"/>
  <c r="T256" i="8"/>
  <c r="T257" i="21" s="1"/>
  <c r="U256" i="8"/>
  <c r="U257" i="21" s="1"/>
  <c r="V256" i="8"/>
  <c r="V257" i="21" s="1"/>
  <c r="W256" i="8"/>
  <c r="W257" i="21" s="1"/>
  <c r="X256" i="8"/>
  <c r="X257" i="21" s="1"/>
  <c r="Y256" i="8"/>
  <c r="Y257" i="21" s="1"/>
  <c r="Z256" i="8"/>
  <c r="Z257" i="21" s="1"/>
  <c r="AA256" i="8"/>
  <c r="AA257" i="21" s="1"/>
  <c r="AB256" i="8"/>
  <c r="AB257" i="21" s="1"/>
  <c r="AC256" i="8"/>
  <c r="AC257" i="21" s="1"/>
  <c r="AD256" i="8"/>
  <c r="AD257" i="21" s="1"/>
  <c r="AE256" i="8"/>
  <c r="AE257" i="21" s="1"/>
  <c r="AF256" i="8"/>
  <c r="AG256" i="8"/>
  <c r="A257" i="8"/>
  <c r="B257" i="8"/>
  <c r="C257" i="8"/>
  <c r="D257" i="8"/>
  <c r="E257" i="8"/>
  <c r="F257" i="8"/>
  <c r="F258" i="21" s="1"/>
  <c r="G257" i="8"/>
  <c r="G258" i="21" s="1"/>
  <c r="H257" i="8"/>
  <c r="H258" i="21" s="1"/>
  <c r="I257" i="8"/>
  <c r="I258" i="21" s="1"/>
  <c r="J257" i="8"/>
  <c r="J258" i="21" s="1"/>
  <c r="K257" i="8"/>
  <c r="K258" i="21" s="1"/>
  <c r="L257" i="8"/>
  <c r="L258" i="21" s="1"/>
  <c r="M257" i="8"/>
  <c r="M258" i="21" s="1"/>
  <c r="N257" i="8"/>
  <c r="N258" i="21" s="1"/>
  <c r="O257" i="8"/>
  <c r="O258" i="21" s="1"/>
  <c r="P257" i="8"/>
  <c r="P258" i="21" s="1"/>
  <c r="Q257" i="8"/>
  <c r="Q258" i="21" s="1"/>
  <c r="R257" i="8"/>
  <c r="R258" i="21" s="1"/>
  <c r="S257" i="8"/>
  <c r="S258" i="21" s="1"/>
  <c r="T257" i="8"/>
  <c r="T258" i="21" s="1"/>
  <c r="U257" i="8"/>
  <c r="U258" i="21" s="1"/>
  <c r="V257" i="8"/>
  <c r="V258" i="21" s="1"/>
  <c r="W257" i="8"/>
  <c r="W258" i="21" s="1"/>
  <c r="X257" i="8"/>
  <c r="X258" i="21" s="1"/>
  <c r="Y257" i="8"/>
  <c r="Y258" i="21" s="1"/>
  <c r="Z257" i="8"/>
  <c r="Z258" i="21" s="1"/>
  <c r="AA257" i="8"/>
  <c r="AA258" i="21" s="1"/>
  <c r="AB257" i="8"/>
  <c r="AB258" i="21" s="1"/>
  <c r="AC257" i="8"/>
  <c r="AC258" i="21" s="1"/>
  <c r="AD257" i="8"/>
  <c r="AD258" i="21" s="1"/>
  <c r="AE257" i="8"/>
  <c r="AF257" i="8"/>
  <c r="AF258" i="21" s="1"/>
  <c r="AG257" i="8"/>
  <c r="A258" i="8"/>
  <c r="B258" i="8"/>
  <c r="C258" i="8"/>
  <c r="D258" i="8"/>
  <c r="E258" i="8"/>
  <c r="F258" i="8"/>
  <c r="F259" i="21" s="1"/>
  <c r="G258" i="8"/>
  <c r="G259" i="21" s="1"/>
  <c r="H258" i="8"/>
  <c r="H259" i="21" s="1"/>
  <c r="I258" i="8"/>
  <c r="I259" i="21" s="1"/>
  <c r="J258" i="8"/>
  <c r="J259" i="21" s="1"/>
  <c r="K258" i="8"/>
  <c r="K259" i="21" s="1"/>
  <c r="L258" i="8"/>
  <c r="L259" i="21" s="1"/>
  <c r="M258" i="8"/>
  <c r="M259" i="21" s="1"/>
  <c r="N258" i="8"/>
  <c r="N259" i="21" s="1"/>
  <c r="O258" i="8"/>
  <c r="O259" i="21" s="1"/>
  <c r="P258" i="8"/>
  <c r="P259" i="21" s="1"/>
  <c r="Q258" i="8"/>
  <c r="Q259" i="21" s="1"/>
  <c r="R258" i="8"/>
  <c r="R259" i="21" s="1"/>
  <c r="S258" i="8"/>
  <c r="S259" i="21" s="1"/>
  <c r="T258" i="8"/>
  <c r="T259" i="21" s="1"/>
  <c r="U258" i="8"/>
  <c r="U259" i="21" s="1"/>
  <c r="V258" i="8"/>
  <c r="V259" i="21" s="1"/>
  <c r="W258" i="8"/>
  <c r="W259" i="21" s="1"/>
  <c r="X258" i="8"/>
  <c r="X259" i="21" s="1"/>
  <c r="Y258" i="8"/>
  <c r="Y259" i="21" s="1"/>
  <c r="Z258" i="8"/>
  <c r="Z259" i="21" s="1"/>
  <c r="AA258" i="8"/>
  <c r="AA259" i="21" s="1"/>
  <c r="AB258" i="8"/>
  <c r="AB259" i="21" s="1"/>
  <c r="AC258" i="8"/>
  <c r="AC259" i="21" s="1"/>
  <c r="AD258" i="8"/>
  <c r="AD259" i="21" s="1"/>
  <c r="AE258" i="8"/>
  <c r="AE259" i="21" s="1"/>
  <c r="AF258" i="8"/>
  <c r="AF259" i="21" s="1"/>
  <c r="AG258" i="8"/>
  <c r="A259" i="8"/>
  <c r="B259" i="8"/>
  <c r="C259" i="8"/>
  <c r="D259" i="8"/>
  <c r="E259" i="8"/>
  <c r="F259" i="8"/>
  <c r="F260" i="21" s="1"/>
  <c r="G259" i="8"/>
  <c r="G260" i="21" s="1"/>
  <c r="H259" i="8"/>
  <c r="H260" i="21" s="1"/>
  <c r="I259" i="8"/>
  <c r="I260" i="21" s="1"/>
  <c r="J259" i="8"/>
  <c r="J260" i="21" s="1"/>
  <c r="K259" i="8"/>
  <c r="K260" i="21" s="1"/>
  <c r="L259" i="8"/>
  <c r="L260" i="21" s="1"/>
  <c r="M259" i="8"/>
  <c r="M260" i="21" s="1"/>
  <c r="N259" i="8"/>
  <c r="N260" i="21" s="1"/>
  <c r="O259" i="8"/>
  <c r="O260" i="21" s="1"/>
  <c r="P259" i="8"/>
  <c r="P260" i="21" s="1"/>
  <c r="Q259" i="8"/>
  <c r="Q260" i="21" s="1"/>
  <c r="R259" i="8"/>
  <c r="R260" i="21" s="1"/>
  <c r="S259" i="8"/>
  <c r="S260" i="21" s="1"/>
  <c r="T259" i="8"/>
  <c r="T260" i="21" s="1"/>
  <c r="U259" i="8"/>
  <c r="U260" i="21" s="1"/>
  <c r="V259" i="8"/>
  <c r="V260" i="21" s="1"/>
  <c r="W259" i="8"/>
  <c r="W260" i="21" s="1"/>
  <c r="X259" i="8"/>
  <c r="X260" i="21" s="1"/>
  <c r="Y259" i="8"/>
  <c r="Y260" i="21" s="1"/>
  <c r="Z259" i="8"/>
  <c r="Z260" i="21" s="1"/>
  <c r="AA259" i="8"/>
  <c r="AA260" i="21" s="1"/>
  <c r="AB259" i="8"/>
  <c r="AB260" i="21" s="1"/>
  <c r="AC259" i="8"/>
  <c r="AC260" i="21" s="1"/>
  <c r="AD259" i="8"/>
  <c r="AD260" i="21" s="1"/>
  <c r="AE259" i="8"/>
  <c r="AF259" i="8"/>
  <c r="AF260" i="21" s="1"/>
  <c r="AG259" i="8"/>
  <c r="A260" i="8"/>
  <c r="B260" i="8"/>
  <c r="C260" i="8"/>
  <c r="D260" i="8"/>
  <c r="E260" i="8"/>
  <c r="F260" i="8"/>
  <c r="F261" i="21" s="1"/>
  <c r="G260" i="8"/>
  <c r="G261" i="21" s="1"/>
  <c r="H260" i="8"/>
  <c r="H261" i="21" s="1"/>
  <c r="I260" i="8"/>
  <c r="I261" i="21" s="1"/>
  <c r="J260" i="8"/>
  <c r="J261" i="21" s="1"/>
  <c r="K260" i="8"/>
  <c r="K261" i="21" s="1"/>
  <c r="L260" i="8"/>
  <c r="L261" i="21" s="1"/>
  <c r="M260" i="8"/>
  <c r="M261" i="21" s="1"/>
  <c r="N260" i="8"/>
  <c r="N261" i="21" s="1"/>
  <c r="O260" i="8"/>
  <c r="O261" i="21" s="1"/>
  <c r="P260" i="8"/>
  <c r="P261" i="21" s="1"/>
  <c r="Q260" i="8"/>
  <c r="Q261" i="21" s="1"/>
  <c r="R260" i="8"/>
  <c r="R261" i="21" s="1"/>
  <c r="S260" i="8"/>
  <c r="S261" i="21" s="1"/>
  <c r="T260" i="8"/>
  <c r="T261" i="21" s="1"/>
  <c r="U260" i="8"/>
  <c r="U261" i="21" s="1"/>
  <c r="V260" i="8"/>
  <c r="V261" i="21" s="1"/>
  <c r="W260" i="8"/>
  <c r="W261" i="21" s="1"/>
  <c r="X260" i="8"/>
  <c r="X261" i="21" s="1"/>
  <c r="Y260" i="8"/>
  <c r="Y261" i="21" s="1"/>
  <c r="Z260" i="8"/>
  <c r="Z261" i="21" s="1"/>
  <c r="AA260" i="8"/>
  <c r="AA261" i="21" s="1"/>
  <c r="AB260" i="8"/>
  <c r="AB261" i="21" s="1"/>
  <c r="AC260" i="8"/>
  <c r="AC261" i="21" s="1"/>
  <c r="AD260" i="8"/>
  <c r="AD261" i="21" s="1"/>
  <c r="AE260" i="8"/>
  <c r="AE261" i="21" s="1"/>
  <c r="AF260" i="8"/>
  <c r="AF261" i="21" s="1"/>
  <c r="AG260" i="8"/>
  <c r="A261" i="8"/>
  <c r="B261" i="8"/>
  <c r="C261" i="8"/>
  <c r="D261" i="8"/>
  <c r="E261" i="8"/>
  <c r="F261" i="8"/>
  <c r="F262" i="21" s="1"/>
  <c r="G261" i="8"/>
  <c r="G262" i="21" s="1"/>
  <c r="H261" i="8"/>
  <c r="H262" i="21" s="1"/>
  <c r="I261" i="8"/>
  <c r="I262" i="21" s="1"/>
  <c r="J261" i="8"/>
  <c r="J262" i="21" s="1"/>
  <c r="K261" i="8"/>
  <c r="K262" i="21" s="1"/>
  <c r="L261" i="8"/>
  <c r="L262" i="21" s="1"/>
  <c r="M261" i="8"/>
  <c r="M262" i="21" s="1"/>
  <c r="N261" i="8"/>
  <c r="N262" i="21" s="1"/>
  <c r="O261" i="8"/>
  <c r="O262" i="21" s="1"/>
  <c r="P261" i="8"/>
  <c r="P262" i="21" s="1"/>
  <c r="Q261" i="8"/>
  <c r="Q262" i="21" s="1"/>
  <c r="R261" i="8"/>
  <c r="R262" i="21" s="1"/>
  <c r="S261" i="8"/>
  <c r="S262" i="21" s="1"/>
  <c r="T261" i="8"/>
  <c r="T262" i="21" s="1"/>
  <c r="U261" i="8"/>
  <c r="U262" i="21" s="1"/>
  <c r="V261" i="8"/>
  <c r="V262" i="21" s="1"/>
  <c r="W261" i="8"/>
  <c r="W262" i="21" s="1"/>
  <c r="X261" i="8"/>
  <c r="X262" i="21" s="1"/>
  <c r="Y261" i="8"/>
  <c r="Y262" i="21" s="1"/>
  <c r="Z261" i="8"/>
  <c r="Z262" i="21" s="1"/>
  <c r="AA261" i="8"/>
  <c r="AA262" i="21" s="1"/>
  <c r="AB261" i="8"/>
  <c r="AB262" i="21" s="1"/>
  <c r="AC261" i="8"/>
  <c r="AC262" i="21" s="1"/>
  <c r="AD261" i="8"/>
  <c r="AD262" i="21" s="1"/>
  <c r="AE261" i="8"/>
  <c r="AF261" i="8"/>
  <c r="AF262" i="21" s="1"/>
  <c r="AG261" i="8"/>
  <c r="A262" i="8"/>
  <c r="B262" i="8"/>
  <c r="C262" i="8"/>
  <c r="D262" i="8"/>
  <c r="E262" i="8"/>
  <c r="F262" i="8"/>
  <c r="F263" i="21" s="1"/>
  <c r="G262" i="8"/>
  <c r="G263" i="21" s="1"/>
  <c r="H262" i="8"/>
  <c r="H263" i="21" s="1"/>
  <c r="I262" i="8"/>
  <c r="I263" i="21" s="1"/>
  <c r="J262" i="8"/>
  <c r="J263" i="21" s="1"/>
  <c r="K262" i="8"/>
  <c r="K263" i="21" s="1"/>
  <c r="L262" i="8"/>
  <c r="L263" i="21" s="1"/>
  <c r="M262" i="8"/>
  <c r="M263" i="21" s="1"/>
  <c r="N262" i="8"/>
  <c r="N263" i="21" s="1"/>
  <c r="O262" i="8"/>
  <c r="O263" i="21" s="1"/>
  <c r="P262" i="8"/>
  <c r="P263" i="21" s="1"/>
  <c r="Q262" i="8"/>
  <c r="Q263" i="21" s="1"/>
  <c r="R262" i="8"/>
  <c r="R263" i="21" s="1"/>
  <c r="S262" i="8"/>
  <c r="S263" i="21" s="1"/>
  <c r="T262" i="8"/>
  <c r="T263" i="21" s="1"/>
  <c r="U262" i="8"/>
  <c r="U263" i="21" s="1"/>
  <c r="V262" i="8"/>
  <c r="V263" i="21" s="1"/>
  <c r="W262" i="8"/>
  <c r="W263" i="21" s="1"/>
  <c r="X262" i="8"/>
  <c r="X263" i="21" s="1"/>
  <c r="Y262" i="8"/>
  <c r="Y263" i="21" s="1"/>
  <c r="Z262" i="8"/>
  <c r="Z263" i="21" s="1"/>
  <c r="AA262" i="8"/>
  <c r="AA263" i="21" s="1"/>
  <c r="AB262" i="8"/>
  <c r="AB263" i="21" s="1"/>
  <c r="AC262" i="8"/>
  <c r="AC263" i="21" s="1"/>
  <c r="AD262" i="8"/>
  <c r="AD263" i="21" s="1"/>
  <c r="AE262" i="8"/>
  <c r="AE263" i="21" s="1"/>
  <c r="AF262" i="8"/>
  <c r="AF263" i="21" s="1"/>
  <c r="AG262" i="8"/>
  <c r="A263" i="8"/>
  <c r="B263" i="8"/>
  <c r="C263" i="8"/>
  <c r="D263" i="8"/>
  <c r="E263" i="8"/>
  <c r="F263" i="8"/>
  <c r="F264" i="21" s="1"/>
  <c r="G263" i="8"/>
  <c r="G264" i="21" s="1"/>
  <c r="H263" i="8"/>
  <c r="H264" i="21" s="1"/>
  <c r="I263" i="8"/>
  <c r="I264" i="21" s="1"/>
  <c r="J263" i="8"/>
  <c r="J264" i="21" s="1"/>
  <c r="K263" i="8"/>
  <c r="K264" i="21" s="1"/>
  <c r="L263" i="8"/>
  <c r="L264" i="21" s="1"/>
  <c r="M263" i="8"/>
  <c r="M264" i="21" s="1"/>
  <c r="N263" i="8"/>
  <c r="N264" i="21" s="1"/>
  <c r="O263" i="8"/>
  <c r="O264" i="21" s="1"/>
  <c r="P263" i="8"/>
  <c r="P264" i="21" s="1"/>
  <c r="Q263" i="8"/>
  <c r="Q264" i="21" s="1"/>
  <c r="R263" i="8"/>
  <c r="R264" i="21" s="1"/>
  <c r="S263" i="8"/>
  <c r="S264" i="21" s="1"/>
  <c r="T263" i="8"/>
  <c r="T264" i="21" s="1"/>
  <c r="U263" i="8"/>
  <c r="U264" i="21" s="1"/>
  <c r="V263" i="8"/>
  <c r="V264" i="21" s="1"/>
  <c r="W263" i="8"/>
  <c r="W264" i="21" s="1"/>
  <c r="X263" i="8"/>
  <c r="X264" i="21" s="1"/>
  <c r="Y263" i="8"/>
  <c r="Y264" i="21" s="1"/>
  <c r="Z263" i="8"/>
  <c r="Z264" i="21" s="1"/>
  <c r="AA263" i="8"/>
  <c r="AA264" i="21" s="1"/>
  <c r="AB263" i="8"/>
  <c r="AB264" i="21" s="1"/>
  <c r="AC263" i="8"/>
  <c r="AC264" i="21" s="1"/>
  <c r="AD263" i="8"/>
  <c r="AD264" i="21" s="1"/>
  <c r="AE263" i="8"/>
  <c r="AF263" i="8"/>
  <c r="AF264" i="21" s="1"/>
  <c r="AG263" i="8"/>
  <c r="A264" i="8"/>
  <c r="B264" i="8"/>
  <c r="C264" i="8"/>
  <c r="D264" i="8"/>
  <c r="E264" i="8"/>
  <c r="F264" i="8"/>
  <c r="F265" i="21" s="1"/>
  <c r="G264" i="8"/>
  <c r="G265" i="21" s="1"/>
  <c r="H264" i="8"/>
  <c r="H265" i="21" s="1"/>
  <c r="I264" i="8"/>
  <c r="I265" i="21" s="1"/>
  <c r="J264" i="8"/>
  <c r="J265" i="21" s="1"/>
  <c r="K264" i="8"/>
  <c r="K265" i="21" s="1"/>
  <c r="L264" i="8"/>
  <c r="L265" i="21" s="1"/>
  <c r="M264" i="8"/>
  <c r="M265" i="21" s="1"/>
  <c r="N264" i="8"/>
  <c r="N265" i="21" s="1"/>
  <c r="O264" i="8"/>
  <c r="O265" i="21" s="1"/>
  <c r="P264" i="8"/>
  <c r="P265" i="21" s="1"/>
  <c r="Q264" i="8"/>
  <c r="Q265" i="21" s="1"/>
  <c r="R264" i="8"/>
  <c r="R265" i="21" s="1"/>
  <c r="S264" i="8"/>
  <c r="S265" i="21" s="1"/>
  <c r="T264" i="8"/>
  <c r="T265" i="21" s="1"/>
  <c r="U264" i="8"/>
  <c r="U265" i="21" s="1"/>
  <c r="V264" i="8"/>
  <c r="V265" i="21" s="1"/>
  <c r="W264" i="8"/>
  <c r="W265" i="21" s="1"/>
  <c r="X264" i="8"/>
  <c r="X265" i="21" s="1"/>
  <c r="Y264" i="8"/>
  <c r="Y265" i="21" s="1"/>
  <c r="Z264" i="8"/>
  <c r="Z265" i="21" s="1"/>
  <c r="AA264" i="8"/>
  <c r="AA265" i="21" s="1"/>
  <c r="AB264" i="8"/>
  <c r="AB265" i="21" s="1"/>
  <c r="AC264" i="8"/>
  <c r="AC265" i="21" s="1"/>
  <c r="AD264" i="8"/>
  <c r="AD265" i="21" s="1"/>
  <c r="AE264" i="8"/>
  <c r="AE265" i="21" s="1"/>
  <c r="AF264" i="8"/>
  <c r="AF265" i="21" s="1"/>
  <c r="AG264" i="8"/>
  <c r="A265" i="8"/>
  <c r="B265" i="8"/>
  <c r="C265" i="8"/>
  <c r="D265" i="8"/>
  <c r="E265" i="8"/>
  <c r="F265" i="8"/>
  <c r="F266" i="21" s="1"/>
  <c r="G265" i="8"/>
  <c r="G266" i="21" s="1"/>
  <c r="H265" i="8"/>
  <c r="H266" i="21" s="1"/>
  <c r="I265" i="8"/>
  <c r="I266" i="21" s="1"/>
  <c r="J265" i="8"/>
  <c r="J266" i="21" s="1"/>
  <c r="K265" i="8"/>
  <c r="K266" i="21" s="1"/>
  <c r="L265" i="8"/>
  <c r="L266" i="21" s="1"/>
  <c r="M265" i="8"/>
  <c r="M266" i="21" s="1"/>
  <c r="N265" i="8"/>
  <c r="N266" i="21" s="1"/>
  <c r="O265" i="8"/>
  <c r="O266" i="21" s="1"/>
  <c r="P265" i="8"/>
  <c r="P266" i="21" s="1"/>
  <c r="Q265" i="8"/>
  <c r="Q266" i="21" s="1"/>
  <c r="R265" i="8"/>
  <c r="R266" i="21" s="1"/>
  <c r="S265" i="8"/>
  <c r="S266" i="21" s="1"/>
  <c r="T265" i="8"/>
  <c r="T266" i="21" s="1"/>
  <c r="U265" i="8"/>
  <c r="U266" i="21" s="1"/>
  <c r="V265" i="8"/>
  <c r="V266" i="21" s="1"/>
  <c r="W265" i="8"/>
  <c r="W266" i="21" s="1"/>
  <c r="X265" i="8"/>
  <c r="X266" i="21" s="1"/>
  <c r="Y265" i="8"/>
  <c r="Y266" i="21" s="1"/>
  <c r="Z265" i="8"/>
  <c r="Z266" i="21" s="1"/>
  <c r="AA265" i="8"/>
  <c r="AA266" i="21" s="1"/>
  <c r="AB265" i="8"/>
  <c r="AB266" i="21" s="1"/>
  <c r="AC265" i="8"/>
  <c r="AC266" i="21" s="1"/>
  <c r="AD265" i="8"/>
  <c r="AD266" i="21" s="1"/>
  <c r="AE265" i="8"/>
  <c r="AF265" i="8"/>
  <c r="AF266" i="21" s="1"/>
  <c r="AG265" i="8"/>
  <c r="A266" i="8"/>
  <c r="B266" i="8"/>
  <c r="C266" i="8"/>
  <c r="D266" i="8"/>
  <c r="E266" i="8"/>
  <c r="F266" i="8"/>
  <c r="F267" i="21" s="1"/>
  <c r="G266" i="8"/>
  <c r="G267" i="21" s="1"/>
  <c r="H266" i="8"/>
  <c r="H267" i="21" s="1"/>
  <c r="I266" i="8"/>
  <c r="I267" i="21" s="1"/>
  <c r="J266" i="8"/>
  <c r="J267" i="21" s="1"/>
  <c r="K266" i="8"/>
  <c r="K267" i="21" s="1"/>
  <c r="L266" i="8"/>
  <c r="L267" i="21" s="1"/>
  <c r="M266" i="8"/>
  <c r="M267" i="21" s="1"/>
  <c r="N266" i="8"/>
  <c r="N267" i="21" s="1"/>
  <c r="O266" i="8"/>
  <c r="O267" i="21" s="1"/>
  <c r="P266" i="8"/>
  <c r="P267" i="21" s="1"/>
  <c r="Q266" i="8"/>
  <c r="Q267" i="21" s="1"/>
  <c r="R266" i="8"/>
  <c r="R267" i="21" s="1"/>
  <c r="S266" i="8"/>
  <c r="S267" i="21" s="1"/>
  <c r="T266" i="8"/>
  <c r="T267" i="21" s="1"/>
  <c r="U266" i="8"/>
  <c r="U267" i="21" s="1"/>
  <c r="V266" i="8"/>
  <c r="V267" i="21" s="1"/>
  <c r="W266" i="8"/>
  <c r="W267" i="21" s="1"/>
  <c r="X266" i="8"/>
  <c r="X267" i="21" s="1"/>
  <c r="Y266" i="8"/>
  <c r="Y267" i="21" s="1"/>
  <c r="Z266" i="8"/>
  <c r="Z267" i="21" s="1"/>
  <c r="AA266" i="8"/>
  <c r="AA267" i="21" s="1"/>
  <c r="AB266" i="8"/>
  <c r="AB267" i="21" s="1"/>
  <c r="AC266" i="8"/>
  <c r="AC267" i="21" s="1"/>
  <c r="AD266" i="8"/>
  <c r="AD267" i="21" s="1"/>
  <c r="AE266" i="8"/>
  <c r="AE267" i="21" s="1"/>
  <c r="AF266" i="8"/>
  <c r="AF267" i="21" s="1"/>
  <c r="AG266" i="8"/>
  <c r="A267" i="8"/>
  <c r="B267" i="8"/>
  <c r="C267" i="8"/>
  <c r="D267" i="8"/>
  <c r="E267" i="8"/>
  <c r="F267" i="8"/>
  <c r="F268" i="21" s="1"/>
  <c r="G267" i="8"/>
  <c r="G268" i="21" s="1"/>
  <c r="H267" i="8"/>
  <c r="H268" i="21" s="1"/>
  <c r="I267" i="8"/>
  <c r="I268" i="21" s="1"/>
  <c r="J267" i="8"/>
  <c r="J268" i="21" s="1"/>
  <c r="K267" i="8"/>
  <c r="K268" i="21" s="1"/>
  <c r="L267" i="8"/>
  <c r="L268" i="21" s="1"/>
  <c r="M267" i="8"/>
  <c r="M268" i="21" s="1"/>
  <c r="N267" i="8"/>
  <c r="N268" i="21" s="1"/>
  <c r="O267" i="8"/>
  <c r="O268" i="21" s="1"/>
  <c r="P267" i="8"/>
  <c r="P268" i="21" s="1"/>
  <c r="Q267" i="8"/>
  <c r="Q268" i="21" s="1"/>
  <c r="R267" i="8"/>
  <c r="R268" i="21" s="1"/>
  <c r="S267" i="8"/>
  <c r="S268" i="21" s="1"/>
  <c r="T267" i="8"/>
  <c r="T268" i="21" s="1"/>
  <c r="U267" i="8"/>
  <c r="U268" i="21" s="1"/>
  <c r="V267" i="8"/>
  <c r="V268" i="21" s="1"/>
  <c r="W267" i="8"/>
  <c r="W268" i="21" s="1"/>
  <c r="X267" i="8"/>
  <c r="X268" i="21" s="1"/>
  <c r="Y267" i="8"/>
  <c r="Y268" i="21" s="1"/>
  <c r="Z267" i="8"/>
  <c r="Z268" i="21" s="1"/>
  <c r="AA267" i="8"/>
  <c r="AA268" i="21" s="1"/>
  <c r="AB267" i="8"/>
  <c r="AB268" i="21" s="1"/>
  <c r="AC267" i="8"/>
  <c r="AC268" i="21" s="1"/>
  <c r="AD267" i="8"/>
  <c r="AD268" i="21" s="1"/>
  <c r="AE267" i="8"/>
  <c r="AF267" i="8"/>
  <c r="AG267" i="8"/>
  <c r="AG268" i="9" s="1"/>
  <c r="A268" i="8"/>
  <c r="B268" i="8"/>
  <c r="C268" i="8"/>
  <c r="D268" i="8"/>
  <c r="E268" i="8"/>
  <c r="F268" i="8"/>
  <c r="F269" i="21" s="1"/>
  <c r="G268" i="8"/>
  <c r="G269" i="21" s="1"/>
  <c r="H268" i="8"/>
  <c r="H269" i="21" s="1"/>
  <c r="I268" i="8"/>
  <c r="I269" i="21" s="1"/>
  <c r="J268" i="8"/>
  <c r="J269" i="21" s="1"/>
  <c r="K268" i="8"/>
  <c r="K269" i="21" s="1"/>
  <c r="L268" i="8"/>
  <c r="L269" i="21" s="1"/>
  <c r="M268" i="8"/>
  <c r="M269" i="21" s="1"/>
  <c r="N268" i="8"/>
  <c r="N269" i="21" s="1"/>
  <c r="O268" i="8"/>
  <c r="O269" i="21" s="1"/>
  <c r="P268" i="8"/>
  <c r="P269" i="21" s="1"/>
  <c r="Q268" i="8"/>
  <c r="Q269" i="21" s="1"/>
  <c r="R268" i="8"/>
  <c r="R269" i="21" s="1"/>
  <c r="S268" i="8"/>
  <c r="S269" i="21" s="1"/>
  <c r="T268" i="8"/>
  <c r="T269" i="21" s="1"/>
  <c r="U268" i="8"/>
  <c r="U269" i="21" s="1"/>
  <c r="V268" i="8"/>
  <c r="V269" i="21" s="1"/>
  <c r="W268" i="8"/>
  <c r="W269" i="21" s="1"/>
  <c r="X268" i="8"/>
  <c r="X269" i="21" s="1"/>
  <c r="Y268" i="8"/>
  <c r="Y269" i="21" s="1"/>
  <c r="Z268" i="8"/>
  <c r="Z269" i="21" s="1"/>
  <c r="AA268" i="8"/>
  <c r="AA269" i="21" s="1"/>
  <c r="AB268" i="8"/>
  <c r="AB269" i="21" s="1"/>
  <c r="AC268" i="8"/>
  <c r="AC269" i="21" s="1"/>
  <c r="AD268" i="8"/>
  <c r="AD269" i="21" s="1"/>
  <c r="AE268" i="8"/>
  <c r="AE269" i="21" s="1"/>
  <c r="AF268" i="8"/>
  <c r="AG268" i="8"/>
  <c r="AG269" i="11" s="1"/>
  <c r="A269" i="8"/>
  <c r="B269" i="8"/>
  <c r="C269" i="8"/>
  <c r="D269" i="8"/>
  <c r="E269" i="8"/>
  <c r="F269" i="8"/>
  <c r="F270" i="21" s="1"/>
  <c r="G269" i="8"/>
  <c r="G270" i="21" s="1"/>
  <c r="H269" i="8"/>
  <c r="H270" i="21" s="1"/>
  <c r="I269" i="8"/>
  <c r="I270" i="21" s="1"/>
  <c r="J269" i="8"/>
  <c r="J270" i="21" s="1"/>
  <c r="K269" i="8"/>
  <c r="K270" i="21" s="1"/>
  <c r="L269" i="8"/>
  <c r="L270" i="21" s="1"/>
  <c r="M269" i="8"/>
  <c r="M270" i="21" s="1"/>
  <c r="N269" i="8"/>
  <c r="N270" i="21" s="1"/>
  <c r="O269" i="8"/>
  <c r="O270" i="21" s="1"/>
  <c r="P269" i="8"/>
  <c r="P270" i="21" s="1"/>
  <c r="Q269" i="8"/>
  <c r="Q270" i="21" s="1"/>
  <c r="R269" i="8"/>
  <c r="R270" i="21" s="1"/>
  <c r="S269" i="8"/>
  <c r="S270" i="21" s="1"/>
  <c r="T269" i="8"/>
  <c r="T270" i="21" s="1"/>
  <c r="U269" i="8"/>
  <c r="U270" i="21" s="1"/>
  <c r="V269" i="8"/>
  <c r="V270" i="21" s="1"/>
  <c r="W269" i="8"/>
  <c r="W270" i="21" s="1"/>
  <c r="X269" i="8"/>
  <c r="X270" i="21" s="1"/>
  <c r="Y269" i="8"/>
  <c r="Y270" i="21" s="1"/>
  <c r="Z269" i="8"/>
  <c r="Z270" i="21" s="1"/>
  <c r="AA269" i="8"/>
  <c r="AA270" i="21" s="1"/>
  <c r="AB269" i="8"/>
  <c r="AB270" i="21" s="1"/>
  <c r="AC269" i="8"/>
  <c r="AC270" i="21" s="1"/>
  <c r="AD269" i="8"/>
  <c r="AD270" i="21" s="1"/>
  <c r="AE269" i="8"/>
  <c r="AF269" i="8"/>
  <c r="AG269" i="8"/>
  <c r="A270" i="8"/>
  <c r="B270" i="8"/>
  <c r="C270" i="8"/>
  <c r="D270" i="8"/>
  <c r="E270" i="8"/>
  <c r="F270" i="8"/>
  <c r="F271" i="21" s="1"/>
  <c r="G270" i="8"/>
  <c r="G271" i="21" s="1"/>
  <c r="H270" i="8"/>
  <c r="H271" i="21" s="1"/>
  <c r="I270" i="8"/>
  <c r="I271" i="21" s="1"/>
  <c r="J270" i="8"/>
  <c r="J271" i="21" s="1"/>
  <c r="K270" i="8"/>
  <c r="K271" i="21" s="1"/>
  <c r="L270" i="8"/>
  <c r="L271" i="21" s="1"/>
  <c r="M270" i="8"/>
  <c r="M271" i="21" s="1"/>
  <c r="N270" i="8"/>
  <c r="N271" i="21" s="1"/>
  <c r="O270" i="8"/>
  <c r="O271" i="21" s="1"/>
  <c r="P270" i="8"/>
  <c r="P271" i="21" s="1"/>
  <c r="Q270" i="8"/>
  <c r="Q271" i="21" s="1"/>
  <c r="R270" i="8"/>
  <c r="R271" i="21" s="1"/>
  <c r="S270" i="8"/>
  <c r="S271" i="21" s="1"/>
  <c r="T270" i="8"/>
  <c r="T271" i="21" s="1"/>
  <c r="U270" i="8"/>
  <c r="U271" i="21" s="1"/>
  <c r="V270" i="8"/>
  <c r="V271" i="21" s="1"/>
  <c r="W270" i="8"/>
  <c r="W271" i="21" s="1"/>
  <c r="X270" i="8"/>
  <c r="X271" i="21" s="1"/>
  <c r="Y270" i="8"/>
  <c r="Y271" i="21" s="1"/>
  <c r="Z270" i="8"/>
  <c r="Z271" i="21" s="1"/>
  <c r="AA270" i="8"/>
  <c r="AA271" i="21" s="1"/>
  <c r="AB270" i="8"/>
  <c r="AB271" i="21" s="1"/>
  <c r="AC270" i="8"/>
  <c r="AC271" i="21" s="1"/>
  <c r="AD270" i="8"/>
  <c r="AD271" i="21" s="1"/>
  <c r="AE270" i="8"/>
  <c r="AE271" i="21" s="1"/>
  <c r="AF270" i="8"/>
  <c r="AF271" i="21" s="1"/>
  <c r="AG270" i="8"/>
  <c r="A271" i="8"/>
  <c r="B271" i="8"/>
  <c r="C271" i="8"/>
  <c r="D271" i="8"/>
  <c r="E271" i="8"/>
  <c r="F271" i="8"/>
  <c r="F272" i="21" s="1"/>
  <c r="G271" i="8"/>
  <c r="G272" i="21" s="1"/>
  <c r="H271" i="8"/>
  <c r="H272" i="21" s="1"/>
  <c r="I271" i="8"/>
  <c r="I272" i="21" s="1"/>
  <c r="J271" i="8"/>
  <c r="J272" i="21" s="1"/>
  <c r="K271" i="8"/>
  <c r="K272" i="21" s="1"/>
  <c r="L271" i="8"/>
  <c r="L272" i="21" s="1"/>
  <c r="M271" i="8"/>
  <c r="M272" i="21" s="1"/>
  <c r="N271" i="8"/>
  <c r="N272" i="21" s="1"/>
  <c r="O271" i="8"/>
  <c r="O272" i="21" s="1"/>
  <c r="P271" i="8"/>
  <c r="P272" i="21" s="1"/>
  <c r="Q271" i="8"/>
  <c r="Q272" i="21" s="1"/>
  <c r="R271" i="8"/>
  <c r="R272" i="21" s="1"/>
  <c r="S271" i="8"/>
  <c r="S272" i="21" s="1"/>
  <c r="T271" i="8"/>
  <c r="T272" i="21" s="1"/>
  <c r="U271" i="8"/>
  <c r="U272" i="21" s="1"/>
  <c r="V271" i="8"/>
  <c r="V272" i="21" s="1"/>
  <c r="W271" i="8"/>
  <c r="W272" i="21" s="1"/>
  <c r="X271" i="8"/>
  <c r="X272" i="21" s="1"/>
  <c r="Y271" i="8"/>
  <c r="Y272" i="21" s="1"/>
  <c r="Z271" i="8"/>
  <c r="Z272" i="21" s="1"/>
  <c r="AA271" i="8"/>
  <c r="AA272" i="21" s="1"/>
  <c r="AB271" i="8"/>
  <c r="AB272" i="21" s="1"/>
  <c r="AC271" i="8"/>
  <c r="AC272" i="21" s="1"/>
  <c r="AD271" i="8"/>
  <c r="AD272" i="21" s="1"/>
  <c r="AE271" i="8"/>
  <c r="AF271" i="8"/>
  <c r="AF272" i="21" s="1"/>
  <c r="AG271" i="8"/>
  <c r="A272" i="8"/>
  <c r="B272" i="8"/>
  <c r="C272" i="8"/>
  <c r="D272" i="8"/>
  <c r="E272" i="8"/>
  <c r="F272" i="8"/>
  <c r="F273" i="21" s="1"/>
  <c r="G272" i="8"/>
  <c r="G273" i="21" s="1"/>
  <c r="H272" i="8"/>
  <c r="H273" i="21" s="1"/>
  <c r="I272" i="8"/>
  <c r="I273" i="21" s="1"/>
  <c r="J272" i="8"/>
  <c r="J273" i="21" s="1"/>
  <c r="K272" i="8"/>
  <c r="K273" i="21" s="1"/>
  <c r="L272" i="8"/>
  <c r="L273" i="21" s="1"/>
  <c r="M272" i="8"/>
  <c r="M273" i="21" s="1"/>
  <c r="N272" i="8"/>
  <c r="N273" i="21" s="1"/>
  <c r="O272" i="8"/>
  <c r="O273" i="21" s="1"/>
  <c r="P272" i="8"/>
  <c r="P273" i="21" s="1"/>
  <c r="Q272" i="8"/>
  <c r="Q273" i="21" s="1"/>
  <c r="R272" i="8"/>
  <c r="R273" i="21" s="1"/>
  <c r="S272" i="8"/>
  <c r="S273" i="21" s="1"/>
  <c r="T272" i="8"/>
  <c r="T273" i="21" s="1"/>
  <c r="U272" i="8"/>
  <c r="U273" i="21" s="1"/>
  <c r="V272" i="8"/>
  <c r="V273" i="21" s="1"/>
  <c r="W272" i="8"/>
  <c r="W273" i="21" s="1"/>
  <c r="X272" i="8"/>
  <c r="X273" i="21" s="1"/>
  <c r="Y272" i="8"/>
  <c r="Y273" i="21" s="1"/>
  <c r="Z272" i="8"/>
  <c r="Z273" i="21" s="1"/>
  <c r="AA272" i="8"/>
  <c r="AA273" i="21" s="1"/>
  <c r="AB272" i="8"/>
  <c r="AB273" i="21" s="1"/>
  <c r="AC272" i="8"/>
  <c r="AC273" i="21" s="1"/>
  <c r="AD272" i="8"/>
  <c r="AD273" i="21" s="1"/>
  <c r="AE272" i="8"/>
  <c r="AE273" i="21" s="1"/>
  <c r="AF272" i="8"/>
  <c r="AF273" i="21" s="1"/>
  <c r="AG272" i="8"/>
  <c r="A273" i="8"/>
  <c r="B273" i="8"/>
  <c r="C273" i="8"/>
  <c r="D273" i="8"/>
  <c r="E273" i="8"/>
  <c r="F273" i="8"/>
  <c r="F274" i="21" s="1"/>
  <c r="G273" i="8"/>
  <c r="G274" i="21" s="1"/>
  <c r="H273" i="8"/>
  <c r="H274" i="21" s="1"/>
  <c r="I273" i="8"/>
  <c r="I274" i="21" s="1"/>
  <c r="J273" i="8"/>
  <c r="J274" i="21" s="1"/>
  <c r="K273" i="8"/>
  <c r="K274" i="21" s="1"/>
  <c r="L273" i="8"/>
  <c r="L274" i="21" s="1"/>
  <c r="M273" i="8"/>
  <c r="M274" i="21" s="1"/>
  <c r="N273" i="8"/>
  <c r="N274" i="21" s="1"/>
  <c r="O273" i="8"/>
  <c r="O274" i="21" s="1"/>
  <c r="P273" i="8"/>
  <c r="P274" i="21" s="1"/>
  <c r="Q273" i="8"/>
  <c r="Q274" i="21" s="1"/>
  <c r="R273" i="8"/>
  <c r="R274" i="21" s="1"/>
  <c r="S273" i="8"/>
  <c r="S274" i="21" s="1"/>
  <c r="T273" i="8"/>
  <c r="T274" i="21" s="1"/>
  <c r="U273" i="8"/>
  <c r="U274" i="21" s="1"/>
  <c r="V273" i="8"/>
  <c r="V274" i="21" s="1"/>
  <c r="W273" i="8"/>
  <c r="W274" i="21" s="1"/>
  <c r="X273" i="8"/>
  <c r="X274" i="21" s="1"/>
  <c r="Y273" i="8"/>
  <c r="Y274" i="21" s="1"/>
  <c r="Z273" i="8"/>
  <c r="Z274" i="21" s="1"/>
  <c r="AA273" i="8"/>
  <c r="AA274" i="21" s="1"/>
  <c r="AB273" i="8"/>
  <c r="AB274" i="21" s="1"/>
  <c r="AC273" i="8"/>
  <c r="AC274" i="21" s="1"/>
  <c r="AD273" i="8"/>
  <c r="AD274" i="21" s="1"/>
  <c r="AE273" i="8"/>
  <c r="AF273" i="8"/>
  <c r="AF274" i="21" s="1"/>
  <c r="AG273" i="8"/>
  <c r="A274" i="8"/>
  <c r="B274" i="8"/>
  <c r="C274" i="8"/>
  <c r="D274" i="8"/>
  <c r="E274" i="8"/>
  <c r="F274" i="8"/>
  <c r="F275" i="21" s="1"/>
  <c r="G274" i="8"/>
  <c r="G275" i="21" s="1"/>
  <c r="H274" i="8"/>
  <c r="H275" i="21" s="1"/>
  <c r="I274" i="8"/>
  <c r="I275" i="21" s="1"/>
  <c r="J274" i="8"/>
  <c r="J275" i="21" s="1"/>
  <c r="K274" i="8"/>
  <c r="K275" i="21" s="1"/>
  <c r="L274" i="8"/>
  <c r="L275" i="21" s="1"/>
  <c r="M274" i="8"/>
  <c r="M275" i="21" s="1"/>
  <c r="N274" i="8"/>
  <c r="N275" i="21" s="1"/>
  <c r="O274" i="8"/>
  <c r="O275" i="21" s="1"/>
  <c r="P274" i="8"/>
  <c r="P275" i="21" s="1"/>
  <c r="Q274" i="8"/>
  <c r="Q275" i="21" s="1"/>
  <c r="R274" i="8"/>
  <c r="R275" i="21" s="1"/>
  <c r="S274" i="8"/>
  <c r="S275" i="21" s="1"/>
  <c r="T274" i="8"/>
  <c r="T275" i="21" s="1"/>
  <c r="U274" i="8"/>
  <c r="U275" i="21" s="1"/>
  <c r="V274" i="8"/>
  <c r="V275" i="21" s="1"/>
  <c r="W274" i="8"/>
  <c r="W275" i="21" s="1"/>
  <c r="X274" i="8"/>
  <c r="X275" i="21" s="1"/>
  <c r="Y274" i="8"/>
  <c r="Y275" i="21" s="1"/>
  <c r="Z274" i="8"/>
  <c r="Z275" i="21" s="1"/>
  <c r="AA274" i="8"/>
  <c r="AA275" i="21" s="1"/>
  <c r="AB274" i="8"/>
  <c r="AB275" i="21" s="1"/>
  <c r="AC274" i="8"/>
  <c r="AC275" i="21" s="1"/>
  <c r="AD274" i="8"/>
  <c r="AD275" i="21" s="1"/>
  <c r="AE274" i="8"/>
  <c r="AE275" i="21" s="1"/>
  <c r="AF274" i="8"/>
  <c r="AG274" i="8"/>
  <c r="AG275" i="11" s="1"/>
  <c r="A275" i="8"/>
  <c r="B275" i="8"/>
  <c r="C275" i="8"/>
  <c r="D275" i="8"/>
  <c r="E275" i="8"/>
  <c r="F275" i="8"/>
  <c r="F276" i="21" s="1"/>
  <c r="G275" i="8"/>
  <c r="G276" i="21" s="1"/>
  <c r="H275" i="8"/>
  <c r="H276" i="21" s="1"/>
  <c r="I275" i="8"/>
  <c r="I276" i="21" s="1"/>
  <c r="J275" i="8"/>
  <c r="J276" i="21" s="1"/>
  <c r="K275" i="8"/>
  <c r="K276" i="21" s="1"/>
  <c r="L275" i="8"/>
  <c r="L276" i="21" s="1"/>
  <c r="M275" i="8"/>
  <c r="M276" i="21" s="1"/>
  <c r="N275" i="8"/>
  <c r="N276" i="21" s="1"/>
  <c r="O275" i="8"/>
  <c r="O276" i="21" s="1"/>
  <c r="P275" i="8"/>
  <c r="P276" i="21" s="1"/>
  <c r="Q275" i="8"/>
  <c r="Q276" i="21" s="1"/>
  <c r="R275" i="8"/>
  <c r="R276" i="21" s="1"/>
  <c r="S275" i="8"/>
  <c r="S276" i="21" s="1"/>
  <c r="T275" i="8"/>
  <c r="T276" i="21" s="1"/>
  <c r="U275" i="8"/>
  <c r="U276" i="21" s="1"/>
  <c r="V275" i="8"/>
  <c r="V276" i="21" s="1"/>
  <c r="W275" i="8"/>
  <c r="W276" i="21" s="1"/>
  <c r="X275" i="8"/>
  <c r="X276" i="21" s="1"/>
  <c r="Y275" i="8"/>
  <c r="Y276" i="21" s="1"/>
  <c r="Z275" i="8"/>
  <c r="Z276" i="21" s="1"/>
  <c r="AA275" i="8"/>
  <c r="AA276" i="21" s="1"/>
  <c r="AB275" i="8"/>
  <c r="AB276" i="21" s="1"/>
  <c r="AC275" i="8"/>
  <c r="AC276" i="21" s="1"/>
  <c r="AD275" i="8"/>
  <c r="AD276" i="21" s="1"/>
  <c r="AE275" i="8"/>
  <c r="AF275" i="8"/>
  <c r="AG275" i="8"/>
  <c r="A276" i="8"/>
  <c r="B276" i="8"/>
  <c r="C276" i="8"/>
  <c r="D276" i="8"/>
  <c r="E276" i="8"/>
  <c r="F276" i="8"/>
  <c r="F277" i="21" s="1"/>
  <c r="G276" i="8"/>
  <c r="G277" i="21" s="1"/>
  <c r="H276" i="8"/>
  <c r="H277" i="21" s="1"/>
  <c r="I276" i="8"/>
  <c r="I277" i="21" s="1"/>
  <c r="J276" i="8"/>
  <c r="J277" i="21" s="1"/>
  <c r="K276" i="8"/>
  <c r="K277" i="21" s="1"/>
  <c r="L276" i="8"/>
  <c r="L277" i="21" s="1"/>
  <c r="M276" i="8"/>
  <c r="M277" i="21" s="1"/>
  <c r="N276" i="8"/>
  <c r="N277" i="21" s="1"/>
  <c r="O276" i="8"/>
  <c r="O277" i="21" s="1"/>
  <c r="P276" i="8"/>
  <c r="P277" i="21" s="1"/>
  <c r="Q276" i="8"/>
  <c r="Q277" i="21" s="1"/>
  <c r="R276" i="8"/>
  <c r="R277" i="21" s="1"/>
  <c r="S276" i="8"/>
  <c r="S277" i="21" s="1"/>
  <c r="T276" i="8"/>
  <c r="T277" i="21" s="1"/>
  <c r="U276" i="8"/>
  <c r="U277" i="21" s="1"/>
  <c r="V276" i="8"/>
  <c r="V277" i="21" s="1"/>
  <c r="W276" i="8"/>
  <c r="W277" i="21" s="1"/>
  <c r="X276" i="8"/>
  <c r="X277" i="21" s="1"/>
  <c r="Y276" i="8"/>
  <c r="Y277" i="21" s="1"/>
  <c r="Z276" i="8"/>
  <c r="Z277" i="21" s="1"/>
  <c r="AA276" i="8"/>
  <c r="AA277" i="21" s="1"/>
  <c r="AB276" i="8"/>
  <c r="AB277" i="21" s="1"/>
  <c r="AC276" i="8"/>
  <c r="AC277" i="21" s="1"/>
  <c r="AD276" i="8"/>
  <c r="AD277" i="21" s="1"/>
  <c r="AE276" i="8"/>
  <c r="AE277" i="21" s="1"/>
  <c r="AF276" i="8"/>
  <c r="AG276" i="8"/>
  <c r="AG277" i="11" s="1"/>
  <c r="A277" i="8"/>
  <c r="B277" i="8"/>
  <c r="C277" i="8"/>
  <c r="D277" i="8"/>
  <c r="E277" i="8"/>
  <c r="F277" i="8"/>
  <c r="F278" i="21" s="1"/>
  <c r="G277" i="8"/>
  <c r="G278" i="21" s="1"/>
  <c r="H277" i="8"/>
  <c r="H278" i="21" s="1"/>
  <c r="I277" i="8"/>
  <c r="I278" i="21" s="1"/>
  <c r="J277" i="8"/>
  <c r="J278" i="21" s="1"/>
  <c r="K277" i="8"/>
  <c r="K278" i="21" s="1"/>
  <c r="L277" i="8"/>
  <c r="L278" i="21" s="1"/>
  <c r="M277" i="8"/>
  <c r="M278" i="21" s="1"/>
  <c r="N277" i="8"/>
  <c r="N278" i="21" s="1"/>
  <c r="O277" i="8"/>
  <c r="O278" i="21" s="1"/>
  <c r="P277" i="8"/>
  <c r="P278" i="21" s="1"/>
  <c r="Q277" i="8"/>
  <c r="Q278" i="21" s="1"/>
  <c r="R277" i="8"/>
  <c r="R278" i="21" s="1"/>
  <c r="S277" i="8"/>
  <c r="S278" i="21" s="1"/>
  <c r="T277" i="8"/>
  <c r="T278" i="21" s="1"/>
  <c r="U277" i="8"/>
  <c r="U278" i="21" s="1"/>
  <c r="V277" i="8"/>
  <c r="V278" i="21" s="1"/>
  <c r="W277" i="8"/>
  <c r="W278" i="21" s="1"/>
  <c r="X277" i="8"/>
  <c r="X278" i="21" s="1"/>
  <c r="Y277" i="8"/>
  <c r="Y278" i="21" s="1"/>
  <c r="Z277" i="8"/>
  <c r="Z278" i="21" s="1"/>
  <c r="AA277" i="8"/>
  <c r="AA278" i="21" s="1"/>
  <c r="AB277" i="8"/>
  <c r="AB278" i="21" s="1"/>
  <c r="AC277" i="8"/>
  <c r="AC278" i="21" s="1"/>
  <c r="AD277" i="8"/>
  <c r="AD278" i="21" s="1"/>
  <c r="AE277" i="8"/>
  <c r="AF277" i="8"/>
  <c r="AF278" i="21" s="1"/>
  <c r="AG277" i="8"/>
  <c r="AG278" i="9" s="1"/>
  <c r="A278" i="8"/>
  <c r="B278" i="8"/>
  <c r="C278" i="8"/>
  <c r="D278" i="8"/>
  <c r="E278" i="8"/>
  <c r="F278" i="8"/>
  <c r="F279" i="21" s="1"/>
  <c r="G278" i="8"/>
  <c r="G279" i="21" s="1"/>
  <c r="H278" i="8"/>
  <c r="H279" i="21" s="1"/>
  <c r="I278" i="8"/>
  <c r="I279" i="21" s="1"/>
  <c r="J278" i="8"/>
  <c r="J279" i="21" s="1"/>
  <c r="K278" i="8"/>
  <c r="K279" i="21" s="1"/>
  <c r="L278" i="8"/>
  <c r="L279" i="21" s="1"/>
  <c r="M278" i="8"/>
  <c r="M279" i="21" s="1"/>
  <c r="N278" i="8"/>
  <c r="N279" i="21" s="1"/>
  <c r="O278" i="8"/>
  <c r="O279" i="21" s="1"/>
  <c r="P278" i="8"/>
  <c r="P279" i="21" s="1"/>
  <c r="Q278" i="8"/>
  <c r="Q279" i="21" s="1"/>
  <c r="R278" i="8"/>
  <c r="R279" i="21" s="1"/>
  <c r="S278" i="8"/>
  <c r="S279" i="21" s="1"/>
  <c r="T278" i="8"/>
  <c r="T279" i="21" s="1"/>
  <c r="U278" i="8"/>
  <c r="U279" i="21" s="1"/>
  <c r="V278" i="8"/>
  <c r="V279" i="21" s="1"/>
  <c r="W278" i="8"/>
  <c r="W279" i="21" s="1"/>
  <c r="X278" i="8"/>
  <c r="X279" i="21" s="1"/>
  <c r="Y278" i="8"/>
  <c r="Y279" i="21" s="1"/>
  <c r="Z278" i="8"/>
  <c r="Z279" i="21" s="1"/>
  <c r="AA278" i="8"/>
  <c r="AA279" i="21" s="1"/>
  <c r="AB278" i="8"/>
  <c r="AB279" i="21" s="1"/>
  <c r="AC278" i="8"/>
  <c r="AC279" i="21" s="1"/>
  <c r="AD278" i="8"/>
  <c r="AD279" i="21" s="1"/>
  <c r="AE278" i="8"/>
  <c r="AE279" i="21" s="1"/>
  <c r="AF278" i="8"/>
  <c r="AF279" i="21" s="1"/>
  <c r="AG278" i="8"/>
  <c r="A279" i="8"/>
  <c r="B279" i="8"/>
  <c r="C279" i="8"/>
  <c r="D279" i="8"/>
  <c r="E279" i="8"/>
  <c r="F279" i="8"/>
  <c r="F280" i="21" s="1"/>
  <c r="G279" i="8"/>
  <c r="G280" i="21" s="1"/>
  <c r="H279" i="8"/>
  <c r="H280" i="21" s="1"/>
  <c r="I279" i="8"/>
  <c r="I280" i="21" s="1"/>
  <c r="J279" i="8"/>
  <c r="J280" i="21" s="1"/>
  <c r="K279" i="8"/>
  <c r="K280" i="21" s="1"/>
  <c r="L279" i="8"/>
  <c r="L280" i="21" s="1"/>
  <c r="M279" i="8"/>
  <c r="M280" i="21" s="1"/>
  <c r="N279" i="8"/>
  <c r="N280" i="21" s="1"/>
  <c r="O279" i="8"/>
  <c r="O280" i="21" s="1"/>
  <c r="P279" i="8"/>
  <c r="P280" i="21" s="1"/>
  <c r="Q279" i="8"/>
  <c r="Q280" i="21" s="1"/>
  <c r="R279" i="8"/>
  <c r="R280" i="21" s="1"/>
  <c r="S279" i="8"/>
  <c r="S280" i="21" s="1"/>
  <c r="T279" i="8"/>
  <c r="T280" i="21" s="1"/>
  <c r="U279" i="8"/>
  <c r="U280" i="21" s="1"/>
  <c r="V279" i="8"/>
  <c r="V280" i="21" s="1"/>
  <c r="W279" i="8"/>
  <c r="W280" i="21" s="1"/>
  <c r="X279" i="8"/>
  <c r="X280" i="21" s="1"/>
  <c r="Y279" i="8"/>
  <c r="Y280" i="21" s="1"/>
  <c r="Z279" i="8"/>
  <c r="Z280" i="21" s="1"/>
  <c r="AA279" i="8"/>
  <c r="AA280" i="21" s="1"/>
  <c r="AB279" i="8"/>
  <c r="AB280" i="21" s="1"/>
  <c r="AC279" i="8"/>
  <c r="AC280" i="21" s="1"/>
  <c r="AD279" i="8"/>
  <c r="AD280" i="21" s="1"/>
  <c r="AE279" i="8"/>
  <c r="AF279" i="8"/>
  <c r="AF280" i="21" s="1"/>
  <c r="AG279" i="8"/>
  <c r="A280" i="8"/>
  <c r="B280" i="8"/>
  <c r="C280" i="8"/>
  <c r="D280" i="8"/>
  <c r="E280" i="8"/>
  <c r="F280" i="8"/>
  <c r="F281" i="21" s="1"/>
  <c r="G280" i="8"/>
  <c r="G281" i="21" s="1"/>
  <c r="H280" i="8"/>
  <c r="H281" i="21" s="1"/>
  <c r="I280" i="8"/>
  <c r="I281" i="21" s="1"/>
  <c r="J280" i="8"/>
  <c r="J281" i="21" s="1"/>
  <c r="K280" i="8"/>
  <c r="K281" i="21" s="1"/>
  <c r="L280" i="8"/>
  <c r="L281" i="21" s="1"/>
  <c r="M280" i="8"/>
  <c r="M281" i="21" s="1"/>
  <c r="N280" i="8"/>
  <c r="N281" i="21" s="1"/>
  <c r="O280" i="8"/>
  <c r="O281" i="21" s="1"/>
  <c r="P280" i="8"/>
  <c r="P281" i="21" s="1"/>
  <c r="Q280" i="8"/>
  <c r="Q281" i="21" s="1"/>
  <c r="R280" i="8"/>
  <c r="R281" i="21" s="1"/>
  <c r="S280" i="8"/>
  <c r="S281" i="21" s="1"/>
  <c r="T280" i="8"/>
  <c r="T281" i="21" s="1"/>
  <c r="U280" i="8"/>
  <c r="U281" i="21" s="1"/>
  <c r="V280" i="8"/>
  <c r="V281" i="21" s="1"/>
  <c r="W280" i="8"/>
  <c r="W281" i="21" s="1"/>
  <c r="X280" i="8"/>
  <c r="X281" i="21" s="1"/>
  <c r="Y280" i="8"/>
  <c r="Y281" i="21" s="1"/>
  <c r="Z280" i="8"/>
  <c r="Z281" i="21" s="1"/>
  <c r="AA280" i="8"/>
  <c r="AA281" i="21" s="1"/>
  <c r="AB280" i="8"/>
  <c r="AB281" i="21" s="1"/>
  <c r="AC280" i="8"/>
  <c r="AC281" i="21" s="1"/>
  <c r="AD280" i="8"/>
  <c r="AD281" i="21" s="1"/>
  <c r="AE280" i="8"/>
  <c r="AE281" i="21" s="1"/>
  <c r="AF280" i="8"/>
  <c r="AF281" i="21" s="1"/>
  <c r="AG280" i="8"/>
  <c r="A281" i="8"/>
  <c r="B281" i="8"/>
  <c r="C281" i="8"/>
  <c r="D281" i="8"/>
  <c r="E281" i="8"/>
  <c r="F281" i="8"/>
  <c r="F282" i="21" s="1"/>
  <c r="G281" i="8"/>
  <c r="G282" i="21" s="1"/>
  <c r="H281" i="8"/>
  <c r="H282" i="21" s="1"/>
  <c r="I281" i="8"/>
  <c r="I282" i="21" s="1"/>
  <c r="J281" i="8"/>
  <c r="J282" i="21" s="1"/>
  <c r="K281" i="8"/>
  <c r="K282" i="21" s="1"/>
  <c r="L281" i="8"/>
  <c r="L282" i="21" s="1"/>
  <c r="M281" i="8"/>
  <c r="M282" i="21" s="1"/>
  <c r="N281" i="8"/>
  <c r="N282" i="21" s="1"/>
  <c r="O281" i="8"/>
  <c r="O282" i="21" s="1"/>
  <c r="P281" i="8"/>
  <c r="P282" i="21" s="1"/>
  <c r="Q281" i="8"/>
  <c r="Q282" i="21" s="1"/>
  <c r="R281" i="8"/>
  <c r="R282" i="21" s="1"/>
  <c r="S281" i="8"/>
  <c r="S282" i="21" s="1"/>
  <c r="T281" i="8"/>
  <c r="T282" i="21" s="1"/>
  <c r="U281" i="8"/>
  <c r="U282" i="21" s="1"/>
  <c r="V281" i="8"/>
  <c r="V282" i="21" s="1"/>
  <c r="W281" i="8"/>
  <c r="W282" i="21" s="1"/>
  <c r="X281" i="8"/>
  <c r="X282" i="21" s="1"/>
  <c r="Y281" i="8"/>
  <c r="Y282" i="21" s="1"/>
  <c r="Z281" i="8"/>
  <c r="Z282" i="21" s="1"/>
  <c r="AA281" i="8"/>
  <c r="AA282" i="21" s="1"/>
  <c r="AB281" i="8"/>
  <c r="AB282" i="21" s="1"/>
  <c r="AC281" i="8"/>
  <c r="AC282" i="21" s="1"/>
  <c r="AD281" i="8"/>
  <c r="AD282" i="21" s="1"/>
  <c r="AE281" i="8"/>
  <c r="AF281" i="8"/>
  <c r="AF282" i="21" s="1"/>
  <c r="AG281" i="8"/>
  <c r="A282" i="8"/>
  <c r="B282" i="8"/>
  <c r="C282" i="8"/>
  <c r="D282" i="8"/>
  <c r="E282" i="8"/>
  <c r="F282" i="8"/>
  <c r="F283" i="21" s="1"/>
  <c r="G282" i="8"/>
  <c r="G283" i="21" s="1"/>
  <c r="H282" i="8"/>
  <c r="H283" i="21" s="1"/>
  <c r="I282" i="8"/>
  <c r="I283" i="21" s="1"/>
  <c r="J282" i="8"/>
  <c r="J283" i="21" s="1"/>
  <c r="K282" i="8"/>
  <c r="K283" i="21" s="1"/>
  <c r="L282" i="8"/>
  <c r="L283" i="21" s="1"/>
  <c r="M282" i="8"/>
  <c r="M283" i="21" s="1"/>
  <c r="N282" i="8"/>
  <c r="N283" i="21" s="1"/>
  <c r="O282" i="8"/>
  <c r="O283" i="21" s="1"/>
  <c r="P282" i="8"/>
  <c r="P283" i="21" s="1"/>
  <c r="Q282" i="8"/>
  <c r="Q283" i="21" s="1"/>
  <c r="R282" i="8"/>
  <c r="R283" i="21" s="1"/>
  <c r="S282" i="8"/>
  <c r="S283" i="21" s="1"/>
  <c r="T282" i="8"/>
  <c r="T283" i="21" s="1"/>
  <c r="U282" i="8"/>
  <c r="U283" i="21" s="1"/>
  <c r="V282" i="8"/>
  <c r="V283" i="21" s="1"/>
  <c r="W282" i="8"/>
  <c r="W283" i="21" s="1"/>
  <c r="X282" i="8"/>
  <c r="X283" i="21" s="1"/>
  <c r="Y282" i="8"/>
  <c r="Y283" i="21" s="1"/>
  <c r="Z282" i="8"/>
  <c r="Z283" i="21" s="1"/>
  <c r="AA282" i="8"/>
  <c r="AA283" i="21" s="1"/>
  <c r="AB282" i="8"/>
  <c r="AB283" i="21" s="1"/>
  <c r="AC282" i="8"/>
  <c r="AC283" i="21" s="1"/>
  <c r="AD282" i="8"/>
  <c r="AD283" i="21" s="1"/>
  <c r="AE282" i="8"/>
  <c r="AE283" i="21" s="1"/>
  <c r="AF282" i="8"/>
  <c r="AF283" i="21" s="1"/>
  <c r="AG282" i="8"/>
  <c r="A283" i="8"/>
  <c r="B283" i="8"/>
  <c r="C283" i="8"/>
  <c r="D283" i="8"/>
  <c r="E283" i="8"/>
  <c r="F283" i="8"/>
  <c r="F284" i="21" s="1"/>
  <c r="G283" i="8"/>
  <c r="G284" i="21" s="1"/>
  <c r="H283" i="8"/>
  <c r="H284" i="21" s="1"/>
  <c r="I283" i="8"/>
  <c r="I284" i="21" s="1"/>
  <c r="J283" i="8"/>
  <c r="J284" i="21" s="1"/>
  <c r="K283" i="8"/>
  <c r="K284" i="21" s="1"/>
  <c r="L283" i="8"/>
  <c r="L284" i="21" s="1"/>
  <c r="M283" i="8"/>
  <c r="M284" i="21" s="1"/>
  <c r="N283" i="8"/>
  <c r="N284" i="21" s="1"/>
  <c r="O283" i="8"/>
  <c r="O284" i="21" s="1"/>
  <c r="P283" i="8"/>
  <c r="P284" i="21" s="1"/>
  <c r="Q283" i="8"/>
  <c r="Q284" i="21" s="1"/>
  <c r="R283" i="8"/>
  <c r="R284" i="21" s="1"/>
  <c r="S283" i="8"/>
  <c r="S284" i="21" s="1"/>
  <c r="T283" i="8"/>
  <c r="T284" i="21" s="1"/>
  <c r="U283" i="8"/>
  <c r="U284" i="21" s="1"/>
  <c r="V283" i="8"/>
  <c r="V284" i="21" s="1"/>
  <c r="W283" i="8"/>
  <c r="W284" i="21" s="1"/>
  <c r="X283" i="8"/>
  <c r="X284" i="21" s="1"/>
  <c r="Y283" i="8"/>
  <c r="Y284" i="21" s="1"/>
  <c r="Z283" i="8"/>
  <c r="Z284" i="21" s="1"/>
  <c r="AA283" i="8"/>
  <c r="AA284" i="21" s="1"/>
  <c r="AB283" i="8"/>
  <c r="AB284" i="21" s="1"/>
  <c r="AC283" i="8"/>
  <c r="AC284" i="21" s="1"/>
  <c r="AD283" i="8"/>
  <c r="AD284" i="21" s="1"/>
  <c r="AE283" i="8"/>
  <c r="AF283" i="8"/>
  <c r="AG283" i="8"/>
  <c r="AG284" i="9" s="1"/>
  <c r="A284" i="8"/>
  <c r="B284" i="8"/>
  <c r="C284" i="8"/>
  <c r="D284" i="8"/>
  <c r="E284" i="8"/>
  <c r="F284" i="8"/>
  <c r="F285" i="21" s="1"/>
  <c r="G284" i="8"/>
  <c r="G285" i="21" s="1"/>
  <c r="H284" i="8"/>
  <c r="H285" i="21" s="1"/>
  <c r="I284" i="8"/>
  <c r="I285" i="21" s="1"/>
  <c r="J284" i="8"/>
  <c r="J285" i="21" s="1"/>
  <c r="K284" i="8"/>
  <c r="K285" i="21" s="1"/>
  <c r="L284" i="8"/>
  <c r="L285" i="21" s="1"/>
  <c r="M284" i="8"/>
  <c r="M285" i="21" s="1"/>
  <c r="N284" i="8"/>
  <c r="N285" i="21" s="1"/>
  <c r="O284" i="8"/>
  <c r="O285" i="21" s="1"/>
  <c r="P284" i="8"/>
  <c r="P285" i="21" s="1"/>
  <c r="Q284" i="8"/>
  <c r="Q285" i="21" s="1"/>
  <c r="R284" i="8"/>
  <c r="R285" i="21" s="1"/>
  <c r="S284" i="8"/>
  <c r="S285" i="21" s="1"/>
  <c r="T284" i="8"/>
  <c r="T285" i="21" s="1"/>
  <c r="U284" i="8"/>
  <c r="U285" i="21" s="1"/>
  <c r="V284" i="8"/>
  <c r="V285" i="21" s="1"/>
  <c r="W284" i="8"/>
  <c r="W285" i="21" s="1"/>
  <c r="X284" i="8"/>
  <c r="X285" i="21" s="1"/>
  <c r="Y284" i="8"/>
  <c r="Y285" i="21" s="1"/>
  <c r="Z284" i="8"/>
  <c r="Z285" i="21" s="1"/>
  <c r="AA284" i="8"/>
  <c r="AA285" i="21" s="1"/>
  <c r="AB284" i="8"/>
  <c r="AB285" i="21" s="1"/>
  <c r="AC284" i="8"/>
  <c r="AC285" i="21" s="1"/>
  <c r="AD284" i="8"/>
  <c r="AD285" i="21" s="1"/>
  <c r="AE284" i="8"/>
  <c r="AE285" i="21" s="1"/>
  <c r="AF284" i="8"/>
  <c r="AF285" i="21" s="1"/>
  <c r="AG284" i="8"/>
  <c r="A285" i="8"/>
  <c r="B285" i="8"/>
  <c r="C285" i="8"/>
  <c r="D285" i="8"/>
  <c r="E285" i="8"/>
  <c r="F285" i="8"/>
  <c r="F286" i="21" s="1"/>
  <c r="G285" i="8"/>
  <c r="G286" i="21" s="1"/>
  <c r="H285" i="8"/>
  <c r="H286" i="21" s="1"/>
  <c r="I285" i="8"/>
  <c r="I286" i="21" s="1"/>
  <c r="J285" i="8"/>
  <c r="J286" i="21" s="1"/>
  <c r="K285" i="8"/>
  <c r="K286" i="21" s="1"/>
  <c r="L285" i="8"/>
  <c r="L286" i="21" s="1"/>
  <c r="M285" i="8"/>
  <c r="M286" i="21" s="1"/>
  <c r="N285" i="8"/>
  <c r="N286" i="21" s="1"/>
  <c r="O285" i="8"/>
  <c r="O286" i="21" s="1"/>
  <c r="P285" i="8"/>
  <c r="P286" i="21" s="1"/>
  <c r="Q285" i="8"/>
  <c r="Q286" i="21" s="1"/>
  <c r="R285" i="8"/>
  <c r="R286" i="21" s="1"/>
  <c r="S285" i="8"/>
  <c r="S286" i="21" s="1"/>
  <c r="T285" i="8"/>
  <c r="T286" i="21" s="1"/>
  <c r="U285" i="8"/>
  <c r="U286" i="21" s="1"/>
  <c r="V285" i="8"/>
  <c r="V286" i="21" s="1"/>
  <c r="W285" i="8"/>
  <c r="W286" i="21" s="1"/>
  <c r="X285" i="8"/>
  <c r="X286" i="21" s="1"/>
  <c r="Y285" i="8"/>
  <c r="Y286" i="21" s="1"/>
  <c r="Z285" i="8"/>
  <c r="Z286" i="21" s="1"/>
  <c r="AA285" i="8"/>
  <c r="AA286" i="21" s="1"/>
  <c r="AB285" i="8"/>
  <c r="AB286" i="21" s="1"/>
  <c r="AC285" i="8"/>
  <c r="AC286" i="21" s="1"/>
  <c r="AD285" i="8"/>
  <c r="AD286" i="21" s="1"/>
  <c r="AE285" i="8"/>
  <c r="AF285" i="8"/>
  <c r="AF286" i="21" s="1"/>
  <c r="AG285" i="8"/>
  <c r="A286" i="8"/>
  <c r="B286" i="8"/>
  <c r="C286" i="8"/>
  <c r="D286" i="8"/>
  <c r="E286" i="8"/>
  <c r="F286" i="8"/>
  <c r="F287" i="21" s="1"/>
  <c r="G286" i="8"/>
  <c r="G287" i="21" s="1"/>
  <c r="H286" i="8"/>
  <c r="H287" i="21" s="1"/>
  <c r="I286" i="8"/>
  <c r="I287" i="21" s="1"/>
  <c r="J286" i="8"/>
  <c r="J287" i="21" s="1"/>
  <c r="K286" i="8"/>
  <c r="K287" i="21" s="1"/>
  <c r="L286" i="8"/>
  <c r="L287" i="21" s="1"/>
  <c r="M286" i="8"/>
  <c r="M287" i="21" s="1"/>
  <c r="N286" i="8"/>
  <c r="N287" i="21" s="1"/>
  <c r="O286" i="8"/>
  <c r="O287" i="21" s="1"/>
  <c r="P286" i="8"/>
  <c r="P287" i="21" s="1"/>
  <c r="Q286" i="8"/>
  <c r="Q287" i="21" s="1"/>
  <c r="R286" i="8"/>
  <c r="R287" i="21" s="1"/>
  <c r="S286" i="8"/>
  <c r="S287" i="21" s="1"/>
  <c r="T286" i="8"/>
  <c r="T287" i="21" s="1"/>
  <c r="U286" i="8"/>
  <c r="U287" i="21" s="1"/>
  <c r="V286" i="8"/>
  <c r="V287" i="21" s="1"/>
  <c r="W286" i="8"/>
  <c r="W287" i="21" s="1"/>
  <c r="X286" i="8"/>
  <c r="X287" i="21" s="1"/>
  <c r="Y286" i="8"/>
  <c r="Y287" i="21" s="1"/>
  <c r="Z286" i="8"/>
  <c r="Z287" i="21" s="1"/>
  <c r="AA286" i="8"/>
  <c r="AA287" i="21" s="1"/>
  <c r="AB286" i="8"/>
  <c r="AB287" i="21" s="1"/>
  <c r="AC286" i="8"/>
  <c r="AC287" i="21" s="1"/>
  <c r="AD286" i="8"/>
  <c r="AD287" i="21" s="1"/>
  <c r="AE286" i="8"/>
  <c r="AE287" i="21" s="1"/>
  <c r="AF286" i="8"/>
  <c r="AF287" i="21" s="1"/>
  <c r="AG286" i="8"/>
  <c r="A287" i="8"/>
  <c r="B287" i="8"/>
  <c r="C287" i="8"/>
  <c r="D287" i="8"/>
  <c r="E287" i="8"/>
  <c r="F287" i="8"/>
  <c r="F288" i="21" s="1"/>
  <c r="G287" i="8"/>
  <c r="G288" i="21" s="1"/>
  <c r="H287" i="8"/>
  <c r="H288" i="21" s="1"/>
  <c r="I287" i="8"/>
  <c r="I288" i="21" s="1"/>
  <c r="J287" i="8"/>
  <c r="J288" i="21" s="1"/>
  <c r="K287" i="8"/>
  <c r="K288" i="21" s="1"/>
  <c r="L287" i="8"/>
  <c r="L288" i="21" s="1"/>
  <c r="M287" i="8"/>
  <c r="M288" i="21" s="1"/>
  <c r="N287" i="8"/>
  <c r="N288" i="21" s="1"/>
  <c r="O287" i="8"/>
  <c r="O288" i="21" s="1"/>
  <c r="P287" i="8"/>
  <c r="P288" i="21" s="1"/>
  <c r="Q287" i="8"/>
  <c r="Q288" i="21" s="1"/>
  <c r="R287" i="8"/>
  <c r="R288" i="21" s="1"/>
  <c r="S287" i="8"/>
  <c r="S288" i="21" s="1"/>
  <c r="T287" i="8"/>
  <c r="T288" i="21" s="1"/>
  <c r="U287" i="8"/>
  <c r="U288" i="21" s="1"/>
  <c r="V287" i="8"/>
  <c r="V288" i="21" s="1"/>
  <c r="W287" i="8"/>
  <c r="W288" i="21" s="1"/>
  <c r="X287" i="8"/>
  <c r="X288" i="21" s="1"/>
  <c r="Y287" i="8"/>
  <c r="Y288" i="21" s="1"/>
  <c r="Z287" i="8"/>
  <c r="Z288" i="21" s="1"/>
  <c r="AA287" i="8"/>
  <c r="AA288" i="21" s="1"/>
  <c r="AB287" i="8"/>
  <c r="AB288" i="21" s="1"/>
  <c r="AC287" i="8"/>
  <c r="AC288" i="21" s="1"/>
  <c r="AD287" i="8"/>
  <c r="AD288" i="21" s="1"/>
  <c r="AE287" i="8"/>
  <c r="AF287" i="8"/>
  <c r="AF288" i="21" s="1"/>
  <c r="AG287" i="8"/>
  <c r="A288" i="8"/>
  <c r="B288" i="8"/>
  <c r="C288" i="8"/>
  <c r="D288" i="8"/>
  <c r="E288" i="8"/>
  <c r="F288" i="8"/>
  <c r="F289" i="21" s="1"/>
  <c r="G288" i="8"/>
  <c r="G289" i="21" s="1"/>
  <c r="H288" i="8"/>
  <c r="H289" i="21" s="1"/>
  <c r="I288" i="8"/>
  <c r="I289" i="21" s="1"/>
  <c r="J288" i="8"/>
  <c r="J289" i="21" s="1"/>
  <c r="K288" i="8"/>
  <c r="K289" i="21" s="1"/>
  <c r="L288" i="8"/>
  <c r="L289" i="21" s="1"/>
  <c r="M288" i="8"/>
  <c r="M289" i="21" s="1"/>
  <c r="N288" i="8"/>
  <c r="N289" i="21" s="1"/>
  <c r="O288" i="8"/>
  <c r="O289" i="21" s="1"/>
  <c r="P288" i="8"/>
  <c r="P289" i="21" s="1"/>
  <c r="Q288" i="8"/>
  <c r="Q289" i="21" s="1"/>
  <c r="R288" i="8"/>
  <c r="R289" i="21" s="1"/>
  <c r="S288" i="8"/>
  <c r="S289" i="21" s="1"/>
  <c r="T288" i="8"/>
  <c r="T289" i="21" s="1"/>
  <c r="U288" i="8"/>
  <c r="U289" i="21" s="1"/>
  <c r="V288" i="8"/>
  <c r="V289" i="21" s="1"/>
  <c r="W288" i="8"/>
  <c r="W289" i="21" s="1"/>
  <c r="X288" i="8"/>
  <c r="X289" i="21" s="1"/>
  <c r="Y288" i="8"/>
  <c r="Y289" i="21" s="1"/>
  <c r="Z288" i="8"/>
  <c r="Z289" i="21" s="1"/>
  <c r="AA288" i="8"/>
  <c r="AA289" i="21" s="1"/>
  <c r="AB288" i="8"/>
  <c r="AB289" i="21" s="1"/>
  <c r="AC288" i="8"/>
  <c r="AC289" i="21" s="1"/>
  <c r="AD288" i="8"/>
  <c r="AD289" i="21" s="1"/>
  <c r="AE288" i="8"/>
  <c r="AE289" i="21" s="1"/>
  <c r="AF288" i="8"/>
  <c r="AF289" i="21" s="1"/>
  <c r="AG288" i="8"/>
  <c r="A289" i="8"/>
  <c r="B289" i="8"/>
  <c r="C289" i="8"/>
  <c r="D289" i="8"/>
  <c r="E289" i="8"/>
  <c r="F289" i="8"/>
  <c r="F290" i="21" s="1"/>
  <c r="G289" i="8"/>
  <c r="G290" i="21" s="1"/>
  <c r="H289" i="8"/>
  <c r="H290" i="21" s="1"/>
  <c r="I289" i="8"/>
  <c r="I290" i="21" s="1"/>
  <c r="J289" i="8"/>
  <c r="J290" i="21" s="1"/>
  <c r="K289" i="8"/>
  <c r="K290" i="21" s="1"/>
  <c r="L289" i="8"/>
  <c r="L290" i="21" s="1"/>
  <c r="M289" i="8"/>
  <c r="M290" i="21" s="1"/>
  <c r="N289" i="8"/>
  <c r="N290" i="21" s="1"/>
  <c r="O289" i="8"/>
  <c r="O290" i="21" s="1"/>
  <c r="P289" i="8"/>
  <c r="P290" i="21" s="1"/>
  <c r="Q289" i="8"/>
  <c r="Q290" i="21" s="1"/>
  <c r="R289" i="8"/>
  <c r="R290" i="21" s="1"/>
  <c r="S289" i="8"/>
  <c r="S290" i="21" s="1"/>
  <c r="T289" i="8"/>
  <c r="T290" i="21" s="1"/>
  <c r="U289" i="8"/>
  <c r="U290" i="21" s="1"/>
  <c r="V289" i="8"/>
  <c r="V290" i="21" s="1"/>
  <c r="W289" i="8"/>
  <c r="W290" i="21" s="1"/>
  <c r="X289" i="8"/>
  <c r="X290" i="21" s="1"/>
  <c r="Y289" i="8"/>
  <c r="Y290" i="21" s="1"/>
  <c r="Z289" i="8"/>
  <c r="Z290" i="21" s="1"/>
  <c r="AA289" i="8"/>
  <c r="AA290" i="21" s="1"/>
  <c r="AB289" i="8"/>
  <c r="AB290" i="21" s="1"/>
  <c r="AC289" i="8"/>
  <c r="AC290" i="21" s="1"/>
  <c r="AD289" i="8"/>
  <c r="AD290" i="21" s="1"/>
  <c r="AE289" i="8"/>
  <c r="AF289" i="8"/>
  <c r="AF290" i="21" s="1"/>
  <c r="AG289" i="8"/>
  <c r="A290" i="8"/>
  <c r="B290" i="8"/>
  <c r="C290" i="8"/>
  <c r="D290" i="8"/>
  <c r="E290" i="8"/>
  <c r="F290" i="8"/>
  <c r="F291" i="21" s="1"/>
  <c r="G290" i="8"/>
  <c r="G291" i="21" s="1"/>
  <c r="H290" i="8"/>
  <c r="H291" i="21" s="1"/>
  <c r="I290" i="8"/>
  <c r="I291" i="21" s="1"/>
  <c r="J290" i="8"/>
  <c r="J291" i="21" s="1"/>
  <c r="K290" i="8"/>
  <c r="K291" i="21" s="1"/>
  <c r="L290" i="8"/>
  <c r="L291" i="21" s="1"/>
  <c r="M290" i="8"/>
  <c r="M291" i="21" s="1"/>
  <c r="N290" i="8"/>
  <c r="N291" i="21" s="1"/>
  <c r="O290" i="8"/>
  <c r="O291" i="21" s="1"/>
  <c r="P290" i="8"/>
  <c r="P291" i="21" s="1"/>
  <c r="Q290" i="8"/>
  <c r="Q291" i="21" s="1"/>
  <c r="R290" i="8"/>
  <c r="R291" i="21" s="1"/>
  <c r="S290" i="8"/>
  <c r="S291" i="21" s="1"/>
  <c r="T290" i="8"/>
  <c r="T291" i="21" s="1"/>
  <c r="U290" i="8"/>
  <c r="U291" i="21" s="1"/>
  <c r="V290" i="8"/>
  <c r="V291" i="21" s="1"/>
  <c r="W290" i="8"/>
  <c r="W291" i="21" s="1"/>
  <c r="X290" i="8"/>
  <c r="X291" i="21" s="1"/>
  <c r="Y290" i="8"/>
  <c r="Y291" i="21" s="1"/>
  <c r="Z290" i="8"/>
  <c r="Z291" i="21" s="1"/>
  <c r="AA290" i="8"/>
  <c r="AA291" i="21" s="1"/>
  <c r="AB290" i="8"/>
  <c r="AB291" i="21" s="1"/>
  <c r="AC290" i="8"/>
  <c r="AC291" i="21" s="1"/>
  <c r="AD290" i="8"/>
  <c r="AD291" i="21" s="1"/>
  <c r="AE290" i="8"/>
  <c r="AE291" i="21" s="1"/>
  <c r="AF290" i="8"/>
  <c r="AF291" i="21" s="1"/>
  <c r="AG290" i="8"/>
  <c r="A291" i="8"/>
  <c r="B291" i="8"/>
  <c r="C291" i="8"/>
  <c r="D291" i="8"/>
  <c r="E291" i="8"/>
  <c r="F291" i="8"/>
  <c r="F292" i="21" s="1"/>
  <c r="G291" i="8"/>
  <c r="G292" i="21" s="1"/>
  <c r="H291" i="8"/>
  <c r="H292" i="21" s="1"/>
  <c r="I291" i="8"/>
  <c r="I292" i="21" s="1"/>
  <c r="J291" i="8"/>
  <c r="J292" i="21" s="1"/>
  <c r="K291" i="8"/>
  <c r="K292" i="21" s="1"/>
  <c r="L291" i="8"/>
  <c r="L292" i="21" s="1"/>
  <c r="M291" i="8"/>
  <c r="M292" i="21" s="1"/>
  <c r="N291" i="8"/>
  <c r="N292" i="21" s="1"/>
  <c r="O291" i="8"/>
  <c r="O292" i="21" s="1"/>
  <c r="P291" i="8"/>
  <c r="P292" i="21" s="1"/>
  <c r="Q291" i="8"/>
  <c r="Q292" i="21" s="1"/>
  <c r="R291" i="8"/>
  <c r="R292" i="21" s="1"/>
  <c r="S291" i="8"/>
  <c r="S292" i="21" s="1"/>
  <c r="T291" i="8"/>
  <c r="T292" i="21" s="1"/>
  <c r="U291" i="8"/>
  <c r="U292" i="21" s="1"/>
  <c r="V291" i="8"/>
  <c r="V292" i="21" s="1"/>
  <c r="W291" i="8"/>
  <c r="W292" i="21" s="1"/>
  <c r="X291" i="8"/>
  <c r="X292" i="21" s="1"/>
  <c r="Y291" i="8"/>
  <c r="Y292" i="21" s="1"/>
  <c r="Z291" i="8"/>
  <c r="Z292" i="21" s="1"/>
  <c r="AA291" i="8"/>
  <c r="AA292" i="21" s="1"/>
  <c r="AB291" i="8"/>
  <c r="AB292" i="21" s="1"/>
  <c r="AC291" i="8"/>
  <c r="AC292" i="21" s="1"/>
  <c r="AD291" i="8"/>
  <c r="AD292" i="21" s="1"/>
  <c r="AE291" i="8"/>
  <c r="AF291" i="8"/>
  <c r="AG291" i="8"/>
  <c r="AG292" i="9" s="1"/>
  <c r="A292" i="8"/>
  <c r="B292" i="8"/>
  <c r="C292" i="8"/>
  <c r="D292" i="8"/>
  <c r="E292" i="8"/>
  <c r="F292" i="8"/>
  <c r="F293" i="21" s="1"/>
  <c r="G292" i="8"/>
  <c r="G293" i="21" s="1"/>
  <c r="H292" i="8"/>
  <c r="H293" i="21" s="1"/>
  <c r="I292" i="8"/>
  <c r="I293" i="21" s="1"/>
  <c r="J292" i="8"/>
  <c r="J293" i="21" s="1"/>
  <c r="K292" i="8"/>
  <c r="K293" i="21" s="1"/>
  <c r="L292" i="8"/>
  <c r="L293" i="21" s="1"/>
  <c r="M292" i="8"/>
  <c r="M293" i="21" s="1"/>
  <c r="N292" i="8"/>
  <c r="N293" i="21" s="1"/>
  <c r="O292" i="8"/>
  <c r="O293" i="21" s="1"/>
  <c r="P292" i="8"/>
  <c r="P293" i="21" s="1"/>
  <c r="Q292" i="8"/>
  <c r="Q293" i="21" s="1"/>
  <c r="R292" i="8"/>
  <c r="R293" i="21" s="1"/>
  <c r="S292" i="8"/>
  <c r="S293" i="21" s="1"/>
  <c r="T292" i="8"/>
  <c r="T293" i="21" s="1"/>
  <c r="U292" i="8"/>
  <c r="U293" i="21" s="1"/>
  <c r="V292" i="8"/>
  <c r="V293" i="21" s="1"/>
  <c r="W292" i="8"/>
  <c r="W293" i="21" s="1"/>
  <c r="X292" i="8"/>
  <c r="X293" i="21" s="1"/>
  <c r="Y292" i="8"/>
  <c r="Y293" i="21" s="1"/>
  <c r="Z292" i="8"/>
  <c r="Z293" i="21" s="1"/>
  <c r="AA292" i="8"/>
  <c r="AA293" i="21" s="1"/>
  <c r="AB292" i="8"/>
  <c r="AB293" i="21" s="1"/>
  <c r="AC292" i="8"/>
  <c r="AC293" i="21" s="1"/>
  <c r="AD292" i="8"/>
  <c r="AD293" i="21" s="1"/>
  <c r="AE292" i="8"/>
  <c r="AE293" i="21" s="1"/>
  <c r="AF292" i="8"/>
  <c r="AG292" i="8"/>
  <c r="AG293" i="10" s="1"/>
  <c r="A293" i="8"/>
  <c r="B293" i="8"/>
  <c r="C293" i="8"/>
  <c r="D293" i="8"/>
  <c r="E293" i="8"/>
  <c r="F293" i="8"/>
  <c r="F294" i="21" s="1"/>
  <c r="G293" i="8"/>
  <c r="G294" i="21" s="1"/>
  <c r="H293" i="8"/>
  <c r="H294" i="21" s="1"/>
  <c r="I293" i="8"/>
  <c r="I294" i="21" s="1"/>
  <c r="J293" i="8"/>
  <c r="J294" i="21" s="1"/>
  <c r="K293" i="8"/>
  <c r="K294" i="21" s="1"/>
  <c r="L293" i="8"/>
  <c r="L294" i="21" s="1"/>
  <c r="M293" i="8"/>
  <c r="M294" i="21" s="1"/>
  <c r="N293" i="8"/>
  <c r="N294" i="21" s="1"/>
  <c r="O293" i="8"/>
  <c r="O294" i="21" s="1"/>
  <c r="P293" i="8"/>
  <c r="P294" i="21" s="1"/>
  <c r="Q293" i="8"/>
  <c r="Q294" i="21" s="1"/>
  <c r="R293" i="8"/>
  <c r="R294" i="21" s="1"/>
  <c r="S293" i="8"/>
  <c r="S294" i="21" s="1"/>
  <c r="T293" i="8"/>
  <c r="T294" i="21" s="1"/>
  <c r="U293" i="8"/>
  <c r="U294" i="21" s="1"/>
  <c r="V293" i="8"/>
  <c r="V294" i="21" s="1"/>
  <c r="W293" i="8"/>
  <c r="W294" i="21" s="1"/>
  <c r="X293" i="8"/>
  <c r="X294" i="21" s="1"/>
  <c r="Y293" i="8"/>
  <c r="Y294" i="21" s="1"/>
  <c r="Z293" i="8"/>
  <c r="Z294" i="21" s="1"/>
  <c r="AA293" i="8"/>
  <c r="AA294" i="21" s="1"/>
  <c r="AB293" i="8"/>
  <c r="AB294" i="21" s="1"/>
  <c r="AC293" i="8"/>
  <c r="AC294" i="21" s="1"/>
  <c r="AD293" i="8"/>
  <c r="AD294" i="21" s="1"/>
  <c r="AE293" i="8"/>
  <c r="AF293" i="8"/>
  <c r="AF294" i="21" s="1"/>
  <c r="AG293" i="8"/>
  <c r="A294" i="8"/>
  <c r="B294" i="8"/>
  <c r="C294" i="8"/>
  <c r="D294" i="8"/>
  <c r="E294" i="8"/>
  <c r="F294" i="8"/>
  <c r="F295" i="21" s="1"/>
  <c r="G294" i="8"/>
  <c r="G295" i="21" s="1"/>
  <c r="H294" i="8"/>
  <c r="H295" i="21" s="1"/>
  <c r="I294" i="8"/>
  <c r="I295" i="21" s="1"/>
  <c r="J294" i="8"/>
  <c r="J295" i="21" s="1"/>
  <c r="K294" i="8"/>
  <c r="K295" i="21" s="1"/>
  <c r="L294" i="8"/>
  <c r="L295" i="21" s="1"/>
  <c r="M294" i="8"/>
  <c r="M295" i="21" s="1"/>
  <c r="N294" i="8"/>
  <c r="N295" i="21" s="1"/>
  <c r="O294" i="8"/>
  <c r="O295" i="21" s="1"/>
  <c r="P294" i="8"/>
  <c r="P295" i="21" s="1"/>
  <c r="Q294" i="8"/>
  <c r="Q295" i="21" s="1"/>
  <c r="R294" i="8"/>
  <c r="R295" i="21" s="1"/>
  <c r="S294" i="8"/>
  <c r="S295" i="21" s="1"/>
  <c r="T294" i="8"/>
  <c r="T295" i="21" s="1"/>
  <c r="U294" i="8"/>
  <c r="U295" i="21" s="1"/>
  <c r="V294" i="8"/>
  <c r="V295" i="21" s="1"/>
  <c r="W294" i="8"/>
  <c r="W295" i="21" s="1"/>
  <c r="X294" i="8"/>
  <c r="X295" i="21" s="1"/>
  <c r="Y294" i="8"/>
  <c r="Y295" i="21" s="1"/>
  <c r="Z294" i="8"/>
  <c r="Z295" i="21" s="1"/>
  <c r="AA294" i="8"/>
  <c r="AA295" i="21" s="1"/>
  <c r="AB294" i="8"/>
  <c r="AB295" i="21" s="1"/>
  <c r="AC294" i="8"/>
  <c r="AC295" i="21" s="1"/>
  <c r="AD294" i="8"/>
  <c r="AD295" i="21" s="1"/>
  <c r="AE294" i="8"/>
  <c r="AE295" i="21" s="1"/>
  <c r="AF294" i="8"/>
  <c r="AF295" i="21" s="1"/>
  <c r="AG294" i="8"/>
  <c r="A295" i="8"/>
  <c r="B295" i="8"/>
  <c r="C295" i="8"/>
  <c r="D295" i="8"/>
  <c r="E295" i="8"/>
  <c r="F295" i="8"/>
  <c r="F296" i="21" s="1"/>
  <c r="G295" i="8"/>
  <c r="G296" i="21" s="1"/>
  <c r="H295" i="8"/>
  <c r="H296" i="21" s="1"/>
  <c r="I295" i="8"/>
  <c r="I296" i="21" s="1"/>
  <c r="J295" i="8"/>
  <c r="J296" i="21" s="1"/>
  <c r="K295" i="8"/>
  <c r="K296" i="21" s="1"/>
  <c r="L295" i="8"/>
  <c r="L296" i="21" s="1"/>
  <c r="M295" i="8"/>
  <c r="M296" i="21" s="1"/>
  <c r="N295" i="8"/>
  <c r="N296" i="21" s="1"/>
  <c r="O295" i="8"/>
  <c r="O296" i="21" s="1"/>
  <c r="P295" i="8"/>
  <c r="P296" i="21" s="1"/>
  <c r="Q295" i="8"/>
  <c r="Q296" i="21" s="1"/>
  <c r="R295" i="8"/>
  <c r="R296" i="21" s="1"/>
  <c r="S295" i="8"/>
  <c r="S296" i="21" s="1"/>
  <c r="T295" i="8"/>
  <c r="T296" i="21" s="1"/>
  <c r="U295" i="8"/>
  <c r="U296" i="21" s="1"/>
  <c r="V295" i="8"/>
  <c r="V296" i="21" s="1"/>
  <c r="W295" i="8"/>
  <c r="W296" i="21" s="1"/>
  <c r="X295" i="8"/>
  <c r="X296" i="21" s="1"/>
  <c r="Y295" i="8"/>
  <c r="Y296" i="21" s="1"/>
  <c r="Z295" i="8"/>
  <c r="Z296" i="21" s="1"/>
  <c r="AA295" i="8"/>
  <c r="AA296" i="21" s="1"/>
  <c r="AB295" i="8"/>
  <c r="AB296" i="21" s="1"/>
  <c r="AC295" i="8"/>
  <c r="AC296" i="21" s="1"/>
  <c r="AD295" i="8"/>
  <c r="AD296" i="21" s="1"/>
  <c r="AE295" i="8"/>
  <c r="AF295" i="8"/>
  <c r="AF296" i="21" s="1"/>
  <c r="AG295" i="8"/>
  <c r="A296" i="8"/>
  <c r="B296" i="8"/>
  <c r="C296" i="8"/>
  <c r="D296" i="8"/>
  <c r="E296" i="8"/>
  <c r="F296" i="8"/>
  <c r="F297" i="21" s="1"/>
  <c r="G296" i="8"/>
  <c r="G297" i="21" s="1"/>
  <c r="H296" i="8"/>
  <c r="H297" i="21" s="1"/>
  <c r="I296" i="8"/>
  <c r="I297" i="21" s="1"/>
  <c r="J296" i="8"/>
  <c r="J297" i="21" s="1"/>
  <c r="K296" i="8"/>
  <c r="K297" i="21" s="1"/>
  <c r="L296" i="8"/>
  <c r="L297" i="21" s="1"/>
  <c r="M296" i="8"/>
  <c r="M297" i="21" s="1"/>
  <c r="N296" i="8"/>
  <c r="N297" i="21" s="1"/>
  <c r="O296" i="8"/>
  <c r="O297" i="21" s="1"/>
  <c r="P296" i="8"/>
  <c r="P297" i="21" s="1"/>
  <c r="Q296" i="8"/>
  <c r="Q297" i="21" s="1"/>
  <c r="R296" i="8"/>
  <c r="R297" i="21" s="1"/>
  <c r="S296" i="8"/>
  <c r="S297" i="21" s="1"/>
  <c r="T296" i="8"/>
  <c r="T297" i="21" s="1"/>
  <c r="U296" i="8"/>
  <c r="U297" i="21" s="1"/>
  <c r="V296" i="8"/>
  <c r="V297" i="21" s="1"/>
  <c r="W296" i="8"/>
  <c r="W297" i="21" s="1"/>
  <c r="X296" i="8"/>
  <c r="X297" i="21" s="1"/>
  <c r="Y296" i="8"/>
  <c r="Y297" i="21" s="1"/>
  <c r="Z296" i="8"/>
  <c r="Z297" i="21" s="1"/>
  <c r="AA296" i="8"/>
  <c r="AA297" i="21" s="1"/>
  <c r="AB296" i="8"/>
  <c r="AB297" i="21" s="1"/>
  <c r="AC296" i="8"/>
  <c r="AC297" i="21" s="1"/>
  <c r="AD296" i="8"/>
  <c r="AD297" i="21" s="1"/>
  <c r="AE296" i="8"/>
  <c r="AE297" i="21" s="1"/>
  <c r="AF296" i="8"/>
  <c r="AF297" i="21" s="1"/>
  <c r="AG296" i="8"/>
  <c r="A297" i="8"/>
  <c r="B297" i="8"/>
  <c r="C297" i="8"/>
  <c r="D297" i="8"/>
  <c r="E297" i="8"/>
  <c r="F297" i="8"/>
  <c r="F298" i="21" s="1"/>
  <c r="G297" i="8"/>
  <c r="G298" i="21" s="1"/>
  <c r="H297" i="8"/>
  <c r="H298" i="21" s="1"/>
  <c r="I297" i="8"/>
  <c r="I298" i="21" s="1"/>
  <c r="J297" i="8"/>
  <c r="J298" i="21" s="1"/>
  <c r="K297" i="8"/>
  <c r="K298" i="21" s="1"/>
  <c r="L297" i="8"/>
  <c r="L298" i="21" s="1"/>
  <c r="M297" i="8"/>
  <c r="M298" i="21" s="1"/>
  <c r="N297" i="8"/>
  <c r="N298" i="21" s="1"/>
  <c r="O297" i="8"/>
  <c r="O298" i="21" s="1"/>
  <c r="P297" i="8"/>
  <c r="P298" i="21" s="1"/>
  <c r="Q297" i="8"/>
  <c r="Q298" i="21" s="1"/>
  <c r="R297" i="8"/>
  <c r="R298" i="21" s="1"/>
  <c r="S297" i="8"/>
  <c r="S298" i="21" s="1"/>
  <c r="T297" i="8"/>
  <c r="T298" i="21" s="1"/>
  <c r="U297" i="8"/>
  <c r="U298" i="21" s="1"/>
  <c r="V297" i="8"/>
  <c r="V298" i="21" s="1"/>
  <c r="W297" i="8"/>
  <c r="W298" i="21" s="1"/>
  <c r="X297" i="8"/>
  <c r="X298" i="21" s="1"/>
  <c r="Y297" i="8"/>
  <c r="Y298" i="21" s="1"/>
  <c r="Z297" i="8"/>
  <c r="Z298" i="21" s="1"/>
  <c r="AA297" i="8"/>
  <c r="AA298" i="21" s="1"/>
  <c r="AB297" i="8"/>
  <c r="AB298" i="21" s="1"/>
  <c r="AC297" i="8"/>
  <c r="AC298" i="21" s="1"/>
  <c r="AD297" i="8"/>
  <c r="AD298" i="21" s="1"/>
  <c r="AE297" i="8"/>
  <c r="AF297" i="8"/>
  <c r="AF298" i="21" s="1"/>
  <c r="AG297" i="8"/>
  <c r="A298" i="8"/>
  <c r="B298" i="8"/>
  <c r="C298" i="8"/>
  <c r="D298" i="8"/>
  <c r="E298" i="8"/>
  <c r="F298" i="8"/>
  <c r="F299" i="21" s="1"/>
  <c r="G298" i="8"/>
  <c r="G299" i="21" s="1"/>
  <c r="H298" i="8"/>
  <c r="H299" i="21" s="1"/>
  <c r="I298" i="8"/>
  <c r="I299" i="21" s="1"/>
  <c r="J298" i="8"/>
  <c r="J299" i="21" s="1"/>
  <c r="K298" i="8"/>
  <c r="K299" i="21" s="1"/>
  <c r="L298" i="8"/>
  <c r="L299" i="21" s="1"/>
  <c r="M298" i="8"/>
  <c r="M299" i="21" s="1"/>
  <c r="N298" i="8"/>
  <c r="N299" i="21" s="1"/>
  <c r="O298" i="8"/>
  <c r="O299" i="21" s="1"/>
  <c r="P298" i="8"/>
  <c r="P299" i="21" s="1"/>
  <c r="Q298" i="8"/>
  <c r="Q299" i="21" s="1"/>
  <c r="R298" i="8"/>
  <c r="R299" i="21" s="1"/>
  <c r="S298" i="8"/>
  <c r="S299" i="21" s="1"/>
  <c r="T298" i="8"/>
  <c r="T299" i="21" s="1"/>
  <c r="U298" i="8"/>
  <c r="U299" i="21" s="1"/>
  <c r="V298" i="8"/>
  <c r="V299" i="21" s="1"/>
  <c r="W298" i="8"/>
  <c r="W299" i="21" s="1"/>
  <c r="X298" i="8"/>
  <c r="X299" i="21" s="1"/>
  <c r="Y298" i="8"/>
  <c r="Y299" i="21" s="1"/>
  <c r="Z298" i="8"/>
  <c r="Z299" i="21" s="1"/>
  <c r="AA298" i="8"/>
  <c r="AA299" i="21" s="1"/>
  <c r="AB298" i="8"/>
  <c r="AB299" i="21" s="1"/>
  <c r="AC298" i="8"/>
  <c r="AC299" i="21" s="1"/>
  <c r="AD298" i="8"/>
  <c r="AD299" i="21" s="1"/>
  <c r="AE298" i="8"/>
  <c r="AE299" i="21" s="1"/>
  <c r="AF298" i="8"/>
  <c r="AF299" i="21" s="1"/>
  <c r="AG298" i="8"/>
  <c r="A299" i="8"/>
  <c r="B299" i="8"/>
  <c r="C299" i="8"/>
  <c r="D299" i="8"/>
  <c r="E299" i="8"/>
  <c r="F299" i="8"/>
  <c r="F300" i="21" s="1"/>
  <c r="G299" i="8"/>
  <c r="G300" i="21" s="1"/>
  <c r="H299" i="8"/>
  <c r="H300" i="21" s="1"/>
  <c r="I299" i="8"/>
  <c r="I300" i="21" s="1"/>
  <c r="J299" i="8"/>
  <c r="J300" i="21" s="1"/>
  <c r="K299" i="8"/>
  <c r="K300" i="21" s="1"/>
  <c r="L299" i="8"/>
  <c r="L300" i="21" s="1"/>
  <c r="M299" i="8"/>
  <c r="M300" i="21" s="1"/>
  <c r="N299" i="8"/>
  <c r="N300" i="21" s="1"/>
  <c r="O299" i="8"/>
  <c r="O300" i="21" s="1"/>
  <c r="P299" i="8"/>
  <c r="P300" i="21" s="1"/>
  <c r="Q299" i="8"/>
  <c r="Q300" i="21" s="1"/>
  <c r="R299" i="8"/>
  <c r="R300" i="21" s="1"/>
  <c r="S299" i="8"/>
  <c r="S300" i="21" s="1"/>
  <c r="T299" i="8"/>
  <c r="T300" i="21" s="1"/>
  <c r="U299" i="8"/>
  <c r="U300" i="21" s="1"/>
  <c r="V299" i="8"/>
  <c r="V300" i="21" s="1"/>
  <c r="W299" i="8"/>
  <c r="W300" i="21" s="1"/>
  <c r="X299" i="8"/>
  <c r="X300" i="21" s="1"/>
  <c r="Y299" i="8"/>
  <c r="Y300" i="21" s="1"/>
  <c r="Z299" i="8"/>
  <c r="Z300" i="21" s="1"/>
  <c r="AA299" i="8"/>
  <c r="AA300" i="21" s="1"/>
  <c r="AB299" i="8"/>
  <c r="AB300" i="21" s="1"/>
  <c r="AC299" i="8"/>
  <c r="AC300" i="21" s="1"/>
  <c r="AD299" i="8"/>
  <c r="AD300" i="21" s="1"/>
  <c r="AE299" i="8"/>
  <c r="AF299" i="8"/>
  <c r="AG299" i="8"/>
  <c r="A300" i="8"/>
  <c r="B300" i="8"/>
  <c r="C300" i="8"/>
  <c r="D300" i="8"/>
  <c r="E300" i="8"/>
  <c r="F300" i="8"/>
  <c r="F301" i="21" s="1"/>
  <c r="G300" i="8"/>
  <c r="G301" i="21" s="1"/>
  <c r="H300" i="8"/>
  <c r="H301" i="21" s="1"/>
  <c r="I300" i="8"/>
  <c r="I301" i="21" s="1"/>
  <c r="J300" i="8"/>
  <c r="J301" i="21" s="1"/>
  <c r="K300" i="8"/>
  <c r="K301" i="21" s="1"/>
  <c r="L300" i="8"/>
  <c r="L301" i="21" s="1"/>
  <c r="M300" i="8"/>
  <c r="M301" i="21" s="1"/>
  <c r="N300" i="8"/>
  <c r="N301" i="21" s="1"/>
  <c r="O300" i="8"/>
  <c r="O301" i="21" s="1"/>
  <c r="P300" i="8"/>
  <c r="P301" i="21" s="1"/>
  <c r="Q300" i="8"/>
  <c r="Q301" i="21" s="1"/>
  <c r="R300" i="8"/>
  <c r="R301" i="21" s="1"/>
  <c r="S300" i="8"/>
  <c r="S301" i="21" s="1"/>
  <c r="T300" i="8"/>
  <c r="T301" i="21" s="1"/>
  <c r="U300" i="8"/>
  <c r="U301" i="21" s="1"/>
  <c r="V300" i="8"/>
  <c r="V301" i="21" s="1"/>
  <c r="W300" i="8"/>
  <c r="W301" i="21" s="1"/>
  <c r="X300" i="8"/>
  <c r="X301" i="21" s="1"/>
  <c r="Y300" i="8"/>
  <c r="Y301" i="21" s="1"/>
  <c r="Z300" i="8"/>
  <c r="Z301" i="21" s="1"/>
  <c r="AA300" i="8"/>
  <c r="AA301" i="21" s="1"/>
  <c r="AB300" i="8"/>
  <c r="AB301" i="21" s="1"/>
  <c r="AC300" i="8"/>
  <c r="AC301" i="21" s="1"/>
  <c r="AD300" i="8"/>
  <c r="AD301" i="21" s="1"/>
  <c r="AE300" i="8"/>
  <c r="AE301" i="21" s="1"/>
  <c r="AF300" i="8"/>
  <c r="AF301" i="21" s="1"/>
  <c r="AG300" i="8"/>
  <c r="AG301" i="10" s="1"/>
  <c r="A301" i="8"/>
  <c r="B301" i="8"/>
  <c r="C301" i="8"/>
  <c r="D301" i="8"/>
  <c r="E301" i="8"/>
  <c r="F301" i="8"/>
  <c r="F302" i="21" s="1"/>
  <c r="G301" i="8"/>
  <c r="G302" i="21" s="1"/>
  <c r="H301" i="8"/>
  <c r="H302" i="21" s="1"/>
  <c r="I301" i="8"/>
  <c r="I302" i="21" s="1"/>
  <c r="J301" i="8"/>
  <c r="J302" i="21" s="1"/>
  <c r="K301" i="8"/>
  <c r="K302" i="21" s="1"/>
  <c r="L301" i="8"/>
  <c r="L302" i="21" s="1"/>
  <c r="M301" i="8"/>
  <c r="M302" i="21" s="1"/>
  <c r="N301" i="8"/>
  <c r="N302" i="21" s="1"/>
  <c r="O301" i="8"/>
  <c r="O302" i="21" s="1"/>
  <c r="P301" i="8"/>
  <c r="P302" i="21" s="1"/>
  <c r="Q301" i="8"/>
  <c r="Q302" i="21" s="1"/>
  <c r="R301" i="8"/>
  <c r="R302" i="21" s="1"/>
  <c r="S301" i="8"/>
  <c r="S302" i="21" s="1"/>
  <c r="T301" i="8"/>
  <c r="T302" i="21" s="1"/>
  <c r="U301" i="8"/>
  <c r="U302" i="21" s="1"/>
  <c r="V301" i="8"/>
  <c r="V302" i="21" s="1"/>
  <c r="W301" i="8"/>
  <c r="W302" i="21" s="1"/>
  <c r="X301" i="8"/>
  <c r="X302" i="21" s="1"/>
  <c r="Y301" i="8"/>
  <c r="Y302" i="21" s="1"/>
  <c r="Z301" i="8"/>
  <c r="Z302" i="21" s="1"/>
  <c r="AA301" i="8"/>
  <c r="AA302" i="21" s="1"/>
  <c r="AB301" i="8"/>
  <c r="AB302" i="21" s="1"/>
  <c r="AC301" i="8"/>
  <c r="AC302" i="21" s="1"/>
  <c r="AD301" i="8"/>
  <c r="AD302" i="21" s="1"/>
  <c r="AE301" i="8"/>
  <c r="AF301" i="8"/>
  <c r="AG301" i="8"/>
  <c r="AG302" i="11" s="1"/>
  <c r="A302" i="8"/>
  <c r="B302" i="8"/>
  <c r="C302" i="8"/>
  <c r="D302" i="8"/>
  <c r="E302" i="8"/>
  <c r="F302" i="8"/>
  <c r="F303" i="21" s="1"/>
  <c r="G302" i="8"/>
  <c r="G303" i="21" s="1"/>
  <c r="H302" i="8"/>
  <c r="H303" i="21" s="1"/>
  <c r="I302" i="8"/>
  <c r="I303" i="21" s="1"/>
  <c r="J302" i="8"/>
  <c r="J303" i="21" s="1"/>
  <c r="K302" i="8"/>
  <c r="K303" i="21" s="1"/>
  <c r="L302" i="8"/>
  <c r="L303" i="21" s="1"/>
  <c r="M302" i="8"/>
  <c r="M303" i="21" s="1"/>
  <c r="N302" i="8"/>
  <c r="N303" i="21" s="1"/>
  <c r="O302" i="8"/>
  <c r="O303" i="21" s="1"/>
  <c r="P302" i="8"/>
  <c r="P303" i="21" s="1"/>
  <c r="Q302" i="8"/>
  <c r="Q303" i="21" s="1"/>
  <c r="R302" i="8"/>
  <c r="R303" i="21" s="1"/>
  <c r="S302" i="8"/>
  <c r="S303" i="21" s="1"/>
  <c r="T302" i="8"/>
  <c r="T303" i="21" s="1"/>
  <c r="U302" i="8"/>
  <c r="U303" i="21" s="1"/>
  <c r="V302" i="8"/>
  <c r="V303" i="21" s="1"/>
  <c r="W302" i="8"/>
  <c r="W303" i="21" s="1"/>
  <c r="X302" i="8"/>
  <c r="X303" i="21" s="1"/>
  <c r="Y302" i="8"/>
  <c r="Y303" i="21" s="1"/>
  <c r="Z302" i="8"/>
  <c r="Z303" i="21" s="1"/>
  <c r="AA302" i="8"/>
  <c r="AA303" i="21" s="1"/>
  <c r="AB302" i="8"/>
  <c r="AB303" i="21" s="1"/>
  <c r="AC302" i="8"/>
  <c r="AC303" i="21" s="1"/>
  <c r="AD302" i="8"/>
  <c r="AD303" i="21" s="1"/>
  <c r="AE302" i="8"/>
  <c r="AE303" i="21" s="1"/>
  <c r="AF302" i="8"/>
  <c r="AG302" i="8"/>
  <c r="AG303" i="9" s="1"/>
  <c r="A303" i="8"/>
  <c r="B303" i="8"/>
  <c r="C303" i="8"/>
  <c r="D303" i="8"/>
  <c r="E303" i="8"/>
  <c r="F303" i="8"/>
  <c r="F304" i="21" s="1"/>
  <c r="G303" i="8"/>
  <c r="G304" i="21" s="1"/>
  <c r="H303" i="8"/>
  <c r="H304" i="21" s="1"/>
  <c r="I303" i="8"/>
  <c r="I304" i="21" s="1"/>
  <c r="J303" i="8"/>
  <c r="J304" i="21" s="1"/>
  <c r="K303" i="8"/>
  <c r="K304" i="21" s="1"/>
  <c r="L303" i="8"/>
  <c r="L304" i="21" s="1"/>
  <c r="M303" i="8"/>
  <c r="M304" i="21" s="1"/>
  <c r="N303" i="8"/>
  <c r="N304" i="21" s="1"/>
  <c r="O303" i="8"/>
  <c r="O304" i="21" s="1"/>
  <c r="P303" i="8"/>
  <c r="P304" i="21" s="1"/>
  <c r="Q303" i="8"/>
  <c r="Q304" i="21" s="1"/>
  <c r="R303" i="8"/>
  <c r="R304" i="21" s="1"/>
  <c r="S303" i="8"/>
  <c r="S304" i="21" s="1"/>
  <c r="T303" i="8"/>
  <c r="T304" i="21" s="1"/>
  <c r="U303" i="8"/>
  <c r="U304" i="21" s="1"/>
  <c r="V303" i="8"/>
  <c r="V304" i="21" s="1"/>
  <c r="W303" i="8"/>
  <c r="W304" i="21" s="1"/>
  <c r="X303" i="8"/>
  <c r="X304" i="21" s="1"/>
  <c r="Y303" i="8"/>
  <c r="Y304" i="21" s="1"/>
  <c r="Z303" i="8"/>
  <c r="Z304" i="21" s="1"/>
  <c r="AA303" i="8"/>
  <c r="AA304" i="21" s="1"/>
  <c r="AB303" i="8"/>
  <c r="AB304" i="21" s="1"/>
  <c r="AC303" i="8"/>
  <c r="AC304" i="21" s="1"/>
  <c r="AD303" i="8"/>
  <c r="AD304" i="21" s="1"/>
  <c r="AE303" i="8"/>
  <c r="AF303" i="8"/>
  <c r="AG303" i="8"/>
  <c r="A304" i="8"/>
  <c r="B304" i="8"/>
  <c r="C304" i="8"/>
  <c r="D304" i="8"/>
  <c r="E304" i="8"/>
  <c r="F304" i="8"/>
  <c r="F305" i="21" s="1"/>
  <c r="G304" i="8"/>
  <c r="G305" i="21" s="1"/>
  <c r="H304" i="8"/>
  <c r="H305" i="21" s="1"/>
  <c r="I304" i="8"/>
  <c r="I305" i="21" s="1"/>
  <c r="J304" i="8"/>
  <c r="J305" i="21" s="1"/>
  <c r="K304" i="8"/>
  <c r="K305" i="21" s="1"/>
  <c r="L304" i="8"/>
  <c r="L305" i="21" s="1"/>
  <c r="M304" i="8"/>
  <c r="M305" i="21" s="1"/>
  <c r="N304" i="8"/>
  <c r="N305" i="21" s="1"/>
  <c r="O304" i="8"/>
  <c r="O305" i="21" s="1"/>
  <c r="P304" i="8"/>
  <c r="P305" i="21" s="1"/>
  <c r="Q304" i="8"/>
  <c r="Q305" i="21" s="1"/>
  <c r="R304" i="8"/>
  <c r="R305" i="21" s="1"/>
  <c r="S304" i="8"/>
  <c r="S305" i="21" s="1"/>
  <c r="T304" i="8"/>
  <c r="T305" i="21" s="1"/>
  <c r="U304" i="8"/>
  <c r="U305" i="21" s="1"/>
  <c r="V304" i="8"/>
  <c r="V305" i="21" s="1"/>
  <c r="W304" i="8"/>
  <c r="W305" i="21" s="1"/>
  <c r="X304" i="8"/>
  <c r="X305" i="21" s="1"/>
  <c r="Y304" i="8"/>
  <c r="Y305" i="21" s="1"/>
  <c r="Z304" i="8"/>
  <c r="Z305" i="21" s="1"/>
  <c r="AA304" i="8"/>
  <c r="AA305" i="21" s="1"/>
  <c r="AB304" i="8"/>
  <c r="AB305" i="21" s="1"/>
  <c r="AC304" i="8"/>
  <c r="AC305" i="21" s="1"/>
  <c r="AD304" i="8"/>
  <c r="AD305" i="21" s="1"/>
  <c r="AE304" i="8"/>
  <c r="AE305" i="21" s="1"/>
  <c r="AF304" i="8"/>
  <c r="AF305" i="21" s="1"/>
  <c r="AG304" i="8"/>
  <c r="A305" i="8"/>
  <c r="B305" i="8"/>
  <c r="C305" i="8"/>
  <c r="D305" i="8"/>
  <c r="E305" i="8"/>
  <c r="F305" i="8"/>
  <c r="F306" i="21" s="1"/>
  <c r="G305" i="8"/>
  <c r="G306" i="21" s="1"/>
  <c r="H305" i="8"/>
  <c r="H306" i="21" s="1"/>
  <c r="I305" i="8"/>
  <c r="I306" i="21" s="1"/>
  <c r="J305" i="8"/>
  <c r="J306" i="21" s="1"/>
  <c r="K305" i="8"/>
  <c r="K306" i="21" s="1"/>
  <c r="L305" i="8"/>
  <c r="L306" i="21" s="1"/>
  <c r="M305" i="8"/>
  <c r="M306" i="21" s="1"/>
  <c r="N305" i="8"/>
  <c r="N306" i="21" s="1"/>
  <c r="O305" i="8"/>
  <c r="O306" i="21" s="1"/>
  <c r="P305" i="8"/>
  <c r="P306" i="21" s="1"/>
  <c r="Q305" i="8"/>
  <c r="Q306" i="21" s="1"/>
  <c r="R305" i="8"/>
  <c r="R306" i="21" s="1"/>
  <c r="S305" i="8"/>
  <c r="S306" i="21" s="1"/>
  <c r="T305" i="8"/>
  <c r="T306" i="21" s="1"/>
  <c r="U305" i="8"/>
  <c r="U306" i="21" s="1"/>
  <c r="V305" i="8"/>
  <c r="V306" i="21" s="1"/>
  <c r="W305" i="8"/>
  <c r="W306" i="21" s="1"/>
  <c r="X305" i="8"/>
  <c r="X306" i="21" s="1"/>
  <c r="Y305" i="8"/>
  <c r="Y306" i="21" s="1"/>
  <c r="Z305" i="8"/>
  <c r="Z306" i="21" s="1"/>
  <c r="AA305" i="8"/>
  <c r="AA306" i="21" s="1"/>
  <c r="AB305" i="8"/>
  <c r="AB306" i="21" s="1"/>
  <c r="AC305" i="8"/>
  <c r="AC306" i="21" s="1"/>
  <c r="AD305" i="8"/>
  <c r="AD306" i="21" s="1"/>
  <c r="AE305" i="8"/>
  <c r="AF305" i="8"/>
  <c r="AF306" i="21" s="1"/>
  <c r="AG305" i="8"/>
  <c r="A306" i="8"/>
  <c r="B306" i="8"/>
  <c r="C306" i="8"/>
  <c r="D306" i="8"/>
  <c r="E306" i="8"/>
  <c r="F306" i="8"/>
  <c r="F307" i="21" s="1"/>
  <c r="G306" i="8"/>
  <c r="G307" i="21" s="1"/>
  <c r="H306" i="8"/>
  <c r="H307" i="21" s="1"/>
  <c r="I306" i="8"/>
  <c r="I307" i="21" s="1"/>
  <c r="J306" i="8"/>
  <c r="J307" i="21" s="1"/>
  <c r="K306" i="8"/>
  <c r="K307" i="21" s="1"/>
  <c r="L306" i="8"/>
  <c r="L307" i="21" s="1"/>
  <c r="M306" i="8"/>
  <c r="M307" i="21" s="1"/>
  <c r="N306" i="8"/>
  <c r="N307" i="21" s="1"/>
  <c r="O306" i="8"/>
  <c r="O307" i="21" s="1"/>
  <c r="P306" i="8"/>
  <c r="P307" i="21" s="1"/>
  <c r="Q306" i="8"/>
  <c r="Q307" i="21" s="1"/>
  <c r="R306" i="8"/>
  <c r="R307" i="21" s="1"/>
  <c r="S306" i="8"/>
  <c r="S307" i="21" s="1"/>
  <c r="T306" i="8"/>
  <c r="T307" i="21" s="1"/>
  <c r="U306" i="8"/>
  <c r="U307" i="21" s="1"/>
  <c r="V306" i="8"/>
  <c r="V307" i="21" s="1"/>
  <c r="W306" i="8"/>
  <c r="W307" i="21" s="1"/>
  <c r="X306" i="8"/>
  <c r="X307" i="21" s="1"/>
  <c r="Y306" i="8"/>
  <c r="Y307" i="21" s="1"/>
  <c r="Z306" i="8"/>
  <c r="Z307" i="21" s="1"/>
  <c r="AA306" i="8"/>
  <c r="AA307" i="21" s="1"/>
  <c r="AB306" i="8"/>
  <c r="AB307" i="21" s="1"/>
  <c r="AC306" i="8"/>
  <c r="AC307" i="21" s="1"/>
  <c r="AD306" i="8"/>
  <c r="AD307" i="21" s="1"/>
  <c r="AE306" i="8"/>
  <c r="AE307" i="21" s="1"/>
  <c r="AF306" i="8"/>
  <c r="AF307" i="21" s="1"/>
  <c r="AG306" i="8"/>
  <c r="A307" i="8"/>
  <c r="B307" i="8"/>
  <c r="C307" i="8"/>
  <c r="D307" i="8"/>
  <c r="E307" i="8"/>
  <c r="F307" i="8"/>
  <c r="F308" i="21" s="1"/>
  <c r="G307" i="8"/>
  <c r="G308" i="21" s="1"/>
  <c r="H307" i="8"/>
  <c r="H308" i="21" s="1"/>
  <c r="I307" i="8"/>
  <c r="I308" i="21" s="1"/>
  <c r="J307" i="8"/>
  <c r="J308" i="21" s="1"/>
  <c r="K307" i="8"/>
  <c r="K308" i="21" s="1"/>
  <c r="L307" i="8"/>
  <c r="L308" i="21" s="1"/>
  <c r="M307" i="8"/>
  <c r="M308" i="21" s="1"/>
  <c r="N307" i="8"/>
  <c r="N308" i="21" s="1"/>
  <c r="O307" i="8"/>
  <c r="O308" i="21" s="1"/>
  <c r="P307" i="8"/>
  <c r="P308" i="21" s="1"/>
  <c r="Q307" i="8"/>
  <c r="Q308" i="21" s="1"/>
  <c r="R307" i="8"/>
  <c r="R308" i="21" s="1"/>
  <c r="S307" i="8"/>
  <c r="S308" i="21" s="1"/>
  <c r="T307" i="8"/>
  <c r="T308" i="21" s="1"/>
  <c r="U307" i="8"/>
  <c r="U308" i="21" s="1"/>
  <c r="V307" i="8"/>
  <c r="V308" i="21" s="1"/>
  <c r="W307" i="8"/>
  <c r="W308" i="21" s="1"/>
  <c r="X307" i="8"/>
  <c r="X308" i="21" s="1"/>
  <c r="Y307" i="8"/>
  <c r="Y308" i="21" s="1"/>
  <c r="Z307" i="8"/>
  <c r="Z308" i="21" s="1"/>
  <c r="AA307" i="8"/>
  <c r="AA308" i="21" s="1"/>
  <c r="AB307" i="8"/>
  <c r="AB308" i="21" s="1"/>
  <c r="AC307" i="8"/>
  <c r="AC308" i="21" s="1"/>
  <c r="AD307" i="8"/>
  <c r="AD308" i="21" s="1"/>
  <c r="AE307" i="8"/>
  <c r="AF307" i="8"/>
  <c r="AF308" i="21" s="1"/>
  <c r="AG307" i="8"/>
  <c r="A308" i="8"/>
  <c r="B308" i="8"/>
  <c r="C308" i="8"/>
  <c r="D308" i="8"/>
  <c r="E308" i="8"/>
  <c r="F308" i="8"/>
  <c r="F309" i="21" s="1"/>
  <c r="G308" i="8"/>
  <c r="G309" i="21" s="1"/>
  <c r="H308" i="8"/>
  <c r="H309" i="21" s="1"/>
  <c r="I308" i="8"/>
  <c r="I309" i="21" s="1"/>
  <c r="J308" i="8"/>
  <c r="J309" i="21" s="1"/>
  <c r="K308" i="8"/>
  <c r="K309" i="21" s="1"/>
  <c r="L308" i="8"/>
  <c r="L309" i="21" s="1"/>
  <c r="M308" i="8"/>
  <c r="M309" i="21" s="1"/>
  <c r="N308" i="8"/>
  <c r="N309" i="21" s="1"/>
  <c r="O308" i="8"/>
  <c r="O309" i="21" s="1"/>
  <c r="P308" i="8"/>
  <c r="P309" i="21" s="1"/>
  <c r="Q308" i="8"/>
  <c r="Q309" i="21" s="1"/>
  <c r="R308" i="8"/>
  <c r="R309" i="21" s="1"/>
  <c r="S308" i="8"/>
  <c r="S309" i="21" s="1"/>
  <c r="T308" i="8"/>
  <c r="T309" i="21" s="1"/>
  <c r="U308" i="8"/>
  <c r="U309" i="21" s="1"/>
  <c r="V308" i="8"/>
  <c r="V309" i="21" s="1"/>
  <c r="W308" i="8"/>
  <c r="W309" i="21" s="1"/>
  <c r="X308" i="8"/>
  <c r="X309" i="21" s="1"/>
  <c r="Y308" i="8"/>
  <c r="Y309" i="21" s="1"/>
  <c r="Z308" i="8"/>
  <c r="Z309" i="21" s="1"/>
  <c r="AA308" i="8"/>
  <c r="AA309" i="21" s="1"/>
  <c r="AB308" i="8"/>
  <c r="AB309" i="21" s="1"/>
  <c r="AC308" i="8"/>
  <c r="AC309" i="21" s="1"/>
  <c r="AD308" i="8"/>
  <c r="AD309" i="21" s="1"/>
  <c r="AE308" i="8"/>
  <c r="AE309" i="21" s="1"/>
  <c r="AF308" i="8"/>
  <c r="AF309" i="21" s="1"/>
  <c r="AG308" i="8"/>
  <c r="A309" i="8"/>
  <c r="B309" i="8"/>
  <c r="C309" i="8"/>
  <c r="D309" i="8"/>
  <c r="E309" i="8"/>
  <c r="F309" i="8"/>
  <c r="F310" i="21" s="1"/>
  <c r="G309" i="8"/>
  <c r="G310" i="21" s="1"/>
  <c r="H309" i="8"/>
  <c r="H310" i="21" s="1"/>
  <c r="I309" i="8"/>
  <c r="I310" i="21" s="1"/>
  <c r="J309" i="8"/>
  <c r="J310" i="21" s="1"/>
  <c r="K309" i="8"/>
  <c r="K310" i="21" s="1"/>
  <c r="L309" i="8"/>
  <c r="L310" i="21" s="1"/>
  <c r="M309" i="8"/>
  <c r="M310" i="21" s="1"/>
  <c r="N309" i="8"/>
  <c r="N310" i="21" s="1"/>
  <c r="O309" i="8"/>
  <c r="O310" i="21" s="1"/>
  <c r="P309" i="8"/>
  <c r="P310" i="21" s="1"/>
  <c r="Q309" i="8"/>
  <c r="Q310" i="21" s="1"/>
  <c r="R309" i="8"/>
  <c r="R310" i="21" s="1"/>
  <c r="S309" i="8"/>
  <c r="S310" i="21" s="1"/>
  <c r="T309" i="8"/>
  <c r="T310" i="21" s="1"/>
  <c r="U309" i="8"/>
  <c r="U310" i="21" s="1"/>
  <c r="V309" i="8"/>
  <c r="V310" i="21" s="1"/>
  <c r="W309" i="8"/>
  <c r="W310" i="21" s="1"/>
  <c r="X309" i="8"/>
  <c r="X310" i="21" s="1"/>
  <c r="Y309" i="8"/>
  <c r="Y310" i="21" s="1"/>
  <c r="Z309" i="8"/>
  <c r="Z310" i="21" s="1"/>
  <c r="AA309" i="8"/>
  <c r="AA310" i="21" s="1"/>
  <c r="AB309" i="8"/>
  <c r="AB310" i="21" s="1"/>
  <c r="AC309" i="8"/>
  <c r="AC310" i="21" s="1"/>
  <c r="AD309" i="8"/>
  <c r="AD310" i="21" s="1"/>
  <c r="AE309" i="8"/>
  <c r="AF309" i="8"/>
  <c r="AF310" i="21" s="1"/>
  <c r="AG309" i="8"/>
  <c r="A310" i="8"/>
  <c r="B310" i="8"/>
  <c r="C310" i="8"/>
  <c r="D310" i="8"/>
  <c r="E310" i="8"/>
  <c r="F310" i="8"/>
  <c r="F311" i="21" s="1"/>
  <c r="G310" i="8"/>
  <c r="G311" i="21" s="1"/>
  <c r="H310" i="8"/>
  <c r="H311" i="21" s="1"/>
  <c r="I310" i="8"/>
  <c r="I311" i="21" s="1"/>
  <c r="J310" i="8"/>
  <c r="J311" i="21" s="1"/>
  <c r="K310" i="8"/>
  <c r="K311" i="21" s="1"/>
  <c r="L310" i="8"/>
  <c r="L311" i="21" s="1"/>
  <c r="M310" i="8"/>
  <c r="M311" i="21" s="1"/>
  <c r="N310" i="8"/>
  <c r="N311" i="21" s="1"/>
  <c r="O310" i="8"/>
  <c r="O311" i="21" s="1"/>
  <c r="P310" i="8"/>
  <c r="P311" i="21" s="1"/>
  <c r="Q310" i="8"/>
  <c r="Q311" i="21" s="1"/>
  <c r="R310" i="8"/>
  <c r="R311" i="21" s="1"/>
  <c r="S310" i="8"/>
  <c r="S311" i="21" s="1"/>
  <c r="T310" i="8"/>
  <c r="T311" i="21" s="1"/>
  <c r="U310" i="8"/>
  <c r="U311" i="21" s="1"/>
  <c r="V310" i="8"/>
  <c r="V311" i="21" s="1"/>
  <c r="W310" i="8"/>
  <c r="W311" i="21" s="1"/>
  <c r="X310" i="8"/>
  <c r="X311" i="21" s="1"/>
  <c r="Y310" i="8"/>
  <c r="Y311" i="21" s="1"/>
  <c r="Z310" i="8"/>
  <c r="Z311" i="21" s="1"/>
  <c r="AA310" i="8"/>
  <c r="AA311" i="21" s="1"/>
  <c r="AB310" i="8"/>
  <c r="AB311" i="21" s="1"/>
  <c r="AC310" i="8"/>
  <c r="AC311" i="21" s="1"/>
  <c r="AD310" i="8"/>
  <c r="AD311" i="21" s="1"/>
  <c r="AE310" i="8"/>
  <c r="AE311" i="21" s="1"/>
  <c r="AF310" i="8"/>
  <c r="AF311" i="21" s="1"/>
  <c r="AG310" i="8"/>
  <c r="A311" i="8"/>
  <c r="B311" i="8"/>
  <c r="C311" i="8"/>
  <c r="D311" i="8"/>
  <c r="E311" i="8"/>
  <c r="F311" i="8"/>
  <c r="F312" i="21" s="1"/>
  <c r="G311" i="8"/>
  <c r="G312" i="21" s="1"/>
  <c r="H311" i="8"/>
  <c r="H312" i="21" s="1"/>
  <c r="I311" i="8"/>
  <c r="I312" i="21" s="1"/>
  <c r="J311" i="8"/>
  <c r="J312" i="21" s="1"/>
  <c r="K311" i="8"/>
  <c r="K312" i="21" s="1"/>
  <c r="L311" i="8"/>
  <c r="L312" i="21" s="1"/>
  <c r="M311" i="8"/>
  <c r="M312" i="21" s="1"/>
  <c r="N311" i="8"/>
  <c r="N312" i="21" s="1"/>
  <c r="O311" i="8"/>
  <c r="O312" i="21" s="1"/>
  <c r="P311" i="8"/>
  <c r="P312" i="21" s="1"/>
  <c r="Q311" i="8"/>
  <c r="Q312" i="21" s="1"/>
  <c r="R311" i="8"/>
  <c r="R312" i="21" s="1"/>
  <c r="S311" i="8"/>
  <c r="S312" i="21" s="1"/>
  <c r="T311" i="8"/>
  <c r="T312" i="21" s="1"/>
  <c r="U311" i="8"/>
  <c r="U312" i="21" s="1"/>
  <c r="V311" i="8"/>
  <c r="V312" i="21" s="1"/>
  <c r="W311" i="8"/>
  <c r="W312" i="21" s="1"/>
  <c r="X311" i="8"/>
  <c r="X312" i="21" s="1"/>
  <c r="Y311" i="8"/>
  <c r="Y312" i="21" s="1"/>
  <c r="Z311" i="8"/>
  <c r="Z312" i="21" s="1"/>
  <c r="AA311" i="8"/>
  <c r="AA312" i="21" s="1"/>
  <c r="AB311" i="8"/>
  <c r="AB312" i="21" s="1"/>
  <c r="AC311" i="8"/>
  <c r="AC312" i="21" s="1"/>
  <c r="AD311" i="8"/>
  <c r="AD312" i="21" s="1"/>
  <c r="AE311" i="8"/>
  <c r="AF311" i="8"/>
  <c r="AF312" i="21" s="1"/>
  <c r="AG311" i="8"/>
  <c r="A312" i="8"/>
  <c r="B312" i="8"/>
  <c r="C312" i="8"/>
  <c r="D312" i="8"/>
  <c r="E312" i="8"/>
  <c r="F312" i="8"/>
  <c r="F313" i="21" s="1"/>
  <c r="G312" i="8"/>
  <c r="G313" i="21" s="1"/>
  <c r="H312" i="8"/>
  <c r="H313" i="21" s="1"/>
  <c r="I312" i="8"/>
  <c r="I313" i="21" s="1"/>
  <c r="J312" i="8"/>
  <c r="J313" i="21" s="1"/>
  <c r="K312" i="8"/>
  <c r="K313" i="21" s="1"/>
  <c r="L312" i="8"/>
  <c r="L313" i="21" s="1"/>
  <c r="M312" i="8"/>
  <c r="M313" i="21" s="1"/>
  <c r="N312" i="8"/>
  <c r="N313" i="21" s="1"/>
  <c r="O312" i="8"/>
  <c r="O313" i="21" s="1"/>
  <c r="P312" i="8"/>
  <c r="P313" i="21" s="1"/>
  <c r="Q312" i="8"/>
  <c r="Q313" i="21" s="1"/>
  <c r="R312" i="8"/>
  <c r="R313" i="21" s="1"/>
  <c r="S312" i="8"/>
  <c r="S313" i="21" s="1"/>
  <c r="T312" i="8"/>
  <c r="T313" i="21" s="1"/>
  <c r="U312" i="8"/>
  <c r="U313" i="21" s="1"/>
  <c r="V312" i="8"/>
  <c r="V313" i="21" s="1"/>
  <c r="W312" i="8"/>
  <c r="W313" i="21" s="1"/>
  <c r="X312" i="8"/>
  <c r="X313" i="21" s="1"/>
  <c r="Y312" i="8"/>
  <c r="Y313" i="21" s="1"/>
  <c r="Z312" i="8"/>
  <c r="Z313" i="21" s="1"/>
  <c r="AA312" i="8"/>
  <c r="AA313" i="21" s="1"/>
  <c r="AB312" i="8"/>
  <c r="AB313" i="21" s="1"/>
  <c r="AC312" i="8"/>
  <c r="AC313" i="21" s="1"/>
  <c r="AD312" i="8"/>
  <c r="AD313" i="21" s="1"/>
  <c r="AE312" i="8"/>
  <c r="AE313" i="21" s="1"/>
  <c r="AF312" i="8"/>
  <c r="AF313" i="21" s="1"/>
  <c r="AG312" i="8"/>
  <c r="A313" i="8"/>
  <c r="B313" i="8"/>
  <c r="C313" i="8"/>
  <c r="D313" i="8"/>
  <c r="E313" i="8"/>
  <c r="F313" i="8"/>
  <c r="F314" i="21" s="1"/>
  <c r="G313" i="8"/>
  <c r="G314" i="21" s="1"/>
  <c r="H313" i="8"/>
  <c r="H314" i="21" s="1"/>
  <c r="I313" i="8"/>
  <c r="I314" i="21" s="1"/>
  <c r="J313" i="8"/>
  <c r="J314" i="21" s="1"/>
  <c r="K313" i="8"/>
  <c r="K314" i="21" s="1"/>
  <c r="L313" i="8"/>
  <c r="L314" i="21" s="1"/>
  <c r="M313" i="8"/>
  <c r="M314" i="21" s="1"/>
  <c r="N313" i="8"/>
  <c r="N314" i="21" s="1"/>
  <c r="O313" i="8"/>
  <c r="O314" i="21" s="1"/>
  <c r="P313" i="8"/>
  <c r="P314" i="21" s="1"/>
  <c r="Q313" i="8"/>
  <c r="Q314" i="21" s="1"/>
  <c r="R313" i="8"/>
  <c r="R314" i="21" s="1"/>
  <c r="S313" i="8"/>
  <c r="S314" i="21" s="1"/>
  <c r="T313" i="8"/>
  <c r="T314" i="21" s="1"/>
  <c r="U313" i="8"/>
  <c r="U314" i="21" s="1"/>
  <c r="V313" i="8"/>
  <c r="V314" i="21" s="1"/>
  <c r="W313" i="8"/>
  <c r="W314" i="21" s="1"/>
  <c r="X313" i="8"/>
  <c r="X314" i="21" s="1"/>
  <c r="Y313" i="8"/>
  <c r="Y314" i="21" s="1"/>
  <c r="Z313" i="8"/>
  <c r="Z314" i="21" s="1"/>
  <c r="AA313" i="8"/>
  <c r="AA314" i="21" s="1"/>
  <c r="AB313" i="8"/>
  <c r="AB314" i="21" s="1"/>
  <c r="AC313" i="8"/>
  <c r="AC314" i="21" s="1"/>
  <c r="AD313" i="8"/>
  <c r="AD314" i="21" s="1"/>
  <c r="AE313" i="8"/>
  <c r="AF313" i="8"/>
  <c r="AF314" i="21" s="1"/>
  <c r="AG313" i="8"/>
  <c r="A314" i="8"/>
  <c r="B314" i="8"/>
  <c r="C314" i="8"/>
  <c r="D314" i="8"/>
  <c r="E314" i="8"/>
  <c r="F314" i="8"/>
  <c r="F315" i="21" s="1"/>
  <c r="G314" i="8"/>
  <c r="G315" i="21" s="1"/>
  <c r="H314" i="8"/>
  <c r="H315" i="21" s="1"/>
  <c r="I314" i="8"/>
  <c r="I315" i="21" s="1"/>
  <c r="J314" i="8"/>
  <c r="J315" i="21" s="1"/>
  <c r="K314" i="8"/>
  <c r="K315" i="21" s="1"/>
  <c r="L314" i="8"/>
  <c r="L315" i="21" s="1"/>
  <c r="M314" i="8"/>
  <c r="M315" i="21" s="1"/>
  <c r="N314" i="8"/>
  <c r="N315" i="21" s="1"/>
  <c r="O314" i="8"/>
  <c r="O315" i="21" s="1"/>
  <c r="P314" i="8"/>
  <c r="P315" i="21" s="1"/>
  <c r="Q314" i="8"/>
  <c r="Q315" i="21" s="1"/>
  <c r="R314" i="8"/>
  <c r="R315" i="21" s="1"/>
  <c r="S314" i="8"/>
  <c r="S315" i="21" s="1"/>
  <c r="T314" i="8"/>
  <c r="T315" i="21" s="1"/>
  <c r="U314" i="8"/>
  <c r="U315" i="21" s="1"/>
  <c r="V314" i="8"/>
  <c r="V315" i="21" s="1"/>
  <c r="W314" i="8"/>
  <c r="W315" i="21" s="1"/>
  <c r="X314" i="8"/>
  <c r="X315" i="21" s="1"/>
  <c r="Y314" i="8"/>
  <c r="Y315" i="21" s="1"/>
  <c r="Z314" i="8"/>
  <c r="Z315" i="21" s="1"/>
  <c r="AA314" i="8"/>
  <c r="AA315" i="21" s="1"/>
  <c r="AB314" i="8"/>
  <c r="AB315" i="21" s="1"/>
  <c r="AC314" i="8"/>
  <c r="AC315" i="21" s="1"/>
  <c r="AD314" i="8"/>
  <c r="AD315" i="21" s="1"/>
  <c r="AE314" i="8"/>
  <c r="AE315" i="21" s="1"/>
  <c r="AF314" i="8"/>
  <c r="AF315" i="21" s="1"/>
  <c r="AG314" i="8"/>
  <c r="A315" i="8"/>
  <c r="B315" i="8"/>
  <c r="C315" i="8"/>
  <c r="D315" i="8"/>
  <c r="E315" i="8"/>
  <c r="F315" i="8"/>
  <c r="F316" i="21" s="1"/>
  <c r="G315" i="8"/>
  <c r="G316" i="21" s="1"/>
  <c r="H315" i="8"/>
  <c r="H316" i="21" s="1"/>
  <c r="I315" i="8"/>
  <c r="I316" i="21" s="1"/>
  <c r="J315" i="8"/>
  <c r="J316" i="21" s="1"/>
  <c r="K315" i="8"/>
  <c r="K316" i="21" s="1"/>
  <c r="L315" i="8"/>
  <c r="L316" i="21" s="1"/>
  <c r="M315" i="8"/>
  <c r="M316" i="21" s="1"/>
  <c r="N315" i="8"/>
  <c r="N316" i="21" s="1"/>
  <c r="O315" i="8"/>
  <c r="O316" i="21" s="1"/>
  <c r="P315" i="8"/>
  <c r="P316" i="21" s="1"/>
  <c r="Q315" i="8"/>
  <c r="Q316" i="21" s="1"/>
  <c r="R315" i="8"/>
  <c r="R316" i="21" s="1"/>
  <c r="S315" i="8"/>
  <c r="S316" i="21" s="1"/>
  <c r="T315" i="8"/>
  <c r="T316" i="21" s="1"/>
  <c r="U315" i="8"/>
  <c r="U316" i="21" s="1"/>
  <c r="V315" i="8"/>
  <c r="V316" i="21" s="1"/>
  <c r="W315" i="8"/>
  <c r="W316" i="21" s="1"/>
  <c r="X315" i="8"/>
  <c r="X316" i="21" s="1"/>
  <c r="Y315" i="8"/>
  <c r="Y316" i="21" s="1"/>
  <c r="Z315" i="8"/>
  <c r="Z316" i="21" s="1"/>
  <c r="AA315" i="8"/>
  <c r="AA316" i="21" s="1"/>
  <c r="AB315" i="8"/>
  <c r="AB316" i="21" s="1"/>
  <c r="AC315" i="8"/>
  <c r="AC316" i="21" s="1"/>
  <c r="AD315" i="8"/>
  <c r="AD316" i="21" s="1"/>
  <c r="AE315" i="8"/>
  <c r="AF315" i="8"/>
  <c r="AF316" i="21" s="1"/>
  <c r="AG315" i="8"/>
  <c r="A316" i="8"/>
  <c r="B316" i="8"/>
  <c r="C316" i="8"/>
  <c r="D316" i="8"/>
  <c r="E316" i="8"/>
  <c r="F316" i="8"/>
  <c r="F317" i="21" s="1"/>
  <c r="G316" i="8"/>
  <c r="G317" i="21" s="1"/>
  <c r="H316" i="8"/>
  <c r="H317" i="21" s="1"/>
  <c r="I316" i="8"/>
  <c r="I317" i="21" s="1"/>
  <c r="J316" i="8"/>
  <c r="J317" i="21" s="1"/>
  <c r="K316" i="8"/>
  <c r="K317" i="21" s="1"/>
  <c r="L316" i="8"/>
  <c r="L317" i="21" s="1"/>
  <c r="M316" i="8"/>
  <c r="M317" i="21" s="1"/>
  <c r="N316" i="8"/>
  <c r="N317" i="21" s="1"/>
  <c r="O316" i="8"/>
  <c r="O317" i="21" s="1"/>
  <c r="P316" i="8"/>
  <c r="P317" i="21" s="1"/>
  <c r="Q316" i="8"/>
  <c r="Q317" i="21" s="1"/>
  <c r="R316" i="8"/>
  <c r="R317" i="21" s="1"/>
  <c r="S316" i="8"/>
  <c r="S317" i="21" s="1"/>
  <c r="T316" i="8"/>
  <c r="T317" i="21" s="1"/>
  <c r="U316" i="8"/>
  <c r="U317" i="21" s="1"/>
  <c r="V316" i="8"/>
  <c r="V317" i="21" s="1"/>
  <c r="W316" i="8"/>
  <c r="W317" i="21" s="1"/>
  <c r="X316" i="8"/>
  <c r="X317" i="21" s="1"/>
  <c r="Y316" i="8"/>
  <c r="Y317" i="21" s="1"/>
  <c r="Z316" i="8"/>
  <c r="Z317" i="21" s="1"/>
  <c r="AA316" i="8"/>
  <c r="AA317" i="21" s="1"/>
  <c r="AB316" i="8"/>
  <c r="AB317" i="21" s="1"/>
  <c r="AC316" i="8"/>
  <c r="AC317" i="21" s="1"/>
  <c r="AD316" i="8"/>
  <c r="AD317" i="21" s="1"/>
  <c r="AE316" i="8"/>
  <c r="AE317" i="21" s="1"/>
  <c r="AF316" i="8"/>
  <c r="AG316" i="8"/>
  <c r="AG317" i="9" s="1"/>
  <c r="A317" i="8"/>
  <c r="B317" i="8"/>
  <c r="C317" i="8"/>
  <c r="D317" i="8"/>
  <c r="E317" i="8"/>
  <c r="F317" i="8"/>
  <c r="F318" i="21" s="1"/>
  <c r="G317" i="8"/>
  <c r="G318" i="21" s="1"/>
  <c r="H317" i="8"/>
  <c r="H318" i="21" s="1"/>
  <c r="I317" i="8"/>
  <c r="I318" i="21" s="1"/>
  <c r="J317" i="8"/>
  <c r="J318" i="21" s="1"/>
  <c r="K317" i="8"/>
  <c r="K318" i="21" s="1"/>
  <c r="L317" i="8"/>
  <c r="L318" i="21" s="1"/>
  <c r="M317" i="8"/>
  <c r="M318" i="21" s="1"/>
  <c r="N317" i="8"/>
  <c r="N318" i="21" s="1"/>
  <c r="O317" i="8"/>
  <c r="O318" i="21" s="1"/>
  <c r="P317" i="8"/>
  <c r="P318" i="21" s="1"/>
  <c r="Q317" i="8"/>
  <c r="Q318" i="21" s="1"/>
  <c r="R317" i="8"/>
  <c r="R318" i="21" s="1"/>
  <c r="S317" i="8"/>
  <c r="S318" i="21" s="1"/>
  <c r="T317" i="8"/>
  <c r="T318" i="21" s="1"/>
  <c r="U317" i="8"/>
  <c r="U318" i="21" s="1"/>
  <c r="V317" i="8"/>
  <c r="V318" i="21" s="1"/>
  <c r="W317" i="8"/>
  <c r="W318" i="21" s="1"/>
  <c r="X317" i="8"/>
  <c r="X318" i="21" s="1"/>
  <c r="Y317" i="8"/>
  <c r="Y318" i="21" s="1"/>
  <c r="Z317" i="8"/>
  <c r="Z318" i="21" s="1"/>
  <c r="AA317" i="8"/>
  <c r="AA318" i="21" s="1"/>
  <c r="AB317" i="8"/>
  <c r="AB318" i="21" s="1"/>
  <c r="AC317" i="8"/>
  <c r="AC318" i="21" s="1"/>
  <c r="AD317" i="8"/>
  <c r="AD318" i="21" s="1"/>
  <c r="AE317" i="8"/>
  <c r="AE318" i="21" s="1"/>
  <c r="AF317" i="8"/>
  <c r="AF318" i="21" s="1"/>
  <c r="AG317" i="8"/>
  <c r="AG318" i="11" s="1"/>
  <c r="A318" i="8"/>
  <c r="B318" i="8"/>
  <c r="C318" i="8"/>
  <c r="D318" i="8"/>
  <c r="E318" i="8"/>
  <c r="F318" i="8"/>
  <c r="F319" i="21" s="1"/>
  <c r="G318" i="8"/>
  <c r="G319" i="21" s="1"/>
  <c r="H318" i="8"/>
  <c r="H319" i="21" s="1"/>
  <c r="I318" i="8"/>
  <c r="I319" i="21" s="1"/>
  <c r="J318" i="8"/>
  <c r="J319" i="21" s="1"/>
  <c r="K318" i="8"/>
  <c r="K319" i="21" s="1"/>
  <c r="L318" i="8"/>
  <c r="L319" i="21" s="1"/>
  <c r="M318" i="8"/>
  <c r="M319" i="21" s="1"/>
  <c r="N318" i="8"/>
  <c r="N319" i="21" s="1"/>
  <c r="O318" i="8"/>
  <c r="O319" i="21" s="1"/>
  <c r="P318" i="8"/>
  <c r="P319" i="21" s="1"/>
  <c r="Q318" i="8"/>
  <c r="Q319" i="21" s="1"/>
  <c r="R318" i="8"/>
  <c r="R319" i="21" s="1"/>
  <c r="S318" i="8"/>
  <c r="S319" i="21" s="1"/>
  <c r="T318" i="8"/>
  <c r="T319" i="21" s="1"/>
  <c r="U318" i="8"/>
  <c r="U319" i="21" s="1"/>
  <c r="V318" i="8"/>
  <c r="V319" i="21" s="1"/>
  <c r="W318" i="8"/>
  <c r="W319" i="21" s="1"/>
  <c r="X318" i="8"/>
  <c r="X319" i="21" s="1"/>
  <c r="Y318" i="8"/>
  <c r="Y319" i="21" s="1"/>
  <c r="Z318" i="8"/>
  <c r="Z319" i="21" s="1"/>
  <c r="AA318" i="8"/>
  <c r="AA319" i="21" s="1"/>
  <c r="AB318" i="8"/>
  <c r="AB319" i="21" s="1"/>
  <c r="AC318" i="8"/>
  <c r="AC319" i="21" s="1"/>
  <c r="AD318" i="8"/>
  <c r="AD319" i="21" s="1"/>
  <c r="AE318" i="8"/>
  <c r="AE319" i="21" s="1"/>
  <c r="AF318" i="8"/>
  <c r="AF319" i="21" s="1"/>
  <c r="AG318" i="8"/>
  <c r="A319" i="8"/>
  <c r="B319" i="8"/>
  <c r="C319" i="8"/>
  <c r="D319" i="8"/>
  <c r="E319" i="8"/>
  <c r="F319" i="8"/>
  <c r="F320" i="21" s="1"/>
  <c r="G319" i="8"/>
  <c r="G320" i="21" s="1"/>
  <c r="H319" i="8"/>
  <c r="H320" i="21" s="1"/>
  <c r="I319" i="8"/>
  <c r="I320" i="21" s="1"/>
  <c r="J319" i="8"/>
  <c r="J320" i="21" s="1"/>
  <c r="K319" i="8"/>
  <c r="K320" i="21" s="1"/>
  <c r="L319" i="8"/>
  <c r="L320" i="21" s="1"/>
  <c r="M319" i="8"/>
  <c r="M320" i="21" s="1"/>
  <c r="N319" i="8"/>
  <c r="N320" i="21" s="1"/>
  <c r="O319" i="8"/>
  <c r="O320" i="21" s="1"/>
  <c r="P319" i="8"/>
  <c r="P320" i="21" s="1"/>
  <c r="Q319" i="8"/>
  <c r="Q320" i="21" s="1"/>
  <c r="R319" i="8"/>
  <c r="R320" i="21" s="1"/>
  <c r="S319" i="8"/>
  <c r="S320" i="21" s="1"/>
  <c r="T319" i="8"/>
  <c r="T320" i="21" s="1"/>
  <c r="U319" i="8"/>
  <c r="U320" i="21" s="1"/>
  <c r="V319" i="8"/>
  <c r="V320" i="21" s="1"/>
  <c r="W319" i="8"/>
  <c r="W320" i="21" s="1"/>
  <c r="X319" i="8"/>
  <c r="X320" i="21" s="1"/>
  <c r="Y319" i="8"/>
  <c r="Y320" i="21" s="1"/>
  <c r="Z319" i="8"/>
  <c r="Z320" i="21" s="1"/>
  <c r="AA319" i="8"/>
  <c r="AA320" i="21" s="1"/>
  <c r="AB319" i="8"/>
  <c r="AB320" i="21" s="1"/>
  <c r="AC319" i="8"/>
  <c r="AC320" i="21" s="1"/>
  <c r="AD319" i="8"/>
  <c r="AD320" i="21" s="1"/>
  <c r="AE319" i="8"/>
  <c r="AE320" i="21" s="1"/>
  <c r="AF319" i="8"/>
  <c r="AF320" i="21" s="1"/>
  <c r="AG319" i="8"/>
  <c r="A320" i="8"/>
  <c r="B320" i="8"/>
  <c r="C320" i="8"/>
  <c r="D320" i="8"/>
  <c r="E320" i="8"/>
  <c r="F320" i="8"/>
  <c r="F321" i="21" s="1"/>
  <c r="G320" i="8"/>
  <c r="G321" i="21" s="1"/>
  <c r="H320" i="8"/>
  <c r="H321" i="21" s="1"/>
  <c r="I320" i="8"/>
  <c r="I321" i="21" s="1"/>
  <c r="J320" i="8"/>
  <c r="J321" i="21" s="1"/>
  <c r="K320" i="8"/>
  <c r="K321" i="21" s="1"/>
  <c r="L320" i="8"/>
  <c r="L321" i="21" s="1"/>
  <c r="M320" i="8"/>
  <c r="M321" i="21" s="1"/>
  <c r="N320" i="8"/>
  <c r="N321" i="21" s="1"/>
  <c r="O320" i="8"/>
  <c r="O321" i="21" s="1"/>
  <c r="P320" i="8"/>
  <c r="P321" i="21" s="1"/>
  <c r="Q320" i="8"/>
  <c r="Q321" i="21" s="1"/>
  <c r="R320" i="8"/>
  <c r="R321" i="21" s="1"/>
  <c r="S320" i="8"/>
  <c r="S321" i="21" s="1"/>
  <c r="T320" i="8"/>
  <c r="T321" i="21" s="1"/>
  <c r="U320" i="8"/>
  <c r="U321" i="21" s="1"/>
  <c r="V320" i="8"/>
  <c r="V321" i="21" s="1"/>
  <c r="W320" i="8"/>
  <c r="W321" i="21" s="1"/>
  <c r="X320" i="8"/>
  <c r="X321" i="21" s="1"/>
  <c r="Y320" i="8"/>
  <c r="Y321" i="21" s="1"/>
  <c r="Z320" i="8"/>
  <c r="Z321" i="21" s="1"/>
  <c r="AA320" i="8"/>
  <c r="AA321" i="21" s="1"/>
  <c r="AB320" i="8"/>
  <c r="AB321" i="21" s="1"/>
  <c r="AC320" i="8"/>
  <c r="AC321" i="21" s="1"/>
  <c r="AD320" i="8"/>
  <c r="AD321" i="21" s="1"/>
  <c r="AE320" i="8"/>
  <c r="AE321" i="21" s="1"/>
  <c r="AF320" i="8"/>
  <c r="AF321" i="21" s="1"/>
  <c r="AG320" i="8"/>
  <c r="A321" i="8"/>
  <c r="B321" i="8"/>
  <c r="C321" i="8"/>
  <c r="D321" i="8"/>
  <c r="E321" i="8"/>
  <c r="F321" i="8"/>
  <c r="F322" i="21" s="1"/>
  <c r="G321" i="8"/>
  <c r="G322" i="21" s="1"/>
  <c r="H321" i="8"/>
  <c r="H322" i="21" s="1"/>
  <c r="I321" i="8"/>
  <c r="I322" i="21" s="1"/>
  <c r="J321" i="8"/>
  <c r="J322" i="21" s="1"/>
  <c r="K321" i="8"/>
  <c r="K322" i="21" s="1"/>
  <c r="L321" i="8"/>
  <c r="L322" i="21" s="1"/>
  <c r="M321" i="8"/>
  <c r="M322" i="21" s="1"/>
  <c r="N321" i="8"/>
  <c r="N322" i="21" s="1"/>
  <c r="O321" i="8"/>
  <c r="O322" i="21" s="1"/>
  <c r="P321" i="8"/>
  <c r="P322" i="21" s="1"/>
  <c r="Q321" i="8"/>
  <c r="Q322" i="21" s="1"/>
  <c r="R321" i="8"/>
  <c r="R322" i="21" s="1"/>
  <c r="S321" i="8"/>
  <c r="S322" i="21" s="1"/>
  <c r="T321" i="8"/>
  <c r="T322" i="21" s="1"/>
  <c r="U321" i="8"/>
  <c r="U322" i="21" s="1"/>
  <c r="V321" i="8"/>
  <c r="V322" i="21" s="1"/>
  <c r="W321" i="8"/>
  <c r="W322" i="21" s="1"/>
  <c r="X321" i="8"/>
  <c r="X322" i="21" s="1"/>
  <c r="Y321" i="8"/>
  <c r="Y322" i="21" s="1"/>
  <c r="Z321" i="8"/>
  <c r="Z322" i="21" s="1"/>
  <c r="AA321" i="8"/>
  <c r="AA322" i="21" s="1"/>
  <c r="AB321" i="8"/>
  <c r="AB322" i="21" s="1"/>
  <c r="AC321" i="8"/>
  <c r="AC322" i="21" s="1"/>
  <c r="AD321" i="8"/>
  <c r="AD322" i="21" s="1"/>
  <c r="AE321" i="8"/>
  <c r="AE322" i="21" s="1"/>
  <c r="AF321" i="8"/>
  <c r="AF322" i="21" s="1"/>
  <c r="AG321" i="8"/>
  <c r="A322" i="8"/>
  <c r="B322" i="8"/>
  <c r="C322" i="8"/>
  <c r="D322" i="8"/>
  <c r="E322" i="8"/>
  <c r="F322" i="8"/>
  <c r="F323" i="21" s="1"/>
  <c r="G322" i="8"/>
  <c r="G323" i="21" s="1"/>
  <c r="H322" i="8"/>
  <c r="H323" i="21" s="1"/>
  <c r="I322" i="8"/>
  <c r="I323" i="21" s="1"/>
  <c r="J322" i="8"/>
  <c r="J323" i="21" s="1"/>
  <c r="K322" i="8"/>
  <c r="K323" i="21" s="1"/>
  <c r="L322" i="8"/>
  <c r="L323" i="21" s="1"/>
  <c r="M322" i="8"/>
  <c r="M323" i="21" s="1"/>
  <c r="N322" i="8"/>
  <c r="N323" i="21" s="1"/>
  <c r="O322" i="8"/>
  <c r="O323" i="21" s="1"/>
  <c r="P322" i="8"/>
  <c r="P323" i="21" s="1"/>
  <c r="Q322" i="8"/>
  <c r="Q323" i="21" s="1"/>
  <c r="R322" i="8"/>
  <c r="R323" i="21" s="1"/>
  <c r="S322" i="8"/>
  <c r="S323" i="21" s="1"/>
  <c r="T322" i="8"/>
  <c r="T323" i="21" s="1"/>
  <c r="U322" i="8"/>
  <c r="U323" i="21" s="1"/>
  <c r="V322" i="8"/>
  <c r="V323" i="21" s="1"/>
  <c r="W322" i="8"/>
  <c r="W323" i="21" s="1"/>
  <c r="X322" i="8"/>
  <c r="X323" i="21" s="1"/>
  <c r="Y322" i="8"/>
  <c r="Y323" i="21" s="1"/>
  <c r="Z322" i="8"/>
  <c r="Z323" i="21" s="1"/>
  <c r="AA322" i="8"/>
  <c r="AA323" i="21" s="1"/>
  <c r="AB322" i="8"/>
  <c r="AB323" i="21" s="1"/>
  <c r="AC322" i="8"/>
  <c r="AC323" i="21" s="1"/>
  <c r="AD322" i="8"/>
  <c r="AD323" i="21" s="1"/>
  <c r="AE322" i="8"/>
  <c r="AE323" i="21" s="1"/>
  <c r="AF322" i="8"/>
  <c r="AF323" i="21" s="1"/>
  <c r="AG322" i="8"/>
  <c r="A323" i="8"/>
  <c r="B323" i="8"/>
  <c r="C323" i="8"/>
  <c r="D323" i="8"/>
  <c r="E323" i="8"/>
  <c r="F323" i="8"/>
  <c r="F324" i="21" s="1"/>
  <c r="G323" i="8"/>
  <c r="G324" i="21" s="1"/>
  <c r="H323" i="8"/>
  <c r="H324" i="21" s="1"/>
  <c r="I323" i="8"/>
  <c r="I324" i="21" s="1"/>
  <c r="J323" i="8"/>
  <c r="J324" i="21" s="1"/>
  <c r="K323" i="8"/>
  <c r="K324" i="21" s="1"/>
  <c r="L323" i="8"/>
  <c r="L324" i="21" s="1"/>
  <c r="M323" i="8"/>
  <c r="M324" i="21" s="1"/>
  <c r="N323" i="8"/>
  <c r="N324" i="21" s="1"/>
  <c r="O323" i="8"/>
  <c r="O324" i="21" s="1"/>
  <c r="P323" i="8"/>
  <c r="P324" i="21" s="1"/>
  <c r="Q323" i="8"/>
  <c r="Q324" i="21" s="1"/>
  <c r="R323" i="8"/>
  <c r="R324" i="21" s="1"/>
  <c r="S323" i="8"/>
  <c r="S324" i="21" s="1"/>
  <c r="T323" i="8"/>
  <c r="T324" i="21" s="1"/>
  <c r="U323" i="8"/>
  <c r="U324" i="21" s="1"/>
  <c r="V323" i="8"/>
  <c r="V324" i="21" s="1"/>
  <c r="W323" i="8"/>
  <c r="W324" i="21" s="1"/>
  <c r="X323" i="8"/>
  <c r="X324" i="21" s="1"/>
  <c r="Y323" i="8"/>
  <c r="Y324" i="21" s="1"/>
  <c r="Z323" i="8"/>
  <c r="Z324" i="21" s="1"/>
  <c r="AA323" i="8"/>
  <c r="AA324" i="21" s="1"/>
  <c r="AB323" i="8"/>
  <c r="AB324" i="21" s="1"/>
  <c r="AC323" i="8"/>
  <c r="AC324" i="21" s="1"/>
  <c r="AD323" i="8"/>
  <c r="AD324" i="21" s="1"/>
  <c r="AE323" i="8"/>
  <c r="AF323" i="8"/>
  <c r="AF324" i="21" s="1"/>
  <c r="AG323" i="8"/>
  <c r="A324" i="8"/>
  <c r="B324" i="8"/>
  <c r="C324" i="8"/>
  <c r="D324" i="8"/>
  <c r="E324" i="8"/>
  <c r="F324" i="8"/>
  <c r="F325" i="21" s="1"/>
  <c r="G324" i="8"/>
  <c r="G325" i="21" s="1"/>
  <c r="H324" i="8"/>
  <c r="H325" i="21" s="1"/>
  <c r="I324" i="8"/>
  <c r="I325" i="21" s="1"/>
  <c r="J324" i="8"/>
  <c r="J325" i="21" s="1"/>
  <c r="K324" i="8"/>
  <c r="K325" i="21" s="1"/>
  <c r="L324" i="8"/>
  <c r="L325" i="21" s="1"/>
  <c r="M324" i="8"/>
  <c r="M325" i="21" s="1"/>
  <c r="N324" i="8"/>
  <c r="N325" i="21" s="1"/>
  <c r="O324" i="8"/>
  <c r="O325" i="21" s="1"/>
  <c r="P324" i="8"/>
  <c r="P325" i="21" s="1"/>
  <c r="Q324" i="8"/>
  <c r="Q325" i="21" s="1"/>
  <c r="R324" i="8"/>
  <c r="R325" i="21" s="1"/>
  <c r="S324" i="8"/>
  <c r="S325" i="21" s="1"/>
  <c r="T324" i="8"/>
  <c r="T325" i="21" s="1"/>
  <c r="U324" i="8"/>
  <c r="U325" i="21" s="1"/>
  <c r="V324" i="8"/>
  <c r="V325" i="21" s="1"/>
  <c r="W324" i="8"/>
  <c r="W325" i="21" s="1"/>
  <c r="X324" i="8"/>
  <c r="X325" i="21" s="1"/>
  <c r="Y324" i="8"/>
  <c r="Y325" i="21" s="1"/>
  <c r="Z324" i="8"/>
  <c r="Z325" i="21" s="1"/>
  <c r="AA324" i="8"/>
  <c r="AA325" i="21" s="1"/>
  <c r="AB324" i="8"/>
  <c r="AB325" i="21" s="1"/>
  <c r="AC324" i="8"/>
  <c r="AC325" i="21" s="1"/>
  <c r="AD324" i="8"/>
  <c r="AD325" i="21" s="1"/>
  <c r="AE324" i="8"/>
  <c r="AE325" i="21" s="1"/>
  <c r="AF324" i="8"/>
  <c r="AF325" i="21" s="1"/>
  <c r="AG324" i="8"/>
  <c r="A325" i="8"/>
  <c r="B325" i="8"/>
  <c r="C325" i="8"/>
  <c r="D325" i="8"/>
  <c r="E325" i="8"/>
  <c r="F325" i="8"/>
  <c r="F326" i="21" s="1"/>
  <c r="G325" i="8"/>
  <c r="G326" i="21" s="1"/>
  <c r="H325" i="8"/>
  <c r="H326" i="21" s="1"/>
  <c r="I325" i="8"/>
  <c r="I326" i="21" s="1"/>
  <c r="J325" i="8"/>
  <c r="J326" i="21" s="1"/>
  <c r="K325" i="8"/>
  <c r="K326" i="21" s="1"/>
  <c r="L325" i="8"/>
  <c r="L326" i="21" s="1"/>
  <c r="M325" i="8"/>
  <c r="M326" i="21" s="1"/>
  <c r="N325" i="8"/>
  <c r="N326" i="21" s="1"/>
  <c r="O325" i="8"/>
  <c r="O326" i="21" s="1"/>
  <c r="P325" i="8"/>
  <c r="P326" i="21" s="1"/>
  <c r="Q325" i="8"/>
  <c r="Q326" i="21" s="1"/>
  <c r="R325" i="8"/>
  <c r="R326" i="21" s="1"/>
  <c r="S325" i="8"/>
  <c r="S326" i="21" s="1"/>
  <c r="T325" i="8"/>
  <c r="T326" i="21" s="1"/>
  <c r="U325" i="8"/>
  <c r="U326" i="21" s="1"/>
  <c r="V325" i="8"/>
  <c r="V326" i="21" s="1"/>
  <c r="W325" i="8"/>
  <c r="W326" i="21" s="1"/>
  <c r="X325" i="8"/>
  <c r="X326" i="21" s="1"/>
  <c r="Y325" i="8"/>
  <c r="Y326" i="21" s="1"/>
  <c r="Z325" i="8"/>
  <c r="Z326" i="21" s="1"/>
  <c r="AA325" i="8"/>
  <c r="AA326" i="21" s="1"/>
  <c r="AB325" i="8"/>
  <c r="AB326" i="21" s="1"/>
  <c r="AC325" i="8"/>
  <c r="AC326" i="21" s="1"/>
  <c r="AD325" i="8"/>
  <c r="AD326" i="21" s="1"/>
  <c r="AE325" i="8"/>
  <c r="AE326" i="21" s="1"/>
  <c r="AF325" i="8"/>
  <c r="AF326" i="21" s="1"/>
  <c r="AG325" i="8"/>
  <c r="A326" i="8"/>
  <c r="B326" i="8"/>
  <c r="C326" i="8"/>
  <c r="D326" i="8"/>
  <c r="E326" i="8"/>
  <c r="F326" i="8"/>
  <c r="F327" i="21" s="1"/>
  <c r="G326" i="8"/>
  <c r="G327" i="21" s="1"/>
  <c r="H326" i="8"/>
  <c r="H327" i="21" s="1"/>
  <c r="I326" i="8"/>
  <c r="I327" i="21" s="1"/>
  <c r="J326" i="8"/>
  <c r="J327" i="21" s="1"/>
  <c r="K326" i="8"/>
  <c r="K327" i="21" s="1"/>
  <c r="L326" i="8"/>
  <c r="L327" i="21" s="1"/>
  <c r="M326" i="8"/>
  <c r="M327" i="21" s="1"/>
  <c r="N326" i="8"/>
  <c r="N327" i="21" s="1"/>
  <c r="O326" i="8"/>
  <c r="O327" i="21" s="1"/>
  <c r="P326" i="8"/>
  <c r="P327" i="21" s="1"/>
  <c r="Q326" i="8"/>
  <c r="Q327" i="21" s="1"/>
  <c r="R326" i="8"/>
  <c r="R327" i="21" s="1"/>
  <c r="S326" i="8"/>
  <c r="S327" i="21" s="1"/>
  <c r="T326" i="8"/>
  <c r="T327" i="21" s="1"/>
  <c r="U326" i="8"/>
  <c r="U327" i="21" s="1"/>
  <c r="V326" i="8"/>
  <c r="V327" i="21" s="1"/>
  <c r="W326" i="8"/>
  <c r="W327" i="21" s="1"/>
  <c r="X326" i="8"/>
  <c r="X327" i="21" s="1"/>
  <c r="Y326" i="8"/>
  <c r="Y327" i="21" s="1"/>
  <c r="Z326" i="8"/>
  <c r="Z327" i="21" s="1"/>
  <c r="AA326" i="8"/>
  <c r="AA327" i="21" s="1"/>
  <c r="AB326" i="8"/>
  <c r="AB327" i="21" s="1"/>
  <c r="AC326" i="8"/>
  <c r="AC327" i="21" s="1"/>
  <c r="AD326" i="8"/>
  <c r="AD327" i="21" s="1"/>
  <c r="AE326" i="8"/>
  <c r="AE327" i="21" s="1"/>
  <c r="AF326" i="8"/>
  <c r="AF327" i="21" s="1"/>
  <c r="AG326" i="8"/>
  <c r="A327" i="8"/>
  <c r="B327" i="8"/>
  <c r="C327" i="8"/>
  <c r="D327" i="8"/>
  <c r="E327" i="8"/>
  <c r="F327" i="8"/>
  <c r="F328" i="21" s="1"/>
  <c r="G327" i="8"/>
  <c r="G328" i="21" s="1"/>
  <c r="H327" i="8"/>
  <c r="H328" i="21" s="1"/>
  <c r="I327" i="8"/>
  <c r="I328" i="21" s="1"/>
  <c r="J327" i="8"/>
  <c r="J328" i="21" s="1"/>
  <c r="K327" i="8"/>
  <c r="K328" i="21" s="1"/>
  <c r="L327" i="8"/>
  <c r="L328" i="21" s="1"/>
  <c r="M327" i="8"/>
  <c r="M328" i="21" s="1"/>
  <c r="N327" i="8"/>
  <c r="N328" i="21" s="1"/>
  <c r="O327" i="8"/>
  <c r="O328" i="21" s="1"/>
  <c r="P327" i="8"/>
  <c r="P328" i="21" s="1"/>
  <c r="Q327" i="8"/>
  <c r="Q328" i="21" s="1"/>
  <c r="R327" i="8"/>
  <c r="R328" i="21" s="1"/>
  <c r="S327" i="8"/>
  <c r="S328" i="21" s="1"/>
  <c r="T327" i="8"/>
  <c r="T328" i="21" s="1"/>
  <c r="U327" i="8"/>
  <c r="U328" i="21" s="1"/>
  <c r="V327" i="8"/>
  <c r="V328" i="21" s="1"/>
  <c r="W327" i="8"/>
  <c r="W328" i="21" s="1"/>
  <c r="X327" i="8"/>
  <c r="X328" i="21" s="1"/>
  <c r="Y327" i="8"/>
  <c r="Y328" i="21" s="1"/>
  <c r="Z327" i="8"/>
  <c r="Z328" i="21" s="1"/>
  <c r="AA327" i="8"/>
  <c r="AA328" i="21" s="1"/>
  <c r="AB327" i="8"/>
  <c r="AB328" i="21" s="1"/>
  <c r="AC327" i="8"/>
  <c r="AC328" i="21" s="1"/>
  <c r="AD327" i="8"/>
  <c r="AD328" i="21" s="1"/>
  <c r="AE327" i="8"/>
  <c r="AE328" i="21" s="1"/>
  <c r="AF327" i="8"/>
  <c r="AF328" i="21" s="1"/>
  <c r="AG327" i="8"/>
  <c r="A328" i="8"/>
  <c r="B328" i="8"/>
  <c r="C328" i="8"/>
  <c r="D328" i="8"/>
  <c r="E328" i="8"/>
  <c r="F328" i="8"/>
  <c r="F329" i="21" s="1"/>
  <c r="G328" i="8"/>
  <c r="G329" i="21" s="1"/>
  <c r="H328" i="8"/>
  <c r="H329" i="21" s="1"/>
  <c r="I328" i="8"/>
  <c r="I329" i="21" s="1"/>
  <c r="J328" i="8"/>
  <c r="J329" i="21" s="1"/>
  <c r="K328" i="8"/>
  <c r="K329" i="21" s="1"/>
  <c r="L328" i="8"/>
  <c r="L329" i="21" s="1"/>
  <c r="M328" i="8"/>
  <c r="M329" i="21" s="1"/>
  <c r="N328" i="8"/>
  <c r="N329" i="21" s="1"/>
  <c r="O328" i="8"/>
  <c r="O329" i="21" s="1"/>
  <c r="P328" i="8"/>
  <c r="P329" i="21" s="1"/>
  <c r="Q328" i="8"/>
  <c r="Q329" i="21" s="1"/>
  <c r="R328" i="8"/>
  <c r="R329" i="21" s="1"/>
  <c r="S328" i="8"/>
  <c r="S329" i="21" s="1"/>
  <c r="T328" i="8"/>
  <c r="T329" i="21" s="1"/>
  <c r="U328" i="8"/>
  <c r="U329" i="21" s="1"/>
  <c r="V328" i="8"/>
  <c r="V329" i="21" s="1"/>
  <c r="W328" i="8"/>
  <c r="W329" i="21" s="1"/>
  <c r="X328" i="8"/>
  <c r="X329" i="21" s="1"/>
  <c r="Y328" i="8"/>
  <c r="Y329" i="21" s="1"/>
  <c r="Z328" i="8"/>
  <c r="Z329" i="21" s="1"/>
  <c r="AA328" i="8"/>
  <c r="AA329" i="21" s="1"/>
  <c r="AB328" i="8"/>
  <c r="AB329" i="21" s="1"/>
  <c r="AC328" i="8"/>
  <c r="AC329" i="21" s="1"/>
  <c r="AD328" i="8"/>
  <c r="AD329" i="21" s="1"/>
  <c r="AE328" i="8"/>
  <c r="AE329" i="21" s="1"/>
  <c r="AF328" i="8"/>
  <c r="AF329" i="21" s="1"/>
  <c r="AG328" i="8"/>
  <c r="A329" i="8"/>
  <c r="B329" i="8"/>
  <c r="C329" i="8"/>
  <c r="D329" i="8"/>
  <c r="E329" i="8"/>
  <c r="F329" i="8"/>
  <c r="F330" i="21" s="1"/>
  <c r="G329" i="8"/>
  <c r="G330" i="21" s="1"/>
  <c r="H329" i="8"/>
  <c r="H330" i="21" s="1"/>
  <c r="I329" i="8"/>
  <c r="I330" i="21" s="1"/>
  <c r="J329" i="8"/>
  <c r="J330" i="21" s="1"/>
  <c r="K329" i="8"/>
  <c r="K330" i="21" s="1"/>
  <c r="L329" i="8"/>
  <c r="L330" i="21" s="1"/>
  <c r="M329" i="8"/>
  <c r="M330" i="21" s="1"/>
  <c r="N329" i="8"/>
  <c r="N330" i="21" s="1"/>
  <c r="O329" i="8"/>
  <c r="O330" i="21" s="1"/>
  <c r="P329" i="8"/>
  <c r="P330" i="21" s="1"/>
  <c r="Q329" i="8"/>
  <c r="Q330" i="21" s="1"/>
  <c r="R329" i="8"/>
  <c r="R330" i="21" s="1"/>
  <c r="S329" i="8"/>
  <c r="S330" i="21" s="1"/>
  <c r="T329" i="8"/>
  <c r="T330" i="21" s="1"/>
  <c r="U329" i="8"/>
  <c r="U330" i="21" s="1"/>
  <c r="V329" i="8"/>
  <c r="V330" i="21" s="1"/>
  <c r="W329" i="8"/>
  <c r="W330" i="21" s="1"/>
  <c r="X329" i="8"/>
  <c r="X330" i="21" s="1"/>
  <c r="Y329" i="8"/>
  <c r="Y330" i="21" s="1"/>
  <c r="Z329" i="8"/>
  <c r="Z330" i="21" s="1"/>
  <c r="AA329" i="8"/>
  <c r="AA330" i="21" s="1"/>
  <c r="AB329" i="8"/>
  <c r="AB330" i="21" s="1"/>
  <c r="AC329" i="8"/>
  <c r="AC330" i="21" s="1"/>
  <c r="AD329" i="8"/>
  <c r="AD330" i="21" s="1"/>
  <c r="AE329" i="8"/>
  <c r="AE330" i="21" s="1"/>
  <c r="AF329" i="8"/>
  <c r="AF330" i="21" s="1"/>
  <c r="AG329" i="8"/>
  <c r="A330" i="8"/>
  <c r="B330" i="8"/>
  <c r="C330" i="8"/>
  <c r="D330" i="8"/>
  <c r="E330" i="8"/>
  <c r="F330" i="8"/>
  <c r="F331" i="21" s="1"/>
  <c r="G330" i="8"/>
  <c r="G331" i="21" s="1"/>
  <c r="H330" i="8"/>
  <c r="H331" i="21" s="1"/>
  <c r="I330" i="8"/>
  <c r="I331" i="21" s="1"/>
  <c r="J330" i="8"/>
  <c r="J331" i="21" s="1"/>
  <c r="K330" i="8"/>
  <c r="K331" i="21" s="1"/>
  <c r="L330" i="8"/>
  <c r="L331" i="21" s="1"/>
  <c r="M330" i="8"/>
  <c r="M331" i="21" s="1"/>
  <c r="N330" i="8"/>
  <c r="N331" i="21" s="1"/>
  <c r="O330" i="8"/>
  <c r="O331" i="21" s="1"/>
  <c r="P330" i="8"/>
  <c r="P331" i="21" s="1"/>
  <c r="Q330" i="8"/>
  <c r="Q331" i="21" s="1"/>
  <c r="R330" i="8"/>
  <c r="R331" i="21" s="1"/>
  <c r="S330" i="8"/>
  <c r="S331" i="21" s="1"/>
  <c r="T330" i="8"/>
  <c r="T331" i="21" s="1"/>
  <c r="U330" i="8"/>
  <c r="U331" i="21" s="1"/>
  <c r="V330" i="8"/>
  <c r="V331" i="21" s="1"/>
  <c r="W330" i="8"/>
  <c r="W331" i="21" s="1"/>
  <c r="X330" i="8"/>
  <c r="X331" i="21" s="1"/>
  <c r="Y330" i="8"/>
  <c r="Y331" i="21" s="1"/>
  <c r="Z330" i="8"/>
  <c r="Z331" i="21" s="1"/>
  <c r="AA330" i="8"/>
  <c r="AA331" i="21" s="1"/>
  <c r="AB330" i="8"/>
  <c r="AB331" i="21" s="1"/>
  <c r="AC330" i="8"/>
  <c r="AC331" i="21" s="1"/>
  <c r="AD330" i="8"/>
  <c r="AD331" i="21" s="1"/>
  <c r="AE330" i="8"/>
  <c r="AE331" i="21" s="1"/>
  <c r="AF330" i="8"/>
  <c r="AG330" i="8"/>
  <c r="AG331" i="9" s="1"/>
  <c r="A331" i="8"/>
  <c r="B331" i="8"/>
  <c r="C331" i="8"/>
  <c r="D331" i="8"/>
  <c r="E331" i="8"/>
  <c r="F331" i="8"/>
  <c r="F332" i="21" s="1"/>
  <c r="G331" i="8"/>
  <c r="G332" i="21" s="1"/>
  <c r="H331" i="8"/>
  <c r="H332" i="21" s="1"/>
  <c r="I331" i="8"/>
  <c r="I332" i="21" s="1"/>
  <c r="J331" i="8"/>
  <c r="J332" i="21" s="1"/>
  <c r="K331" i="8"/>
  <c r="K332" i="21" s="1"/>
  <c r="L331" i="8"/>
  <c r="L332" i="21" s="1"/>
  <c r="M331" i="8"/>
  <c r="M332" i="21" s="1"/>
  <c r="N331" i="8"/>
  <c r="N332" i="21" s="1"/>
  <c r="O331" i="8"/>
  <c r="O332" i="21" s="1"/>
  <c r="P331" i="8"/>
  <c r="P332" i="21" s="1"/>
  <c r="Q331" i="8"/>
  <c r="Q332" i="21" s="1"/>
  <c r="R331" i="8"/>
  <c r="R332" i="21" s="1"/>
  <c r="S331" i="8"/>
  <c r="S332" i="21" s="1"/>
  <c r="T331" i="8"/>
  <c r="T332" i="21" s="1"/>
  <c r="U331" i="8"/>
  <c r="U332" i="21" s="1"/>
  <c r="V331" i="8"/>
  <c r="V332" i="21" s="1"/>
  <c r="W331" i="8"/>
  <c r="W332" i="21" s="1"/>
  <c r="X331" i="8"/>
  <c r="X332" i="21" s="1"/>
  <c r="Y331" i="8"/>
  <c r="Y332" i="21" s="1"/>
  <c r="Z331" i="8"/>
  <c r="Z332" i="21" s="1"/>
  <c r="AA331" i="8"/>
  <c r="AA332" i="21" s="1"/>
  <c r="AB331" i="8"/>
  <c r="AB332" i="21" s="1"/>
  <c r="AC331" i="8"/>
  <c r="AC332" i="21" s="1"/>
  <c r="AD331" i="8"/>
  <c r="AD332" i="21" s="1"/>
  <c r="AE331" i="8"/>
  <c r="AE332" i="21" s="1"/>
  <c r="AF331" i="8"/>
  <c r="AF332" i="21" s="1"/>
  <c r="AG331" i="8"/>
  <c r="A332" i="8"/>
  <c r="B332" i="8"/>
  <c r="C332" i="8"/>
  <c r="D332" i="8"/>
  <c r="E332" i="8"/>
  <c r="F332" i="8"/>
  <c r="F333" i="21" s="1"/>
  <c r="G332" i="8"/>
  <c r="G333" i="21" s="1"/>
  <c r="H332" i="8"/>
  <c r="H333" i="21" s="1"/>
  <c r="I332" i="8"/>
  <c r="I333" i="21" s="1"/>
  <c r="J332" i="8"/>
  <c r="J333" i="21" s="1"/>
  <c r="K332" i="8"/>
  <c r="K333" i="21" s="1"/>
  <c r="L332" i="8"/>
  <c r="L333" i="21" s="1"/>
  <c r="M332" i="8"/>
  <c r="M333" i="21" s="1"/>
  <c r="N332" i="8"/>
  <c r="N333" i="21" s="1"/>
  <c r="O332" i="8"/>
  <c r="O333" i="21" s="1"/>
  <c r="P332" i="8"/>
  <c r="P333" i="21" s="1"/>
  <c r="Q332" i="8"/>
  <c r="Q333" i="21" s="1"/>
  <c r="R332" i="8"/>
  <c r="R333" i="21" s="1"/>
  <c r="S332" i="8"/>
  <c r="S333" i="21" s="1"/>
  <c r="T332" i="8"/>
  <c r="T333" i="21" s="1"/>
  <c r="U332" i="8"/>
  <c r="U333" i="21" s="1"/>
  <c r="V332" i="8"/>
  <c r="V333" i="21" s="1"/>
  <c r="W332" i="8"/>
  <c r="W333" i="21" s="1"/>
  <c r="X332" i="8"/>
  <c r="X333" i="21" s="1"/>
  <c r="Y332" i="8"/>
  <c r="Y333" i="21" s="1"/>
  <c r="Z332" i="8"/>
  <c r="Z333" i="21" s="1"/>
  <c r="AA332" i="8"/>
  <c r="AA333" i="21" s="1"/>
  <c r="AB332" i="8"/>
  <c r="AB333" i="21" s="1"/>
  <c r="AC332" i="8"/>
  <c r="AC333" i="21" s="1"/>
  <c r="AD332" i="8"/>
  <c r="AD333" i="21" s="1"/>
  <c r="AE332" i="8"/>
  <c r="AE333" i="21" s="1"/>
  <c r="AF332" i="8"/>
  <c r="AG332" i="8"/>
  <c r="AG333" i="11" s="1"/>
  <c r="A333" i="8"/>
  <c r="B333" i="8"/>
  <c r="C333" i="8"/>
  <c r="D333" i="8"/>
  <c r="E333" i="8"/>
  <c r="F333" i="8"/>
  <c r="F334" i="21" s="1"/>
  <c r="G333" i="8"/>
  <c r="G334" i="21" s="1"/>
  <c r="H333" i="8"/>
  <c r="H334" i="21" s="1"/>
  <c r="I333" i="8"/>
  <c r="I334" i="21" s="1"/>
  <c r="J333" i="8"/>
  <c r="J334" i="21" s="1"/>
  <c r="K333" i="8"/>
  <c r="K334" i="21" s="1"/>
  <c r="L333" i="8"/>
  <c r="L334" i="21" s="1"/>
  <c r="M333" i="8"/>
  <c r="M334" i="21" s="1"/>
  <c r="N333" i="8"/>
  <c r="N334" i="21" s="1"/>
  <c r="O333" i="8"/>
  <c r="O334" i="21" s="1"/>
  <c r="P333" i="8"/>
  <c r="P334" i="21" s="1"/>
  <c r="Q333" i="8"/>
  <c r="Q334" i="21" s="1"/>
  <c r="R333" i="8"/>
  <c r="R334" i="21" s="1"/>
  <c r="S333" i="8"/>
  <c r="S334" i="21" s="1"/>
  <c r="T333" i="8"/>
  <c r="T334" i="21" s="1"/>
  <c r="U333" i="8"/>
  <c r="U334" i="21" s="1"/>
  <c r="V333" i="8"/>
  <c r="V334" i="21" s="1"/>
  <c r="W333" i="8"/>
  <c r="W334" i="21" s="1"/>
  <c r="X333" i="8"/>
  <c r="X334" i="21" s="1"/>
  <c r="Y333" i="8"/>
  <c r="Y334" i="21" s="1"/>
  <c r="Z333" i="8"/>
  <c r="Z334" i="21" s="1"/>
  <c r="AA333" i="8"/>
  <c r="AA334" i="21" s="1"/>
  <c r="AB333" i="8"/>
  <c r="AB334" i="21" s="1"/>
  <c r="AC333" i="8"/>
  <c r="AC334" i="21" s="1"/>
  <c r="AD333" i="8"/>
  <c r="AD334" i="21" s="1"/>
  <c r="AE333" i="8"/>
  <c r="AE334" i="21" s="1"/>
  <c r="AF333" i="8"/>
  <c r="AG333" i="8"/>
  <c r="AG334" i="9" s="1"/>
  <c r="A334" i="8"/>
  <c r="B334" i="8"/>
  <c r="C334" i="8"/>
  <c r="D334" i="8"/>
  <c r="E334" i="8"/>
  <c r="F334" i="8"/>
  <c r="F335" i="21" s="1"/>
  <c r="G334" i="8"/>
  <c r="G335" i="21" s="1"/>
  <c r="H334" i="8"/>
  <c r="H335" i="21" s="1"/>
  <c r="I334" i="8"/>
  <c r="I335" i="21" s="1"/>
  <c r="J334" i="8"/>
  <c r="J335" i="21" s="1"/>
  <c r="K334" i="8"/>
  <c r="K335" i="21" s="1"/>
  <c r="L334" i="8"/>
  <c r="L335" i="21" s="1"/>
  <c r="M334" i="8"/>
  <c r="M335" i="21" s="1"/>
  <c r="N334" i="8"/>
  <c r="N335" i="21" s="1"/>
  <c r="O334" i="8"/>
  <c r="O335" i="21" s="1"/>
  <c r="P334" i="8"/>
  <c r="P335" i="21" s="1"/>
  <c r="Q334" i="8"/>
  <c r="Q335" i="21" s="1"/>
  <c r="R334" i="8"/>
  <c r="R335" i="21" s="1"/>
  <c r="S334" i="8"/>
  <c r="S335" i="21" s="1"/>
  <c r="T334" i="8"/>
  <c r="T335" i="21" s="1"/>
  <c r="U334" i="8"/>
  <c r="U335" i="21" s="1"/>
  <c r="V334" i="8"/>
  <c r="V335" i="21" s="1"/>
  <c r="W334" i="8"/>
  <c r="W335" i="21" s="1"/>
  <c r="X334" i="8"/>
  <c r="X335" i="21" s="1"/>
  <c r="Y334" i="8"/>
  <c r="Y335" i="21" s="1"/>
  <c r="Z334" i="8"/>
  <c r="Z335" i="21" s="1"/>
  <c r="AA334" i="8"/>
  <c r="AA335" i="21" s="1"/>
  <c r="AB334" i="8"/>
  <c r="AB335" i="21" s="1"/>
  <c r="AC334" i="8"/>
  <c r="AC335" i="21" s="1"/>
  <c r="AD334" i="8"/>
  <c r="AD335" i="21" s="1"/>
  <c r="AE334" i="8"/>
  <c r="AE335" i="21" s="1"/>
  <c r="AF334" i="8"/>
  <c r="AF335" i="21" s="1"/>
  <c r="AG334" i="8"/>
  <c r="A335" i="8"/>
  <c r="B335" i="8"/>
  <c r="C335" i="8"/>
  <c r="D335" i="8"/>
  <c r="E335" i="8"/>
  <c r="F335" i="8"/>
  <c r="F336" i="21" s="1"/>
  <c r="G335" i="8"/>
  <c r="G336" i="21" s="1"/>
  <c r="H335" i="8"/>
  <c r="H336" i="21" s="1"/>
  <c r="I335" i="8"/>
  <c r="I336" i="21" s="1"/>
  <c r="J335" i="8"/>
  <c r="J336" i="21" s="1"/>
  <c r="K335" i="8"/>
  <c r="K336" i="21" s="1"/>
  <c r="L335" i="8"/>
  <c r="L336" i="21" s="1"/>
  <c r="M335" i="8"/>
  <c r="M336" i="21" s="1"/>
  <c r="N335" i="8"/>
  <c r="N336" i="21" s="1"/>
  <c r="O335" i="8"/>
  <c r="O336" i="21" s="1"/>
  <c r="P335" i="8"/>
  <c r="P336" i="21" s="1"/>
  <c r="Q335" i="8"/>
  <c r="Q336" i="21" s="1"/>
  <c r="R335" i="8"/>
  <c r="R336" i="21" s="1"/>
  <c r="S335" i="8"/>
  <c r="S336" i="21" s="1"/>
  <c r="T335" i="8"/>
  <c r="T336" i="21" s="1"/>
  <c r="U335" i="8"/>
  <c r="U336" i="21" s="1"/>
  <c r="V335" i="8"/>
  <c r="V336" i="21" s="1"/>
  <c r="W335" i="8"/>
  <c r="W336" i="21" s="1"/>
  <c r="X335" i="8"/>
  <c r="X336" i="21" s="1"/>
  <c r="Y335" i="8"/>
  <c r="Y336" i="21" s="1"/>
  <c r="Z335" i="8"/>
  <c r="Z336" i="21" s="1"/>
  <c r="AA335" i="8"/>
  <c r="AA336" i="21" s="1"/>
  <c r="AB335" i="8"/>
  <c r="AB336" i="21" s="1"/>
  <c r="AC335" i="8"/>
  <c r="AC336" i="21" s="1"/>
  <c r="AD335" i="8"/>
  <c r="AD336" i="21" s="1"/>
  <c r="AE335" i="8"/>
  <c r="AE336" i="21" s="1"/>
  <c r="AF335" i="8"/>
  <c r="AF336" i="21" s="1"/>
  <c r="AG335" i="8"/>
  <c r="A336" i="8"/>
  <c r="B336" i="8"/>
  <c r="C336" i="8"/>
  <c r="D336" i="8"/>
  <c r="E336" i="8"/>
  <c r="F336" i="8"/>
  <c r="F337" i="21" s="1"/>
  <c r="G336" i="8"/>
  <c r="G337" i="21" s="1"/>
  <c r="H336" i="8"/>
  <c r="H337" i="21" s="1"/>
  <c r="I336" i="8"/>
  <c r="I337" i="21" s="1"/>
  <c r="J336" i="8"/>
  <c r="J337" i="21" s="1"/>
  <c r="K336" i="8"/>
  <c r="K337" i="21" s="1"/>
  <c r="L336" i="8"/>
  <c r="L337" i="21" s="1"/>
  <c r="M336" i="8"/>
  <c r="M337" i="21" s="1"/>
  <c r="N336" i="8"/>
  <c r="N337" i="21" s="1"/>
  <c r="O336" i="8"/>
  <c r="O337" i="21" s="1"/>
  <c r="P336" i="8"/>
  <c r="P337" i="21" s="1"/>
  <c r="Q336" i="8"/>
  <c r="Q337" i="21" s="1"/>
  <c r="R336" i="8"/>
  <c r="R337" i="21" s="1"/>
  <c r="S336" i="8"/>
  <c r="S337" i="21" s="1"/>
  <c r="T336" i="8"/>
  <c r="T337" i="21" s="1"/>
  <c r="U336" i="8"/>
  <c r="U337" i="21" s="1"/>
  <c r="V336" i="8"/>
  <c r="V337" i="21" s="1"/>
  <c r="W336" i="8"/>
  <c r="W337" i="21" s="1"/>
  <c r="X336" i="8"/>
  <c r="X337" i="21" s="1"/>
  <c r="Y336" i="8"/>
  <c r="Y337" i="21" s="1"/>
  <c r="Z336" i="8"/>
  <c r="Z337" i="21" s="1"/>
  <c r="AA336" i="8"/>
  <c r="AA337" i="21" s="1"/>
  <c r="AB336" i="8"/>
  <c r="AB337" i="21" s="1"/>
  <c r="AC336" i="8"/>
  <c r="AC337" i="21" s="1"/>
  <c r="AD336" i="8"/>
  <c r="AD337" i="21" s="1"/>
  <c r="AE336" i="8"/>
  <c r="AE337" i="21" s="1"/>
  <c r="AF336" i="8"/>
  <c r="AF337" i="21" s="1"/>
  <c r="AG336" i="8"/>
  <c r="A337" i="8"/>
  <c r="B337" i="8"/>
  <c r="C337" i="8"/>
  <c r="D337" i="8"/>
  <c r="E337" i="8"/>
  <c r="F337" i="8"/>
  <c r="F338" i="21" s="1"/>
  <c r="G337" i="8"/>
  <c r="G338" i="21" s="1"/>
  <c r="H337" i="8"/>
  <c r="H338" i="21" s="1"/>
  <c r="I337" i="8"/>
  <c r="I338" i="21" s="1"/>
  <c r="J337" i="8"/>
  <c r="J338" i="21" s="1"/>
  <c r="K337" i="8"/>
  <c r="K338" i="21" s="1"/>
  <c r="L337" i="8"/>
  <c r="L338" i="21" s="1"/>
  <c r="M337" i="8"/>
  <c r="M338" i="21" s="1"/>
  <c r="N337" i="8"/>
  <c r="N338" i="21" s="1"/>
  <c r="O337" i="8"/>
  <c r="O338" i="21" s="1"/>
  <c r="P337" i="8"/>
  <c r="P338" i="21" s="1"/>
  <c r="Q337" i="8"/>
  <c r="Q338" i="21" s="1"/>
  <c r="R337" i="8"/>
  <c r="R338" i="21" s="1"/>
  <c r="S337" i="8"/>
  <c r="S338" i="21" s="1"/>
  <c r="T337" i="8"/>
  <c r="T338" i="21" s="1"/>
  <c r="U337" i="8"/>
  <c r="U338" i="21" s="1"/>
  <c r="V337" i="8"/>
  <c r="V338" i="21" s="1"/>
  <c r="W337" i="8"/>
  <c r="W338" i="21" s="1"/>
  <c r="X337" i="8"/>
  <c r="X338" i="21" s="1"/>
  <c r="Y337" i="8"/>
  <c r="Y338" i="21" s="1"/>
  <c r="Z337" i="8"/>
  <c r="Z338" i="21" s="1"/>
  <c r="AA337" i="8"/>
  <c r="AA338" i="21" s="1"/>
  <c r="AB337" i="8"/>
  <c r="AB338" i="21" s="1"/>
  <c r="AC337" i="8"/>
  <c r="AC338" i="21" s="1"/>
  <c r="AD337" i="8"/>
  <c r="AD338" i="21" s="1"/>
  <c r="AE337" i="8"/>
  <c r="AE338" i="21" s="1"/>
  <c r="AF337" i="8"/>
  <c r="AF338" i="21" s="1"/>
  <c r="AG337" i="8"/>
  <c r="A338" i="8"/>
  <c r="B338" i="8"/>
  <c r="C338" i="8"/>
  <c r="D338" i="8"/>
  <c r="E338" i="8"/>
  <c r="F338" i="8"/>
  <c r="F339" i="21" s="1"/>
  <c r="G338" i="8"/>
  <c r="G339" i="21" s="1"/>
  <c r="H338" i="8"/>
  <c r="H339" i="21" s="1"/>
  <c r="I338" i="8"/>
  <c r="I339" i="21" s="1"/>
  <c r="J338" i="8"/>
  <c r="J339" i="21" s="1"/>
  <c r="K338" i="8"/>
  <c r="K339" i="21" s="1"/>
  <c r="L338" i="8"/>
  <c r="L339" i="21" s="1"/>
  <c r="M338" i="8"/>
  <c r="M339" i="21" s="1"/>
  <c r="N338" i="8"/>
  <c r="N339" i="21" s="1"/>
  <c r="O338" i="8"/>
  <c r="O339" i="21" s="1"/>
  <c r="P338" i="8"/>
  <c r="P339" i="21" s="1"/>
  <c r="Q338" i="8"/>
  <c r="Q339" i="21" s="1"/>
  <c r="R338" i="8"/>
  <c r="R339" i="21" s="1"/>
  <c r="S338" i="8"/>
  <c r="S339" i="21" s="1"/>
  <c r="T338" i="8"/>
  <c r="T339" i="21" s="1"/>
  <c r="U338" i="8"/>
  <c r="U339" i="21" s="1"/>
  <c r="V338" i="8"/>
  <c r="V339" i="21" s="1"/>
  <c r="W338" i="8"/>
  <c r="W339" i="21" s="1"/>
  <c r="X338" i="8"/>
  <c r="X339" i="21" s="1"/>
  <c r="Y338" i="8"/>
  <c r="Y339" i="21" s="1"/>
  <c r="Z338" i="8"/>
  <c r="Z339" i="21" s="1"/>
  <c r="AA338" i="8"/>
  <c r="AA339" i="21" s="1"/>
  <c r="AB338" i="8"/>
  <c r="AB339" i="21" s="1"/>
  <c r="AC338" i="8"/>
  <c r="AC339" i="21" s="1"/>
  <c r="AD338" i="8"/>
  <c r="AD339" i="21" s="1"/>
  <c r="AE338" i="8"/>
  <c r="AE339" i="21" s="1"/>
  <c r="AF338" i="8"/>
  <c r="AF339" i="21" s="1"/>
  <c r="AG338" i="8"/>
  <c r="A339" i="8"/>
  <c r="B339" i="8"/>
  <c r="C339" i="8"/>
  <c r="D339" i="8"/>
  <c r="E339" i="8"/>
  <c r="F339" i="8"/>
  <c r="F340" i="21" s="1"/>
  <c r="G339" i="8"/>
  <c r="G340" i="21" s="1"/>
  <c r="H339" i="8"/>
  <c r="H340" i="21" s="1"/>
  <c r="I339" i="8"/>
  <c r="I340" i="21" s="1"/>
  <c r="J339" i="8"/>
  <c r="J340" i="21" s="1"/>
  <c r="K339" i="8"/>
  <c r="K340" i="21" s="1"/>
  <c r="L339" i="8"/>
  <c r="L340" i="21" s="1"/>
  <c r="M339" i="8"/>
  <c r="M340" i="21" s="1"/>
  <c r="N339" i="8"/>
  <c r="N340" i="21" s="1"/>
  <c r="O339" i="8"/>
  <c r="O340" i="21" s="1"/>
  <c r="P339" i="8"/>
  <c r="P340" i="21" s="1"/>
  <c r="Q339" i="8"/>
  <c r="Q340" i="21" s="1"/>
  <c r="R339" i="8"/>
  <c r="R340" i="21" s="1"/>
  <c r="S339" i="8"/>
  <c r="S340" i="21" s="1"/>
  <c r="T339" i="8"/>
  <c r="T340" i="21" s="1"/>
  <c r="U339" i="8"/>
  <c r="U340" i="21" s="1"/>
  <c r="V339" i="8"/>
  <c r="V340" i="21" s="1"/>
  <c r="W339" i="8"/>
  <c r="W340" i="21" s="1"/>
  <c r="X339" i="8"/>
  <c r="X340" i="21" s="1"/>
  <c r="Y339" i="8"/>
  <c r="Y340" i="21" s="1"/>
  <c r="Z339" i="8"/>
  <c r="Z340" i="21" s="1"/>
  <c r="AA339" i="8"/>
  <c r="AA340" i="21" s="1"/>
  <c r="AB339" i="8"/>
  <c r="AB340" i="21" s="1"/>
  <c r="AC339" i="8"/>
  <c r="AC340" i="21" s="1"/>
  <c r="AD339" i="8"/>
  <c r="AD340" i="21" s="1"/>
  <c r="AE339" i="8"/>
  <c r="AF339" i="8"/>
  <c r="AF340" i="21" s="1"/>
  <c r="AG339" i="8"/>
  <c r="A340" i="8"/>
  <c r="B340" i="8"/>
  <c r="C340" i="8"/>
  <c r="D340" i="8"/>
  <c r="E340" i="8"/>
  <c r="F340" i="8"/>
  <c r="F341" i="21" s="1"/>
  <c r="G340" i="8"/>
  <c r="G341" i="21" s="1"/>
  <c r="H340" i="8"/>
  <c r="H341" i="21" s="1"/>
  <c r="I340" i="8"/>
  <c r="I341" i="21" s="1"/>
  <c r="J340" i="8"/>
  <c r="J341" i="21" s="1"/>
  <c r="K340" i="8"/>
  <c r="K341" i="21" s="1"/>
  <c r="L340" i="8"/>
  <c r="L341" i="21" s="1"/>
  <c r="M340" i="8"/>
  <c r="M341" i="21" s="1"/>
  <c r="N340" i="8"/>
  <c r="N341" i="21" s="1"/>
  <c r="O340" i="8"/>
  <c r="O341" i="21" s="1"/>
  <c r="P340" i="8"/>
  <c r="P341" i="21" s="1"/>
  <c r="Q340" i="8"/>
  <c r="Q341" i="21" s="1"/>
  <c r="R340" i="8"/>
  <c r="R341" i="21" s="1"/>
  <c r="S340" i="8"/>
  <c r="S341" i="21" s="1"/>
  <c r="T340" i="8"/>
  <c r="T341" i="21" s="1"/>
  <c r="U340" i="8"/>
  <c r="U341" i="21" s="1"/>
  <c r="V340" i="8"/>
  <c r="V341" i="21" s="1"/>
  <c r="W340" i="8"/>
  <c r="W341" i="21" s="1"/>
  <c r="X340" i="8"/>
  <c r="X341" i="21" s="1"/>
  <c r="Y340" i="8"/>
  <c r="Y341" i="21" s="1"/>
  <c r="Z340" i="8"/>
  <c r="Z341" i="21" s="1"/>
  <c r="AA340" i="8"/>
  <c r="AA341" i="21" s="1"/>
  <c r="AB340" i="8"/>
  <c r="AB341" i="21" s="1"/>
  <c r="AC340" i="8"/>
  <c r="AC341" i="21" s="1"/>
  <c r="AD340" i="8"/>
  <c r="AD341" i="21" s="1"/>
  <c r="AE340" i="8"/>
  <c r="AE341" i="21" s="1"/>
  <c r="AF340" i="8"/>
  <c r="AF341" i="21" s="1"/>
  <c r="AG340" i="8"/>
  <c r="A341" i="8"/>
  <c r="B341" i="8"/>
  <c r="C341" i="8"/>
  <c r="D341" i="8"/>
  <c r="E341" i="8"/>
  <c r="F341" i="8"/>
  <c r="F342" i="21" s="1"/>
  <c r="G341" i="8"/>
  <c r="G342" i="21" s="1"/>
  <c r="H341" i="8"/>
  <c r="H342" i="21" s="1"/>
  <c r="I341" i="8"/>
  <c r="I342" i="21" s="1"/>
  <c r="J341" i="8"/>
  <c r="J342" i="21" s="1"/>
  <c r="K341" i="8"/>
  <c r="K342" i="21" s="1"/>
  <c r="L341" i="8"/>
  <c r="L342" i="21" s="1"/>
  <c r="M341" i="8"/>
  <c r="M342" i="21" s="1"/>
  <c r="N341" i="8"/>
  <c r="N342" i="21" s="1"/>
  <c r="O341" i="8"/>
  <c r="O342" i="21" s="1"/>
  <c r="P341" i="8"/>
  <c r="P342" i="21" s="1"/>
  <c r="Q341" i="8"/>
  <c r="Q342" i="21" s="1"/>
  <c r="R341" i="8"/>
  <c r="R342" i="21" s="1"/>
  <c r="S341" i="8"/>
  <c r="S342" i="21" s="1"/>
  <c r="T341" i="8"/>
  <c r="T342" i="21" s="1"/>
  <c r="U341" i="8"/>
  <c r="U342" i="21" s="1"/>
  <c r="V341" i="8"/>
  <c r="V342" i="21" s="1"/>
  <c r="W341" i="8"/>
  <c r="W342" i="21" s="1"/>
  <c r="X341" i="8"/>
  <c r="X342" i="21" s="1"/>
  <c r="Y341" i="8"/>
  <c r="Y342" i="21" s="1"/>
  <c r="Z341" i="8"/>
  <c r="Z342" i="21" s="1"/>
  <c r="AA341" i="8"/>
  <c r="AA342" i="21" s="1"/>
  <c r="AB341" i="8"/>
  <c r="AB342" i="21" s="1"/>
  <c r="AC341" i="8"/>
  <c r="AC342" i="21" s="1"/>
  <c r="AD341" i="8"/>
  <c r="AD342" i="21" s="1"/>
  <c r="AE341" i="8"/>
  <c r="AE342" i="21" s="1"/>
  <c r="AF341" i="8"/>
  <c r="AF342" i="21" s="1"/>
  <c r="AG341" i="8"/>
  <c r="A342" i="8"/>
  <c r="B342" i="8"/>
  <c r="C342" i="8"/>
  <c r="D342" i="8"/>
  <c r="E342" i="8"/>
  <c r="F342" i="8"/>
  <c r="F343" i="21" s="1"/>
  <c r="G342" i="8"/>
  <c r="G343" i="21" s="1"/>
  <c r="H342" i="8"/>
  <c r="H343" i="21" s="1"/>
  <c r="I342" i="8"/>
  <c r="I343" i="21" s="1"/>
  <c r="J342" i="8"/>
  <c r="J343" i="21" s="1"/>
  <c r="K342" i="8"/>
  <c r="K343" i="21" s="1"/>
  <c r="L342" i="8"/>
  <c r="L343" i="21" s="1"/>
  <c r="M342" i="8"/>
  <c r="M343" i="21" s="1"/>
  <c r="N342" i="8"/>
  <c r="N343" i="21" s="1"/>
  <c r="O342" i="8"/>
  <c r="O343" i="21" s="1"/>
  <c r="P342" i="8"/>
  <c r="P343" i="21" s="1"/>
  <c r="Q342" i="8"/>
  <c r="Q343" i="21" s="1"/>
  <c r="R342" i="8"/>
  <c r="R343" i="21" s="1"/>
  <c r="S342" i="8"/>
  <c r="S343" i="21" s="1"/>
  <c r="T342" i="8"/>
  <c r="T343" i="21" s="1"/>
  <c r="U342" i="8"/>
  <c r="U343" i="21" s="1"/>
  <c r="V342" i="8"/>
  <c r="V343" i="21" s="1"/>
  <c r="W342" i="8"/>
  <c r="W343" i="21" s="1"/>
  <c r="X342" i="8"/>
  <c r="X343" i="21" s="1"/>
  <c r="Y342" i="8"/>
  <c r="Y343" i="21" s="1"/>
  <c r="Z342" i="8"/>
  <c r="Z343" i="21" s="1"/>
  <c r="AA342" i="8"/>
  <c r="AA343" i="21" s="1"/>
  <c r="AB342" i="8"/>
  <c r="AB343" i="21" s="1"/>
  <c r="AC342" i="8"/>
  <c r="AC343" i="21" s="1"/>
  <c r="AD342" i="8"/>
  <c r="AD343" i="21" s="1"/>
  <c r="AE342" i="8"/>
  <c r="AE343" i="21" s="1"/>
  <c r="AF342" i="8"/>
  <c r="AG342" i="8"/>
  <c r="AG343" i="11" s="1"/>
  <c r="A343" i="8"/>
  <c r="B343" i="8"/>
  <c r="C343" i="8"/>
  <c r="D343" i="8"/>
  <c r="E343" i="8"/>
  <c r="F343" i="8"/>
  <c r="F344" i="21" s="1"/>
  <c r="G343" i="8"/>
  <c r="G344" i="21" s="1"/>
  <c r="H343" i="8"/>
  <c r="H344" i="21" s="1"/>
  <c r="I343" i="8"/>
  <c r="I344" i="21" s="1"/>
  <c r="J343" i="8"/>
  <c r="J344" i="21" s="1"/>
  <c r="K343" i="8"/>
  <c r="K344" i="21" s="1"/>
  <c r="L343" i="8"/>
  <c r="L344" i="21" s="1"/>
  <c r="M343" i="8"/>
  <c r="M344" i="21" s="1"/>
  <c r="N343" i="8"/>
  <c r="N344" i="21" s="1"/>
  <c r="O343" i="8"/>
  <c r="O344" i="21" s="1"/>
  <c r="P343" i="8"/>
  <c r="P344" i="21" s="1"/>
  <c r="Q343" i="8"/>
  <c r="Q344" i="21" s="1"/>
  <c r="R343" i="8"/>
  <c r="R344" i="21" s="1"/>
  <c r="S343" i="8"/>
  <c r="S344" i="21" s="1"/>
  <c r="T343" i="8"/>
  <c r="T344" i="21" s="1"/>
  <c r="U343" i="8"/>
  <c r="U344" i="21" s="1"/>
  <c r="V343" i="8"/>
  <c r="V344" i="21" s="1"/>
  <c r="W343" i="8"/>
  <c r="W344" i="21" s="1"/>
  <c r="X343" i="8"/>
  <c r="X344" i="21" s="1"/>
  <c r="Y343" i="8"/>
  <c r="Y344" i="21" s="1"/>
  <c r="Z343" i="8"/>
  <c r="Z344" i="21" s="1"/>
  <c r="AA343" i="8"/>
  <c r="AA344" i="21" s="1"/>
  <c r="AB343" i="8"/>
  <c r="AB344" i="21" s="1"/>
  <c r="AC343" i="8"/>
  <c r="AC344" i="21" s="1"/>
  <c r="AD343" i="8"/>
  <c r="AD344" i="21" s="1"/>
  <c r="AE343" i="8"/>
  <c r="AE344" i="21" s="1"/>
  <c r="AF343" i="8"/>
  <c r="AG343" i="8"/>
  <c r="AG344" i="10" s="1"/>
  <c r="A344" i="8"/>
  <c r="B344" i="8"/>
  <c r="C344" i="8"/>
  <c r="D344" i="8"/>
  <c r="E344" i="8"/>
  <c r="F344" i="8"/>
  <c r="F345" i="21" s="1"/>
  <c r="G344" i="8"/>
  <c r="G345" i="21" s="1"/>
  <c r="H344" i="8"/>
  <c r="H345" i="21" s="1"/>
  <c r="I344" i="8"/>
  <c r="I345" i="21" s="1"/>
  <c r="J344" i="8"/>
  <c r="J345" i="21" s="1"/>
  <c r="K344" i="8"/>
  <c r="K345" i="21" s="1"/>
  <c r="L344" i="8"/>
  <c r="L345" i="21" s="1"/>
  <c r="M344" i="8"/>
  <c r="M345" i="21" s="1"/>
  <c r="N344" i="8"/>
  <c r="N345" i="21" s="1"/>
  <c r="O344" i="8"/>
  <c r="O345" i="21" s="1"/>
  <c r="P344" i="8"/>
  <c r="P345" i="21" s="1"/>
  <c r="Q344" i="8"/>
  <c r="Q345" i="21" s="1"/>
  <c r="R344" i="8"/>
  <c r="R345" i="21" s="1"/>
  <c r="S344" i="8"/>
  <c r="S345" i="21" s="1"/>
  <c r="T344" i="8"/>
  <c r="T345" i="21" s="1"/>
  <c r="U344" i="8"/>
  <c r="U345" i="21" s="1"/>
  <c r="V344" i="8"/>
  <c r="V345" i="21" s="1"/>
  <c r="W344" i="8"/>
  <c r="W345" i="21" s="1"/>
  <c r="X344" i="8"/>
  <c r="X345" i="21" s="1"/>
  <c r="Y344" i="8"/>
  <c r="Y345" i="21" s="1"/>
  <c r="Z344" i="8"/>
  <c r="Z345" i="21" s="1"/>
  <c r="AA344" i="8"/>
  <c r="AA345" i="21" s="1"/>
  <c r="AB344" i="8"/>
  <c r="AB345" i="21" s="1"/>
  <c r="AC344" i="8"/>
  <c r="AC345" i="21" s="1"/>
  <c r="AD344" i="8"/>
  <c r="AD345" i="21" s="1"/>
  <c r="AE344" i="8"/>
  <c r="AE345" i="21" s="1"/>
  <c r="AF344" i="8"/>
  <c r="AG344" i="8"/>
  <c r="A345" i="8"/>
  <c r="B345" i="8"/>
  <c r="C345" i="8"/>
  <c r="D345" i="8"/>
  <c r="E345" i="8"/>
  <c r="F345" i="8"/>
  <c r="F346" i="21" s="1"/>
  <c r="G345" i="8"/>
  <c r="G346" i="21" s="1"/>
  <c r="H345" i="8"/>
  <c r="H346" i="21" s="1"/>
  <c r="I345" i="8"/>
  <c r="I346" i="21" s="1"/>
  <c r="J345" i="8"/>
  <c r="J346" i="21" s="1"/>
  <c r="K345" i="8"/>
  <c r="K346" i="21" s="1"/>
  <c r="L345" i="8"/>
  <c r="L346" i="21" s="1"/>
  <c r="M345" i="8"/>
  <c r="M346" i="21" s="1"/>
  <c r="N345" i="8"/>
  <c r="N346" i="21" s="1"/>
  <c r="O345" i="8"/>
  <c r="O346" i="21" s="1"/>
  <c r="P345" i="8"/>
  <c r="P346" i="21" s="1"/>
  <c r="Q345" i="8"/>
  <c r="Q346" i="21" s="1"/>
  <c r="R345" i="8"/>
  <c r="R346" i="21" s="1"/>
  <c r="S345" i="8"/>
  <c r="S346" i="21" s="1"/>
  <c r="T345" i="8"/>
  <c r="T346" i="21" s="1"/>
  <c r="U345" i="8"/>
  <c r="U346" i="21" s="1"/>
  <c r="V345" i="8"/>
  <c r="V346" i="21" s="1"/>
  <c r="W345" i="8"/>
  <c r="W346" i="21" s="1"/>
  <c r="X345" i="8"/>
  <c r="X346" i="21" s="1"/>
  <c r="Y345" i="8"/>
  <c r="Y346" i="21" s="1"/>
  <c r="Z345" i="8"/>
  <c r="Z346" i="21" s="1"/>
  <c r="AA345" i="8"/>
  <c r="AA346" i="21" s="1"/>
  <c r="AB345" i="8"/>
  <c r="AB346" i="21" s="1"/>
  <c r="AC345" i="8"/>
  <c r="AC346" i="21" s="1"/>
  <c r="AD345" i="8"/>
  <c r="AD346" i="21" s="1"/>
  <c r="AE345" i="8"/>
  <c r="AE346" i="21" s="1"/>
  <c r="AF345" i="8"/>
  <c r="AF346" i="21" s="1"/>
  <c r="AG345" i="8"/>
  <c r="AG346" i="9" s="1"/>
  <c r="A346" i="8"/>
  <c r="B346" i="8"/>
  <c r="C346" i="8"/>
  <c r="D346" i="8"/>
  <c r="E346" i="8"/>
  <c r="F346" i="8"/>
  <c r="F347" i="21" s="1"/>
  <c r="G346" i="8"/>
  <c r="G347" i="21" s="1"/>
  <c r="H346" i="8"/>
  <c r="H347" i="21" s="1"/>
  <c r="I346" i="8"/>
  <c r="I347" i="21" s="1"/>
  <c r="J346" i="8"/>
  <c r="J347" i="21" s="1"/>
  <c r="K346" i="8"/>
  <c r="K347" i="21" s="1"/>
  <c r="L346" i="8"/>
  <c r="L347" i="21" s="1"/>
  <c r="M346" i="8"/>
  <c r="M347" i="21" s="1"/>
  <c r="N346" i="8"/>
  <c r="N347" i="21" s="1"/>
  <c r="O346" i="8"/>
  <c r="O347" i="21" s="1"/>
  <c r="P346" i="8"/>
  <c r="P347" i="21" s="1"/>
  <c r="Q346" i="8"/>
  <c r="Q347" i="21" s="1"/>
  <c r="R346" i="8"/>
  <c r="R347" i="21" s="1"/>
  <c r="S346" i="8"/>
  <c r="S347" i="21" s="1"/>
  <c r="T346" i="8"/>
  <c r="T347" i="21" s="1"/>
  <c r="U346" i="8"/>
  <c r="U347" i="21" s="1"/>
  <c r="V346" i="8"/>
  <c r="V347" i="21" s="1"/>
  <c r="W346" i="8"/>
  <c r="W347" i="21" s="1"/>
  <c r="X346" i="8"/>
  <c r="X347" i="21" s="1"/>
  <c r="Y346" i="8"/>
  <c r="Y347" i="21" s="1"/>
  <c r="Z346" i="8"/>
  <c r="Z347" i="21" s="1"/>
  <c r="AA346" i="8"/>
  <c r="AA347" i="21" s="1"/>
  <c r="AB346" i="8"/>
  <c r="AB347" i="21" s="1"/>
  <c r="AC346" i="8"/>
  <c r="AC347" i="21" s="1"/>
  <c r="AD346" i="8"/>
  <c r="AD347" i="21" s="1"/>
  <c r="AE346" i="8"/>
  <c r="AE347" i="21" s="1"/>
  <c r="AF346" i="8"/>
  <c r="AG346" i="8"/>
  <c r="AG347" i="10" s="1"/>
  <c r="A347" i="8"/>
  <c r="B347" i="8"/>
  <c r="C347" i="8"/>
  <c r="D347" i="8"/>
  <c r="E347" i="8"/>
  <c r="F347" i="8"/>
  <c r="F348" i="21" s="1"/>
  <c r="G347" i="8"/>
  <c r="G348" i="21" s="1"/>
  <c r="H347" i="8"/>
  <c r="H348" i="21" s="1"/>
  <c r="I347" i="8"/>
  <c r="I348" i="21" s="1"/>
  <c r="J347" i="8"/>
  <c r="J348" i="21" s="1"/>
  <c r="K347" i="8"/>
  <c r="K348" i="21" s="1"/>
  <c r="L347" i="8"/>
  <c r="L348" i="21" s="1"/>
  <c r="M347" i="8"/>
  <c r="M348" i="21" s="1"/>
  <c r="N347" i="8"/>
  <c r="N348" i="21" s="1"/>
  <c r="O347" i="8"/>
  <c r="O348" i="21" s="1"/>
  <c r="P347" i="8"/>
  <c r="P348" i="21" s="1"/>
  <c r="Q347" i="8"/>
  <c r="Q348" i="21" s="1"/>
  <c r="R347" i="8"/>
  <c r="R348" i="21" s="1"/>
  <c r="S347" i="8"/>
  <c r="S348" i="21" s="1"/>
  <c r="T347" i="8"/>
  <c r="T348" i="21" s="1"/>
  <c r="U347" i="8"/>
  <c r="U348" i="21" s="1"/>
  <c r="V347" i="8"/>
  <c r="V348" i="21" s="1"/>
  <c r="W347" i="8"/>
  <c r="W348" i="21" s="1"/>
  <c r="X347" i="8"/>
  <c r="X348" i="21" s="1"/>
  <c r="Y347" i="8"/>
  <c r="Y348" i="21" s="1"/>
  <c r="Z347" i="8"/>
  <c r="Z348" i="21" s="1"/>
  <c r="AA347" i="8"/>
  <c r="AA348" i="21" s="1"/>
  <c r="AB347" i="8"/>
  <c r="AB348" i="21" s="1"/>
  <c r="AC347" i="8"/>
  <c r="AC348" i="21" s="1"/>
  <c r="AD347" i="8"/>
  <c r="AD348" i="21" s="1"/>
  <c r="AE347" i="8"/>
  <c r="AE348" i="21" s="1"/>
  <c r="AF347" i="8"/>
  <c r="AF348" i="21" s="1"/>
  <c r="AG347" i="8"/>
  <c r="A348" i="8"/>
  <c r="B348" i="8"/>
  <c r="C348" i="8"/>
  <c r="D348" i="8"/>
  <c r="E348" i="8"/>
  <c r="F348" i="8"/>
  <c r="F349" i="21" s="1"/>
  <c r="G348" i="8"/>
  <c r="G349" i="21" s="1"/>
  <c r="H348" i="8"/>
  <c r="H349" i="21" s="1"/>
  <c r="I348" i="8"/>
  <c r="I349" i="21" s="1"/>
  <c r="J348" i="8"/>
  <c r="J349" i="21" s="1"/>
  <c r="K348" i="8"/>
  <c r="K349" i="21" s="1"/>
  <c r="L348" i="8"/>
  <c r="L349" i="21" s="1"/>
  <c r="M348" i="8"/>
  <c r="M349" i="21" s="1"/>
  <c r="N348" i="8"/>
  <c r="N349" i="21" s="1"/>
  <c r="O348" i="8"/>
  <c r="O349" i="21" s="1"/>
  <c r="P348" i="8"/>
  <c r="P349" i="21" s="1"/>
  <c r="Q348" i="8"/>
  <c r="Q349" i="21" s="1"/>
  <c r="R348" i="8"/>
  <c r="R349" i="21" s="1"/>
  <c r="S348" i="8"/>
  <c r="S349" i="21" s="1"/>
  <c r="T348" i="8"/>
  <c r="T349" i="21" s="1"/>
  <c r="U348" i="8"/>
  <c r="U349" i="21" s="1"/>
  <c r="V348" i="8"/>
  <c r="V349" i="21" s="1"/>
  <c r="W348" i="8"/>
  <c r="W349" i="21" s="1"/>
  <c r="X348" i="8"/>
  <c r="X349" i="21" s="1"/>
  <c r="Y348" i="8"/>
  <c r="Y349" i="21" s="1"/>
  <c r="Z348" i="8"/>
  <c r="Z349" i="21" s="1"/>
  <c r="AA348" i="8"/>
  <c r="AA349" i="21" s="1"/>
  <c r="AB348" i="8"/>
  <c r="AB349" i="21" s="1"/>
  <c r="AC348" i="8"/>
  <c r="AC349" i="21" s="1"/>
  <c r="AD348" i="8"/>
  <c r="AD349" i="21" s="1"/>
  <c r="AE348" i="8"/>
  <c r="AE349" i="21" s="1"/>
  <c r="AF348" i="8"/>
  <c r="AF349" i="21" s="1"/>
  <c r="AG348" i="8"/>
  <c r="A349" i="8"/>
  <c r="B349" i="8"/>
  <c r="C349" i="8"/>
  <c r="D349" i="8"/>
  <c r="E349" i="8"/>
  <c r="F349" i="8"/>
  <c r="F350" i="21" s="1"/>
  <c r="G349" i="8"/>
  <c r="G350" i="21" s="1"/>
  <c r="H349" i="8"/>
  <c r="H350" i="21" s="1"/>
  <c r="I349" i="8"/>
  <c r="I350" i="21" s="1"/>
  <c r="J349" i="8"/>
  <c r="J350" i="21" s="1"/>
  <c r="K349" i="8"/>
  <c r="K350" i="21" s="1"/>
  <c r="L349" i="8"/>
  <c r="L350" i="21" s="1"/>
  <c r="M349" i="8"/>
  <c r="M350" i="21" s="1"/>
  <c r="N349" i="8"/>
  <c r="N350" i="21" s="1"/>
  <c r="O349" i="8"/>
  <c r="O350" i="21" s="1"/>
  <c r="P349" i="8"/>
  <c r="P350" i="21" s="1"/>
  <c r="Q349" i="8"/>
  <c r="Q350" i="21" s="1"/>
  <c r="R349" i="8"/>
  <c r="R350" i="21" s="1"/>
  <c r="S349" i="8"/>
  <c r="S350" i="21" s="1"/>
  <c r="T349" i="8"/>
  <c r="T350" i="21" s="1"/>
  <c r="U349" i="8"/>
  <c r="U350" i="21" s="1"/>
  <c r="V349" i="8"/>
  <c r="V350" i="21" s="1"/>
  <c r="W349" i="8"/>
  <c r="W350" i="21" s="1"/>
  <c r="X349" i="8"/>
  <c r="X350" i="21" s="1"/>
  <c r="Y349" i="8"/>
  <c r="Y350" i="21" s="1"/>
  <c r="Z349" i="8"/>
  <c r="Z350" i="21" s="1"/>
  <c r="AA349" i="8"/>
  <c r="AA350" i="21" s="1"/>
  <c r="AB349" i="8"/>
  <c r="AB350" i="21" s="1"/>
  <c r="AC349" i="8"/>
  <c r="AC350" i="21" s="1"/>
  <c r="AD349" i="8"/>
  <c r="AD350" i="21" s="1"/>
  <c r="AE349" i="8"/>
  <c r="AE350" i="21" s="1"/>
  <c r="AF349" i="8"/>
  <c r="AG349" i="8"/>
  <c r="A350" i="8"/>
  <c r="B350" i="8"/>
  <c r="C350" i="8"/>
  <c r="D350" i="8"/>
  <c r="E350" i="8"/>
  <c r="F350" i="8"/>
  <c r="F351" i="21" s="1"/>
  <c r="G350" i="8"/>
  <c r="G351" i="21" s="1"/>
  <c r="H350" i="8"/>
  <c r="H351" i="21" s="1"/>
  <c r="I350" i="8"/>
  <c r="I351" i="21" s="1"/>
  <c r="J350" i="8"/>
  <c r="J351" i="21" s="1"/>
  <c r="K350" i="8"/>
  <c r="K351" i="21" s="1"/>
  <c r="L350" i="8"/>
  <c r="L351" i="21" s="1"/>
  <c r="M350" i="8"/>
  <c r="M351" i="21" s="1"/>
  <c r="N350" i="8"/>
  <c r="N351" i="21" s="1"/>
  <c r="O350" i="8"/>
  <c r="O351" i="21" s="1"/>
  <c r="P350" i="8"/>
  <c r="P351" i="21" s="1"/>
  <c r="Q350" i="8"/>
  <c r="Q351" i="21" s="1"/>
  <c r="R350" i="8"/>
  <c r="R351" i="21" s="1"/>
  <c r="S350" i="8"/>
  <c r="S351" i="21" s="1"/>
  <c r="T350" i="8"/>
  <c r="T351" i="21" s="1"/>
  <c r="U350" i="8"/>
  <c r="U351" i="21" s="1"/>
  <c r="V350" i="8"/>
  <c r="V351" i="21" s="1"/>
  <c r="W350" i="8"/>
  <c r="W351" i="21" s="1"/>
  <c r="X350" i="8"/>
  <c r="X351" i="21" s="1"/>
  <c r="Y350" i="8"/>
  <c r="Y351" i="21" s="1"/>
  <c r="Z350" i="8"/>
  <c r="Z351" i="21" s="1"/>
  <c r="AA350" i="8"/>
  <c r="AA351" i="21" s="1"/>
  <c r="AB350" i="8"/>
  <c r="AB351" i="21" s="1"/>
  <c r="AC350" i="8"/>
  <c r="AC351" i="21" s="1"/>
  <c r="AD350" i="8"/>
  <c r="AD351" i="21" s="1"/>
  <c r="AE350" i="8"/>
  <c r="AE351" i="21" s="1"/>
  <c r="AF350" i="8"/>
  <c r="AG350" i="8"/>
  <c r="A351" i="8"/>
  <c r="B351" i="8"/>
  <c r="C351" i="8"/>
  <c r="D351" i="8"/>
  <c r="E351" i="8"/>
  <c r="F351" i="8"/>
  <c r="F352" i="21" s="1"/>
  <c r="G351" i="8"/>
  <c r="G352" i="21" s="1"/>
  <c r="H351" i="8"/>
  <c r="H352" i="21" s="1"/>
  <c r="I351" i="8"/>
  <c r="I352" i="21" s="1"/>
  <c r="J351" i="8"/>
  <c r="J352" i="21" s="1"/>
  <c r="K351" i="8"/>
  <c r="K352" i="21" s="1"/>
  <c r="L351" i="8"/>
  <c r="L352" i="21" s="1"/>
  <c r="M351" i="8"/>
  <c r="M352" i="21" s="1"/>
  <c r="N351" i="8"/>
  <c r="N352" i="21" s="1"/>
  <c r="O351" i="8"/>
  <c r="O352" i="21" s="1"/>
  <c r="P351" i="8"/>
  <c r="P352" i="21" s="1"/>
  <c r="Q351" i="8"/>
  <c r="Q352" i="21" s="1"/>
  <c r="R351" i="8"/>
  <c r="R352" i="21" s="1"/>
  <c r="S351" i="8"/>
  <c r="S352" i="21" s="1"/>
  <c r="T351" i="8"/>
  <c r="T352" i="21" s="1"/>
  <c r="U351" i="8"/>
  <c r="U352" i="21" s="1"/>
  <c r="V351" i="8"/>
  <c r="V352" i="21" s="1"/>
  <c r="W351" i="8"/>
  <c r="W352" i="21" s="1"/>
  <c r="X351" i="8"/>
  <c r="X352" i="21" s="1"/>
  <c r="Y351" i="8"/>
  <c r="Y352" i="21" s="1"/>
  <c r="Z351" i="8"/>
  <c r="Z352" i="21" s="1"/>
  <c r="AA351" i="8"/>
  <c r="AA352" i="21" s="1"/>
  <c r="AB351" i="8"/>
  <c r="AB352" i="21" s="1"/>
  <c r="AC351" i="8"/>
  <c r="AC352" i="21" s="1"/>
  <c r="AD351" i="8"/>
  <c r="AD352" i="21" s="1"/>
  <c r="AE351" i="8"/>
  <c r="AE352" i="21" s="1"/>
  <c r="AF351" i="8"/>
  <c r="AF352" i="21" s="1"/>
  <c r="AG351" i="8"/>
  <c r="A352" i="8"/>
  <c r="B352" i="8"/>
  <c r="C352" i="8"/>
  <c r="D352" i="8"/>
  <c r="E352" i="8"/>
  <c r="F352" i="8"/>
  <c r="F353" i="21" s="1"/>
  <c r="G352" i="8"/>
  <c r="G353" i="21" s="1"/>
  <c r="H352" i="8"/>
  <c r="H353" i="21" s="1"/>
  <c r="I352" i="8"/>
  <c r="I353" i="21" s="1"/>
  <c r="J352" i="8"/>
  <c r="J353" i="21" s="1"/>
  <c r="K352" i="8"/>
  <c r="K353" i="21" s="1"/>
  <c r="L352" i="8"/>
  <c r="L353" i="21" s="1"/>
  <c r="M352" i="8"/>
  <c r="M353" i="21" s="1"/>
  <c r="N352" i="8"/>
  <c r="N353" i="21" s="1"/>
  <c r="O352" i="8"/>
  <c r="O353" i="21" s="1"/>
  <c r="P352" i="8"/>
  <c r="P353" i="21" s="1"/>
  <c r="Q352" i="8"/>
  <c r="Q353" i="21" s="1"/>
  <c r="R352" i="8"/>
  <c r="R353" i="21" s="1"/>
  <c r="S352" i="8"/>
  <c r="S353" i="21" s="1"/>
  <c r="T352" i="8"/>
  <c r="T353" i="21" s="1"/>
  <c r="U352" i="8"/>
  <c r="U353" i="21" s="1"/>
  <c r="V352" i="8"/>
  <c r="V353" i="21" s="1"/>
  <c r="W352" i="8"/>
  <c r="W353" i="21" s="1"/>
  <c r="X352" i="8"/>
  <c r="X353" i="21" s="1"/>
  <c r="Y352" i="8"/>
  <c r="Y353" i="21" s="1"/>
  <c r="Z352" i="8"/>
  <c r="Z353" i="21" s="1"/>
  <c r="AA352" i="8"/>
  <c r="AA353" i="21" s="1"/>
  <c r="AB352" i="8"/>
  <c r="AB353" i="21" s="1"/>
  <c r="AC352" i="8"/>
  <c r="AC353" i="21" s="1"/>
  <c r="AD352" i="8"/>
  <c r="AD353" i="21" s="1"/>
  <c r="AE352" i="8"/>
  <c r="AE353" i="21" s="1"/>
  <c r="AF352" i="8"/>
  <c r="AF353" i="21" s="1"/>
  <c r="AG352" i="8"/>
  <c r="A353" i="8"/>
  <c r="B353" i="8"/>
  <c r="C353" i="8"/>
  <c r="D353" i="8"/>
  <c r="E353" i="8"/>
  <c r="F353" i="8"/>
  <c r="F354" i="21" s="1"/>
  <c r="G353" i="8"/>
  <c r="G354" i="21" s="1"/>
  <c r="H353" i="8"/>
  <c r="H354" i="21" s="1"/>
  <c r="I353" i="8"/>
  <c r="I354" i="21" s="1"/>
  <c r="J353" i="8"/>
  <c r="J354" i="21" s="1"/>
  <c r="K353" i="8"/>
  <c r="K354" i="21" s="1"/>
  <c r="L353" i="8"/>
  <c r="L354" i="21" s="1"/>
  <c r="M353" i="8"/>
  <c r="M354" i="21" s="1"/>
  <c r="N353" i="8"/>
  <c r="N354" i="21" s="1"/>
  <c r="O353" i="8"/>
  <c r="O354" i="21" s="1"/>
  <c r="P353" i="8"/>
  <c r="P354" i="21" s="1"/>
  <c r="Q353" i="8"/>
  <c r="Q354" i="21" s="1"/>
  <c r="R353" i="8"/>
  <c r="R354" i="21" s="1"/>
  <c r="S353" i="8"/>
  <c r="S354" i="21" s="1"/>
  <c r="T353" i="8"/>
  <c r="T354" i="21" s="1"/>
  <c r="U353" i="8"/>
  <c r="U354" i="21" s="1"/>
  <c r="V353" i="8"/>
  <c r="V354" i="21" s="1"/>
  <c r="W353" i="8"/>
  <c r="W354" i="21" s="1"/>
  <c r="X353" i="8"/>
  <c r="X354" i="21" s="1"/>
  <c r="Y353" i="8"/>
  <c r="Y354" i="21" s="1"/>
  <c r="Z353" i="8"/>
  <c r="Z354" i="21" s="1"/>
  <c r="AA353" i="8"/>
  <c r="AA354" i="21" s="1"/>
  <c r="AB353" i="8"/>
  <c r="AB354" i="21" s="1"/>
  <c r="AC353" i="8"/>
  <c r="AC354" i="21" s="1"/>
  <c r="AD353" i="8"/>
  <c r="AD354" i="21" s="1"/>
  <c r="AE353" i="8"/>
  <c r="AE354" i="21" s="1"/>
  <c r="AF353" i="8"/>
  <c r="AF354" i="21" s="1"/>
  <c r="AG353" i="8"/>
  <c r="A354" i="8"/>
  <c r="B354" i="8"/>
  <c r="C354" i="8"/>
  <c r="D354" i="8"/>
  <c r="E354" i="8"/>
  <c r="F354" i="8"/>
  <c r="F355" i="21" s="1"/>
  <c r="G354" i="8"/>
  <c r="G355" i="21" s="1"/>
  <c r="H354" i="8"/>
  <c r="H355" i="21" s="1"/>
  <c r="I354" i="8"/>
  <c r="I355" i="21" s="1"/>
  <c r="J354" i="8"/>
  <c r="J355" i="21" s="1"/>
  <c r="K354" i="8"/>
  <c r="K355" i="21" s="1"/>
  <c r="L354" i="8"/>
  <c r="L355" i="21" s="1"/>
  <c r="M354" i="8"/>
  <c r="M355" i="21" s="1"/>
  <c r="N354" i="8"/>
  <c r="N355" i="21" s="1"/>
  <c r="O354" i="8"/>
  <c r="O355" i="21" s="1"/>
  <c r="P354" i="8"/>
  <c r="P355" i="21" s="1"/>
  <c r="Q354" i="8"/>
  <c r="Q355" i="21" s="1"/>
  <c r="R354" i="8"/>
  <c r="R355" i="21" s="1"/>
  <c r="S354" i="8"/>
  <c r="S355" i="21" s="1"/>
  <c r="T354" i="8"/>
  <c r="T355" i="21" s="1"/>
  <c r="U354" i="8"/>
  <c r="U355" i="21" s="1"/>
  <c r="V354" i="8"/>
  <c r="V355" i="21" s="1"/>
  <c r="W354" i="8"/>
  <c r="W355" i="21" s="1"/>
  <c r="X354" i="8"/>
  <c r="X355" i="21" s="1"/>
  <c r="Y354" i="8"/>
  <c r="Y355" i="21" s="1"/>
  <c r="Z354" i="8"/>
  <c r="Z355" i="21" s="1"/>
  <c r="AA354" i="8"/>
  <c r="AA355" i="21" s="1"/>
  <c r="AB354" i="8"/>
  <c r="AB355" i="21" s="1"/>
  <c r="AC354" i="8"/>
  <c r="AC355" i="21" s="1"/>
  <c r="AD354" i="8"/>
  <c r="AD355" i="21" s="1"/>
  <c r="AE354" i="8"/>
  <c r="AE355" i="21" s="1"/>
  <c r="AF354" i="8"/>
  <c r="AF355" i="21" s="1"/>
  <c r="AG354" i="8"/>
  <c r="A355" i="8"/>
  <c r="B355" i="8"/>
  <c r="C355" i="8"/>
  <c r="D355" i="8"/>
  <c r="E355" i="8"/>
  <c r="F355" i="8"/>
  <c r="F356" i="21" s="1"/>
  <c r="G355" i="8"/>
  <c r="G356" i="21" s="1"/>
  <c r="H355" i="8"/>
  <c r="H356" i="21" s="1"/>
  <c r="I355" i="8"/>
  <c r="I356" i="21" s="1"/>
  <c r="J355" i="8"/>
  <c r="J356" i="21" s="1"/>
  <c r="K355" i="8"/>
  <c r="K356" i="21" s="1"/>
  <c r="L355" i="8"/>
  <c r="L356" i="21" s="1"/>
  <c r="M355" i="8"/>
  <c r="M356" i="21" s="1"/>
  <c r="N355" i="8"/>
  <c r="N356" i="21" s="1"/>
  <c r="O355" i="8"/>
  <c r="O356" i="21" s="1"/>
  <c r="P355" i="8"/>
  <c r="P356" i="21" s="1"/>
  <c r="Q355" i="8"/>
  <c r="Q356" i="21" s="1"/>
  <c r="R355" i="8"/>
  <c r="R356" i="21" s="1"/>
  <c r="S355" i="8"/>
  <c r="S356" i="21" s="1"/>
  <c r="T355" i="8"/>
  <c r="T356" i="21" s="1"/>
  <c r="U355" i="8"/>
  <c r="U356" i="21" s="1"/>
  <c r="V355" i="8"/>
  <c r="V356" i="21" s="1"/>
  <c r="W355" i="8"/>
  <c r="W356" i="21" s="1"/>
  <c r="X355" i="8"/>
  <c r="X356" i="21" s="1"/>
  <c r="Y355" i="8"/>
  <c r="Y356" i="21" s="1"/>
  <c r="Z355" i="8"/>
  <c r="Z356" i="21" s="1"/>
  <c r="AA355" i="8"/>
  <c r="AA356" i="21" s="1"/>
  <c r="AB355" i="8"/>
  <c r="AB356" i="21" s="1"/>
  <c r="AC355" i="8"/>
  <c r="AC356" i="21" s="1"/>
  <c r="AD355" i="8"/>
  <c r="AD356" i="21" s="1"/>
  <c r="AE355" i="8"/>
  <c r="AF355" i="8"/>
  <c r="AF356" i="21" s="1"/>
  <c r="AG355" i="8"/>
  <c r="A356" i="8"/>
  <c r="B356" i="8"/>
  <c r="C356" i="8"/>
  <c r="D356" i="8"/>
  <c r="E356" i="8"/>
  <c r="F356" i="8"/>
  <c r="F357" i="21" s="1"/>
  <c r="G356" i="8"/>
  <c r="G357" i="21" s="1"/>
  <c r="H356" i="8"/>
  <c r="H357" i="21" s="1"/>
  <c r="I356" i="8"/>
  <c r="I357" i="21" s="1"/>
  <c r="J356" i="8"/>
  <c r="J357" i="21" s="1"/>
  <c r="K356" i="8"/>
  <c r="K357" i="21" s="1"/>
  <c r="L356" i="8"/>
  <c r="L357" i="21" s="1"/>
  <c r="M356" i="8"/>
  <c r="M357" i="21" s="1"/>
  <c r="N356" i="8"/>
  <c r="N357" i="21" s="1"/>
  <c r="O356" i="8"/>
  <c r="O357" i="21" s="1"/>
  <c r="P356" i="8"/>
  <c r="P357" i="21" s="1"/>
  <c r="Q356" i="8"/>
  <c r="Q357" i="21" s="1"/>
  <c r="R356" i="8"/>
  <c r="R357" i="21" s="1"/>
  <c r="S356" i="8"/>
  <c r="S357" i="21" s="1"/>
  <c r="T356" i="8"/>
  <c r="T357" i="21" s="1"/>
  <c r="U356" i="8"/>
  <c r="U357" i="21" s="1"/>
  <c r="V356" i="8"/>
  <c r="V357" i="21" s="1"/>
  <c r="W356" i="8"/>
  <c r="W357" i="21" s="1"/>
  <c r="X356" i="8"/>
  <c r="X357" i="21" s="1"/>
  <c r="Y356" i="8"/>
  <c r="Y357" i="21" s="1"/>
  <c r="Z356" i="8"/>
  <c r="Z357" i="21" s="1"/>
  <c r="AA356" i="8"/>
  <c r="AA357" i="21" s="1"/>
  <c r="AB356" i="8"/>
  <c r="AB357" i="21" s="1"/>
  <c r="AC356" i="8"/>
  <c r="AC357" i="21" s="1"/>
  <c r="AD356" i="8"/>
  <c r="AD357" i="21" s="1"/>
  <c r="AE356" i="8"/>
  <c r="AE357" i="21" s="1"/>
  <c r="AF356" i="8"/>
  <c r="AG356" i="8"/>
  <c r="AG357" i="11" s="1"/>
  <c r="A357" i="8"/>
  <c r="B357" i="8"/>
  <c r="C357" i="8"/>
  <c r="D357" i="8"/>
  <c r="E357" i="8"/>
  <c r="F357" i="8"/>
  <c r="F358" i="21" s="1"/>
  <c r="G357" i="8"/>
  <c r="G358" i="21" s="1"/>
  <c r="H357" i="8"/>
  <c r="H358" i="21" s="1"/>
  <c r="I357" i="8"/>
  <c r="I358" i="21" s="1"/>
  <c r="J357" i="8"/>
  <c r="J358" i="21" s="1"/>
  <c r="K357" i="8"/>
  <c r="K358" i="21" s="1"/>
  <c r="L357" i="8"/>
  <c r="L358" i="21" s="1"/>
  <c r="M357" i="8"/>
  <c r="M358" i="21" s="1"/>
  <c r="N357" i="8"/>
  <c r="N358" i="21" s="1"/>
  <c r="O357" i="8"/>
  <c r="O358" i="21" s="1"/>
  <c r="P357" i="8"/>
  <c r="P358" i="21" s="1"/>
  <c r="Q357" i="8"/>
  <c r="Q358" i="21" s="1"/>
  <c r="R357" i="8"/>
  <c r="R358" i="21" s="1"/>
  <c r="S357" i="8"/>
  <c r="S358" i="21" s="1"/>
  <c r="T357" i="8"/>
  <c r="T358" i="21" s="1"/>
  <c r="U357" i="8"/>
  <c r="U358" i="21" s="1"/>
  <c r="V357" i="8"/>
  <c r="V358" i="21" s="1"/>
  <c r="W357" i="8"/>
  <c r="W358" i="21" s="1"/>
  <c r="X357" i="8"/>
  <c r="X358" i="21" s="1"/>
  <c r="Y357" i="8"/>
  <c r="Y358" i="21" s="1"/>
  <c r="Z357" i="8"/>
  <c r="Z358" i="21" s="1"/>
  <c r="AA357" i="8"/>
  <c r="AA358" i="21" s="1"/>
  <c r="AB357" i="8"/>
  <c r="AB358" i="21" s="1"/>
  <c r="AC357" i="8"/>
  <c r="AC358" i="21" s="1"/>
  <c r="AD357" i="8"/>
  <c r="AD358" i="21" s="1"/>
  <c r="AE357" i="8"/>
  <c r="AE358" i="21" s="1"/>
  <c r="AF357" i="8"/>
  <c r="AG357" i="8"/>
  <c r="AG358" i="11" s="1"/>
  <c r="A358" i="8"/>
  <c r="B358" i="8"/>
  <c r="C358" i="8"/>
  <c r="D358" i="8"/>
  <c r="E358" i="8"/>
  <c r="F358" i="8"/>
  <c r="F359" i="21" s="1"/>
  <c r="G358" i="8"/>
  <c r="G359" i="21" s="1"/>
  <c r="H358" i="8"/>
  <c r="H359" i="21" s="1"/>
  <c r="I358" i="8"/>
  <c r="I359" i="21" s="1"/>
  <c r="J358" i="8"/>
  <c r="J359" i="21" s="1"/>
  <c r="K358" i="8"/>
  <c r="K359" i="21" s="1"/>
  <c r="L358" i="8"/>
  <c r="L359" i="21" s="1"/>
  <c r="M358" i="8"/>
  <c r="M359" i="21" s="1"/>
  <c r="N358" i="8"/>
  <c r="N359" i="21" s="1"/>
  <c r="O358" i="8"/>
  <c r="O359" i="21" s="1"/>
  <c r="P358" i="8"/>
  <c r="P359" i="21" s="1"/>
  <c r="Q358" i="8"/>
  <c r="Q359" i="21" s="1"/>
  <c r="R358" i="8"/>
  <c r="R359" i="21" s="1"/>
  <c r="S358" i="8"/>
  <c r="S359" i="21" s="1"/>
  <c r="T358" i="8"/>
  <c r="T359" i="21" s="1"/>
  <c r="U358" i="8"/>
  <c r="U359" i="21" s="1"/>
  <c r="V358" i="8"/>
  <c r="V359" i="21" s="1"/>
  <c r="W358" i="8"/>
  <c r="W359" i="21" s="1"/>
  <c r="X358" i="8"/>
  <c r="X359" i="21" s="1"/>
  <c r="Y358" i="8"/>
  <c r="Y359" i="21" s="1"/>
  <c r="Z358" i="8"/>
  <c r="Z359" i="21" s="1"/>
  <c r="AA358" i="8"/>
  <c r="AA359" i="21" s="1"/>
  <c r="AB358" i="8"/>
  <c r="AB359" i="21" s="1"/>
  <c r="AC358" i="8"/>
  <c r="AC359" i="21" s="1"/>
  <c r="AD358" i="8"/>
  <c r="AD359" i="21" s="1"/>
  <c r="AE358" i="8"/>
  <c r="AE359" i="21" s="1"/>
  <c r="AF358" i="8"/>
  <c r="AF359" i="21" s="1"/>
  <c r="AG358" i="8"/>
  <c r="A359" i="8"/>
  <c r="B359" i="8"/>
  <c r="C359" i="8"/>
  <c r="D359" i="8"/>
  <c r="E359" i="8"/>
  <c r="F359" i="8"/>
  <c r="F360" i="21" s="1"/>
  <c r="G359" i="8"/>
  <c r="G360" i="21" s="1"/>
  <c r="H359" i="8"/>
  <c r="H360" i="21" s="1"/>
  <c r="I359" i="8"/>
  <c r="I360" i="21" s="1"/>
  <c r="J359" i="8"/>
  <c r="J360" i="21" s="1"/>
  <c r="K359" i="8"/>
  <c r="K360" i="21" s="1"/>
  <c r="L359" i="8"/>
  <c r="L360" i="21" s="1"/>
  <c r="M359" i="8"/>
  <c r="M360" i="21" s="1"/>
  <c r="N359" i="8"/>
  <c r="N360" i="21" s="1"/>
  <c r="O359" i="8"/>
  <c r="O360" i="21" s="1"/>
  <c r="P359" i="8"/>
  <c r="P360" i="21" s="1"/>
  <c r="Q359" i="8"/>
  <c r="Q360" i="21" s="1"/>
  <c r="R359" i="8"/>
  <c r="R360" i="21" s="1"/>
  <c r="S359" i="8"/>
  <c r="S360" i="21" s="1"/>
  <c r="T359" i="8"/>
  <c r="T360" i="21" s="1"/>
  <c r="U359" i="8"/>
  <c r="U360" i="21" s="1"/>
  <c r="V359" i="8"/>
  <c r="V360" i="21" s="1"/>
  <c r="W359" i="8"/>
  <c r="W360" i="21" s="1"/>
  <c r="X359" i="8"/>
  <c r="X360" i="21" s="1"/>
  <c r="Y359" i="8"/>
  <c r="Y360" i="21" s="1"/>
  <c r="Z359" i="8"/>
  <c r="Z360" i="21" s="1"/>
  <c r="AA359" i="8"/>
  <c r="AA360" i="21" s="1"/>
  <c r="AB359" i="8"/>
  <c r="AB360" i="21" s="1"/>
  <c r="AC359" i="8"/>
  <c r="AC360" i="21" s="1"/>
  <c r="AD359" i="8"/>
  <c r="AD360" i="21" s="1"/>
  <c r="AE359" i="8"/>
  <c r="AE360" i="21" s="1"/>
  <c r="AF359" i="8"/>
  <c r="AF360" i="21" s="1"/>
  <c r="AG359" i="8"/>
  <c r="A360" i="8"/>
  <c r="B360" i="8"/>
  <c r="C360" i="8"/>
  <c r="D360" i="8"/>
  <c r="E360" i="8"/>
  <c r="F360" i="8"/>
  <c r="F361" i="21" s="1"/>
  <c r="G360" i="8"/>
  <c r="G361" i="21" s="1"/>
  <c r="H360" i="8"/>
  <c r="H361" i="21" s="1"/>
  <c r="I360" i="8"/>
  <c r="I361" i="21" s="1"/>
  <c r="J360" i="8"/>
  <c r="J361" i="21" s="1"/>
  <c r="K360" i="8"/>
  <c r="K361" i="21" s="1"/>
  <c r="L360" i="8"/>
  <c r="L361" i="21" s="1"/>
  <c r="M360" i="8"/>
  <c r="M361" i="21" s="1"/>
  <c r="N360" i="8"/>
  <c r="N361" i="21" s="1"/>
  <c r="O360" i="8"/>
  <c r="O361" i="21" s="1"/>
  <c r="P360" i="8"/>
  <c r="P361" i="21" s="1"/>
  <c r="Q360" i="8"/>
  <c r="Q361" i="21" s="1"/>
  <c r="R360" i="8"/>
  <c r="R361" i="21" s="1"/>
  <c r="S360" i="8"/>
  <c r="S361" i="21" s="1"/>
  <c r="T360" i="8"/>
  <c r="T361" i="21" s="1"/>
  <c r="U360" i="8"/>
  <c r="U361" i="21" s="1"/>
  <c r="V360" i="8"/>
  <c r="V361" i="21" s="1"/>
  <c r="W360" i="8"/>
  <c r="W361" i="21" s="1"/>
  <c r="X360" i="8"/>
  <c r="X361" i="21" s="1"/>
  <c r="Y360" i="8"/>
  <c r="Y361" i="21" s="1"/>
  <c r="Z360" i="8"/>
  <c r="Z361" i="21" s="1"/>
  <c r="AA360" i="8"/>
  <c r="AA361" i="21" s="1"/>
  <c r="AB360" i="8"/>
  <c r="AB361" i="21" s="1"/>
  <c r="AC360" i="8"/>
  <c r="AC361" i="21" s="1"/>
  <c r="AD360" i="8"/>
  <c r="AD361" i="21" s="1"/>
  <c r="AE360" i="8"/>
  <c r="AE361" i="21" s="1"/>
  <c r="AF360" i="8"/>
  <c r="AF361" i="21" s="1"/>
  <c r="AG360" i="8"/>
  <c r="A361" i="8"/>
  <c r="B361" i="8"/>
  <c r="C361" i="8"/>
  <c r="D361" i="8"/>
  <c r="E361" i="8"/>
  <c r="F361" i="8"/>
  <c r="F362" i="21" s="1"/>
  <c r="G361" i="8"/>
  <c r="G362" i="21" s="1"/>
  <c r="H361" i="8"/>
  <c r="H362" i="21" s="1"/>
  <c r="I361" i="8"/>
  <c r="I362" i="21" s="1"/>
  <c r="J361" i="8"/>
  <c r="J362" i="21" s="1"/>
  <c r="K361" i="8"/>
  <c r="K362" i="21" s="1"/>
  <c r="L361" i="8"/>
  <c r="L362" i="21" s="1"/>
  <c r="M361" i="8"/>
  <c r="M362" i="21" s="1"/>
  <c r="N361" i="8"/>
  <c r="N362" i="21" s="1"/>
  <c r="O361" i="8"/>
  <c r="O362" i="21" s="1"/>
  <c r="P361" i="8"/>
  <c r="P362" i="21" s="1"/>
  <c r="Q361" i="8"/>
  <c r="Q362" i="21" s="1"/>
  <c r="R361" i="8"/>
  <c r="R362" i="21" s="1"/>
  <c r="S361" i="8"/>
  <c r="S362" i="21" s="1"/>
  <c r="T361" i="8"/>
  <c r="T362" i="21" s="1"/>
  <c r="U361" i="8"/>
  <c r="U362" i="21" s="1"/>
  <c r="V361" i="8"/>
  <c r="V362" i="21" s="1"/>
  <c r="W361" i="8"/>
  <c r="W362" i="21" s="1"/>
  <c r="X361" i="8"/>
  <c r="X362" i="21" s="1"/>
  <c r="Y361" i="8"/>
  <c r="Y362" i="21" s="1"/>
  <c r="Z361" i="8"/>
  <c r="Z362" i="21" s="1"/>
  <c r="AA361" i="8"/>
  <c r="AA362" i="21" s="1"/>
  <c r="AB361" i="8"/>
  <c r="AB362" i="21" s="1"/>
  <c r="AC361" i="8"/>
  <c r="AC362" i="21" s="1"/>
  <c r="AD361" i="8"/>
  <c r="AD362" i="21" s="1"/>
  <c r="AE361" i="8"/>
  <c r="AE362" i="21" s="1"/>
  <c r="AF361" i="8"/>
  <c r="AF362" i="21" s="1"/>
  <c r="AG361" i="8"/>
  <c r="A362" i="8"/>
  <c r="B362" i="8"/>
  <c r="C362" i="8"/>
  <c r="D362" i="8"/>
  <c r="E362" i="8"/>
  <c r="F362" i="8"/>
  <c r="F363" i="21" s="1"/>
  <c r="G362" i="8"/>
  <c r="G363" i="21" s="1"/>
  <c r="H362" i="8"/>
  <c r="H363" i="21" s="1"/>
  <c r="I362" i="8"/>
  <c r="I363" i="21" s="1"/>
  <c r="J362" i="8"/>
  <c r="J363" i="21" s="1"/>
  <c r="K362" i="8"/>
  <c r="K363" i="21" s="1"/>
  <c r="L362" i="8"/>
  <c r="L363" i="21" s="1"/>
  <c r="M362" i="8"/>
  <c r="M363" i="21" s="1"/>
  <c r="N362" i="8"/>
  <c r="N363" i="21" s="1"/>
  <c r="O362" i="8"/>
  <c r="O363" i="21" s="1"/>
  <c r="P362" i="8"/>
  <c r="P363" i="21" s="1"/>
  <c r="Q362" i="8"/>
  <c r="Q363" i="21" s="1"/>
  <c r="R362" i="8"/>
  <c r="R363" i="21" s="1"/>
  <c r="S362" i="8"/>
  <c r="S363" i="21" s="1"/>
  <c r="T362" i="8"/>
  <c r="T363" i="21" s="1"/>
  <c r="U362" i="8"/>
  <c r="U363" i="21" s="1"/>
  <c r="V362" i="8"/>
  <c r="V363" i="21" s="1"/>
  <c r="W362" i="8"/>
  <c r="W363" i="21" s="1"/>
  <c r="X362" i="8"/>
  <c r="X363" i="21" s="1"/>
  <c r="Y362" i="8"/>
  <c r="Y363" i="21" s="1"/>
  <c r="Z362" i="8"/>
  <c r="Z363" i="21" s="1"/>
  <c r="AA362" i="8"/>
  <c r="AA363" i="21" s="1"/>
  <c r="AB362" i="8"/>
  <c r="AB363" i="21" s="1"/>
  <c r="AC362" i="8"/>
  <c r="AC363" i="21" s="1"/>
  <c r="AD362" i="8"/>
  <c r="AD363" i="21" s="1"/>
  <c r="AE362" i="8"/>
  <c r="AE363" i="21" s="1"/>
  <c r="AF362" i="8"/>
  <c r="AF363" i="21" s="1"/>
  <c r="AG362" i="8"/>
  <c r="A363" i="8"/>
  <c r="B363" i="8"/>
  <c r="C363" i="8"/>
  <c r="D363" i="8"/>
  <c r="E363" i="8"/>
  <c r="F363" i="8"/>
  <c r="F364" i="21" s="1"/>
  <c r="G363" i="8"/>
  <c r="G364" i="21" s="1"/>
  <c r="H363" i="8"/>
  <c r="H364" i="21" s="1"/>
  <c r="I363" i="8"/>
  <c r="I364" i="21" s="1"/>
  <c r="J363" i="8"/>
  <c r="J364" i="21" s="1"/>
  <c r="K363" i="8"/>
  <c r="K364" i="21" s="1"/>
  <c r="L363" i="8"/>
  <c r="L364" i="21" s="1"/>
  <c r="M363" i="8"/>
  <c r="M364" i="21" s="1"/>
  <c r="N363" i="8"/>
  <c r="N364" i="21" s="1"/>
  <c r="O363" i="8"/>
  <c r="O364" i="21" s="1"/>
  <c r="P363" i="8"/>
  <c r="P364" i="21" s="1"/>
  <c r="Q363" i="8"/>
  <c r="Q364" i="21" s="1"/>
  <c r="R363" i="8"/>
  <c r="R364" i="21" s="1"/>
  <c r="S363" i="8"/>
  <c r="S364" i="21" s="1"/>
  <c r="T363" i="8"/>
  <c r="T364" i="21" s="1"/>
  <c r="U363" i="8"/>
  <c r="U364" i="21" s="1"/>
  <c r="V363" i="8"/>
  <c r="V364" i="21" s="1"/>
  <c r="W363" i="8"/>
  <c r="W364" i="21" s="1"/>
  <c r="X363" i="8"/>
  <c r="X364" i="21" s="1"/>
  <c r="Y363" i="8"/>
  <c r="Y364" i="21" s="1"/>
  <c r="Z363" i="8"/>
  <c r="Z364" i="21" s="1"/>
  <c r="AA363" i="8"/>
  <c r="AA364" i="21" s="1"/>
  <c r="AB363" i="8"/>
  <c r="AB364" i="21" s="1"/>
  <c r="AC363" i="8"/>
  <c r="AC364" i="21" s="1"/>
  <c r="AD363" i="8"/>
  <c r="AD364" i="21" s="1"/>
  <c r="AE363" i="8"/>
  <c r="AE364" i="21" s="1"/>
  <c r="AF363" i="8"/>
  <c r="AF364" i="21" s="1"/>
  <c r="AG363" i="8"/>
  <c r="A364" i="8"/>
  <c r="B364" i="8"/>
  <c r="C364" i="8"/>
  <c r="D364" i="8"/>
  <c r="E364" i="8"/>
  <c r="F364" i="8"/>
  <c r="F365" i="21" s="1"/>
  <c r="G364" i="8"/>
  <c r="G365" i="21" s="1"/>
  <c r="H364" i="8"/>
  <c r="H365" i="21" s="1"/>
  <c r="I364" i="8"/>
  <c r="I365" i="21" s="1"/>
  <c r="J364" i="8"/>
  <c r="J365" i="21" s="1"/>
  <c r="K364" i="8"/>
  <c r="K365" i="21" s="1"/>
  <c r="L364" i="8"/>
  <c r="L365" i="21" s="1"/>
  <c r="M364" i="8"/>
  <c r="M365" i="21" s="1"/>
  <c r="N364" i="8"/>
  <c r="N365" i="21" s="1"/>
  <c r="O364" i="8"/>
  <c r="O365" i="21" s="1"/>
  <c r="P364" i="8"/>
  <c r="P365" i="21" s="1"/>
  <c r="Q364" i="8"/>
  <c r="Q365" i="21" s="1"/>
  <c r="R364" i="8"/>
  <c r="R365" i="21" s="1"/>
  <c r="S364" i="8"/>
  <c r="S365" i="21" s="1"/>
  <c r="T364" i="8"/>
  <c r="T365" i="21" s="1"/>
  <c r="U364" i="8"/>
  <c r="U365" i="21" s="1"/>
  <c r="V364" i="8"/>
  <c r="V365" i="21" s="1"/>
  <c r="W364" i="8"/>
  <c r="W365" i="21" s="1"/>
  <c r="X364" i="8"/>
  <c r="X365" i="21" s="1"/>
  <c r="Y364" i="8"/>
  <c r="Y365" i="21" s="1"/>
  <c r="Z364" i="8"/>
  <c r="Z365" i="21" s="1"/>
  <c r="AA364" i="8"/>
  <c r="AA365" i="21" s="1"/>
  <c r="AB364" i="8"/>
  <c r="AB365" i="21" s="1"/>
  <c r="AC364" i="8"/>
  <c r="AC365" i="21" s="1"/>
  <c r="AD364" i="8"/>
  <c r="AD365" i="21" s="1"/>
  <c r="AE364" i="8"/>
  <c r="AE365" i="21" s="1"/>
  <c r="AF364" i="8"/>
  <c r="AG364" i="8"/>
  <c r="A365" i="8"/>
  <c r="B365" i="8"/>
  <c r="C365" i="8"/>
  <c r="D365" i="8"/>
  <c r="E365" i="8"/>
  <c r="F365" i="8"/>
  <c r="F366" i="21" s="1"/>
  <c r="G365" i="8"/>
  <c r="G366" i="21" s="1"/>
  <c r="H365" i="8"/>
  <c r="H366" i="21" s="1"/>
  <c r="I365" i="8"/>
  <c r="I366" i="21" s="1"/>
  <c r="J365" i="8"/>
  <c r="J366" i="21" s="1"/>
  <c r="K365" i="8"/>
  <c r="K366" i="21" s="1"/>
  <c r="L365" i="8"/>
  <c r="L366" i="21" s="1"/>
  <c r="M365" i="8"/>
  <c r="M366" i="21" s="1"/>
  <c r="M1" i="21" s="1"/>
  <c r="N365" i="8"/>
  <c r="N366" i="21" s="1"/>
  <c r="O365" i="8"/>
  <c r="O366" i="21" s="1"/>
  <c r="P365" i="8"/>
  <c r="P366" i="21" s="1"/>
  <c r="Q365" i="8"/>
  <c r="Q366" i="21" s="1"/>
  <c r="R365" i="8"/>
  <c r="R366" i="21" s="1"/>
  <c r="S365" i="8"/>
  <c r="S366" i="21" s="1"/>
  <c r="T365" i="8"/>
  <c r="T366" i="21" s="1"/>
  <c r="U365" i="8"/>
  <c r="U366" i="21" s="1"/>
  <c r="U1" i="21" s="1"/>
  <c r="V365" i="8"/>
  <c r="V366" i="21" s="1"/>
  <c r="W365" i="8"/>
  <c r="W366" i="21" s="1"/>
  <c r="X365" i="8"/>
  <c r="X366" i="21" s="1"/>
  <c r="Y365" i="8"/>
  <c r="Y366" i="21" s="1"/>
  <c r="Z365" i="8"/>
  <c r="Z366" i="21" s="1"/>
  <c r="AA365" i="8"/>
  <c r="AA366" i="21" s="1"/>
  <c r="AB365" i="8"/>
  <c r="AB366" i="21" s="1"/>
  <c r="AC365" i="8"/>
  <c r="AC366" i="21" s="1"/>
  <c r="AD365" i="8"/>
  <c r="AD366" i="21" s="1"/>
  <c r="AE365" i="8"/>
  <c r="AF365" i="8"/>
  <c r="AF366" i="21" s="1"/>
  <c r="AG365" i="8"/>
  <c r="AG366" i="21" s="1"/>
  <c r="AG1" i="21" s="1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AK1" i="2"/>
  <c r="AI1" i="2"/>
  <c r="AA1" i="2"/>
  <c r="U1" i="2"/>
  <c r="S1" i="2"/>
  <c r="O1" i="2"/>
  <c r="AG1" i="2"/>
  <c r="AE1" i="2"/>
  <c r="AC1" i="2"/>
  <c r="Z1" i="2"/>
  <c r="Y1" i="2"/>
  <c r="X1" i="2"/>
  <c r="R1" i="2"/>
  <c r="Q1" i="2"/>
  <c r="W1" i="2"/>
  <c r="B1" i="2"/>
  <c r="M259" i="2" l="1"/>
  <c r="AE2" i="10"/>
  <c r="AE2" i="21"/>
  <c r="W2" i="10"/>
  <c r="W2" i="21"/>
  <c r="O2" i="10"/>
  <c r="O2" i="21"/>
  <c r="AC2" i="9"/>
  <c r="AC2" i="21"/>
  <c r="U2" i="9"/>
  <c r="U2" i="21"/>
  <c r="M2" i="9"/>
  <c r="M2" i="21"/>
  <c r="AB2" i="10"/>
  <c r="AB2" i="21"/>
  <c r="T2" i="10"/>
  <c r="T2" i="21"/>
  <c r="L2" i="10"/>
  <c r="L2" i="21"/>
  <c r="AG2" i="11"/>
  <c r="A29" i="14" s="1"/>
  <c r="AG2" i="21"/>
  <c r="Y2" i="11"/>
  <c r="A21" i="14" s="1"/>
  <c r="Y2" i="21"/>
  <c r="Q2" i="11"/>
  <c r="A13" i="14" s="1"/>
  <c r="Q2" i="21"/>
  <c r="I2" i="11"/>
  <c r="A5" i="14" s="1"/>
  <c r="I2" i="21"/>
  <c r="AF2" i="10"/>
  <c r="AF2" i="21"/>
  <c r="X2" i="10"/>
  <c r="X2" i="21"/>
  <c r="P2" i="10"/>
  <c r="P2" i="21"/>
  <c r="H2" i="10"/>
  <c r="H2" i="21"/>
  <c r="G2" i="10"/>
  <c r="G2" i="21"/>
  <c r="F2" i="10"/>
  <c r="F2" i="21"/>
  <c r="AE340" i="9"/>
  <c r="AE340" i="21"/>
  <c r="AE300" i="9"/>
  <c r="AE300" i="21"/>
  <c r="AE276" i="9"/>
  <c r="AE276" i="21"/>
  <c r="AE268" i="9"/>
  <c r="AE268" i="21"/>
  <c r="AE260" i="9"/>
  <c r="AE260" i="21"/>
  <c r="AE236" i="9"/>
  <c r="AE236" i="21"/>
  <c r="AE228" i="9"/>
  <c r="AE228" i="21"/>
  <c r="AE220" i="9"/>
  <c r="AE220" i="21"/>
  <c r="AE212" i="9"/>
  <c r="AE212" i="21"/>
  <c r="AF203" i="10"/>
  <c r="AF203" i="21"/>
  <c r="AE196" i="9"/>
  <c r="AE196" i="21"/>
  <c r="AF195" i="10"/>
  <c r="AF195" i="21"/>
  <c r="AE188" i="9"/>
  <c r="AE188" i="21"/>
  <c r="AE180" i="9"/>
  <c r="AE180" i="21"/>
  <c r="AE140" i="9"/>
  <c r="AE140" i="21"/>
  <c r="AF139" i="10"/>
  <c r="AF139" i="21"/>
  <c r="AE132" i="9"/>
  <c r="AE132" i="21"/>
  <c r="AF131" i="10"/>
  <c r="AF131" i="21"/>
  <c r="AF107" i="9"/>
  <c r="AF107" i="21"/>
  <c r="AF331" i="9"/>
  <c r="AF331" i="21"/>
  <c r="AE308" i="9"/>
  <c r="AE308" i="21"/>
  <c r="AE292" i="9"/>
  <c r="AE292" i="21"/>
  <c r="AF275" i="10"/>
  <c r="AF275" i="21"/>
  <c r="AE244" i="9"/>
  <c r="AE244" i="21"/>
  <c r="AE204" i="9"/>
  <c r="AE204" i="21"/>
  <c r="AF171" i="11"/>
  <c r="AF171" i="21"/>
  <c r="AE164" i="9"/>
  <c r="AE164" i="21"/>
  <c r="AE148" i="9"/>
  <c r="AE148" i="21"/>
  <c r="AF147" i="10"/>
  <c r="AF147" i="21"/>
  <c r="T1" i="21"/>
  <c r="L1" i="21"/>
  <c r="AF250" i="11"/>
  <c r="AF250" i="21"/>
  <c r="AF226" i="10"/>
  <c r="AF226" i="21"/>
  <c r="AE195" i="10"/>
  <c r="AE195" i="21"/>
  <c r="AF186" i="11"/>
  <c r="AF186" i="21"/>
  <c r="AF138" i="10"/>
  <c r="AF138" i="21"/>
  <c r="AE131" i="10"/>
  <c r="AE131" i="21"/>
  <c r="AF114" i="9"/>
  <c r="AF114" i="21"/>
  <c r="AF106" i="9"/>
  <c r="AF106" i="21"/>
  <c r="AF98" i="9"/>
  <c r="AF98" i="21"/>
  <c r="AF90" i="10"/>
  <c r="AF90" i="21"/>
  <c r="AE67" i="10"/>
  <c r="AE67" i="21"/>
  <c r="AF66" i="10"/>
  <c r="AF66" i="21"/>
  <c r="AF58" i="10"/>
  <c r="AF58" i="21"/>
  <c r="AE356" i="9"/>
  <c r="AE356" i="21"/>
  <c r="AE316" i="9"/>
  <c r="AE316" i="21"/>
  <c r="AE284" i="9"/>
  <c r="AE284" i="21"/>
  <c r="AE252" i="9"/>
  <c r="AE252" i="21"/>
  <c r="AE172" i="9"/>
  <c r="AE172" i="21"/>
  <c r="AE156" i="9"/>
  <c r="AE156" i="21"/>
  <c r="AA1" i="21"/>
  <c r="S1" i="21"/>
  <c r="K1" i="21"/>
  <c r="AF345" i="11"/>
  <c r="AF345" i="21"/>
  <c r="AE314" i="9"/>
  <c r="AE314" i="21"/>
  <c r="AE306" i="9"/>
  <c r="AE306" i="21"/>
  <c r="AE298" i="9"/>
  <c r="AE298" i="21"/>
  <c r="AE290" i="9"/>
  <c r="AE290" i="21"/>
  <c r="AE282" i="9"/>
  <c r="AE282" i="21"/>
  <c r="AE274" i="9"/>
  <c r="AE274" i="21"/>
  <c r="AE266" i="9"/>
  <c r="AE266" i="21"/>
  <c r="AE258" i="9"/>
  <c r="AE258" i="21"/>
  <c r="AF257" i="9"/>
  <c r="AF257" i="21"/>
  <c r="AE250" i="9"/>
  <c r="AE250" i="21"/>
  <c r="AF249" i="11"/>
  <c r="AF249" i="21"/>
  <c r="AE242" i="9"/>
  <c r="AE242" i="21"/>
  <c r="AE234" i="9"/>
  <c r="AE234" i="21"/>
  <c r="AE226" i="9"/>
  <c r="AE226" i="21"/>
  <c r="AE218" i="9"/>
  <c r="AE218" i="21"/>
  <c r="AE210" i="9"/>
  <c r="AE210" i="21"/>
  <c r="AE202" i="9"/>
  <c r="AE202" i="21"/>
  <c r="AE194" i="9"/>
  <c r="AE194" i="21"/>
  <c r="AE186" i="9"/>
  <c r="AE186" i="21"/>
  <c r="AF185" i="11"/>
  <c r="AF185" i="21"/>
  <c r="AE178" i="9"/>
  <c r="AE178" i="21"/>
  <c r="AE170" i="9"/>
  <c r="AE170" i="21"/>
  <c r="AF169" i="11"/>
  <c r="AF169" i="21"/>
  <c r="AE162" i="9"/>
  <c r="AE162" i="21"/>
  <c r="AE154" i="9"/>
  <c r="AE154" i="21"/>
  <c r="AE146" i="9"/>
  <c r="AE146" i="21"/>
  <c r="AE138" i="9"/>
  <c r="AE138" i="21"/>
  <c r="AF137" i="11"/>
  <c r="AF137" i="21"/>
  <c r="AE130" i="9"/>
  <c r="AE130" i="21"/>
  <c r="AF129" i="11"/>
  <c r="AF129" i="21"/>
  <c r="AF121" i="11"/>
  <c r="AF121" i="21"/>
  <c r="AF113" i="9"/>
  <c r="AF113" i="21"/>
  <c r="AF105" i="11"/>
  <c r="AF105" i="21"/>
  <c r="AF16" i="11"/>
  <c r="AF16" i="21"/>
  <c r="AF344" i="11"/>
  <c r="AF344" i="21"/>
  <c r="AF304" i="10"/>
  <c r="AF304" i="21"/>
  <c r="AF200" i="11"/>
  <c r="AF200" i="21"/>
  <c r="AF192" i="11"/>
  <c r="AF192" i="21"/>
  <c r="AF136" i="11"/>
  <c r="AF136" i="21"/>
  <c r="AF128" i="10"/>
  <c r="AF128" i="21"/>
  <c r="AF120" i="11"/>
  <c r="AF120" i="21"/>
  <c r="AF15" i="11"/>
  <c r="AF15" i="21"/>
  <c r="AF347" i="10"/>
  <c r="AF347" i="21"/>
  <c r="AE324" i="9"/>
  <c r="AE324" i="21"/>
  <c r="Y1" i="21"/>
  <c r="Q1" i="21"/>
  <c r="I1" i="21"/>
  <c r="AF351" i="11"/>
  <c r="AF351" i="21"/>
  <c r="AF343" i="9"/>
  <c r="AF343" i="21"/>
  <c r="AE312" i="9"/>
  <c r="AE312" i="21"/>
  <c r="AE304" i="9"/>
  <c r="AE304" i="21"/>
  <c r="AF303" i="10"/>
  <c r="AF303" i="21"/>
  <c r="AE296" i="9"/>
  <c r="AE296" i="21"/>
  <c r="AE288" i="9"/>
  <c r="AE288" i="21"/>
  <c r="AE280" i="9"/>
  <c r="AE280" i="21"/>
  <c r="AE272" i="9"/>
  <c r="AE272" i="21"/>
  <c r="AE264" i="9"/>
  <c r="AE264" i="21"/>
  <c r="AE256" i="9"/>
  <c r="AE256" i="21"/>
  <c r="AE248" i="9"/>
  <c r="AE248" i="21"/>
  <c r="AF247" i="9"/>
  <c r="AF247" i="21"/>
  <c r="AE240" i="9"/>
  <c r="AE240" i="21"/>
  <c r="AE232" i="9"/>
  <c r="AE232" i="21"/>
  <c r="AE224" i="9"/>
  <c r="AE224" i="21"/>
  <c r="AE216" i="9"/>
  <c r="AE216" i="21"/>
  <c r="AE208" i="9"/>
  <c r="AE208" i="21"/>
  <c r="AE200" i="9"/>
  <c r="AE200" i="21"/>
  <c r="AF199" i="9"/>
  <c r="AF199" i="21"/>
  <c r="AE192" i="9"/>
  <c r="AE192" i="21"/>
  <c r="AF191" i="10"/>
  <c r="AF191" i="21"/>
  <c r="AE184" i="9"/>
  <c r="AE184" i="21"/>
  <c r="AF183" i="10"/>
  <c r="AF183" i="21"/>
  <c r="AE176" i="9"/>
  <c r="AE176" i="21"/>
  <c r="AE168" i="9"/>
  <c r="AE168" i="21"/>
  <c r="AE160" i="9"/>
  <c r="AE160" i="21"/>
  <c r="AE152" i="9"/>
  <c r="AE152" i="21"/>
  <c r="AE144" i="9"/>
  <c r="AE144" i="21"/>
  <c r="AE136" i="9"/>
  <c r="AE136" i="21"/>
  <c r="AE128" i="9"/>
  <c r="AE128" i="21"/>
  <c r="AF119" i="9"/>
  <c r="AF119" i="21"/>
  <c r="AF103" i="9"/>
  <c r="AF103" i="21"/>
  <c r="AF63" i="11"/>
  <c r="AF63" i="21"/>
  <c r="AF6" i="9"/>
  <c r="AF6" i="21"/>
  <c r="J1" i="21"/>
  <c r="X1" i="21"/>
  <c r="P1" i="21"/>
  <c r="H1" i="21"/>
  <c r="AF358" i="9"/>
  <c r="AF358" i="21"/>
  <c r="AF350" i="9"/>
  <c r="AF350" i="21"/>
  <c r="AF334" i="9"/>
  <c r="AF334" i="21"/>
  <c r="AF302" i="10"/>
  <c r="AF302" i="21"/>
  <c r="AF270" i="9"/>
  <c r="AF270" i="21"/>
  <c r="AF222" i="11"/>
  <c r="AF222" i="21"/>
  <c r="AF190" i="10"/>
  <c r="AF190" i="21"/>
  <c r="AF134" i="11"/>
  <c r="AF134" i="21"/>
  <c r="AF118" i="9"/>
  <c r="AF118" i="21"/>
  <c r="AF102" i="9"/>
  <c r="AF102" i="21"/>
  <c r="AF86" i="9"/>
  <c r="AF86" i="21"/>
  <c r="AF78" i="10"/>
  <c r="AF78" i="21"/>
  <c r="AF29" i="11"/>
  <c r="AF29" i="21"/>
  <c r="AF13" i="11"/>
  <c r="AF13" i="21"/>
  <c r="AF3" i="9"/>
  <c r="AF3" i="21"/>
  <c r="AF1" i="21" s="1"/>
  <c r="R1" i="21"/>
  <c r="AF248" i="11"/>
  <c r="AF248" i="21"/>
  <c r="W1" i="21"/>
  <c r="O1" i="21"/>
  <c r="G1" i="21"/>
  <c r="D3" i="14" s="1"/>
  <c r="AF365" i="11"/>
  <c r="AF365" i="21"/>
  <c r="AF357" i="9"/>
  <c r="AF357" i="21"/>
  <c r="AF333" i="9"/>
  <c r="AF333" i="21"/>
  <c r="AF317" i="11"/>
  <c r="AF317" i="21"/>
  <c r="AE310" i="9"/>
  <c r="AE310" i="21"/>
  <c r="AE302" i="9"/>
  <c r="AE302" i="21"/>
  <c r="AE294" i="9"/>
  <c r="AE294" i="21"/>
  <c r="AF293" i="11"/>
  <c r="AF293" i="21"/>
  <c r="AE286" i="9"/>
  <c r="AE286" i="21"/>
  <c r="AE278" i="9"/>
  <c r="AE278" i="21"/>
  <c r="AF277" i="11"/>
  <c r="AF277" i="21"/>
  <c r="AE270" i="9"/>
  <c r="AE270" i="21"/>
  <c r="AF269" i="10"/>
  <c r="AF269" i="21"/>
  <c r="AE262" i="9"/>
  <c r="AE262" i="21"/>
  <c r="AE254" i="9"/>
  <c r="AE254" i="21"/>
  <c r="AE246" i="9"/>
  <c r="AE246" i="21"/>
  <c r="AE238" i="9"/>
  <c r="AE238" i="21"/>
  <c r="AE230" i="9"/>
  <c r="AE230" i="21"/>
  <c r="AE222" i="9"/>
  <c r="AE222" i="21"/>
  <c r="AE214" i="9"/>
  <c r="AE214" i="21"/>
  <c r="AE206" i="9"/>
  <c r="AE206" i="21"/>
  <c r="AE198" i="9"/>
  <c r="AE198" i="21"/>
  <c r="AE190" i="9"/>
  <c r="AE190" i="21"/>
  <c r="AF189" i="11"/>
  <c r="AF189" i="21"/>
  <c r="AE182" i="9"/>
  <c r="AE182" i="21"/>
  <c r="AE174" i="9"/>
  <c r="AE174" i="21"/>
  <c r="AE166" i="9"/>
  <c r="AE166" i="21"/>
  <c r="AF165" i="11"/>
  <c r="AF165" i="21"/>
  <c r="AE158" i="9"/>
  <c r="AE158" i="21"/>
  <c r="AE150" i="9"/>
  <c r="AE150" i="21"/>
  <c r="AF149" i="10"/>
  <c r="AF149" i="21"/>
  <c r="AE142" i="9"/>
  <c r="AE142" i="21"/>
  <c r="AE134" i="9"/>
  <c r="AE134" i="21"/>
  <c r="AF133" i="10"/>
  <c r="AF133" i="21"/>
  <c r="AE126" i="9"/>
  <c r="AE126" i="21"/>
  <c r="AF61" i="9"/>
  <c r="AF61" i="21"/>
  <c r="AF12" i="9"/>
  <c r="AF12" i="21"/>
  <c r="Z1" i="21"/>
  <c r="V1" i="21"/>
  <c r="N1" i="21"/>
  <c r="AF300" i="11"/>
  <c r="AF300" i="21"/>
  <c r="AF292" i="11"/>
  <c r="AF292" i="21"/>
  <c r="AF284" i="11"/>
  <c r="AF284" i="21"/>
  <c r="AF276" i="11"/>
  <c r="AF276" i="21"/>
  <c r="AF268" i="11"/>
  <c r="AF268" i="21"/>
  <c r="AF236" i="11"/>
  <c r="AF236" i="21"/>
  <c r="AF228" i="11"/>
  <c r="AF228" i="21"/>
  <c r="AF204" i="11"/>
  <c r="AF204" i="21"/>
  <c r="AF196" i="10"/>
  <c r="AF196" i="21"/>
  <c r="AF172" i="11"/>
  <c r="AF172" i="21"/>
  <c r="AF164" i="11"/>
  <c r="AF164" i="21"/>
  <c r="AF148" i="11"/>
  <c r="AF148" i="21"/>
  <c r="AF68" i="11"/>
  <c r="AF68" i="21"/>
  <c r="AF11" i="11"/>
  <c r="AF11" i="21"/>
  <c r="F185" i="11"/>
  <c r="F185" i="21"/>
  <c r="F1" i="21"/>
  <c r="D2" i="14" s="1"/>
  <c r="AD1" i="21"/>
  <c r="AE366" i="10"/>
  <c r="AE366" i="21"/>
  <c r="AE1" i="21" s="1"/>
  <c r="AB1" i="21"/>
  <c r="AC1" i="21"/>
  <c r="M158" i="2"/>
  <c r="M142" i="2"/>
  <c r="M126" i="2"/>
  <c r="M118" i="2"/>
  <c r="M110" i="2"/>
  <c r="M94" i="2"/>
  <c r="M86" i="2"/>
  <c r="M78" i="2"/>
  <c r="M62" i="2"/>
  <c r="M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M366" i="2"/>
  <c r="M358" i="2"/>
  <c r="M350" i="2"/>
  <c r="M342" i="2"/>
  <c r="M334" i="2"/>
  <c r="M326" i="2"/>
  <c r="M318" i="2"/>
  <c r="M310" i="2"/>
  <c r="M262" i="2"/>
  <c r="M254" i="2"/>
  <c r="M246" i="2"/>
  <c r="M222" i="2"/>
  <c r="M214" i="2"/>
  <c r="M190" i="2"/>
  <c r="M182" i="2"/>
  <c r="M325" i="2"/>
  <c r="M317" i="2"/>
  <c r="M309" i="2"/>
  <c r="M285" i="2"/>
  <c r="M269" i="2"/>
  <c r="M261" i="2"/>
  <c r="M253" i="2"/>
  <c r="M245" i="2"/>
  <c r="M237" i="2"/>
  <c r="M229" i="2"/>
  <c r="M221" i="2"/>
  <c r="M213" i="2"/>
  <c r="M181" i="2"/>
  <c r="M165" i="2"/>
  <c r="M157" i="2"/>
  <c r="M125" i="2"/>
  <c r="M117" i="2"/>
  <c r="M93" i="2"/>
  <c r="M85" i="2"/>
  <c r="M77" i="2"/>
  <c r="M69" i="2"/>
  <c r="M61" i="2"/>
  <c r="M53" i="2"/>
  <c r="M301" i="2"/>
  <c r="M189" i="2"/>
  <c r="M47" i="2"/>
  <c r="M361" i="2"/>
  <c r="M337" i="2"/>
  <c r="M329" i="2"/>
  <c r="M321" i="2"/>
  <c r="M313" i="2"/>
  <c r="M297" i="2"/>
  <c r="M281" i="2"/>
  <c r="M273" i="2"/>
  <c r="M265" i="2"/>
  <c r="M257" i="2"/>
  <c r="M241" i="2"/>
  <c r="M233" i="2"/>
  <c r="M225" i="2"/>
  <c r="M217" i="2"/>
  <c r="M209" i="2"/>
  <c r="M177" i="2"/>
  <c r="M169" i="2"/>
  <c r="M161" i="2"/>
  <c r="M153" i="2"/>
  <c r="M145" i="2"/>
  <c r="M137" i="2"/>
  <c r="M113" i="2"/>
  <c r="M97" i="2"/>
  <c r="M89" i="2"/>
  <c r="M81" i="2"/>
  <c r="M73" i="2"/>
  <c r="M49" i="2"/>
  <c r="M368" i="2"/>
  <c r="M344" i="2"/>
  <c r="M328" i="2"/>
  <c r="M312" i="2"/>
  <c r="M296" i="2"/>
  <c r="M264" i="2"/>
  <c r="M256" i="2"/>
  <c r="M240" i="2"/>
  <c r="M232" i="2"/>
  <c r="M216" i="2"/>
  <c r="M208" i="2"/>
  <c r="M200" i="2"/>
  <c r="M184" i="2"/>
  <c r="M176" i="2"/>
  <c r="M160" i="2"/>
  <c r="M152" i="2"/>
  <c r="M144" i="2"/>
  <c r="M128" i="2"/>
  <c r="M96" i="2"/>
  <c r="M72" i="2"/>
  <c r="M56" i="2"/>
  <c r="M48" i="2"/>
  <c r="M29" i="2"/>
  <c r="M332" i="2"/>
  <c r="M324" i="2"/>
  <c r="M308" i="2"/>
  <c r="M300" i="2"/>
  <c r="M268" i="2"/>
  <c r="M260" i="2"/>
  <c r="M156" i="2"/>
  <c r="M132" i="2"/>
  <c r="M124" i="2"/>
  <c r="M52" i="2"/>
  <c r="M20" i="2"/>
  <c r="M42" i="2"/>
  <c r="M363" i="2"/>
  <c r="M355" i="2"/>
  <c r="M339" i="2"/>
  <c r="M331" i="2"/>
  <c r="M323" i="2"/>
  <c r="M315" i="2"/>
  <c r="M307" i="2"/>
  <c r="M299" i="2"/>
  <c r="M283" i="2"/>
  <c r="M275" i="2"/>
  <c r="M267" i="2"/>
  <c r="M243" i="2"/>
  <c r="M235" i="2"/>
  <c r="M227" i="2"/>
  <c r="M219" i="2"/>
  <c r="M211" i="2"/>
  <c r="M195" i="2"/>
  <c r="M179" i="2"/>
  <c r="M163" i="2"/>
  <c r="M155" i="2"/>
  <c r="M147" i="2"/>
  <c r="M99" i="2"/>
  <c r="M83" i="2"/>
  <c r="M75" i="2"/>
  <c r="M67" i="2"/>
  <c r="M59" i="2"/>
  <c r="M51" i="2"/>
  <c r="M162" i="2"/>
  <c r="M154" i="2"/>
  <c r="M146" i="2"/>
  <c r="M114" i="2"/>
  <c r="M98" i="2"/>
  <c r="M82" i="2"/>
  <c r="M74" i="2"/>
  <c r="M66" i="2"/>
  <c r="M50" i="2"/>
  <c r="M43" i="2"/>
  <c r="M19" i="2"/>
  <c r="M90" i="2"/>
  <c r="M293" i="2"/>
  <c r="M291" i="2"/>
  <c r="M289" i="2"/>
  <c r="M288" i="2"/>
  <c r="M109" i="2"/>
  <c r="M203" i="2"/>
  <c r="M187" i="2"/>
  <c r="M112" i="2"/>
  <c r="M248" i="2"/>
  <c r="M64" i="2"/>
  <c r="M58" i="2"/>
  <c r="M12" i="2"/>
  <c r="M41" i="2"/>
  <c r="M351" i="2"/>
  <c r="M343" i="2"/>
  <c r="M327" i="2"/>
  <c r="M311" i="2"/>
  <c r="M287" i="2"/>
  <c r="M263" i="2"/>
  <c r="M255" i="2"/>
  <c r="M239" i="2"/>
  <c r="M231" i="2"/>
  <c r="M223" i="2"/>
  <c r="M215" i="2"/>
  <c r="M207" i="2"/>
  <c r="M199" i="2"/>
  <c r="M175" i="2"/>
  <c r="M159" i="2"/>
  <c r="M127" i="2"/>
  <c r="M119" i="2"/>
  <c r="M111" i="2"/>
  <c r="M103" i="2"/>
  <c r="M95" i="2"/>
  <c r="M87" i="2"/>
  <c r="M79" i="2"/>
  <c r="M71" i="2"/>
  <c r="M55" i="2"/>
  <c r="M28" i="2"/>
  <c r="M32" i="2"/>
  <c r="M36" i="2"/>
  <c r="P1" i="2"/>
  <c r="AF1" i="2"/>
  <c r="AD366" i="11"/>
  <c r="AD366" i="10"/>
  <c r="AD366" i="9"/>
  <c r="V366" i="11"/>
  <c r="V366" i="10"/>
  <c r="V366" i="9"/>
  <c r="N366" i="11"/>
  <c r="N366" i="10"/>
  <c r="N366" i="9"/>
  <c r="F366" i="11"/>
  <c r="F366" i="10"/>
  <c r="F366" i="9"/>
  <c r="Z365" i="11"/>
  <c r="Z365" i="10"/>
  <c r="Z365" i="9"/>
  <c r="R365" i="11"/>
  <c r="R365" i="10"/>
  <c r="R365" i="9"/>
  <c r="J365" i="11"/>
  <c r="J365" i="10"/>
  <c r="J365" i="9"/>
  <c r="B365" i="11"/>
  <c r="B365" i="10"/>
  <c r="B365" i="9"/>
  <c r="AD364" i="11"/>
  <c r="AD364" i="10"/>
  <c r="AD364" i="9"/>
  <c r="V364" i="11"/>
  <c r="V364" i="10"/>
  <c r="V364" i="9"/>
  <c r="N364" i="11"/>
  <c r="N364" i="10"/>
  <c r="N364" i="9"/>
  <c r="F364" i="11"/>
  <c r="F364" i="10"/>
  <c r="F364" i="9"/>
  <c r="Z363" i="11"/>
  <c r="Z363" i="10"/>
  <c r="Z363" i="9"/>
  <c r="R363" i="11"/>
  <c r="R363" i="10"/>
  <c r="R363" i="9"/>
  <c r="J363" i="11"/>
  <c r="J363" i="10"/>
  <c r="J363" i="9"/>
  <c r="B363" i="11"/>
  <c r="B363" i="10"/>
  <c r="B363" i="9"/>
  <c r="AD362" i="11"/>
  <c r="AD362" i="10"/>
  <c r="AD362" i="9"/>
  <c r="V362" i="11"/>
  <c r="V362" i="10"/>
  <c r="V362" i="9"/>
  <c r="N362" i="11"/>
  <c r="N362" i="10"/>
  <c r="N362" i="9"/>
  <c r="F362" i="11"/>
  <c r="F362" i="10"/>
  <c r="F362" i="9"/>
  <c r="Z361" i="11"/>
  <c r="Z361" i="10"/>
  <c r="Z361" i="9"/>
  <c r="R361" i="11"/>
  <c r="R361" i="10"/>
  <c r="R361" i="9"/>
  <c r="J361" i="11"/>
  <c r="J361" i="10"/>
  <c r="J361" i="9"/>
  <c r="B361" i="11"/>
  <c r="B361" i="10"/>
  <c r="B361" i="9"/>
  <c r="AD360" i="11"/>
  <c r="AD360" i="10"/>
  <c r="AD360" i="9"/>
  <c r="V360" i="11"/>
  <c r="V360" i="10"/>
  <c r="V360" i="9"/>
  <c r="N360" i="11"/>
  <c r="N360" i="10"/>
  <c r="N360" i="9"/>
  <c r="F360" i="11"/>
  <c r="F360" i="10"/>
  <c r="F360" i="9"/>
  <c r="Z359" i="11"/>
  <c r="Z359" i="10"/>
  <c r="Z359" i="9"/>
  <c r="R359" i="11"/>
  <c r="R359" i="10"/>
  <c r="R359" i="9"/>
  <c r="J359" i="11"/>
  <c r="J359" i="10"/>
  <c r="J359" i="9"/>
  <c r="B359" i="11"/>
  <c r="B359" i="10"/>
  <c r="B359" i="9"/>
  <c r="AD358" i="11"/>
  <c r="AD358" i="10"/>
  <c r="AD358" i="9"/>
  <c r="V358" i="11"/>
  <c r="V358" i="10"/>
  <c r="V358" i="9"/>
  <c r="N358" i="11"/>
  <c r="N358" i="10"/>
  <c r="N358" i="9"/>
  <c r="F358" i="11"/>
  <c r="F358" i="10"/>
  <c r="F358" i="9"/>
  <c r="Z357" i="11"/>
  <c r="Z357" i="10"/>
  <c r="Z357" i="9"/>
  <c r="R357" i="11"/>
  <c r="R357" i="10"/>
  <c r="R357" i="9"/>
  <c r="J357" i="11"/>
  <c r="J357" i="10"/>
  <c r="J357" i="9"/>
  <c r="B357" i="11"/>
  <c r="B357" i="10"/>
  <c r="B357" i="9"/>
  <c r="AD356" i="11"/>
  <c r="AD356" i="10"/>
  <c r="AD356" i="9"/>
  <c r="V356" i="11"/>
  <c r="V356" i="10"/>
  <c r="V356" i="9"/>
  <c r="N356" i="11"/>
  <c r="N356" i="10"/>
  <c r="N356" i="9"/>
  <c r="F356" i="11"/>
  <c r="F356" i="10"/>
  <c r="F356" i="9"/>
  <c r="Z355" i="11"/>
  <c r="Z355" i="10"/>
  <c r="Z355" i="9"/>
  <c r="R355" i="11"/>
  <c r="R355" i="10"/>
  <c r="R355" i="9"/>
  <c r="J355" i="11"/>
  <c r="J355" i="10"/>
  <c r="J355" i="9"/>
  <c r="B355" i="11"/>
  <c r="B355" i="10"/>
  <c r="B355" i="9"/>
  <c r="AD354" i="11"/>
  <c r="AD354" i="10"/>
  <c r="AD354" i="9"/>
  <c r="V354" i="11"/>
  <c r="V354" i="10"/>
  <c r="V354" i="9"/>
  <c r="N354" i="11"/>
  <c r="N354" i="10"/>
  <c r="N354" i="9"/>
  <c r="F354" i="11"/>
  <c r="F354" i="10"/>
  <c r="F354" i="9"/>
  <c r="Z353" i="11"/>
  <c r="Z353" i="10"/>
  <c r="Z353" i="9"/>
  <c r="R353" i="11"/>
  <c r="R353" i="10"/>
  <c r="R353" i="9"/>
  <c r="J353" i="11"/>
  <c r="J353" i="10"/>
  <c r="J353" i="9"/>
  <c r="B353" i="11"/>
  <c r="B353" i="10"/>
  <c r="B353" i="9"/>
  <c r="AD352" i="11"/>
  <c r="AD352" i="10"/>
  <c r="AD352" i="9"/>
  <c r="V352" i="11"/>
  <c r="V352" i="10"/>
  <c r="V352" i="9"/>
  <c r="N352" i="11"/>
  <c r="N352" i="10"/>
  <c r="N352" i="9"/>
  <c r="F352" i="11"/>
  <c r="F352" i="10"/>
  <c r="F352" i="9"/>
  <c r="Z351" i="11"/>
  <c r="Z351" i="10"/>
  <c r="Z351" i="9"/>
  <c r="R351" i="11"/>
  <c r="R351" i="10"/>
  <c r="R351" i="9"/>
  <c r="J351" i="11"/>
  <c r="J351" i="10"/>
  <c r="J351" i="9"/>
  <c r="B351" i="11"/>
  <c r="B351" i="10"/>
  <c r="B351" i="9"/>
  <c r="AD350" i="11"/>
  <c r="AD350" i="10"/>
  <c r="AD350" i="9"/>
  <c r="V350" i="11"/>
  <c r="V350" i="10"/>
  <c r="V350" i="9"/>
  <c r="N350" i="11"/>
  <c r="N350" i="10"/>
  <c r="N350" i="9"/>
  <c r="F350" i="11"/>
  <c r="F350" i="10"/>
  <c r="F350" i="9"/>
  <c r="Z349" i="11"/>
  <c r="Z349" i="10"/>
  <c r="Z349" i="9"/>
  <c r="R349" i="11"/>
  <c r="R349" i="10"/>
  <c r="R349" i="9"/>
  <c r="J349" i="11"/>
  <c r="J349" i="10"/>
  <c r="J349" i="9"/>
  <c r="B349" i="11"/>
  <c r="B349" i="10"/>
  <c r="B349" i="9"/>
  <c r="AD348" i="11"/>
  <c r="AD348" i="10"/>
  <c r="AD348" i="9"/>
  <c r="V348" i="11"/>
  <c r="V348" i="10"/>
  <c r="V348" i="9"/>
  <c r="N348" i="11"/>
  <c r="N348" i="10"/>
  <c r="N348" i="9"/>
  <c r="F348" i="11"/>
  <c r="F348" i="10"/>
  <c r="F348" i="9"/>
  <c r="Z347" i="11"/>
  <c r="Z347" i="10"/>
  <c r="Z347" i="9"/>
  <c r="R347" i="11"/>
  <c r="R347" i="10"/>
  <c r="R347" i="9"/>
  <c r="J347" i="11"/>
  <c r="J347" i="10"/>
  <c r="J347" i="9"/>
  <c r="B347" i="11"/>
  <c r="B347" i="10"/>
  <c r="B347" i="9"/>
  <c r="AD346" i="11"/>
  <c r="AD346" i="10"/>
  <c r="AD346" i="9"/>
  <c r="V346" i="11"/>
  <c r="V346" i="10"/>
  <c r="V346" i="9"/>
  <c r="N346" i="11"/>
  <c r="N346" i="10"/>
  <c r="N346" i="9"/>
  <c r="F346" i="11"/>
  <c r="F346" i="10"/>
  <c r="F346" i="9"/>
  <c r="Z345" i="11"/>
  <c r="Z345" i="10"/>
  <c r="Z345" i="9"/>
  <c r="R345" i="11"/>
  <c r="R345" i="10"/>
  <c r="R345" i="9"/>
  <c r="J345" i="11"/>
  <c r="J345" i="10"/>
  <c r="J345" i="9"/>
  <c r="B345" i="11"/>
  <c r="B345" i="10"/>
  <c r="B345" i="9"/>
  <c r="AD344" i="11"/>
  <c r="AD344" i="10"/>
  <c r="AD344" i="9"/>
  <c r="V344" i="11"/>
  <c r="V344" i="10"/>
  <c r="V344" i="9"/>
  <c r="N344" i="11"/>
  <c r="N344" i="10"/>
  <c r="N344" i="9"/>
  <c r="F344" i="11"/>
  <c r="F344" i="10"/>
  <c r="F344" i="9"/>
  <c r="Z343" i="11"/>
  <c r="Z343" i="10"/>
  <c r="Z343" i="9"/>
  <c r="R343" i="11"/>
  <c r="R343" i="10"/>
  <c r="R343" i="9"/>
  <c r="J343" i="11"/>
  <c r="J343" i="10"/>
  <c r="J343" i="9"/>
  <c r="B343" i="11"/>
  <c r="B343" i="10"/>
  <c r="B343" i="9"/>
  <c r="AD342" i="11"/>
  <c r="AD342" i="10"/>
  <c r="AD342" i="9"/>
  <c r="V342" i="11"/>
  <c r="V342" i="10"/>
  <c r="V342" i="9"/>
  <c r="N342" i="11"/>
  <c r="N342" i="10"/>
  <c r="N342" i="9"/>
  <c r="F342" i="11"/>
  <c r="F342" i="10"/>
  <c r="F342" i="9"/>
  <c r="Z341" i="11"/>
  <c r="Z341" i="10"/>
  <c r="Z341" i="9"/>
  <c r="R341" i="11"/>
  <c r="R341" i="10"/>
  <c r="R341" i="9"/>
  <c r="J341" i="11"/>
  <c r="J341" i="10"/>
  <c r="J341" i="9"/>
  <c r="B341" i="11"/>
  <c r="B341" i="10"/>
  <c r="B341" i="9"/>
  <c r="AD340" i="11"/>
  <c r="AD340" i="10"/>
  <c r="AD340" i="9"/>
  <c r="V340" i="11"/>
  <c r="V340" i="10"/>
  <c r="V340" i="9"/>
  <c r="N340" i="11"/>
  <c r="N340" i="10"/>
  <c r="N340" i="9"/>
  <c r="F340" i="11"/>
  <c r="F340" i="10"/>
  <c r="F340" i="9"/>
  <c r="Z339" i="11"/>
  <c r="Z339" i="10"/>
  <c r="Z339" i="9"/>
  <c r="R339" i="11"/>
  <c r="R339" i="10"/>
  <c r="R339" i="9"/>
  <c r="J339" i="11"/>
  <c r="J339" i="10"/>
  <c r="J339" i="9"/>
  <c r="B339" i="11"/>
  <c r="B339" i="10"/>
  <c r="B339" i="9"/>
  <c r="AD338" i="11"/>
  <c r="AD338" i="10"/>
  <c r="AD338" i="9"/>
  <c r="V338" i="11"/>
  <c r="V338" i="10"/>
  <c r="V338" i="9"/>
  <c r="N338" i="11"/>
  <c r="N338" i="10"/>
  <c r="N338" i="9"/>
  <c r="F338" i="11"/>
  <c r="F338" i="10"/>
  <c r="F338" i="9"/>
  <c r="Z337" i="11"/>
  <c r="Z337" i="10"/>
  <c r="Z337" i="9"/>
  <c r="R337" i="11"/>
  <c r="R337" i="10"/>
  <c r="R337" i="9"/>
  <c r="J337" i="11"/>
  <c r="J337" i="10"/>
  <c r="J337" i="9"/>
  <c r="B337" i="11"/>
  <c r="B337" i="10"/>
  <c r="B337" i="9"/>
  <c r="AD336" i="11"/>
  <c r="AD336" i="10"/>
  <c r="AD336" i="9"/>
  <c r="V336" i="11"/>
  <c r="V336" i="10"/>
  <c r="V336" i="9"/>
  <c r="N336" i="11"/>
  <c r="N336" i="10"/>
  <c r="N336" i="9"/>
  <c r="F336" i="11"/>
  <c r="F336" i="10"/>
  <c r="F336" i="9"/>
  <c r="Z335" i="11"/>
  <c r="Z335" i="10"/>
  <c r="Z335" i="9"/>
  <c r="R335" i="11"/>
  <c r="R335" i="10"/>
  <c r="R335" i="9"/>
  <c r="J335" i="11"/>
  <c r="J335" i="10"/>
  <c r="J335" i="9"/>
  <c r="B335" i="11"/>
  <c r="B335" i="10"/>
  <c r="B335" i="9"/>
  <c r="AD334" i="11"/>
  <c r="AD334" i="10"/>
  <c r="AD334" i="9"/>
  <c r="V334" i="11"/>
  <c r="V334" i="10"/>
  <c r="V334" i="9"/>
  <c r="N334" i="11"/>
  <c r="N334" i="10"/>
  <c r="N334" i="9"/>
  <c r="F334" i="11"/>
  <c r="F334" i="10"/>
  <c r="F334" i="9"/>
  <c r="Z333" i="11"/>
  <c r="Z333" i="10"/>
  <c r="Z333" i="9"/>
  <c r="R333" i="11"/>
  <c r="R333" i="10"/>
  <c r="R333" i="9"/>
  <c r="J333" i="11"/>
  <c r="J333" i="10"/>
  <c r="J333" i="9"/>
  <c r="B333" i="11"/>
  <c r="B333" i="10"/>
  <c r="B333" i="9"/>
  <c r="AD332" i="11"/>
  <c r="AD332" i="10"/>
  <c r="AD332" i="9"/>
  <c r="V332" i="11"/>
  <c r="V332" i="10"/>
  <c r="V332" i="9"/>
  <c r="N332" i="11"/>
  <c r="N332" i="10"/>
  <c r="N332" i="9"/>
  <c r="F332" i="11"/>
  <c r="F332" i="10"/>
  <c r="F332" i="9"/>
  <c r="Z331" i="11"/>
  <c r="Z331" i="10"/>
  <c r="Z331" i="9"/>
  <c r="R331" i="11"/>
  <c r="R331" i="10"/>
  <c r="R331" i="9"/>
  <c r="J331" i="11"/>
  <c r="J331" i="10"/>
  <c r="J331" i="9"/>
  <c r="B331" i="11"/>
  <c r="B331" i="10"/>
  <c r="B331" i="9"/>
  <c r="AD330" i="11"/>
  <c r="AD330" i="10"/>
  <c r="AD330" i="9"/>
  <c r="V330" i="11"/>
  <c r="V330" i="10"/>
  <c r="V330" i="9"/>
  <c r="N330" i="11"/>
  <c r="N330" i="10"/>
  <c r="N330" i="9"/>
  <c r="F330" i="11"/>
  <c r="F330" i="10"/>
  <c r="F330" i="9"/>
  <c r="Z329" i="11"/>
  <c r="Z329" i="10"/>
  <c r="Z329" i="9"/>
  <c r="R329" i="11"/>
  <c r="R329" i="10"/>
  <c r="R329" i="9"/>
  <c r="J329" i="11"/>
  <c r="J329" i="10"/>
  <c r="J329" i="9"/>
  <c r="B329" i="11"/>
  <c r="B329" i="10"/>
  <c r="B329" i="9"/>
  <c r="AD328" i="11"/>
  <c r="AD328" i="10"/>
  <c r="AD328" i="9"/>
  <c r="V328" i="11"/>
  <c r="V328" i="10"/>
  <c r="V328" i="9"/>
  <c r="N328" i="11"/>
  <c r="N328" i="10"/>
  <c r="N328" i="9"/>
  <c r="F328" i="11"/>
  <c r="F328" i="10"/>
  <c r="F328" i="9"/>
  <c r="Z327" i="11"/>
  <c r="Z327" i="10"/>
  <c r="Z327" i="9"/>
  <c r="R327" i="11"/>
  <c r="R327" i="10"/>
  <c r="R327" i="9"/>
  <c r="J327" i="11"/>
  <c r="J327" i="10"/>
  <c r="J327" i="9"/>
  <c r="B327" i="11"/>
  <c r="B327" i="10"/>
  <c r="B327" i="9"/>
  <c r="AD326" i="11"/>
  <c r="AD326" i="10"/>
  <c r="AD326" i="9"/>
  <c r="V326" i="11"/>
  <c r="V326" i="10"/>
  <c r="V326" i="9"/>
  <c r="N326" i="11"/>
  <c r="N326" i="10"/>
  <c r="N326" i="9"/>
  <c r="F326" i="11"/>
  <c r="F326" i="10"/>
  <c r="F326" i="9"/>
  <c r="Z325" i="11"/>
  <c r="Z325" i="10"/>
  <c r="Z325" i="9"/>
  <c r="R325" i="11"/>
  <c r="R325" i="10"/>
  <c r="R325" i="9"/>
  <c r="J325" i="11"/>
  <c r="J325" i="10"/>
  <c r="J325" i="9"/>
  <c r="B325" i="11"/>
  <c r="B325" i="10"/>
  <c r="B325" i="9"/>
  <c r="AD324" i="11"/>
  <c r="AD324" i="10"/>
  <c r="AD324" i="9"/>
  <c r="V324" i="11"/>
  <c r="V324" i="10"/>
  <c r="V324" i="9"/>
  <c r="N324" i="11"/>
  <c r="N324" i="10"/>
  <c r="N324" i="9"/>
  <c r="F324" i="11"/>
  <c r="F324" i="10"/>
  <c r="F324" i="9"/>
  <c r="Z323" i="11"/>
  <c r="Z323" i="10"/>
  <c r="Z323" i="9"/>
  <c r="R323" i="11"/>
  <c r="R323" i="10"/>
  <c r="R323" i="9"/>
  <c r="J323" i="11"/>
  <c r="J323" i="10"/>
  <c r="J323" i="9"/>
  <c r="B323" i="11"/>
  <c r="B323" i="10"/>
  <c r="B323" i="9"/>
  <c r="AD322" i="11"/>
  <c r="AD322" i="10"/>
  <c r="AD322" i="9"/>
  <c r="V322" i="11"/>
  <c r="V322" i="10"/>
  <c r="V322" i="9"/>
  <c r="N322" i="11"/>
  <c r="N322" i="10"/>
  <c r="N322" i="9"/>
  <c r="F322" i="11"/>
  <c r="F322" i="10"/>
  <c r="F322" i="9"/>
  <c r="Z321" i="11"/>
  <c r="Z321" i="10"/>
  <c r="Z321" i="9"/>
  <c r="R321" i="11"/>
  <c r="R321" i="10"/>
  <c r="R321" i="9"/>
  <c r="J321" i="11"/>
  <c r="J321" i="10"/>
  <c r="J321" i="9"/>
  <c r="B321" i="11"/>
  <c r="B321" i="10"/>
  <c r="B321" i="9"/>
  <c r="AD320" i="11"/>
  <c r="AD320" i="10"/>
  <c r="AD320" i="9"/>
  <c r="V320" i="11"/>
  <c r="V320" i="10"/>
  <c r="V320" i="9"/>
  <c r="N320" i="11"/>
  <c r="N320" i="10"/>
  <c r="N320" i="9"/>
  <c r="F320" i="11"/>
  <c r="F320" i="10"/>
  <c r="F320" i="9"/>
  <c r="Z319" i="11"/>
  <c r="Z319" i="10"/>
  <c r="Z319" i="9"/>
  <c r="R319" i="11"/>
  <c r="R319" i="10"/>
  <c r="R319" i="9"/>
  <c r="J319" i="11"/>
  <c r="J319" i="10"/>
  <c r="J319" i="9"/>
  <c r="B319" i="11"/>
  <c r="B319" i="10"/>
  <c r="B319" i="9"/>
  <c r="AD318" i="11"/>
  <c r="AD318" i="10"/>
  <c r="AD318" i="9"/>
  <c r="V318" i="11"/>
  <c r="V318" i="10"/>
  <c r="V318" i="9"/>
  <c r="N318" i="11"/>
  <c r="N318" i="10"/>
  <c r="N318" i="9"/>
  <c r="F318" i="11"/>
  <c r="F318" i="10"/>
  <c r="F318" i="9"/>
  <c r="Z317" i="11"/>
  <c r="Z317" i="10"/>
  <c r="Z317" i="9"/>
  <c r="R317" i="11"/>
  <c r="R317" i="10"/>
  <c r="R317" i="9"/>
  <c r="J317" i="11"/>
  <c r="J317" i="10"/>
  <c r="J317" i="9"/>
  <c r="B317" i="11"/>
  <c r="B317" i="10"/>
  <c r="B317" i="9"/>
  <c r="AD316" i="11"/>
  <c r="AD316" i="10"/>
  <c r="AD316" i="9"/>
  <c r="V316" i="11"/>
  <c r="V316" i="10"/>
  <c r="V316" i="9"/>
  <c r="N316" i="11"/>
  <c r="N316" i="10"/>
  <c r="N316" i="9"/>
  <c r="F316" i="11"/>
  <c r="F316" i="10"/>
  <c r="F316" i="9"/>
  <c r="Z315" i="11"/>
  <c r="Z315" i="10"/>
  <c r="Z315" i="9"/>
  <c r="R315" i="11"/>
  <c r="R315" i="10"/>
  <c r="R315" i="9"/>
  <c r="J315" i="11"/>
  <c r="J315" i="10"/>
  <c r="J315" i="9"/>
  <c r="B315" i="11"/>
  <c r="B315" i="10"/>
  <c r="B315" i="9"/>
  <c r="AD314" i="11"/>
  <c r="AD314" i="10"/>
  <c r="AD314" i="9"/>
  <c r="V314" i="11"/>
  <c r="V314" i="10"/>
  <c r="V314" i="9"/>
  <c r="N314" i="11"/>
  <c r="N314" i="10"/>
  <c r="N314" i="9"/>
  <c r="F314" i="11"/>
  <c r="F314" i="10"/>
  <c r="F314" i="9"/>
  <c r="Z313" i="11"/>
  <c r="Z313" i="10"/>
  <c r="Z313" i="9"/>
  <c r="R313" i="11"/>
  <c r="R313" i="10"/>
  <c r="R313" i="9"/>
  <c r="J313" i="11"/>
  <c r="J313" i="10"/>
  <c r="J313" i="9"/>
  <c r="B313" i="11"/>
  <c r="B313" i="10"/>
  <c r="B313" i="9"/>
  <c r="AD312" i="11"/>
  <c r="AD312" i="10"/>
  <c r="AD312" i="9"/>
  <c r="V312" i="11"/>
  <c r="V312" i="10"/>
  <c r="V312" i="9"/>
  <c r="N312" i="11"/>
  <c r="N312" i="10"/>
  <c r="N312" i="9"/>
  <c r="F312" i="11"/>
  <c r="F312" i="10"/>
  <c r="F312" i="9"/>
  <c r="Z311" i="11"/>
  <c r="Z311" i="10"/>
  <c r="Z311" i="9"/>
  <c r="R311" i="11"/>
  <c r="R311" i="10"/>
  <c r="R311" i="9"/>
  <c r="J311" i="11"/>
  <c r="J311" i="10"/>
  <c r="J311" i="9"/>
  <c r="B311" i="11"/>
  <c r="B311" i="10"/>
  <c r="B311" i="9"/>
  <c r="AD310" i="11"/>
  <c r="AD310" i="10"/>
  <c r="AD310" i="9"/>
  <c r="V310" i="11"/>
  <c r="V310" i="10"/>
  <c r="V310" i="9"/>
  <c r="N310" i="11"/>
  <c r="N310" i="10"/>
  <c r="N310" i="9"/>
  <c r="F310" i="11"/>
  <c r="F310" i="10"/>
  <c r="F310" i="9"/>
  <c r="Z309" i="11"/>
  <c r="Z309" i="10"/>
  <c r="Z309" i="9"/>
  <c r="R309" i="11"/>
  <c r="R309" i="10"/>
  <c r="R309" i="9"/>
  <c r="J309" i="11"/>
  <c r="J309" i="10"/>
  <c r="J309" i="9"/>
  <c r="B309" i="11"/>
  <c r="B309" i="10"/>
  <c r="B309" i="9"/>
  <c r="AD308" i="11"/>
  <c r="AD308" i="10"/>
  <c r="AD308" i="9"/>
  <c r="V308" i="11"/>
  <c r="V308" i="10"/>
  <c r="V308" i="9"/>
  <c r="N308" i="11"/>
  <c r="N308" i="10"/>
  <c r="N308" i="9"/>
  <c r="F308" i="11"/>
  <c r="F308" i="10"/>
  <c r="F308" i="9"/>
  <c r="Z307" i="11"/>
  <c r="Z307" i="10"/>
  <c r="Z307" i="9"/>
  <c r="R307" i="11"/>
  <c r="R307" i="10"/>
  <c r="R307" i="9"/>
  <c r="J307" i="11"/>
  <c r="J307" i="10"/>
  <c r="J307" i="9"/>
  <c r="B307" i="11"/>
  <c r="B307" i="10"/>
  <c r="B307" i="9"/>
  <c r="AD306" i="11"/>
  <c r="AD306" i="10"/>
  <c r="AD306" i="9"/>
  <c r="V306" i="11"/>
  <c r="V306" i="10"/>
  <c r="V306" i="9"/>
  <c r="N306" i="11"/>
  <c r="N306" i="10"/>
  <c r="N306" i="9"/>
  <c r="F306" i="11"/>
  <c r="F306" i="10"/>
  <c r="F306" i="9"/>
  <c r="Z305" i="11"/>
  <c r="Z305" i="10"/>
  <c r="Z305" i="9"/>
  <c r="R305" i="11"/>
  <c r="R305" i="10"/>
  <c r="R305" i="9"/>
  <c r="J305" i="11"/>
  <c r="J305" i="10"/>
  <c r="J305" i="9"/>
  <c r="B305" i="11"/>
  <c r="B305" i="10"/>
  <c r="B305" i="9"/>
  <c r="AD304" i="11"/>
  <c r="AD304" i="10"/>
  <c r="AD304" i="9"/>
  <c r="V304" i="11"/>
  <c r="V304" i="10"/>
  <c r="V304" i="9"/>
  <c r="N304" i="11"/>
  <c r="N304" i="10"/>
  <c r="N304" i="9"/>
  <c r="F304" i="11"/>
  <c r="F304" i="10"/>
  <c r="F304" i="9"/>
  <c r="Z303" i="11"/>
  <c r="Z303" i="10"/>
  <c r="Z303" i="9"/>
  <c r="R303" i="11"/>
  <c r="R303" i="10"/>
  <c r="R303" i="9"/>
  <c r="J303" i="11"/>
  <c r="J303" i="10"/>
  <c r="J303" i="9"/>
  <c r="B303" i="11"/>
  <c r="B303" i="10"/>
  <c r="B303" i="9"/>
  <c r="AD302" i="11"/>
  <c r="AD302" i="10"/>
  <c r="AD302" i="9"/>
  <c r="V302" i="11"/>
  <c r="V302" i="10"/>
  <c r="V302" i="9"/>
  <c r="N302" i="11"/>
  <c r="N302" i="10"/>
  <c r="N302" i="9"/>
  <c r="F302" i="11"/>
  <c r="F302" i="10"/>
  <c r="F302" i="9"/>
  <c r="Z301" i="11"/>
  <c r="Z301" i="10"/>
  <c r="Z301" i="9"/>
  <c r="R301" i="11"/>
  <c r="R301" i="10"/>
  <c r="R301" i="9"/>
  <c r="J301" i="11"/>
  <c r="J301" i="10"/>
  <c r="J301" i="9"/>
  <c r="B301" i="11"/>
  <c r="B301" i="10"/>
  <c r="B301" i="9"/>
  <c r="AD300" i="11"/>
  <c r="AD300" i="10"/>
  <c r="AD300" i="9"/>
  <c r="V300" i="11"/>
  <c r="V300" i="10"/>
  <c r="V300" i="9"/>
  <c r="N300" i="11"/>
  <c r="N300" i="10"/>
  <c r="N300" i="9"/>
  <c r="F300" i="11"/>
  <c r="F300" i="10"/>
  <c r="F300" i="9"/>
  <c r="Z299" i="11"/>
  <c r="Z299" i="10"/>
  <c r="Z299" i="9"/>
  <c r="R299" i="11"/>
  <c r="R299" i="10"/>
  <c r="R299" i="9"/>
  <c r="J299" i="11"/>
  <c r="J299" i="10"/>
  <c r="J299" i="9"/>
  <c r="B299" i="11"/>
  <c r="B299" i="10"/>
  <c r="B299" i="9"/>
  <c r="AD298" i="11"/>
  <c r="AD298" i="10"/>
  <c r="AD298" i="9"/>
  <c r="V298" i="11"/>
  <c r="V298" i="10"/>
  <c r="V298" i="9"/>
  <c r="N298" i="11"/>
  <c r="N298" i="10"/>
  <c r="N298" i="9"/>
  <c r="F298" i="11"/>
  <c r="F298" i="10"/>
  <c r="F298" i="9"/>
  <c r="Z297" i="11"/>
  <c r="Z297" i="10"/>
  <c r="Z297" i="9"/>
  <c r="R297" i="11"/>
  <c r="R297" i="10"/>
  <c r="R297" i="9"/>
  <c r="J297" i="11"/>
  <c r="J297" i="10"/>
  <c r="J297" i="9"/>
  <c r="B297" i="11"/>
  <c r="B297" i="10"/>
  <c r="B297" i="9"/>
  <c r="AD296" i="11"/>
  <c r="AD296" i="10"/>
  <c r="AD296" i="9"/>
  <c r="V296" i="11"/>
  <c r="V296" i="10"/>
  <c r="V296" i="9"/>
  <c r="N296" i="11"/>
  <c r="N296" i="10"/>
  <c r="N296" i="9"/>
  <c r="F296" i="11"/>
  <c r="F296" i="10"/>
  <c r="F296" i="9"/>
  <c r="Z295" i="11"/>
  <c r="Z295" i="10"/>
  <c r="Z295" i="9"/>
  <c r="R295" i="11"/>
  <c r="R295" i="10"/>
  <c r="R295" i="9"/>
  <c r="J295" i="11"/>
  <c r="J295" i="10"/>
  <c r="J295" i="9"/>
  <c r="B295" i="11"/>
  <c r="B295" i="10"/>
  <c r="B295" i="9"/>
  <c r="AD294" i="11"/>
  <c r="AD294" i="10"/>
  <c r="AD294" i="9"/>
  <c r="V294" i="11"/>
  <c r="V294" i="10"/>
  <c r="V294" i="9"/>
  <c r="N294" i="11"/>
  <c r="N294" i="10"/>
  <c r="N294" i="9"/>
  <c r="F294" i="11"/>
  <c r="F294" i="10"/>
  <c r="F294" i="9"/>
  <c r="Z293" i="11"/>
  <c r="Z293" i="10"/>
  <c r="Z293" i="9"/>
  <c r="R293" i="11"/>
  <c r="R293" i="10"/>
  <c r="R293" i="9"/>
  <c r="J293" i="11"/>
  <c r="J293" i="10"/>
  <c r="J293" i="9"/>
  <c r="B293" i="11"/>
  <c r="B293" i="10"/>
  <c r="B293" i="9"/>
  <c r="AD292" i="11"/>
  <c r="AD292" i="10"/>
  <c r="AD292" i="9"/>
  <c r="V292" i="11"/>
  <c r="V292" i="10"/>
  <c r="V292" i="9"/>
  <c r="N292" i="11"/>
  <c r="N292" i="10"/>
  <c r="N292" i="9"/>
  <c r="F292" i="11"/>
  <c r="F292" i="10"/>
  <c r="F292" i="9"/>
  <c r="Z291" i="11"/>
  <c r="Z291" i="10"/>
  <c r="Z291" i="9"/>
  <c r="R291" i="11"/>
  <c r="R291" i="10"/>
  <c r="R291" i="9"/>
  <c r="J291" i="11"/>
  <c r="J291" i="10"/>
  <c r="J291" i="9"/>
  <c r="B291" i="11"/>
  <c r="B291" i="10"/>
  <c r="B291" i="9"/>
  <c r="AD290" i="11"/>
  <c r="AD290" i="10"/>
  <c r="AD290" i="9"/>
  <c r="V290" i="11"/>
  <c r="V290" i="10"/>
  <c r="V290" i="9"/>
  <c r="N290" i="11"/>
  <c r="N290" i="10"/>
  <c r="N290" i="9"/>
  <c r="F290" i="11"/>
  <c r="F290" i="10"/>
  <c r="F290" i="9"/>
  <c r="Z289" i="11"/>
  <c r="Z289" i="10"/>
  <c r="Z289" i="9"/>
  <c r="R289" i="11"/>
  <c r="R289" i="10"/>
  <c r="R289" i="9"/>
  <c r="J289" i="11"/>
  <c r="J289" i="10"/>
  <c r="J289" i="9"/>
  <c r="B289" i="11"/>
  <c r="B289" i="10"/>
  <c r="B289" i="9"/>
  <c r="AD288" i="11"/>
  <c r="AD288" i="10"/>
  <c r="AD288" i="9"/>
  <c r="V288" i="11"/>
  <c r="V288" i="10"/>
  <c r="V288" i="9"/>
  <c r="N288" i="11"/>
  <c r="N288" i="10"/>
  <c r="N288" i="9"/>
  <c r="F288" i="11"/>
  <c r="F288" i="10"/>
  <c r="F288" i="9"/>
  <c r="Z287" i="11"/>
  <c r="Z287" i="10"/>
  <c r="Z287" i="9"/>
  <c r="R287" i="11"/>
  <c r="R287" i="10"/>
  <c r="R287" i="9"/>
  <c r="J287" i="11"/>
  <c r="J287" i="10"/>
  <c r="J287" i="9"/>
  <c r="B287" i="11"/>
  <c r="B287" i="10"/>
  <c r="B287" i="9"/>
  <c r="AD286" i="11"/>
  <c r="AD286" i="10"/>
  <c r="AD286" i="9"/>
  <c r="V286" i="11"/>
  <c r="V286" i="10"/>
  <c r="V286" i="9"/>
  <c r="N286" i="11"/>
  <c r="N286" i="10"/>
  <c r="N286" i="9"/>
  <c r="F286" i="11"/>
  <c r="F286" i="10"/>
  <c r="F286" i="9"/>
  <c r="Z285" i="11"/>
  <c r="Z285" i="10"/>
  <c r="Z285" i="9"/>
  <c r="R285" i="11"/>
  <c r="R285" i="10"/>
  <c r="R285" i="9"/>
  <c r="J285" i="11"/>
  <c r="J285" i="10"/>
  <c r="J285" i="9"/>
  <c r="B285" i="11"/>
  <c r="B285" i="10"/>
  <c r="B285" i="9"/>
  <c r="AD284" i="11"/>
  <c r="AD284" i="10"/>
  <c r="AD284" i="9"/>
  <c r="V284" i="11"/>
  <c r="V284" i="10"/>
  <c r="V284" i="9"/>
  <c r="N284" i="11"/>
  <c r="N284" i="10"/>
  <c r="N284" i="9"/>
  <c r="F284" i="11"/>
  <c r="F284" i="10"/>
  <c r="F284" i="9"/>
  <c r="Z283" i="11"/>
  <c r="Z283" i="10"/>
  <c r="Z283" i="9"/>
  <c r="R283" i="11"/>
  <c r="R283" i="10"/>
  <c r="R283" i="9"/>
  <c r="J283" i="11"/>
  <c r="J283" i="10"/>
  <c r="J283" i="9"/>
  <c r="B283" i="11"/>
  <c r="B283" i="10"/>
  <c r="B283" i="9"/>
  <c r="AD282" i="11"/>
  <c r="AD282" i="10"/>
  <c r="AD282" i="9"/>
  <c r="V282" i="11"/>
  <c r="V282" i="10"/>
  <c r="V282" i="9"/>
  <c r="N282" i="11"/>
  <c r="N282" i="10"/>
  <c r="N282" i="9"/>
  <c r="F282" i="11"/>
  <c r="F282" i="10"/>
  <c r="F282" i="9"/>
  <c r="Z281" i="11"/>
  <c r="Z281" i="10"/>
  <c r="Z281" i="9"/>
  <c r="R281" i="11"/>
  <c r="R281" i="10"/>
  <c r="R281" i="9"/>
  <c r="J281" i="11"/>
  <c r="J281" i="10"/>
  <c r="J281" i="9"/>
  <c r="B281" i="11"/>
  <c r="B281" i="10"/>
  <c r="B281" i="9"/>
  <c r="AD280" i="11"/>
  <c r="AD280" i="10"/>
  <c r="AD280" i="9"/>
  <c r="V280" i="11"/>
  <c r="V280" i="10"/>
  <c r="V280" i="9"/>
  <c r="N280" i="11"/>
  <c r="N280" i="10"/>
  <c r="N280" i="9"/>
  <c r="F280" i="11"/>
  <c r="F280" i="10"/>
  <c r="F280" i="9"/>
  <c r="Z279" i="11"/>
  <c r="Z279" i="10"/>
  <c r="Z279" i="9"/>
  <c r="R279" i="11"/>
  <c r="R279" i="10"/>
  <c r="R279" i="9"/>
  <c r="J279" i="11"/>
  <c r="J279" i="10"/>
  <c r="J279" i="9"/>
  <c r="B279" i="11"/>
  <c r="B279" i="10"/>
  <c r="B279" i="9"/>
  <c r="AD278" i="11"/>
  <c r="AD278" i="10"/>
  <c r="AD278" i="9"/>
  <c r="V278" i="11"/>
  <c r="V278" i="10"/>
  <c r="V278" i="9"/>
  <c r="N278" i="11"/>
  <c r="N278" i="10"/>
  <c r="N278" i="9"/>
  <c r="F278" i="11"/>
  <c r="F278" i="10"/>
  <c r="F278" i="9"/>
  <c r="Z277" i="11"/>
  <c r="Z277" i="10"/>
  <c r="Z277" i="9"/>
  <c r="R277" i="11"/>
  <c r="R277" i="10"/>
  <c r="R277" i="9"/>
  <c r="J277" i="11"/>
  <c r="J277" i="10"/>
  <c r="J277" i="9"/>
  <c r="B277" i="11"/>
  <c r="B277" i="10"/>
  <c r="B277" i="9"/>
  <c r="AD276" i="11"/>
  <c r="AD276" i="10"/>
  <c r="AD276" i="9"/>
  <c r="V276" i="11"/>
  <c r="V276" i="10"/>
  <c r="V276" i="9"/>
  <c r="N276" i="11"/>
  <c r="N276" i="10"/>
  <c r="N276" i="9"/>
  <c r="F276" i="11"/>
  <c r="F276" i="10"/>
  <c r="F276" i="9"/>
  <c r="Z275" i="11"/>
  <c r="Z275" i="10"/>
  <c r="Z275" i="9"/>
  <c r="R275" i="11"/>
  <c r="R275" i="10"/>
  <c r="R275" i="9"/>
  <c r="J275" i="11"/>
  <c r="J275" i="10"/>
  <c r="J275" i="9"/>
  <c r="B275" i="11"/>
  <c r="B275" i="10"/>
  <c r="B275" i="9"/>
  <c r="AD274" i="11"/>
  <c r="AD274" i="10"/>
  <c r="AD274" i="9"/>
  <c r="V274" i="11"/>
  <c r="V274" i="10"/>
  <c r="V274" i="9"/>
  <c r="N274" i="11"/>
  <c r="N274" i="10"/>
  <c r="N274" i="9"/>
  <c r="F274" i="11"/>
  <c r="F274" i="10"/>
  <c r="F274" i="9"/>
  <c r="Z273" i="11"/>
  <c r="Z273" i="10"/>
  <c r="Z273" i="9"/>
  <c r="R273" i="11"/>
  <c r="R273" i="10"/>
  <c r="R273" i="9"/>
  <c r="J273" i="11"/>
  <c r="J273" i="10"/>
  <c r="J273" i="9"/>
  <c r="B273" i="11"/>
  <c r="B273" i="10"/>
  <c r="B273" i="9"/>
  <c r="AD272" i="11"/>
  <c r="AD272" i="10"/>
  <c r="AD272" i="9"/>
  <c r="V272" i="11"/>
  <c r="V272" i="10"/>
  <c r="V272" i="9"/>
  <c r="N272" i="11"/>
  <c r="N272" i="10"/>
  <c r="N272" i="9"/>
  <c r="F272" i="11"/>
  <c r="F272" i="10"/>
  <c r="F272" i="9"/>
  <c r="Z271" i="11"/>
  <c r="Z271" i="10"/>
  <c r="Z271" i="9"/>
  <c r="R271" i="11"/>
  <c r="R271" i="10"/>
  <c r="R271" i="9"/>
  <c r="J271" i="11"/>
  <c r="J271" i="10"/>
  <c r="J271" i="9"/>
  <c r="B271" i="11"/>
  <c r="B271" i="10"/>
  <c r="B271" i="9"/>
  <c r="AD270" i="11"/>
  <c r="AD270" i="10"/>
  <c r="AD270" i="9"/>
  <c r="V270" i="11"/>
  <c r="V270" i="10"/>
  <c r="V270" i="9"/>
  <c r="N270" i="11"/>
  <c r="N270" i="10"/>
  <c r="N270" i="9"/>
  <c r="F270" i="11"/>
  <c r="F270" i="10"/>
  <c r="F270" i="9"/>
  <c r="Z269" i="11"/>
  <c r="Z269" i="10"/>
  <c r="Z269" i="9"/>
  <c r="R269" i="11"/>
  <c r="R269" i="10"/>
  <c r="R269" i="9"/>
  <c r="J269" i="11"/>
  <c r="J269" i="10"/>
  <c r="J269" i="9"/>
  <c r="B269" i="11"/>
  <c r="B269" i="10"/>
  <c r="B269" i="9"/>
  <c r="AD268" i="11"/>
  <c r="AD268" i="10"/>
  <c r="AD268" i="9"/>
  <c r="V268" i="11"/>
  <c r="V268" i="10"/>
  <c r="V268" i="9"/>
  <c r="N268" i="11"/>
  <c r="N268" i="10"/>
  <c r="N268" i="9"/>
  <c r="F268" i="11"/>
  <c r="F268" i="10"/>
  <c r="F268" i="9"/>
  <c r="Z267" i="11"/>
  <c r="Z267" i="10"/>
  <c r="Z267" i="9"/>
  <c r="R267" i="11"/>
  <c r="R267" i="10"/>
  <c r="R267" i="9"/>
  <c r="J267" i="11"/>
  <c r="J267" i="10"/>
  <c r="J267" i="9"/>
  <c r="B267" i="11"/>
  <c r="B267" i="10"/>
  <c r="B267" i="9"/>
  <c r="AD266" i="11"/>
  <c r="AD266" i="10"/>
  <c r="AD266" i="9"/>
  <c r="V266" i="11"/>
  <c r="V266" i="10"/>
  <c r="V266" i="9"/>
  <c r="N266" i="11"/>
  <c r="N266" i="10"/>
  <c r="N266" i="9"/>
  <c r="F266" i="11"/>
  <c r="F266" i="10"/>
  <c r="F266" i="9"/>
  <c r="Z265" i="11"/>
  <c r="Z265" i="10"/>
  <c r="Z265" i="9"/>
  <c r="R265" i="11"/>
  <c r="R265" i="10"/>
  <c r="R265" i="9"/>
  <c r="J265" i="11"/>
  <c r="J265" i="10"/>
  <c r="J265" i="9"/>
  <c r="B265" i="11"/>
  <c r="B265" i="10"/>
  <c r="B265" i="9"/>
  <c r="AD264" i="11"/>
  <c r="AD264" i="10"/>
  <c r="AD264" i="9"/>
  <c r="V264" i="11"/>
  <c r="V264" i="10"/>
  <c r="V264" i="9"/>
  <c r="N264" i="11"/>
  <c r="N264" i="10"/>
  <c r="N264" i="9"/>
  <c r="F264" i="11"/>
  <c r="F264" i="10"/>
  <c r="F264" i="9"/>
  <c r="Z263" i="11"/>
  <c r="Z263" i="10"/>
  <c r="Z263" i="9"/>
  <c r="R263" i="11"/>
  <c r="R263" i="10"/>
  <c r="R263" i="9"/>
  <c r="J263" i="11"/>
  <c r="J263" i="10"/>
  <c r="J263" i="9"/>
  <c r="B263" i="11"/>
  <c r="B263" i="10"/>
  <c r="B263" i="9"/>
  <c r="AD262" i="11"/>
  <c r="AD262" i="10"/>
  <c r="AD262" i="9"/>
  <c r="V262" i="11"/>
  <c r="V262" i="10"/>
  <c r="V262" i="9"/>
  <c r="N262" i="11"/>
  <c r="N262" i="10"/>
  <c r="N262" i="9"/>
  <c r="F262" i="11"/>
  <c r="F262" i="10"/>
  <c r="F262" i="9"/>
  <c r="Z261" i="11"/>
  <c r="Z261" i="10"/>
  <c r="Z261" i="9"/>
  <c r="R261" i="11"/>
  <c r="R261" i="10"/>
  <c r="R261" i="9"/>
  <c r="J261" i="11"/>
  <c r="J261" i="10"/>
  <c r="J261" i="9"/>
  <c r="B261" i="11"/>
  <c r="B261" i="10"/>
  <c r="B261" i="9"/>
  <c r="AD260" i="11"/>
  <c r="AD260" i="10"/>
  <c r="AD260" i="9"/>
  <c r="V260" i="11"/>
  <c r="V260" i="10"/>
  <c r="V260" i="9"/>
  <c r="N260" i="11"/>
  <c r="N260" i="10"/>
  <c r="N260" i="9"/>
  <c r="F260" i="11"/>
  <c r="F260" i="10"/>
  <c r="F260" i="9"/>
  <c r="Z259" i="11"/>
  <c r="Z259" i="10"/>
  <c r="Z259" i="9"/>
  <c r="R259" i="11"/>
  <c r="R259" i="10"/>
  <c r="R259" i="9"/>
  <c r="J259" i="11"/>
  <c r="J259" i="10"/>
  <c r="J259" i="9"/>
  <c r="B259" i="11"/>
  <c r="B259" i="10"/>
  <c r="B259" i="9"/>
  <c r="AD258" i="11"/>
  <c r="AD258" i="10"/>
  <c r="AD258" i="9"/>
  <c r="V258" i="11"/>
  <c r="V258" i="10"/>
  <c r="V258" i="9"/>
  <c r="N258" i="11"/>
  <c r="N258" i="10"/>
  <c r="N258" i="9"/>
  <c r="F258" i="11"/>
  <c r="F258" i="10"/>
  <c r="F258" i="9"/>
  <c r="Z257" i="11"/>
  <c r="Z257" i="10"/>
  <c r="Z257" i="9"/>
  <c r="R257" i="11"/>
  <c r="R257" i="10"/>
  <c r="R257" i="9"/>
  <c r="J257" i="11"/>
  <c r="J257" i="10"/>
  <c r="J257" i="9"/>
  <c r="B257" i="11"/>
  <c r="B257" i="10"/>
  <c r="B257" i="9"/>
  <c r="AD256" i="11"/>
  <c r="AD256" i="10"/>
  <c r="AD256" i="9"/>
  <c r="V256" i="11"/>
  <c r="V256" i="10"/>
  <c r="V256" i="9"/>
  <c r="N256" i="11"/>
  <c r="N256" i="10"/>
  <c r="N256" i="9"/>
  <c r="F256" i="11"/>
  <c r="F256" i="10"/>
  <c r="F256" i="9"/>
  <c r="Z255" i="11"/>
  <c r="Z255" i="10"/>
  <c r="Z255" i="9"/>
  <c r="R255" i="11"/>
  <c r="R255" i="10"/>
  <c r="R255" i="9"/>
  <c r="J255" i="11"/>
  <c r="J255" i="10"/>
  <c r="J255" i="9"/>
  <c r="B255" i="11"/>
  <c r="B255" i="10"/>
  <c r="B255" i="9"/>
  <c r="AD254" i="11"/>
  <c r="AD254" i="10"/>
  <c r="AD254" i="9"/>
  <c r="V254" i="11"/>
  <c r="V254" i="10"/>
  <c r="V254" i="9"/>
  <c r="N254" i="11"/>
  <c r="N254" i="10"/>
  <c r="N254" i="9"/>
  <c r="F254" i="11"/>
  <c r="F254" i="10"/>
  <c r="F254" i="9"/>
  <c r="Z253" i="11"/>
  <c r="Z253" i="10"/>
  <c r="Z253" i="9"/>
  <c r="R253" i="11"/>
  <c r="R253" i="10"/>
  <c r="R253" i="9"/>
  <c r="J253" i="11"/>
  <c r="J253" i="10"/>
  <c r="J253" i="9"/>
  <c r="B253" i="11"/>
  <c r="B253" i="10"/>
  <c r="B253" i="9"/>
  <c r="AD252" i="11"/>
  <c r="AD252" i="10"/>
  <c r="AD252" i="9"/>
  <c r="V252" i="11"/>
  <c r="V252" i="10"/>
  <c r="V252" i="9"/>
  <c r="N252" i="11"/>
  <c r="N252" i="10"/>
  <c r="N252" i="9"/>
  <c r="F252" i="11"/>
  <c r="F252" i="10"/>
  <c r="F252" i="9"/>
  <c r="Z251" i="11"/>
  <c r="Z251" i="10"/>
  <c r="Z251" i="9"/>
  <c r="R251" i="11"/>
  <c r="R251" i="10"/>
  <c r="R251" i="9"/>
  <c r="J251" i="11"/>
  <c r="J251" i="10"/>
  <c r="J251" i="9"/>
  <c r="B251" i="11"/>
  <c r="B251" i="10"/>
  <c r="B251" i="9"/>
  <c r="AD250" i="11"/>
  <c r="AD250" i="10"/>
  <c r="AD250" i="9"/>
  <c r="V250" i="11"/>
  <c r="V250" i="10"/>
  <c r="V250" i="9"/>
  <c r="N250" i="11"/>
  <c r="N250" i="10"/>
  <c r="N250" i="9"/>
  <c r="F250" i="11"/>
  <c r="F250" i="10"/>
  <c r="F250" i="9"/>
  <c r="Z249" i="11"/>
  <c r="Z249" i="10"/>
  <c r="Z249" i="9"/>
  <c r="R249" i="11"/>
  <c r="R249" i="10"/>
  <c r="R249" i="9"/>
  <c r="J249" i="11"/>
  <c r="J249" i="10"/>
  <c r="J249" i="9"/>
  <c r="B249" i="11"/>
  <c r="B249" i="10"/>
  <c r="B249" i="9"/>
  <c r="AD248" i="11"/>
  <c r="AD248" i="10"/>
  <c r="AD248" i="9"/>
  <c r="V248" i="11"/>
  <c r="V248" i="10"/>
  <c r="V248" i="9"/>
  <c r="N248" i="11"/>
  <c r="N248" i="10"/>
  <c r="N248" i="9"/>
  <c r="F248" i="11"/>
  <c r="F248" i="10"/>
  <c r="F248" i="9"/>
  <c r="Z247" i="11"/>
  <c r="Z247" i="10"/>
  <c r="Z247" i="9"/>
  <c r="R247" i="11"/>
  <c r="R247" i="10"/>
  <c r="R247" i="9"/>
  <c r="J247" i="11"/>
  <c r="J247" i="10"/>
  <c r="J247" i="9"/>
  <c r="B247" i="11"/>
  <c r="B247" i="10"/>
  <c r="B247" i="9"/>
  <c r="AD246" i="11"/>
  <c r="AD246" i="10"/>
  <c r="AD246" i="9"/>
  <c r="V246" i="11"/>
  <c r="V246" i="10"/>
  <c r="V246" i="9"/>
  <c r="N246" i="11"/>
  <c r="N246" i="10"/>
  <c r="N246" i="9"/>
  <c r="F246" i="11"/>
  <c r="F246" i="10"/>
  <c r="F246" i="9"/>
  <c r="Z245" i="11"/>
  <c r="Z245" i="10"/>
  <c r="Z245" i="9"/>
  <c r="R245" i="11"/>
  <c r="R245" i="10"/>
  <c r="R245" i="9"/>
  <c r="J245" i="11"/>
  <c r="J245" i="10"/>
  <c r="J245" i="9"/>
  <c r="B245" i="11"/>
  <c r="B245" i="10"/>
  <c r="B245" i="9"/>
  <c r="AD244" i="11"/>
  <c r="AD244" i="10"/>
  <c r="AD244" i="9"/>
  <c r="V244" i="11"/>
  <c r="V244" i="10"/>
  <c r="V244" i="9"/>
  <c r="N244" i="11"/>
  <c r="N244" i="10"/>
  <c r="N244" i="9"/>
  <c r="F244" i="11"/>
  <c r="F244" i="10"/>
  <c r="F244" i="9"/>
  <c r="Z243" i="11"/>
  <c r="Z243" i="10"/>
  <c r="Z243" i="9"/>
  <c r="R243" i="11"/>
  <c r="R243" i="10"/>
  <c r="R243" i="9"/>
  <c r="J243" i="11"/>
  <c r="J243" i="10"/>
  <c r="J243" i="9"/>
  <c r="B243" i="11"/>
  <c r="B243" i="10"/>
  <c r="B243" i="9"/>
  <c r="AD242" i="11"/>
  <c r="AD242" i="10"/>
  <c r="AD242" i="9"/>
  <c r="V242" i="11"/>
  <c r="V242" i="10"/>
  <c r="V242" i="9"/>
  <c r="N242" i="11"/>
  <c r="N242" i="10"/>
  <c r="N242" i="9"/>
  <c r="F242" i="11"/>
  <c r="F242" i="10"/>
  <c r="F242" i="9"/>
  <c r="Z241" i="11"/>
  <c r="Z241" i="10"/>
  <c r="Z241" i="9"/>
  <c r="R241" i="11"/>
  <c r="R241" i="10"/>
  <c r="R241" i="9"/>
  <c r="J241" i="11"/>
  <c r="J241" i="10"/>
  <c r="J241" i="9"/>
  <c r="B241" i="11"/>
  <c r="B241" i="10"/>
  <c r="B241" i="9"/>
  <c r="AD240" i="11"/>
  <c r="AD240" i="10"/>
  <c r="AD240" i="9"/>
  <c r="V240" i="11"/>
  <c r="V240" i="10"/>
  <c r="V240" i="9"/>
  <c r="N240" i="11"/>
  <c r="N240" i="10"/>
  <c r="N240" i="9"/>
  <c r="F240" i="11"/>
  <c r="F240" i="10"/>
  <c r="F240" i="9"/>
  <c r="Z239" i="11"/>
  <c r="Z239" i="10"/>
  <c r="Z239" i="9"/>
  <c r="R239" i="11"/>
  <c r="R239" i="10"/>
  <c r="R239" i="9"/>
  <c r="J239" i="11"/>
  <c r="J239" i="10"/>
  <c r="J239" i="9"/>
  <c r="B239" i="11"/>
  <c r="B239" i="10"/>
  <c r="B239" i="9"/>
  <c r="AD238" i="11"/>
  <c r="AD238" i="10"/>
  <c r="AD238" i="9"/>
  <c r="V238" i="11"/>
  <c r="V238" i="10"/>
  <c r="V238" i="9"/>
  <c r="N238" i="11"/>
  <c r="N238" i="10"/>
  <c r="N238" i="9"/>
  <c r="F238" i="11"/>
  <c r="F238" i="10"/>
  <c r="F238" i="9"/>
  <c r="Z237" i="11"/>
  <c r="Z237" i="10"/>
  <c r="Z237" i="9"/>
  <c r="R237" i="11"/>
  <c r="R237" i="10"/>
  <c r="R237" i="9"/>
  <c r="J237" i="11"/>
  <c r="J237" i="10"/>
  <c r="J237" i="9"/>
  <c r="B237" i="11"/>
  <c r="B237" i="10"/>
  <c r="B237" i="9"/>
  <c r="AD236" i="11"/>
  <c r="AD236" i="10"/>
  <c r="AD236" i="9"/>
  <c r="V236" i="11"/>
  <c r="V236" i="10"/>
  <c r="V236" i="9"/>
  <c r="N236" i="11"/>
  <c r="N236" i="10"/>
  <c r="N236" i="9"/>
  <c r="F236" i="11"/>
  <c r="F236" i="10"/>
  <c r="F236" i="9"/>
  <c r="Z235" i="11"/>
  <c r="Z235" i="10"/>
  <c r="Z235" i="9"/>
  <c r="R235" i="11"/>
  <c r="R235" i="10"/>
  <c r="R235" i="9"/>
  <c r="J235" i="11"/>
  <c r="J235" i="10"/>
  <c r="J235" i="9"/>
  <c r="B235" i="11"/>
  <c r="B235" i="10"/>
  <c r="B235" i="9"/>
  <c r="AD234" i="11"/>
  <c r="AD234" i="10"/>
  <c r="AD234" i="9"/>
  <c r="V234" i="11"/>
  <c r="V234" i="10"/>
  <c r="V234" i="9"/>
  <c r="N234" i="11"/>
  <c r="N234" i="10"/>
  <c r="N234" i="9"/>
  <c r="F234" i="11"/>
  <c r="F234" i="10"/>
  <c r="F234" i="9"/>
  <c r="Z233" i="11"/>
  <c r="Z233" i="10"/>
  <c r="Z233" i="9"/>
  <c r="R233" i="11"/>
  <c r="R233" i="10"/>
  <c r="R233" i="9"/>
  <c r="J233" i="11"/>
  <c r="J233" i="10"/>
  <c r="J233" i="9"/>
  <c r="B233" i="11"/>
  <c r="B233" i="10"/>
  <c r="B233" i="9"/>
  <c r="AD232" i="11"/>
  <c r="AD232" i="10"/>
  <c r="AD232" i="9"/>
  <c r="V232" i="11"/>
  <c r="V232" i="10"/>
  <c r="V232" i="9"/>
  <c r="N232" i="11"/>
  <c r="N232" i="10"/>
  <c r="N232" i="9"/>
  <c r="F232" i="11"/>
  <c r="F232" i="10"/>
  <c r="F232" i="9"/>
  <c r="Z231" i="11"/>
  <c r="Z231" i="10"/>
  <c r="Z231" i="9"/>
  <c r="R231" i="11"/>
  <c r="R231" i="10"/>
  <c r="R231" i="9"/>
  <c r="J231" i="11"/>
  <c r="J231" i="10"/>
  <c r="J231" i="9"/>
  <c r="B231" i="11"/>
  <c r="B231" i="10"/>
  <c r="B231" i="9"/>
  <c r="AD230" i="11"/>
  <c r="AD230" i="10"/>
  <c r="AD230" i="9"/>
  <c r="V230" i="11"/>
  <c r="V230" i="10"/>
  <c r="V230" i="9"/>
  <c r="N230" i="11"/>
  <c r="N230" i="10"/>
  <c r="N230" i="9"/>
  <c r="F230" i="11"/>
  <c r="F230" i="10"/>
  <c r="F230" i="9"/>
  <c r="Z229" i="11"/>
  <c r="Z229" i="10"/>
  <c r="Z229" i="9"/>
  <c r="R229" i="11"/>
  <c r="R229" i="10"/>
  <c r="R229" i="9"/>
  <c r="J229" i="11"/>
  <c r="J229" i="10"/>
  <c r="J229" i="9"/>
  <c r="B229" i="11"/>
  <c r="B229" i="10"/>
  <c r="B229" i="9"/>
  <c r="AD228" i="11"/>
  <c r="AD228" i="10"/>
  <c r="AD228" i="9"/>
  <c r="V228" i="11"/>
  <c r="V228" i="10"/>
  <c r="V228" i="9"/>
  <c r="N228" i="11"/>
  <c r="N228" i="10"/>
  <c r="N228" i="9"/>
  <c r="F228" i="11"/>
  <c r="F228" i="10"/>
  <c r="F228" i="9"/>
  <c r="Z227" i="11"/>
  <c r="Z227" i="10"/>
  <c r="Z227" i="9"/>
  <c r="R227" i="11"/>
  <c r="R227" i="10"/>
  <c r="R227" i="9"/>
  <c r="J227" i="11"/>
  <c r="J227" i="10"/>
  <c r="J227" i="9"/>
  <c r="B227" i="11"/>
  <c r="B227" i="10"/>
  <c r="B227" i="9"/>
  <c r="AD226" i="11"/>
  <c r="AD226" i="10"/>
  <c r="AD226" i="9"/>
  <c r="V226" i="11"/>
  <c r="V226" i="10"/>
  <c r="V226" i="9"/>
  <c r="N226" i="11"/>
  <c r="N226" i="10"/>
  <c r="N226" i="9"/>
  <c r="F226" i="11"/>
  <c r="F226" i="10"/>
  <c r="F226" i="9"/>
  <c r="Z225" i="11"/>
  <c r="Z225" i="10"/>
  <c r="Z225" i="9"/>
  <c r="R225" i="11"/>
  <c r="R225" i="10"/>
  <c r="R225" i="9"/>
  <c r="J225" i="11"/>
  <c r="J225" i="10"/>
  <c r="J225" i="9"/>
  <c r="B225" i="11"/>
  <c r="B225" i="10"/>
  <c r="B225" i="9"/>
  <c r="AD224" i="11"/>
  <c r="AD224" i="10"/>
  <c r="AD224" i="9"/>
  <c r="V224" i="11"/>
  <c r="V224" i="10"/>
  <c r="V224" i="9"/>
  <c r="N224" i="11"/>
  <c r="N224" i="10"/>
  <c r="N224" i="9"/>
  <c r="F224" i="11"/>
  <c r="F224" i="10"/>
  <c r="F224" i="9"/>
  <c r="Z223" i="11"/>
  <c r="Z223" i="10"/>
  <c r="Z223" i="9"/>
  <c r="R223" i="11"/>
  <c r="R223" i="10"/>
  <c r="R223" i="9"/>
  <c r="J223" i="11"/>
  <c r="J223" i="10"/>
  <c r="J223" i="9"/>
  <c r="B223" i="11"/>
  <c r="B223" i="10"/>
  <c r="B223" i="9"/>
  <c r="AD222" i="11"/>
  <c r="AD222" i="10"/>
  <c r="AD222" i="9"/>
  <c r="V222" i="11"/>
  <c r="V222" i="10"/>
  <c r="V222" i="9"/>
  <c r="N222" i="11"/>
  <c r="N222" i="10"/>
  <c r="N222" i="9"/>
  <c r="F222" i="11"/>
  <c r="F222" i="10"/>
  <c r="F222" i="9"/>
  <c r="Z221" i="11"/>
  <c r="Z221" i="10"/>
  <c r="Z221" i="9"/>
  <c r="R221" i="11"/>
  <c r="R221" i="10"/>
  <c r="R221" i="9"/>
  <c r="J221" i="11"/>
  <c r="J221" i="10"/>
  <c r="J221" i="9"/>
  <c r="B221" i="11"/>
  <c r="B221" i="10"/>
  <c r="B221" i="9"/>
  <c r="AD220" i="11"/>
  <c r="AD220" i="10"/>
  <c r="AD220" i="9"/>
  <c r="V220" i="11"/>
  <c r="V220" i="10"/>
  <c r="V220" i="9"/>
  <c r="N220" i="11"/>
  <c r="N220" i="10"/>
  <c r="N220" i="9"/>
  <c r="F220" i="11"/>
  <c r="F220" i="10"/>
  <c r="F220" i="9"/>
  <c r="Z219" i="11"/>
  <c r="Z219" i="10"/>
  <c r="Z219" i="9"/>
  <c r="R219" i="11"/>
  <c r="R219" i="10"/>
  <c r="R219" i="9"/>
  <c r="J219" i="11"/>
  <c r="J219" i="10"/>
  <c r="J219" i="9"/>
  <c r="B219" i="11"/>
  <c r="B219" i="10"/>
  <c r="B219" i="9"/>
  <c r="AD218" i="11"/>
  <c r="AD218" i="10"/>
  <c r="AD218" i="9"/>
  <c r="V218" i="11"/>
  <c r="V218" i="10"/>
  <c r="V218" i="9"/>
  <c r="N218" i="11"/>
  <c r="N218" i="10"/>
  <c r="N218" i="9"/>
  <c r="F218" i="11"/>
  <c r="F218" i="10"/>
  <c r="F218" i="9"/>
  <c r="Z217" i="11"/>
  <c r="Z217" i="10"/>
  <c r="Z217" i="9"/>
  <c r="R217" i="11"/>
  <c r="R217" i="10"/>
  <c r="R217" i="9"/>
  <c r="J217" i="11"/>
  <c r="J217" i="10"/>
  <c r="J217" i="9"/>
  <c r="B217" i="11"/>
  <c r="B217" i="10"/>
  <c r="B217" i="9"/>
  <c r="AD216" i="11"/>
  <c r="AD216" i="10"/>
  <c r="AD216" i="9"/>
  <c r="V216" i="11"/>
  <c r="V216" i="10"/>
  <c r="V216" i="9"/>
  <c r="N216" i="11"/>
  <c r="N216" i="10"/>
  <c r="N216" i="9"/>
  <c r="F216" i="11"/>
  <c r="F216" i="10"/>
  <c r="F216" i="9"/>
  <c r="Z215" i="11"/>
  <c r="Z215" i="10"/>
  <c r="Z215" i="9"/>
  <c r="R215" i="11"/>
  <c r="R215" i="10"/>
  <c r="R215" i="9"/>
  <c r="J215" i="11"/>
  <c r="J215" i="10"/>
  <c r="J215" i="9"/>
  <c r="B215" i="11"/>
  <c r="B215" i="10"/>
  <c r="B215" i="9"/>
  <c r="AD214" i="11"/>
  <c r="AD214" i="10"/>
  <c r="AD214" i="9"/>
  <c r="V214" i="11"/>
  <c r="V214" i="10"/>
  <c r="V214" i="9"/>
  <c r="N214" i="11"/>
  <c r="N214" i="10"/>
  <c r="N214" i="9"/>
  <c r="F214" i="11"/>
  <c r="F214" i="10"/>
  <c r="F214" i="9"/>
  <c r="Z213" i="11"/>
  <c r="Z213" i="10"/>
  <c r="Z213" i="9"/>
  <c r="R213" i="11"/>
  <c r="R213" i="10"/>
  <c r="R213" i="9"/>
  <c r="J213" i="11"/>
  <c r="J213" i="10"/>
  <c r="J213" i="9"/>
  <c r="B213" i="11"/>
  <c r="B213" i="10"/>
  <c r="B213" i="9"/>
  <c r="AD212" i="11"/>
  <c r="AD212" i="10"/>
  <c r="AD212" i="9"/>
  <c r="V212" i="11"/>
  <c r="V212" i="10"/>
  <c r="V212" i="9"/>
  <c r="N212" i="11"/>
  <c r="N212" i="10"/>
  <c r="N212" i="9"/>
  <c r="F212" i="11"/>
  <c r="F212" i="10"/>
  <c r="F212" i="9"/>
  <c r="Z211" i="11"/>
  <c r="Z211" i="10"/>
  <c r="Z211" i="9"/>
  <c r="R211" i="11"/>
  <c r="R211" i="10"/>
  <c r="R211" i="9"/>
  <c r="J211" i="11"/>
  <c r="J211" i="10"/>
  <c r="J211" i="9"/>
  <c r="B211" i="11"/>
  <c r="B211" i="10"/>
  <c r="B211" i="9"/>
  <c r="AD210" i="11"/>
  <c r="AD210" i="10"/>
  <c r="AD210" i="9"/>
  <c r="V210" i="11"/>
  <c r="V210" i="10"/>
  <c r="V210" i="9"/>
  <c r="N210" i="11"/>
  <c r="N210" i="10"/>
  <c r="N210" i="9"/>
  <c r="F210" i="11"/>
  <c r="F210" i="10"/>
  <c r="F210" i="9"/>
  <c r="Z209" i="11"/>
  <c r="Z209" i="10"/>
  <c r="Z209" i="9"/>
  <c r="R209" i="11"/>
  <c r="R209" i="10"/>
  <c r="R209" i="9"/>
  <c r="J209" i="11"/>
  <c r="J209" i="10"/>
  <c r="J209" i="9"/>
  <c r="B209" i="11"/>
  <c r="B209" i="10"/>
  <c r="B209" i="9"/>
  <c r="AD208" i="11"/>
  <c r="AD208" i="10"/>
  <c r="AD208" i="9"/>
  <c r="V208" i="11"/>
  <c r="V208" i="10"/>
  <c r="V208" i="9"/>
  <c r="N208" i="11"/>
  <c r="N208" i="10"/>
  <c r="N208" i="9"/>
  <c r="F208" i="11"/>
  <c r="F208" i="10"/>
  <c r="F208" i="9"/>
  <c r="Z207" i="11"/>
  <c r="Z207" i="10"/>
  <c r="Z207" i="9"/>
  <c r="R207" i="11"/>
  <c r="R207" i="10"/>
  <c r="R207" i="9"/>
  <c r="J207" i="11"/>
  <c r="J207" i="10"/>
  <c r="J207" i="9"/>
  <c r="B207" i="11"/>
  <c r="B207" i="10"/>
  <c r="B207" i="9"/>
  <c r="AD206" i="11"/>
  <c r="AD206" i="10"/>
  <c r="AD206" i="9"/>
  <c r="V206" i="11"/>
  <c r="V206" i="10"/>
  <c r="V206" i="9"/>
  <c r="N206" i="11"/>
  <c r="N206" i="10"/>
  <c r="N206" i="9"/>
  <c r="F206" i="11"/>
  <c r="F206" i="10"/>
  <c r="F206" i="9"/>
  <c r="Z205" i="11"/>
  <c r="Z205" i="10"/>
  <c r="Z205" i="9"/>
  <c r="R205" i="11"/>
  <c r="R205" i="10"/>
  <c r="R205" i="9"/>
  <c r="J205" i="11"/>
  <c r="J205" i="10"/>
  <c r="J205" i="9"/>
  <c r="B205" i="11"/>
  <c r="B205" i="10"/>
  <c r="B205" i="9"/>
  <c r="AD204" i="11"/>
  <c r="AD204" i="10"/>
  <c r="AD204" i="9"/>
  <c r="V204" i="11"/>
  <c r="V204" i="10"/>
  <c r="V204" i="9"/>
  <c r="N204" i="11"/>
  <c r="N204" i="10"/>
  <c r="N204" i="9"/>
  <c r="F204" i="11"/>
  <c r="F204" i="10"/>
  <c r="F204" i="9"/>
  <c r="Z203" i="11"/>
  <c r="Z203" i="10"/>
  <c r="Z203" i="9"/>
  <c r="R203" i="11"/>
  <c r="R203" i="10"/>
  <c r="R203" i="9"/>
  <c r="J203" i="11"/>
  <c r="J203" i="10"/>
  <c r="J203" i="9"/>
  <c r="B203" i="11"/>
  <c r="B203" i="10"/>
  <c r="B203" i="9"/>
  <c r="AD202" i="11"/>
  <c r="AD202" i="10"/>
  <c r="AD202" i="9"/>
  <c r="V202" i="11"/>
  <c r="V202" i="10"/>
  <c r="V202" i="9"/>
  <c r="N202" i="11"/>
  <c r="N202" i="10"/>
  <c r="N202" i="9"/>
  <c r="F202" i="11"/>
  <c r="F202" i="10"/>
  <c r="F202" i="9"/>
  <c r="Z201" i="11"/>
  <c r="Z201" i="10"/>
  <c r="Z201" i="9"/>
  <c r="R201" i="11"/>
  <c r="R201" i="10"/>
  <c r="R201" i="9"/>
  <c r="J201" i="11"/>
  <c r="J201" i="10"/>
  <c r="J201" i="9"/>
  <c r="B201" i="11"/>
  <c r="B201" i="10"/>
  <c r="B201" i="9"/>
  <c r="AD200" i="11"/>
  <c r="AD200" i="10"/>
  <c r="AD200" i="9"/>
  <c r="V200" i="11"/>
  <c r="V200" i="10"/>
  <c r="V200" i="9"/>
  <c r="N200" i="11"/>
  <c r="N200" i="10"/>
  <c r="N200" i="9"/>
  <c r="F200" i="11"/>
  <c r="F200" i="10"/>
  <c r="F200" i="9"/>
  <c r="Z199" i="11"/>
  <c r="Z199" i="10"/>
  <c r="Z199" i="9"/>
  <c r="R199" i="11"/>
  <c r="R199" i="10"/>
  <c r="R199" i="9"/>
  <c r="J199" i="11"/>
  <c r="J199" i="10"/>
  <c r="J199" i="9"/>
  <c r="B199" i="11"/>
  <c r="B199" i="10"/>
  <c r="B199" i="9"/>
  <c r="AD198" i="11"/>
  <c r="AD198" i="10"/>
  <c r="AD198" i="9"/>
  <c r="V198" i="11"/>
  <c r="V198" i="10"/>
  <c r="V198" i="9"/>
  <c r="N198" i="11"/>
  <c r="N198" i="10"/>
  <c r="N198" i="9"/>
  <c r="F198" i="11"/>
  <c r="F198" i="10"/>
  <c r="F198" i="9"/>
  <c r="Z197" i="11"/>
  <c r="Z197" i="10"/>
  <c r="Z197" i="9"/>
  <c r="R197" i="11"/>
  <c r="R197" i="10"/>
  <c r="R197" i="9"/>
  <c r="J197" i="11"/>
  <c r="J197" i="10"/>
  <c r="J197" i="9"/>
  <c r="B197" i="11"/>
  <c r="B197" i="10"/>
  <c r="B197" i="9"/>
  <c r="AD196" i="11"/>
  <c r="AD196" i="10"/>
  <c r="AD196" i="9"/>
  <c r="V196" i="11"/>
  <c r="V196" i="10"/>
  <c r="V196" i="9"/>
  <c r="N196" i="11"/>
  <c r="N196" i="10"/>
  <c r="N196" i="9"/>
  <c r="F196" i="11"/>
  <c r="F196" i="10"/>
  <c r="F196" i="9"/>
  <c r="Z195" i="11"/>
  <c r="Z195" i="10"/>
  <c r="Z195" i="9"/>
  <c r="R195" i="11"/>
  <c r="R195" i="10"/>
  <c r="R195" i="9"/>
  <c r="J195" i="11"/>
  <c r="J195" i="10"/>
  <c r="J195" i="9"/>
  <c r="B195" i="11"/>
  <c r="B195" i="10"/>
  <c r="B195" i="9"/>
  <c r="AD194" i="11"/>
  <c r="AD194" i="10"/>
  <c r="AD194" i="9"/>
  <c r="V194" i="11"/>
  <c r="V194" i="10"/>
  <c r="V194" i="9"/>
  <c r="N194" i="11"/>
  <c r="N194" i="10"/>
  <c r="N194" i="9"/>
  <c r="F194" i="11"/>
  <c r="F194" i="10"/>
  <c r="F194" i="9"/>
  <c r="Z193" i="11"/>
  <c r="Z193" i="10"/>
  <c r="Z193" i="9"/>
  <c r="R193" i="11"/>
  <c r="R193" i="10"/>
  <c r="R193" i="9"/>
  <c r="J193" i="11"/>
  <c r="J193" i="10"/>
  <c r="J193" i="9"/>
  <c r="B193" i="11"/>
  <c r="B193" i="10"/>
  <c r="B193" i="9"/>
  <c r="AD192" i="11"/>
  <c r="AD192" i="10"/>
  <c r="AD192" i="9"/>
  <c r="V192" i="11"/>
  <c r="V192" i="10"/>
  <c r="V192" i="9"/>
  <c r="N192" i="11"/>
  <c r="N192" i="10"/>
  <c r="N192" i="9"/>
  <c r="F192" i="11"/>
  <c r="F192" i="10"/>
  <c r="F192" i="9"/>
  <c r="Z191" i="11"/>
  <c r="Z191" i="10"/>
  <c r="Z191" i="9"/>
  <c r="R191" i="11"/>
  <c r="R191" i="10"/>
  <c r="R191" i="9"/>
  <c r="J191" i="11"/>
  <c r="J191" i="10"/>
  <c r="J191" i="9"/>
  <c r="B191" i="11"/>
  <c r="B191" i="10"/>
  <c r="B191" i="9"/>
  <c r="AD190" i="11"/>
  <c r="AD190" i="10"/>
  <c r="AD190" i="9"/>
  <c r="V190" i="11"/>
  <c r="V190" i="10"/>
  <c r="V190" i="9"/>
  <c r="N190" i="11"/>
  <c r="N190" i="10"/>
  <c r="N190" i="9"/>
  <c r="F190" i="11"/>
  <c r="F190" i="10"/>
  <c r="F190" i="9"/>
  <c r="Z189" i="11"/>
  <c r="Z189" i="10"/>
  <c r="Z189" i="9"/>
  <c r="R189" i="11"/>
  <c r="R189" i="10"/>
  <c r="R189" i="9"/>
  <c r="J189" i="11"/>
  <c r="J189" i="10"/>
  <c r="J189" i="9"/>
  <c r="B189" i="11"/>
  <c r="B189" i="10"/>
  <c r="B189" i="9"/>
  <c r="AD188" i="11"/>
  <c r="AD188" i="10"/>
  <c r="AD188" i="9"/>
  <c r="V188" i="11"/>
  <c r="V188" i="10"/>
  <c r="V188" i="9"/>
  <c r="N188" i="11"/>
  <c r="N188" i="10"/>
  <c r="N188" i="9"/>
  <c r="F188" i="11"/>
  <c r="F188" i="10"/>
  <c r="F188" i="9"/>
  <c r="Z187" i="11"/>
  <c r="Z187" i="10"/>
  <c r="Z187" i="9"/>
  <c r="R187" i="11"/>
  <c r="R187" i="10"/>
  <c r="R187" i="9"/>
  <c r="J187" i="11"/>
  <c r="J187" i="10"/>
  <c r="J187" i="9"/>
  <c r="B187" i="11"/>
  <c r="B187" i="10"/>
  <c r="B187" i="9"/>
  <c r="AD186" i="11"/>
  <c r="AD186" i="10"/>
  <c r="AD186" i="9"/>
  <c r="V186" i="11"/>
  <c r="V186" i="10"/>
  <c r="V186" i="9"/>
  <c r="N186" i="11"/>
  <c r="N186" i="10"/>
  <c r="N186" i="9"/>
  <c r="F186" i="11"/>
  <c r="F186" i="10"/>
  <c r="F186" i="9"/>
  <c r="Z185" i="11"/>
  <c r="Z185" i="10"/>
  <c r="Z185" i="9"/>
  <c r="R185" i="11"/>
  <c r="R185" i="10"/>
  <c r="R185" i="9"/>
  <c r="J185" i="11"/>
  <c r="J185" i="10"/>
  <c r="J185" i="9"/>
  <c r="B185" i="11"/>
  <c r="B185" i="10"/>
  <c r="B185" i="9"/>
  <c r="AD184" i="11"/>
  <c r="AD184" i="10"/>
  <c r="AD184" i="9"/>
  <c r="V184" i="11"/>
  <c r="V184" i="10"/>
  <c r="V184" i="9"/>
  <c r="N184" i="11"/>
  <c r="N184" i="10"/>
  <c r="N184" i="9"/>
  <c r="F184" i="11"/>
  <c r="F184" i="10"/>
  <c r="F184" i="9"/>
  <c r="Z183" i="11"/>
  <c r="Z183" i="10"/>
  <c r="Z183" i="9"/>
  <c r="R183" i="11"/>
  <c r="R183" i="10"/>
  <c r="R183" i="9"/>
  <c r="J183" i="11"/>
  <c r="J183" i="10"/>
  <c r="J183" i="9"/>
  <c r="B183" i="11"/>
  <c r="B183" i="10"/>
  <c r="B183" i="9"/>
  <c r="AD182" i="11"/>
  <c r="AD182" i="10"/>
  <c r="AD182" i="9"/>
  <c r="V182" i="11"/>
  <c r="V182" i="10"/>
  <c r="V182" i="9"/>
  <c r="N182" i="11"/>
  <c r="N182" i="10"/>
  <c r="N182" i="9"/>
  <c r="F182" i="11"/>
  <c r="F182" i="10"/>
  <c r="F182" i="9"/>
  <c r="Z181" i="11"/>
  <c r="Z181" i="10"/>
  <c r="Z181" i="9"/>
  <c r="R181" i="11"/>
  <c r="R181" i="10"/>
  <c r="R181" i="9"/>
  <c r="J181" i="11"/>
  <c r="J181" i="10"/>
  <c r="J181" i="9"/>
  <c r="B181" i="11"/>
  <c r="B181" i="10"/>
  <c r="B181" i="9"/>
  <c r="AD180" i="11"/>
  <c r="AD180" i="10"/>
  <c r="AD180" i="9"/>
  <c r="V180" i="11"/>
  <c r="V180" i="10"/>
  <c r="V180" i="9"/>
  <c r="N180" i="11"/>
  <c r="N180" i="10"/>
  <c r="N180" i="9"/>
  <c r="F180" i="11"/>
  <c r="F180" i="10"/>
  <c r="F180" i="9"/>
  <c r="Z179" i="11"/>
  <c r="Z179" i="10"/>
  <c r="Z179" i="9"/>
  <c r="R179" i="11"/>
  <c r="R179" i="10"/>
  <c r="R179" i="9"/>
  <c r="J179" i="11"/>
  <c r="J179" i="10"/>
  <c r="J179" i="9"/>
  <c r="B179" i="11"/>
  <c r="B179" i="10"/>
  <c r="B179" i="9"/>
  <c r="AD178" i="11"/>
  <c r="AD178" i="10"/>
  <c r="AD178" i="9"/>
  <c r="V178" i="11"/>
  <c r="V178" i="10"/>
  <c r="V178" i="9"/>
  <c r="N178" i="11"/>
  <c r="N178" i="10"/>
  <c r="N178" i="9"/>
  <c r="F178" i="11"/>
  <c r="F178" i="10"/>
  <c r="F178" i="9"/>
  <c r="Z177" i="11"/>
  <c r="Z177" i="10"/>
  <c r="Z177" i="9"/>
  <c r="R177" i="11"/>
  <c r="R177" i="10"/>
  <c r="R177" i="9"/>
  <c r="J177" i="11"/>
  <c r="J177" i="10"/>
  <c r="J177" i="9"/>
  <c r="B177" i="11"/>
  <c r="B177" i="10"/>
  <c r="B177" i="9"/>
  <c r="AD176" i="11"/>
  <c r="AD176" i="10"/>
  <c r="AD176" i="9"/>
  <c r="V176" i="11"/>
  <c r="V176" i="10"/>
  <c r="V176" i="9"/>
  <c r="N176" i="11"/>
  <c r="N176" i="10"/>
  <c r="N176" i="9"/>
  <c r="F176" i="11"/>
  <c r="F176" i="10"/>
  <c r="F176" i="9"/>
  <c r="M11" i="2"/>
  <c r="M22" i="2"/>
  <c r="M26" i="2"/>
  <c r="M30" i="2"/>
  <c r="M34" i="2"/>
  <c r="AC366" i="11"/>
  <c r="AC366" i="10"/>
  <c r="AC366" i="9"/>
  <c r="U366" i="11"/>
  <c r="U366" i="10"/>
  <c r="U366" i="9"/>
  <c r="M366" i="11"/>
  <c r="M366" i="10"/>
  <c r="M366" i="9"/>
  <c r="E366" i="11"/>
  <c r="E366" i="10"/>
  <c r="E366" i="9"/>
  <c r="AG365" i="11"/>
  <c r="AG365" i="10"/>
  <c r="AG365" i="9"/>
  <c r="Y365" i="11"/>
  <c r="Y365" i="10"/>
  <c r="Y365" i="9"/>
  <c r="Q365" i="11"/>
  <c r="Q365" i="10"/>
  <c r="Q365" i="9"/>
  <c r="I365" i="11"/>
  <c r="I365" i="10"/>
  <c r="I365" i="9"/>
  <c r="A365" i="11"/>
  <c r="A365" i="10"/>
  <c r="A365" i="9"/>
  <c r="AC364" i="11"/>
  <c r="AC364" i="10"/>
  <c r="AC364" i="9"/>
  <c r="U364" i="11"/>
  <c r="U364" i="10"/>
  <c r="U364" i="9"/>
  <c r="M364" i="11"/>
  <c r="M364" i="10"/>
  <c r="M364" i="9"/>
  <c r="E364" i="11"/>
  <c r="E364" i="10"/>
  <c r="E364" i="9"/>
  <c r="AG363" i="11"/>
  <c r="AG363" i="10"/>
  <c r="AG363" i="9"/>
  <c r="Y363" i="11"/>
  <c r="Y363" i="10"/>
  <c r="Y363" i="9"/>
  <c r="Q363" i="11"/>
  <c r="Q363" i="10"/>
  <c r="Q363" i="9"/>
  <c r="I363" i="11"/>
  <c r="I363" i="10"/>
  <c r="I363" i="9"/>
  <c r="A363" i="11"/>
  <c r="A363" i="10"/>
  <c r="A363" i="9"/>
  <c r="AC362" i="11"/>
  <c r="AC362" i="10"/>
  <c r="AC362" i="9"/>
  <c r="U362" i="11"/>
  <c r="U362" i="10"/>
  <c r="U362" i="9"/>
  <c r="M362" i="11"/>
  <c r="M362" i="10"/>
  <c r="M362" i="9"/>
  <c r="E362" i="11"/>
  <c r="E362" i="10"/>
  <c r="E362" i="9"/>
  <c r="AG361" i="11"/>
  <c r="AG361" i="10"/>
  <c r="AG361" i="9"/>
  <c r="Y361" i="11"/>
  <c r="Y361" i="10"/>
  <c r="Y361" i="9"/>
  <c r="Q361" i="11"/>
  <c r="Q361" i="10"/>
  <c r="Q361" i="9"/>
  <c r="I361" i="11"/>
  <c r="I361" i="10"/>
  <c r="I361" i="9"/>
  <c r="A361" i="11"/>
  <c r="A361" i="10"/>
  <c r="A361" i="9"/>
  <c r="AC360" i="11"/>
  <c r="AC360" i="10"/>
  <c r="AC360" i="9"/>
  <c r="U360" i="11"/>
  <c r="U360" i="10"/>
  <c r="U360" i="9"/>
  <c r="M360" i="11"/>
  <c r="M360" i="10"/>
  <c r="M360" i="9"/>
  <c r="E360" i="11"/>
  <c r="E360" i="10"/>
  <c r="E360" i="9"/>
  <c r="AG359" i="11"/>
  <c r="AG359" i="10"/>
  <c r="AG359" i="9"/>
  <c r="Y359" i="11"/>
  <c r="Y359" i="10"/>
  <c r="Y359" i="9"/>
  <c r="Q359" i="11"/>
  <c r="Q359" i="10"/>
  <c r="Q359" i="9"/>
  <c r="I359" i="11"/>
  <c r="I359" i="10"/>
  <c r="I359" i="9"/>
  <c r="A359" i="11"/>
  <c r="A359" i="10"/>
  <c r="A359" i="9"/>
  <c r="AC358" i="11"/>
  <c r="AC358" i="10"/>
  <c r="AC358" i="9"/>
  <c r="U358" i="11"/>
  <c r="U358" i="10"/>
  <c r="U358" i="9"/>
  <c r="M358" i="11"/>
  <c r="M358" i="10"/>
  <c r="M358" i="9"/>
  <c r="E358" i="11"/>
  <c r="E358" i="10"/>
  <c r="E358" i="9"/>
  <c r="Y357" i="11"/>
  <c r="Y357" i="10"/>
  <c r="Y357" i="9"/>
  <c r="Q357" i="11"/>
  <c r="Q357" i="10"/>
  <c r="Q357" i="9"/>
  <c r="I357" i="11"/>
  <c r="I357" i="10"/>
  <c r="I357" i="9"/>
  <c r="A357" i="11"/>
  <c r="A357" i="10"/>
  <c r="A357" i="9"/>
  <c r="AC356" i="11"/>
  <c r="AC356" i="10"/>
  <c r="AC356" i="9"/>
  <c r="U356" i="11"/>
  <c r="U356" i="10"/>
  <c r="U356" i="9"/>
  <c r="M356" i="11"/>
  <c r="M356" i="10"/>
  <c r="M356" i="9"/>
  <c r="E356" i="11"/>
  <c r="E356" i="10"/>
  <c r="E356" i="9"/>
  <c r="AG355" i="11"/>
  <c r="AG355" i="10"/>
  <c r="AG355" i="9"/>
  <c r="Y355" i="11"/>
  <c r="Y355" i="10"/>
  <c r="Y355" i="9"/>
  <c r="Q355" i="11"/>
  <c r="Q355" i="10"/>
  <c r="Q355" i="9"/>
  <c r="I355" i="11"/>
  <c r="I355" i="10"/>
  <c r="I355" i="9"/>
  <c r="A355" i="11"/>
  <c r="A355" i="10"/>
  <c r="A355" i="9"/>
  <c r="AC354" i="11"/>
  <c r="AC354" i="10"/>
  <c r="AC354" i="9"/>
  <c r="U354" i="11"/>
  <c r="U354" i="10"/>
  <c r="U354" i="9"/>
  <c r="M354" i="11"/>
  <c r="M354" i="10"/>
  <c r="M354" i="9"/>
  <c r="E354" i="11"/>
  <c r="E354" i="10"/>
  <c r="E354" i="9"/>
  <c r="AG353" i="11"/>
  <c r="AG353" i="10"/>
  <c r="AG353" i="9"/>
  <c r="Y353" i="11"/>
  <c r="Y353" i="10"/>
  <c r="Y353" i="9"/>
  <c r="Q353" i="11"/>
  <c r="Q353" i="10"/>
  <c r="Q353" i="9"/>
  <c r="I353" i="11"/>
  <c r="I353" i="10"/>
  <c r="I353" i="9"/>
  <c r="A353" i="11"/>
  <c r="A353" i="10"/>
  <c r="A353" i="9"/>
  <c r="AC352" i="11"/>
  <c r="AC352" i="10"/>
  <c r="AC352" i="9"/>
  <c r="U352" i="11"/>
  <c r="U352" i="10"/>
  <c r="U352" i="9"/>
  <c r="M352" i="11"/>
  <c r="M352" i="10"/>
  <c r="M352" i="9"/>
  <c r="E352" i="11"/>
  <c r="E352" i="10"/>
  <c r="E352" i="9"/>
  <c r="AG351" i="11"/>
  <c r="AG351" i="10"/>
  <c r="Y351" i="11"/>
  <c r="Y351" i="10"/>
  <c r="Y351" i="9"/>
  <c r="Q351" i="11"/>
  <c r="Q351" i="10"/>
  <c r="Q351" i="9"/>
  <c r="I351" i="11"/>
  <c r="I351" i="10"/>
  <c r="I351" i="9"/>
  <c r="A351" i="11"/>
  <c r="A351" i="10"/>
  <c r="A351" i="9"/>
  <c r="AC350" i="11"/>
  <c r="AC350" i="10"/>
  <c r="AC350" i="9"/>
  <c r="U350" i="11"/>
  <c r="U350" i="10"/>
  <c r="U350" i="9"/>
  <c r="M350" i="11"/>
  <c r="M350" i="10"/>
  <c r="M350" i="9"/>
  <c r="E350" i="11"/>
  <c r="E350" i="10"/>
  <c r="E350" i="9"/>
  <c r="AG349" i="11"/>
  <c r="AG349" i="10"/>
  <c r="AG349" i="9"/>
  <c r="Y349" i="11"/>
  <c r="Y349" i="10"/>
  <c r="Y349" i="9"/>
  <c r="Q349" i="11"/>
  <c r="Q349" i="10"/>
  <c r="Q349" i="9"/>
  <c r="I349" i="11"/>
  <c r="I349" i="10"/>
  <c r="I349" i="9"/>
  <c r="A349" i="11"/>
  <c r="A349" i="10"/>
  <c r="A349" i="9"/>
  <c r="AC348" i="11"/>
  <c r="AC348" i="10"/>
  <c r="AC348" i="9"/>
  <c r="U348" i="11"/>
  <c r="U348" i="10"/>
  <c r="U348" i="9"/>
  <c r="M348" i="11"/>
  <c r="M348" i="10"/>
  <c r="M348" i="9"/>
  <c r="E348" i="11"/>
  <c r="E348" i="10"/>
  <c r="E348" i="9"/>
  <c r="Y347" i="11"/>
  <c r="Y347" i="10"/>
  <c r="Y347" i="9"/>
  <c r="Q347" i="11"/>
  <c r="Q347" i="10"/>
  <c r="Q347" i="9"/>
  <c r="I347" i="11"/>
  <c r="I347" i="10"/>
  <c r="I347" i="9"/>
  <c r="A347" i="11"/>
  <c r="A347" i="10"/>
  <c r="A347" i="9"/>
  <c r="AC346" i="11"/>
  <c r="AC346" i="10"/>
  <c r="AC346" i="9"/>
  <c r="U346" i="11"/>
  <c r="U346" i="10"/>
  <c r="U346" i="9"/>
  <c r="M346" i="11"/>
  <c r="M346" i="10"/>
  <c r="M346" i="9"/>
  <c r="E346" i="11"/>
  <c r="E346" i="10"/>
  <c r="E346" i="9"/>
  <c r="AG345" i="11"/>
  <c r="AG345" i="9"/>
  <c r="Y345" i="11"/>
  <c r="Y345" i="10"/>
  <c r="Y345" i="9"/>
  <c r="Q345" i="11"/>
  <c r="Q345" i="10"/>
  <c r="Q345" i="9"/>
  <c r="I345" i="11"/>
  <c r="I345" i="10"/>
  <c r="I345" i="9"/>
  <c r="A345" i="11"/>
  <c r="A345" i="10"/>
  <c r="A345" i="9"/>
  <c r="AC344" i="11"/>
  <c r="AC344" i="10"/>
  <c r="AC344" i="9"/>
  <c r="U344" i="11"/>
  <c r="U344" i="10"/>
  <c r="U344" i="9"/>
  <c r="M344" i="11"/>
  <c r="M344" i="10"/>
  <c r="M344" i="9"/>
  <c r="E344" i="11"/>
  <c r="E344" i="10"/>
  <c r="E344" i="9"/>
  <c r="Y343" i="11"/>
  <c r="Y343" i="10"/>
  <c r="Y343" i="9"/>
  <c r="Q343" i="11"/>
  <c r="Q343" i="10"/>
  <c r="Q343" i="9"/>
  <c r="I343" i="11"/>
  <c r="I343" i="10"/>
  <c r="I343" i="9"/>
  <c r="A343" i="11"/>
  <c r="A343" i="10"/>
  <c r="A343" i="9"/>
  <c r="AC342" i="11"/>
  <c r="AC342" i="10"/>
  <c r="AC342" i="9"/>
  <c r="U342" i="11"/>
  <c r="U342" i="10"/>
  <c r="U342" i="9"/>
  <c r="M342" i="11"/>
  <c r="M342" i="10"/>
  <c r="M342" i="9"/>
  <c r="E342" i="11"/>
  <c r="E342" i="10"/>
  <c r="E342" i="9"/>
  <c r="AG341" i="11"/>
  <c r="AG341" i="10"/>
  <c r="AG341" i="9"/>
  <c r="Y341" i="11"/>
  <c r="Y341" i="10"/>
  <c r="Y341" i="9"/>
  <c r="Q341" i="11"/>
  <c r="Q341" i="10"/>
  <c r="Q341" i="9"/>
  <c r="I341" i="11"/>
  <c r="I341" i="10"/>
  <c r="I341" i="9"/>
  <c r="A341" i="11"/>
  <c r="A341" i="10"/>
  <c r="A341" i="9"/>
  <c r="AC340" i="11"/>
  <c r="AC340" i="10"/>
  <c r="AC340" i="9"/>
  <c r="U340" i="11"/>
  <c r="U340" i="10"/>
  <c r="U340" i="9"/>
  <c r="M340" i="11"/>
  <c r="M340" i="10"/>
  <c r="M340" i="9"/>
  <c r="E340" i="11"/>
  <c r="E340" i="10"/>
  <c r="E340" i="9"/>
  <c r="AG339" i="11"/>
  <c r="AG339" i="10"/>
  <c r="AG339" i="9"/>
  <c r="Y339" i="11"/>
  <c r="Y339" i="10"/>
  <c r="Y339" i="9"/>
  <c r="Q339" i="11"/>
  <c r="Q339" i="10"/>
  <c r="Q339" i="9"/>
  <c r="I339" i="11"/>
  <c r="I339" i="10"/>
  <c r="I339" i="9"/>
  <c r="A339" i="11"/>
  <c r="A339" i="10"/>
  <c r="A339" i="9"/>
  <c r="AC338" i="11"/>
  <c r="AC338" i="10"/>
  <c r="AC338" i="9"/>
  <c r="U338" i="11"/>
  <c r="U338" i="10"/>
  <c r="U338" i="9"/>
  <c r="M338" i="11"/>
  <c r="M338" i="10"/>
  <c r="M338" i="9"/>
  <c r="E338" i="11"/>
  <c r="E338" i="10"/>
  <c r="E338" i="9"/>
  <c r="AG337" i="11"/>
  <c r="AG337" i="10"/>
  <c r="AG337" i="9"/>
  <c r="Y337" i="11"/>
  <c r="Y337" i="10"/>
  <c r="Y337" i="9"/>
  <c r="Q337" i="11"/>
  <c r="Q337" i="10"/>
  <c r="Q337" i="9"/>
  <c r="I337" i="11"/>
  <c r="I337" i="10"/>
  <c r="I337" i="9"/>
  <c r="A337" i="11"/>
  <c r="A337" i="10"/>
  <c r="A337" i="9"/>
  <c r="AC336" i="11"/>
  <c r="AC336" i="10"/>
  <c r="AC336" i="9"/>
  <c r="U336" i="11"/>
  <c r="U336" i="10"/>
  <c r="U336" i="9"/>
  <c r="M336" i="11"/>
  <c r="M336" i="10"/>
  <c r="M336" i="9"/>
  <c r="E336" i="11"/>
  <c r="E336" i="10"/>
  <c r="E336" i="9"/>
  <c r="AG335" i="11"/>
  <c r="AG335" i="10"/>
  <c r="AG335" i="9"/>
  <c r="Y335" i="11"/>
  <c r="Y335" i="10"/>
  <c r="Y335" i="9"/>
  <c r="Q335" i="11"/>
  <c r="Q335" i="10"/>
  <c r="Q335" i="9"/>
  <c r="I335" i="11"/>
  <c r="I335" i="10"/>
  <c r="I335" i="9"/>
  <c r="A335" i="11"/>
  <c r="A335" i="10"/>
  <c r="A335" i="9"/>
  <c r="AC334" i="11"/>
  <c r="AC334" i="10"/>
  <c r="AC334" i="9"/>
  <c r="U334" i="11"/>
  <c r="U334" i="10"/>
  <c r="U334" i="9"/>
  <c r="M334" i="11"/>
  <c r="M334" i="10"/>
  <c r="M334" i="9"/>
  <c r="E334" i="11"/>
  <c r="E334" i="10"/>
  <c r="E334" i="9"/>
  <c r="Y333" i="11"/>
  <c r="Y333" i="10"/>
  <c r="Y333" i="9"/>
  <c r="Q333" i="11"/>
  <c r="Q333" i="10"/>
  <c r="Q333" i="9"/>
  <c r="I333" i="11"/>
  <c r="I333" i="10"/>
  <c r="I333" i="9"/>
  <c r="A333" i="11"/>
  <c r="A333" i="10"/>
  <c r="A333" i="9"/>
  <c r="AC332" i="11"/>
  <c r="AC332" i="10"/>
  <c r="AC332" i="9"/>
  <c r="U332" i="11"/>
  <c r="U332" i="10"/>
  <c r="U332" i="9"/>
  <c r="M332" i="11"/>
  <c r="M332" i="10"/>
  <c r="M332" i="9"/>
  <c r="E332" i="11"/>
  <c r="E332" i="10"/>
  <c r="E332" i="9"/>
  <c r="Y331" i="11"/>
  <c r="Y331" i="10"/>
  <c r="Y331" i="9"/>
  <c r="Q331" i="11"/>
  <c r="Q331" i="10"/>
  <c r="Q331" i="9"/>
  <c r="I331" i="11"/>
  <c r="I331" i="10"/>
  <c r="I331" i="9"/>
  <c r="A331" i="11"/>
  <c r="A331" i="10"/>
  <c r="A331" i="9"/>
  <c r="AC330" i="11"/>
  <c r="AC330" i="10"/>
  <c r="AC330" i="9"/>
  <c r="U330" i="11"/>
  <c r="U330" i="10"/>
  <c r="U330" i="9"/>
  <c r="M330" i="11"/>
  <c r="M330" i="10"/>
  <c r="M330" i="9"/>
  <c r="E330" i="11"/>
  <c r="E330" i="10"/>
  <c r="E330" i="9"/>
  <c r="AG329" i="11"/>
  <c r="AG329" i="10"/>
  <c r="AG329" i="9"/>
  <c r="Y329" i="11"/>
  <c r="Y329" i="10"/>
  <c r="Y329" i="9"/>
  <c r="Q329" i="11"/>
  <c r="Q329" i="10"/>
  <c r="Q329" i="9"/>
  <c r="I329" i="11"/>
  <c r="I329" i="10"/>
  <c r="I329" i="9"/>
  <c r="A329" i="11"/>
  <c r="A329" i="10"/>
  <c r="A329" i="9"/>
  <c r="AC328" i="11"/>
  <c r="AC328" i="10"/>
  <c r="AC328" i="9"/>
  <c r="U328" i="11"/>
  <c r="U328" i="10"/>
  <c r="U328" i="9"/>
  <c r="M328" i="11"/>
  <c r="M328" i="10"/>
  <c r="M328" i="9"/>
  <c r="E328" i="11"/>
  <c r="E328" i="10"/>
  <c r="E328" i="9"/>
  <c r="AG327" i="11"/>
  <c r="AG327" i="10"/>
  <c r="AG327" i="9"/>
  <c r="Y327" i="11"/>
  <c r="Y327" i="10"/>
  <c r="Y327" i="9"/>
  <c r="Q327" i="11"/>
  <c r="Q327" i="10"/>
  <c r="Q327" i="9"/>
  <c r="I327" i="11"/>
  <c r="I327" i="10"/>
  <c r="I327" i="9"/>
  <c r="A327" i="11"/>
  <c r="A327" i="10"/>
  <c r="A327" i="9"/>
  <c r="AC326" i="11"/>
  <c r="AC326" i="10"/>
  <c r="AC326" i="9"/>
  <c r="U326" i="11"/>
  <c r="U326" i="10"/>
  <c r="U326" i="9"/>
  <c r="M326" i="11"/>
  <c r="M326" i="10"/>
  <c r="M326" i="9"/>
  <c r="E326" i="11"/>
  <c r="E326" i="10"/>
  <c r="E326" i="9"/>
  <c r="AG325" i="11"/>
  <c r="AG325" i="10"/>
  <c r="AG325" i="9"/>
  <c r="Y325" i="11"/>
  <c r="Y325" i="10"/>
  <c r="Y325" i="9"/>
  <c r="Q325" i="11"/>
  <c r="Q325" i="10"/>
  <c r="Q325" i="9"/>
  <c r="I325" i="11"/>
  <c r="I325" i="10"/>
  <c r="I325" i="9"/>
  <c r="A325" i="11"/>
  <c r="A325" i="10"/>
  <c r="A325" i="9"/>
  <c r="AC324" i="11"/>
  <c r="AC324" i="10"/>
  <c r="AC324" i="9"/>
  <c r="U324" i="11"/>
  <c r="U324" i="10"/>
  <c r="U324" i="9"/>
  <c r="M324" i="11"/>
  <c r="M324" i="10"/>
  <c r="M324" i="9"/>
  <c r="E324" i="11"/>
  <c r="E324" i="10"/>
  <c r="E324" i="9"/>
  <c r="AG323" i="11"/>
  <c r="AG323" i="10"/>
  <c r="AG323" i="9"/>
  <c r="Y323" i="11"/>
  <c r="Y323" i="10"/>
  <c r="Y323" i="9"/>
  <c r="Q323" i="11"/>
  <c r="Q323" i="10"/>
  <c r="Q323" i="9"/>
  <c r="I323" i="11"/>
  <c r="I323" i="10"/>
  <c r="I323" i="9"/>
  <c r="A323" i="11"/>
  <c r="A323" i="10"/>
  <c r="A323" i="9"/>
  <c r="AC322" i="11"/>
  <c r="AC322" i="10"/>
  <c r="AC322" i="9"/>
  <c r="U322" i="11"/>
  <c r="U322" i="10"/>
  <c r="U322" i="9"/>
  <c r="M322" i="11"/>
  <c r="M322" i="10"/>
  <c r="M322" i="9"/>
  <c r="E322" i="11"/>
  <c r="E322" i="10"/>
  <c r="E322" i="9"/>
  <c r="AG321" i="11"/>
  <c r="AG321" i="10"/>
  <c r="AG321" i="9"/>
  <c r="Y321" i="11"/>
  <c r="Y321" i="10"/>
  <c r="Y321" i="9"/>
  <c r="Q321" i="11"/>
  <c r="Q321" i="10"/>
  <c r="Q321" i="9"/>
  <c r="I321" i="11"/>
  <c r="I321" i="10"/>
  <c r="I321" i="9"/>
  <c r="A321" i="11"/>
  <c r="A321" i="10"/>
  <c r="A321" i="9"/>
  <c r="AC320" i="11"/>
  <c r="AC320" i="10"/>
  <c r="AC320" i="9"/>
  <c r="U320" i="11"/>
  <c r="U320" i="10"/>
  <c r="U320" i="9"/>
  <c r="M320" i="11"/>
  <c r="M320" i="10"/>
  <c r="M320" i="9"/>
  <c r="E320" i="11"/>
  <c r="E320" i="10"/>
  <c r="E320" i="9"/>
  <c r="AG319" i="11"/>
  <c r="AG319" i="10"/>
  <c r="AG319" i="9"/>
  <c r="Y319" i="11"/>
  <c r="Y319" i="10"/>
  <c r="Y319" i="9"/>
  <c r="Q319" i="11"/>
  <c r="Q319" i="10"/>
  <c r="Q319" i="9"/>
  <c r="I319" i="11"/>
  <c r="I319" i="10"/>
  <c r="I319" i="9"/>
  <c r="A319" i="11"/>
  <c r="A319" i="10"/>
  <c r="A319" i="9"/>
  <c r="AC318" i="11"/>
  <c r="AC318" i="10"/>
  <c r="AC318" i="9"/>
  <c r="U318" i="11"/>
  <c r="U318" i="10"/>
  <c r="U318" i="9"/>
  <c r="M318" i="11"/>
  <c r="M318" i="10"/>
  <c r="M318" i="9"/>
  <c r="E318" i="11"/>
  <c r="E318" i="10"/>
  <c r="E318" i="9"/>
  <c r="Y317" i="11"/>
  <c r="Y317" i="10"/>
  <c r="Y317" i="9"/>
  <c r="Q317" i="11"/>
  <c r="Q317" i="10"/>
  <c r="Q317" i="9"/>
  <c r="I317" i="11"/>
  <c r="I317" i="10"/>
  <c r="I317" i="9"/>
  <c r="A317" i="11"/>
  <c r="A317" i="10"/>
  <c r="A317" i="9"/>
  <c r="AC316" i="11"/>
  <c r="AC316" i="10"/>
  <c r="AC316" i="9"/>
  <c r="U316" i="11"/>
  <c r="U316" i="10"/>
  <c r="U316" i="9"/>
  <c r="M316" i="11"/>
  <c r="M316" i="10"/>
  <c r="M316" i="9"/>
  <c r="E316" i="11"/>
  <c r="E316" i="10"/>
  <c r="E316" i="9"/>
  <c r="AG315" i="11"/>
  <c r="AG315" i="10"/>
  <c r="AG315" i="9"/>
  <c r="Y315" i="11"/>
  <c r="Y315" i="10"/>
  <c r="Y315" i="9"/>
  <c r="Q315" i="11"/>
  <c r="Q315" i="10"/>
  <c r="Q315" i="9"/>
  <c r="I315" i="11"/>
  <c r="I315" i="10"/>
  <c r="I315" i="9"/>
  <c r="A315" i="11"/>
  <c r="A315" i="10"/>
  <c r="A315" i="9"/>
  <c r="AC314" i="11"/>
  <c r="AC314" i="10"/>
  <c r="AC314" i="9"/>
  <c r="U314" i="11"/>
  <c r="U314" i="10"/>
  <c r="U314" i="9"/>
  <c r="M314" i="11"/>
  <c r="M314" i="10"/>
  <c r="M314" i="9"/>
  <c r="E314" i="11"/>
  <c r="E314" i="10"/>
  <c r="E314" i="9"/>
  <c r="AG313" i="11"/>
  <c r="AG313" i="10"/>
  <c r="AG313" i="9"/>
  <c r="Y313" i="11"/>
  <c r="Y313" i="10"/>
  <c r="Y313" i="9"/>
  <c r="Q313" i="11"/>
  <c r="Q313" i="10"/>
  <c r="Q313" i="9"/>
  <c r="I313" i="11"/>
  <c r="I313" i="10"/>
  <c r="I313" i="9"/>
  <c r="A313" i="11"/>
  <c r="A313" i="10"/>
  <c r="A313" i="9"/>
  <c r="AC312" i="11"/>
  <c r="AC312" i="10"/>
  <c r="AC312" i="9"/>
  <c r="U312" i="11"/>
  <c r="U312" i="10"/>
  <c r="U312" i="9"/>
  <c r="M312" i="11"/>
  <c r="M312" i="10"/>
  <c r="M312" i="9"/>
  <c r="E312" i="11"/>
  <c r="E312" i="10"/>
  <c r="E312" i="9"/>
  <c r="AG311" i="11"/>
  <c r="AG311" i="10"/>
  <c r="AG311" i="9"/>
  <c r="Y311" i="11"/>
  <c r="Y311" i="10"/>
  <c r="Y311" i="9"/>
  <c r="Q311" i="11"/>
  <c r="Q311" i="10"/>
  <c r="Q311" i="9"/>
  <c r="I311" i="11"/>
  <c r="I311" i="10"/>
  <c r="I311" i="9"/>
  <c r="A311" i="11"/>
  <c r="A311" i="10"/>
  <c r="A311" i="9"/>
  <c r="AC310" i="11"/>
  <c r="AC310" i="10"/>
  <c r="AC310" i="9"/>
  <c r="U310" i="11"/>
  <c r="U310" i="10"/>
  <c r="U310" i="9"/>
  <c r="M310" i="11"/>
  <c r="M310" i="10"/>
  <c r="M310" i="9"/>
  <c r="E310" i="11"/>
  <c r="E310" i="10"/>
  <c r="E310" i="9"/>
  <c r="AG309" i="11"/>
  <c r="AG309" i="10"/>
  <c r="AG309" i="9"/>
  <c r="Y309" i="11"/>
  <c r="Y309" i="10"/>
  <c r="Y309" i="9"/>
  <c r="Q309" i="11"/>
  <c r="Q309" i="10"/>
  <c r="Q309" i="9"/>
  <c r="I309" i="11"/>
  <c r="I309" i="10"/>
  <c r="I309" i="9"/>
  <c r="A309" i="11"/>
  <c r="A309" i="10"/>
  <c r="A309" i="9"/>
  <c r="AC308" i="11"/>
  <c r="AC308" i="10"/>
  <c r="AC308" i="9"/>
  <c r="U308" i="11"/>
  <c r="U308" i="10"/>
  <c r="U308" i="9"/>
  <c r="M308" i="11"/>
  <c r="M308" i="10"/>
  <c r="M308" i="9"/>
  <c r="E308" i="11"/>
  <c r="E308" i="10"/>
  <c r="E308" i="9"/>
  <c r="AG307" i="11"/>
  <c r="AG307" i="10"/>
  <c r="AG307" i="9"/>
  <c r="Y307" i="11"/>
  <c r="Y307" i="10"/>
  <c r="Y307" i="9"/>
  <c r="Q307" i="11"/>
  <c r="Q307" i="10"/>
  <c r="Q307" i="9"/>
  <c r="I307" i="11"/>
  <c r="I307" i="10"/>
  <c r="I307" i="9"/>
  <c r="A307" i="11"/>
  <c r="A307" i="10"/>
  <c r="A307" i="9"/>
  <c r="AC306" i="11"/>
  <c r="AC306" i="10"/>
  <c r="AC306" i="9"/>
  <c r="U306" i="11"/>
  <c r="U306" i="10"/>
  <c r="U306" i="9"/>
  <c r="M306" i="11"/>
  <c r="M306" i="10"/>
  <c r="M306" i="9"/>
  <c r="E306" i="11"/>
  <c r="E306" i="10"/>
  <c r="E306" i="9"/>
  <c r="AG305" i="11"/>
  <c r="AG305" i="10"/>
  <c r="AG305" i="9"/>
  <c r="Y305" i="11"/>
  <c r="Y305" i="10"/>
  <c r="Y305" i="9"/>
  <c r="Q305" i="11"/>
  <c r="Q305" i="10"/>
  <c r="Q305" i="9"/>
  <c r="I305" i="11"/>
  <c r="I305" i="10"/>
  <c r="I305" i="9"/>
  <c r="A305" i="11"/>
  <c r="A305" i="10"/>
  <c r="A305" i="9"/>
  <c r="AC304" i="11"/>
  <c r="AC304" i="10"/>
  <c r="AC304" i="9"/>
  <c r="U304" i="11"/>
  <c r="U304" i="10"/>
  <c r="U304" i="9"/>
  <c r="M304" i="11"/>
  <c r="M304" i="10"/>
  <c r="M304" i="9"/>
  <c r="E304" i="11"/>
  <c r="E304" i="10"/>
  <c r="E304" i="9"/>
  <c r="Y303" i="11"/>
  <c r="Y303" i="10"/>
  <c r="Y303" i="9"/>
  <c r="Q303" i="11"/>
  <c r="Q303" i="10"/>
  <c r="Q303" i="9"/>
  <c r="I303" i="11"/>
  <c r="I303" i="10"/>
  <c r="I303" i="9"/>
  <c r="A303" i="11"/>
  <c r="A303" i="10"/>
  <c r="A303" i="9"/>
  <c r="AC302" i="11"/>
  <c r="AC302" i="10"/>
  <c r="AC302" i="9"/>
  <c r="U302" i="11"/>
  <c r="U302" i="10"/>
  <c r="U302" i="9"/>
  <c r="M302" i="11"/>
  <c r="M302" i="10"/>
  <c r="M302" i="9"/>
  <c r="E302" i="11"/>
  <c r="E302" i="10"/>
  <c r="E302" i="9"/>
  <c r="Y301" i="11"/>
  <c r="Y301" i="10"/>
  <c r="Y301" i="9"/>
  <c r="Q301" i="11"/>
  <c r="Q301" i="10"/>
  <c r="Q301" i="9"/>
  <c r="I301" i="11"/>
  <c r="I301" i="10"/>
  <c r="I301" i="9"/>
  <c r="A301" i="11"/>
  <c r="A301" i="10"/>
  <c r="A301" i="9"/>
  <c r="AC300" i="11"/>
  <c r="AC300" i="10"/>
  <c r="AC300" i="9"/>
  <c r="U300" i="11"/>
  <c r="U300" i="10"/>
  <c r="U300" i="9"/>
  <c r="M300" i="11"/>
  <c r="M300" i="10"/>
  <c r="M300" i="9"/>
  <c r="E300" i="11"/>
  <c r="E300" i="10"/>
  <c r="E300" i="9"/>
  <c r="AG299" i="11"/>
  <c r="AG299" i="10"/>
  <c r="AG299" i="9"/>
  <c r="Y299" i="11"/>
  <c r="Y299" i="10"/>
  <c r="Y299" i="9"/>
  <c r="Q299" i="11"/>
  <c r="Q299" i="10"/>
  <c r="Q299" i="9"/>
  <c r="I299" i="11"/>
  <c r="I299" i="10"/>
  <c r="I299" i="9"/>
  <c r="A299" i="11"/>
  <c r="A299" i="10"/>
  <c r="A299" i="9"/>
  <c r="AC298" i="11"/>
  <c r="AC298" i="10"/>
  <c r="AC298" i="9"/>
  <c r="U298" i="11"/>
  <c r="U298" i="10"/>
  <c r="U298" i="9"/>
  <c r="M298" i="11"/>
  <c r="M298" i="10"/>
  <c r="M298" i="9"/>
  <c r="E298" i="11"/>
  <c r="E298" i="10"/>
  <c r="E298" i="9"/>
  <c r="AG297" i="11"/>
  <c r="AG297" i="10"/>
  <c r="AG297" i="9"/>
  <c r="Y297" i="11"/>
  <c r="Y297" i="10"/>
  <c r="Y297" i="9"/>
  <c r="Q297" i="11"/>
  <c r="Q297" i="10"/>
  <c r="Q297" i="9"/>
  <c r="I297" i="11"/>
  <c r="I297" i="10"/>
  <c r="I297" i="9"/>
  <c r="A297" i="11"/>
  <c r="A297" i="10"/>
  <c r="A297" i="9"/>
  <c r="AC296" i="11"/>
  <c r="AC296" i="10"/>
  <c r="AC296" i="9"/>
  <c r="U296" i="11"/>
  <c r="U296" i="10"/>
  <c r="U296" i="9"/>
  <c r="M296" i="11"/>
  <c r="M296" i="10"/>
  <c r="M296" i="9"/>
  <c r="E296" i="11"/>
  <c r="E296" i="10"/>
  <c r="E296" i="9"/>
  <c r="AG295" i="11"/>
  <c r="AG295" i="10"/>
  <c r="AG295" i="9"/>
  <c r="Y295" i="11"/>
  <c r="Y295" i="10"/>
  <c r="Y295" i="9"/>
  <c r="Q295" i="11"/>
  <c r="Q295" i="10"/>
  <c r="Q295" i="9"/>
  <c r="I295" i="11"/>
  <c r="I295" i="10"/>
  <c r="I295" i="9"/>
  <c r="A295" i="11"/>
  <c r="A295" i="10"/>
  <c r="A295" i="9"/>
  <c r="AC294" i="11"/>
  <c r="AC294" i="10"/>
  <c r="AC294" i="9"/>
  <c r="U294" i="11"/>
  <c r="U294" i="10"/>
  <c r="U294" i="9"/>
  <c r="M294" i="11"/>
  <c r="M294" i="10"/>
  <c r="M294" i="9"/>
  <c r="E294" i="11"/>
  <c r="E294" i="10"/>
  <c r="E294" i="9"/>
  <c r="Y293" i="11"/>
  <c r="Y293" i="10"/>
  <c r="Y293" i="9"/>
  <c r="Q293" i="11"/>
  <c r="Q293" i="10"/>
  <c r="Q293" i="9"/>
  <c r="I293" i="11"/>
  <c r="I293" i="10"/>
  <c r="I293" i="9"/>
  <c r="A293" i="11"/>
  <c r="A293" i="10"/>
  <c r="A293" i="9"/>
  <c r="AC292" i="11"/>
  <c r="AC292" i="10"/>
  <c r="AC292" i="9"/>
  <c r="U292" i="11"/>
  <c r="U292" i="10"/>
  <c r="U292" i="9"/>
  <c r="M292" i="11"/>
  <c r="M292" i="10"/>
  <c r="M292" i="9"/>
  <c r="E292" i="11"/>
  <c r="E292" i="10"/>
  <c r="E292" i="9"/>
  <c r="AG291" i="11"/>
  <c r="AG291" i="10"/>
  <c r="AG291" i="9"/>
  <c r="Y291" i="11"/>
  <c r="Y291" i="10"/>
  <c r="Y291" i="9"/>
  <c r="Q291" i="11"/>
  <c r="Q291" i="10"/>
  <c r="Q291" i="9"/>
  <c r="I291" i="11"/>
  <c r="I291" i="10"/>
  <c r="I291" i="9"/>
  <c r="A291" i="11"/>
  <c r="A291" i="10"/>
  <c r="A291" i="9"/>
  <c r="AC290" i="11"/>
  <c r="AC290" i="10"/>
  <c r="AC290" i="9"/>
  <c r="U290" i="11"/>
  <c r="U290" i="10"/>
  <c r="U290" i="9"/>
  <c r="M290" i="11"/>
  <c r="M290" i="10"/>
  <c r="M290" i="9"/>
  <c r="E290" i="11"/>
  <c r="E290" i="10"/>
  <c r="E290" i="9"/>
  <c r="AG289" i="11"/>
  <c r="AG289" i="10"/>
  <c r="AG289" i="9"/>
  <c r="Y289" i="11"/>
  <c r="Y289" i="10"/>
  <c r="Y289" i="9"/>
  <c r="Q289" i="11"/>
  <c r="Q289" i="10"/>
  <c r="Q289" i="9"/>
  <c r="I289" i="11"/>
  <c r="I289" i="10"/>
  <c r="I289" i="9"/>
  <c r="A289" i="11"/>
  <c r="A289" i="10"/>
  <c r="A289" i="9"/>
  <c r="AC288" i="11"/>
  <c r="AC288" i="10"/>
  <c r="AC288" i="9"/>
  <c r="U288" i="11"/>
  <c r="U288" i="10"/>
  <c r="U288" i="9"/>
  <c r="M288" i="11"/>
  <c r="M288" i="10"/>
  <c r="M288" i="9"/>
  <c r="E288" i="11"/>
  <c r="E288" i="10"/>
  <c r="E288" i="9"/>
  <c r="AG287" i="11"/>
  <c r="AG287" i="10"/>
  <c r="AG287" i="9"/>
  <c r="Y287" i="11"/>
  <c r="Y287" i="10"/>
  <c r="Y287" i="9"/>
  <c r="Q287" i="11"/>
  <c r="Q287" i="10"/>
  <c r="Q287" i="9"/>
  <c r="I287" i="11"/>
  <c r="I287" i="10"/>
  <c r="I287" i="9"/>
  <c r="A287" i="11"/>
  <c r="A287" i="10"/>
  <c r="A287" i="9"/>
  <c r="AC286" i="11"/>
  <c r="AC286" i="10"/>
  <c r="AC286" i="9"/>
  <c r="U286" i="11"/>
  <c r="U286" i="10"/>
  <c r="U286" i="9"/>
  <c r="M286" i="11"/>
  <c r="M286" i="10"/>
  <c r="M286" i="9"/>
  <c r="E286" i="11"/>
  <c r="E286" i="10"/>
  <c r="E286" i="9"/>
  <c r="AG285" i="11"/>
  <c r="AG285" i="10"/>
  <c r="AG285" i="9"/>
  <c r="Y285" i="11"/>
  <c r="Y285" i="10"/>
  <c r="Y285" i="9"/>
  <c r="Q285" i="11"/>
  <c r="Q285" i="10"/>
  <c r="Q285" i="9"/>
  <c r="I285" i="11"/>
  <c r="I285" i="10"/>
  <c r="I285" i="9"/>
  <c r="A285" i="11"/>
  <c r="A285" i="10"/>
  <c r="A285" i="9"/>
  <c r="AC284" i="11"/>
  <c r="AC284" i="10"/>
  <c r="AC284" i="9"/>
  <c r="U284" i="11"/>
  <c r="U284" i="10"/>
  <c r="U284" i="9"/>
  <c r="M284" i="11"/>
  <c r="M284" i="10"/>
  <c r="M284" i="9"/>
  <c r="E284" i="11"/>
  <c r="E284" i="10"/>
  <c r="E284" i="9"/>
  <c r="AG283" i="11"/>
  <c r="AG283" i="10"/>
  <c r="AG283" i="9"/>
  <c r="Y283" i="11"/>
  <c r="Y283" i="10"/>
  <c r="Y283" i="9"/>
  <c r="Q283" i="11"/>
  <c r="Q283" i="10"/>
  <c r="Q283" i="9"/>
  <c r="I283" i="11"/>
  <c r="I283" i="10"/>
  <c r="I283" i="9"/>
  <c r="A283" i="11"/>
  <c r="A283" i="10"/>
  <c r="A283" i="9"/>
  <c r="AC282" i="11"/>
  <c r="AC282" i="10"/>
  <c r="AC282" i="9"/>
  <c r="U282" i="11"/>
  <c r="U282" i="10"/>
  <c r="U282" i="9"/>
  <c r="M282" i="11"/>
  <c r="M282" i="10"/>
  <c r="M282" i="9"/>
  <c r="E282" i="11"/>
  <c r="E282" i="10"/>
  <c r="E282" i="9"/>
  <c r="AG281" i="11"/>
  <c r="AG281" i="10"/>
  <c r="AG281" i="9"/>
  <c r="Y281" i="11"/>
  <c r="Y281" i="10"/>
  <c r="Y281" i="9"/>
  <c r="Q281" i="11"/>
  <c r="Q281" i="10"/>
  <c r="Q281" i="9"/>
  <c r="I281" i="11"/>
  <c r="I281" i="10"/>
  <c r="I281" i="9"/>
  <c r="A281" i="11"/>
  <c r="A281" i="10"/>
  <c r="A281" i="9"/>
  <c r="AC280" i="11"/>
  <c r="AC280" i="10"/>
  <c r="AC280" i="9"/>
  <c r="U280" i="11"/>
  <c r="U280" i="10"/>
  <c r="U280" i="9"/>
  <c r="M280" i="11"/>
  <c r="M280" i="10"/>
  <c r="M280" i="9"/>
  <c r="E280" i="11"/>
  <c r="E280" i="10"/>
  <c r="E280" i="9"/>
  <c r="AG279" i="11"/>
  <c r="AG279" i="10"/>
  <c r="AG279" i="9"/>
  <c r="Y279" i="11"/>
  <c r="Y279" i="10"/>
  <c r="Y279" i="9"/>
  <c r="Q279" i="11"/>
  <c r="Q279" i="10"/>
  <c r="Q279" i="9"/>
  <c r="I279" i="11"/>
  <c r="I279" i="10"/>
  <c r="I279" i="9"/>
  <c r="A279" i="11"/>
  <c r="A279" i="10"/>
  <c r="A279" i="9"/>
  <c r="AC278" i="11"/>
  <c r="AC278" i="10"/>
  <c r="AC278" i="9"/>
  <c r="U278" i="11"/>
  <c r="U278" i="10"/>
  <c r="U278" i="9"/>
  <c r="M278" i="11"/>
  <c r="M278" i="10"/>
  <c r="M278" i="9"/>
  <c r="E278" i="11"/>
  <c r="E278" i="10"/>
  <c r="E278" i="9"/>
  <c r="Y277" i="11"/>
  <c r="Y277" i="10"/>
  <c r="Y277" i="9"/>
  <c r="Q277" i="11"/>
  <c r="Q277" i="10"/>
  <c r="Q277" i="9"/>
  <c r="I277" i="11"/>
  <c r="I277" i="10"/>
  <c r="I277" i="9"/>
  <c r="A277" i="11"/>
  <c r="A277" i="10"/>
  <c r="A277" i="9"/>
  <c r="AC276" i="11"/>
  <c r="AC276" i="10"/>
  <c r="AC276" i="9"/>
  <c r="U276" i="11"/>
  <c r="U276" i="10"/>
  <c r="U276" i="9"/>
  <c r="M276" i="11"/>
  <c r="M276" i="10"/>
  <c r="M276" i="9"/>
  <c r="E276" i="11"/>
  <c r="E276" i="10"/>
  <c r="E276" i="9"/>
  <c r="Y275" i="11"/>
  <c r="Y275" i="10"/>
  <c r="Y275" i="9"/>
  <c r="Q275" i="11"/>
  <c r="Q275" i="10"/>
  <c r="Q275" i="9"/>
  <c r="I275" i="11"/>
  <c r="I275" i="10"/>
  <c r="I275" i="9"/>
  <c r="A275" i="11"/>
  <c r="A275" i="10"/>
  <c r="A275" i="9"/>
  <c r="AC274" i="11"/>
  <c r="AC274" i="10"/>
  <c r="AC274" i="9"/>
  <c r="U274" i="11"/>
  <c r="U274" i="10"/>
  <c r="U274" i="9"/>
  <c r="M274" i="11"/>
  <c r="M274" i="10"/>
  <c r="M274" i="9"/>
  <c r="E274" i="11"/>
  <c r="E274" i="10"/>
  <c r="E274" i="9"/>
  <c r="AG273" i="11"/>
  <c r="AG273" i="10"/>
  <c r="AG273" i="9"/>
  <c r="Y273" i="11"/>
  <c r="Y273" i="10"/>
  <c r="Y273" i="9"/>
  <c r="Q273" i="11"/>
  <c r="Q273" i="10"/>
  <c r="Q273" i="9"/>
  <c r="I273" i="11"/>
  <c r="I273" i="10"/>
  <c r="I273" i="9"/>
  <c r="A273" i="11"/>
  <c r="A273" i="10"/>
  <c r="A273" i="9"/>
  <c r="AC272" i="11"/>
  <c r="AC272" i="10"/>
  <c r="AC272" i="9"/>
  <c r="U272" i="11"/>
  <c r="U272" i="10"/>
  <c r="U272" i="9"/>
  <c r="M272" i="11"/>
  <c r="M272" i="10"/>
  <c r="M272" i="9"/>
  <c r="E272" i="11"/>
  <c r="E272" i="10"/>
  <c r="E272" i="9"/>
  <c r="AG271" i="11"/>
  <c r="AG271" i="10"/>
  <c r="AG271" i="9"/>
  <c r="Y271" i="11"/>
  <c r="Y271" i="10"/>
  <c r="Y271" i="9"/>
  <c r="Q271" i="11"/>
  <c r="Q271" i="10"/>
  <c r="Q271" i="9"/>
  <c r="I271" i="11"/>
  <c r="I271" i="10"/>
  <c r="I271" i="9"/>
  <c r="A271" i="11"/>
  <c r="A271" i="10"/>
  <c r="A271" i="9"/>
  <c r="AC270" i="11"/>
  <c r="AC270" i="10"/>
  <c r="AC270" i="9"/>
  <c r="U270" i="11"/>
  <c r="U270" i="10"/>
  <c r="U270" i="9"/>
  <c r="M270" i="11"/>
  <c r="M270" i="10"/>
  <c r="M270" i="9"/>
  <c r="E270" i="11"/>
  <c r="E270" i="10"/>
  <c r="E270" i="9"/>
  <c r="Y269" i="11"/>
  <c r="Y269" i="10"/>
  <c r="Y269" i="9"/>
  <c r="Q269" i="11"/>
  <c r="Q269" i="10"/>
  <c r="Q269" i="9"/>
  <c r="I269" i="11"/>
  <c r="I269" i="10"/>
  <c r="I269" i="9"/>
  <c r="A269" i="11"/>
  <c r="A269" i="10"/>
  <c r="A269" i="9"/>
  <c r="AC268" i="11"/>
  <c r="AC268" i="10"/>
  <c r="AC268" i="9"/>
  <c r="U268" i="11"/>
  <c r="U268" i="10"/>
  <c r="U268" i="9"/>
  <c r="M268" i="11"/>
  <c r="M268" i="10"/>
  <c r="M268" i="9"/>
  <c r="E268" i="11"/>
  <c r="E268" i="10"/>
  <c r="E268" i="9"/>
  <c r="AG267" i="11"/>
  <c r="AG267" i="10"/>
  <c r="AG267" i="9"/>
  <c r="Y267" i="11"/>
  <c r="Y267" i="10"/>
  <c r="Y267" i="9"/>
  <c r="Q267" i="11"/>
  <c r="Q267" i="10"/>
  <c r="Q267" i="9"/>
  <c r="I267" i="11"/>
  <c r="I267" i="10"/>
  <c r="I267" i="9"/>
  <c r="A267" i="11"/>
  <c r="A267" i="10"/>
  <c r="A267" i="9"/>
  <c r="AC266" i="11"/>
  <c r="AC266" i="10"/>
  <c r="AC266" i="9"/>
  <c r="U266" i="11"/>
  <c r="U266" i="10"/>
  <c r="U266" i="9"/>
  <c r="M266" i="11"/>
  <c r="M266" i="10"/>
  <c r="M266" i="9"/>
  <c r="E266" i="11"/>
  <c r="E266" i="10"/>
  <c r="E266" i="9"/>
  <c r="AG265" i="11"/>
  <c r="AG265" i="10"/>
  <c r="AG265" i="9"/>
  <c r="Y265" i="11"/>
  <c r="Y265" i="10"/>
  <c r="Y265" i="9"/>
  <c r="Q265" i="11"/>
  <c r="Q265" i="10"/>
  <c r="Q265" i="9"/>
  <c r="I265" i="11"/>
  <c r="I265" i="10"/>
  <c r="I265" i="9"/>
  <c r="A265" i="11"/>
  <c r="A265" i="10"/>
  <c r="A265" i="9"/>
  <c r="AC264" i="11"/>
  <c r="AC264" i="10"/>
  <c r="AC264" i="9"/>
  <c r="U264" i="11"/>
  <c r="U264" i="10"/>
  <c r="U264" i="9"/>
  <c r="M264" i="11"/>
  <c r="M264" i="10"/>
  <c r="M264" i="9"/>
  <c r="E264" i="11"/>
  <c r="E264" i="10"/>
  <c r="E264" i="9"/>
  <c r="AG263" i="11"/>
  <c r="AG263" i="10"/>
  <c r="AG263" i="9"/>
  <c r="Y263" i="11"/>
  <c r="Y263" i="10"/>
  <c r="Y263" i="9"/>
  <c r="Q263" i="11"/>
  <c r="Q263" i="10"/>
  <c r="Q263" i="9"/>
  <c r="I263" i="11"/>
  <c r="I263" i="10"/>
  <c r="I263" i="9"/>
  <c r="A263" i="11"/>
  <c r="A263" i="10"/>
  <c r="A263" i="9"/>
  <c r="AC262" i="11"/>
  <c r="AC262" i="10"/>
  <c r="AC262" i="9"/>
  <c r="U262" i="11"/>
  <c r="U262" i="10"/>
  <c r="U262" i="9"/>
  <c r="M262" i="11"/>
  <c r="M262" i="10"/>
  <c r="M262" i="9"/>
  <c r="E262" i="11"/>
  <c r="E262" i="10"/>
  <c r="E262" i="9"/>
  <c r="AG261" i="11"/>
  <c r="AG261" i="10"/>
  <c r="AG261" i="9"/>
  <c r="Y261" i="11"/>
  <c r="Y261" i="10"/>
  <c r="Y261" i="9"/>
  <c r="Q261" i="11"/>
  <c r="Q261" i="10"/>
  <c r="Q261" i="9"/>
  <c r="I261" i="11"/>
  <c r="I261" i="10"/>
  <c r="I261" i="9"/>
  <c r="A261" i="11"/>
  <c r="A261" i="10"/>
  <c r="A261" i="9"/>
  <c r="AC260" i="11"/>
  <c r="AC260" i="10"/>
  <c r="AC260" i="9"/>
  <c r="U260" i="11"/>
  <c r="U260" i="10"/>
  <c r="U260" i="9"/>
  <c r="M260" i="11"/>
  <c r="M260" i="10"/>
  <c r="M260" i="9"/>
  <c r="E260" i="11"/>
  <c r="E260" i="10"/>
  <c r="E260" i="9"/>
  <c r="AG259" i="11"/>
  <c r="AG259" i="10"/>
  <c r="AG259" i="9"/>
  <c r="Y259" i="11"/>
  <c r="Y259" i="10"/>
  <c r="Y259" i="9"/>
  <c r="Q259" i="11"/>
  <c r="Q259" i="10"/>
  <c r="Q259" i="9"/>
  <c r="I259" i="11"/>
  <c r="I259" i="10"/>
  <c r="I259" i="9"/>
  <c r="A259" i="11"/>
  <c r="A259" i="10"/>
  <c r="A259" i="9"/>
  <c r="AC258" i="11"/>
  <c r="AC258" i="10"/>
  <c r="AC258" i="9"/>
  <c r="U258" i="11"/>
  <c r="U258" i="10"/>
  <c r="U258" i="9"/>
  <c r="M258" i="11"/>
  <c r="M258" i="10"/>
  <c r="M258" i="9"/>
  <c r="E258" i="11"/>
  <c r="E258" i="10"/>
  <c r="E258" i="9"/>
  <c r="AG257" i="11"/>
  <c r="AG257" i="10"/>
  <c r="AG257" i="9"/>
  <c r="Y257" i="11"/>
  <c r="Y257" i="10"/>
  <c r="Y257" i="9"/>
  <c r="Q257" i="11"/>
  <c r="Q257" i="10"/>
  <c r="Q257" i="9"/>
  <c r="I257" i="11"/>
  <c r="I257" i="10"/>
  <c r="I257" i="9"/>
  <c r="A257" i="11"/>
  <c r="A257" i="10"/>
  <c r="A257" i="9"/>
  <c r="AC256" i="11"/>
  <c r="AC256" i="10"/>
  <c r="AC256" i="9"/>
  <c r="U256" i="11"/>
  <c r="U256" i="10"/>
  <c r="U256" i="9"/>
  <c r="M256" i="11"/>
  <c r="M256" i="10"/>
  <c r="M256" i="9"/>
  <c r="E256" i="11"/>
  <c r="E256" i="10"/>
  <c r="E256" i="9"/>
  <c r="AG255" i="11"/>
  <c r="AG255" i="10"/>
  <c r="AG255" i="9"/>
  <c r="Y255" i="11"/>
  <c r="Y255" i="10"/>
  <c r="Y255" i="9"/>
  <c r="Q255" i="11"/>
  <c r="Q255" i="10"/>
  <c r="Q255" i="9"/>
  <c r="I255" i="11"/>
  <c r="I255" i="10"/>
  <c r="I255" i="9"/>
  <c r="A255" i="11"/>
  <c r="A255" i="10"/>
  <c r="A255" i="9"/>
  <c r="AC254" i="11"/>
  <c r="AC254" i="10"/>
  <c r="AC254" i="9"/>
  <c r="U254" i="11"/>
  <c r="U254" i="10"/>
  <c r="U254" i="9"/>
  <c r="M254" i="11"/>
  <c r="M254" i="10"/>
  <c r="M254" i="9"/>
  <c r="E254" i="11"/>
  <c r="E254" i="10"/>
  <c r="E254" i="9"/>
  <c r="AG253" i="11"/>
  <c r="AG253" i="10"/>
  <c r="AG253" i="9"/>
  <c r="Y253" i="11"/>
  <c r="Y253" i="10"/>
  <c r="Y253" i="9"/>
  <c r="Q253" i="11"/>
  <c r="Q253" i="10"/>
  <c r="Q253" i="9"/>
  <c r="I253" i="11"/>
  <c r="I253" i="10"/>
  <c r="I253" i="9"/>
  <c r="A253" i="11"/>
  <c r="A253" i="10"/>
  <c r="A253" i="9"/>
  <c r="AC252" i="11"/>
  <c r="AC252" i="10"/>
  <c r="AC252" i="9"/>
  <c r="U252" i="11"/>
  <c r="U252" i="10"/>
  <c r="U252" i="9"/>
  <c r="M252" i="11"/>
  <c r="M252" i="10"/>
  <c r="M252" i="9"/>
  <c r="E252" i="11"/>
  <c r="E252" i="10"/>
  <c r="E252" i="9"/>
  <c r="AG251" i="11"/>
  <c r="AG251" i="10"/>
  <c r="AG251" i="9"/>
  <c r="Y251" i="11"/>
  <c r="Y251" i="10"/>
  <c r="Y251" i="9"/>
  <c r="Q251" i="11"/>
  <c r="Q251" i="10"/>
  <c r="Q251" i="9"/>
  <c r="I251" i="11"/>
  <c r="I251" i="10"/>
  <c r="I251" i="9"/>
  <c r="A251" i="11"/>
  <c r="A251" i="10"/>
  <c r="A251" i="9"/>
  <c r="AC250" i="11"/>
  <c r="AC250" i="10"/>
  <c r="AC250" i="9"/>
  <c r="U250" i="11"/>
  <c r="U250" i="10"/>
  <c r="U250" i="9"/>
  <c r="M250" i="11"/>
  <c r="M250" i="10"/>
  <c r="M250" i="9"/>
  <c r="E250" i="11"/>
  <c r="E250" i="10"/>
  <c r="E250" i="9"/>
  <c r="Y249" i="11"/>
  <c r="Y249" i="10"/>
  <c r="Y249" i="9"/>
  <c r="Q249" i="11"/>
  <c r="Q249" i="10"/>
  <c r="Q249" i="9"/>
  <c r="I249" i="11"/>
  <c r="I249" i="10"/>
  <c r="I249" i="9"/>
  <c r="A249" i="11"/>
  <c r="A249" i="10"/>
  <c r="A249" i="9"/>
  <c r="AC248" i="11"/>
  <c r="AC248" i="10"/>
  <c r="AC248" i="9"/>
  <c r="U248" i="11"/>
  <c r="U248" i="10"/>
  <c r="U248" i="9"/>
  <c r="M248" i="11"/>
  <c r="M248" i="10"/>
  <c r="M248" i="9"/>
  <c r="E248" i="11"/>
  <c r="E248" i="10"/>
  <c r="E248" i="9"/>
  <c r="Y247" i="11"/>
  <c r="Y247" i="10"/>
  <c r="Y247" i="9"/>
  <c r="Q247" i="11"/>
  <c r="Q247" i="10"/>
  <c r="Q247" i="9"/>
  <c r="I247" i="11"/>
  <c r="I247" i="10"/>
  <c r="I247" i="9"/>
  <c r="A247" i="11"/>
  <c r="A247" i="10"/>
  <c r="A247" i="9"/>
  <c r="AC246" i="11"/>
  <c r="AC246" i="10"/>
  <c r="AC246" i="9"/>
  <c r="U246" i="11"/>
  <c r="U246" i="10"/>
  <c r="U246" i="9"/>
  <c r="M246" i="11"/>
  <c r="M246" i="10"/>
  <c r="M246" i="9"/>
  <c r="E246" i="11"/>
  <c r="E246" i="10"/>
  <c r="E246" i="9"/>
  <c r="Y245" i="11"/>
  <c r="Y245" i="10"/>
  <c r="Y245" i="9"/>
  <c r="Q245" i="11"/>
  <c r="Q245" i="10"/>
  <c r="Q245" i="9"/>
  <c r="I245" i="11"/>
  <c r="I245" i="10"/>
  <c r="I245" i="9"/>
  <c r="A245" i="11"/>
  <c r="A245" i="10"/>
  <c r="A245" i="9"/>
  <c r="AC244" i="11"/>
  <c r="AC244" i="10"/>
  <c r="AC244" i="9"/>
  <c r="U244" i="11"/>
  <c r="U244" i="10"/>
  <c r="U244" i="9"/>
  <c r="M244" i="11"/>
  <c r="M244" i="10"/>
  <c r="M244" i="9"/>
  <c r="E244" i="11"/>
  <c r="E244" i="10"/>
  <c r="E244" i="9"/>
  <c r="AG243" i="11"/>
  <c r="AG243" i="10"/>
  <c r="AG243" i="9"/>
  <c r="Y243" i="11"/>
  <c r="Y243" i="10"/>
  <c r="Y243" i="9"/>
  <c r="Q243" i="11"/>
  <c r="Q243" i="10"/>
  <c r="Q243" i="9"/>
  <c r="I243" i="11"/>
  <c r="I243" i="10"/>
  <c r="I243" i="9"/>
  <c r="A243" i="11"/>
  <c r="A243" i="10"/>
  <c r="A243" i="9"/>
  <c r="AC242" i="11"/>
  <c r="AC242" i="10"/>
  <c r="AC242" i="9"/>
  <c r="U242" i="11"/>
  <c r="U242" i="10"/>
  <c r="U242" i="9"/>
  <c r="M242" i="11"/>
  <c r="M242" i="10"/>
  <c r="M242" i="9"/>
  <c r="E242" i="11"/>
  <c r="E242" i="10"/>
  <c r="E242" i="9"/>
  <c r="AG241" i="11"/>
  <c r="AG241" i="10"/>
  <c r="AG241" i="9"/>
  <c r="Y241" i="11"/>
  <c r="Y241" i="10"/>
  <c r="Y241" i="9"/>
  <c r="Q241" i="11"/>
  <c r="Q241" i="10"/>
  <c r="Q241" i="9"/>
  <c r="I241" i="11"/>
  <c r="I241" i="10"/>
  <c r="I241" i="9"/>
  <c r="A241" i="11"/>
  <c r="A241" i="10"/>
  <c r="A241" i="9"/>
  <c r="AC240" i="11"/>
  <c r="AC240" i="10"/>
  <c r="AC240" i="9"/>
  <c r="U240" i="11"/>
  <c r="U240" i="10"/>
  <c r="U240" i="9"/>
  <c r="M240" i="11"/>
  <c r="M240" i="10"/>
  <c r="M240" i="9"/>
  <c r="E240" i="11"/>
  <c r="E240" i="10"/>
  <c r="E240" i="9"/>
  <c r="AG239" i="11"/>
  <c r="AG239" i="10"/>
  <c r="AG239" i="9"/>
  <c r="Y239" i="11"/>
  <c r="Y239" i="10"/>
  <c r="Y239" i="9"/>
  <c r="Q239" i="11"/>
  <c r="Q239" i="10"/>
  <c r="Q239" i="9"/>
  <c r="I239" i="11"/>
  <c r="I239" i="10"/>
  <c r="I239" i="9"/>
  <c r="A239" i="11"/>
  <c r="A239" i="10"/>
  <c r="A239" i="9"/>
  <c r="AC238" i="11"/>
  <c r="AC238" i="10"/>
  <c r="AC238" i="9"/>
  <c r="U238" i="11"/>
  <c r="U238" i="10"/>
  <c r="U238" i="9"/>
  <c r="M238" i="11"/>
  <c r="M238" i="10"/>
  <c r="M238" i="9"/>
  <c r="E238" i="11"/>
  <c r="E238" i="10"/>
  <c r="E238" i="9"/>
  <c r="AG237" i="11"/>
  <c r="AG237" i="10"/>
  <c r="AG237" i="9"/>
  <c r="Y237" i="11"/>
  <c r="Y237" i="10"/>
  <c r="Y237" i="9"/>
  <c r="Q237" i="11"/>
  <c r="Q237" i="10"/>
  <c r="Q237" i="9"/>
  <c r="I237" i="11"/>
  <c r="I237" i="10"/>
  <c r="I237" i="9"/>
  <c r="A237" i="11"/>
  <c r="A237" i="10"/>
  <c r="A237" i="9"/>
  <c r="AC236" i="11"/>
  <c r="AC236" i="10"/>
  <c r="AC236" i="9"/>
  <c r="U236" i="11"/>
  <c r="U236" i="10"/>
  <c r="U236" i="9"/>
  <c r="M236" i="11"/>
  <c r="M236" i="10"/>
  <c r="M236" i="9"/>
  <c r="E236" i="11"/>
  <c r="E236" i="10"/>
  <c r="E236" i="9"/>
  <c r="AG235" i="11"/>
  <c r="AG235" i="10"/>
  <c r="AG235" i="9"/>
  <c r="Y235" i="11"/>
  <c r="Y235" i="10"/>
  <c r="Y235" i="9"/>
  <c r="Q235" i="11"/>
  <c r="Q235" i="10"/>
  <c r="Q235" i="9"/>
  <c r="I235" i="11"/>
  <c r="I235" i="10"/>
  <c r="I235" i="9"/>
  <c r="A235" i="11"/>
  <c r="A235" i="10"/>
  <c r="A235" i="9"/>
  <c r="AC234" i="11"/>
  <c r="AC234" i="10"/>
  <c r="AC234" i="9"/>
  <c r="U234" i="11"/>
  <c r="U234" i="10"/>
  <c r="U234" i="9"/>
  <c r="M234" i="11"/>
  <c r="M234" i="10"/>
  <c r="M234" i="9"/>
  <c r="E234" i="11"/>
  <c r="E234" i="10"/>
  <c r="E234" i="9"/>
  <c r="AG233" i="11"/>
  <c r="AG233" i="10"/>
  <c r="AG233" i="9"/>
  <c r="Y233" i="11"/>
  <c r="Y233" i="10"/>
  <c r="Y233" i="9"/>
  <c r="Q233" i="11"/>
  <c r="Q233" i="10"/>
  <c r="Q233" i="9"/>
  <c r="I233" i="11"/>
  <c r="I233" i="10"/>
  <c r="I233" i="9"/>
  <c r="A233" i="11"/>
  <c r="A233" i="10"/>
  <c r="A233" i="9"/>
  <c r="AC232" i="11"/>
  <c r="AC232" i="10"/>
  <c r="AC232" i="9"/>
  <c r="U232" i="11"/>
  <c r="U232" i="10"/>
  <c r="U232" i="9"/>
  <c r="M232" i="11"/>
  <c r="M232" i="10"/>
  <c r="M232" i="9"/>
  <c r="E232" i="11"/>
  <c r="E232" i="10"/>
  <c r="E232" i="9"/>
  <c r="AG231" i="11"/>
  <c r="AG231" i="10"/>
  <c r="AG231" i="9"/>
  <c r="Y231" i="11"/>
  <c r="Y231" i="10"/>
  <c r="Y231" i="9"/>
  <c r="Q231" i="11"/>
  <c r="Q231" i="10"/>
  <c r="Q231" i="9"/>
  <c r="I231" i="11"/>
  <c r="I231" i="10"/>
  <c r="I231" i="9"/>
  <c r="A231" i="11"/>
  <c r="A231" i="10"/>
  <c r="A231" i="9"/>
  <c r="AC230" i="11"/>
  <c r="AC230" i="10"/>
  <c r="AC230" i="9"/>
  <c r="U230" i="11"/>
  <c r="U230" i="10"/>
  <c r="U230" i="9"/>
  <c r="M230" i="11"/>
  <c r="M230" i="10"/>
  <c r="M230" i="9"/>
  <c r="E230" i="11"/>
  <c r="E230" i="10"/>
  <c r="E230" i="9"/>
  <c r="AG229" i="11"/>
  <c r="AG229" i="10"/>
  <c r="AG229" i="9"/>
  <c r="Y229" i="11"/>
  <c r="Y229" i="10"/>
  <c r="Y229" i="9"/>
  <c r="Q229" i="11"/>
  <c r="Q229" i="10"/>
  <c r="Q229" i="9"/>
  <c r="I229" i="11"/>
  <c r="I229" i="10"/>
  <c r="I229" i="9"/>
  <c r="A229" i="11"/>
  <c r="A229" i="10"/>
  <c r="A229" i="9"/>
  <c r="AC228" i="11"/>
  <c r="AC228" i="10"/>
  <c r="AC228" i="9"/>
  <c r="U228" i="11"/>
  <c r="U228" i="10"/>
  <c r="U228" i="9"/>
  <c r="M228" i="11"/>
  <c r="M228" i="10"/>
  <c r="M228" i="9"/>
  <c r="E228" i="11"/>
  <c r="E228" i="10"/>
  <c r="E228" i="9"/>
  <c r="AG227" i="11"/>
  <c r="AG227" i="10"/>
  <c r="AG227" i="9"/>
  <c r="Y227" i="11"/>
  <c r="Y227" i="10"/>
  <c r="Y227" i="9"/>
  <c r="Q227" i="11"/>
  <c r="Q227" i="10"/>
  <c r="Q227" i="9"/>
  <c r="I227" i="11"/>
  <c r="I227" i="10"/>
  <c r="I227" i="9"/>
  <c r="A227" i="11"/>
  <c r="A227" i="10"/>
  <c r="A227" i="9"/>
  <c r="AC226" i="11"/>
  <c r="AC226" i="10"/>
  <c r="AC226" i="9"/>
  <c r="U226" i="11"/>
  <c r="U226" i="10"/>
  <c r="U226" i="9"/>
  <c r="M226" i="11"/>
  <c r="M226" i="10"/>
  <c r="M226" i="9"/>
  <c r="E226" i="11"/>
  <c r="E226" i="10"/>
  <c r="E226" i="9"/>
  <c r="AG225" i="11"/>
  <c r="AG225" i="10"/>
  <c r="AG225" i="9"/>
  <c r="Y225" i="11"/>
  <c r="Y225" i="10"/>
  <c r="Y225" i="9"/>
  <c r="Q225" i="11"/>
  <c r="Q225" i="10"/>
  <c r="Q225" i="9"/>
  <c r="I225" i="11"/>
  <c r="I225" i="10"/>
  <c r="I225" i="9"/>
  <c r="A225" i="11"/>
  <c r="A225" i="10"/>
  <c r="A225" i="9"/>
  <c r="AC224" i="11"/>
  <c r="AC224" i="10"/>
  <c r="AC224" i="9"/>
  <c r="U224" i="11"/>
  <c r="U224" i="10"/>
  <c r="U224" i="9"/>
  <c r="M224" i="11"/>
  <c r="M224" i="10"/>
  <c r="M224" i="9"/>
  <c r="E224" i="11"/>
  <c r="E224" i="10"/>
  <c r="E224" i="9"/>
  <c r="AG223" i="11"/>
  <c r="AG223" i="10"/>
  <c r="AG223" i="9"/>
  <c r="Y223" i="11"/>
  <c r="Y223" i="10"/>
  <c r="Y223" i="9"/>
  <c r="Q223" i="11"/>
  <c r="Q223" i="10"/>
  <c r="Q223" i="9"/>
  <c r="I223" i="11"/>
  <c r="I223" i="10"/>
  <c r="I223" i="9"/>
  <c r="A223" i="11"/>
  <c r="A223" i="10"/>
  <c r="A223" i="9"/>
  <c r="AC222" i="11"/>
  <c r="AC222" i="10"/>
  <c r="AC222" i="9"/>
  <c r="U222" i="11"/>
  <c r="U222" i="10"/>
  <c r="U222" i="9"/>
  <c r="M222" i="11"/>
  <c r="M222" i="10"/>
  <c r="M222" i="9"/>
  <c r="E222" i="11"/>
  <c r="E222" i="10"/>
  <c r="E222" i="9"/>
  <c r="AG221" i="11"/>
  <c r="AG221" i="10"/>
  <c r="AG221" i="9"/>
  <c r="Y221" i="11"/>
  <c r="Y221" i="10"/>
  <c r="Y221" i="9"/>
  <c r="Q221" i="11"/>
  <c r="Q221" i="10"/>
  <c r="Q221" i="9"/>
  <c r="I221" i="11"/>
  <c r="I221" i="10"/>
  <c r="I221" i="9"/>
  <c r="A221" i="11"/>
  <c r="A221" i="10"/>
  <c r="A221" i="9"/>
  <c r="AC220" i="11"/>
  <c r="AC220" i="10"/>
  <c r="AC220" i="9"/>
  <c r="U220" i="11"/>
  <c r="U220" i="10"/>
  <c r="U220" i="9"/>
  <c r="M220" i="11"/>
  <c r="M220" i="10"/>
  <c r="M220" i="9"/>
  <c r="E220" i="11"/>
  <c r="E220" i="10"/>
  <c r="E220" i="9"/>
  <c r="AG219" i="11"/>
  <c r="AG219" i="10"/>
  <c r="AG219" i="9"/>
  <c r="Y219" i="11"/>
  <c r="Y219" i="10"/>
  <c r="Y219" i="9"/>
  <c r="Q219" i="11"/>
  <c r="Q219" i="10"/>
  <c r="Q219" i="9"/>
  <c r="I219" i="11"/>
  <c r="I219" i="10"/>
  <c r="I219" i="9"/>
  <c r="A219" i="11"/>
  <c r="A219" i="10"/>
  <c r="A219" i="9"/>
  <c r="AC218" i="11"/>
  <c r="AC218" i="10"/>
  <c r="AC218" i="9"/>
  <c r="U218" i="11"/>
  <c r="U218" i="10"/>
  <c r="U218" i="9"/>
  <c r="M218" i="11"/>
  <c r="M218" i="10"/>
  <c r="M218" i="9"/>
  <c r="E218" i="11"/>
  <c r="E218" i="10"/>
  <c r="E218" i="9"/>
  <c r="AG217" i="11"/>
  <c r="AG217" i="10"/>
  <c r="AG217" i="9"/>
  <c r="Y217" i="11"/>
  <c r="Y217" i="10"/>
  <c r="Y217" i="9"/>
  <c r="Q217" i="11"/>
  <c r="Q217" i="10"/>
  <c r="Q217" i="9"/>
  <c r="I217" i="11"/>
  <c r="I217" i="10"/>
  <c r="I217" i="9"/>
  <c r="A217" i="11"/>
  <c r="A217" i="10"/>
  <c r="A217" i="9"/>
  <c r="AC216" i="11"/>
  <c r="AC216" i="10"/>
  <c r="AC216" i="9"/>
  <c r="U216" i="11"/>
  <c r="U216" i="10"/>
  <c r="U216" i="9"/>
  <c r="M216" i="11"/>
  <c r="M216" i="10"/>
  <c r="M216" i="9"/>
  <c r="E216" i="11"/>
  <c r="E216" i="10"/>
  <c r="E216" i="9"/>
  <c r="AG215" i="11"/>
  <c r="AG215" i="10"/>
  <c r="AG215" i="9"/>
  <c r="Y215" i="11"/>
  <c r="Y215" i="10"/>
  <c r="Y215" i="9"/>
  <c r="Q215" i="11"/>
  <c r="Q215" i="10"/>
  <c r="Q215" i="9"/>
  <c r="I215" i="11"/>
  <c r="I215" i="10"/>
  <c r="I215" i="9"/>
  <c r="A215" i="11"/>
  <c r="A215" i="10"/>
  <c r="A215" i="9"/>
  <c r="AC214" i="11"/>
  <c r="AC214" i="10"/>
  <c r="AC214" i="9"/>
  <c r="U214" i="11"/>
  <c r="U214" i="10"/>
  <c r="U214" i="9"/>
  <c r="M214" i="11"/>
  <c r="M214" i="10"/>
  <c r="M214" i="9"/>
  <c r="E214" i="11"/>
  <c r="E214" i="10"/>
  <c r="E214" i="9"/>
  <c r="AG213" i="11"/>
  <c r="AG213" i="10"/>
  <c r="AG213" i="9"/>
  <c r="Y213" i="11"/>
  <c r="Y213" i="10"/>
  <c r="Y213" i="9"/>
  <c r="Q213" i="11"/>
  <c r="Q213" i="10"/>
  <c r="Q213" i="9"/>
  <c r="I213" i="11"/>
  <c r="I213" i="10"/>
  <c r="I213" i="9"/>
  <c r="A213" i="11"/>
  <c r="A213" i="10"/>
  <c r="A213" i="9"/>
  <c r="AC212" i="11"/>
  <c r="AC212" i="10"/>
  <c r="AC212" i="9"/>
  <c r="U212" i="11"/>
  <c r="U212" i="10"/>
  <c r="U212" i="9"/>
  <c r="M212" i="11"/>
  <c r="M212" i="10"/>
  <c r="M212" i="9"/>
  <c r="E212" i="11"/>
  <c r="E212" i="10"/>
  <c r="E212" i="9"/>
  <c r="AG211" i="11"/>
  <c r="AG211" i="10"/>
  <c r="AG211" i="9"/>
  <c r="Y211" i="11"/>
  <c r="Y211" i="10"/>
  <c r="Y211" i="9"/>
  <c r="Q211" i="11"/>
  <c r="Q211" i="10"/>
  <c r="Q211" i="9"/>
  <c r="I211" i="11"/>
  <c r="I211" i="10"/>
  <c r="I211" i="9"/>
  <c r="A211" i="11"/>
  <c r="A211" i="10"/>
  <c r="A211" i="9"/>
  <c r="AC210" i="11"/>
  <c r="AC210" i="10"/>
  <c r="AC210" i="9"/>
  <c r="U210" i="11"/>
  <c r="U210" i="10"/>
  <c r="U210" i="9"/>
  <c r="M210" i="11"/>
  <c r="M210" i="10"/>
  <c r="M210" i="9"/>
  <c r="E210" i="11"/>
  <c r="E210" i="10"/>
  <c r="E210" i="9"/>
  <c r="AG209" i="11"/>
  <c r="AG209" i="10"/>
  <c r="AG209" i="9"/>
  <c r="Y209" i="11"/>
  <c r="Y209" i="10"/>
  <c r="Y209" i="9"/>
  <c r="Q209" i="11"/>
  <c r="Q209" i="10"/>
  <c r="Q209" i="9"/>
  <c r="I209" i="11"/>
  <c r="I209" i="10"/>
  <c r="I209" i="9"/>
  <c r="A209" i="11"/>
  <c r="A209" i="10"/>
  <c r="A209" i="9"/>
  <c r="AC208" i="11"/>
  <c r="AC208" i="10"/>
  <c r="AC208" i="9"/>
  <c r="U208" i="11"/>
  <c r="U208" i="10"/>
  <c r="U208" i="9"/>
  <c r="M208" i="11"/>
  <c r="M208" i="10"/>
  <c r="M208" i="9"/>
  <c r="E208" i="11"/>
  <c r="E208" i="10"/>
  <c r="E208" i="9"/>
  <c r="AG207" i="11"/>
  <c r="AG207" i="10"/>
  <c r="AG207" i="9"/>
  <c r="Y207" i="11"/>
  <c r="Y207" i="10"/>
  <c r="Y207" i="9"/>
  <c r="Q207" i="11"/>
  <c r="Q207" i="10"/>
  <c r="Q207" i="9"/>
  <c r="I207" i="11"/>
  <c r="I207" i="10"/>
  <c r="I207" i="9"/>
  <c r="A207" i="11"/>
  <c r="A207" i="10"/>
  <c r="A207" i="9"/>
  <c r="AC206" i="11"/>
  <c r="AC206" i="10"/>
  <c r="AC206" i="9"/>
  <c r="U206" i="11"/>
  <c r="U206" i="10"/>
  <c r="U206" i="9"/>
  <c r="M206" i="11"/>
  <c r="M206" i="10"/>
  <c r="M206" i="9"/>
  <c r="E206" i="11"/>
  <c r="E206" i="10"/>
  <c r="E206" i="9"/>
  <c r="AG205" i="11"/>
  <c r="AG205" i="10"/>
  <c r="AG205" i="9"/>
  <c r="Y205" i="11"/>
  <c r="Y205" i="10"/>
  <c r="Y205" i="9"/>
  <c r="Q205" i="11"/>
  <c r="Q205" i="10"/>
  <c r="Q205" i="9"/>
  <c r="I205" i="11"/>
  <c r="I205" i="10"/>
  <c r="I205" i="9"/>
  <c r="A205" i="11"/>
  <c r="A205" i="10"/>
  <c r="A205" i="9"/>
  <c r="AC204" i="11"/>
  <c r="AC204" i="10"/>
  <c r="AC204" i="9"/>
  <c r="U204" i="11"/>
  <c r="U204" i="10"/>
  <c r="U204" i="9"/>
  <c r="M204" i="11"/>
  <c r="M204" i="10"/>
  <c r="M204" i="9"/>
  <c r="E204" i="11"/>
  <c r="E204" i="10"/>
  <c r="E204" i="9"/>
  <c r="Y203" i="11"/>
  <c r="Y203" i="10"/>
  <c r="Y203" i="9"/>
  <c r="Q203" i="11"/>
  <c r="Q203" i="10"/>
  <c r="Q203" i="9"/>
  <c r="I203" i="11"/>
  <c r="I203" i="10"/>
  <c r="I203" i="9"/>
  <c r="A203" i="11"/>
  <c r="A203" i="10"/>
  <c r="A203" i="9"/>
  <c r="AC202" i="11"/>
  <c r="AC202" i="10"/>
  <c r="AC202" i="9"/>
  <c r="U202" i="11"/>
  <c r="U202" i="10"/>
  <c r="U202" i="9"/>
  <c r="M202" i="11"/>
  <c r="M202" i="10"/>
  <c r="M202" i="9"/>
  <c r="E202" i="11"/>
  <c r="E202" i="10"/>
  <c r="E202" i="9"/>
  <c r="AG201" i="11"/>
  <c r="AG201" i="10"/>
  <c r="AG201" i="9"/>
  <c r="Y201" i="11"/>
  <c r="Y201" i="10"/>
  <c r="Y201" i="9"/>
  <c r="Q201" i="11"/>
  <c r="Q201" i="10"/>
  <c r="Q201" i="9"/>
  <c r="I201" i="11"/>
  <c r="I201" i="10"/>
  <c r="I201" i="9"/>
  <c r="A201" i="11"/>
  <c r="A201" i="10"/>
  <c r="A201" i="9"/>
  <c r="AC200" i="11"/>
  <c r="AC200" i="10"/>
  <c r="AC200" i="9"/>
  <c r="U200" i="11"/>
  <c r="U200" i="10"/>
  <c r="U200" i="9"/>
  <c r="M200" i="11"/>
  <c r="M200" i="10"/>
  <c r="M200" i="9"/>
  <c r="E200" i="11"/>
  <c r="E200" i="10"/>
  <c r="E200" i="9"/>
  <c r="AG199" i="11"/>
  <c r="AG199" i="10"/>
  <c r="AG199" i="9"/>
  <c r="Y199" i="11"/>
  <c r="Y199" i="10"/>
  <c r="Y199" i="9"/>
  <c r="Q199" i="11"/>
  <c r="Q199" i="10"/>
  <c r="Q199" i="9"/>
  <c r="I199" i="11"/>
  <c r="I199" i="10"/>
  <c r="I199" i="9"/>
  <c r="A199" i="11"/>
  <c r="A199" i="10"/>
  <c r="A199" i="9"/>
  <c r="AC198" i="11"/>
  <c r="AC198" i="10"/>
  <c r="AC198" i="9"/>
  <c r="U198" i="11"/>
  <c r="U198" i="10"/>
  <c r="U198" i="9"/>
  <c r="M198" i="11"/>
  <c r="M198" i="10"/>
  <c r="M198" i="9"/>
  <c r="E198" i="11"/>
  <c r="E198" i="10"/>
  <c r="E198" i="9"/>
  <c r="AG197" i="11"/>
  <c r="AG197" i="10"/>
  <c r="AG197" i="9"/>
  <c r="Y197" i="11"/>
  <c r="Y197" i="10"/>
  <c r="Y197" i="9"/>
  <c r="Q197" i="11"/>
  <c r="Q197" i="10"/>
  <c r="Q197" i="9"/>
  <c r="I197" i="11"/>
  <c r="I197" i="10"/>
  <c r="I197" i="9"/>
  <c r="A197" i="11"/>
  <c r="A197" i="10"/>
  <c r="A197" i="9"/>
  <c r="AC196" i="11"/>
  <c r="AC196" i="10"/>
  <c r="AC196" i="9"/>
  <c r="U196" i="11"/>
  <c r="U196" i="10"/>
  <c r="U196" i="9"/>
  <c r="M196" i="11"/>
  <c r="M196" i="10"/>
  <c r="M196" i="9"/>
  <c r="E196" i="11"/>
  <c r="E196" i="10"/>
  <c r="E196" i="9"/>
  <c r="AG195" i="11"/>
  <c r="AG195" i="10"/>
  <c r="AG195" i="9"/>
  <c r="Y195" i="11"/>
  <c r="Y195" i="10"/>
  <c r="Y195" i="9"/>
  <c r="Q195" i="11"/>
  <c r="Q195" i="10"/>
  <c r="Q195" i="9"/>
  <c r="I195" i="11"/>
  <c r="I195" i="10"/>
  <c r="I195" i="9"/>
  <c r="A195" i="11"/>
  <c r="A195" i="10"/>
  <c r="A195" i="9"/>
  <c r="AC194" i="11"/>
  <c r="AC194" i="10"/>
  <c r="AC194" i="9"/>
  <c r="U194" i="11"/>
  <c r="U194" i="10"/>
  <c r="U194" i="9"/>
  <c r="M194" i="11"/>
  <c r="M194" i="10"/>
  <c r="M194" i="9"/>
  <c r="E194" i="11"/>
  <c r="E194" i="10"/>
  <c r="E194" i="9"/>
  <c r="AG193" i="11"/>
  <c r="AG193" i="10"/>
  <c r="AG193" i="9"/>
  <c r="Y193" i="11"/>
  <c r="Y193" i="10"/>
  <c r="Y193" i="9"/>
  <c r="Q193" i="11"/>
  <c r="Q193" i="10"/>
  <c r="Q193" i="9"/>
  <c r="I193" i="11"/>
  <c r="I193" i="10"/>
  <c r="I193" i="9"/>
  <c r="A193" i="11"/>
  <c r="A193" i="10"/>
  <c r="A193" i="9"/>
  <c r="AC192" i="11"/>
  <c r="AC192" i="10"/>
  <c r="AC192" i="9"/>
  <c r="U192" i="11"/>
  <c r="U192" i="10"/>
  <c r="U192" i="9"/>
  <c r="M192" i="11"/>
  <c r="M192" i="10"/>
  <c r="M192" i="9"/>
  <c r="E192" i="11"/>
  <c r="E192" i="10"/>
  <c r="E192" i="9"/>
  <c r="AG191" i="9"/>
  <c r="AG191" i="10"/>
  <c r="Y191" i="11"/>
  <c r="Y191" i="10"/>
  <c r="Y191" i="9"/>
  <c r="Q191" i="11"/>
  <c r="Q191" i="10"/>
  <c r="Q191" i="9"/>
  <c r="I191" i="11"/>
  <c r="I191" i="10"/>
  <c r="I191" i="9"/>
  <c r="A191" i="11"/>
  <c r="A191" i="10"/>
  <c r="A191" i="9"/>
  <c r="AC190" i="11"/>
  <c r="AC190" i="10"/>
  <c r="AC190" i="9"/>
  <c r="U190" i="11"/>
  <c r="U190" i="10"/>
  <c r="U190" i="9"/>
  <c r="M190" i="11"/>
  <c r="M190" i="10"/>
  <c r="M190" i="9"/>
  <c r="E190" i="11"/>
  <c r="E190" i="10"/>
  <c r="E190" i="9"/>
  <c r="Y189" i="11"/>
  <c r="Y189" i="10"/>
  <c r="Y189" i="9"/>
  <c r="Q189" i="11"/>
  <c r="Q189" i="10"/>
  <c r="Q189" i="9"/>
  <c r="I189" i="11"/>
  <c r="I189" i="10"/>
  <c r="I189" i="9"/>
  <c r="A189" i="11"/>
  <c r="A189" i="10"/>
  <c r="A189" i="9"/>
  <c r="AC188" i="11"/>
  <c r="AC188" i="10"/>
  <c r="AC188" i="9"/>
  <c r="U188" i="11"/>
  <c r="U188" i="10"/>
  <c r="U188" i="9"/>
  <c r="M188" i="11"/>
  <c r="M188" i="10"/>
  <c r="M188" i="9"/>
  <c r="E188" i="11"/>
  <c r="E188" i="10"/>
  <c r="E188" i="9"/>
  <c r="AG187" i="11"/>
  <c r="AG187" i="10"/>
  <c r="AG187" i="9"/>
  <c r="Y187" i="11"/>
  <c r="Y187" i="10"/>
  <c r="Y187" i="9"/>
  <c r="Q187" i="11"/>
  <c r="Q187" i="10"/>
  <c r="Q187" i="9"/>
  <c r="I187" i="11"/>
  <c r="I187" i="10"/>
  <c r="I187" i="9"/>
  <c r="A187" i="11"/>
  <c r="A187" i="10"/>
  <c r="A187" i="9"/>
  <c r="AC186" i="11"/>
  <c r="AC186" i="10"/>
  <c r="AC186" i="9"/>
  <c r="U186" i="11"/>
  <c r="U186" i="10"/>
  <c r="U186" i="9"/>
  <c r="M186" i="11"/>
  <c r="M186" i="10"/>
  <c r="M186" i="9"/>
  <c r="E186" i="11"/>
  <c r="E186" i="10"/>
  <c r="E186" i="9"/>
  <c r="Y185" i="11"/>
  <c r="Y185" i="10"/>
  <c r="Y185" i="9"/>
  <c r="Q185" i="11"/>
  <c r="Q185" i="10"/>
  <c r="Q185" i="9"/>
  <c r="I185" i="11"/>
  <c r="I185" i="10"/>
  <c r="I185" i="9"/>
  <c r="A185" i="11"/>
  <c r="A185" i="10"/>
  <c r="A185" i="9"/>
  <c r="AC184" i="11"/>
  <c r="AC184" i="10"/>
  <c r="AC184" i="9"/>
  <c r="U184" i="11"/>
  <c r="U184" i="10"/>
  <c r="U184" i="9"/>
  <c r="M184" i="11"/>
  <c r="M184" i="10"/>
  <c r="M184" i="9"/>
  <c r="E184" i="11"/>
  <c r="E184" i="10"/>
  <c r="E184" i="9"/>
  <c r="AG183" i="11"/>
  <c r="AG183" i="10"/>
  <c r="AG183" i="9"/>
  <c r="Y183" i="11"/>
  <c r="Y183" i="10"/>
  <c r="Y183" i="9"/>
  <c r="Q183" i="11"/>
  <c r="Q183" i="10"/>
  <c r="Q183" i="9"/>
  <c r="I183" i="11"/>
  <c r="I183" i="10"/>
  <c r="I183" i="9"/>
  <c r="A183" i="11"/>
  <c r="A183" i="10"/>
  <c r="A183" i="9"/>
  <c r="AC182" i="11"/>
  <c r="AC182" i="10"/>
  <c r="AC182" i="9"/>
  <c r="U182" i="11"/>
  <c r="U182" i="10"/>
  <c r="U182" i="9"/>
  <c r="M182" i="11"/>
  <c r="M182" i="10"/>
  <c r="M182" i="9"/>
  <c r="E182" i="11"/>
  <c r="E182" i="10"/>
  <c r="E182" i="9"/>
  <c r="Y181" i="11"/>
  <c r="Y181" i="10"/>
  <c r="Y181" i="9"/>
  <c r="Q181" i="11"/>
  <c r="Q181" i="10"/>
  <c r="Q181" i="9"/>
  <c r="I181" i="11"/>
  <c r="I181" i="10"/>
  <c r="I181" i="9"/>
  <c r="A181" i="11"/>
  <c r="A181" i="10"/>
  <c r="A181" i="9"/>
  <c r="AC180" i="11"/>
  <c r="AC180" i="10"/>
  <c r="AC180" i="9"/>
  <c r="U180" i="11"/>
  <c r="U180" i="10"/>
  <c r="U180" i="9"/>
  <c r="M180" i="11"/>
  <c r="M180" i="10"/>
  <c r="M180" i="9"/>
  <c r="E180" i="11"/>
  <c r="E180" i="10"/>
  <c r="E180" i="9"/>
  <c r="AG179" i="11"/>
  <c r="AG179" i="10"/>
  <c r="AG179" i="9"/>
  <c r="Y179" i="11"/>
  <c r="Y179" i="10"/>
  <c r="Y179" i="9"/>
  <c r="Q179" i="11"/>
  <c r="Q179" i="10"/>
  <c r="Q179" i="9"/>
  <c r="I179" i="11"/>
  <c r="I179" i="10"/>
  <c r="I179" i="9"/>
  <c r="A179" i="11"/>
  <c r="A179" i="10"/>
  <c r="A179" i="9"/>
  <c r="AC178" i="11"/>
  <c r="AC178" i="10"/>
  <c r="AC178" i="9"/>
  <c r="U178" i="11"/>
  <c r="U178" i="10"/>
  <c r="U178" i="9"/>
  <c r="M178" i="11"/>
  <c r="M178" i="10"/>
  <c r="M178" i="9"/>
  <c r="E178" i="11"/>
  <c r="E178" i="10"/>
  <c r="E178" i="9"/>
  <c r="AG177" i="11"/>
  <c r="AG177" i="10"/>
  <c r="AG177" i="9"/>
  <c r="Y177" i="11"/>
  <c r="Y177" i="10"/>
  <c r="Y177" i="9"/>
  <c r="Q177" i="11"/>
  <c r="Q177" i="10"/>
  <c r="Q177" i="9"/>
  <c r="I177" i="11"/>
  <c r="I177" i="10"/>
  <c r="I177" i="9"/>
  <c r="A177" i="11"/>
  <c r="A177" i="10"/>
  <c r="A177" i="9"/>
  <c r="AC176" i="11"/>
  <c r="AC176" i="10"/>
  <c r="AC176" i="9"/>
  <c r="U176" i="11"/>
  <c r="U176" i="10"/>
  <c r="U176" i="9"/>
  <c r="M176" i="11"/>
  <c r="M176" i="10"/>
  <c r="M176" i="9"/>
  <c r="E176" i="11"/>
  <c r="E176" i="10"/>
  <c r="E176" i="9"/>
  <c r="AG175" i="11"/>
  <c r="AG175" i="10"/>
  <c r="AG175" i="9"/>
  <c r="Y175" i="11"/>
  <c r="Y175" i="10"/>
  <c r="Y175" i="9"/>
  <c r="Q175" i="11"/>
  <c r="Q175" i="10"/>
  <c r="Q175" i="9"/>
  <c r="I175" i="11"/>
  <c r="I175" i="10"/>
  <c r="I175" i="9"/>
  <c r="A175" i="11"/>
  <c r="A175" i="10"/>
  <c r="A175" i="9"/>
  <c r="AC174" i="11"/>
  <c r="AC174" i="10"/>
  <c r="AC174" i="9"/>
  <c r="U174" i="11"/>
  <c r="U174" i="10"/>
  <c r="U174" i="9"/>
  <c r="M174" i="11"/>
  <c r="M174" i="10"/>
  <c r="M174" i="9"/>
  <c r="E174" i="11"/>
  <c r="E174" i="10"/>
  <c r="E174" i="9"/>
  <c r="AG173" i="11"/>
  <c r="AG173" i="10"/>
  <c r="AG173" i="9"/>
  <c r="Y173" i="11"/>
  <c r="Y173" i="10"/>
  <c r="Y173" i="9"/>
  <c r="Q173" i="11"/>
  <c r="Q173" i="10"/>
  <c r="Q173" i="9"/>
  <c r="I173" i="11"/>
  <c r="I173" i="10"/>
  <c r="I173" i="9"/>
  <c r="A173" i="11"/>
  <c r="A173" i="10"/>
  <c r="A173" i="9"/>
  <c r="AC172" i="11"/>
  <c r="AC172" i="10"/>
  <c r="AC172" i="9"/>
  <c r="U172" i="11"/>
  <c r="U172" i="10"/>
  <c r="U172" i="9"/>
  <c r="M172" i="11"/>
  <c r="M172" i="10"/>
  <c r="M172" i="9"/>
  <c r="E172" i="11"/>
  <c r="E172" i="10"/>
  <c r="E172" i="9"/>
  <c r="AG171" i="9"/>
  <c r="AG171" i="11"/>
  <c r="Y171" i="11"/>
  <c r="Y171" i="10"/>
  <c r="Y171" i="9"/>
  <c r="Q171" i="11"/>
  <c r="Q171" i="10"/>
  <c r="Q171" i="9"/>
  <c r="I171" i="11"/>
  <c r="I171" i="10"/>
  <c r="I171" i="9"/>
  <c r="A171" i="11"/>
  <c r="A171" i="10"/>
  <c r="A171" i="9"/>
  <c r="AC170" i="11"/>
  <c r="AC170" i="10"/>
  <c r="AC170" i="9"/>
  <c r="U170" i="11"/>
  <c r="U170" i="10"/>
  <c r="U170" i="9"/>
  <c r="M170" i="11"/>
  <c r="M170" i="10"/>
  <c r="M170" i="9"/>
  <c r="E170" i="11"/>
  <c r="E170" i="10"/>
  <c r="E170" i="9"/>
  <c r="Y169" i="11"/>
  <c r="Y169" i="10"/>
  <c r="Y169" i="9"/>
  <c r="Q169" i="11"/>
  <c r="Q169" i="10"/>
  <c r="Q169" i="9"/>
  <c r="I169" i="11"/>
  <c r="I169" i="10"/>
  <c r="I169" i="9"/>
  <c r="A169" i="11"/>
  <c r="A169" i="10"/>
  <c r="A169" i="9"/>
  <c r="AC168" i="11"/>
  <c r="AC168" i="10"/>
  <c r="AC168" i="9"/>
  <c r="U168" i="11"/>
  <c r="U168" i="10"/>
  <c r="U168" i="9"/>
  <c r="M168" i="11"/>
  <c r="M168" i="10"/>
  <c r="M168" i="9"/>
  <c r="E168" i="11"/>
  <c r="E168" i="10"/>
  <c r="E168" i="9"/>
  <c r="AG167" i="11"/>
  <c r="AG167" i="10"/>
  <c r="AG167" i="9"/>
  <c r="Y167" i="11"/>
  <c r="Y167" i="10"/>
  <c r="Y167" i="9"/>
  <c r="Q167" i="11"/>
  <c r="Q167" i="10"/>
  <c r="Q167" i="9"/>
  <c r="I167" i="11"/>
  <c r="I167" i="10"/>
  <c r="I167" i="9"/>
  <c r="A167" i="11"/>
  <c r="A167" i="10"/>
  <c r="A167" i="9"/>
  <c r="AC166" i="11"/>
  <c r="AC166" i="10"/>
  <c r="AC166" i="9"/>
  <c r="U166" i="11"/>
  <c r="U166" i="10"/>
  <c r="U166" i="9"/>
  <c r="M166" i="11"/>
  <c r="M166" i="10"/>
  <c r="M166" i="9"/>
  <c r="E166" i="11"/>
  <c r="E166" i="10"/>
  <c r="E166" i="9"/>
  <c r="Y165" i="11"/>
  <c r="Y165" i="10"/>
  <c r="Y165" i="9"/>
  <c r="Q165" i="11"/>
  <c r="Q165" i="10"/>
  <c r="Q165" i="9"/>
  <c r="I165" i="11"/>
  <c r="I165" i="10"/>
  <c r="I165" i="9"/>
  <c r="A165" i="11"/>
  <c r="A165" i="10"/>
  <c r="A165" i="9"/>
  <c r="AB366" i="11"/>
  <c r="AB366" i="10"/>
  <c r="AB366" i="9"/>
  <c r="T366" i="11"/>
  <c r="T366" i="10"/>
  <c r="T366" i="9"/>
  <c r="L366" i="11"/>
  <c r="L366" i="10"/>
  <c r="L366" i="9"/>
  <c r="D366" i="11"/>
  <c r="D366" i="10"/>
  <c r="D366" i="9"/>
  <c r="X365" i="11"/>
  <c r="X365" i="10"/>
  <c r="X365" i="9"/>
  <c r="P365" i="11"/>
  <c r="P365" i="10"/>
  <c r="P365" i="9"/>
  <c r="H365" i="11"/>
  <c r="H365" i="10"/>
  <c r="H365" i="9"/>
  <c r="AB364" i="11"/>
  <c r="AB364" i="10"/>
  <c r="AB364" i="9"/>
  <c r="T364" i="11"/>
  <c r="T364" i="10"/>
  <c r="T364" i="9"/>
  <c r="L364" i="11"/>
  <c r="L364" i="10"/>
  <c r="L364" i="9"/>
  <c r="D364" i="11"/>
  <c r="D364" i="10"/>
  <c r="D364" i="9"/>
  <c r="AF363" i="11"/>
  <c r="AF363" i="10"/>
  <c r="AF363" i="9"/>
  <c r="X363" i="11"/>
  <c r="X363" i="10"/>
  <c r="X363" i="9"/>
  <c r="P363" i="11"/>
  <c r="P363" i="10"/>
  <c r="P363" i="9"/>
  <c r="H363" i="11"/>
  <c r="H363" i="10"/>
  <c r="H363" i="9"/>
  <c r="AB362" i="11"/>
  <c r="AB362" i="10"/>
  <c r="AB362" i="9"/>
  <c r="T362" i="11"/>
  <c r="T362" i="10"/>
  <c r="T362" i="9"/>
  <c r="L362" i="11"/>
  <c r="L362" i="10"/>
  <c r="L362" i="9"/>
  <c r="D362" i="11"/>
  <c r="D362" i="10"/>
  <c r="D362" i="9"/>
  <c r="AF361" i="11"/>
  <c r="AF361" i="10"/>
  <c r="AF361" i="9"/>
  <c r="X361" i="11"/>
  <c r="X361" i="10"/>
  <c r="X361" i="9"/>
  <c r="P361" i="11"/>
  <c r="P361" i="10"/>
  <c r="P361" i="9"/>
  <c r="H361" i="11"/>
  <c r="H361" i="10"/>
  <c r="H361" i="9"/>
  <c r="AB360" i="11"/>
  <c r="AB360" i="10"/>
  <c r="AB360" i="9"/>
  <c r="T360" i="11"/>
  <c r="T360" i="10"/>
  <c r="T360" i="9"/>
  <c r="L360" i="11"/>
  <c r="L360" i="10"/>
  <c r="L360" i="9"/>
  <c r="D360" i="11"/>
  <c r="D360" i="10"/>
  <c r="D360" i="9"/>
  <c r="AF359" i="11"/>
  <c r="AF359" i="10"/>
  <c r="AF359" i="9"/>
  <c r="X359" i="11"/>
  <c r="X359" i="10"/>
  <c r="X359" i="9"/>
  <c r="P359" i="11"/>
  <c r="P359" i="10"/>
  <c r="P359" i="9"/>
  <c r="H359" i="11"/>
  <c r="H359" i="10"/>
  <c r="H359" i="9"/>
  <c r="AB358" i="11"/>
  <c r="AB358" i="10"/>
  <c r="AB358" i="9"/>
  <c r="T358" i="11"/>
  <c r="T358" i="10"/>
  <c r="T358" i="9"/>
  <c r="L358" i="11"/>
  <c r="L358" i="10"/>
  <c r="L358" i="9"/>
  <c r="D358" i="11"/>
  <c r="D358" i="10"/>
  <c r="D358" i="9"/>
  <c r="X357" i="11"/>
  <c r="X357" i="10"/>
  <c r="X357" i="9"/>
  <c r="P357" i="11"/>
  <c r="P357" i="10"/>
  <c r="P357" i="9"/>
  <c r="H357" i="11"/>
  <c r="H357" i="10"/>
  <c r="H357" i="9"/>
  <c r="AB356" i="11"/>
  <c r="AB356" i="10"/>
  <c r="AB356" i="9"/>
  <c r="T356" i="11"/>
  <c r="T356" i="10"/>
  <c r="T356" i="9"/>
  <c r="L356" i="11"/>
  <c r="L356" i="10"/>
  <c r="L356" i="9"/>
  <c r="D356" i="11"/>
  <c r="D356" i="10"/>
  <c r="D356" i="9"/>
  <c r="AF355" i="11"/>
  <c r="AF355" i="10"/>
  <c r="AF355" i="9"/>
  <c r="X355" i="11"/>
  <c r="X355" i="10"/>
  <c r="X355" i="9"/>
  <c r="P355" i="11"/>
  <c r="P355" i="10"/>
  <c r="P355" i="9"/>
  <c r="H355" i="11"/>
  <c r="H355" i="10"/>
  <c r="H355" i="9"/>
  <c r="AB354" i="11"/>
  <c r="AB354" i="10"/>
  <c r="AB354" i="9"/>
  <c r="T354" i="11"/>
  <c r="T354" i="10"/>
  <c r="T354" i="9"/>
  <c r="L354" i="11"/>
  <c r="L354" i="10"/>
  <c r="L354" i="9"/>
  <c r="D354" i="11"/>
  <c r="D354" i="10"/>
  <c r="D354" i="9"/>
  <c r="AF353" i="11"/>
  <c r="AF353" i="10"/>
  <c r="AF353" i="9"/>
  <c r="X353" i="11"/>
  <c r="X353" i="10"/>
  <c r="X353" i="9"/>
  <c r="P353" i="11"/>
  <c r="P353" i="10"/>
  <c r="P353" i="9"/>
  <c r="H353" i="11"/>
  <c r="H353" i="10"/>
  <c r="H353" i="9"/>
  <c r="AB352" i="11"/>
  <c r="AB352" i="10"/>
  <c r="AB352" i="9"/>
  <c r="T352" i="11"/>
  <c r="T352" i="10"/>
  <c r="T352" i="9"/>
  <c r="L352" i="11"/>
  <c r="L352" i="10"/>
  <c r="L352" i="9"/>
  <c r="D352" i="11"/>
  <c r="D352" i="10"/>
  <c r="D352" i="9"/>
  <c r="X351" i="11"/>
  <c r="X351" i="10"/>
  <c r="X351" i="9"/>
  <c r="P351" i="11"/>
  <c r="P351" i="10"/>
  <c r="P351" i="9"/>
  <c r="H351" i="11"/>
  <c r="H351" i="10"/>
  <c r="H351" i="9"/>
  <c r="AB350" i="11"/>
  <c r="AB350" i="10"/>
  <c r="AB350" i="9"/>
  <c r="T350" i="11"/>
  <c r="T350" i="10"/>
  <c r="T350" i="9"/>
  <c r="L350" i="11"/>
  <c r="L350" i="10"/>
  <c r="L350" i="9"/>
  <c r="D350" i="11"/>
  <c r="D350" i="10"/>
  <c r="D350" i="9"/>
  <c r="AF349" i="11"/>
  <c r="AF349" i="10"/>
  <c r="AF349" i="9"/>
  <c r="X349" i="11"/>
  <c r="X349" i="10"/>
  <c r="X349" i="9"/>
  <c r="P349" i="11"/>
  <c r="P349" i="10"/>
  <c r="P349" i="9"/>
  <c r="H349" i="11"/>
  <c r="H349" i="10"/>
  <c r="H349" i="9"/>
  <c r="AB348" i="11"/>
  <c r="AB348" i="10"/>
  <c r="AB348" i="9"/>
  <c r="T348" i="11"/>
  <c r="T348" i="10"/>
  <c r="T348" i="9"/>
  <c r="L348" i="11"/>
  <c r="L348" i="10"/>
  <c r="L348" i="9"/>
  <c r="D348" i="11"/>
  <c r="D348" i="10"/>
  <c r="D348" i="9"/>
  <c r="X347" i="11"/>
  <c r="X347" i="10"/>
  <c r="X347" i="9"/>
  <c r="P347" i="11"/>
  <c r="P347" i="10"/>
  <c r="P347" i="9"/>
  <c r="H347" i="11"/>
  <c r="H347" i="10"/>
  <c r="H347" i="9"/>
  <c r="AB346" i="11"/>
  <c r="AB346" i="10"/>
  <c r="AB346" i="9"/>
  <c r="T346" i="11"/>
  <c r="T346" i="10"/>
  <c r="T346" i="9"/>
  <c r="L346" i="11"/>
  <c r="L346" i="10"/>
  <c r="L346" i="9"/>
  <c r="D346" i="11"/>
  <c r="D346" i="10"/>
  <c r="D346" i="9"/>
  <c r="X345" i="11"/>
  <c r="X345" i="10"/>
  <c r="X345" i="9"/>
  <c r="P345" i="11"/>
  <c r="P345" i="10"/>
  <c r="P345" i="9"/>
  <c r="H345" i="11"/>
  <c r="H345" i="10"/>
  <c r="H345" i="9"/>
  <c r="AB344" i="11"/>
  <c r="AB344" i="10"/>
  <c r="AB344" i="9"/>
  <c r="T344" i="11"/>
  <c r="T344" i="10"/>
  <c r="T344" i="9"/>
  <c r="L344" i="11"/>
  <c r="L344" i="10"/>
  <c r="L344" i="9"/>
  <c r="D344" i="11"/>
  <c r="D344" i="10"/>
  <c r="D344" i="9"/>
  <c r="X343" i="11"/>
  <c r="X343" i="10"/>
  <c r="X343" i="9"/>
  <c r="P343" i="11"/>
  <c r="P343" i="10"/>
  <c r="P343" i="9"/>
  <c r="H343" i="11"/>
  <c r="H343" i="10"/>
  <c r="H343" i="9"/>
  <c r="AB342" i="11"/>
  <c r="AB342" i="10"/>
  <c r="AB342" i="9"/>
  <c r="T342" i="11"/>
  <c r="T342" i="10"/>
  <c r="T342" i="9"/>
  <c r="L342" i="11"/>
  <c r="L342" i="10"/>
  <c r="L342" i="9"/>
  <c r="D342" i="11"/>
  <c r="D342" i="10"/>
  <c r="D342" i="9"/>
  <c r="AF341" i="11"/>
  <c r="AF341" i="10"/>
  <c r="AF341" i="9"/>
  <c r="X341" i="11"/>
  <c r="X341" i="10"/>
  <c r="X341" i="9"/>
  <c r="P341" i="11"/>
  <c r="P341" i="10"/>
  <c r="P341" i="9"/>
  <c r="H341" i="11"/>
  <c r="H341" i="10"/>
  <c r="H341" i="9"/>
  <c r="AB340" i="11"/>
  <c r="AB340" i="10"/>
  <c r="AB340" i="9"/>
  <c r="T340" i="11"/>
  <c r="T340" i="10"/>
  <c r="T340" i="9"/>
  <c r="L340" i="11"/>
  <c r="L340" i="10"/>
  <c r="L340" i="9"/>
  <c r="D340" i="11"/>
  <c r="D340" i="10"/>
  <c r="D340" i="9"/>
  <c r="AF339" i="11"/>
  <c r="AF339" i="10"/>
  <c r="AF339" i="9"/>
  <c r="X339" i="11"/>
  <c r="X339" i="10"/>
  <c r="X339" i="9"/>
  <c r="P339" i="11"/>
  <c r="P339" i="10"/>
  <c r="P339" i="9"/>
  <c r="H339" i="11"/>
  <c r="H339" i="10"/>
  <c r="H339" i="9"/>
  <c r="AB338" i="11"/>
  <c r="AB338" i="10"/>
  <c r="AB338" i="9"/>
  <c r="T338" i="11"/>
  <c r="T338" i="10"/>
  <c r="T338" i="9"/>
  <c r="L338" i="11"/>
  <c r="L338" i="10"/>
  <c r="L338" i="9"/>
  <c r="D338" i="11"/>
  <c r="D338" i="10"/>
  <c r="D338" i="9"/>
  <c r="AF337" i="11"/>
  <c r="AF337" i="10"/>
  <c r="AF337" i="9"/>
  <c r="X337" i="11"/>
  <c r="X337" i="10"/>
  <c r="X337" i="9"/>
  <c r="P337" i="11"/>
  <c r="P337" i="10"/>
  <c r="P337" i="9"/>
  <c r="H337" i="11"/>
  <c r="H337" i="10"/>
  <c r="H337" i="9"/>
  <c r="AB336" i="11"/>
  <c r="AB336" i="10"/>
  <c r="AB336" i="9"/>
  <c r="T336" i="11"/>
  <c r="T336" i="10"/>
  <c r="T336" i="9"/>
  <c r="L336" i="11"/>
  <c r="L336" i="10"/>
  <c r="L336" i="9"/>
  <c r="D336" i="11"/>
  <c r="D336" i="10"/>
  <c r="D336" i="9"/>
  <c r="AF335" i="11"/>
  <c r="AF335" i="10"/>
  <c r="AF335" i="9"/>
  <c r="X335" i="11"/>
  <c r="X335" i="10"/>
  <c r="X335" i="9"/>
  <c r="P335" i="11"/>
  <c r="P335" i="10"/>
  <c r="P335" i="9"/>
  <c r="H335" i="11"/>
  <c r="H335" i="10"/>
  <c r="H335" i="9"/>
  <c r="AB334" i="11"/>
  <c r="AB334" i="10"/>
  <c r="AB334" i="9"/>
  <c r="T334" i="11"/>
  <c r="T334" i="10"/>
  <c r="T334" i="9"/>
  <c r="L334" i="11"/>
  <c r="L334" i="10"/>
  <c r="L334" i="9"/>
  <c r="D334" i="11"/>
  <c r="D334" i="10"/>
  <c r="D334" i="9"/>
  <c r="X333" i="11"/>
  <c r="X333" i="10"/>
  <c r="X333" i="9"/>
  <c r="P333" i="11"/>
  <c r="P333" i="10"/>
  <c r="P333" i="9"/>
  <c r="H333" i="11"/>
  <c r="H333" i="10"/>
  <c r="H333" i="9"/>
  <c r="AB332" i="11"/>
  <c r="AB332" i="10"/>
  <c r="AB332" i="9"/>
  <c r="T332" i="11"/>
  <c r="T332" i="10"/>
  <c r="T332" i="9"/>
  <c r="L332" i="11"/>
  <c r="L332" i="10"/>
  <c r="L332" i="9"/>
  <c r="D332" i="11"/>
  <c r="D332" i="10"/>
  <c r="D332" i="9"/>
  <c r="X331" i="11"/>
  <c r="X331" i="10"/>
  <c r="X331" i="9"/>
  <c r="P331" i="11"/>
  <c r="P331" i="10"/>
  <c r="P331" i="9"/>
  <c r="H331" i="11"/>
  <c r="H331" i="10"/>
  <c r="H331" i="9"/>
  <c r="AB330" i="11"/>
  <c r="AB330" i="10"/>
  <c r="AB330" i="9"/>
  <c r="T330" i="11"/>
  <c r="T330" i="10"/>
  <c r="T330" i="9"/>
  <c r="L330" i="11"/>
  <c r="L330" i="10"/>
  <c r="L330" i="9"/>
  <c r="D330" i="11"/>
  <c r="D330" i="10"/>
  <c r="D330" i="9"/>
  <c r="AF329" i="11"/>
  <c r="AF329" i="10"/>
  <c r="AF329" i="9"/>
  <c r="X329" i="11"/>
  <c r="X329" i="10"/>
  <c r="X329" i="9"/>
  <c r="P329" i="11"/>
  <c r="P329" i="10"/>
  <c r="P329" i="9"/>
  <c r="H329" i="11"/>
  <c r="H329" i="10"/>
  <c r="H329" i="9"/>
  <c r="AB328" i="11"/>
  <c r="AB328" i="10"/>
  <c r="AB328" i="9"/>
  <c r="T328" i="11"/>
  <c r="T328" i="10"/>
  <c r="T328" i="9"/>
  <c r="L328" i="11"/>
  <c r="L328" i="10"/>
  <c r="L328" i="9"/>
  <c r="D328" i="11"/>
  <c r="D328" i="10"/>
  <c r="D328" i="9"/>
  <c r="AF327" i="11"/>
  <c r="AF327" i="10"/>
  <c r="AF327" i="9"/>
  <c r="X327" i="11"/>
  <c r="X327" i="10"/>
  <c r="X327" i="9"/>
  <c r="P327" i="11"/>
  <c r="P327" i="10"/>
  <c r="P327" i="9"/>
  <c r="H327" i="11"/>
  <c r="H327" i="10"/>
  <c r="H327" i="9"/>
  <c r="AB326" i="11"/>
  <c r="AB326" i="10"/>
  <c r="AB326" i="9"/>
  <c r="T326" i="11"/>
  <c r="T326" i="10"/>
  <c r="T326" i="9"/>
  <c r="L326" i="11"/>
  <c r="L326" i="10"/>
  <c r="L326" i="9"/>
  <c r="D326" i="11"/>
  <c r="D326" i="10"/>
  <c r="D326" i="9"/>
  <c r="AF325" i="11"/>
  <c r="AF325" i="10"/>
  <c r="AF325" i="9"/>
  <c r="X325" i="11"/>
  <c r="X325" i="10"/>
  <c r="X325" i="9"/>
  <c r="P325" i="11"/>
  <c r="P325" i="10"/>
  <c r="P325" i="9"/>
  <c r="H325" i="11"/>
  <c r="H325" i="10"/>
  <c r="H325" i="9"/>
  <c r="AB324" i="11"/>
  <c r="AB324" i="10"/>
  <c r="AB324" i="9"/>
  <c r="T324" i="11"/>
  <c r="T324" i="10"/>
  <c r="T324" i="9"/>
  <c r="L324" i="11"/>
  <c r="L324" i="10"/>
  <c r="L324" i="9"/>
  <c r="D324" i="11"/>
  <c r="D324" i="10"/>
  <c r="D324" i="9"/>
  <c r="AF323" i="11"/>
  <c r="AF323" i="10"/>
  <c r="AF323" i="9"/>
  <c r="X323" i="11"/>
  <c r="X323" i="10"/>
  <c r="X323" i="9"/>
  <c r="P323" i="11"/>
  <c r="P323" i="10"/>
  <c r="P323" i="9"/>
  <c r="H323" i="11"/>
  <c r="H323" i="10"/>
  <c r="H323" i="9"/>
  <c r="AB322" i="11"/>
  <c r="AB322" i="10"/>
  <c r="AB322" i="9"/>
  <c r="T322" i="11"/>
  <c r="T322" i="10"/>
  <c r="T322" i="9"/>
  <c r="L322" i="11"/>
  <c r="L322" i="10"/>
  <c r="L322" i="9"/>
  <c r="D322" i="11"/>
  <c r="D322" i="10"/>
  <c r="D322" i="9"/>
  <c r="AF321" i="11"/>
  <c r="AF321" i="10"/>
  <c r="AF321" i="9"/>
  <c r="X321" i="11"/>
  <c r="X321" i="10"/>
  <c r="X321" i="9"/>
  <c r="P321" i="11"/>
  <c r="P321" i="10"/>
  <c r="P321" i="9"/>
  <c r="H321" i="11"/>
  <c r="H321" i="10"/>
  <c r="H321" i="9"/>
  <c r="AB320" i="11"/>
  <c r="AB320" i="10"/>
  <c r="AB320" i="9"/>
  <c r="T320" i="11"/>
  <c r="T320" i="10"/>
  <c r="T320" i="9"/>
  <c r="L320" i="11"/>
  <c r="L320" i="10"/>
  <c r="L320" i="9"/>
  <c r="D320" i="11"/>
  <c r="D320" i="10"/>
  <c r="D320" i="9"/>
  <c r="AF319" i="11"/>
  <c r="AF319" i="10"/>
  <c r="AF319" i="9"/>
  <c r="X319" i="11"/>
  <c r="X319" i="10"/>
  <c r="X319" i="9"/>
  <c r="P319" i="11"/>
  <c r="P319" i="10"/>
  <c r="P319" i="9"/>
  <c r="H319" i="11"/>
  <c r="H319" i="10"/>
  <c r="H319" i="9"/>
  <c r="AB318" i="11"/>
  <c r="AB318" i="10"/>
  <c r="AB318" i="9"/>
  <c r="T318" i="11"/>
  <c r="T318" i="10"/>
  <c r="T318" i="9"/>
  <c r="L318" i="11"/>
  <c r="L318" i="10"/>
  <c r="L318" i="9"/>
  <c r="D318" i="11"/>
  <c r="D318" i="10"/>
  <c r="D318" i="9"/>
  <c r="X317" i="11"/>
  <c r="X317" i="10"/>
  <c r="X317" i="9"/>
  <c r="P317" i="11"/>
  <c r="P317" i="10"/>
  <c r="P317" i="9"/>
  <c r="H317" i="11"/>
  <c r="H317" i="10"/>
  <c r="H317" i="9"/>
  <c r="AB316" i="11"/>
  <c r="AB316" i="10"/>
  <c r="AB316" i="9"/>
  <c r="T316" i="11"/>
  <c r="T316" i="10"/>
  <c r="T316" i="9"/>
  <c r="L316" i="11"/>
  <c r="L316" i="10"/>
  <c r="L316" i="9"/>
  <c r="D316" i="11"/>
  <c r="D316" i="10"/>
  <c r="D316" i="9"/>
  <c r="AF315" i="11"/>
  <c r="AF315" i="10"/>
  <c r="AF315" i="9"/>
  <c r="X315" i="11"/>
  <c r="X315" i="10"/>
  <c r="X315" i="9"/>
  <c r="P315" i="11"/>
  <c r="P315" i="10"/>
  <c r="P315" i="9"/>
  <c r="H315" i="11"/>
  <c r="H315" i="10"/>
  <c r="H315" i="9"/>
  <c r="AB314" i="11"/>
  <c r="AB314" i="10"/>
  <c r="AB314" i="9"/>
  <c r="T314" i="11"/>
  <c r="T314" i="10"/>
  <c r="T314" i="9"/>
  <c r="L314" i="11"/>
  <c r="L314" i="10"/>
  <c r="L314" i="9"/>
  <c r="D314" i="11"/>
  <c r="D314" i="10"/>
  <c r="D314" i="9"/>
  <c r="AF313" i="11"/>
  <c r="AF313" i="10"/>
  <c r="AF313" i="9"/>
  <c r="X313" i="11"/>
  <c r="X313" i="10"/>
  <c r="X313" i="9"/>
  <c r="P313" i="11"/>
  <c r="P313" i="10"/>
  <c r="P313" i="9"/>
  <c r="H313" i="11"/>
  <c r="H313" i="10"/>
  <c r="H313" i="9"/>
  <c r="AB312" i="11"/>
  <c r="AB312" i="10"/>
  <c r="AB312" i="9"/>
  <c r="T312" i="11"/>
  <c r="T312" i="10"/>
  <c r="T312" i="9"/>
  <c r="L312" i="11"/>
  <c r="L312" i="10"/>
  <c r="L312" i="9"/>
  <c r="D312" i="11"/>
  <c r="D312" i="10"/>
  <c r="D312" i="9"/>
  <c r="AF311" i="11"/>
  <c r="AF311" i="10"/>
  <c r="AF311" i="9"/>
  <c r="X311" i="11"/>
  <c r="X311" i="10"/>
  <c r="X311" i="9"/>
  <c r="P311" i="11"/>
  <c r="P311" i="10"/>
  <c r="P311" i="9"/>
  <c r="H311" i="11"/>
  <c r="H311" i="10"/>
  <c r="H311" i="9"/>
  <c r="AB310" i="11"/>
  <c r="AB310" i="10"/>
  <c r="AB310" i="9"/>
  <c r="T310" i="11"/>
  <c r="T310" i="10"/>
  <c r="T310" i="9"/>
  <c r="L310" i="11"/>
  <c r="L310" i="10"/>
  <c r="L310" i="9"/>
  <c r="D310" i="11"/>
  <c r="D310" i="10"/>
  <c r="D310" i="9"/>
  <c r="AF309" i="11"/>
  <c r="AF309" i="10"/>
  <c r="AF309" i="9"/>
  <c r="X309" i="11"/>
  <c r="X309" i="10"/>
  <c r="X309" i="9"/>
  <c r="P309" i="11"/>
  <c r="P309" i="10"/>
  <c r="P309" i="9"/>
  <c r="H309" i="11"/>
  <c r="H309" i="10"/>
  <c r="H309" i="9"/>
  <c r="AB308" i="11"/>
  <c r="AB308" i="10"/>
  <c r="AB308" i="9"/>
  <c r="T308" i="11"/>
  <c r="T308" i="10"/>
  <c r="T308" i="9"/>
  <c r="L308" i="11"/>
  <c r="L308" i="10"/>
  <c r="L308" i="9"/>
  <c r="D308" i="11"/>
  <c r="D308" i="10"/>
  <c r="D308" i="9"/>
  <c r="AF307" i="11"/>
  <c r="AF307" i="10"/>
  <c r="AF307" i="9"/>
  <c r="X307" i="11"/>
  <c r="X307" i="10"/>
  <c r="X307" i="9"/>
  <c r="P307" i="11"/>
  <c r="P307" i="10"/>
  <c r="P307" i="9"/>
  <c r="H307" i="11"/>
  <c r="H307" i="10"/>
  <c r="H307" i="9"/>
  <c r="AB306" i="11"/>
  <c r="AB306" i="10"/>
  <c r="AB306" i="9"/>
  <c r="T306" i="11"/>
  <c r="T306" i="10"/>
  <c r="T306" i="9"/>
  <c r="L306" i="11"/>
  <c r="L306" i="10"/>
  <c r="L306" i="9"/>
  <c r="D306" i="11"/>
  <c r="D306" i="10"/>
  <c r="D306" i="9"/>
  <c r="AF305" i="11"/>
  <c r="AF305" i="10"/>
  <c r="AF305" i="9"/>
  <c r="X305" i="11"/>
  <c r="X305" i="10"/>
  <c r="X305" i="9"/>
  <c r="P305" i="11"/>
  <c r="P305" i="10"/>
  <c r="P305" i="9"/>
  <c r="H305" i="11"/>
  <c r="H305" i="10"/>
  <c r="H305" i="9"/>
  <c r="AB304" i="11"/>
  <c r="AB304" i="10"/>
  <c r="AB304" i="9"/>
  <c r="T304" i="11"/>
  <c r="T304" i="10"/>
  <c r="T304" i="9"/>
  <c r="L304" i="11"/>
  <c r="L304" i="10"/>
  <c r="L304" i="9"/>
  <c r="D304" i="11"/>
  <c r="D304" i="10"/>
  <c r="D304" i="9"/>
  <c r="X303" i="11"/>
  <c r="X303" i="10"/>
  <c r="X303" i="9"/>
  <c r="P303" i="11"/>
  <c r="P303" i="10"/>
  <c r="P303" i="9"/>
  <c r="H303" i="11"/>
  <c r="H303" i="10"/>
  <c r="H303" i="9"/>
  <c r="AB302" i="11"/>
  <c r="AB302" i="10"/>
  <c r="AB302" i="9"/>
  <c r="T302" i="11"/>
  <c r="T302" i="10"/>
  <c r="T302" i="9"/>
  <c r="L302" i="11"/>
  <c r="L302" i="10"/>
  <c r="L302" i="9"/>
  <c r="D302" i="11"/>
  <c r="D302" i="10"/>
  <c r="D302" i="9"/>
  <c r="AF301" i="11"/>
  <c r="AF301" i="9"/>
  <c r="X301" i="11"/>
  <c r="X301" i="10"/>
  <c r="X301" i="9"/>
  <c r="P301" i="11"/>
  <c r="P301" i="10"/>
  <c r="P301" i="9"/>
  <c r="H301" i="11"/>
  <c r="H301" i="10"/>
  <c r="H301" i="9"/>
  <c r="AB300" i="11"/>
  <c r="AB300" i="10"/>
  <c r="AB300" i="9"/>
  <c r="T300" i="11"/>
  <c r="T300" i="10"/>
  <c r="T300" i="9"/>
  <c r="L300" i="11"/>
  <c r="L300" i="10"/>
  <c r="L300" i="9"/>
  <c r="D300" i="11"/>
  <c r="D300" i="10"/>
  <c r="D300" i="9"/>
  <c r="AF299" i="11"/>
  <c r="AF299" i="10"/>
  <c r="AF299" i="9"/>
  <c r="X299" i="11"/>
  <c r="X299" i="10"/>
  <c r="X299" i="9"/>
  <c r="P299" i="11"/>
  <c r="P299" i="10"/>
  <c r="P299" i="9"/>
  <c r="H299" i="11"/>
  <c r="H299" i="10"/>
  <c r="H299" i="9"/>
  <c r="AB298" i="11"/>
  <c r="AB298" i="10"/>
  <c r="AB298" i="9"/>
  <c r="T298" i="11"/>
  <c r="T298" i="10"/>
  <c r="T298" i="9"/>
  <c r="L298" i="11"/>
  <c r="L298" i="10"/>
  <c r="L298" i="9"/>
  <c r="D298" i="11"/>
  <c r="D298" i="10"/>
  <c r="D298" i="9"/>
  <c r="AF297" i="11"/>
  <c r="AF297" i="10"/>
  <c r="AF297" i="9"/>
  <c r="X297" i="11"/>
  <c r="X297" i="10"/>
  <c r="X297" i="9"/>
  <c r="P297" i="11"/>
  <c r="P297" i="10"/>
  <c r="P297" i="9"/>
  <c r="H297" i="11"/>
  <c r="H297" i="10"/>
  <c r="H297" i="9"/>
  <c r="AB296" i="11"/>
  <c r="AB296" i="10"/>
  <c r="AB296" i="9"/>
  <c r="T296" i="11"/>
  <c r="T296" i="10"/>
  <c r="T296" i="9"/>
  <c r="L296" i="11"/>
  <c r="L296" i="10"/>
  <c r="L296" i="9"/>
  <c r="D296" i="11"/>
  <c r="D296" i="10"/>
  <c r="D296" i="9"/>
  <c r="AF295" i="11"/>
  <c r="AF295" i="10"/>
  <c r="AF295" i="9"/>
  <c r="X295" i="11"/>
  <c r="X295" i="10"/>
  <c r="X295" i="9"/>
  <c r="P295" i="11"/>
  <c r="P295" i="10"/>
  <c r="P295" i="9"/>
  <c r="H295" i="11"/>
  <c r="H295" i="10"/>
  <c r="H295" i="9"/>
  <c r="AB294" i="11"/>
  <c r="AB294" i="10"/>
  <c r="AB294" i="9"/>
  <c r="T294" i="11"/>
  <c r="T294" i="10"/>
  <c r="T294" i="9"/>
  <c r="L294" i="11"/>
  <c r="L294" i="10"/>
  <c r="L294" i="9"/>
  <c r="D294" i="11"/>
  <c r="D294" i="10"/>
  <c r="D294" i="9"/>
  <c r="X293" i="11"/>
  <c r="X293" i="10"/>
  <c r="X293" i="9"/>
  <c r="P293" i="11"/>
  <c r="P293" i="10"/>
  <c r="P293" i="9"/>
  <c r="H293" i="11"/>
  <c r="H293" i="10"/>
  <c r="H293" i="9"/>
  <c r="AB292" i="11"/>
  <c r="AB292" i="10"/>
  <c r="AB292" i="9"/>
  <c r="T292" i="11"/>
  <c r="T292" i="10"/>
  <c r="T292" i="9"/>
  <c r="L292" i="11"/>
  <c r="L292" i="10"/>
  <c r="L292" i="9"/>
  <c r="D292" i="11"/>
  <c r="D292" i="10"/>
  <c r="D292" i="9"/>
  <c r="AF291" i="11"/>
  <c r="AF291" i="10"/>
  <c r="AF291" i="9"/>
  <c r="X291" i="11"/>
  <c r="X291" i="10"/>
  <c r="X291" i="9"/>
  <c r="P291" i="11"/>
  <c r="P291" i="10"/>
  <c r="P291" i="9"/>
  <c r="H291" i="11"/>
  <c r="H291" i="10"/>
  <c r="H291" i="9"/>
  <c r="AB290" i="11"/>
  <c r="AB290" i="10"/>
  <c r="AB290" i="9"/>
  <c r="T290" i="11"/>
  <c r="T290" i="10"/>
  <c r="T290" i="9"/>
  <c r="L290" i="11"/>
  <c r="L290" i="10"/>
  <c r="L290" i="9"/>
  <c r="D290" i="11"/>
  <c r="D290" i="10"/>
  <c r="D290" i="9"/>
  <c r="AF289" i="11"/>
  <c r="AF289" i="10"/>
  <c r="AF289" i="9"/>
  <c r="X289" i="11"/>
  <c r="X289" i="10"/>
  <c r="X289" i="9"/>
  <c r="P289" i="11"/>
  <c r="P289" i="10"/>
  <c r="P289" i="9"/>
  <c r="H289" i="11"/>
  <c r="H289" i="10"/>
  <c r="H289" i="9"/>
  <c r="AB288" i="11"/>
  <c r="AB288" i="10"/>
  <c r="AB288" i="9"/>
  <c r="T288" i="11"/>
  <c r="T288" i="10"/>
  <c r="T288" i="9"/>
  <c r="L288" i="11"/>
  <c r="L288" i="10"/>
  <c r="L288" i="9"/>
  <c r="D288" i="11"/>
  <c r="D288" i="10"/>
  <c r="D288" i="9"/>
  <c r="AF287" i="11"/>
  <c r="AF287" i="10"/>
  <c r="AF287" i="9"/>
  <c r="X287" i="11"/>
  <c r="X287" i="10"/>
  <c r="X287" i="9"/>
  <c r="P287" i="11"/>
  <c r="P287" i="10"/>
  <c r="P287" i="9"/>
  <c r="H287" i="11"/>
  <c r="H287" i="10"/>
  <c r="H287" i="9"/>
  <c r="AB286" i="11"/>
  <c r="AB286" i="10"/>
  <c r="AB286" i="9"/>
  <c r="T286" i="11"/>
  <c r="T286" i="10"/>
  <c r="T286" i="9"/>
  <c r="L286" i="11"/>
  <c r="L286" i="10"/>
  <c r="L286" i="9"/>
  <c r="D286" i="11"/>
  <c r="D286" i="10"/>
  <c r="D286" i="9"/>
  <c r="AF285" i="11"/>
  <c r="AF285" i="10"/>
  <c r="AF285" i="9"/>
  <c r="X285" i="11"/>
  <c r="X285" i="10"/>
  <c r="X285" i="9"/>
  <c r="P285" i="11"/>
  <c r="P285" i="10"/>
  <c r="P285" i="9"/>
  <c r="H285" i="11"/>
  <c r="H285" i="10"/>
  <c r="H285" i="9"/>
  <c r="AB284" i="11"/>
  <c r="AB284" i="10"/>
  <c r="AB284" i="9"/>
  <c r="T284" i="11"/>
  <c r="T284" i="10"/>
  <c r="T284" i="9"/>
  <c r="L284" i="11"/>
  <c r="L284" i="10"/>
  <c r="L284" i="9"/>
  <c r="D284" i="11"/>
  <c r="D284" i="10"/>
  <c r="D284" i="9"/>
  <c r="AF283" i="11"/>
  <c r="AF283" i="10"/>
  <c r="AF283" i="9"/>
  <c r="X283" i="11"/>
  <c r="X283" i="10"/>
  <c r="X283" i="9"/>
  <c r="P283" i="11"/>
  <c r="P283" i="10"/>
  <c r="P283" i="9"/>
  <c r="H283" i="11"/>
  <c r="H283" i="10"/>
  <c r="H283" i="9"/>
  <c r="AB282" i="11"/>
  <c r="AB282" i="10"/>
  <c r="AB282" i="9"/>
  <c r="T282" i="11"/>
  <c r="T282" i="10"/>
  <c r="T282" i="9"/>
  <c r="L282" i="11"/>
  <c r="L282" i="10"/>
  <c r="L282" i="9"/>
  <c r="D282" i="11"/>
  <c r="D282" i="10"/>
  <c r="D282" i="9"/>
  <c r="AF281" i="11"/>
  <c r="AF281" i="10"/>
  <c r="AF281" i="9"/>
  <c r="X281" i="11"/>
  <c r="X281" i="10"/>
  <c r="X281" i="9"/>
  <c r="P281" i="11"/>
  <c r="P281" i="10"/>
  <c r="P281" i="9"/>
  <c r="H281" i="11"/>
  <c r="H281" i="10"/>
  <c r="H281" i="9"/>
  <c r="AB280" i="11"/>
  <c r="AB280" i="10"/>
  <c r="AB280" i="9"/>
  <c r="T280" i="11"/>
  <c r="T280" i="10"/>
  <c r="T280" i="9"/>
  <c r="L280" i="11"/>
  <c r="L280" i="10"/>
  <c r="L280" i="9"/>
  <c r="D280" i="11"/>
  <c r="D280" i="10"/>
  <c r="D280" i="9"/>
  <c r="AF279" i="11"/>
  <c r="AF279" i="10"/>
  <c r="AF279" i="9"/>
  <c r="X279" i="11"/>
  <c r="X279" i="10"/>
  <c r="X279" i="9"/>
  <c r="P279" i="11"/>
  <c r="P279" i="10"/>
  <c r="P279" i="9"/>
  <c r="H279" i="11"/>
  <c r="H279" i="10"/>
  <c r="H279" i="9"/>
  <c r="AB278" i="11"/>
  <c r="AB278" i="10"/>
  <c r="AB278" i="9"/>
  <c r="T278" i="11"/>
  <c r="T278" i="10"/>
  <c r="T278" i="9"/>
  <c r="L278" i="11"/>
  <c r="L278" i="10"/>
  <c r="L278" i="9"/>
  <c r="D278" i="11"/>
  <c r="D278" i="10"/>
  <c r="D278" i="9"/>
  <c r="X277" i="11"/>
  <c r="X277" i="10"/>
  <c r="X277" i="9"/>
  <c r="P277" i="11"/>
  <c r="P277" i="10"/>
  <c r="P277" i="9"/>
  <c r="H277" i="11"/>
  <c r="H277" i="10"/>
  <c r="H277" i="9"/>
  <c r="AB276" i="11"/>
  <c r="AB276" i="10"/>
  <c r="AB276" i="9"/>
  <c r="T276" i="11"/>
  <c r="T276" i="10"/>
  <c r="T276" i="9"/>
  <c r="L276" i="11"/>
  <c r="L276" i="10"/>
  <c r="L276" i="9"/>
  <c r="D276" i="11"/>
  <c r="D276" i="10"/>
  <c r="D276" i="9"/>
  <c r="X275" i="11"/>
  <c r="X275" i="10"/>
  <c r="X275" i="9"/>
  <c r="P275" i="11"/>
  <c r="P275" i="10"/>
  <c r="P275" i="9"/>
  <c r="H275" i="11"/>
  <c r="H275" i="10"/>
  <c r="H275" i="9"/>
  <c r="AB274" i="11"/>
  <c r="AB274" i="10"/>
  <c r="AB274" i="9"/>
  <c r="T274" i="11"/>
  <c r="T274" i="10"/>
  <c r="T274" i="9"/>
  <c r="L274" i="11"/>
  <c r="L274" i="10"/>
  <c r="L274" i="9"/>
  <c r="D274" i="11"/>
  <c r="D274" i="10"/>
  <c r="D274" i="9"/>
  <c r="AF273" i="11"/>
  <c r="AF273" i="10"/>
  <c r="AF273" i="9"/>
  <c r="X273" i="11"/>
  <c r="X273" i="10"/>
  <c r="X273" i="9"/>
  <c r="P273" i="11"/>
  <c r="P273" i="10"/>
  <c r="P273" i="9"/>
  <c r="H273" i="11"/>
  <c r="H273" i="10"/>
  <c r="H273" i="9"/>
  <c r="AB272" i="11"/>
  <c r="AB272" i="10"/>
  <c r="AB272" i="9"/>
  <c r="T272" i="11"/>
  <c r="T272" i="10"/>
  <c r="T272" i="9"/>
  <c r="L272" i="11"/>
  <c r="L272" i="10"/>
  <c r="L272" i="9"/>
  <c r="D272" i="11"/>
  <c r="D272" i="10"/>
  <c r="D272" i="9"/>
  <c r="AF271" i="11"/>
  <c r="AF271" i="10"/>
  <c r="AF271" i="9"/>
  <c r="X271" i="11"/>
  <c r="X271" i="10"/>
  <c r="X271" i="9"/>
  <c r="P271" i="11"/>
  <c r="P271" i="10"/>
  <c r="P271" i="9"/>
  <c r="H271" i="11"/>
  <c r="H271" i="10"/>
  <c r="H271" i="9"/>
  <c r="AB270" i="11"/>
  <c r="AB270" i="10"/>
  <c r="AB270" i="9"/>
  <c r="T270" i="11"/>
  <c r="T270" i="10"/>
  <c r="T270" i="9"/>
  <c r="L270" i="11"/>
  <c r="L270" i="10"/>
  <c r="L270" i="9"/>
  <c r="D270" i="11"/>
  <c r="D270" i="10"/>
  <c r="D270" i="9"/>
  <c r="X269" i="11"/>
  <c r="X269" i="10"/>
  <c r="X269" i="9"/>
  <c r="P269" i="11"/>
  <c r="P269" i="10"/>
  <c r="P269" i="9"/>
  <c r="H269" i="11"/>
  <c r="H269" i="10"/>
  <c r="H269" i="9"/>
  <c r="AB268" i="11"/>
  <c r="AB268" i="10"/>
  <c r="AB268" i="9"/>
  <c r="T268" i="11"/>
  <c r="T268" i="10"/>
  <c r="T268" i="9"/>
  <c r="L268" i="11"/>
  <c r="L268" i="10"/>
  <c r="L268" i="9"/>
  <c r="D268" i="11"/>
  <c r="D268" i="10"/>
  <c r="D268" i="9"/>
  <c r="AF267" i="11"/>
  <c r="AF267" i="10"/>
  <c r="AF267" i="9"/>
  <c r="X267" i="11"/>
  <c r="X267" i="10"/>
  <c r="X267" i="9"/>
  <c r="P267" i="11"/>
  <c r="P267" i="10"/>
  <c r="P267" i="9"/>
  <c r="H267" i="11"/>
  <c r="H267" i="10"/>
  <c r="H267" i="9"/>
  <c r="AB266" i="11"/>
  <c r="AB266" i="10"/>
  <c r="AB266" i="9"/>
  <c r="T266" i="11"/>
  <c r="T266" i="10"/>
  <c r="T266" i="9"/>
  <c r="L266" i="11"/>
  <c r="L266" i="10"/>
  <c r="L266" i="9"/>
  <c r="D266" i="11"/>
  <c r="D266" i="10"/>
  <c r="D266" i="9"/>
  <c r="AF265" i="11"/>
  <c r="AF265" i="10"/>
  <c r="AF265" i="9"/>
  <c r="X265" i="11"/>
  <c r="X265" i="10"/>
  <c r="X265" i="9"/>
  <c r="P265" i="11"/>
  <c r="P265" i="10"/>
  <c r="P265" i="9"/>
  <c r="H265" i="11"/>
  <c r="H265" i="10"/>
  <c r="H265" i="9"/>
  <c r="AB264" i="11"/>
  <c r="AB264" i="10"/>
  <c r="AB264" i="9"/>
  <c r="T264" i="11"/>
  <c r="T264" i="10"/>
  <c r="T264" i="9"/>
  <c r="L264" i="11"/>
  <c r="L264" i="10"/>
  <c r="L264" i="9"/>
  <c r="D264" i="11"/>
  <c r="D264" i="10"/>
  <c r="D264" i="9"/>
  <c r="AF263" i="11"/>
  <c r="AF263" i="10"/>
  <c r="AF263" i="9"/>
  <c r="X263" i="11"/>
  <c r="X263" i="10"/>
  <c r="X263" i="9"/>
  <c r="P263" i="11"/>
  <c r="P263" i="10"/>
  <c r="P263" i="9"/>
  <c r="H263" i="11"/>
  <c r="H263" i="10"/>
  <c r="H263" i="9"/>
  <c r="AB262" i="11"/>
  <c r="AB262" i="10"/>
  <c r="AB262" i="9"/>
  <c r="T262" i="11"/>
  <c r="T262" i="10"/>
  <c r="T262" i="9"/>
  <c r="L262" i="11"/>
  <c r="L262" i="10"/>
  <c r="L262" i="9"/>
  <c r="D262" i="11"/>
  <c r="D262" i="10"/>
  <c r="D262" i="9"/>
  <c r="AF261" i="11"/>
  <c r="AF261" i="10"/>
  <c r="AF261" i="9"/>
  <c r="X261" i="11"/>
  <c r="X261" i="10"/>
  <c r="X261" i="9"/>
  <c r="P261" i="11"/>
  <c r="P261" i="10"/>
  <c r="P261" i="9"/>
  <c r="H261" i="11"/>
  <c r="H261" i="10"/>
  <c r="H261" i="9"/>
  <c r="AB260" i="11"/>
  <c r="AB260" i="10"/>
  <c r="AB260" i="9"/>
  <c r="T260" i="11"/>
  <c r="T260" i="10"/>
  <c r="T260" i="9"/>
  <c r="L260" i="11"/>
  <c r="L260" i="10"/>
  <c r="L260" i="9"/>
  <c r="D260" i="11"/>
  <c r="D260" i="10"/>
  <c r="D260" i="9"/>
  <c r="AF259" i="11"/>
  <c r="AF259" i="10"/>
  <c r="AF259" i="9"/>
  <c r="X259" i="11"/>
  <c r="X259" i="10"/>
  <c r="X259" i="9"/>
  <c r="P259" i="11"/>
  <c r="P259" i="10"/>
  <c r="P259" i="9"/>
  <c r="H259" i="11"/>
  <c r="H259" i="10"/>
  <c r="H259" i="9"/>
  <c r="AB258" i="11"/>
  <c r="AB258" i="10"/>
  <c r="AB258" i="9"/>
  <c r="T258" i="11"/>
  <c r="T258" i="10"/>
  <c r="T258" i="9"/>
  <c r="L258" i="11"/>
  <c r="L258" i="10"/>
  <c r="L258" i="9"/>
  <c r="D258" i="11"/>
  <c r="D258" i="10"/>
  <c r="D258" i="9"/>
  <c r="X257" i="11"/>
  <c r="X257" i="10"/>
  <c r="X257" i="9"/>
  <c r="P257" i="11"/>
  <c r="P257" i="10"/>
  <c r="P257" i="9"/>
  <c r="H257" i="11"/>
  <c r="H257" i="10"/>
  <c r="H257" i="9"/>
  <c r="AB256" i="11"/>
  <c r="AB256" i="10"/>
  <c r="AB256" i="9"/>
  <c r="T256" i="11"/>
  <c r="T256" i="10"/>
  <c r="T256" i="9"/>
  <c r="L256" i="11"/>
  <c r="L256" i="10"/>
  <c r="L256" i="9"/>
  <c r="D256" i="11"/>
  <c r="D256" i="10"/>
  <c r="D256" i="9"/>
  <c r="AF255" i="11"/>
  <c r="AF255" i="10"/>
  <c r="AF255" i="9"/>
  <c r="X255" i="11"/>
  <c r="X255" i="10"/>
  <c r="X255" i="9"/>
  <c r="P255" i="11"/>
  <c r="P255" i="10"/>
  <c r="P255" i="9"/>
  <c r="H255" i="11"/>
  <c r="H255" i="10"/>
  <c r="H255" i="9"/>
  <c r="AB254" i="11"/>
  <c r="AB254" i="10"/>
  <c r="AB254" i="9"/>
  <c r="T254" i="11"/>
  <c r="T254" i="10"/>
  <c r="T254" i="9"/>
  <c r="L254" i="11"/>
  <c r="L254" i="10"/>
  <c r="L254" i="9"/>
  <c r="D254" i="11"/>
  <c r="D254" i="10"/>
  <c r="D254" i="9"/>
  <c r="AF253" i="11"/>
  <c r="AF253" i="10"/>
  <c r="AF253" i="9"/>
  <c r="X253" i="11"/>
  <c r="X253" i="10"/>
  <c r="X253" i="9"/>
  <c r="P253" i="11"/>
  <c r="P253" i="10"/>
  <c r="P253" i="9"/>
  <c r="H253" i="11"/>
  <c r="H253" i="10"/>
  <c r="H253" i="9"/>
  <c r="AB252" i="11"/>
  <c r="AB252" i="10"/>
  <c r="AB252" i="9"/>
  <c r="T252" i="11"/>
  <c r="T252" i="10"/>
  <c r="T252" i="9"/>
  <c r="L252" i="11"/>
  <c r="L252" i="10"/>
  <c r="L252" i="9"/>
  <c r="D252" i="11"/>
  <c r="D252" i="10"/>
  <c r="D252" i="9"/>
  <c r="AF251" i="11"/>
  <c r="AF251" i="10"/>
  <c r="AF251" i="9"/>
  <c r="X251" i="11"/>
  <c r="X251" i="10"/>
  <c r="X251" i="9"/>
  <c r="P251" i="11"/>
  <c r="P251" i="10"/>
  <c r="P251" i="9"/>
  <c r="H251" i="11"/>
  <c r="H251" i="10"/>
  <c r="H251" i="9"/>
  <c r="AB250" i="11"/>
  <c r="AB250" i="10"/>
  <c r="AB250" i="9"/>
  <c r="T250" i="11"/>
  <c r="T250" i="10"/>
  <c r="T250" i="9"/>
  <c r="L250" i="11"/>
  <c r="L250" i="10"/>
  <c r="L250" i="9"/>
  <c r="D250" i="11"/>
  <c r="D250" i="10"/>
  <c r="D250" i="9"/>
  <c r="X249" i="11"/>
  <c r="X249" i="10"/>
  <c r="X249" i="9"/>
  <c r="P249" i="11"/>
  <c r="P249" i="10"/>
  <c r="P249" i="9"/>
  <c r="H249" i="11"/>
  <c r="H249" i="10"/>
  <c r="H249" i="9"/>
  <c r="AB248" i="11"/>
  <c r="AB248" i="10"/>
  <c r="AB248" i="9"/>
  <c r="T248" i="11"/>
  <c r="T248" i="10"/>
  <c r="T248" i="9"/>
  <c r="L248" i="11"/>
  <c r="L248" i="10"/>
  <c r="L248" i="9"/>
  <c r="D248" i="11"/>
  <c r="D248" i="10"/>
  <c r="D248" i="9"/>
  <c r="X247" i="11"/>
  <c r="X247" i="10"/>
  <c r="X247" i="9"/>
  <c r="P247" i="11"/>
  <c r="P247" i="10"/>
  <c r="P247" i="9"/>
  <c r="H247" i="11"/>
  <c r="H247" i="10"/>
  <c r="H247" i="9"/>
  <c r="AB246" i="11"/>
  <c r="AB246" i="10"/>
  <c r="AB246" i="9"/>
  <c r="T246" i="11"/>
  <c r="T246" i="10"/>
  <c r="T246" i="9"/>
  <c r="L246" i="11"/>
  <c r="L246" i="10"/>
  <c r="L246" i="9"/>
  <c r="D246" i="11"/>
  <c r="D246" i="10"/>
  <c r="D246" i="9"/>
  <c r="AF245" i="11"/>
  <c r="AF245" i="9"/>
  <c r="X245" i="11"/>
  <c r="X245" i="10"/>
  <c r="X245" i="9"/>
  <c r="P245" i="11"/>
  <c r="P245" i="10"/>
  <c r="P245" i="9"/>
  <c r="H245" i="11"/>
  <c r="H245" i="10"/>
  <c r="H245" i="9"/>
  <c r="AB244" i="11"/>
  <c r="AB244" i="10"/>
  <c r="AB244" i="9"/>
  <c r="T244" i="11"/>
  <c r="T244" i="10"/>
  <c r="T244" i="9"/>
  <c r="L244" i="11"/>
  <c r="L244" i="10"/>
  <c r="L244" i="9"/>
  <c r="D244" i="11"/>
  <c r="D244" i="10"/>
  <c r="D244" i="9"/>
  <c r="AF243" i="11"/>
  <c r="AF243" i="10"/>
  <c r="AF243" i="9"/>
  <c r="X243" i="11"/>
  <c r="X243" i="10"/>
  <c r="X243" i="9"/>
  <c r="P243" i="11"/>
  <c r="P243" i="10"/>
  <c r="P243" i="9"/>
  <c r="H243" i="11"/>
  <c r="H243" i="10"/>
  <c r="H243" i="9"/>
  <c r="AB242" i="11"/>
  <c r="AB242" i="10"/>
  <c r="AB242" i="9"/>
  <c r="T242" i="11"/>
  <c r="T242" i="10"/>
  <c r="T242" i="9"/>
  <c r="L242" i="11"/>
  <c r="L242" i="10"/>
  <c r="L242" i="9"/>
  <c r="D242" i="11"/>
  <c r="D242" i="10"/>
  <c r="D242" i="9"/>
  <c r="AF241" i="11"/>
  <c r="AF241" i="10"/>
  <c r="AF241" i="9"/>
  <c r="X241" i="11"/>
  <c r="X241" i="10"/>
  <c r="X241" i="9"/>
  <c r="P241" i="11"/>
  <c r="P241" i="10"/>
  <c r="P241" i="9"/>
  <c r="H241" i="11"/>
  <c r="H241" i="10"/>
  <c r="H241" i="9"/>
  <c r="AB240" i="11"/>
  <c r="AB240" i="10"/>
  <c r="AB240" i="9"/>
  <c r="T240" i="11"/>
  <c r="T240" i="10"/>
  <c r="T240" i="9"/>
  <c r="L240" i="11"/>
  <c r="L240" i="10"/>
  <c r="L240" i="9"/>
  <c r="D240" i="11"/>
  <c r="D240" i="10"/>
  <c r="D240" i="9"/>
  <c r="AF239" i="11"/>
  <c r="AF239" i="10"/>
  <c r="AF239" i="9"/>
  <c r="X239" i="11"/>
  <c r="X239" i="10"/>
  <c r="X239" i="9"/>
  <c r="P239" i="11"/>
  <c r="P239" i="10"/>
  <c r="P239" i="9"/>
  <c r="H239" i="11"/>
  <c r="H239" i="10"/>
  <c r="H239" i="9"/>
  <c r="AB238" i="11"/>
  <c r="AB238" i="10"/>
  <c r="AB238" i="9"/>
  <c r="T238" i="11"/>
  <c r="T238" i="10"/>
  <c r="T238" i="9"/>
  <c r="L238" i="11"/>
  <c r="L238" i="10"/>
  <c r="L238" i="9"/>
  <c r="D238" i="11"/>
  <c r="D238" i="10"/>
  <c r="D238" i="9"/>
  <c r="AF237" i="11"/>
  <c r="AF237" i="10"/>
  <c r="AF237" i="9"/>
  <c r="X237" i="11"/>
  <c r="X237" i="10"/>
  <c r="X237" i="9"/>
  <c r="P237" i="11"/>
  <c r="P237" i="10"/>
  <c r="P237" i="9"/>
  <c r="H237" i="11"/>
  <c r="H237" i="10"/>
  <c r="H237" i="9"/>
  <c r="AB236" i="11"/>
  <c r="AB236" i="10"/>
  <c r="AB236" i="9"/>
  <c r="T236" i="11"/>
  <c r="T236" i="10"/>
  <c r="T236" i="9"/>
  <c r="L236" i="11"/>
  <c r="L236" i="10"/>
  <c r="L236" i="9"/>
  <c r="D236" i="11"/>
  <c r="D236" i="10"/>
  <c r="D236" i="9"/>
  <c r="AF235" i="11"/>
  <c r="AF235" i="10"/>
  <c r="AF235" i="9"/>
  <c r="X235" i="11"/>
  <c r="X235" i="10"/>
  <c r="X235" i="9"/>
  <c r="P235" i="11"/>
  <c r="P235" i="10"/>
  <c r="P235" i="9"/>
  <c r="H235" i="11"/>
  <c r="H235" i="10"/>
  <c r="H235" i="9"/>
  <c r="AB234" i="11"/>
  <c r="AB234" i="10"/>
  <c r="AB234" i="9"/>
  <c r="T234" i="11"/>
  <c r="T234" i="10"/>
  <c r="T234" i="9"/>
  <c r="L234" i="11"/>
  <c r="L234" i="10"/>
  <c r="L234" i="9"/>
  <c r="D234" i="11"/>
  <c r="D234" i="10"/>
  <c r="D234" i="9"/>
  <c r="AF233" i="11"/>
  <c r="AF233" i="10"/>
  <c r="AF233" i="9"/>
  <c r="X233" i="11"/>
  <c r="X233" i="10"/>
  <c r="X233" i="9"/>
  <c r="P233" i="11"/>
  <c r="P233" i="10"/>
  <c r="P233" i="9"/>
  <c r="H233" i="11"/>
  <c r="H233" i="10"/>
  <c r="H233" i="9"/>
  <c r="AB232" i="11"/>
  <c r="AB232" i="10"/>
  <c r="AB232" i="9"/>
  <c r="T232" i="11"/>
  <c r="T232" i="10"/>
  <c r="T232" i="9"/>
  <c r="L232" i="11"/>
  <c r="L232" i="10"/>
  <c r="L232" i="9"/>
  <c r="D232" i="11"/>
  <c r="D232" i="10"/>
  <c r="D232" i="9"/>
  <c r="AF231" i="11"/>
  <c r="AF231" i="10"/>
  <c r="AF231" i="9"/>
  <c r="X231" i="11"/>
  <c r="X231" i="10"/>
  <c r="X231" i="9"/>
  <c r="P231" i="11"/>
  <c r="P231" i="10"/>
  <c r="P231" i="9"/>
  <c r="H231" i="11"/>
  <c r="H231" i="10"/>
  <c r="H231" i="9"/>
  <c r="AB230" i="11"/>
  <c r="AB230" i="10"/>
  <c r="AB230" i="9"/>
  <c r="T230" i="11"/>
  <c r="T230" i="10"/>
  <c r="T230" i="9"/>
  <c r="L230" i="11"/>
  <c r="L230" i="10"/>
  <c r="L230" i="9"/>
  <c r="D230" i="11"/>
  <c r="D230" i="10"/>
  <c r="D230" i="9"/>
  <c r="AF229" i="11"/>
  <c r="AF229" i="10"/>
  <c r="AF229" i="9"/>
  <c r="X229" i="11"/>
  <c r="X229" i="10"/>
  <c r="X229" i="9"/>
  <c r="P229" i="11"/>
  <c r="P229" i="10"/>
  <c r="P229" i="9"/>
  <c r="H229" i="11"/>
  <c r="H229" i="10"/>
  <c r="H229" i="9"/>
  <c r="AB228" i="11"/>
  <c r="AB228" i="10"/>
  <c r="AB228" i="9"/>
  <c r="T228" i="11"/>
  <c r="T228" i="10"/>
  <c r="T228" i="9"/>
  <c r="L228" i="11"/>
  <c r="L228" i="10"/>
  <c r="L228" i="9"/>
  <c r="D228" i="11"/>
  <c r="D228" i="10"/>
  <c r="D228" i="9"/>
  <c r="AF227" i="11"/>
  <c r="AF227" i="10"/>
  <c r="AF227" i="9"/>
  <c r="X227" i="11"/>
  <c r="X227" i="10"/>
  <c r="X227" i="9"/>
  <c r="P227" i="11"/>
  <c r="P227" i="10"/>
  <c r="P227" i="9"/>
  <c r="H227" i="11"/>
  <c r="H227" i="10"/>
  <c r="H227" i="9"/>
  <c r="AB226" i="11"/>
  <c r="AB226" i="10"/>
  <c r="AB226" i="9"/>
  <c r="T226" i="11"/>
  <c r="T226" i="10"/>
  <c r="T226" i="9"/>
  <c r="L226" i="11"/>
  <c r="L226" i="10"/>
  <c r="L226" i="9"/>
  <c r="D226" i="11"/>
  <c r="D226" i="10"/>
  <c r="D226" i="9"/>
  <c r="AF225" i="11"/>
  <c r="AF225" i="10"/>
  <c r="AF225" i="9"/>
  <c r="X225" i="11"/>
  <c r="X225" i="10"/>
  <c r="X225" i="9"/>
  <c r="P225" i="11"/>
  <c r="P225" i="10"/>
  <c r="P225" i="9"/>
  <c r="H225" i="11"/>
  <c r="H225" i="10"/>
  <c r="H225" i="9"/>
  <c r="AB224" i="11"/>
  <c r="AB224" i="10"/>
  <c r="AB224" i="9"/>
  <c r="T224" i="11"/>
  <c r="T224" i="10"/>
  <c r="T224" i="9"/>
  <c r="L224" i="11"/>
  <c r="L224" i="10"/>
  <c r="L224" i="9"/>
  <c r="D224" i="11"/>
  <c r="D224" i="10"/>
  <c r="D224" i="9"/>
  <c r="AF223" i="11"/>
  <c r="AF223" i="10"/>
  <c r="AF223" i="9"/>
  <c r="X223" i="11"/>
  <c r="X223" i="10"/>
  <c r="X223" i="9"/>
  <c r="P223" i="11"/>
  <c r="P223" i="10"/>
  <c r="P223" i="9"/>
  <c r="H223" i="11"/>
  <c r="H223" i="10"/>
  <c r="H223" i="9"/>
  <c r="AB222" i="11"/>
  <c r="AB222" i="10"/>
  <c r="AB222" i="9"/>
  <c r="T222" i="11"/>
  <c r="T222" i="10"/>
  <c r="T222" i="9"/>
  <c r="L222" i="11"/>
  <c r="L222" i="10"/>
  <c r="L222" i="9"/>
  <c r="D222" i="11"/>
  <c r="D222" i="10"/>
  <c r="D222" i="9"/>
  <c r="AF221" i="11"/>
  <c r="AF221" i="10"/>
  <c r="AF221" i="9"/>
  <c r="X221" i="11"/>
  <c r="X221" i="10"/>
  <c r="X221" i="9"/>
  <c r="P221" i="11"/>
  <c r="P221" i="10"/>
  <c r="P221" i="9"/>
  <c r="H221" i="11"/>
  <c r="H221" i="10"/>
  <c r="H221" i="9"/>
  <c r="AB220" i="11"/>
  <c r="AB220" i="10"/>
  <c r="AB220" i="9"/>
  <c r="T220" i="11"/>
  <c r="T220" i="10"/>
  <c r="T220" i="9"/>
  <c r="L220" i="11"/>
  <c r="L220" i="10"/>
  <c r="L220" i="9"/>
  <c r="D220" i="11"/>
  <c r="D220" i="10"/>
  <c r="D220" i="9"/>
  <c r="AF219" i="11"/>
  <c r="AF219" i="10"/>
  <c r="AF219" i="9"/>
  <c r="X219" i="11"/>
  <c r="X219" i="10"/>
  <c r="X219" i="9"/>
  <c r="P219" i="11"/>
  <c r="P219" i="10"/>
  <c r="P219" i="9"/>
  <c r="H219" i="11"/>
  <c r="H219" i="10"/>
  <c r="H219" i="9"/>
  <c r="AB218" i="11"/>
  <c r="AB218" i="10"/>
  <c r="AB218" i="9"/>
  <c r="T218" i="11"/>
  <c r="T218" i="10"/>
  <c r="T218" i="9"/>
  <c r="L218" i="11"/>
  <c r="L218" i="10"/>
  <c r="L218" i="9"/>
  <c r="D218" i="11"/>
  <c r="D218" i="10"/>
  <c r="D218" i="9"/>
  <c r="AF217" i="11"/>
  <c r="AF217" i="10"/>
  <c r="AF217" i="9"/>
  <c r="X217" i="11"/>
  <c r="X217" i="10"/>
  <c r="X217" i="9"/>
  <c r="P217" i="11"/>
  <c r="P217" i="10"/>
  <c r="P217" i="9"/>
  <c r="H217" i="11"/>
  <c r="H217" i="10"/>
  <c r="H217" i="9"/>
  <c r="AB216" i="11"/>
  <c r="AB216" i="10"/>
  <c r="AB216" i="9"/>
  <c r="T216" i="11"/>
  <c r="T216" i="10"/>
  <c r="T216" i="9"/>
  <c r="L216" i="11"/>
  <c r="L216" i="10"/>
  <c r="L216" i="9"/>
  <c r="D216" i="11"/>
  <c r="D216" i="10"/>
  <c r="D216" i="9"/>
  <c r="AF215" i="11"/>
  <c r="AF215" i="10"/>
  <c r="AF215" i="9"/>
  <c r="X215" i="11"/>
  <c r="X215" i="10"/>
  <c r="X215" i="9"/>
  <c r="P215" i="11"/>
  <c r="P215" i="10"/>
  <c r="P215" i="9"/>
  <c r="H215" i="11"/>
  <c r="H215" i="10"/>
  <c r="H215" i="9"/>
  <c r="AB214" i="11"/>
  <c r="AB214" i="10"/>
  <c r="AB214" i="9"/>
  <c r="T214" i="11"/>
  <c r="T214" i="10"/>
  <c r="T214" i="9"/>
  <c r="L214" i="11"/>
  <c r="L214" i="10"/>
  <c r="L214" i="9"/>
  <c r="D214" i="11"/>
  <c r="D214" i="10"/>
  <c r="D214" i="9"/>
  <c r="AF213" i="11"/>
  <c r="AF213" i="10"/>
  <c r="AF213" i="9"/>
  <c r="X213" i="11"/>
  <c r="X213" i="10"/>
  <c r="X213" i="9"/>
  <c r="P213" i="11"/>
  <c r="P213" i="10"/>
  <c r="P213" i="9"/>
  <c r="H213" i="11"/>
  <c r="H213" i="10"/>
  <c r="H213" i="9"/>
  <c r="AB212" i="11"/>
  <c r="AB212" i="10"/>
  <c r="AB212" i="9"/>
  <c r="T212" i="11"/>
  <c r="T212" i="10"/>
  <c r="T212" i="9"/>
  <c r="L212" i="11"/>
  <c r="L212" i="10"/>
  <c r="L212" i="9"/>
  <c r="D212" i="11"/>
  <c r="D212" i="10"/>
  <c r="D212" i="9"/>
  <c r="AF211" i="11"/>
  <c r="AF211" i="10"/>
  <c r="AF211" i="9"/>
  <c r="X211" i="11"/>
  <c r="X211" i="10"/>
  <c r="X211" i="9"/>
  <c r="P211" i="11"/>
  <c r="P211" i="10"/>
  <c r="P211" i="9"/>
  <c r="H211" i="11"/>
  <c r="H211" i="10"/>
  <c r="H211" i="9"/>
  <c r="AB210" i="11"/>
  <c r="AB210" i="10"/>
  <c r="AB210" i="9"/>
  <c r="T210" i="11"/>
  <c r="T210" i="10"/>
  <c r="T210" i="9"/>
  <c r="L210" i="11"/>
  <c r="L210" i="10"/>
  <c r="L210" i="9"/>
  <c r="D210" i="11"/>
  <c r="D210" i="10"/>
  <c r="D210" i="9"/>
  <c r="AF209" i="11"/>
  <c r="AF209" i="10"/>
  <c r="AF209" i="9"/>
  <c r="X209" i="11"/>
  <c r="X209" i="10"/>
  <c r="X209" i="9"/>
  <c r="P209" i="11"/>
  <c r="P209" i="10"/>
  <c r="P209" i="9"/>
  <c r="H209" i="11"/>
  <c r="H209" i="10"/>
  <c r="H209" i="9"/>
  <c r="AB208" i="11"/>
  <c r="AB208" i="10"/>
  <c r="AB208" i="9"/>
  <c r="T208" i="11"/>
  <c r="T208" i="10"/>
  <c r="T208" i="9"/>
  <c r="L208" i="11"/>
  <c r="L208" i="10"/>
  <c r="L208" i="9"/>
  <c r="D208" i="11"/>
  <c r="D208" i="10"/>
  <c r="D208" i="9"/>
  <c r="AF207" i="11"/>
  <c r="AF207" i="10"/>
  <c r="AF207" i="9"/>
  <c r="X207" i="11"/>
  <c r="X207" i="10"/>
  <c r="X207" i="9"/>
  <c r="P207" i="11"/>
  <c r="P207" i="10"/>
  <c r="P207" i="9"/>
  <c r="H207" i="11"/>
  <c r="H207" i="10"/>
  <c r="H207" i="9"/>
  <c r="AB206" i="11"/>
  <c r="AB206" i="10"/>
  <c r="AB206" i="9"/>
  <c r="T206" i="11"/>
  <c r="T206" i="10"/>
  <c r="T206" i="9"/>
  <c r="L206" i="11"/>
  <c r="L206" i="10"/>
  <c r="L206" i="9"/>
  <c r="D206" i="11"/>
  <c r="D206" i="10"/>
  <c r="D206" i="9"/>
  <c r="AF205" i="11"/>
  <c r="AF205" i="10"/>
  <c r="AF205" i="9"/>
  <c r="X205" i="11"/>
  <c r="X205" i="10"/>
  <c r="X205" i="9"/>
  <c r="P205" i="11"/>
  <c r="P205" i="10"/>
  <c r="P205" i="9"/>
  <c r="H205" i="11"/>
  <c r="H205" i="10"/>
  <c r="H205" i="9"/>
  <c r="AB204" i="11"/>
  <c r="AB204" i="10"/>
  <c r="AB204" i="9"/>
  <c r="T204" i="11"/>
  <c r="T204" i="10"/>
  <c r="T204" i="9"/>
  <c r="L204" i="11"/>
  <c r="L204" i="10"/>
  <c r="L204" i="9"/>
  <c r="D204" i="11"/>
  <c r="D204" i="10"/>
  <c r="D204" i="9"/>
  <c r="X203" i="11"/>
  <c r="X203" i="10"/>
  <c r="X203" i="9"/>
  <c r="P203" i="11"/>
  <c r="P203" i="10"/>
  <c r="P203" i="9"/>
  <c r="H203" i="11"/>
  <c r="H203" i="10"/>
  <c r="H203" i="9"/>
  <c r="AB202" i="11"/>
  <c r="AB202" i="10"/>
  <c r="AB202" i="9"/>
  <c r="T202" i="11"/>
  <c r="T202" i="10"/>
  <c r="T202" i="9"/>
  <c r="L202" i="11"/>
  <c r="L202" i="10"/>
  <c r="L202" i="9"/>
  <c r="D202" i="11"/>
  <c r="D202" i="10"/>
  <c r="D202" i="9"/>
  <c r="AF201" i="11"/>
  <c r="AF201" i="10"/>
  <c r="AF201" i="9"/>
  <c r="X201" i="11"/>
  <c r="X201" i="10"/>
  <c r="X201" i="9"/>
  <c r="P201" i="11"/>
  <c r="P201" i="10"/>
  <c r="P201" i="9"/>
  <c r="H201" i="11"/>
  <c r="H201" i="10"/>
  <c r="H201" i="9"/>
  <c r="AB200" i="11"/>
  <c r="AB200" i="10"/>
  <c r="AB200" i="9"/>
  <c r="T200" i="11"/>
  <c r="T200" i="10"/>
  <c r="T200" i="9"/>
  <c r="L200" i="11"/>
  <c r="L200" i="10"/>
  <c r="L200" i="9"/>
  <c r="D200" i="11"/>
  <c r="D200" i="10"/>
  <c r="D200" i="9"/>
  <c r="X199" i="11"/>
  <c r="X199" i="10"/>
  <c r="X199" i="9"/>
  <c r="P199" i="11"/>
  <c r="P199" i="10"/>
  <c r="P199" i="9"/>
  <c r="H199" i="11"/>
  <c r="H199" i="10"/>
  <c r="H199" i="9"/>
  <c r="AB198" i="11"/>
  <c r="AB198" i="10"/>
  <c r="AB198" i="9"/>
  <c r="T198" i="11"/>
  <c r="T198" i="10"/>
  <c r="T198" i="9"/>
  <c r="L198" i="11"/>
  <c r="L198" i="10"/>
  <c r="L198" i="9"/>
  <c r="D198" i="11"/>
  <c r="D198" i="10"/>
  <c r="D198" i="9"/>
  <c r="AF197" i="11"/>
  <c r="AF197" i="10"/>
  <c r="AF197" i="9"/>
  <c r="X197" i="11"/>
  <c r="X197" i="10"/>
  <c r="X197" i="9"/>
  <c r="P197" i="11"/>
  <c r="P197" i="10"/>
  <c r="P197" i="9"/>
  <c r="H197" i="11"/>
  <c r="H197" i="10"/>
  <c r="H197" i="9"/>
  <c r="AB196" i="11"/>
  <c r="AB196" i="10"/>
  <c r="AB196" i="9"/>
  <c r="T196" i="11"/>
  <c r="T196" i="10"/>
  <c r="T196" i="9"/>
  <c r="L196" i="11"/>
  <c r="L196" i="10"/>
  <c r="L196" i="9"/>
  <c r="D196" i="11"/>
  <c r="D196" i="10"/>
  <c r="D196" i="9"/>
  <c r="X195" i="11"/>
  <c r="X195" i="10"/>
  <c r="X195" i="9"/>
  <c r="P195" i="11"/>
  <c r="P195" i="10"/>
  <c r="P195" i="9"/>
  <c r="H195" i="11"/>
  <c r="H195" i="10"/>
  <c r="H195" i="9"/>
  <c r="AB194" i="11"/>
  <c r="AB194" i="10"/>
  <c r="AB194" i="9"/>
  <c r="T194" i="11"/>
  <c r="T194" i="10"/>
  <c r="T194" i="9"/>
  <c r="L194" i="11"/>
  <c r="L194" i="10"/>
  <c r="L194" i="9"/>
  <c r="D194" i="11"/>
  <c r="D194" i="10"/>
  <c r="D194" i="9"/>
  <c r="AF193" i="11"/>
  <c r="AF193" i="10"/>
  <c r="AF193" i="9"/>
  <c r="X193" i="11"/>
  <c r="X193" i="10"/>
  <c r="X193" i="9"/>
  <c r="P193" i="11"/>
  <c r="P193" i="10"/>
  <c r="P193" i="9"/>
  <c r="H193" i="11"/>
  <c r="H193" i="10"/>
  <c r="H193" i="9"/>
  <c r="AB192" i="11"/>
  <c r="AB192" i="10"/>
  <c r="AB192" i="9"/>
  <c r="T192" i="11"/>
  <c r="T192" i="10"/>
  <c r="T192" i="9"/>
  <c r="L192" i="11"/>
  <c r="L192" i="10"/>
  <c r="L192" i="9"/>
  <c r="D192" i="11"/>
  <c r="D192" i="10"/>
  <c r="D192" i="9"/>
  <c r="X191" i="11"/>
  <c r="X191" i="10"/>
  <c r="X191" i="9"/>
  <c r="P191" i="11"/>
  <c r="P191" i="10"/>
  <c r="P191" i="9"/>
  <c r="H191" i="11"/>
  <c r="H191" i="10"/>
  <c r="H191" i="9"/>
  <c r="AB190" i="11"/>
  <c r="AB190" i="10"/>
  <c r="AB190" i="9"/>
  <c r="T190" i="11"/>
  <c r="T190" i="10"/>
  <c r="T190" i="9"/>
  <c r="L190" i="11"/>
  <c r="L190" i="10"/>
  <c r="L190" i="9"/>
  <c r="D190" i="11"/>
  <c r="D190" i="10"/>
  <c r="D190" i="9"/>
  <c r="X189" i="11"/>
  <c r="X189" i="10"/>
  <c r="X189" i="9"/>
  <c r="P189" i="11"/>
  <c r="P189" i="10"/>
  <c r="P189" i="9"/>
  <c r="H189" i="11"/>
  <c r="H189" i="10"/>
  <c r="H189" i="9"/>
  <c r="AB188" i="11"/>
  <c r="AB188" i="10"/>
  <c r="AB188" i="9"/>
  <c r="T188" i="11"/>
  <c r="T188" i="10"/>
  <c r="T188" i="9"/>
  <c r="L188" i="11"/>
  <c r="L188" i="10"/>
  <c r="L188" i="9"/>
  <c r="D188" i="11"/>
  <c r="D188" i="10"/>
  <c r="D188" i="9"/>
  <c r="AF187" i="11"/>
  <c r="AF187" i="10"/>
  <c r="AF187" i="9"/>
  <c r="X187" i="11"/>
  <c r="X187" i="10"/>
  <c r="X187" i="9"/>
  <c r="P187" i="11"/>
  <c r="P187" i="10"/>
  <c r="P187" i="9"/>
  <c r="H187" i="11"/>
  <c r="H187" i="10"/>
  <c r="H187" i="9"/>
  <c r="AB186" i="11"/>
  <c r="AB186" i="10"/>
  <c r="AB186" i="9"/>
  <c r="T186" i="11"/>
  <c r="T186" i="10"/>
  <c r="T186" i="9"/>
  <c r="L186" i="11"/>
  <c r="L186" i="10"/>
  <c r="L186" i="9"/>
  <c r="D186" i="11"/>
  <c r="D186" i="10"/>
  <c r="D186" i="9"/>
  <c r="X185" i="11"/>
  <c r="X185" i="10"/>
  <c r="X185" i="9"/>
  <c r="P185" i="11"/>
  <c r="P185" i="10"/>
  <c r="P185" i="9"/>
  <c r="H185" i="11"/>
  <c r="H185" i="10"/>
  <c r="H185" i="9"/>
  <c r="AB184" i="11"/>
  <c r="AB184" i="10"/>
  <c r="AB184" i="9"/>
  <c r="T184" i="11"/>
  <c r="T184" i="10"/>
  <c r="T184" i="9"/>
  <c r="L184" i="11"/>
  <c r="L184" i="10"/>
  <c r="L184" i="9"/>
  <c r="D184" i="11"/>
  <c r="D184" i="10"/>
  <c r="D184" i="9"/>
  <c r="X183" i="11"/>
  <c r="X183" i="10"/>
  <c r="X183" i="9"/>
  <c r="P183" i="11"/>
  <c r="P183" i="10"/>
  <c r="P183" i="9"/>
  <c r="H183" i="11"/>
  <c r="H183" i="10"/>
  <c r="H183" i="9"/>
  <c r="AB182" i="11"/>
  <c r="AB182" i="10"/>
  <c r="AB182" i="9"/>
  <c r="T182" i="11"/>
  <c r="T182" i="10"/>
  <c r="T182" i="9"/>
  <c r="L182" i="11"/>
  <c r="L182" i="10"/>
  <c r="L182" i="9"/>
  <c r="D182" i="11"/>
  <c r="D182" i="10"/>
  <c r="D182" i="9"/>
  <c r="AF181" i="10"/>
  <c r="AF181" i="9"/>
  <c r="X181" i="11"/>
  <c r="X181" i="10"/>
  <c r="X181" i="9"/>
  <c r="P181" i="11"/>
  <c r="P181" i="10"/>
  <c r="P181" i="9"/>
  <c r="H181" i="11"/>
  <c r="H181" i="10"/>
  <c r="H181" i="9"/>
  <c r="AB180" i="11"/>
  <c r="AB180" i="10"/>
  <c r="AB180" i="9"/>
  <c r="T180" i="11"/>
  <c r="T180" i="10"/>
  <c r="T180" i="9"/>
  <c r="L180" i="11"/>
  <c r="L180" i="10"/>
  <c r="L180" i="9"/>
  <c r="D180" i="11"/>
  <c r="D180" i="10"/>
  <c r="D180" i="9"/>
  <c r="AF179" i="11"/>
  <c r="AF179" i="10"/>
  <c r="AF179" i="9"/>
  <c r="X179" i="11"/>
  <c r="X179" i="10"/>
  <c r="X179" i="9"/>
  <c r="P179" i="11"/>
  <c r="P179" i="10"/>
  <c r="P179" i="9"/>
  <c r="H179" i="11"/>
  <c r="H179" i="10"/>
  <c r="H179" i="9"/>
  <c r="AB178" i="11"/>
  <c r="AB178" i="10"/>
  <c r="AB178" i="9"/>
  <c r="T178" i="11"/>
  <c r="T178" i="10"/>
  <c r="T178" i="9"/>
  <c r="L178" i="11"/>
  <c r="L178" i="10"/>
  <c r="L178" i="9"/>
  <c r="D178" i="11"/>
  <c r="D178" i="10"/>
  <c r="D178" i="9"/>
  <c r="AF177" i="11"/>
  <c r="AF177" i="10"/>
  <c r="AF177" i="9"/>
  <c r="X177" i="11"/>
  <c r="X177" i="10"/>
  <c r="X177" i="9"/>
  <c r="P177" i="11"/>
  <c r="P177" i="10"/>
  <c r="P177" i="9"/>
  <c r="H177" i="11"/>
  <c r="H177" i="10"/>
  <c r="H177" i="9"/>
  <c r="AB176" i="11"/>
  <c r="AB176" i="10"/>
  <c r="AB176" i="9"/>
  <c r="T176" i="11"/>
  <c r="T176" i="10"/>
  <c r="T176" i="9"/>
  <c r="L176" i="11"/>
  <c r="L176" i="10"/>
  <c r="L176" i="9"/>
  <c r="D176" i="11"/>
  <c r="D176" i="10"/>
  <c r="D176" i="9"/>
  <c r="AF175" i="11"/>
  <c r="AF175" i="10"/>
  <c r="AF175" i="9"/>
  <c r="X175" i="11"/>
  <c r="X175" i="10"/>
  <c r="X175" i="9"/>
  <c r="P175" i="11"/>
  <c r="P175" i="10"/>
  <c r="P175" i="9"/>
  <c r="H175" i="11"/>
  <c r="H175" i="10"/>
  <c r="H175" i="9"/>
  <c r="AB174" i="11"/>
  <c r="AB174" i="10"/>
  <c r="AB174" i="9"/>
  <c r="T174" i="11"/>
  <c r="T174" i="10"/>
  <c r="T174" i="9"/>
  <c r="L174" i="11"/>
  <c r="L174" i="10"/>
  <c r="L174" i="9"/>
  <c r="D174" i="11"/>
  <c r="D174" i="10"/>
  <c r="D174" i="9"/>
  <c r="AF173" i="11"/>
  <c r="AF173" i="10"/>
  <c r="AF173" i="9"/>
  <c r="X173" i="11"/>
  <c r="X173" i="10"/>
  <c r="X173" i="9"/>
  <c r="P173" i="11"/>
  <c r="P173" i="10"/>
  <c r="P173" i="9"/>
  <c r="H173" i="11"/>
  <c r="H173" i="10"/>
  <c r="H173" i="9"/>
  <c r="AB172" i="11"/>
  <c r="AB172" i="10"/>
  <c r="AB172" i="9"/>
  <c r="T172" i="11"/>
  <c r="T172" i="10"/>
  <c r="T172" i="9"/>
  <c r="L172" i="11"/>
  <c r="L172" i="10"/>
  <c r="L172" i="9"/>
  <c r="D172" i="11"/>
  <c r="D172" i="10"/>
  <c r="D172" i="9"/>
  <c r="X171" i="11"/>
  <c r="X171" i="10"/>
  <c r="X171" i="9"/>
  <c r="P171" i="11"/>
  <c r="P171" i="10"/>
  <c r="P171" i="9"/>
  <c r="H171" i="11"/>
  <c r="H171" i="10"/>
  <c r="H171" i="9"/>
  <c r="AB170" i="11"/>
  <c r="AB170" i="10"/>
  <c r="AB170" i="9"/>
  <c r="T170" i="11"/>
  <c r="T170" i="10"/>
  <c r="T170" i="9"/>
  <c r="L170" i="11"/>
  <c r="L170" i="10"/>
  <c r="L170" i="9"/>
  <c r="D170" i="11"/>
  <c r="D170" i="10"/>
  <c r="D170" i="9"/>
  <c r="X169" i="11"/>
  <c r="X169" i="10"/>
  <c r="X169" i="9"/>
  <c r="P169" i="11"/>
  <c r="P169" i="10"/>
  <c r="P169" i="9"/>
  <c r="H169" i="11"/>
  <c r="H169" i="10"/>
  <c r="H169" i="9"/>
  <c r="AB168" i="11"/>
  <c r="AB168" i="10"/>
  <c r="AB168" i="9"/>
  <c r="T168" i="11"/>
  <c r="T168" i="10"/>
  <c r="T168" i="9"/>
  <c r="L168" i="11"/>
  <c r="L168" i="10"/>
  <c r="L168" i="9"/>
  <c r="D168" i="11"/>
  <c r="D168" i="10"/>
  <c r="D168" i="9"/>
  <c r="AF167" i="11"/>
  <c r="AF167" i="10"/>
  <c r="AF167" i="9"/>
  <c r="X167" i="11"/>
  <c r="X167" i="10"/>
  <c r="X167" i="9"/>
  <c r="P167" i="11"/>
  <c r="P167" i="10"/>
  <c r="P167" i="9"/>
  <c r="H167" i="11"/>
  <c r="H167" i="10"/>
  <c r="H167" i="9"/>
  <c r="AB166" i="11"/>
  <c r="AB166" i="10"/>
  <c r="AB166" i="9"/>
  <c r="T166" i="11"/>
  <c r="T166" i="10"/>
  <c r="T166" i="9"/>
  <c r="L166" i="11"/>
  <c r="L166" i="10"/>
  <c r="L166" i="9"/>
  <c r="D166" i="11"/>
  <c r="D166" i="10"/>
  <c r="D166" i="9"/>
  <c r="X165" i="11"/>
  <c r="X165" i="10"/>
  <c r="X165" i="9"/>
  <c r="P165" i="11"/>
  <c r="P165" i="10"/>
  <c r="P165" i="9"/>
  <c r="H165" i="11"/>
  <c r="H165" i="10"/>
  <c r="H165" i="9"/>
  <c r="AB164" i="11"/>
  <c r="AB164" i="10"/>
  <c r="AB164" i="9"/>
  <c r="T164" i="11"/>
  <c r="T164" i="10"/>
  <c r="T164" i="9"/>
  <c r="L164" i="11"/>
  <c r="L164" i="10"/>
  <c r="L164" i="9"/>
  <c r="D164" i="11"/>
  <c r="D164" i="10"/>
  <c r="D164" i="9"/>
  <c r="AF163" i="11"/>
  <c r="AF163" i="10"/>
  <c r="AF163" i="9"/>
  <c r="X163" i="11"/>
  <c r="X163" i="10"/>
  <c r="X163" i="9"/>
  <c r="P163" i="11"/>
  <c r="P163" i="10"/>
  <c r="P163" i="9"/>
  <c r="H163" i="11"/>
  <c r="H163" i="10"/>
  <c r="H163" i="9"/>
  <c r="AB162" i="11"/>
  <c r="AB162" i="10"/>
  <c r="AB162" i="9"/>
  <c r="T162" i="11"/>
  <c r="T162" i="10"/>
  <c r="T162" i="9"/>
  <c r="L162" i="11"/>
  <c r="L162" i="10"/>
  <c r="L162" i="9"/>
  <c r="D162" i="11"/>
  <c r="D162" i="10"/>
  <c r="D162" i="9"/>
  <c r="AF161" i="11"/>
  <c r="AF161" i="10"/>
  <c r="AF161" i="9"/>
  <c r="X161" i="11"/>
  <c r="X161" i="10"/>
  <c r="X161" i="9"/>
  <c r="P161" i="11"/>
  <c r="P161" i="10"/>
  <c r="P161" i="9"/>
  <c r="H161" i="11"/>
  <c r="H161" i="10"/>
  <c r="H161" i="9"/>
  <c r="AB160" i="11"/>
  <c r="AB160" i="10"/>
  <c r="AB160" i="9"/>
  <c r="T160" i="11"/>
  <c r="T160" i="10"/>
  <c r="T160" i="9"/>
  <c r="L160" i="11"/>
  <c r="L160" i="10"/>
  <c r="L160" i="9"/>
  <c r="D160" i="11"/>
  <c r="D160" i="10"/>
  <c r="D160" i="9"/>
  <c r="AF159" i="11"/>
  <c r="AF159" i="10"/>
  <c r="AF159" i="9"/>
  <c r="X159" i="11"/>
  <c r="X159" i="10"/>
  <c r="X159" i="9"/>
  <c r="P159" i="11"/>
  <c r="P159" i="10"/>
  <c r="P159" i="9"/>
  <c r="H159" i="11"/>
  <c r="H159" i="10"/>
  <c r="H159" i="9"/>
  <c r="AB158" i="11"/>
  <c r="AB158" i="10"/>
  <c r="AB158" i="9"/>
  <c r="T158" i="11"/>
  <c r="T158" i="10"/>
  <c r="T158" i="9"/>
  <c r="L158" i="11"/>
  <c r="L158" i="10"/>
  <c r="L158" i="9"/>
  <c r="D158" i="11"/>
  <c r="D158" i="10"/>
  <c r="D158" i="9"/>
  <c r="AF157" i="11"/>
  <c r="AF157" i="10"/>
  <c r="AF157" i="9"/>
  <c r="X157" i="11"/>
  <c r="X157" i="10"/>
  <c r="X157" i="9"/>
  <c r="P157" i="11"/>
  <c r="P157" i="10"/>
  <c r="P157" i="9"/>
  <c r="H157" i="11"/>
  <c r="H157" i="10"/>
  <c r="H157" i="9"/>
  <c r="AB156" i="11"/>
  <c r="AB156" i="10"/>
  <c r="AB156" i="9"/>
  <c r="T156" i="11"/>
  <c r="T156" i="10"/>
  <c r="T156" i="9"/>
  <c r="L156" i="11"/>
  <c r="L156" i="10"/>
  <c r="L156" i="9"/>
  <c r="D156" i="11"/>
  <c r="D156" i="10"/>
  <c r="D156" i="9"/>
  <c r="AF155" i="11"/>
  <c r="AF155" i="10"/>
  <c r="AF155" i="9"/>
  <c r="X155" i="11"/>
  <c r="X155" i="10"/>
  <c r="X155" i="9"/>
  <c r="P155" i="11"/>
  <c r="P155" i="10"/>
  <c r="P155" i="9"/>
  <c r="H155" i="11"/>
  <c r="H155" i="10"/>
  <c r="H155" i="9"/>
  <c r="AB154" i="11"/>
  <c r="AB154" i="10"/>
  <c r="AB154" i="9"/>
  <c r="T154" i="11"/>
  <c r="T154" i="10"/>
  <c r="T154" i="9"/>
  <c r="L154" i="11"/>
  <c r="L154" i="10"/>
  <c r="L154" i="9"/>
  <c r="D154" i="11"/>
  <c r="D154" i="10"/>
  <c r="D154" i="9"/>
  <c r="AF153" i="11"/>
  <c r="AF153" i="10"/>
  <c r="AF153" i="9"/>
  <c r="X153" i="11"/>
  <c r="X153" i="10"/>
  <c r="X153" i="9"/>
  <c r="P153" i="11"/>
  <c r="P153" i="10"/>
  <c r="P153" i="9"/>
  <c r="H153" i="11"/>
  <c r="H153" i="10"/>
  <c r="H153" i="9"/>
  <c r="AB152" i="11"/>
  <c r="AB152" i="10"/>
  <c r="AB152" i="9"/>
  <c r="T152" i="11"/>
  <c r="T152" i="10"/>
  <c r="T152" i="9"/>
  <c r="L152" i="11"/>
  <c r="L152" i="10"/>
  <c r="L152" i="9"/>
  <c r="D152" i="11"/>
  <c r="D152" i="10"/>
  <c r="D152" i="9"/>
  <c r="AF151" i="11"/>
  <c r="AF151" i="10"/>
  <c r="AF151" i="9"/>
  <c r="X151" i="11"/>
  <c r="X151" i="10"/>
  <c r="X151" i="9"/>
  <c r="P151" i="11"/>
  <c r="P151" i="10"/>
  <c r="P151" i="9"/>
  <c r="H151" i="11"/>
  <c r="H151" i="10"/>
  <c r="H151" i="9"/>
  <c r="AB150" i="11"/>
  <c r="AB150" i="10"/>
  <c r="AB150" i="9"/>
  <c r="T150" i="11"/>
  <c r="T150" i="10"/>
  <c r="T150" i="9"/>
  <c r="L150" i="11"/>
  <c r="L150" i="10"/>
  <c r="L150" i="9"/>
  <c r="D150" i="11"/>
  <c r="D150" i="10"/>
  <c r="D150" i="9"/>
  <c r="X149" i="11"/>
  <c r="X149" i="10"/>
  <c r="X149" i="9"/>
  <c r="P149" i="11"/>
  <c r="P149" i="10"/>
  <c r="P149" i="9"/>
  <c r="H149" i="11"/>
  <c r="H149" i="10"/>
  <c r="H149" i="9"/>
  <c r="AB148" i="11"/>
  <c r="AB148" i="10"/>
  <c r="AB148" i="9"/>
  <c r="T148" i="11"/>
  <c r="T148" i="10"/>
  <c r="T148" i="9"/>
  <c r="L148" i="11"/>
  <c r="L148" i="10"/>
  <c r="L148" i="9"/>
  <c r="D148" i="11"/>
  <c r="D148" i="10"/>
  <c r="D148" i="9"/>
  <c r="X147" i="11"/>
  <c r="X147" i="10"/>
  <c r="X147" i="9"/>
  <c r="P147" i="11"/>
  <c r="P147" i="10"/>
  <c r="P147" i="9"/>
  <c r="H147" i="11"/>
  <c r="H147" i="10"/>
  <c r="H147" i="9"/>
  <c r="AB146" i="11"/>
  <c r="AB146" i="10"/>
  <c r="AB146" i="9"/>
  <c r="T146" i="11"/>
  <c r="T146" i="10"/>
  <c r="T146" i="9"/>
  <c r="L146" i="11"/>
  <c r="L146" i="10"/>
  <c r="L146" i="9"/>
  <c r="D146" i="11"/>
  <c r="D146" i="10"/>
  <c r="D146" i="9"/>
  <c r="AF145" i="11"/>
  <c r="AF145" i="10"/>
  <c r="AF145" i="9"/>
  <c r="X145" i="11"/>
  <c r="X145" i="10"/>
  <c r="X145" i="9"/>
  <c r="P145" i="11"/>
  <c r="P145" i="10"/>
  <c r="P145" i="9"/>
  <c r="H145" i="11"/>
  <c r="H145" i="10"/>
  <c r="H145" i="9"/>
  <c r="AB144" i="11"/>
  <c r="AB144" i="10"/>
  <c r="AB144" i="9"/>
  <c r="T144" i="11"/>
  <c r="T144" i="10"/>
  <c r="T144" i="9"/>
  <c r="L144" i="11"/>
  <c r="L144" i="10"/>
  <c r="L144" i="9"/>
  <c r="D144" i="11"/>
  <c r="D144" i="10"/>
  <c r="D144" i="9"/>
  <c r="AF143" i="11"/>
  <c r="AF143" i="10"/>
  <c r="AF143" i="9"/>
  <c r="X143" i="11"/>
  <c r="X143" i="10"/>
  <c r="X143" i="9"/>
  <c r="P143" i="11"/>
  <c r="P143" i="10"/>
  <c r="P143" i="9"/>
  <c r="H143" i="11"/>
  <c r="H143" i="10"/>
  <c r="H143" i="9"/>
  <c r="AB142" i="11"/>
  <c r="AB142" i="10"/>
  <c r="AB142" i="9"/>
  <c r="T142" i="11"/>
  <c r="T142" i="10"/>
  <c r="T142" i="9"/>
  <c r="L142" i="11"/>
  <c r="L142" i="10"/>
  <c r="L142" i="9"/>
  <c r="D142" i="11"/>
  <c r="D142" i="10"/>
  <c r="D142" i="9"/>
  <c r="AF141" i="11"/>
  <c r="AF141" i="10"/>
  <c r="AF141" i="9"/>
  <c r="X141" i="11"/>
  <c r="X141" i="10"/>
  <c r="X141" i="9"/>
  <c r="P141" i="11"/>
  <c r="P141" i="10"/>
  <c r="P141" i="9"/>
  <c r="H141" i="11"/>
  <c r="H141" i="10"/>
  <c r="H141" i="9"/>
  <c r="AB140" i="11"/>
  <c r="AB140" i="10"/>
  <c r="AB140" i="9"/>
  <c r="T140" i="11"/>
  <c r="T140" i="10"/>
  <c r="T140" i="9"/>
  <c r="L140" i="11"/>
  <c r="L140" i="10"/>
  <c r="L140" i="9"/>
  <c r="D140" i="11"/>
  <c r="D140" i="10"/>
  <c r="D140" i="9"/>
  <c r="X139" i="11"/>
  <c r="X139" i="10"/>
  <c r="X139" i="9"/>
  <c r="P139" i="11"/>
  <c r="P139" i="10"/>
  <c r="P139" i="9"/>
  <c r="H139" i="11"/>
  <c r="H139" i="10"/>
  <c r="H139" i="9"/>
  <c r="AB138" i="11"/>
  <c r="AB138" i="10"/>
  <c r="AB138" i="9"/>
  <c r="T138" i="11"/>
  <c r="T138" i="10"/>
  <c r="T138" i="9"/>
  <c r="L138" i="11"/>
  <c r="L138" i="10"/>
  <c r="L138" i="9"/>
  <c r="D138" i="11"/>
  <c r="D138" i="10"/>
  <c r="D138" i="9"/>
  <c r="X137" i="11"/>
  <c r="X137" i="10"/>
  <c r="X137" i="9"/>
  <c r="P137" i="11"/>
  <c r="P137" i="10"/>
  <c r="P137" i="9"/>
  <c r="H137" i="11"/>
  <c r="H137" i="10"/>
  <c r="H137" i="9"/>
  <c r="AB136" i="11"/>
  <c r="AB136" i="10"/>
  <c r="AB136" i="9"/>
  <c r="T136" i="11"/>
  <c r="T136" i="10"/>
  <c r="T136" i="9"/>
  <c r="L136" i="11"/>
  <c r="L136" i="10"/>
  <c r="L136" i="9"/>
  <c r="D136" i="11"/>
  <c r="D136" i="10"/>
  <c r="D136" i="9"/>
  <c r="AF135" i="11"/>
  <c r="AF135" i="10"/>
  <c r="AF135" i="9"/>
  <c r="X135" i="11"/>
  <c r="X135" i="10"/>
  <c r="X135" i="9"/>
  <c r="P135" i="11"/>
  <c r="P135" i="10"/>
  <c r="P135" i="9"/>
  <c r="H135" i="11"/>
  <c r="H135" i="10"/>
  <c r="H135" i="9"/>
  <c r="AB134" i="11"/>
  <c r="AB134" i="10"/>
  <c r="AB134" i="9"/>
  <c r="T134" i="11"/>
  <c r="T134" i="10"/>
  <c r="T134" i="9"/>
  <c r="L134" i="11"/>
  <c r="L134" i="10"/>
  <c r="L134" i="9"/>
  <c r="D134" i="11"/>
  <c r="D134" i="10"/>
  <c r="D134" i="9"/>
  <c r="X133" i="11"/>
  <c r="X133" i="10"/>
  <c r="X133" i="9"/>
  <c r="P133" i="11"/>
  <c r="P133" i="10"/>
  <c r="P133" i="9"/>
  <c r="H133" i="11"/>
  <c r="H133" i="10"/>
  <c r="H133" i="9"/>
  <c r="AB132" i="11"/>
  <c r="AB132" i="10"/>
  <c r="AB132" i="9"/>
  <c r="T132" i="11"/>
  <c r="T132" i="10"/>
  <c r="T132" i="9"/>
  <c r="L132" i="11"/>
  <c r="L132" i="10"/>
  <c r="L132" i="9"/>
  <c r="D132" i="11"/>
  <c r="D132" i="10"/>
  <c r="D132" i="9"/>
  <c r="X131" i="11"/>
  <c r="X131" i="10"/>
  <c r="X131" i="9"/>
  <c r="P131" i="11"/>
  <c r="P131" i="10"/>
  <c r="P131" i="9"/>
  <c r="H131" i="11"/>
  <c r="H131" i="10"/>
  <c r="H131" i="9"/>
  <c r="AB130" i="11"/>
  <c r="AB130" i="10"/>
  <c r="AB130" i="9"/>
  <c r="T130" i="11"/>
  <c r="T130" i="10"/>
  <c r="T130" i="9"/>
  <c r="L130" i="11"/>
  <c r="L130" i="10"/>
  <c r="L130" i="9"/>
  <c r="D130" i="11"/>
  <c r="D130" i="10"/>
  <c r="D130" i="9"/>
  <c r="X129" i="11"/>
  <c r="X129" i="10"/>
  <c r="X129" i="9"/>
  <c r="P129" i="11"/>
  <c r="P129" i="10"/>
  <c r="P129" i="9"/>
  <c r="H129" i="11"/>
  <c r="H129" i="10"/>
  <c r="H129" i="9"/>
  <c r="AB128" i="11"/>
  <c r="AB128" i="10"/>
  <c r="AB128" i="9"/>
  <c r="T128" i="11"/>
  <c r="T128" i="10"/>
  <c r="T128" i="9"/>
  <c r="L128" i="11"/>
  <c r="L128" i="10"/>
  <c r="L128" i="9"/>
  <c r="D128" i="11"/>
  <c r="D128" i="10"/>
  <c r="D128" i="9"/>
  <c r="AF127" i="10"/>
  <c r="AF127" i="9"/>
  <c r="X127" i="11"/>
  <c r="X127" i="10"/>
  <c r="X127" i="9"/>
  <c r="P127" i="11"/>
  <c r="P127" i="10"/>
  <c r="P127" i="9"/>
  <c r="H127" i="11"/>
  <c r="H127" i="10"/>
  <c r="H127" i="9"/>
  <c r="AB126" i="11"/>
  <c r="AB126" i="10"/>
  <c r="AB126" i="9"/>
  <c r="T126" i="11"/>
  <c r="T126" i="10"/>
  <c r="T126" i="9"/>
  <c r="L126" i="11"/>
  <c r="L126" i="10"/>
  <c r="L126" i="9"/>
  <c r="D126" i="11"/>
  <c r="D126" i="10"/>
  <c r="D126" i="9"/>
  <c r="AF125" i="11"/>
  <c r="AF125" i="10"/>
  <c r="AF125" i="9"/>
  <c r="X125" i="11"/>
  <c r="X125" i="10"/>
  <c r="X125" i="9"/>
  <c r="P125" i="11"/>
  <c r="P125" i="10"/>
  <c r="P125" i="9"/>
  <c r="H125" i="11"/>
  <c r="H125" i="10"/>
  <c r="H125" i="9"/>
  <c r="AB124" i="11"/>
  <c r="AB124" i="10"/>
  <c r="AB124" i="9"/>
  <c r="T124" i="11"/>
  <c r="T124" i="10"/>
  <c r="T124" i="9"/>
  <c r="L124" i="11"/>
  <c r="L124" i="10"/>
  <c r="L124" i="9"/>
  <c r="D124" i="11"/>
  <c r="D124" i="10"/>
  <c r="D124" i="9"/>
  <c r="AF123" i="11"/>
  <c r="AF123" i="10"/>
  <c r="AF123" i="9"/>
  <c r="X123" i="11"/>
  <c r="X123" i="10"/>
  <c r="X123" i="9"/>
  <c r="P123" i="11"/>
  <c r="P123" i="10"/>
  <c r="P123" i="9"/>
  <c r="H123" i="11"/>
  <c r="H123" i="10"/>
  <c r="H123" i="9"/>
  <c r="AB122" i="11"/>
  <c r="AB122" i="10"/>
  <c r="AB122" i="9"/>
  <c r="T122" i="11"/>
  <c r="T122" i="10"/>
  <c r="T122" i="9"/>
  <c r="L122" i="11"/>
  <c r="L122" i="10"/>
  <c r="L122" i="9"/>
  <c r="D122" i="11"/>
  <c r="D122" i="10"/>
  <c r="D122" i="9"/>
  <c r="X121" i="11"/>
  <c r="X121" i="10"/>
  <c r="X121" i="9"/>
  <c r="P121" i="11"/>
  <c r="P121" i="10"/>
  <c r="P121" i="9"/>
  <c r="H121" i="11"/>
  <c r="H121" i="10"/>
  <c r="H121" i="9"/>
  <c r="AB120" i="11"/>
  <c r="AB120" i="10"/>
  <c r="AB120" i="9"/>
  <c r="T120" i="11"/>
  <c r="T120" i="10"/>
  <c r="T120" i="9"/>
  <c r="L120" i="11"/>
  <c r="L120" i="10"/>
  <c r="L120" i="9"/>
  <c r="D120" i="11"/>
  <c r="D120" i="10"/>
  <c r="D120" i="9"/>
  <c r="X119" i="11"/>
  <c r="X119" i="10"/>
  <c r="X119" i="9"/>
  <c r="P119" i="11"/>
  <c r="P119" i="10"/>
  <c r="P119" i="9"/>
  <c r="H119" i="11"/>
  <c r="H119" i="10"/>
  <c r="H119" i="9"/>
  <c r="AB118" i="11"/>
  <c r="AB118" i="10"/>
  <c r="AB118" i="9"/>
  <c r="T118" i="11"/>
  <c r="T118" i="10"/>
  <c r="T118" i="9"/>
  <c r="L118" i="11"/>
  <c r="L118" i="10"/>
  <c r="L118" i="9"/>
  <c r="D118" i="11"/>
  <c r="D118" i="10"/>
  <c r="D118" i="9"/>
  <c r="AF117" i="11"/>
  <c r="AF117" i="10"/>
  <c r="AF117" i="9"/>
  <c r="X117" i="11"/>
  <c r="X117" i="10"/>
  <c r="X117" i="9"/>
  <c r="P117" i="11"/>
  <c r="P117" i="10"/>
  <c r="P117" i="9"/>
  <c r="H117" i="11"/>
  <c r="H117" i="10"/>
  <c r="H117" i="9"/>
  <c r="AB116" i="11"/>
  <c r="AB116" i="10"/>
  <c r="AB116" i="9"/>
  <c r="T116" i="11"/>
  <c r="T116" i="10"/>
  <c r="T116" i="9"/>
  <c r="L116" i="11"/>
  <c r="L116" i="10"/>
  <c r="L116" i="9"/>
  <c r="D116" i="11"/>
  <c r="D116" i="10"/>
  <c r="D116" i="9"/>
  <c r="AF115" i="11"/>
  <c r="AF115" i="10"/>
  <c r="AF115" i="9"/>
  <c r="X115" i="11"/>
  <c r="X115" i="10"/>
  <c r="X115" i="9"/>
  <c r="P115" i="11"/>
  <c r="P115" i="10"/>
  <c r="P115" i="9"/>
  <c r="H115" i="11"/>
  <c r="H115" i="10"/>
  <c r="H115" i="9"/>
  <c r="AB114" i="11"/>
  <c r="AB114" i="10"/>
  <c r="AB114" i="9"/>
  <c r="T114" i="11"/>
  <c r="T114" i="10"/>
  <c r="T114" i="9"/>
  <c r="L114" i="11"/>
  <c r="L114" i="10"/>
  <c r="L114" i="9"/>
  <c r="D114" i="11"/>
  <c r="D114" i="10"/>
  <c r="D114" i="9"/>
  <c r="X113" i="11"/>
  <c r="X113" i="10"/>
  <c r="X113" i="9"/>
  <c r="P113" i="11"/>
  <c r="P113" i="10"/>
  <c r="P113" i="9"/>
  <c r="H113" i="11"/>
  <c r="H113" i="10"/>
  <c r="H113" i="9"/>
  <c r="AB112" i="11"/>
  <c r="AB112" i="10"/>
  <c r="AB112" i="9"/>
  <c r="T112" i="11"/>
  <c r="T112" i="10"/>
  <c r="T112" i="9"/>
  <c r="L112" i="11"/>
  <c r="L112" i="10"/>
  <c r="L112" i="9"/>
  <c r="D112" i="11"/>
  <c r="D112" i="10"/>
  <c r="D112" i="9"/>
  <c r="AF111" i="11"/>
  <c r="AF111" i="10"/>
  <c r="AF111" i="9"/>
  <c r="X111" i="11"/>
  <c r="X111" i="10"/>
  <c r="X111" i="9"/>
  <c r="P111" i="11"/>
  <c r="P111" i="10"/>
  <c r="P111" i="9"/>
  <c r="H111" i="11"/>
  <c r="H111" i="10"/>
  <c r="H111" i="9"/>
  <c r="AB110" i="11"/>
  <c r="AB110" i="10"/>
  <c r="AB110" i="9"/>
  <c r="T110" i="11"/>
  <c r="T110" i="10"/>
  <c r="T110" i="9"/>
  <c r="L110" i="11"/>
  <c r="L110" i="10"/>
  <c r="L110" i="9"/>
  <c r="D110" i="11"/>
  <c r="D110" i="10"/>
  <c r="D110" i="9"/>
  <c r="AF109" i="11"/>
  <c r="AF109" i="10"/>
  <c r="AF109" i="9"/>
  <c r="X109" i="11"/>
  <c r="X109" i="10"/>
  <c r="X109" i="9"/>
  <c r="P109" i="11"/>
  <c r="P109" i="10"/>
  <c r="P109" i="9"/>
  <c r="H109" i="11"/>
  <c r="H109" i="10"/>
  <c r="H109" i="9"/>
  <c r="AB108" i="11"/>
  <c r="AB108" i="10"/>
  <c r="AB108" i="9"/>
  <c r="T108" i="11"/>
  <c r="T108" i="10"/>
  <c r="T108" i="9"/>
  <c r="L108" i="11"/>
  <c r="L108" i="10"/>
  <c r="L108" i="9"/>
  <c r="D108" i="11"/>
  <c r="D108" i="10"/>
  <c r="D108" i="9"/>
  <c r="X107" i="11"/>
  <c r="X107" i="10"/>
  <c r="X107" i="9"/>
  <c r="P107" i="11"/>
  <c r="P107" i="10"/>
  <c r="P107" i="9"/>
  <c r="H107" i="11"/>
  <c r="H107" i="10"/>
  <c r="H107" i="9"/>
  <c r="AB106" i="11"/>
  <c r="AB106" i="10"/>
  <c r="AB106" i="9"/>
  <c r="T106" i="11"/>
  <c r="T106" i="10"/>
  <c r="T106" i="9"/>
  <c r="L106" i="11"/>
  <c r="L106" i="10"/>
  <c r="L106" i="9"/>
  <c r="D106" i="11"/>
  <c r="D106" i="10"/>
  <c r="D106" i="9"/>
  <c r="X105" i="11"/>
  <c r="X105" i="10"/>
  <c r="X105" i="9"/>
  <c r="P105" i="11"/>
  <c r="P105" i="10"/>
  <c r="P105" i="9"/>
  <c r="H105" i="11"/>
  <c r="H105" i="10"/>
  <c r="H105" i="9"/>
  <c r="AB104" i="11"/>
  <c r="AB104" i="10"/>
  <c r="AB104" i="9"/>
  <c r="T104" i="11"/>
  <c r="T104" i="10"/>
  <c r="T104" i="9"/>
  <c r="L104" i="11"/>
  <c r="L104" i="10"/>
  <c r="L104" i="9"/>
  <c r="D104" i="11"/>
  <c r="D104" i="10"/>
  <c r="D104" i="9"/>
  <c r="X103" i="11"/>
  <c r="X103" i="10"/>
  <c r="X103" i="9"/>
  <c r="P103" i="11"/>
  <c r="P103" i="10"/>
  <c r="P103" i="9"/>
  <c r="H103" i="11"/>
  <c r="H103" i="10"/>
  <c r="H103" i="9"/>
  <c r="AB102" i="11"/>
  <c r="AB102" i="10"/>
  <c r="AB102" i="9"/>
  <c r="T102" i="11"/>
  <c r="T102" i="10"/>
  <c r="T102" i="9"/>
  <c r="L102" i="11"/>
  <c r="L102" i="10"/>
  <c r="L102" i="9"/>
  <c r="D102" i="11"/>
  <c r="D102" i="10"/>
  <c r="D102" i="9"/>
  <c r="AF101" i="11"/>
  <c r="AF101" i="10"/>
  <c r="AF101" i="9"/>
  <c r="X101" i="11"/>
  <c r="X101" i="10"/>
  <c r="X101" i="9"/>
  <c r="P101" i="11"/>
  <c r="P101" i="10"/>
  <c r="P101" i="9"/>
  <c r="H101" i="11"/>
  <c r="H101" i="10"/>
  <c r="H101" i="9"/>
  <c r="AB100" i="11"/>
  <c r="AB100" i="10"/>
  <c r="AB100" i="9"/>
  <c r="T100" i="11"/>
  <c r="T100" i="10"/>
  <c r="T100" i="9"/>
  <c r="L100" i="11"/>
  <c r="L100" i="10"/>
  <c r="L100" i="9"/>
  <c r="D100" i="11"/>
  <c r="D100" i="10"/>
  <c r="D100" i="9"/>
  <c r="AF99" i="9"/>
  <c r="AF99" i="11"/>
  <c r="AF99" i="10"/>
  <c r="X99" i="11"/>
  <c r="X99" i="10"/>
  <c r="X99" i="9"/>
  <c r="P99" i="11"/>
  <c r="P99" i="10"/>
  <c r="P99" i="9"/>
  <c r="H99" i="11"/>
  <c r="H99" i="10"/>
  <c r="H99" i="9"/>
  <c r="AB98" i="11"/>
  <c r="AB98" i="10"/>
  <c r="AB98" i="9"/>
  <c r="T98" i="11"/>
  <c r="T98" i="10"/>
  <c r="T98" i="9"/>
  <c r="L98" i="11"/>
  <c r="L98" i="10"/>
  <c r="L98" i="9"/>
  <c r="D98" i="11"/>
  <c r="D98" i="10"/>
  <c r="D98" i="9"/>
  <c r="AF97" i="11"/>
  <c r="AF97" i="10"/>
  <c r="AF97" i="9"/>
  <c r="X97" i="11"/>
  <c r="X97" i="10"/>
  <c r="X97" i="9"/>
  <c r="P97" i="11"/>
  <c r="P97" i="10"/>
  <c r="P97" i="9"/>
  <c r="H97" i="11"/>
  <c r="H97" i="10"/>
  <c r="H97" i="9"/>
  <c r="AB96" i="11"/>
  <c r="AB96" i="10"/>
  <c r="AB96" i="9"/>
  <c r="M46" i="2"/>
  <c r="M365" i="2"/>
  <c r="M357" i="2"/>
  <c r="AA366" i="11"/>
  <c r="AA366" i="10"/>
  <c r="AA366" i="9"/>
  <c r="S366" i="11"/>
  <c r="S366" i="10"/>
  <c r="S366" i="9"/>
  <c r="K366" i="11"/>
  <c r="K366" i="10"/>
  <c r="K366" i="9"/>
  <c r="C366" i="11"/>
  <c r="C366" i="10"/>
  <c r="C366" i="9"/>
  <c r="W365" i="11"/>
  <c r="W365" i="10"/>
  <c r="W365" i="9"/>
  <c r="O365" i="11"/>
  <c r="O365" i="10"/>
  <c r="O365" i="9"/>
  <c r="G365" i="11"/>
  <c r="G365" i="10"/>
  <c r="G365" i="9"/>
  <c r="AA364" i="11"/>
  <c r="AA364" i="10"/>
  <c r="AA364" i="9"/>
  <c r="S364" i="11"/>
  <c r="S364" i="10"/>
  <c r="S364" i="9"/>
  <c r="K364" i="11"/>
  <c r="K364" i="10"/>
  <c r="K364" i="9"/>
  <c r="C364" i="11"/>
  <c r="C364" i="10"/>
  <c r="C364" i="9"/>
  <c r="W363" i="11"/>
  <c r="W363" i="10"/>
  <c r="W363" i="9"/>
  <c r="O363" i="11"/>
  <c r="O363" i="10"/>
  <c r="O363" i="9"/>
  <c r="G363" i="11"/>
  <c r="G363" i="10"/>
  <c r="G363" i="9"/>
  <c r="AA362" i="11"/>
  <c r="AA362" i="10"/>
  <c r="AA362" i="9"/>
  <c r="S362" i="11"/>
  <c r="S362" i="10"/>
  <c r="S362" i="9"/>
  <c r="K362" i="11"/>
  <c r="K362" i="10"/>
  <c r="K362" i="9"/>
  <c r="C362" i="11"/>
  <c r="C362" i="10"/>
  <c r="C362" i="9"/>
  <c r="W361" i="11"/>
  <c r="W361" i="10"/>
  <c r="W361" i="9"/>
  <c r="O361" i="11"/>
  <c r="O361" i="10"/>
  <c r="O361" i="9"/>
  <c r="G361" i="11"/>
  <c r="G361" i="10"/>
  <c r="G361" i="9"/>
  <c r="AA360" i="11"/>
  <c r="AA360" i="10"/>
  <c r="AA360" i="9"/>
  <c r="S360" i="11"/>
  <c r="S360" i="10"/>
  <c r="S360" i="9"/>
  <c r="K360" i="11"/>
  <c r="K360" i="10"/>
  <c r="K360" i="9"/>
  <c r="C360" i="11"/>
  <c r="C360" i="10"/>
  <c r="C360" i="9"/>
  <c r="W359" i="11"/>
  <c r="W359" i="10"/>
  <c r="W359" i="9"/>
  <c r="O359" i="11"/>
  <c r="O359" i="10"/>
  <c r="O359" i="9"/>
  <c r="G359" i="11"/>
  <c r="G359" i="10"/>
  <c r="G359" i="9"/>
  <c r="AA358" i="11"/>
  <c r="AA358" i="10"/>
  <c r="AA358" i="9"/>
  <c r="S358" i="11"/>
  <c r="S358" i="10"/>
  <c r="S358" i="9"/>
  <c r="K358" i="11"/>
  <c r="K358" i="10"/>
  <c r="K358" i="9"/>
  <c r="C358" i="11"/>
  <c r="C358" i="10"/>
  <c r="C358" i="9"/>
  <c r="W357" i="11"/>
  <c r="W357" i="10"/>
  <c r="W357" i="9"/>
  <c r="O357" i="11"/>
  <c r="O357" i="10"/>
  <c r="O357" i="9"/>
  <c r="G357" i="11"/>
  <c r="G357" i="10"/>
  <c r="G357" i="9"/>
  <c r="AA356" i="11"/>
  <c r="AA356" i="10"/>
  <c r="AA356" i="9"/>
  <c r="S356" i="11"/>
  <c r="S356" i="10"/>
  <c r="S356" i="9"/>
  <c r="K356" i="11"/>
  <c r="K356" i="10"/>
  <c r="K356" i="9"/>
  <c r="C356" i="11"/>
  <c r="C356" i="10"/>
  <c r="C356" i="9"/>
  <c r="W355" i="11"/>
  <c r="W355" i="10"/>
  <c r="W355" i="9"/>
  <c r="O355" i="11"/>
  <c r="O355" i="10"/>
  <c r="O355" i="9"/>
  <c r="G355" i="11"/>
  <c r="G355" i="10"/>
  <c r="G355" i="9"/>
  <c r="AA354" i="11"/>
  <c r="AA354" i="10"/>
  <c r="AA354" i="9"/>
  <c r="S354" i="11"/>
  <c r="S354" i="10"/>
  <c r="S354" i="9"/>
  <c r="K354" i="11"/>
  <c r="K354" i="10"/>
  <c r="K354" i="9"/>
  <c r="C354" i="11"/>
  <c r="C354" i="10"/>
  <c r="C354" i="9"/>
  <c r="W353" i="11"/>
  <c r="W353" i="10"/>
  <c r="W353" i="9"/>
  <c r="O353" i="11"/>
  <c r="O353" i="10"/>
  <c r="O353" i="9"/>
  <c r="G353" i="11"/>
  <c r="G353" i="10"/>
  <c r="G353" i="9"/>
  <c r="AA352" i="11"/>
  <c r="AA352" i="10"/>
  <c r="AA352" i="9"/>
  <c r="S352" i="11"/>
  <c r="S352" i="10"/>
  <c r="S352" i="9"/>
  <c r="K352" i="11"/>
  <c r="K352" i="10"/>
  <c r="K352" i="9"/>
  <c r="C352" i="11"/>
  <c r="C352" i="10"/>
  <c r="C352" i="9"/>
  <c r="W351" i="11"/>
  <c r="W351" i="10"/>
  <c r="W351" i="9"/>
  <c r="O351" i="11"/>
  <c r="O351" i="10"/>
  <c r="O351" i="9"/>
  <c r="G351" i="11"/>
  <c r="G351" i="10"/>
  <c r="G351" i="9"/>
  <c r="AA350" i="11"/>
  <c r="AA350" i="10"/>
  <c r="AA350" i="9"/>
  <c r="S350" i="11"/>
  <c r="S350" i="10"/>
  <c r="S350" i="9"/>
  <c r="K350" i="11"/>
  <c r="K350" i="10"/>
  <c r="K350" i="9"/>
  <c r="C350" i="11"/>
  <c r="C350" i="10"/>
  <c r="C350" i="9"/>
  <c r="W349" i="11"/>
  <c r="W349" i="10"/>
  <c r="W349" i="9"/>
  <c r="O349" i="11"/>
  <c r="O349" i="10"/>
  <c r="O349" i="9"/>
  <c r="G349" i="11"/>
  <c r="G349" i="10"/>
  <c r="G349" i="9"/>
  <c r="AA348" i="11"/>
  <c r="AA348" i="10"/>
  <c r="AA348" i="9"/>
  <c r="S348" i="11"/>
  <c r="S348" i="10"/>
  <c r="S348" i="9"/>
  <c r="K348" i="11"/>
  <c r="K348" i="10"/>
  <c r="K348" i="9"/>
  <c r="C348" i="11"/>
  <c r="C348" i="10"/>
  <c r="C348" i="9"/>
  <c r="W347" i="11"/>
  <c r="W347" i="10"/>
  <c r="W347" i="9"/>
  <c r="O347" i="11"/>
  <c r="O347" i="10"/>
  <c r="O347" i="9"/>
  <c r="G347" i="11"/>
  <c r="G347" i="10"/>
  <c r="G347" i="9"/>
  <c r="AA346" i="11"/>
  <c r="AA346" i="10"/>
  <c r="AA346" i="9"/>
  <c r="S346" i="11"/>
  <c r="S346" i="10"/>
  <c r="S346" i="9"/>
  <c r="K346" i="11"/>
  <c r="K346" i="10"/>
  <c r="K346" i="9"/>
  <c r="C346" i="11"/>
  <c r="C346" i="10"/>
  <c r="C346" i="9"/>
  <c r="W345" i="11"/>
  <c r="W345" i="10"/>
  <c r="W345" i="9"/>
  <c r="O345" i="11"/>
  <c r="O345" i="10"/>
  <c r="O345" i="9"/>
  <c r="G345" i="11"/>
  <c r="G345" i="10"/>
  <c r="G345" i="9"/>
  <c r="AA344" i="11"/>
  <c r="AA344" i="10"/>
  <c r="AA344" i="9"/>
  <c r="S344" i="11"/>
  <c r="S344" i="10"/>
  <c r="S344" i="9"/>
  <c r="K344" i="11"/>
  <c r="K344" i="10"/>
  <c r="K344" i="9"/>
  <c r="C344" i="11"/>
  <c r="C344" i="10"/>
  <c r="C344" i="9"/>
  <c r="W343" i="11"/>
  <c r="W343" i="10"/>
  <c r="W343" i="9"/>
  <c r="O343" i="11"/>
  <c r="O343" i="10"/>
  <c r="O343" i="9"/>
  <c r="G343" i="11"/>
  <c r="G343" i="10"/>
  <c r="G343" i="9"/>
  <c r="AA342" i="11"/>
  <c r="AA342" i="10"/>
  <c r="AA342" i="9"/>
  <c r="S342" i="11"/>
  <c r="S342" i="10"/>
  <c r="S342" i="9"/>
  <c r="K342" i="11"/>
  <c r="K342" i="10"/>
  <c r="K342" i="9"/>
  <c r="C342" i="11"/>
  <c r="C342" i="10"/>
  <c r="C342" i="9"/>
  <c r="W341" i="11"/>
  <c r="W341" i="10"/>
  <c r="W341" i="9"/>
  <c r="O341" i="11"/>
  <c r="O341" i="10"/>
  <c r="O341" i="9"/>
  <c r="G341" i="11"/>
  <c r="G341" i="10"/>
  <c r="G341" i="9"/>
  <c r="AA340" i="11"/>
  <c r="AA340" i="10"/>
  <c r="AA340" i="9"/>
  <c r="S340" i="11"/>
  <c r="S340" i="10"/>
  <c r="S340" i="9"/>
  <c r="K340" i="11"/>
  <c r="K340" i="10"/>
  <c r="K340" i="9"/>
  <c r="C340" i="11"/>
  <c r="C340" i="10"/>
  <c r="C340" i="9"/>
  <c r="W339" i="11"/>
  <c r="W339" i="10"/>
  <c r="W339" i="9"/>
  <c r="O339" i="11"/>
  <c r="O339" i="10"/>
  <c r="O339" i="9"/>
  <c r="G339" i="11"/>
  <c r="G339" i="10"/>
  <c r="G339" i="9"/>
  <c r="AA338" i="11"/>
  <c r="AA338" i="10"/>
  <c r="AA338" i="9"/>
  <c r="S338" i="11"/>
  <c r="S338" i="10"/>
  <c r="S338" i="9"/>
  <c r="K338" i="11"/>
  <c r="K338" i="10"/>
  <c r="K338" i="9"/>
  <c r="C338" i="11"/>
  <c r="C338" i="10"/>
  <c r="C338" i="9"/>
  <c r="W337" i="11"/>
  <c r="W337" i="10"/>
  <c r="W337" i="9"/>
  <c r="O337" i="11"/>
  <c r="O337" i="10"/>
  <c r="O337" i="9"/>
  <c r="G337" i="11"/>
  <c r="G337" i="10"/>
  <c r="G337" i="9"/>
  <c r="AA336" i="11"/>
  <c r="AA336" i="10"/>
  <c r="AA336" i="9"/>
  <c r="S336" i="11"/>
  <c r="S336" i="10"/>
  <c r="S336" i="9"/>
  <c r="K336" i="11"/>
  <c r="K336" i="10"/>
  <c r="K336" i="9"/>
  <c r="C336" i="11"/>
  <c r="C336" i="10"/>
  <c r="C336" i="9"/>
  <c r="W335" i="11"/>
  <c r="W335" i="10"/>
  <c r="W335" i="9"/>
  <c r="O335" i="11"/>
  <c r="O335" i="10"/>
  <c r="O335" i="9"/>
  <c r="G335" i="11"/>
  <c r="G335" i="10"/>
  <c r="G335" i="9"/>
  <c r="AA334" i="11"/>
  <c r="AA334" i="10"/>
  <c r="AA334" i="9"/>
  <c r="S334" i="11"/>
  <c r="S334" i="10"/>
  <c r="S334" i="9"/>
  <c r="K334" i="11"/>
  <c r="K334" i="10"/>
  <c r="K334" i="9"/>
  <c r="C334" i="11"/>
  <c r="C334" i="10"/>
  <c r="C334" i="9"/>
  <c r="W333" i="11"/>
  <c r="W333" i="10"/>
  <c r="W333" i="9"/>
  <c r="O333" i="11"/>
  <c r="O333" i="10"/>
  <c r="O333" i="9"/>
  <c r="G333" i="11"/>
  <c r="G333" i="10"/>
  <c r="G333" i="9"/>
  <c r="AA332" i="11"/>
  <c r="AA332" i="10"/>
  <c r="AA332" i="9"/>
  <c r="S332" i="11"/>
  <c r="S332" i="10"/>
  <c r="S332" i="9"/>
  <c r="K332" i="11"/>
  <c r="K332" i="10"/>
  <c r="K332" i="9"/>
  <c r="C332" i="11"/>
  <c r="C332" i="10"/>
  <c r="C332" i="9"/>
  <c r="W331" i="11"/>
  <c r="W331" i="10"/>
  <c r="W331" i="9"/>
  <c r="O331" i="11"/>
  <c r="O331" i="10"/>
  <c r="O331" i="9"/>
  <c r="G331" i="11"/>
  <c r="G331" i="10"/>
  <c r="G331" i="9"/>
  <c r="AA330" i="11"/>
  <c r="AA330" i="10"/>
  <c r="AA330" i="9"/>
  <c r="S330" i="11"/>
  <c r="S330" i="10"/>
  <c r="S330" i="9"/>
  <c r="K330" i="11"/>
  <c r="K330" i="10"/>
  <c r="K330" i="9"/>
  <c r="C330" i="11"/>
  <c r="C330" i="10"/>
  <c r="C330" i="9"/>
  <c r="W329" i="11"/>
  <c r="W329" i="10"/>
  <c r="W329" i="9"/>
  <c r="O329" i="11"/>
  <c r="O329" i="10"/>
  <c r="O329" i="9"/>
  <c r="G329" i="11"/>
  <c r="G329" i="10"/>
  <c r="G329" i="9"/>
  <c r="AA328" i="11"/>
  <c r="AA328" i="10"/>
  <c r="AA328" i="9"/>
  <c r="S328" i="11"/>
  <c r="S328" i="10"/>
  <c r="S328" i="9"/>
  <c r="K328" i="11"/>
  <c r="K328" i="10"/>
  <c r="K328" i="9"/>
  <c r="C328" i="11"/>
  <c r="C328" i="10"/>
  <c r="C328" i="9"/>
  <c r="W327" i="11"/>
  <c r="W327" i="10"/>
  <c r="W327" i="9"/>
  <c r="O327" i="11"/>
  <c r="O327" i="10"/>
  <c r="O327" i="9"/>
  <c r="G327" i="11"/>
  <c r="G327" i="10"/>
  <c r="G327" i="9"/>
  <c r="AA326" i="11"/>
  <c r="AA326" i="10"/>
  <c r="AA326" i="9"/>
  <c r="S326" i="11"/>
  <c r="S326" i="10"/>
  <c r="S326" i="9"/>
  <c r="K326" i="11"/>
  <c r="K326" i="10"/>
  <c r="K326" i="9"/>
  <c r="C326" i="11"/>
  <c r="C326" i="10"/>
  <c r="C326" i="9"/>
  <c r="W325" i="11"/>
  <c r="W325" i="10"/>
  <c r="W325" i="9"/>
  <c r="O325" i="11"/>
  <c r="O325" i="10"/>
  <c r="O325" i="9"/>
  <c r="G325" i="11"/>
  <c r="G325" i="10"/>
  <c r="G325" i="9"/>
  <c r="AA324" i="11"/>
  <c r="AA324" i="10"/>
  <c r="AA324" i="9"/>
  <c r="S324" i="11"/>
  <c r="S324" i="10"/>
  <c r="S324" i="9"/>
  <c r="K324" i="11"/>
  <c r="K324" i="10"/>
  <c r="K324" i="9"/>
  <c r="C324" i="11"/>
  <c r="C324" i="10"/>
  <c r="C324" i="9"/>
  <c r="W323" i="11"/>
  <c r="W323" i="10"/>
  <c r="W323" i="9"/>
  <c r="O323" i="11"/>
  <c r="O323" i="10"/>
  <c r="O323" i="9"/>
  <c r="G323" i="11"/>
  <c r="G323" i="10"/>
  <c r="G323" i="9"/>
  <c r="AA322" i="11"/>
  <c r="AA322" i="10"/>
  <c r="AA322" i="9"/>
  <c r="S322" i="11"/>
  <c r="S322" i="10"/>
  <c r="S322" i="9"/>
  <c r="K322" i="11"/>
  <c r="K322" i="10"/>
  <c r="K322" i="9"/>
  <c r="C322" i="11"/>
  <c r="C322" i="10"/>
  <c r="C322" i="9"/>
  <c r="W321" i="11"/>
  <c r="W321" i="10"/>
  <c r="W321" i="9"/>
  <c r="O321" i="11"/>
  <c r="O321" i="10"/>
  <c r="O321" i="9"/>
  <c r="G321" i="11"/>
  <c r="G321" i="10"/>
  <c r="G321" i="9"/>
  <c r="AA320" i="11"/>
  <c r="AA320" i="10"/>
  <c r="AA320" i="9"/>
  <c r="S320" i="11"/>
  <c r="S320" i="10"/>
  <c r="S320" i="9"/>
  <c r="K320" i="11"/>
  <c r="K320" i="10"/>
  <c r="K320" i="9"/>
  <c r="C320" i="11"/>
  <c r="C320" i="10"/>
  <c r="C320" i="9"/>
  <c r="W319" i="11"/>
  <c r="W319" i="10"/>
  <c r="W319" i="9"/>
  <c r="O319" i="11"/>
  <c r="O319" i="10"/>
  <c r="O319" i="9"/>
  <c r="G319" i="11"/>
  <c r="G319" i="10"/>
  <c r="G319" i="9"/>
  <c r="AA318" i="11"/>
  <c r="AA318" i="10"/>
  <c r="AA318" i="9"/>
  <c r="S318" i="11"/>
  <c r="S318" i="10"/>
  <c r="S318" i="9"/>
  <c r="K318" i="11"/>
  <c r="K318" i="10"/>
  <c r="K318" i="9"/>
  <c r="C318" i="11"/>
  <c r="C318" i="10"/>
  <c r="C318" i="9"/>
  <c r="W317" i="11"/>
  <c r="W317" i="10"/>
  <c r="W317" i="9"/>
  <c r="O317" i="11"/>
  <c r="O317" i="10"/>
  <c r="O317" i="9"/>
  <c r="G317" i="11"/>
  <c r="G317" i="10"/>
  <c r="G317" i="9"/>
  <c r="AA316" i="11"/>
  <c r="AA316" i="10"/>
  <c r="AA316" i="9"/>
  <c r="S316" i="11"/>
  <c r="S316" i="10"/>
  <c r="S316" i="9"/>
  <c r="K316" i="11"/>
  <c r="K316" i="10"/>
  <c r="K316" i="9"/>
  <c r="C316" i="11"/>
  <c r="C316" i="10"/>
  <c r="C316" i="9"/>
  <c r="W315" i="11"/>
  <c r="W315" i="10"/>
  <c r="W315" i="9"/>
  <c r="O315" i="11"/>
  <c r="O315" i="10"/>
  <c r="O315" i="9"/>
  <c r="G315" i="11"/>
  <c r="G315" i="10"/>
  <c r="G315" i="9"/>
  <c r="AA314" i="11"/>
  <c r="AA314" i="10"/>
  <c r="AA314" i="9"/>
  <c r="S314" i="11"/>
  <c r="S314" i="10"/>
  <c r="S314" i="9"/>
  <c r="K314" i="11"/>
  <c r="K314" i="10"/>
  <c r="K314" i="9"/>
  <c r="C314" i="11"/>
  <c r="C314" i="10"/>
  <c r="C314" i="9"/>
  <c r="W313" i="11"/>
  <c r="W313" i="10"/>
  <c r="W313" i="9"/>
  <c r="O313" i="11"/>
  <c r="O313" i="10"/>
  <c r="O313" i="9"/>
  <c r="G313" i="11"/>
  <c r="G313" i="10"/>
  <c r="G313" i="9"/>
  <c r="AA312" i="11"/>
  <c r="AA312" i="10"/>
  <c r="AA312" i="9"/>
  <c r="S312" i="11"/>
  <c r="S312" i="10"/>
  <c r="S312" i="9"/>
  <c r="K312" i="11"/>
  <c r="K312" i="10"/>
  <c r="K312" i="9"/>
  <c r="C312" i="11"/>
  <c r="C312" i="10"/>
  <c r="C312" i="9"/>
  <c r="W311" i="11"/>
  <c r="W311" i="10"/>
  <c r="W311" i="9"/>
  <c r="O311" i="11"/>
  <c r="O311" i="10"/>
  <c r="O311" i="9"/>
  <c r="G311" i="11"/>
  <c r="G311" i="10"/>
  <c r="G311" i="9"/>
  <c r="AA310" i="11"/>
  <c r="AA310" i="10"/>
  <c r="AA310" i="9"/>
  <c r="S310" i="11"/>
  <c r="S310" i="10"/>
  <c r="S310" i="9"/>
  <c r="K310" i="11"/>
  <c r="K310" i="10"/>
  <c r="K310" i="9"/>
  <c r="C310" i="11"/>
  <c r="C310" i="10"/>
  <c r="C310" i="9"/>
  <c r="W309" i="11"/>
  <c r="W309" i="10"/>
  <c r="W309" i="9"/>
  <c r="O309" i="11"/>
  <c r="O309" i="10"/>
  <c r="O309" i="9"/>
  <c r="G309" i="11"/>
  <c r="G309" i="10"/>
  <c r="G309" i="9"/>
  <c r="AA308" i="11"/>
  <c r="AA308" i="10"/>
  <c r="AA308" i="9"/>
  <c r="S308" i="11"/>
  <c r="S308" i="10"/>
  <c r="S308" i="9"/>
  <c r="K308" i="11"/>
  <c r="K308" i="10"/>
  <c r="K308" i="9"/>
  <c r="C308" i="11"/>
  <c r="C308" i="10"/>
  <c r="C308" i="9"/>
  <c r="W307" i="11"/>
  <c r="W307" i="10"/>
  <c r="W307" i="9"/>
  <c r="O307" i="11"/>
  <c r="O307" i="10"/>
  <c r="O307" i="9"/>
  <c r="G307" i="11"/>
  <c r="G307" i="10"/>
  <c r="G307" i="9"/>
  <c r="AA306" i="11"/>
  <c r="AA306" i="10"/>
  <c r="AA306" i="9"/>
  <c r="S306" i="11"/>
  <c r="S306" i="10"/>
  <c r="S306" i="9"/>
  <c r="K306" i="11"/>
  <c r="K306" i="10"/>
  <c r="K306" i="9"/>
  <c r="C306" i="11"/>
  <c r="C306" i="10"/>
  <c r="C306" i="9"/>
  <c r="W305" i="11"/>
  <c r="W305" i="10"/>
  <c r="W305" i="9"/>
  <c r="O305" i="11"/>
  <c r="O305" i="10"/>
  <c r="O305" i="9"/>
  <c r="G305" i="11"/>
  <c r="G305" i="10"/>
  <c r="G305" i="9"/>
  <c r="AA304" i="11"/>
  <c r="AA304" i="10"/>
  <c r="AA304" i="9"/>
  <c r="S304" i="11"/>
  <c r="S304" i="10"/>
  <c r="S304" i="9"/>
  <c r="K304" i="11"/>
  <c r="K304" i="10"/>
  <c r="K304" i="9"/>
  <c r="C304" i="11"/>
  <c r="C304" i="10"/>
  <c r="C304" i="9"/>
  <c r="W303" i="11"/>
  <c r="W303" i="10"/>
  <c r="W303" i="9"/>
  <c r="O303" i="11"/>
  <c r="O303" i="10"/>
  <c r="O303" i="9"/>
  <c r="G303" i="11"/>
  <c r="G303" i="10"/>
  <c r="G303" i="9"/>
  <c r="AA302" i="11"/>
  <c r="AA302" i="10"/>
  <c r="AA302" i="9"/>
  <c r="S302" i="11"/>
  <c r="S302" i="10"/>
  <c r="S302" i="9"/>
  <c r="K302" i="11"/>
  <c r="K302" i="10"/>
  <c r="K302" i="9"/>
  <c r="C302" i="11"/>
  <c r="C302" i="10"/>
  <c r="C302" i="9"/>
  <c r="W301" i="11"/>
  <c r="W301" i="10"/>
  <c r="W301" i="9"/>
  <c r="O301" i="11"/>
  <c r="O301" i="10"/>
  <c r="O301" i="9"/>
  <c r="G301" i="11"/>
  <c r="G301" i="10"/>
  <c r="G301" i="9"/>
  <c r="AA300" i="11"/>
  <c r="AA300" i="10"/>
  <c r="AA300" i="9"/>
  <c r="S300" i="11"/>
  <c r="S300" i="10"/>
  <c r="S300" i="9"/>
  <c r="K300" i="11"/>
  <c r="K300" i="10"/>
  <c r="K300" i="9"/>
  <c r="C300" i="11"/>
  <c r="C300" i="10"/>
  <c r="C300" i="9"/>
  <c r="W299" i="11"/>
  <c r="W299" i="10"/>
  <c r="W299" i="9"/>
  <c r="O299" i="11"/>
  <c r="O299" i="10"/>
  <c r="O299" i="9"/>
  <c r="G299" i="11"/>
  <c r="G299" i="10"/>
  <c r="G299" i="9"/>
  <c r="AA298" i="11"/>
  <c r="AA298" i="10"/>
  <c r="AA298" i="9"/>
  <c r="S298" i="11"/>
  <c r="S298" i="10"/>
  <c r="S298" i="9"/>
  <c r="K298" i="11"/>
  <c r="K298" i="10"/>
  <c r="K298" i="9"/>
  <c r="C298" i="11"/>
  <c r="C298" i="10"/>
  <c r="C298" i="9"/>
  <c r="W297" i="11"/>
  <c r="W297" i="10"/>
  <c r="W297" i="9"/>
  <c r="O297" i="11"/>
  <c r="O297" i="10"/>
  <c r="O297" i="9"/>
  <c r="G297" i="11"/>
  <c r="G297" i="10"/>
  <c r="G297" i="9"/>
  <c r="AA296" i="11"/>
  <c r="AA296" i="10"/>
  <c r="AA296" i="9"/>
  <c r="S296" i="11"/>
  <c r="S296" i="10"/>
  <c r="S296" i="9"/>
  <c r="K296" i="11"/>
  <c r="K296" i="10"/>
  <c r="K296" i="9"/>
  <c r="C296" i="11"/>
  <c r="C296" i="10"/>
  <c r="C296" i="9"/>
  <c r="W295" i="11"/>
  <c r="W295" i="10"/>
  <c r="W295" i="9"/>
  <c r="O295" i="11"/>
  <c r="O295" i="10"/>
  <c r="O295" i="9"/>
  <c r="G295" i="11"/>
  <c r="G295" i="10"/>
  <c r="G295" i="9"/>
  <c r="AA294" i="11"/>
  <c r="AA294" i="10"/>
  <c r="AA294" i="9"/>
  <c r="S294" i="11"/>
  <c r="S294" i="10"/>
  <c r="S294" i="9"/>
  <c r="K294" i="11"/>
  <c r="K294" i="10"/>
  <c r="K294" i="9"/>
  <c r="C294" i="11"/>
  <c r="C294" i="10"/>
  <c r="C294" i="9"/>
  <c r="W293" i="11"/>
  <c r="W293" i="10"/>
  <c r="W293" i="9"/>
  <c r="O293" i="11"/>
  <c r="O293" i="10"/>
  <c r="O293" i="9"/>
  <c r="G293" i="11"/>
  <c r="G293" i="10"/>
  <c r="G293" i="9"/>
  <c r="AA292" i="11"/>
  <c r="AA292" i="10"/>
  <c r="AA292" i="9"/>
  <c r="S292" i="11"/>
  <c r="S292" i="10"/>
  <c r="S292" i="9"/>
  <c r="K292" i="11"/>
  <c r="K292" i="10"/>
  <c r="K292" i="9"/>
  <c r="C292" i="11"/>
  <c r="C292" i="10"/>
  <c r="C292" i="9"/>
  <c r="W291" i="11"/>
  <c r="W291" i="10"/>
  <c r="W291" i="9"/>
  <c r="O291" i="11"/>
  <c r="O291" i="10"/>
  <c r="O291" i="9"/>
  <c r="G291" i="11"/>
  <c r="G291" i="10"/>
  <c r="G291" i="9"/>
  <c r="AA290" i="11"/>
  <c r="AA290" i="10"/>
  <c r="AA290" i="9"/>
  <c r="S290" i="11"/>
  <c r="S290" i="10"/>
  <c r="S290" i="9"/>
  <c r="K290" i="11"/>
  <c r="K290" i="10"/>
  <c r="K290" i="9"/>
  <c r="C290" i="11"/>
  <c r="C290" i="10"/>
  <c r="C290" i="9"/>
  <c r="W289" i="11"/>
  <c r="W289" i="10"/>
  <c r="W289" i="9"/>
  <c r="O289" i="11"/>
  <c r="O289" i="10"/>
  <c r="O289" i="9"/>
  <c r="G289" i="11"/>
  <c r="G289" i="10"/>
  <c r="G289" i="9"/>
  <c r="AA288" i="11"/>
  <c r="AA288" i="10"/>
  <c r="AA288" i="9"/>
  <c r="S288" i="11"/>
  <c r="S288" i="10"/>
  <c r="S288" i="9"/>
  <c r="K288" i="11"/>
  <c r="K288" i="10"/>
  <c r="K288" i="9"/>
  <c r="C288" i="11"/>
  <c r="C288" i="10"/>
  <c r="C288" i="9"/>
  <c r="W287" i="11"/>
  <c r="W287" i="10"/>
  <c r="W287" i="9"/>
  <c r="O287" i="11"/>
  <c r="O287" i="10"/>
  <c r="O287" i="9"/>
  <c r="G287" i="11"/>
  <c r="G287" i="10"/>
  <c r="G287" i="9"/>
  <c r="AA286" i="11"/>
  <c r="AA286" i="10"/>
  <c r="AA286" i="9"/>
  <c r="S286" i="11"/>
  <c r="S286" i="10"/>
  <c r="S286" i="9"/>
  <c r="K286" i="11"/>
  <c r="K286" i="10"/>
  <c r="K286" i="9"/>
  <c r="C286" i="11"/>
  <c r="C286" i="10"/>
  <c r="C286" i="9"/>
  <c r="W285" i="11"/>
  <c r="W285" i="10"/>
  <c r="W285" i="9"/>
  <c r="O285" i="11"/>
  <c r="O285" i="10"/>
  <c r="O285" i="9"/>
  <c r="G285" i="11"/>
  <c r="G285" i="10"/>
  <c r="G285" i="9"/>
  <c r="AA284" i="11"/>
  <c r="AA284" i="10"/>
  <c r="AA284" i="9"/>
  <c r="S284" i="11"/>
  <c r="S284" i="10"/>
  <c r="S284" i="9"/>
  <c r="K284" i="11"/>
  <c r="K284" i="10"/>
  <c r="K284" i="9"/>
  <c r="C284" i="11"/>
  <c r="C284" i="10"/>
  <c r="C284" i="9"/>
  <c r="W283" i="11"/>
  <c r="W283" i="10"/>
  <c r="W283" i="9"/>
  <c r="O283" i="11"/>
  <c r="O283" i="10"/>
  <c r="O283" i="9"/>
  <c r="G283" i="11"/>
  <c r="G283" i="10"/>
  <c r="G283" i="9"/>
  <c r="AA282" i="11"/>
  <c r="AA282" i="10"/>
  <c r="AA282" i="9"/>
  <c r="S282" i="11"/>
  <c r="S282" i="10"/>
  <c r="S282" i="9"/>
  <c r="K282" i="11"/>
  <c r="K282" i="10"/>
  <c r="K282" i="9"/>
  <c r="C282" i="11"/>
  <c r="C282" i="10"/>
  <c r="C282" i="9"/>
  <c r="W281" i="11"/>
  <c r="W281" i="10"/>
  <c r="W281" i="9"/>
  <c r="O281" i="11"/>
  <c r="O281" i="10"/>
  <c r="O281" i="9"/>
  <c r="G281" i="11"/>
  <c r="G281" i="10"/>
  <c r="G281" i="9"/>
  <c r="AA280" i="11"/>
  <c r="AA280" i="10"/>
  <c r="AA280" i="9"/>
  <c r="S280" i="11"/>
  <c r="S280" i="10"/>
  <c r="S280" i="9"/>
  <c r="K280" i="11"/>
  <c r="K280" i="10"/>
  <c r="K280" i="9"/>
  <c r="C280" i="11"/>
  <c r="C280" i="10"/>
  <c r="C280" i="9"/>
  <c r="W279" i="11"/>
  <c r="W279" i="10"/>
  <c r="W279" i="9"/>
  <c r="O279" i="11"/>
  <c r="O279" i="10"/>
  <c r="O279" i="9"/>
  <c r="G279" i="11"/>
  <c r="G279" i="10"/>
  <c r="G279" i="9"/>
  <c r="AA278" i="11"/>
  <c r="AA278" i="10"/>
  <c r="AA278" i="9"/>
  <c r="S278" i="11"/>
  <c r="S278" i="10"/>
  <c r="S278" i="9"/>
  <c r="K278" i="11"/>
  <c r="K278" i="10"/>
  <c r="K278" i="9"/>
  <c r="C278" i="11"/>
  <c r="C278" i="10"/>
  <c r="C278" i="9"/>
  <c r="W277" i="11"/>
  <c r="W277" i="10"/>
  <c r="W277" i="9"/>
  <c r="O277" i="11"/>
  <c r="O277" i="10"/>
  <c r="O277" i="9"/>
  <c r="G277" i="11"/>
  <c r="G277" i="10"/>
  <c r="G277" i="9"/>
  <c r="AA276" i="11"/>
  <c r="AA276" i="10"/>
  <c r="AA276" i="9"/>
  <c r="S276" i="11"/>
  <c r="S276" i="10"/>
  <c r="S276" i="9"/>
  <c r="K276" i="11"/>
  <c r="K276" i="10"/>
  <c r="K276" i="9"/>
  <c r="C276" i="11"/>
  <c r="C276" i="10"/>
  <c r="C276" i="9"/>
  <c r="W275" i="11"/>
  <c r="W275" i="10"/>
  <c r="W275" i="9"/>
  <c r="O275" i="11"/>
  <c r="O275" i="10"/>
  <c r="O275" i="9"/>
  <c r="G275" i="11"/>
  <c r="G275" i="10"/>
  <c r="G275" i="9"/>
  <c r="AA274" i="11"/>
  <c r="AA274" i="10"/>
  <c r="AA274" i="9"/>
  <c r="S274" i="11"/>
  <c r="S274" i="10"/>
  <c r="S274" i="9"/>
  <c r="K274" i="11"/>
  <c r="K274" i="10"/>
  <c r="K274" i="9"/>
  <c r="C274" i="11"/>
  <c r="C274" i="10"/>
  <c r="C274" i="9"/>
  <c r="W273" i="11"/>
  <c r="W273" i="10"/>
  <c r="W273" i="9"/>
  <c r="O273" i="11"/>
  <c r="O273" i="10"/>
  <c r="O273" i="9"/>
  <c r="G273" i="11"/>
  <c r="G273" i="10"/>
  <c r="G273" i="9"/>
  <c r="AA272" i="11"/>
  <c r="AA272" i="10"/>
  <c r="AA272" i="9"/>
  <c r="S272" i="11"/>
  <c r="S272" i="10"/>
  <c r="S272" i="9"/>
  <c r="K272" i="11"/>
  <c r="K272" i="10"/>
  <c r="K272" i="9"/>
  <c r="C272" i="11"/>
  <c r="C272" i="10"/>
  <c r="C272" i="9"/>
  <c r="W271" i="11"/>
  <c r="W271" i="10"/>
  <c r="W271" i="9"/>
  <c r="O271" i="11"/>
  <c r="O271" i="10"/>
  <c r="O271" i="9"/>
  <c r="G271" i="11"/>
  <c r="G271" i="10"/>
  <c r="G271" i="9"/>
  <c r="AA270" i="11"/>
  <c r="AA270" i="10"/>
  <c r="AA270" i="9"/>
  <c r="S270" i="11"/>
  <c r="S270" i="10"/>
  <c r="S270" i="9"/>
  <c r="K270" i="11"/>
  <c r="K270" i="10"/>
  <c r="K270" i="9"/>
  <c r="C270" i="11"/>
  <c r="C270" i="10"/>
  <c r="C270" i="9"/>
  <c r="W269" i="11"/>
  <c r="W269" i="10"/>
  <c r="W269" i="9"/>
  <c r="O269" i="11"/>
  <c r="O269" i="10"/>
  <c r="O269" i="9"/>
  <c r="G269" i="11"/>
  <c r="G269" i="10"/>
  <c r="G269" i="9"/>
  <c r="AA268" i="11"/>
  <c r="AA268" i="10"/>
  <c r="AA268" i="9"/>
  <c r="S268" i="11"/>
  <c r="S268" i="10"/>
  <c r="S268" i="9"/>
  <c r="K268" i="11"/>
  <c r="K268" i="10"/>
  <c r="K268" i="9"/>
  <c r="C268" i="11"/>
  <c r="C268" i="10"/>
  <c r="C268" i="9"/>
  <c r="W267" i="11"/>
  <c r="W267" i="10"/>
  <c r="W267" i="9"/>
  <c r="O267" i="11"/>
  <c r="O267" i="10"/>
  <c r="O267" i="9"/>
  <c r="G267" i="11"/>
  <c r="G267" i="10"/>
  <c r="G267" i="9"/>
  <c r="AA266" i="11"/>
  <c r="AA266" i="10"/>
  <c r="AA266" i="9"/>
  <c r="S266" i="11"/>
  <c r="S266" i="10"/>
  <c r="S266" i="9"/>
  <c r="K266" i="11"/>
  <c r="K266" i="10"/>
  <c r="K266" i="9"/>
  <c r="C266" i="11"/>
  <c r="C266" i="10"/>
  <c r="C266" i="9"/>
  <c r="W265" i="11"/>
  <c r="W265" i="10"/>
  <c r="W265" i="9"/>
  <c r="O265" i="11"/>
  <c r="O265" i="10"/>
  <c r="O265" i="9"/>
  <c r="G265" i="11"/>
  <c r="G265" i="10"/>
  <c r="G265" i="9"/>
  <c r="AA264" i="11"/>
  <c r="AA264" i="10"/>
  <c r="AA264" i="9"/>
  <c r="S264" i="11"/>
  <c r="S264" i="10"/>
  <c r="S264" i="9"/>
  <c r="K264" i="11"/>
  <c r="K264" i="10"/>
  <c r="K264" i="9"/>
  <c r="C264" i="11"/>
  <c r="C264" i="10"/>
  <c r="C264" i="9"/>
  <c r="W263" i="11"/>
  <c r="W263" i="10"/>
  <c r="W263" i="9"/>
  <c r="O263" i="11"/>
  <c r="O263" i="10"/>
  <c r="O263" i="9"/>
  <c r="G263" i="11"/>
  <c r="G263" i="10"/>
  <c r="G263" i="9"/>
  <c r="AA262" i="11"/>
  <c r="AA262" i="10"/>
  <c r="AA262" i="9"/>
  <c r="S262" i="11"/>
  <c r="S262" i="10"/>
  <c r="S262" i="9"/>
  <c r="K262" i="11"/>
  <c r="K262" i="10"/>
  <c r="K262" i="9"/>
  <c r="C262" i="11"/>
  <c r="C262" i="10"/>
  <c r="C262" i="9"/>
  <c r="W261" i="11"/>
  <c r="W261" i="10"/>
  <c r="W261" i="9"/>
  <c r="O261" i="11"/>
  <c r="O261" i="10"/>
  <c r="O261" i="9"/>
  <c r="G261" i="11"/>
  <c r="G261" i="10"/>
  <c r="G261" i="9"/>
  <c r="AA260" i="11"/>
  <c r="AA260" i="10"/>
  <c r="AA260" i="9"/>
  <c r="S260" i="11"/>
  <c r="S260" i="10"/>
  <c r="S260" i="9"/>
  <c r="K260" i="11"/>
  <c r="K260" i="10"/>
  <c r="K260" i="9"/>
  <c r="C260" i="11"/>
  <c r="C260" i="10"/>
  <c r="C260" i="9"/>
  <c r="W259" i="11"/>
  <c r="W259" i="10"/>
  <c r="W259" i="9"/>
  <c r="O259" i="11"/>
  <c r="O259" i="10"/>
  <c r="O259" i="9"/>
  <c r="G259" i="11"/>
  <c r="G259" i="10"/>
  <c r="G259" i="9"/>
  <c r="AA258" i="11"/>
  <c r="AA258" i="10"/>
  <c r="AA258" i="9"/>
  <c r="S258" i="11"/>
  <c r="S258" i="10"/>
  <c r="S258" i="9"/>
  <c r="K258" i="11"/>
  <c r="K258" i="10"/>
  <c r="K258" i="9"/>
  <c r="C258" i="11"/>
  <c r="C258" i="10"/>
  <c r="C258" i="9"/>
  <c r="W257" i="11"/>
  <c r="W257" i="10"/>
  <c r="W257" i="9"/>
  <c r="O257" i="11"/>
  <c r="O257" i="10"/>
  <c r="O257" i="9"/>
  <c r="G257" i="11"/>
  <c r="G257" i="10"/>
  <c r="G257" i="9"/>
  <c r="AA256" i="11"/>
  <c r="AA256" i="10"/>
  <c r="AA256" i="9"/>
  <c r="S256" i="11"/>
  <c r="S256" i="10"/>
  <c r="S256" i="9"/>
  <c r="K256" i="11"/>
  <c r="K256" i="10"/>
  <c r="K256" i="9"/>
  <c r="C256" i="11"/>
  <c r="C256" i="10"/>
  <c r="C256" i="9"/>
  <c r="W255" i="11"/>
  <c r="W255" i="10"/>
  <c r="W255" i="9"/>
  <c r="O255" i="11"/>
  <c r="O255" i="10"/>
  <c r="O255" i="9"/>
  <c r="G255" i="11"/>
  <c r="G255" i="10"/>
  <c r="G255" i="9"/>
  <c r="AA254" i="11"/>
  <c r="AA254" i="10"/>
  <c r="AA254" i="9"/>
  <c r="S254" i="11"/>
  <c r="S254" i="10"/>
  <c r="S254" i="9"/>
  <c r="K254" i="11"/>
  <c r="K254" i="10"/>
  <c r="K254" i="9"/>
  <c r="C254" i="11"/>
  <c r="C254" i="10"/>
  <c r="C254" i="9"/>
  <c r="W253" i="11"/>
  <c r="W253" i="10"/>
  <c r="W253" i="9"/>
  <c r="O253" i="11"/>
  <c r="O253" i="10"/>
  <c r="O253" i="9"/>
  <c r="G253" i="11"/>
  <c r="G253" i="10"/>
  <c r="G253" i="9"/>
  <c r="AA252" i="11"/>
  <c r="AA252" i="10"/>
  <c r="AA252" i="9"/>
  <c r="S252" i="11"/>
  <c r="S252" i="10"/>
  <c r="S252" i="9"/>
  <c r="K252" i="11"/>
  <c r="K252" i="10"/>
  <c r="K252" i="9"/>
  <c r="C252" i="11"/>
  <c r="C252" i="10"/>
  <c r="C252" i="9"/>
  <c r="W251" i="11"/>
  <c r="W251" i="10"/>
  <c r="W251" i="9"/>
  <c r="O251" i="11"/>
  <c r="O251" i="10"/>
  <c r="O251" i="9"/>
  <c r="G251" i="11"/>
  <c r="G251" i="10"/>
  <c r="G251" i="9"/>
  <c r="AA250" i="11"/>
  <c r="AA250" i="10"/>
  <c r="AA250" i="9"/>
  <c r="S250" i="11"/>
  <c r="S250" i="10"/>
  <c r="S250" i="9"/>
  <c r="K250" i="11"/>
  <c r="K250" i="10"/>
  <c r="K250" i="9"/>
  <c r="C250" i="11"/>
  <c r="C250" i="10"/>
  <c r="C250" i="9"/>
  <c r="W249" i="11"/>
  <c r="W249" i="10"/>
  <c r="W249" i="9"/>
  <c r="O249" i="11"/>
  <c r="O249" i="10"/>
  <c r="O249" i="9"/>
  <c r="G249" i="11"/>
  <c r="G249" i="10"/>
  <c r="G249" i="9"/>
  <c r="AA248" i="11"/>
  <c r="AA248" i="10"/>
  <c r="AA248" i="9"/>
  <c r="S248" i="11"/>
  <c r="S248" i="10"/>
  <c r="S248" i="9"/>
  <c r="K248" i="11"/>
  <c r="K248" i="10"/>
  <c r="K248" i="9"/>
  <c r="C248" i="11"/>
  <c r="C248" i="10"/>
  <c r="C248" i="9"/>
  <c r="W247" i="11"/>
  <c r="W247" i="10"/>
  <c r="W247" i="9"/>
  <c r="O247" i="11"/>
  <c r="O247" i="10"/>
  <c r="O247" i="9"/>
  <c r="G247" i="11"/>
  <c r="G247" i="10"/>
  <c r="G247" i="9"/>
  <c r="AA246" i="11"/>
  <c r="AA246" i="10"/>
  <c r="AA246" i="9"/>
  <c r="S246" i="11"/>
  <c r="S246" i="10"/>
  <c r="S246" i="9"/>
  <c r="K246" i="11"/>
  <c r="K246" i="10"/>
  <c r="K246" i="9"/>
  <c r="C246" i="11"/>
  <c r="C246" i="10"/>
  <c r="C246" i="9"/>
  <c r="W245" i="11"/>
  <c r="W245" i="10"/>
  <c r="W245" i="9"/>
  <c r="O245" i="11"/>
  <c r="O245" i="10"/>
  <c r="O245" i="9"/>
  <c r="G245" i="11"/>
  <c r="G245" i="10"/>
  <c r="G245" i="9"/>
  <c r="AA244" i="11"/>
  <c r="AA244" i="10"/>
  <c r="AA244" i="9"/>
  <c r="S244" i="11"/>
  <c r="S244" i="10"/>
  <c r="S244" i="9"/>
  <c r="K244" i="11"/>
  <c r="K244" i="10"/>
  <c r="K244" i="9"/>
  <c r="C244" i="11"/>
  <c r="C244" i="10"/>
  <c r="C244" i="9"/>
  <c r="W243" i="11"/>
  <c r="W243" i="10"/>
  <c r="W243" i="9"/>
  <c r="O243" i="11"/>
  <c r="O243" i="10"/>
  <c r="O243" i="9"/>
  <c r="G243" i="11"/>
  <c r="G243" i="10"/>
  <c r="G243" i="9"/>
  <c r="AA242" i="11"/>
  <c r="AA242" i="10"/>
  <c r="AA242" i="9"/>
  <c r="S242" i="11"/>
  <c r="S242" i="10"/>
  <c r="S242" i="9"/>
  <c r="K242" i="11"/>
  <c r="K242" i="10"/>
  <c r="K242" i="9"/>
  <c r="C242" i="11"/>
  <c r="C242" i="10"/>
  <c r="C242" i="9"/>
  <c r="W241" i="11"/>
  <c r="W241" i="10"/>
  <c r="W241" i="9"/>
  <c r="O241" i="11"/>
  <c r="O241" i="10"/>
  <c r="O241" i="9"/>
  <c r="G241" i="11"/>
  <c r="G241" i="10"/>
  <c r="G241" i="9"/>
  <c r="AA240" i="11"/>
  <c r="AA240" i="10"/>
  <c r="AA240" i="9"/>
  <c r="S240" i="11"/>
  <c r="S240" i="10"/>
  <c r="S240" i="9"/>
  <c r="K240" i="11"/>
  <c r="K240" i="10"/>
  <c r="K240" i="9"/>
  <c r="C240" i="11"/>
  <c r="C240" i="10"/>
  <c r="C240" i="9"/>
  <c r="W239" i="11"/>
  <c r="W239" i="10"/>
  <c r="W239" i="9"/>
  <c r="O239" i="11"/>
  <c r="O239" i="10"/>
  <c r="O239" i="9"/>
  <c r="G239" i="11"/>
  <c r="G239" i="10"/>
  <c r="G239" i="9"/>
  <c r="AA238" i="11"/>
  <c r="AA238" i="10"/>
  <c r="AA238" i="9"/>
  <c r="S238" i="11"/>
  <c r="S238" i="10"/>
  <c r="S238" i="9"/>
  <c r="K238" i="11"/>
  <c r="K238" i="10"/>
  <c r="K238" i="9"/>
  <c r="C238" i="11"/>
  <c r="C238" i="10"/>
  <c r="C238" i="9"/>
  <c r="W237" i="11"/>
  <c r="W237" i="10"/>
  <c r="W237" i="9"/>
  <c r="O237" i="11"/>
  <c r="O237" i="10"/>
  <c r="O237" i="9"/>
  <c r="G237" i="11"/>
  <c r="G237" i="10"/>
  <c r="G237" i="9"/>
  <c r="AA236" i="11"/>
  <c r="AA236" i="10"/>
  <c r="AA236" i="9"/>
  <c r="S236" i="11"/>
  <c r="S236" i="10"/>
  <c r="S236" i="9"/>
  <c r="K236" i="11"/>
  <c r="K236" i="10"/>
  <c r="K236" i="9"/>
  <c r="C236" i="11"/>
  <c r="C236" i="10"/>
  <c r="C236" i="9"/>
  <c r="W235" i="11"/>
  <c r="W235" i="10"/>
  <c r="W235" i="9"/>
  <c r="O235" i="11"/>
  <c r="O235" i="10"/>
  <c r="O235" i="9"/>
  <c r="G235" i="11"/>
  <c r="G235" i="10"/>
  <c r="G235" i="9"/>
  <c r="AA234" i="11"/>
  <c r="AA234" i="10"/>
  <c r="AA234" i="9"/>
  <c r="S234" i="11"/>
  <c r="S234" i="10"/>
  <c r="S234" i="9"/>
  <c r="K234" i="11"/>
  <c r="K234" i="10"/>
  <c r="K234" i="9"/>
  <c r="C234" i="11"/>
  <c r="C234" i="10"/>
  <c r="C234" i="9"/>
  <c r="W233" i="11"/>
  <c r="W233" i="10"/>
  <c r="W233" i="9"/>
  <c r="O233" i="11"/>
  <c r="O233" i="10"/>
  <c r="O233" i="9"/>
  <c r="G233" i="11"/>
  <c r="G233" i="10"/>
  <c r="G233" i="9"/>
  <c r="AA232" i="11"/>
  <c r="AA232" i="10"/>
  <c r="AA232" i="9"/>
  <c r="S232" i="11"/>
  <c r="S232" i="10"/>
  <c r="S232" i="9"/>
  <c r="K232" i="11"/>
  <c r="K232" i="10"/>
  <c r="K232" i="9"/>
  <c r="C232" i="11"/>
  <c r="C232" i="10"/>
  <c r="C232" i="9"/>
  <c r="W231" i="11"/>
  <c r="W231" i="10"/>
  <c r="W231" i="9"/>
  <c r="O231" i="11"/>
  <c r="O231" i="10"/>
  <c r="O231" i="9"/>
  <c r="G231" i="11"/>
  <c r="G231" i="10"/>
  <c r="G231" i="9"/>
  <c r="AA230" i="11"/>
  <c r="AA230" i="10"/>
  <c r="AA230" i="9"/>
  <c r="S230" i="11"/>
  <c r="S230" i="10"/>
  <c r="S230" i="9"/>
  <c r="K230" i="11"/>
  <c r="K230" i="10"/>
  <c r="K230" i="9"/>
  <c r="C230" i="11"/>
  <c r="C230" i="10"/>
  <c r="C230" i="9"/>
  <c r="W229" i="11"/>
  <c r="W229" i="10"/>
  <c r="W229" i="9"/>
  <c r="O229" i="11"/>
  <c r="O229" i="10"/>
  <c r="O229" i="9"/>
  <c r="G229" i="11"/>
  <c r="G229" i="10"/>
  <c r="G229" i="9"/>
  <c r="AA228" i="11"/>
  <c r="AA228" i="10"/>
  <c r="AA228" i="9"/>
  <c r="S228" i="11"/>
  <c r="S228" i="10"/>
  <c r="S228" i="9"/>
  <c r="K228" i="11"/>
  <c r="K228" i="10"/>
  <c r="K228" i="9"/>
  <c r="C228" i="11"/>
  <c r="C228" i="10"/>
  <c r="C228" i="9"/>
  <c r="W227" i="11"/>
  <c r="W227" i="10"/>
  <c r="W227" i="9"/>
  <c r="O227" i="11"/>
  <c r="O227" i="10"/>
  <c r="O227" i="9"/>
  <c r="G227" i="11"/>
  <c r="G227" i="10"/>
  <c r="G227" i="9"/>
  <c r="AA226" i="11"/>
  <c r="AA226" i="10"/>
  <c r="AA226" i="9"/>
  <c r="S226" i="11"/>
  <c r="S226" i="10"/>
  <c r="S226" i="9"/>
  <c r="K226" i="11"/>
  <c r="K226" i="10"/>
  <c r="K226" i="9"/>
  <c r="C226" i="11"/>
  <c r="C226" i="10"/>
  <c r="C226" i="9"/>
  <c r="W225" i="11"/>
  <c r="W225" i="10"/>
  <c r="W225" i="9"/>
  <c r="O225" i="11"/>
  <c r="O225" i="10"/>
  <c r="O225" i="9"/>
  <c r="G225" i="11"/>
  <c r="G225" i="10"/>
  <c r="G225" i="9"/>
  <c r="AA224" i="11"/>
  <c r="AA224" i="10"/>
  <c r="AA224" i="9"/>
  <c r="S224" i="11"/>
  <c r="S224" i="10"/>
  <c r="S224" i="9"/>
  <c r="K224" i="11"/>
  <c r="K224" i="10"/>
  <c r="K224" i="9"/>
  <c r="C224" i="11"/>
  <c r="C224" i="10"/>
  <c r="C224" i="9"/>
  <c r="W223" i="11"/>
  <c r="W223" i="10"/>
  <c r="W223" i="9"/>
  <c r="O223" i="11"/>
  <c r="O223" i="10"/>
  <c r="O223" i="9"/>
  <c r="G223" i="11"/>
  <c r="G223" i="10"/>
  <c r="G223" i="9"/>
  <c r="AA222" i="11"/>
  <c r="AA222" i="10"/>
  <c r="AA222" i="9"/>
  <c r="S222" i="11"/>
  <c r="S222" i="10"/>
  <c r="S222" i="9"/>
  <c r="K222" i="11"/>
  <c r="K222" i="10"/>
  <c r="K222" i="9"/>
  <c r="C222" i="11"/>
  <c r="C222" i="10"/>
  <c r="C222" i="9"/>
  <c r="W221" i="11"/>
  <c r="W221" i="10"/>
  <c r="W221" i="9"/>
  <c r="O221" i="11"/>
  <c r="O221" i="10"/>
  <c r="O221" i="9"/>
  <c r="G221" i="11"/>
  <c r="G221" i="10"/>
  <c r="G221" i="9"/>
  <c r="AA220" i="11"/>
  <c r="AA220" i="10"/>
  <c r="AA220" i="9"/>
  <c r="S220" i="11"/>
  <c r="S220" i="10"/>
  <c r="S220" i="9"/>
  <c r="K220" i="11"/>
  <c r="K220" i="10"/>
  <c r="K220" i="9"/>
  <c r="C220" i="11"/>
  <c r="C220" i="10"/>
  <c r="C220" i="9"/>
  <c r="W219" i="11"/>
  <c r="W219" i="10"/>
  <c r="W219" i="9"/>
  <c r="O219" i="11"/>
  <c r="O219" i="10"/>
  <c r="O219" i="9"/>
  <c r="G219" i="11"/>
  <c r="G219" i="10"/>
  <c r="G219" i="9"/>
  <c r="AA218" i="11"/>
  <c r="AA218" i="10"/>
  <c r="AA218" i="9"/>
  <c r="S218" i="11"/>
  <c r="S218" i="10"/>
  <c r="S218" i="9"/>
  <c r="K218" i="11"/>
  <c r="K218" i="10"/>
  <c r="K218" i="9"/>
  <c r="C218" i="11"/>
  <c r="C218" i="10"/>
  <c r="C218" i="9"/>
  <c r="W217" i="11"/>
  <c r="W217" i="10"/>
  <c r="W217" i="9"/>
  <c r="O217" i="11"/>
  <c r="O217" i="10"/>
  <c r="O217" i="9"/>
  <c r="G217" i="11"/>
  <c r="G217" i="10"/>
  <c r="G217" i="9"/>
  <c r="AA216" i="11"/>
  <c r="AA216" i="10"/>
  <c r="AA216" i="9"/>
  <c r="S216" i="11"/>
  <c r="S216" i="10"/>
  <c r="S216" i="9"/>
  <c r="K216" i="11"/>
  <c r="K216" i="10"/>
  <c r="K216" i="9"/>
  <c r="C216" i="11"/>
  <c r="C216" i="10"/>
  <c r="C216" i="9"/>
  <c r="W215" i="11"/>
  <c r="W215" i="10"/>
  <c r="W215" i="9"/>
  <c r="O215" i="11"/>
  <c r="O215" i="10"/>
  <c r="O215" i="9"/>
  <c r="G215" i="11"/>
  <c r="G215" i="10"/>
  <c r="G215" i="9"/>
  <c r="AA214" i="11"/>
  <c r="AA214" i="10"/>
  <c r="AA214" i="9"/>
  <c r="S214" i="11"/>
  <c r="S214" i="10"/>
  <c r="S214" i="9"/>
  <c r="K214" i="11"/>
  <c r="K214" i="10"/>
  <c r="K214" i="9"/>
  <c r="C214" i="11"/>
  <c r="C214" i="10"/>
  <c r="C214" i="9"/>
  <c r="W213" i="11"/>
  <c r="W213" i="10"/>
  <c r="W213" i="9"/>
  <c r="O213" i="11"/>
  <c r="O213" i="10"/>
  <c r="O213" i="9"/>
  <c r="G213" i="11"/>
  <c r="G213" i="10"/>
  <c r="G213" i="9"/>
  <c r="AA212" i="11"/>
  <c r="AA212" i="10"/>
  <c r="AA212" i="9"/>
  <c r="S212" i="11"/>
  <c r="S212" i="10"/>
  <c r="S212" i="9"/>
  <c r="K212" i="11"/>
  <c r="K212" i="10"/>
  <c r="K212" i="9"/>
  <c r="C212" i="11"/>
  <c r="C212" i="10"/>
  <c r="C212" i="9"/>
  <c r="W211" i="11"/>
  <c r="W211" i="10"/>
  <c r="W211" i="9"/>
  <c r="O211" i="11"/>
  <c r="O211" i="10"/>
  <c r="O211" i="9"/>
  <c r="G211" i="11"/>
  <c r="G211" i="10"/>
  <c r="G211" i="9"/>
  <c r="AA210" i="11"/>
  <c r="AA210" i="10"/>
  <c r="AA210" i="9"/>
  <c r="S210" i="11"/>
  <c r="S210" i="10"/>
  <c r="S210" i="9"/>
  <c r="K210" i="11"/>
  <c r="K210" i="10"/>
  <c r="K210" i="9"/>
  <c r="C210" i="11"/>
  <c r="C210" i="10"/>
  <c r="C210" i="9"/>
  <c r="W209" i="11"/>
  <c r="W209" i="10"/>
  <c r="W209" i="9"/>
  <c r="O209" i="11"/>
  <c r="O209" i="10"/>
  <c r="O209" i="9"/>
  <c r="G209" i="11"/>
  <c r="G209" i="10"/>
  <c r="G209" i="9"/>
  <c r="AA208" i="11"/>
  <c r="AA208" i="10"/>
  <c r="AA208" i="9"/>
  <c r="S208" i="11"/>
  <c r="S208" i="10"/>
  <c r="S208" i="9"/>
  <c r="K208" i="11"/>
  <c r="K208" i="10"/>
  <c r="K208" i="9"/>
  <c r="C208" i="11"/>
  <c r="C208" i="10"/>
  <c r="C208" i="9"/>
  <c r="W207" i="11"/>
  <c r="W207" i="10"/>
  <c r="W207" i="9"/>
  <c r="O207" i="11"/>
  <c r="O207" i="10"/>
  <c r="O207" i="9"/>
  <c r="G207" i="11"/>
  <c r="G207" i="10"/>
  <c r="G207" i="9"/>
  <c r="AA206" i="11"/>
  <c r="AA206" i="10"/>
  <c r="AA206" i="9"/>
  <c r="S206" i="11"/>
  <c r="S206" i="10"/>
  <c r="S206" i="9"/>
  <c r="K206" i="11"/>
  <c r="K206" i="10"/>
  <c r="K206" i="9"/>
  <c r="C206" i="11"/>
  <c r="C206" i="10"/>
  <c r="C206" i="9"/>
  <c r="W205" i="11"/>
  <c r="W205" i="10"/>
  <c r="W205" i="9"/>
  <c r="O205" i="11"/>
  <c r="O205" i="10"/>
  <c r="O205" i="9"/>
  <c r="G205" i="11"/>
  <c r="G205" i="10"/>
  <c r="G205" i="9"/>
  <c r="AA204" i="11"/>
  <c r="AA204" i="10"/>
  <c r="AA204" i="9"/>
  <c r="S204" i="11"/>
  <c r="S204" i="10"/>
  <c r="S204" i="9"/>
  <c r="K204" i="11"/>
  <c r="K204" i="10"/>
  <c r="K204" i="9"/>
  <c r="C204" i="11"/>
  <c r="C204" i="10"/>
  <c r="C204" i="9"/>
  <c r="W203" i="11"/>
  <c r="W203" i="10"/>
  <c r="W203" i="9"/>
  <c r="O203" i="11"/>
  <c r="O203" i="10"/>
  <c r="O203" i="9"/>
  <c r="G203" i="11"/>
  <c r="G203" i="10"/>
  <c r="G203" i="9"/>
  <c r="AA202" i="11"/>
  <c r="AA202" i="10"/>
  <c r="AA202" i="9"/>
  <c r="S202" i="11"/>
  <c r="S202" i="10"/>
  <c r="S202" i="9"/>
  <c r="K202" i="11"/>
  <c r="K202" i="10"/>
  <c r="K202" i="9"/>
  <c r="C202" i="11"/>
  <c r="C202" i="10"/>
  <c r="C202" i="9"/>
  <c r="W201" i="11"/>
  <c r="W201" i="10"/>
  <c r="W201" i="9"/>
  <c r="O201" i="11"/>
  <c r="O201" i="10"/>
  <c r="O201" i="9"/>
  <c r="G201" i="11"/>
  <c r="G201" i="10"/>
  <c r="G201" i="9"/>
  <c r="AA200" i="11"/>
  <c r="AA200" i="10"/>
  <c r="AA200" i="9"/>
  <c r="S200" i="11"/>
  <c r="S200" i="10"/>
  <c r="S200" i="9"/>
  <c r="K200" i="11"/>
  <c r="K200" i="10"/>
  <c r="K200" i="9"/>
  <c r="C200" i="11"/>
  <c r="C200" i="10"/>
  <c r="C200" i="9"/>
  <c r="W199" i="11"/>
  <c r="W199" i="10"/>
  <c r="W199" i="9"/>
  <c r="O199" i="11"/>
  <c r="O199" i="10"/>
  <c r="O199" i="9"/>
  <c r="G199" i="11"/>
  <c r="G199" i="10"/>
  <c r="G199" i="9"/>
  <c r="AA198" i="11"/>
  <c r="AA198" i="10"/>
  <c r="AA198" i="9"/>
  <c r="S198" i="11"/>
  <c r="S198" i="10"/>
  <c r="S198" i="9"/>
  <c r="K198" i="11"/>
  <c r="K198" i="10"/>
  <c r="K198" i="9"/>
  <c r="C198" i="11"/>
  <c r="C198" i="10"/>
  <c r="C198" i="9"/>
  <c r="W197" i="11"/>
  <c r="W197" i="10"/>
  <c r="W197" i="9"/>
  <c r="O197" i="11"/>
  <c r="O197" i="10"/>
  <c r="O197" i="9"/>
  <c r="G197" i="11"/>
  <c r="G197" i="10"/>
  <c r="G197" i="9"/>
  <c r="AA196" i="11"/>
  <c r="AA196" i="10"/>
  <c r="AA196" i="9"/>
  <c r="S196" i="11"/>
  <c r="S196" i="10"/>
  <c r="S196" i="9"/>
  <c r="K196" i="11"/>
  <c r="K196" i="10"/>
  <c r="K196" i="9"/>
  <c r="C196" i="11"/>
  <c r="C196" i="10"/>
  <c r="C196" i="9"/>
  <c r="W195" i="11"/>
  <c r="W195" i="10"/>
  <c r="W195" i="9"/>
  <c r="O195" i="11"/>
  <c r="O195" i="10"/>
  <c r="O195" i="9"/>
  <c r="G195" i="11"/>
  <c r="G195" i="10"/>
  <c r="G195" i="9"/>
  <c r="AA194" i="11"/>
  <c r="AA194" i="10"/>
  <c r="AA194" i="9"/>
  <c r="S194" i="11"/>
  <c r="S194" i="10"/>
  <c r="S194" i="9"/>
  <c r="K194" i="11"/>
  <c r="K194" i="10"/>
  <c r="K194" i="9"/>
  <c r="C194" i="11"/>
  <c r="C194" i="10"/>
  <c r="C194" i="9"/>
  <c r="W193" i="11"/>
  <c r="W193" i="10"/>
  <c r="W193" i="9"/>
  <c r="O193" i="11"/>
  <c r="O193" i="10"/>
  <c r="O193" i="9"/>
  <c r="G193" i="11"/>
  <c r="G193" i="10"/>
  <c r="G193" i="9"/>
  <c r="AA192" i="11"/>
  <c r="AA192" i="10"/>
  <c r="AA192" i="9"/>
  <c r="S192" i="11"/>
  <c r="S192" i="10"/>
  <c r="S192" i="9"/>
  <c r="K192" i="11"/>
  <c r="K192" i="10"/>
  <c r="K192" i="9"/>
  <c r="C192" i="11"/>
  <c r="C192" i="10"/>
  <c r="C192" i="9"/>
  <c r="W191" i="11"/>
  <c r="W191" i="10"/>
  <c r="W191" i="9"/>
  <c r="O191" i="11"/>
  <c r="O191" i="10"/>
  <c r="O191" i="9"/>
  <c r="G191" i="11"/>
  <c r="G191" i="10"/>
  <c r="G191" i="9"/>
  <c r="AA190" i="11"/>
  <c r="AA190" i="10"/>
  <c r="AA190" i="9"/>
  <c r="S190" i="11"/>
  <c r="S190" i="10"/>
  <c r="S190" i="9"/>
  <c r="K190" i="11"/>
  <c r="K190" i="10"/>
  <c r="K190" i="9"/>
  <c r="C190" i="11"/>
  <c r="C190" i="10"/>
  <c r="C190" i="9"/>
  <c r="W189" i="11"/>
  <c r="W189" i="10"/>
  <c r="W189" i="9"/>
  <c r="O189" i="11"/>
  <c r="O189" i="10"/>
  <c r="O189" i="9"/>
  <c r="G189" i="11"/>
  <c r="G189" i="10"/>
  <c r="G189" i="9"/>
  <c r="AA188" i="11"/>
  <c r="AA188" i="10"/>
  <c r="AA188" i="9"/>
  <c r="S188" i="11"/>
  <c r="S188" i="10"/>
  <c r="S188" i="9"/>
  <c r="K188" i="11"/>
  <c r="K188" i="10"/>
  <c r="K188" i="9"/>
  <c r="C188" i="11"/>
  <c r="C188" i="10"/>
  <c r="C188" i="9"/>
  <c r="W187" i="11"/>
  <c r="W187" i="10"/>
  <c r="W187" i="9"/>
  <c r="O187" i="11"/>
  <c r="O187" i="10"/>
  <c r="O187" i="9"/>
  <c r="G187" i="11"/>
  <c r="G187" i="10"/>
  <c r="G187" i="9"/>
  <c r="AA186" i="11"/>
  <c r="AA186" i="10"/>
  <c r="AA186" i="9"/>
  <c r="S186" i="11"/>
  <c r="S186" i="10"/>
  <c r="S186" i="9"/>
  <c r="K186" i="11"/>
  <c r="K186" i="10"/>
  <c r="K186" i="9"/>
  <c r="C186" i="11"/>
  <c r="C186" i="10"/>
  <c r="C186" i="9"/>
  <c r="W185" i="11"/>
  <c r="W185" i="10"/>
  <c r="W185" i="9"/>
  <c r="O185" i="11"/>
  <c r="O185" i="10"/>
  <c r="O185" i="9"/>
  <c r="G185" i="11"/>
  <c r="G185" i="10"/>
  <c r="G185" i="9"/>
  <c r="AA184" i="11"/>
  <c r="AA184" i="10"/>
  <c r="AA184" i="9"/>
  <c r="S184" i="11"/>
  <c r="S184" i="10"/>
  <c r="S184" i="9"/>
  <c r="K184" i="11"/>
  <c r="K184" i="10"/>
  <c r="K184" i="9"/>
  <c r="C184" i="11"/>
  <c r="C184" i="10"/>
  <c r="C184" i="9"/>
  <c r="W183" i="11"/>
  <c r="W183" i="10"/>
  <c r="W183" i="9"/>
  <c r="O183" i="11"/>
  <c r="O183" i="10"/>
  <c r="O183" i="9"/>
  <c r="G183" i="11"/>
  <c r="G183" i="10"/>
  <c r="G183" i="9"/>
  <c r="AA182" i="11"/>
  <c r="AA182" i="10"/>
  <c r="AA182" i="9"/>
  <c r="S182" i="11"/>
  <c r="S182" i="10"/>
  <c r="S182" i="9"/>
  <c r="K182" i="11"/>
  <c r="K182" i="10"/>
  <c r="K182" i="9"/>
  <c r="C182" i="11"/>
  <c r="C182" i="10"/>
  <c r="C182" i="9"/>
  <c r="W181" i="11"/>
  <c r="W181" i="10"/>
  <c r="W181" i="9"/>
  <c r="O181" i="11"/>
  <c r="O181" i="10"/>
  <c r="O181" i="9"/>
  <c r="G181" i="11"/>
  <c r="G181" i="10"/>
  <c r="G181" i="9"/>
  <c r="AA180" i="11"/>
  <c r="AA180" i="10"/>
  <c r="AA180" i="9"/>
  <c r="S180" i="11"/>
  <c r="S180" i="10"/>
  <c r="S180" i="9"/>
  <c r="K180" i="11"/>
  <c r="K180" i="10"/>
  <c r="K180" i="9"/>
  <c r="C180" i="11"/>
  <c r="C180" i="10"/>
  <c r="C180" i="9"/>
  <c r="W179" i="11"/>
  <c r="W179" i="10"/>
  <c r="W179" i="9"/>
  <c r="O179" i="11"/>
  <c r="O179" i="10"/>
  <c r="O179" i="9"/>
  <c r="G179" i="11"/>
  <c r="G179" i="10"/>
  <c r="G179" i="9"/>
  <c r="AA178" i="11"/>
  <c r="AA178" i="10"/>
  <c r="AA178" i="9"/>
  <c r="M39" i="2"/>
  <c r="Z366" i="11"/>
  <c r="Z366" i="10"/>
  <c r="Z366" i="9"/>
  <c r="R366" i="11"/>
  <c r="R366" i="10"/>
  <c r="R366" i="9"/>
  <c r="J366" i="11"/>
  <c r="J366" i="10"/>
  <c r="J366" i="9"/>
  <c r="B366" i="11"/>
  <c r="B366" i="10"/>
  <c r="B366" i="9"/>
  <c r="AD365" i="11"/>
  <c r="AD365" i="10"/>
  <c r="AD365" i="9"/>
  <c r="V365" i="11"/>
  <c r="V365" i="10"/>
  <c r="V365" i="9"/>
  <c r="N365" i="11"/>
  <c r="N365" i="10"/>
  <c r="N365" i="9"/>
  <c r="F365" i="11"/>
  <c r="F365" i="10"/>
  <c r="F365" i="9"/>
  <c r="Z364" i="11"/>
  <c r="Z364" i="10"/>
  <c r="Z364" i="9"/>
  <c r="R364" i="11"/>
  <c r="R364" i="10"/>
  <c r="R364" i="9"/>
  <c r="J364" i="11"/>
  <c r="J364" i="10"/>
  <c r="J364" i="9"/>
  <c r="B364" i="11"/>
  <c r="B364" i="10"/>
  <c r="B364" i="9"/>
  <c r="AD363" i="11"/>
  <c r="AD363" i="10"/>
  <c r="AD363" i="9"/>
  <c r="V363" i="11"/>
  <c r="V363" i="10"/>
  <c r="V363" i="9"/>
  <c r="N363" i="11"/>
  <c r="N363" i="10"/>
  <c r="N363" i="9"/>
  <c r="F363" i="11"/>
  <c r="F363" i="10"/>
  <c r="F363" i="9"/>
  <c r="Z362" i="11"/>
  <c r="Z362" i="10"/>
  <c r="Z362" i="9"/>
  <c r="R362" i="11"/>
  <c r="R362" i="10"/>
  <c r="R362" i="9"/>
  <c r="J362" i="11"/>
  <c r="J362" i="10"/>
  <c r="J362" i="9"/>
  <c r="B362" i="11"/>
  <c r="B362" i="10"/>
  <c r="B362" i="9"/>
  <c r="AD361" i="11"/>
  <c r="AD361" i="10"/>
  <c r="AD361" i="9"/>
  <c r="V361" i="11"/>
  <c r="V361" i="10"/>
  <c r="V361" i="9"/>
  <c r="N361" i="11"/>
  <c r="N361" i="10"/>
  <c r="N361" i="9"/>
  <c r="F361" i="11"/>
  <c r="F361" i="10"/>
  <c r="F361" i="9"/>
  <c r="Z360" i="11"/>
  <c r="Z360" i="10"/>
  <c r="Z360" i="9"/>
  <c r="R360" i="11"/>
  <c r="R360" i="10"/>
  <c r="R360" i="9"/>
  <c r="J360" i="11"/>
  <c r="J360" i="10"/>
  <c r="J360" i="9"/>
  <c r="B360" i="11"/>
  <c r="B360" i="10"/>
  <c r="B360" i="9"/>
  <c r="AD359" i="11"/>
  <c r="AD359" i="10"/>
  <c r="AD359" i="9"/>
  <c r="V359" i="11"/>
  <c r="V359" i="10"/>
  <c r="V359" i="9"/>
  <c r="N359" i="11"/>
  <c r="N359" i="10"/>
  <c r="N359" i="9"/>
  <c r="F359" i="11"/>
  <c r="F359" i="10"/>
  <c r="F359" i="9"/>
  <c r="Z358" i="11"/>
  <c r="Z358" i="10"/>
  <c r="Z358" i="9"/>
  <c r="R358" i="11"/>
  <c r="R358" i="10"/>
  <c r="R358" i="9"/>
  <c r="J358" i="11"/>
  <c r="J358" i="10"/>
  <c r="J358" i="9"/>
  <c r="B358" i="11"/>
  <c r="B358" i="10"/>
  <c r="B358" i="9"/>
  <c r="AD357" i="11"/>
  <c r="AD357" i="10"/>
  <c r="AD357" i="9"/>
  <c r="V357" i="11"/>
  <c r="V357" i="10"/>
  <c r="V357" i="9"/>
  <c r="N357" i="11"/>
  <c r="N357" i="10"/>
  <c r="N357" i="9"/>
  <c r="F357" i="11"/>
  <c r="F357" i="10"/>
  <c r="F357" i="9"/>
  <c r="Z356" i="11"/>
  <c r="Z356" i="10"/>
  <c r="Z356" i="9"/>
  <c r="R356" i="11"/>
  <c r="R356" i="10"/>
  <c r="R356" i="9"/>
  <c r="J356" i="11"/>
  <c r="J356" i="10"/>
  <c r="J356" i="9"/>
  <c r="B356" i="11"/>
  <c r="B356" i="10"/>
  <c r="B356" i="9"/>
  <c r="AD355" i="11"/>
  <c r="AD355" i="10"/>
  <c r="AD355" i="9"/>
  <c r="V355" i="11"/>
  <c r="V355" i="10"/>
  <c r="V355" i="9"/>
  <c r="N355" i="11"/>
  <c r="N355" i="10"/>
  <c r="N355" i="9"/>
  <c r="F355" i="11"/>
  <c r="F355" i="10"/>
  <c r="F355" i="9"/>
  <c r="Z354" i="11"/>
  <c r="Z354" i="10"/>
  <c r="Z354" i="9"/>
  <c r="R354" i="11"/>
  <c r="R354" i="10"/>
  <c r="R354" i="9"/>
  <c r="J354" i="11"/>
  <c r="J354" i="10"/>
  <c r="J354" i="9"/>
  <c r="B354" i="11"/>
  <c r="B354" i="10"/>
  <c r="B354" i="9"/>
  <c r="AD353" i="11"/>
  <c r="AD353" i="10"/>
  <c r="AD353" i="9"/>
  <c r="V353" i="11"/>
  <c r="V353" i="10"/>
  <c r="V353" i="9"/>
  <c r="N353" i="11"/>
  <c r="N353" i="10"/>
  <c r="N353" i="9"/>
  <c r="F353" i="11"/>
  <c r="F353" i="10"/>
  <c r="F353" i="9"/>
  <c r="Z352" i="11"/>
  <c r="Z352" i="10"/>
  <c r="Z352" i="9"/>
  <c r="R352" i="11"/>
  <c r="R352" i="10"/>
  <c r="R352" i="9"/>
  <c r="J352" i="11"/>
  <c r="J352" i="10"/>
  <c r="J352" i="9"/>
  <c r="B352" i="11"/>
  <c r="B352" i="10"/>
  <c r="B352" i="9"/>
  <c r="AD351" i="11"/>
  <c r="AD351" i="10"/>
  <c r="AD351" i="9"/>
  <c r="V351" i="11"/>
  <c r="V351" i="10"/>
  <c r="V351" i="9"/>
  <c r="N351" i="11"/>
  <c r="N351" i="10"/>
  <c r="N351" i="9"/>
  <c r="F351" i="11"/>
  <c r="F351" i="10"/>
  <c r="F351" i="9"/>
  <c r="Z350" i="11"/>
  <c r="Z350" i="10"/>
  <c r="Z350" i="9"/>
  <c r="R350" i="11"/>
  <c r="R350" i="10"/>
  <c r="R350" i="9"/>
  <c r="J350" i="11"/>
  <c r="J350" i="10"/>
  <c r="J350" i="9"/>
  <c r="B350" i="11"/>
  <c r="B350" i="10"/>
  <c r="B350" i="9"/>
  <c r="AD349" i="11"/>
  <c r="AD349" i="10"/>
  <c r="AD349" i="9"/>
  <c r="V349" i="11"/>
  <c r="V349" i="10"/>
  <c r="V349" i="9"/>
  <c r="N349" i="11"/>
  <c r="N349" i="10"/>
  <c r="N349" i="9"/>
  <c r="F349" i="11"/>
  <c r="F349" i="10"/>
  <c r="F349" i="9"/>
  <c r="Z348" i="11"/>
  <c r="Z348" i="10"/>
  <c r="Z348" i="9"/>
  <c r="R348" i="11"/>
  <c r="R348" i="10"/>
  <c r="R348" i="9"/>
  <c r="J348" i="11"/>
  <c r="J348" i="10"/>
  <c r="J348" i="9"/>
  <c r="B348" i="11"/>
  <c r="B348" i="10"/>
  <c r="B348" i="9"/>
  <c r="AD347" i="11"/>
  <c r="AD347" i="10"/>
  <c r="AD347" i="9"/>
  <c r="V347" i="11"/>
  <c r="V347" i="10"/>
  <c r="V347" i="9"/>
  <c r="N347" i="11"/>
  <c r="N347" i="10"/>
  <c r="N347" i="9"/>
  <c r="F347" i="11"/>
  <c r="F347" i="10"/>
  <c r="F347" i="9"/>
  <c r="Z346" i="11"/>
  <c r="Z346" i="10"/>
  <c r="Z346" i="9"/>
  <c r="R346" i="11"/>
  <c r="R346" i="10"/>
  <c r="R346" i="9"/>
  <c r="J346" i="11"/>
  <c r="J346" i="10"/>
  <c r="J346" i="9"/>
  <c r="B346" i="11"/>
  <c r="B346" i="10"/>
  <c r="B346" i="9"/>
  <c r="AD345" i="11"/>
  <c r="AD345" i="10"/>
  <c r="AD345" i="9"/>
  <c r="V345" i="11"/>
  <c r="V345" i="10"/>
  <c r="V345" i="9"/>
  <c r="N345" i="11"/>
  <c r="N345" i="10"/>
  <c r="N345" i="9"/>
  <c r="F345" i="11"/>
  <c r="F345" i="10"/>
  <c r="F345" i="9"/>
  <c r="Z344" i="11"/>
  <c r="Z344" i="10"/>
  <c r="Z344" i="9"/>
  <c r="R344" i="11"/>
  <c r="R344" i="10"/>
  <c r="R344" i="9"/>
  <c r="J344" i="11"/>
  <c r="J344" i="10"/>
  <c r="J344" i="9"/>
  <c r="B344" i="11"/>
  <c r="B344" i="10"/>
  <c r="B344" i="9"/>
  <c r="AD343" i="11"/>
  <c r="AD343" i="10"/>
  <c r="AD343" i="9"/>
  <c r="V343" i="11"/>
  <c r="V343" i="10"/>
  <c r="V343" i="9"/>
  <c r="N343" i="11"/>
  <c r="N343" i="10"/>
  <c r="N343" i="9"/>
  <c r="F343" i="11"/>
  <c r="F343" i="10"/>
  <c r="F343" i="9"/>
  <c r="Z342" i="11"/>
  <c r="Z342" i="10"/>
  <c r="Z342" i="9"/>
  <c r="R342" i="11"/>
  <c r="R342" i="10"/>
  <c r="R342" i="9"/>
  <c r="J342" i="11"/>
  <c r="J342" i="10"/>
  <c r="J342" i="9"/>
  <c r="B342" i="11"/>
  <c r="B342" i="10"/>
  <c r="B342" i="9"/>
  <c r="AD341" i="11"/>
  <c r="AD341" i="10"/>
  <c r="AD341" i="9"/>
  <c r="V341" i="11"/>
  <c r="V341" i="10"/>
  <c r="V341" i="9"/>
  <c r="N341" i="11"/>
  <c r="N341" i="10"/>
  <c r="N341" i="9"/>
  <c r="F341" i="11"/>
  <c r="F341" i="10"/>
  <c r="F341" i="9"/>
  <c r="Z340" i="11"/>
  <c r="Z340" i="10"/>
  <c r="Z340" i="9"/>
  <c r="R340" i="11"/>
  <c r="R340" i="10"/>
  <c r="R340" i="9"/>
  <c r="J340" i="11"/>
  <c r="J340" i="10"/>
  <c r="J340" i="9"/>
  <c r="B340" i="11"/>
  <c r="B340" i="10"/>
  <c r="B340" i="9"/>
  <c r="AD339" i="11"/>
  <c r="AD339" i="10"/>
  <c r="AD339" i="9"/>
  <c r="V339" i="11"/>
  <c r="V339" i="10"/>
  <c r="V339" i="9"/>
  <c r="N339" i="11"/>
  <c r="N339" i="10"/>
  <c r="N339" i="9"/>
  <c r="F339" i="11"/>
  <c r="F339" i="10"/>
  <c r="F339" i="9"/>
  <c r="Z338" i="11"/>
  <c r="Z338" i="10"/>
  <c r="Z338" i="9"/>
  <c r="R338" i="11"/>
  <c r="R338" i="10"/>
  <c r="R338" i="9"/>
  <c r="J338" i="11"/>
  <c r="J338" i="10"/>
  <c r="J338" i="9"/>
  <c r="B338" i="11"/>
  <c r="B338" i="10"/>
  <c r="B338" i="9"/>
  <c r="AD337" i="11"/>
  <c r="AD337" i="10"/>
  <c r="AD337" i="9"/>
  <c r="V337" i="11"/>
  <c r="V337" i="10"/>
  <c r="V337" i="9"/>
  <c r="N337" i="11"/>
  <c r="N337" i="10"/>
  <c r="N337" i="9"/>
  <c r="F337" i="11"/>
  <c r="F337" i="10"/>
  <c r="F337" i="9"/>
  <c r="Z336" i="11"/>
  <c r="Z336" i="10"/>
  <c r="Z336" i="9"/>
  <c r="R336" i="11"/>
  <c r="R336" i="10"/>
  <c r="R336" i="9"/>
  <c r="J336" i="11"/>
  <c r="J336" i="10"/>
  <c r="J336" i="9"/>
  <c r="B336" i="11"/>
  <c r="B336" i="10"/>
  <c r="B336" i="9"/>
  <c r="AD335" i="11"/>
  <c r="AD335" i="10"/>
  <c r="AD335" i="9"/>
  <c r="V335" i="11"/>
  <c r="V335" i="10"/>
  <c r="V335" i="9"/>
  <c r="N335" i="11"/>
  <c r="N335" i="10"/>
  <c r="N335" i="9"/>
  <c r="F335" i="11"/>
  <c r="F335" i="10"/>
  <c r="F335" i="9"/>
  <c r="Z334" i="11"/>
  <c r="Z334" i="10"/>
  <c r="Z334" i="9"/>
  <c r="R334" i="11"/>
  <c r="R334" i="10"/>
  <c r="R334" i="9"/>
  <c r="J334" i="11"/>
  <c r="J334" i="10"/>
  <c r="J334" i="9"/>
  <c r="B334" i="11"/>
  <c r="B334" i="10"/>
  <c r="B334" i="9"/>
  <c r="AD333" i="11"/>
  <c r="AD333" i="10"/>
  <c r="AD333" i="9"/>
  <c r="V333" i="11"/>
  <c r="V333" i="10"/>
  <c r="V333" i="9"/>
  <c r="N333" i="11"/>
  <c r="N333" i="10"/>
  <c r="N333" i="9"/>
  <c r="F333" i="11"/>
  <c r="F333" i="10"/>
  <c r="F333" i="9"/>
  <c r="Z332" i="11"/>
  <c r="Z332" i="10"/>
  <c r="Z332" i="9"/>
  <c r="R332" i="11"/>
  <c r="R332" i="10"/>
  <c r="R332" i="9"/>
  <c r="J332" i="11"/>
  <c r="J332" i="10"/>
  <c r="J332" i="9"/>
  <c r="B332" i="11"/>
  <c r="B332" i="10"/>
  <c r="B332" i="9"/>
  <c r="AD331" i="11"/>
  <c r="AD331" i="10"/>
  <c r="AD331" i="9"/>
  <c r="V331" i="11"/>
  <c r="V331" i="10"/>
  <c r="V331" i="9"/>
  <c r="N331" i="11"/>
  <c r="N331" i="10"/>
  <c r="N331" i="9"/>
  <c r="F331" i="11"/>
  <c r="F331" i="10"/>
  <c r="F331" i="9"/>
  <c r="Z330" i="11"/>
  <c r="Z330" i="10"/>
  <c r="Z330" i="9"/>
  <c r="R330" i="11"/>
  <c r="R330" i="10"/>
  <c r="R330" i="9"/>
  <c r="J330" i="11"/>
  <c r="J330" i="10"/>
  <c r="J330" i="9"/>
  <c r="B330" i="11"/>
  <c r="B330" i="10"/>
  <c r="B330" i="9"/>
  <c r="AD329" i="11"/>
  <c r="AD329" i="10"/>
  <c r="AD329" i="9"/>
  <c r="V329" i="11"/>
  <c r="V329" i="10"/>
  <c r="V329" i="9"/>
  <c r="N329" i="11"/>
  <c r="N329" i="10"/>
  <c r="N329" i="9"/>
  <c r="F329" i="11"/>
  <c r="F329" i="10"/>
  <c r="F329" i="9"/>
  <c r="Z328" i="11"/>
  <c r="Z328" i="10"/>
  <c r="Z328" i="9"/>
  <c r="R328" i="11"/>
  <c r="R328" i="10"/>
  <c r="R328" i="9"/>
  <c r="J328" i="11"/>
  <c r="J328" i="10"/>
  <c r="J328" i="9"/>
  <c r="B328" i="11"/>
  <c r="B328" i="10"/>
  <c r="B328" i="9"/>
  <c r="AD327" i="11"/>
  <c r="AD327" i="10"/>
  <c r="AD327" i="9"/>
  <c r="V327" i="11"/>
  <c r="V327" i="10"/>
  <c r="V327" i="9"/>
  <c r="N327" i="11"/>
  <c r="N327" i="10"/>
  <c r="N327" i="9"/>
  <c r="F327" i="11"/>
  <c r="F327" i="10"/>
  <c r="F327" i="9"/>
  <c r="Z326" i="11"/>
  <c r="Z326" i="10"/>
  <c r="Z326" i="9"/>
  <c r="R326" i="11"/>
  <c r="R326" i="10"/>
  <c r="R326" i="9"/>
  <c r="J326" i="11"/>
  <c r="J326" i="10"/>
  <c r="J326" i="9"/>
  <c r="B326" i="11"/>
  <c r="B326" i="10"/>
  <c r="B326" i="9"/>
  <c r="AD325" i="11"/>
  <c r="AD325" i="10"/>
  <c r="AD325" i="9"/>
  <c r="V325" i="11"/>
  <c r="V325" i="10"/>
  <c r="V325" i="9"/>
  <c r="N325" i="11"/>
  <c r="N325" i="10"/>
  <c r="N325" i="9"/>
  <c r="F325" i="11"/>
  <c r="F325" i="10"/>
  <c r="F325" i="9"/>
  <c r="Z324" i="11"/>
  <c r="Z324" i="10"/>
  <c r="Z324" i="9"/>
  <c r="R324" i="11"/>
  <c r="R324" i="10"/>
  <c r="R324" i="9"/>
  <c r="J324" i="11"/>
  <c r="J324" i="10"/>
  <c r="J324" i="9"/>
  <c r="B324" i="11"/>
  <c r="B324" i="10"/>
  <c r="B324" i="9"/>
  <c r="AD323" i="11"/>
  <c r="AD323" i="10"/>
  <c r="AD323" i="9"/>
  <c r="V323" i="11"/>
  <c r="V323" i="10"/>
  <c r="V323" i="9"/>
  <c r="N323" i="11"/>
  <c r="N323" i="10"/>
  <c r="N323" i="9"/>
  <c r="F323" i="11"/>
  <c r="F323" i="10"/>
  <c r="F323" i="9"/>
  <c r="Z322" i="11"/>
  <c r="Z322" i="10"/>
  <c r="Z322" i="9"/>
  <c r="R322" i="11"/>
  <c r="R322" i="10"/>
  <c r="R322" i="9"/>
  <c r="J322" i="11"/>
  <c r="J322" i="10"/>
  <c r="J322" i="9"/>
  <c r="B322" i="11"/>
  <c r="B322" i="10"/>
  <c r="B322" i="9"/>
  <c r="AD321" i="11"/>
  <c r="AD321" i="10"/>
  <c r="AD321" i="9"/>
  <c r="V321" i="11"/>
  <c r="V321" i="10"/>
  <c r="V321" i="9"/>
  <c r="N321" i="11"/>
  <c r="N321" i="10"/>
  <c r="N321" i="9"/>
  <c r="F321" i="11"/>
  <c r="F321" i="10"/>
  <c r="F321" i="9"/>
  <c r="Z320" i="11"/>
  <c r="Z320" i="10"/>
  <c r="Z320" i="9"/>
  <c r="R320" i="11"/>
  <c r="R320" i="10"/>
  <c r="R320" i="9"/>
  <c r="J320" i="11"/>
  <c r="J320" i="10"/>
  <c r="J320" i="9"/>
  <c r="B320" i="11"/>
  <c r="B320" i="10"/>
  <c r="B320" i="9"/>
  <c r="AD319" i="11"/>
  <c r="AD319" i="10"/>
  <c r="AD319" i="9"/>
  <c r="V319" i="11"/>
  <c r="V319" i="10"/>
  <c r="V319" i="9"/>
  <c r="N319" i="11"/>
  <c r="N319" i="10"/>
  <c r="N319" i="9"/>
  <c r="F319" i="11"/>
  <c r="F319" i="10"/>
  <c r="F319" i="9"/>
  <c r="Z318" i="11"/>
  <c r="Z318" i="10"/>
  <c r="Z318" i="9"/>
  <c r="R318" i="11"/>
  <c r="R318" i="10"/>
  <c r="R318" i="9"/>
  <c r="J318" i="11"/>
  <c r="J318" i="10"/>
  <c r="J318" i="9"/>
  <c r="B318" i="11"/>
  <c r="B318" i="10"/>
  <c r="B318" i="9"/>
  <c r="AD317" i="11"/>
  <c r="AD317" i="10"/>
  <c r="AD317" i="9"/>
  <c r="V317" i="11"/>
  <c r="V317" i="10"/>
  <c r="V317" i="9"/>
  <c r="N317" i="11"/>
  <c r="N317" i="10"/>
  <c r="N317" i="9"/>
  <c r="F317" i="11"/>
  <c r="F317" i="10"/>
  <c r="F317" i="9"/>
  <c r="Z316" i="11"/>
  <c r="Z316" i="10"/>
  <c r="Z316" i="9"/>
  <c r="R316" i="11"/>
  <c r="R316" i="10"/>
  <c r="R316" i="9"/>
  <c r="J316" i="11"/>
  <c r="J316" i="10"/>
  <c r="J316" i="9"/>
  <c r="B316" i="11"/>
  <c r="B316" i="10"/>
  <c r="B316" i="9"/>
  <c r="AD315" i="11"/>
  <c r="AD315" i="10"/>
  <c r="AD315" i="9"/>
  <c r="V315" i="11"/>
  <c r="V315" i="10"/>
  <c r="V315" i="9"/>
  <c r="N315" i="11"/>
  <c r="N315" i="10"/>
  <c r="N315" i="9"/>
  <c r="F315" i="11"/>
  <c r="F315" i="10"/>
  <c r="F315" i="9"/>
  <c r="Z314" i="11"/>
  <c r="Z314" i="10"/>
  <c r="Z314" i="9"/>
  <c r="R314" i="11"/>
  <c r="R314" i="10"/>
  <c r="R314" i="9"/>
  <c r="J314" i="11"/>
  <c r="J314" i="10"/>
  <c r="J314" i="9"/>
  <c r="B314" i="11"/>
  <c r="B314" i="10"/>
  <c r="B314" i="9"/>
  <c r="AD313" i="11"/>
  <c r="AD313" i="10"/>
  <c r="AD313" i="9"/>
  <c r="V313" i="11"/>
  <c r="V313" i="10"/>
  <c r="V313" i="9"/>
  <c r="N313" i="11"/>
  <c r="N313" i="10"/>
  <c r="N313" i="9"/>
  <c r="F313" i="11"/>
  <c r="F313" i="10"/>
  <c r="F313" i="9"/>
  <c r="Z312" i="11"/>
  <c r="Z312" i="10"/>
  <c r="Z312" i="9"/>
  <c r="R312" i="11"/>
  <c r="R312" i="10"/>
  <c r="R312" i="9"/>
  <c r="J312" i="11"/>
  <c r="J312" i="10"/>
  <c r="J312" i="9"/>
  <c r="B312" i="11"/>
  <c r="B312" i="10"/>
  <c r="B312" i="9"/>
  <c r="AD311" i="11"/>
  <c r="AD311" i="10"/>
  <c r="AD311" i="9"/>
  <c r="V311" i="11"/>
  <c r="V311" i="10"/>
  <c r="V311" i="9"/>
  <c r="N311" i="11"/>
  <c r="N311" i="10"/>
  <c r="N311" i="9"/>
  <c r="F311" i="11"/>
  <c r="F311" i="10"/>
  <c r="F311" i="9"/>
  <c r="Z310" i="11"/>
  <c r="Z310" i="10"/>
  <c r="Z310" i="9"/>
  <c r="R310" i="11"/>
  <c r="R310" i="10"/>
  <c r="R310" i="9"/>
  <c r="J310" i="11"/>
  <c r="J310" i="10"/>
  <c r="J310" i="9"/>
  <c r="B310" i="11"/>
  <c r="B310" i="10"/>
  <c r="B310" i="9"/>
  <c r="AD309" i="11"/>
  <c r="AD309" i="10"/>
  <c r="AD309" i="9"/>
  <c r="V309" i="11"/>
  <c r="V309" i="10"/>
  <c r="V309" i="9"/>
  <c r="N309" i="11"/>
  <c r="N309" i="10"/>
  <c r="N309" i="9"/>
  <c r="F309" i="11"/>
  <c r="F309" i="10"/>
  <c r="F309" i="9"/>
  <c r="Z308" i="11"/>
  <c r="Z308" i="10"/>
  <c r="Z308" i="9"/>
  <c r="R308" i="11"/>
  <c r="R308" i="10"/>
  <c r="R308" i="9"/>
  <c r="J308" i="11"/>
  <c r="J308" i="10"/>
  <c r="J308" i="9"/>
  <c r="B308" i="11"/>
  <c r="B308" i="10"/>
  <c r="B308" i="9"/>
  <c r="AD307" i="11"/>
  <c r="AD307" i="10"/>
  <c r="AD307" i="9"/>
  <c r="V307" i="11"/>
  <c r="V307" i="10"/>
  <c r="V307" i="9"/>
  <c r="N307" i="11"/>
  <c r="N307" i="10"/>
  <c r="N307" i="9"/>
  <c r="F307" i="11"/>
  <c r="F307" i="10"/>
  <c r="F307" i="9"/>
  <c r="Z306" i="11"/>
  <c r="Z306" i="10"/>
  <c r="Z306" i="9"/>
  <c r="R306" i="11"/>
  <c r="R306" i="10"/>
  <c r="R306" i="9"/>
  <c r="J306" i="11"/>
  <c r="J306" i="10"/>
  <c r="J306" i="9"/>
  <c r="B306" i="11"/>
  <c r="B306" i="10"/>
  <c r="B306" i="9"/>
  <c r="AD305" i="11"/>
  <c r="AD305" i="10"/>
  <c r="AD305" i="9"/>
  <c r="V305" i="11"/>
  <c r="V305" i="10"/>
  <c r="V305" i="9"/>
  <c r="N305" i="11"/>
  <c r="N305" i="10"/>
  <c r="N305" i="9"/>
  <c r="F305" i="11"/>
  <c r="F305" i="10"/>
  <c r="F305" i="9"/>
  <c r="Z304" i="11"/>
  <c r="Z304" i="10"/>
  <c r="Z304" i="9"/>
  <c r="R304" i="11"/>
  <c r="R304" i="10"/>
  <c r="R304" i="9"/>
  <c r="J304" i="11"/>
  <c r="J304" i="10"/>
  <c r="J304" i="9"/>
  <c r="B304" i="11"/>
  <c r="B304" i="10"/>
  <c r="B304" i="9"/>
  <c r="AD303" i="11"/>
  <c r="AD303" i="10"/>
  <c r="AD303" i="9"/>
  <c r="V303" i="11"/>
  <c r="V303" i="10"/>
  <c r="V303" i="9"/>
  <c r="N303" i="11"/>
  <c r="N303" i="10"/>
  <c r="N303" i="9"/>
  <c r="F303" i="11"/>
  <c r="F303" i="10"/>
  <c r="F303" i="9"/>
  <c r="Z302" i="11"/>
  <c r="Z302" i="10"/>
  <c r="Z302" i="9"/>
  <c r="R302" i="11"/>
  <c r="R302" i="10"/>
  <c r="R302" i="9"/>
  <c r="J302" i="11"/>
  <c r="J302" i="10"/>
  <c r="J302" i="9"/>
  <c r="B302" i="11"/>
  <c r="B302" i="10"/>
  <c r="B302" i="9"/>
  <c r="AD301" i="11"/>
  <c r="AD301" i="10"/>
  <c r="AD301" i="9"/>
  <c r="V301" i="11"/>
  <c r="V301" i="10"/>
  <c r="V301" i="9"/>
  <c r="N301" i="11"/>
  <c r="N301" i="10"/>
  <c r="N301" i="9"/>
  <c r="F301" i="11"/>
  <c r="F301" i="10"/>
  <c r="F301" i="9"/>
  <c r="Z300" i="11"/>
  <c r="Z300" i="10"/>
  <c r="Z300" i="9"/>
  <c r="R300" i="11"/>
  <c r="R300" i="10"/>
  <c r="R300" i="9"/>
  <c r="J300" i="11"/>
  <c r="J300" i="10"/>
  <c r="J300" i="9"/>
  <c r="B300" i="11"/>
  <c r="B300" i="10"/>
  <c r="B300" i="9"/>
  <c r="AD299" i="11"/>
  <c r="AD299" i="10"/>
  <c r="AD299" i="9"/>
  <c r="V299" i="11"/>
  <c r="V299" i="10"/>
  <c r="V299" i="9"/>
  <c r="N299" i="11"/>
  <c r="N299" i="10"/>
  <c r="N299" i="9"/>
  <c r="F299" i="11"/>
  <c r="F299" i="10"/>
  <c r="F299" i="9"/>
  <c r="Z298" i="11"/>
  <c r="Z298" i="10"/>
  <c r="Z298" i="9"/>
  <c r="R298" i="11"/>
  <c r="R298" i="10"/>
  <c r="R298" i="9"/>
  <c r="J298" i="11"/>
  <c r="J298" i="10"/>
  <c r="J298" i="9"/>
  <c r="B298" i="11"/>
  <c r="B298" i="10"/>
  <c r="B298" i="9"/>
  <c r="AD297" i="11"/>
  <c r="AD297" i="10"/>
  <c r="AD297" i="9"/>
  <c r="V297" i="11"/>
  <c r="V297" i="10"/>
  <c r="V297" i="9"/>
  <c r="N297" i="11"/>
  <c r="N297" i="10"/>
  <c r="N297" i="9"/>
  <c r="F297" i="11"/>
  <c r="F297" i="10"/>
  <c r="F297" i="9"/>
  <c r="Z296" i="11"/>
  <c r="Z296" i="10"/>
  <c r="Z296" i="9"/>
  <c r="R296" i="11"/>
  <c r="R296" i="10"/>
  <c r="R296" i="9"/>
  <c r="J296" i="11"/>
  <c r="J296" i="10"/>
  <c r="J296" i="9"/>
  <c r="B296" i="11"/>
  <c r="B296" i="10"/>
  <c r="B296" i="9"/>
  <c r="AD295" i="11"/>
  <c r="AD295" i="10"/>
  <c r="AD295" i="9"/>
  <c r="V295" i="11"/>
  <c r="V295" i="10"/>
  <c r="V295" i="9"/>
  <c r="N295" i="11"/>
  <c r="N295" i="10"/>
  <c r="N295" i="9"/>
  <c r="F295" i="11"/>
  <c r="F295" i="10"/>
  <c r="F295" i="9"/>
  <c r="Z294" i="11"/>
  <c r="Z294" i="10"/>
  <c r="Z294" i="9"/>
  <c r="R294" i="11"/>
  <c r="R294" i="10"/>
  <c r="R294" i="9"/>
  <c r="J294" i="11"/>
  <c r="J294" i="10"/>
  <c r="J294" i="9"/>
  <c r="B294" i="11"/>
  <c r="B294" i="10"/>
  <c r="B294" i="9"/>
  <c r="AD293" i="11"/>
  <c r="AD293" i="10"/>
  <c r="AD293" i="9"/>
  <c r="V293" i="11"/>
  <c r="V293" i="10"/>
  <c r="V293" i="9"/>
  <c r="N293" i="11"/>
  <c r="N293" i="10"/>
  <c r="N293" i="9"/>
  <c r="F293" i="11"/>
  <c r="F293" i="10"/>
  <c r="F293" i="9"/>
  <c r="Z292" i="11"/>
  <c r="Z292" i="10"/>
  <c r="Z292" i="9"/>
  <c r="R292" i="11"/>
  <c r="R292" i="10"/>
  <c r="R292" i="9"/>
  <c r="J292" i="11"/>
  <c r="J292" i="10"/>
  <c r="J292" i="9"/>
  <c r="B292" i="11"/>
  <c r="B292" i="10"/>
  <c r="B292" i="9"/>
  <c r="AD291" i="11"/>
  <c r="AD291" i="10"/>
  <c r="AD291" i="9"/>
  <c r="V291" i="11"/>
  <c r="V291" i="10"/>
  <c r="V291" i="9"/>
  <c r="N291" i="11"/>
  <c r="N291" i="10"/>
  <c r="N291" i="9"/>
  <c r="F291" i="11"/>
  <c r="F291" i="10"/>
  <c r="F291" i="9"/>
  <c r="Z290" i="11"/>
  <c r="Z290" i="10"/>
  <c r="Z290" i="9"/>
  <c r="R290" i="11"/>
  <c r="R290" i="10"/>
  <c r="R290" i="9"/>
  <c r="J290" i="11"/>
  <c r="J290" i="10"/>
  <c r="J290" i="9"/>
  <c r="B290" i="11"/>
  <c r="B290" i="10"/>
  <c r="B290" i="9"/>
  <c r="AD289" i="11"/>
  <c r="AD289" i="10"/>
  <c r="AD289" i="9"/>
  <c r="V289" i="11"/>
  <c r="V289" i="10"/>
  <c r="V289" i="9"/>
  <c r="N289" i="11"/>
  <c r="N289" i="10"/>
  <c r="N289" i="9"/>
  <c r="F289" i="11"/>
  <c r="F289" i="10"/>
  <c r="F289" i="9"/>
  <c r="Z288" i="11"/>
  <c r="Z288" i="10"/>
  <c r="Z288" i="9"/>
  <c r="R288" i="11"/>
  <c r="R288" i="10"/>
  <c r="R288" i="9"/>
  <c r="J288" i="11"/>
  <c r="J288" i="10"/>
  <c r="J288" i="9"/>
  <c r="B288" i="11"/>
  <c r="B288" i="10"/>
  <c r="B288" i="9"/>
  <c r="AD287" i="11"/>
  <c r="AD287" i="10"/>
  <c r="AD287" i="9"/>
  <c r="V287" i="11"/>
  <c r="V287" i="10"/>
  <c r="V287" i="9"/>
  <c r="N287" i="11"/>
  <c r="N287" i="10"/>
  <c r="N287" i="9"/>
  <c r="F287" i="11"/>
  <c r="F287" i="10"/>
  <c r="F287" i="9"/>
  <c r="Z286" i="11"/>
  <c r="Z286" i="10"/>
  <c r="Z286" i="9"/>
  <c r="R286" i="11"/>
  <c r="R286" i="10"/>
  <c r="R286" i="9"/>
  <c r="J286" i="11"/>
  <c r="J286" i="10"/>
  <c r="J286" i="9"/>
  <c r="B286" i="11"/>
  <c r="B286" i="10"/>
  <c r="B286" i="9"/>
  <c r="AD285" i="11"/>
  <c r="AD285" i="10"/>
  <c r="AD285" i="9"/>
  <c r="V285" i="11"/>
  <c r="V285" i="10"/>
  <c r="V285" i="9"/>
  <c r="N285" i="11"/>
  <c r="N285" i="10"/>
  <c r="N285" i="9"/>
  <c r="F285" i="11"/>
  <c r="F285" i="10"/>
  <c r="F285" i="9"/>
  <c r="Z284" i="11"/>
  <c r="Z284" i="10"/>
  <c r="Z284" i="9"/>
  <c r="R284" i="11"/>
  <c r="R284" i="10"/>
  <c r="R284" i="9"/>
  <c r="J284" i="11"/>
  <c r="J284" i="10"/>
  <c r="J284" i="9"/>
  <c r="B284" i="11"/>
  <c r="B284" i="10"/>
  <c r="B284" i="9"/>
  <c r="AD283" i="11"/>
  <c r="AD283" i="10"/>
  <c r="AD283" i="9"/>
  <c r="V283" i="11"/>
  <c r="V283" i="10"/>
  <c r="V283" i="9"/>
  <c r="N283" i="11"/>
  <c r="N283" i="10"/>
  <c r="N283" i="9"/>
  <c r="F283" i="11"/>
  <c r="F283" i="10"/>
  <c r="F283" i="9"/>
  <c r="Z282" i="11"/>
  <c r="Z282" i="10"/>
  <c r="Z282" i="9"/>
  <c r="R282" i="11"/>
  <c r="R282" i="10"/>
  <c r="R282" i="9"/>
  <c r="J282" i="11"/>
  <c r="J282" i="10"/>
  <c r="J282" i="9"/>
  <c r="B282" i="11"/>
  <c r="B282" i="10"/>
  <c r="B282" i="9"/>
  <c r="AD281" i="11"/>
  <c r="AD281" i="10"/>
  <c r="AD281" i="9"/>
  <c r="V281" i="11"/>
  <c r="V281" i="10"/>
  <c r="V281" i="9"/>
  <c r="N281" i="11"/>
  <c r="N281" i="10"/>
  <c r="N281" i="9"/>
  <c r="F281" i="11"/>
  <c r="F281" i="10"/>
  <c r="F281" i="9"/>
  <c r="Z280" i="11"/>
  <c r="Z280" i="10"/>
  <c r="Z280" i="9"/>
  <c r="R280" i="11"/>
  <c r="R280" i="10"/>
  <c r="R280" i="9"/>
  <c r="J280" i="11"/>
  <c r="J280" i="10"/>
  <c r="J280" i="9"/>
  <c r="B280" i="11"/>
  <c r="B280" i="10"/>
  <c r="B280" i="9"/>
  <c r="AD279" i="11"/>
  <c r="AD279" i="10"/>
  <c r="AD279" i="9"/>
  <c r="V279" i="11"/>
  <c r="V279" i="10"/>
  <c r="V279" i="9"/>
  <c r="N279" i="11"/>
  <c r="N279" i="10"/>
  <c r="N279" i="9"/>
  <c r="F279" i="11"/>
  <c r="F279" i="10"/>
  <c r="F279" i="9"/>
  <c r="Z278" i="11"/>
  <c r="Z278" i="10"/>
  <c r="Z278" i="9"/>
  <c r="R278" i="11"/>
  <c r="R278" i="10"/>
  <c r="R278" i="9"/>
  <c r="J278" i="11"/>
  <c r="J278" i="10"/>
  <c r="J278" i="9"/>
  <c r="B278" i="11"/>
  <c r="B278" i="10"/>
  <c r="B278" i="9"/>
  <c r="AD277" i="11"/>
  <c r="AD277" i="10"/>
  <c r="AD277" i="9"/>
  <c r="V277" i="11"/>
  <c r="V277" i="10"/>
  <c r="V277" i="9"/>
  <c r="N277" i="11"/>
  <c r="N277" i="10"/>
  <c r="N277" i="9"/>
  <c r="F277" i="11"/>
  <c r="F277" i="10"/>
  <c r="F277" i="9"/>
  <c r="Z276" i="11"/>
  <c r="Z276" i="10"/>
  <c r="Z276" i="9"/>
  <c r="R276" i="11"/>
  <c r="R276" i="10"/>
  <c r="R276" i="9"/>
  <c r="J276" i="11"/>
  <c r="J276" i="10"/>
  <c r="J276" i="9"/>
  <c r="B276" i="11"/>
  <c r="B276" i="10"/>
  <c r="B276" i="9"/>
  <c r="AD275" i="11"/>
  <c r="AD275" i="10"/>
  <c r="AD275" i="9"/>
  <c r="V275" i="11"/>
  <c r="V275" i="10"/>
  <c r="V275" i="9"/>
  <c r="N275" i="11"/>
  <c r="N275" i="10"/>
  <c r="N275" i="9"/>
  <c r="F275" i="11"/>
  <c r="F275" i="10"/>
  <c r="F275" i="9"/>
  <c r="Z274" i="11"/>
  <c r="Z274" i="10"/>
  <c r="Z274" i="9"/>
  <c r="R274" i="11"/>
  <c r="R274" i="10"/>
  <c r="R274" i="9"/>
  <c r="J274" i="11"/>
  <c r="J274" i="10"/>
  <c r="J274" i="9"/>
  <c r="B274" i="11"/>
  <c r="B274" i="10"/>
  <c r="B274" i="9"/>
  <c r="AD273" i="11"/>
  <c r="AD273" i="10"/>
  <c r="AD273" i="9"/>
  <c r="V273" i="11"/>
  <c r="V273" i="10"/>
  <c r="V273" i="9"/>
  <c r="N273" i="11"/>
  <c r="N273" i="10"/>
  <c r="N273" i="9"/>
  <c r="F273" i="11"/>
  <c r="F273" i="10"/>
  <c r="F273" i="9"/>
  <c r="Z272" i="11"/>
  <c r="Z272" i="10"/>
  <c r="Z272" i="9"/>
  <c r="R272" i="11"/>
  <c r="R272" i="10"/>
  <c r="R272" i="9"/>
  <c r="J272" i="11"/>
  <c r="J272" i="10"/>
  <c r="J272" i="9"/>
  <c r="B272" i="11"/>
  <c r="B272" i="10"/>
  <c r="B272" i="9"/>
  <c r="AD271" i="11"/>
  <c r="AD271" i="10"/>
  <c r="AD271" i="9"/>
  <c r="V271" i="11"/>
  <c r="V271" i="10"/>
  <c r="V271" i="9"/>
  <c r="N271" i="11"/>
  <c r="N271" i="10"/>
  <c r="N271" i="9"/>
  <c r="F271" i="11"/>
  <c r="F271" i="10"/>
  <c r="F271" i="9"/>
  <c r="Z270" i="11"/>
  <c r="Z270" i="10"/>
  <c r="Z270" i="9"/>
  <c r="R270" i="11"/>
  <c r="R270" i="10"/>
  <c r="R270" i="9"/>
  <c r="J270" i="11"/>
  <c r="J270" i="10"/>
  <c r="J270" i="9"/>
  <c r="B270" i="11"/>
  <c r="B270" i="10"/>
  <c r="B270" i="9"/>
  <c r="AD269" i="11"/>
  <c r="AD269" i="10"/>
  <c r="AD269" i="9"/>
  <c r="V269" i="11"/>
  <c r="V269" i="10"/>
  <c r="V269" i="9"/>
  <c r="N269" i="11"/>
  <c r="N269" i="10"/>
  <c r="N269" i="9"/>
  <c r="F269" i="11"/>
  <c r="F269" i="10"/>
  <c r="F269" i="9"/>
  <c r="Z268" i="11"/>
  <c r="Z268" i="10"/>
  <c r="Z268" i="9"/>
  <c r="R268" i="11"/>
  <c r="R268" i="10"/>
  <c r="R268" i="9"/>
  <c r="J268" i="11"/>
  <c r="J268" i="10"/>
  <c r="J268" i="9"/>
  <c r="B268" i="11"/>
  <c r="B268" i="10"/>
  <c r="B268" i="9"/>
  <c r="AD267" i="11"/>
  <c r="AD267" i="10"/>
  <c r="AD267" i="9"/>
  <c r="V267" i="11"/>
  <c r="V267" i="10"/>
  <c r="V267" i="9"/>
  <c r="N267" i="11"/>
  <c r="N267" i="10"/>
  <c r="N267" i="9"/>
  <c r="F267" i="11"/>
  <c r="F267" i="10"/>
  <c r="F267" i="9"/>
  <c r="Z266" i="11"/>
  <c r="Z266" i="10"/>
  <c r="Z266" i="9"/>
  <c r="R266" i="11"/>
  <c r="R266" i="10"/>
  <c r="R266" i="9"/>
  <c r="J266" i="11"/>
  <c r="J266" i="10"/>
  <c r="J266" i="9"/>
  <c r="B266" i="11"/>
  <c r="B266" i="10"/>
  <c r="B266" i="9"/>
  <c r="AD265" i="11"/>
  <c r="AD265" i="10"/>
  <c r="AD265" i="9"/>
  <c r="V265" i="11"/>
  <c r="V265" i="10"/>
  <c r="V265" i="9"/>
  <c r="N265" i="11"/>
  <c r="N265" i="10"/>
  <c r="N265" i="9"/>
  <c r="F265" i="11"/>
  <c r="F265" i="10"/>
  <c r="F265" i="9"/>
  <c r="Z264" i="11"/>
  <c r="Z264" i="10"/>
  <c r="Z264" i="9"/>
  <c r="R264" i="11"/>
  <c r="R264" i="10"/>
  <c r="R264" i="9"/>
  <c r="J264" i="11"/>
  <c r="J264" i="10"/>
  <c r="J264" i="9"/>
  <c r="B264" i="11"/>
  <c r="B264" i="10"/>
  <c r="B264" i="9"/>
  <c r="AD263" i="11"/>
  <c r="AD263" i="10"/>
  <c r="AD263" i="9"/>
  <c r="V263" i="11"/>
  <c r="V263" i="10"/>
  <c r="V263" i="9"/>
  <c r="N263" i="11"/>
  <c r="N263" i="10"/>
  <c r="N263" i="9"/>
  <c r="F263" i="11"/>
  <c r="F263" i="10"/>
  <c r="F263" i="9"/>
  <c r="Z262" i="11"/>
  <c r="Z262" i="10"/>
  <c r="Z262" i="9"/>
  <c r="R262" i="11"/>
  <c r="R262" i="10"/>
  <c r="R262" i="9"/>
  <c r="J262" i="11"/>
  <c r="J262" i="10"/>
  <c r="J262" i="9"/>
  <c r="B262" i="11"/>
  <c r="B262" i="10"/>
  <c r="B262" i="9"/>
  <c r="AD261" i="11"/>
  <c r="AD261" i="10"/>
  <c r="AD261" i="9"/>
  <c r="V261" i="11"/>
  <c r="V261" i="10"/>
  <c r="V261" i="9"/>
  <c r="N261" i="11"/>
  <c r="N261" i="10"/>
  <c r="N261" i="9"/>
  <c r="F261" i="11"/>
  <c r="F261" i="10"/>
  <c r="F261" i="9"/>
  <c r="Z260" i="11"/>
  <c r="Z260" i="10"/>
  <c r="Z260" i="9"/>
  <c r="R260" i="11"/>
  <c r="R260" i="10"/>
  <c r="R260" i="9"/>
  <c r="J260" i="11"/>
  <c r="J260" i="10"/>
  <c r="J260" i="9"/>
  <c r="B260" i="11"/>
  <c r="B260" i="10"/>
  <c r="B260" i="9"/>
  <c r="AD259" i="11"/>
  <c r="AD259" i="10"/>
  <c r="AD259" i="9"/>
  <c r="V259" i="11"/>
  <c r="V259" i="10"/>
  <c r="V259" i="9"/>
  <c r="N259" i="11"/>
  <c r="N259" i="10"/>
  <c r="N259" i="9"/>
  <c r="F259" i="11"/>
  <c r="F259" i="10"/>
  <c r="F259" i="9"/>
  <c r="Z258" i="11"/>
  <c r="Z258" i="10"/>
  <c r="Z258" i="9"/>
  <c r="R258" i="11"/>
  <c r="R258" i="10"/>
  <c r="R258" i="9"/>
  <c r="J258" i="11"/>
  <c r="J258" i="10"/>
  <c r="J258" i="9"/>
  <c r="B258" i="11"/>
  <c r="B258" i="10"/>
  <c r="B258" i="9"/>
  <c r="AD257" i="11"/>
  <c r="AD257" i="10"/>
  <c r="AD257" i="9"/>
  <c r="V257" i="11"/>
  <c r="V257" i="10"/>
  <c r="V257" i="9"/>
  <c r="N257" i="11"/>
  <c r="N257" i="10"/>
  <c r="N257" i="9"/>
  <c r="F257" i="11"/>
  <c r="F257" i="10"/>
  <c r="F257" i="9"/>
  <c r="Z256" i="11"/>
  <c r="Z256" i="10"/>
  <c r="Z256" i="9"/>
  <c r="R256" i="11"/>
  <c r="R256" i="10"/>
  <c r="R256" i="9"/>
  <c r="J256" i="11"/>
  <c r="J256" i="10"/>
  <c r="J256" i="9"/>
  <c r="B256" i="11"/>
  <c r="B256" i="10"/>
  <c r="B256" i="9"/>
  <c r="AD255" i="11"/>
  <c r="AD255" i="10"/>
  <c r="AD255" i="9"/>
  <c r="V255" i="11"/>
  <c r="V255" i="10"/>
  <c r="V255" i="9"/>
  <c r="N255" i="11"/>
  <c r="N255" i="10"/>
  <c r="N255" i="9"/>
  <c r="F255" i="11"/>
  <c r="F255" i="10"/>
  <c r="F255" i="9"/>
  <c r="Z254" i="11"/>
  <c r="Z254" i="10"/>
  <c r="Z254" i="9"/>
  <c r="R254" i="11"/>
  <c r="R254" i="10"/>
  <c r="R254" i="9"/>
  <c r="J254" i="11"/>
  <c r="J254" i="10"/>
  <c r="J254" i="9"/>
  <c r="B254" i="11"/>
  <c r="B254" i="10"/>
  <c r="B254" i="9"/>
  <c r="AD253" i="11"/>
  <c r="AD253" i="10"/>
  <c r="AD253" i="9"/>
  <c r="V253" i="11"/>
  <c r="V253" i="10"/>
  <c r="V253" i="9"/>
  <c r="N253" i="11"/>
  <c r="N253" i="10"/>
  <c r="N253" i="9"/>
  <c r="F253" i="11"/>
  <c r="F253" i="10"/>
  <c r="F253" i="9"/>
  <c r="Z252" i="11"/>
  <c r="Z252" i="10"/>
  <c r="Z252" i="9"/>
  <c r="R252" i="11"/>
  <c r="R252" i="10"/>
  <c r="R252" i="9"/>
  <c r="J252" i="11"/>
  <c r="J252" i="10"/>
  <c r="J252" i="9"/>
  <c r="B252" i="11"/>
  <c r="B252" i="10"/>
  <c r="B252" i="9"/>
  <c r="AD251" i="11"/>
  <c r="AD251" i="10"/>
  <c r="AD251" i="9"/>
  <c r="V251" i="11"/>
  <c r="V251" i="10"/>
  <c r="V251" i="9"/>
  <c r="N251" i="11"/>
  <c r="N251" i="10"/>
  <c r="N251" i="9"/>
  <c r="F251" i="11"/>
  <c r="F251" i="10"/>
  <c r="F251" i="9"/>
  <c r="Z250" i="11"/>
  <c r="Z250" i="10"/>
  <c r="Z250" i="9"/>
  <c r="R250" i="11"/>
  <c r="R250" i="10"/>
  <c r="R250" i="9"/>
  <c r="J250" i="11"/>
  <c r="J250" i="10"/>
  <c r="J250" i="9"/>
  <c r="B250" i="11"/>
  <c r="B250" i="10"/>
  <c r="B250" i="9"/>
  <c r="AD249" i="11"/>
  <c r="AD249" i="10"/>
  <c r="AD249" i="9"/>
  <c r="V249" i="11"/>
  <c r="V249" i="10"/>
  <c r="V249" i="9"/>
  <c r="N249" i="11"/>
  <c r="N249" i="10"/>
  <c r="N249" i="9"/>
  <c r="F249" i="11"/>
  <c r="F249" i="10"/>
  <c r="F249" i="9"/>
  <c r="Z248" i="11"/>
  <c r="Z248" i="10"/>
  <c r="Z248" i="9"/>
  <c r="R248" i="11"/>
  <c r="R248" i="10"/>
  <c r="R248" i="9"/>
  <c r="J248" i="11"/>
  <c r="J248" i="10"/>
  <c r="J248" i="9"/>
  <c r="B248" i="11"/>
  <c r="B248" i="10"/>
  <c r="B248" i="9"/>
  <c r="AD247" i="11"/>
  <c r="AD247" i="10"/>
  <c r="AD247" i="9"/>
  <c r="V247" i="11"/>
  <c r="V247" i="10"/>
  <c r="V247" i="9"/>
  <c r="N247" i="11"/>
  <c r="N247" i="10"/>
  <c r="N247" i="9"/>
  <c r="F247" i="11"/>
  <c r="F247" i="10"/>
  <c r="F247" i="9"/>
  <c r="Z246" i="11"/>
  <c r="Z246" i="10"/>
  <c r="Z246" i="9"/>
  <c r="R246" i="11"/>
  <c r="R246" i="10"/>
  <c r="R246" i="9"/>
  <c r="J246" i="11"/>
  <c r="J246" i="10"/>
  <c r="J246" i="9"/>
  <c r="B246" i="11"/>
  <c r="B246" i="10"/>
  <c r="B246" i="9"/>
  <c r="AD245" i="11"/>
  <c r="AD245" i="10"/>
  <c r="AD245" i="9"/>
  <c r="V245" i="11"/>
  <c r="V245" i="10"/>
  <c r="V245" i="9"/>
  <c r="N245" i="11"/>
  <c r="N245" i="10"/>
  <c r="N245" i="9"/>
  <c r="F245" i="11"/>
  <c r="F245" i="10"/>
  <c r="F245" i="9"/>
  <c r="Z244" i="11"/>
  <c r="Z244" i="10"/>
  <c r="Z244" i="9"/>
  <c r="R244" i="11"/>
  <c r="R244" i="10"/>
  <c r="R244" i="9"/>
  <c r="J244" i="11"/>
  <c r="J244" i="10"/>
  <c r="J244" i="9"/>
  <c r="B244" i="11"/>
  <c r="B244" i="10"/>
  <c r="B244" i="9"/>
  <c r="AD243" i="11"/>
  <c r="AD243" i="10"/>
  <c r="AD243" i="9"/>
  <c r="V243" i="11"/>
  <c r="V243" i="10"/>
  <c r="V243" i="9"/>
  <c r="N243" i="11"/>
  <c r="N243" i="10"/>
  <c r="N243" i="9"/>
  <c r="F243" i="11"/>
  <c r="F243" i="10"/>
  <c r="F243" i="9"/>
  <c r="Z242" i="11"/>
  <c r="Z242" i="10"/>
  <c r="Z242" i="9"/>
  <c r="R242" i="11"/>
  <c r="R242" i="10"/>
  <c r="R242" i="9"/>
  <c r="J242" i="11"/>
  <c r="J242" i="10"/>
  <c r="J242" i="9"/>
  <c r="B242" i="11"/>
  <c r="B242" i="10"/>
  <c r="B242" i="9"/>
  <c r="AD241" i="11"/>
  <c r="AD241" i="10"/>
  <c r="AD241" i="9"/>
  <c r="V241" i="11"/>
  <c r="V241" i="10"/>
  <c r="V241" i="9"/>
  <c r="N241" i="11"/>
  <c r="N241" i="10"/>
  <c r="N241" i="9"/>
  <c r="F241" i="11"/>
  <c r="F241" i="10"/>
  <c r="F241" i="9"/>
  <c r="Z240" i="11"/>
  <c r="Z240" i="10"/>
  <c r="Z240" i="9"/>
  <c r="R240" i="11"/>
  <c r="R240" i="10"/>
  <c r="R240" i="9"/>
  <c r="J240" i="11"/>
  <c r="J240" i="10"/>
  <c r="J240" i="9"/>
  <c r="B240" i="11"/>
  <c r="B240" i="10"/>
  <c r="B240" i="9"/>
  <c r="AD239" i="11"/>
  <c r="AD239" i="10"/>
  <c r="AD239" i="9"/>
  <c r="V239" i="11"/>
  <c r="V239" i="10"/>
  <c r="V239" i="9"/>
  <c r="N239" i="11"/>
  <c r="N239" i="10"/>
  <c r="N239" i="9"/>
  <c r="F239" i="11"/>
  <c r="F239" i="10"/>
  <c r="F239" i="9"/>
  <c r="Z238" i="11"/>
  <c r="Z238" i="10"/>
  <c r="Z238" i="9"/>
  <c r="R238" i="11"/>
  <c r="R238" i="10"/>
  <c r="R238" i="9"/>
  <c r="J238" i="11"/>
  <c r="J238" i="10"/>
  <c r="J238" i="9"/>
  <c r="B238" i="11"/>
  <c r="B238" i="10"/>
  <c r="B238" i="9"/>
  <c r="AD237" i="11"/>
  <c r="AD237" i="10"/>
  <c r="AD237" i="9"/>
  <c r="V237" i="11"/>
  <c r="V237" i="10"/>
  <c r="V237" i="9"/>
  <c r="N237" i="11"/>
  <c r="N237" i="10"/>
  <c r="N237" i="9"/>
  <c r="F237" i="11"/>
  <c r="F237" i="10"/>
  <c r="F237" i="9"/>
  <c r="Z236" i="11"/>
  <c r="Z236" i="10"/>
  <c r="Z236" i="9"/>
  <c r="R236" i="11"/>
  <c r="R236" i="10"/>
  <c r="R236" i="9"/>
  <c r="J236" i="11"/>
  <c r="J236" i="10"/>
  <c r="J236" i="9"/>
  <c r="B236" i="11"/>
  <c r="B236" i="10"/>
  <c r="B236" i="9"/>
  <c r="AD235" i="11"/>
  <c r="AD235" i="10"/>
  <c r="AD235" i="9"/>
  <c r="V235" i="11"/>
  <c r="V235" i="10"/>
  <c r="V235" i="9"/>
  <c r="N235" i="11"/>
  <c r="N235" i="10"/>
  <c r="N235" i="9"/>
  <c r="F235" i="11"/>
  <c r="F235" i="10"/>
  <c r="F235" i="9"/>
  <c r="Z234" i="11"/>
  <c r="Z234" i="10"/>
  <c r="Z234" i="9"/>
  <c r="R234" i="11"/>
  <c r="R234" i="10"/>
  <c r="R234" i="9"/>
  <c r="J234" i="11"/>
  <c r="J234" i="10"/>
  <c r="J234" i="9"/>
  <c r="B234" i="11"/>
  <c r="B234" i="10"/>
  <c r="B234" i="9"/>
  <c r="AD233" i="11"/>
  <c r="AD233" i="10"/>
  <c r="AD233" i="9"/>
  <c r="V233" i="11"/>
  <c r="V233" i="10"/>
  <c r="V233" i="9"/>
  <c r="N233" i="11"/>
  <c r="N233" i="10"/>
  <c r="N233" i="9"/>
  <c r="F233" i="11"/>
  <c r="F233" i="10"/>
  <c r="F233" i="9"/>
  <c r="Z232" i="11"/>
  <c r="Z232" i="10"/>
  <c r="Z232" i="9"/>
  <c r="R232" i="11"/>
  <c r="R232" i="10"/>
  <c r="R232" i="9"/>
  <c r="J232" i="11"/>
  <c r="J232" i="10"/>
  <c r="J232" i="9"/>
  <c r="B232" i="11"/>
  <c r="B232" i="10"/>
  <c r="B232" i="9"/>
  <c r="AD231" i="11"/>
  <c r="AD231" i="10"/>
  <c r="AD231" i="9"/>
  <c r="V231" i="11"/>
  <c r="V231" i="10"/>
  <c r="V231" i="9"/>
  <c r="N231" i="11"/>
  <c r="N231" i="10"/>
  <c r="N231" i="9"/>
  <c r="F231" i="11"/>
  <c r="F231" i="10"/>
  <c r="F231" i="9"/>
  <c r="Z230" i="11"/>
  <c r="Z230" i="10"/>
  <c r="Z230" i="9"/>
  <c r="R230" i="11"/>
  <c r="R230" i="10"/>
  <c r="R230" i="9"/>
  <c r="J230" i="11"/>
  <c r="J230" i="10"/>
  <c r="J230" i="9"/>
  <c r="B230" i="11"/>
  <c r="B230" i="10"/>
  <c r="B230" i="9"/>
  <c r="AD229" i="11"/>
  <c r="AD229" i="10"/>
  <c r="AD229" i="9"/>
  <c r="V229" i="11"/>
  <c r="V229" i="10"/>
  <c r="V229" i="9"/>
  <c r="N229" i="11"/>
  <c r="N229" i="10"/>
  <c r="N229" i="9"/>
  <c r="F229" i="11"/>
  <c r="F229" i="10"/>
  <c r="F229" i="9"/>
  <c r="Z228" i="11"/>
  <c r="Z228" i="10"/>
  <c r="Z228" i="9"/>
  <c r="R228" i="11"/>
  <c r="R228" i="10"/>
  <c r="R228" i="9"/>
  <c r="J228" i="11"/>
  <c r="J228" i="10"/>
  <c r="J228" i="9"/>
  <c r="B228" i="11"/>
  <c r="B228" i="10"/>
  <c r="B228" i="9"/>
  <c r="AD227" i="11"/>
  <c r="AD227" i="10"/>
  <c r="AD227" i="9"/>
  <c r="V227" i="11"/>
  <c r="V227" i="10"/>
  <c r="V227" i="9"/>
  <c r="N227" i="11"/>
  <c r="N227" i="10"/>
  <c r="N227" i="9"/>
  <c r="F227" i="11"/>
  <c r="F227" i="10"/>
  <c r="F227" i="9"/>
  <c r="Z226" i="11"/>
  <c r="Z226" i="10"/>
  <c r="Z226" i="9"/>
  <c r="R226" i="11"/>
  <c r="R226" i="10"/>
  <c r="R226" i="9"/>
  <c r="J226" i="11"/>
  <c r="J226" i="10"/>
  <c r="J226" i="9"/>
  <c r="B226" i="11"/>
  <c r="B226" i="10"/>
  <c r="B226" i="9"/>
  <c r="AD225" i="11"/>
  <c r="AD225" i="10"/>
  <c r="AD225" i="9"/>
  <c r="V225" i="11"/>
  <c r="V225" i="10"/>
  <c r="V225" i="9"/>
  <c r="N225" i="11"/>
  <c r="N225" i="10"/>
  <c r="N225" i="9"/>
  <c r="F225" i="11"/>
  <c r="F225" i="10"/>
  <c r="F225" i="9"/>
  <c r="Z224" i="11"/>
  <c r="Z224" i="10"/>
  <c r="Z224" i="9"/>
  <c r="R224" i="11"/>
  <c r="R224" i="10"/>
  <c r="R224" i="9"/>
  <c r="J224" i="11"/>
  <c r="J224" i="10"/>
  <c r="J224" i="9"/>
  <c r="B224" i="11"/>
  <c r="B224" i="10"/>
  <c r="B224" i="9"/>
  <c r="AD223" i="11"/>
  <c r="AD223" i="10"/>
  <c r="AD223" i="9"/>
  <c r="V223" i="11"/>
  <c r="V223" i="10"/>
  <c r="V223" i="9"/>
  <c r="N223" i="11"/>
  <c r="N223" i="10"/>
  <c r="N223" i="9"/>
  <c r="F223" i="11"/>
  <c r="F223" i="10"/>
  <c r="F223" i="9"/>
  <c r="Z222" i="11"/>
  <c r="Z222" i="10"/>
  <c r="Z222" i="9"/>
  <c r="R222" i="11"/>
  <c r="R222" i="10"/>
  <c r="R222" i="9"/>
  <c r="J222" i="11"/>
  <c r="J222" i="10"/>
  <c r="J222" i="9"/>
  <c r="B222" i="11"/>
  <c r="B222" i="10"/>
  <c r="B222" i="9"/>
  <c r="AD221" i="11"/>
  <c r="AD221" i="10"/>
  <c r="AD221" i="9"/>
  <c r="V221" i="11"/>
  <c r="V221" i="10"/>
  <c r="V221" i="9"/>
  <c r="N221" i="11"/>
  <c r="N221" i="10"/>
  <c r="N221" i="9"/>
  <c r="F221" i="11"/>
  <c r="F221" i="10"/>
  <c r="F221" i="9"/>
  <c r="Z220" i="11"/>
  <c r="Z220" i="10"/>
  <c r="Z220" i="9"/>
  <c r="R220" i="11"/>
  <c r="R220" i="10"/>
  <c r="R220" i="9"/>
  <c r="J220" i="11"/>
  <c r="J220" i="10"/>
  <c r="J220" i="9"/>
  <c r="B220" i="11"/>
  <c r="B220" i="10"/>
  <c r="B220" i="9"/>
  <c r="AD219" i="11"/>
  <c r="AD219" i="10"/>
  <c r="AD219" i="9"/>
  <c r="V219" i="11"/>
  <c r="V219" i="10"/>
  <c r="V219" i="9"/>
  <c r="N219" i="11"/>
  <c r="N219" i="10"/>
  <c r="N219" i="9"/>
  <c r="F219" i="11"/>
  <c r="F219" i="10"/>
  <c r="F219" i="9"/>
  <c r="Z218" i="11"/>
  <c r="Z218" i="10"/>
  <c r="Z218" i="9"/>
  <c r="R218" i="11"/>
  <c r="R218" i="10"/>
  <c r="R218" i="9"/>
  <c r="J218" i="11"/>
  <c r="J218" i="10"/>
  <c r="J218" i="9"/>
  <c r="B218" i="11"/>
  <c r="B218" i="10"/>
  <c r="B218" i="9"/>
  <c r="AD217" i="11"/>
  <c r="AD217" i="10"/>
  <c r="AD217" i="9"/>
  <c r="V217" i="11"/>
  <c r="V217" i="10"/>
  <c r="V217" i="9"/>
  <c r="N217" i="11"/>
  <c r="N217" i="10"/>
  <c r="N217" i="9"/>
  <c r="F217" i="11"/>
  <c r="F217" i="10"/>
  <c r="F217" i="9"/>
  <c r="Z216" i="11"/>
  <c r="Z216" i="10"/>
  <c r="Z216" i="9"/>
  <c r="R216" i="11"/>
  <c r="R216" i="10"/>
  <c r="R216" i="9"/>
  <c r="J216" i="11"/>
  <c r="J216" i="10"/>
  <c r="J216" i="9"/>
  <c r="B216" i="11"/>
  <c r="B216" i="10"/>
  <c r="B216" i="9"/>
  <c r="AD215" i="11"/>
  <c r="AD215" i="10"/>
  <c r="AD215" i="9"/>
  <c r="V215" i="11"/>
  <c r="V215" i="10"/>
  <c r="V215" i="9"/>
  <c r="N215" i="11"/>
  <c r="N215" i="10"/>
  <c r="N215" i="9"/>
  <c r="F215" i="11"/>
  <c r="F215" i="10"/>
  <c r="F215" i="9"/>
  <c r="Z214" i="11"/>
  <c r="Z214" i="10"/>
  <c r="Z214" i="9"/>
  <c r="R214" i="11"/>
  <c r="R214" i="10"/>
  <c r="R214" i="9"/>
  <c r="J214" i="11"/>
  <c r="J214" i="10"/>
  <c r="J214" i="9"/>
  <c r="B214" i="11"/>
  <c r="B214" i="10"/>
  <c r="B214" i="9"/>
  <c r="AD213" i="11"/>
  <c r="AD213" i="10"/>
  <c r="AD213" i="9"/>
  <c r="V213" i="11"/>
  <c r="V213" i="10"/>
  <c r="V213" i="9"/>
  <c r="N213" i="11"/>
  <c r="N213" i="10"/>
  <c r="N213" i="9"/>
  <c r="F213" i="11"/>
  <c r="F213" i="10"/>
  <c r="F213" i="9"/>
  <c r="Z212" i="11"/>
  <c r="Z212" i="10"/>
  <c r="Z212" i="9"/>
  <c r="R212" i="11"/>
  <c r="R212" i="10"/>
  <c r="R212" i="9"/>
  <c r="J212" i="11"/>
  <c r="J212" i="10"/>
  <c r="J212" i="9"/>
  <c r="B212" i="11"/>
  <c r="B212" i="10"/>
  <c r="B212" i="9"/>
  <c r="AD211" i="11"/>
  <c r="AD211" i="10"/>
  <c r="AD211" i="9"/>
  <c r="V211" i="11"/>
  <c r="V211" i="10"/>
  <c r="V211" i="9"/>
  <c r="N211" i="11"/>
  <c r="N211" i="10"/>
  <c r="N211" i="9"/>
  <c r="F211" i="11"/>
  <c r="F211" i="10"/>
  <c r="F211" i="9"/>
  <c r="Z210" i="11"/>
  <c r="Z210" i="10"/>
  <c r="Z210" i="9"/>
  <c r="R210" i="11"/>
  <c r="R210" i="10"/>
  <c r="R210" i="9"/>
  <c r="J210" i="11"/>
  <c r="J210" i="10"/>
  <c r="J210" i="9"/>
  <c r="B210" i="11"/>
  <c r="B210" i="10"/>
  <c r="B210" i="9"/>
  <c r="AD209" i="11"/>
  <c r="AD209" i="10"/>
  <c r="AD209" i="9"/>
  <c r="V209" i="11"/>
  <c r="V209" i="10"/>
  <c r="V209" i="9"/>
  <c r="N209" i="11"/>
  <c r="N209" i="10"/>
  <c r="N209" i="9"/>
  <c r="F209" i="11"/>
  <c r="F209" i="10"/>
  <c r="F209" i="9"/>
  <c r="Z208" i="11"/>
  <c r="Z208" i="10"/>
  <c r="Z208" i="9"/>
  <c r="R208" i="11"/>
  <c r="R208" i="10"/>
  <c r="R208" i="9"/>
  <c r="J208" i="11"/>
  <c r="J208" i="10"/>
  <c r="J208" i="9"/>
  <c r="B208" i="11"/>
  <c r="B208" i="10"/>
  <c r="B208" i="9"/>
  <c r="AD207" i="11"/>
  <c r="AD207" i="10"/>
  <c r="AD207" i="9"/>
  <c r="V207" i="11"/>
  <c r="V207" i="10"/>
  <c r="V207" i="9"/>
  <c r="N207" i="11"/>
  <c r="N207" i="10"/>
  <c r="N207" i="9"/>
  <c r="F207" i="11"/>
  <c r="F207" i="10"/>
  <c r="F207" i="9"/>
  <c r="Z206" i="11"/>
  <c r="Z206" i="10"/>
  <c r="Z206" i="9"/>
  <c r="R206" i="11"/>
  <c r="R206" i="10"/>
  <c r="R206" i="9"/>
  <c r="J206" i="11"/>
  <c r="J206" i="10"/>
  <c r="J206" i="9"/>
  <c r="B206" i="11"/>
  <c r="B206" i="10"/>
  <c r="B206" i="9"/>
  <c r="AD205" i="11"/>
  <c r="AD205" i="10"/>
  <c r="AD205" i="9"/>
  <c r="V205" i="11"/>
  <c r="V205" i="10"/>
  <c r="V205" i="9"/>
  <c r="N205" i="11"/>
  <c r="N205" i="10"/>
  <c r="N205" i="9"/>
  <c r="F205" i="11"/>
  <c r="F205" i="10"/>
  <c r="F205" i="9"/>
  <c r="Z204" i="11"/>
  <c r="Z204" i="10"/>
  <c r="Z204" i="9"/>
  <c r="R204" i="11"/>
  <c r="R204" i="10"/>
  <c r="R204" i="9"/>
  <c r="J204" i="11"/>
  <c r="J204" i="10"/>
  <c r="J204" i="9"/>
  <c r="B204" i="11"/>
  <c r="B204" i="10"/>
  <c r="B204" i="9"/>
  <c r="AD203" i="11"/>
  <c r="AD203" i="10"/>
  <c r="AD203" i="9"/>
  <c r="V203" i="11"/>
  <c r="V203" i="10"/>
  <c r="V203" i="9"/>
  <c r="N203" i="11"/>
  <c r="N203" i="10"/>
  <c r="N203" i="9"/>
  <c r="F203" i="11"/>
  <c r="F203" i="10"/>
  <c r="F203" i="9"/>
  <c r="Z202" i="11"/>
  <c r="Z202" i="10"/>
  <c r="Z202" i="9"/>
  <c r="R202" i="11"/>
  <c r="R202" i="10"/>
  <c r="R202" i="9"/>
  <c r="J202" i="11"/>
  <c r="J202" i="10"/>
  <c r="J202" i="9"/>
  <c r="B202" i="11"/>
  <c r="B202" i="10"/>
  <c r="B202" i="9"/>
  <c r="AD201" i="11"/>
  <c r="AD201" i="10"/>
  <c r="AD201" i="9"/>
  <c r="V201" i="11"/>
  <c r="V201" i="10"/>
  <c r="V201" i="9"/>
  <c r="N201" i="11"/>
  <c r="N201" i="10"/>
  <c r="N201" i="9"/>
  <c r="F201" i="11"/>
  <c r="F201" i="10"/>
  <c r="F201" i="9"/>
  <c r="Z200" i="11"/>
  <c r="Z200" i="10"/>
  <c r="Z200" i="9"/>
  <c r="R200" i="11"/>
  <c r="R200" i="10"/>
  <c r="R200" i="9"/>
  <c r="J200" i="11"/>
  <c r="J200" i="10"/>
  <c r="J200" i="9"/>
  <c r="B200" i="11"/>
  <c r="B200" i="10"/>
  <c r="B200" i="9"/>
  <c r="AD199" i="11"/>
  <c r="AD199" i="10"/>
  <c r="AD199" i="9"/>
  <c r="V199" i="11"/>
  <c r="V199" i="10"/>
  <c r="V199" i="9"/>
  <c r="N199" i="11"/>
  <c r="N199" i="10"/>
  <c r="N199" i="9"/>
  <c r="F199" i="11"/>
  <c r="F199" i="10"/>
  <c r="F199" i="9"/>
  <c r="Z198" i="11"/>
  <c r="Z198" i="10"/>
  <c r="Z198" i="9"/>
  <c r="R198" i="11"/>
  <c r="R198" i="10"/>
  <c r="R198" i="9"/>
  <c r="J198" i="11"/>
  <c r="J198" i="10"/>
  <c r="J198" i="9"/>
  <c r="B198" i="11"/>
  <c r="B198" i="10"/>
  <c r="B198" i="9"/>
  <c r="AD197" i="11"/>
  <c r="AD197" i="10"/>
  <c r="AD197" i="9"/>
  <c r="V197" i="11"/>
  <c r="V197" i="10"/>
  <c r="V197" i="9"/>
  <c r="N197" i="11"/>
  <c r="N197" i="10"/>
  <c r="N197" i="9"/>
  <c r="F197" i="11"/>
  <c r="F197" i="10"/>
  <c r="F197" i="9"/>
  <c r="Z196" i="11"/>
  <c r="Z196" i="10"/>
  <c r="Z196" i="9"/>
  <c r="R196" i="11"/>
  <c r="R196" i="10"/>
  <c r="R196" i="9"/>
  <c r="J196" i="11"/>
  <c r="J196" i="10"/>
  <c r="J196" i="9"/>
  <c r="B196" i="11"/>
  <c r="B196" i="10"/>
  <c r="B196" i="9"/>
  <c r="AD195" i="11"/>
  <c r="AD195" i="10"/>
  <c r="AD195" i="9"/>
  <c r="V195" i="11"/>
  <c r="V195" i="10"/>
  <c r="V195" i="9"/>
  <c r="N195" i="11"/>
  <c r="N195" i="10"/>
  <c r="N195" i="9"/>
  <c r="F195" i="11"/>
  <c r="F195" i="10"/>
  <c r="F195" i="9"/>
  <c r="Z194" i="11"/>
  <c r="Z194" i="10"/>
  <c r="Z194" i="9"/>
  <c r="R194" i="11"/>
  <c r="R194" i="10"/>
  <c r="R194" i="9"/>
  <c r="J194" i="11"/>
  <c r="J194" i="10"/>
  <c r="J194" i="9"/>
  <c r="B194" i="11"/>
  <c r="B194" i="10"/>
  <c r="B194" i="9"/>
  <c r="AD193" i="11"/>
  <c r="AD193" i="10"/>
  <c r="AD193" i="9"/>
  <c r="V193" i="11"/>
  <c r="V193" i="10"/>
  <c r="V193" i="9"/>
  <c r="N193" i="11"/>
  <c r="N193" i="10"/>
  <c r="N193" i="9"/>
  <c r="F193" i="11"/>
  <c r="F193" i="10"/>
  <c r="F193" i="9"/>
  <c r="Z192" i="11"/>
  <c r="Z192" i="10"/>
  <c r="Z192" i="9"/>
  <c r="R192" i="11"/>
  <c r="R192" i="10"/>
  <c r="R192" i="9"/>
  <c r="J192" i="11"/>
  <c r="J192" i="10"/>
  <c r="J192" i="9"/>
  <c r="B192" i="11"/>
  <c r="B192" i="10"/>
  <c r="B192" i="9"/>
  <c r="AD191" i="11"/>
  <c r="AD191" i="10"/>
  <c r="AD191" i="9"/>
  <c r="V191" i="11"/>
  <c r="V191" i="10"/>
  <c r="V191" i="9"/>
  <c r="N191" i="11"/>
  <c r="N191" i="10"/>
  <c r="N191" i="9"/>
  <c r="F191" i="11"/>
  <c r="F191" i="10"/>
  <c r="F191" i="9"/>
  <c r="Z190" i="11"/>
  <c r="Z190" i="10"/>
  <c r="Z190" i="9"/>
  <c r="R190" i="11"/>
  <c r="R190" i="10"/>
  <c r="R190" i="9"/>
  <c r="J190" i="11"/>
  <c r="J190" i="10"/>
  <c r="J190" i="9"/>
  <c r="B190" i="11"/>
  <c r="B190" i="10"/>
  <c r="B190" i="9"/>
  <c r="AD189" i="11"/>
  <c r="AD189" i="10"/>
  <c r="AD189" i="9"/>
  <c r="V189" i="11"/>
  <c r="V189" i="10"/>
  <c r="V189" i="9"/>
  <c r="N189" i="11"/>
  <c r="N189" i="10"/>
  <c r="N189" i="9"/>
  <c r="F189" i="11"/>
  <c r="F189" i="10"/>
  <c r="F189" i="9"/>
  <c r="Z188" i="11"/>
  <c r="Z188" i="10"/>
  <c r="Z188" i="9"/>
  <c r="R188" i="11"/>
  <c r="R188" i="10"/>
  <c r="R188" i="9"/>
  <c r="J188" i="11"/>
  <c r="J188" i="10"/>
  <c r="J188" i="9"/>
  <c r="B188" i="11"/>
  <c r="B188" i="10"/>
  <c r="B188" i="9"/>
  <c r="AD187" i="11"/>
  <c r="AD187" i="10"/>
  <c r="AD187" i="9"/>
  <c r="V187" i="11"/>
  <c r="V187" i="10"/>
  <c r="V187" i="9"/>
  <c r="N187" i="11"/>
  <c r="N187" i="10"/>
  <c r="N187" i="9"/>
  <c r="F187" i="11"/>
  <c r="F187" i="10"/>
  <c r="F187" i="9"/>
  <c r="Z186" i="11"/>
  <c r="Z186" i="10"/>
  <c r="Z186" i="9"/>
  <c r="R186" i="11"/>
  <c r="R186" i="10"/>
  <c r="R186" i="9"/>
  <c r="J186" i="11"/>
  <c r="J186" i="10"/>
  <c r="J186" i="9"/>
  <c r="B186" i="11"/>
  <c r="B186" i="10"/>
  <c r="B186" i="9"/>
  <c r="AD185" i="11"/>
  <c r="AD185" i="10"/>
  <c r="AD185" i="9"/>
  <c r="V185" i="11"/>
  <c r="V185" i="10"/>
  <c r="V185" i="9"/>
  <c r="N185" i="11"/>
  <c r="N185" i="10"/>
  <c r="N185" i="9"/>
  <c r="Z184" i="11"/>
  <c r="Z184" i="10"/>
  <c r="Z184" i="9"/>
  <c r="R184" i="11"/>
  <c r="R184" i="10"/>
  <c r="R184" i="9"/>
  <c r="J184" i="11"/>
  <c r="J184" i="10"/>
  <c r="J184" i="9"/>
  <c r="B184" i="11"/>
  <c r="B184" i="10"/>
  <c r="B184" i="9"/>
  <c r="AD183" i="11"/>
  <c r="AD183" i="10"/>
  <c r="AD183" i="9"/>
  <c r="V183" i="11"/>
  <c r="V183" i="10"/>
  <c r="V183" i="9"/>
  <c r="N183" i="11"/>
  <c r="N183" i="10"/>
  <c r="N183" i="9"/>
  <c r="F183" i="11"/>
  <c r="F183" i="10"/>
  <c r="F183" i="9"/>
  <c r="Z182" i="11"/>
  <c r="Z182" i="10"/>
  <c r="Z182" i="9"/>
  <c r="R182" i="11"/>
  <c r="R182" i="10"/>
  <c r="R182" i="9"/>
  <c r="J182" i="11"/>
  <c r="J182" i="10"/>
  <c r="J182" i="9"/>
  <c r="B182" i="11"/>
  <c r="B182" i="10"/>
  <c r="B182" i="9"/>
  <c r="AD181" i="11"/>
  <c r="AD181" i="10"/>
  <c r="AD181" i="9"/>
  <c r="V181" i="11"/>
  <c r="V181" i="10"/>
  <c r="V181" i="9"/>
  <c r="N181" i="11"/>
  <c r="N181" i="10"/>
  <c r="N181" i="9"/>
  <c r="F181" i="11"/>
  <c r="F181" i="10"/>
  <c r="F181" i="9"/>
  <c r="Z180" i="11"/>
  <c r="Z180" i="10"/>
  <c r="Z180" i="9"/>
  <c r="R180" i="11"/>
  <c r="R180" i="10"/>
  <c r="R180" i="9"/>
  <c r="J180" i="11"/>
  <c r="J180" i="10"/>
  <c r="J180" i="9"/>
  <c r="B180" i="11"/>
  <c r="B180" i="10"/>
  <c r="B180" i="9"/>
  <c r="AD179" i="11"/>
  <c r="AD179" i="10"/>
  <c r="AD179" i="9"/>
  <c r="V179" i="11"/>
  <c r="V179" i="10"/>
  <c r="V179" i="9"/>
  <c r="N179" i="11"/>
  <c r="N179" i="10"/>
  <c r="N179" i="9"/>
  <c r="F179" i="11"/>
  <c r="F179" i="10"/>
  <c r="F179" i="9"/>
  <c r="Z178" i="11"/>
  <c r="Z178" i="10"/>
  <c r="Z178" i="9"/>
  <c r="R178" i="11"/>
  <c r="R178" i="10"/>
  <c r="R178" i="9"/>
  <c r="J178" i="11"/>
  <c r="J178" i="10"/>
  <c r="J178" i="9"/>
  <c r="B178" i="11"/>
  <c r="B178" i="10"/>
  <c r="B178" i="9"/>
  <c r="AD177" i="11"/>
  <c r="AD177" i="10"/>
  <c r="AD177" i="9"/>
  <c r="V177" i="11"/>
  <c r="V177" i="10"/>
  <c r="V177" i="9"/>
  <c r="N177" i="11"/>
  <c r="N177" i="10"/>
  <c r="N177" i="9"/>
  <c r="F177" i="11"/>
  <c r="F177" i="10"/>
  <c r="F177" i="9"/>
  <c r="Z176" i="11"/>
  <c r="Z176" i="10"/>
  <c r="Z176" i="9"/>
  <c r="R176" i="11"/>
  <c r="R176" i="10"/>
  <c r="R176" i="9"/>
  <c r="J176" i="11"/>
  <c r="J176" i="10"/>
  <c r="J176" i="9"/>
  <c r="B176" i="11"/>
  <c r="B176" i="10"/>
  <c r="B176" i="9"/>
  <c r="AD175" i="11"/>
  <c r="AD175" i="10"/>
  <c r="AD175" i="9"/>
  <c r="V175" i="11"/>
  <c r="V175" i="10"/>
  <c r="V175" i="9"/>
  <c r="N175" i="11"/>
  <c r="N175" i="10"/>
  <c r="N175" i="9"/>
  <c r="F175" i="11"/>
  <c r="F175" i="10"/>
  <c r="F175" i="9"/>
  <c r="Z174" i="11"/>
  <c r="Z174" i="10"/>
  <c r="Z174" i="9"/>
  <c r="R174" i="11"/>
  <c r="R174" i="10"/>
  <c r="R174" i="9"/>
  <c r="J174" i="11"/>
  <c r="J174" i="10"/>
  <c r="J174" i="9"/>
  <c r="B174" i="11"/>
  <c r="B174" i="10"/>
  <c r="B174" i="9"/>
  <c r="AD173" i="11"/>
  <c r="AD173" i="10"/>
  <c r="AD173" i="9"/>
  <c r="V173" i="11"/>
  <c r="V173" i="10"/>
  <c r="V173" i="9"/>
  <c r="N173" i="11"/>
  <c r="N173" i="10"/>
  <c r="N173" i="9"/>
  <c r="F173" i="11"/>
  <c r="F173" i="10"/>
  <c r="F173" i="9"/>
  <c r="Z172" i="11"/>
  <c r="Z172" i="10"/>
  <c r="Z172" i="9"/>
  <c r="R172" i="11"/>
  <c r="R172" i="10"/>
  <c r="R172" i="9"/>
  <c r="J172" i="11"/>
  <c r="J172" i="10"/>
  <c r="J172" i="9"/>
  <c r="B172" i="11"/>
  <c r="B172" i="10"/>
  <c r="B172" i="9"/>
  <c r="AD171" i="11"/>
  <c r="AD171" i="10"/>
  <c r="AD171" i="9"/>
  <c r="V171" i="11"/>
  <c r="V171" i="10"/>
  <c r="V171" i="9"/>
  <c r="N171" i="11"/>
  <c r="N171" i="10"/>
  <c r="N171" i="9"/>
  <c r="F171" i="11"/>
  <c r="F171" i="10"/>
  <c r="F171" i="9"/>
  <c r="Z170" i="11"/>
  <c r="Z170" i="10"/>
  <c r="Z170" i="9"/>
  <c r="R170" i="11"/>
  <c r="R170" i="10"/>
  <c r="R170" i="9"/>
  <c r="J170" i="11"/>
  <c r="J170" i="10"/>
  <c r="J170" i="9"/>
  <c r="B170" i="11"/>
  <c r="B170" i="10"/>
  <c r="B170" i="9"/>
  <c r="AD169" i="11"/>
  <c r="AD169" i="10"/>
  <c r="AD169" i="9"/>
  <c r="V169" i="11"/>
  <c r="V169" i="10"/>
  <c r="V169" i="9"/>
  <c r="N169" i="11"/>
  <c r="N169" i="10"/>
  <c r="N169" i="9"/>
  <c r="F169" i="11"/>
  <c r="F169" i="10"/>
  <c r="F169" i="9"/>
  <c r="Z168" i="11"/>
  <c r="Z168" i="10"/>
  <c r="Z168" i="9"/>
  <c r="R168" i="11"/>
  <c r="R168" i="10"/>
  <c r="R168" i="9"/>
  <c r="J168" i="11"/>
  <c r="J168" i="10"/>
  <c r="J168" i="9"/>
  <c r="B168" i="11"/>
  <c r="B168" i="10"/>
  <c r="B168" i="9"/>
  <c r="AD167" i="11"/>
  <c r="AD167" i="10"/>
  <c r="AD167" i="9"/>
  <c r="V167" i="11"/>
  <c r="V167" i="10"/>
  <c r="V167" i="9"/>
  <c r="N167" i="11"/>
  <c r="N167" i="10"/>
  <c r="N167" i="9"/>
  <c r="F167" i="11"/>
  <c r="F167" i="10"/>
  <c r="F167" i="9"/>
  <c r="Z166" i="11"/>
  <c r="Z166" i="10"/>
  <c r="Z166" i="9"/>
  <c r="R166" i="11"/>
  <c r="R166" i="10"/>
  <c r="R166" i="9"/>
  <c r="J166" i="11"/>
  <c r="J166" i="10"/>
  <c r="J166" i="9"/>
  <c r="B166" i="11"/>
  <c r="B166" i="10"/>
  <c r="B166" i="9"/>
  <c r="AD165" i="11"/>
  <c r="AD165" i="10"/>
  <c r="AD165" i="9"/>
  <c r="V165" i="11"/>
  <c r="V165" i="10"/>
  <c r="V165" i="9"/>
  <c r="N165" i="11"/>
  <c r="N165" i="10"/>
  <c r="N165" i="9"/>
  <c r="F165" i="11"/>
  <c r="F165" i="10"/>
  <c r="F165" i="9"/>
  <c r="Z164" i="11"/>
  <c r="Z164" i="10"/>
  <c r="Z164" i="9"/>
  <c r="R164" i="11"/>
  <c r="R164" i="10"/>
  <c r="R164" i="9"/>
  <c r="J164" i="11"/>
  <c r="J164" i="10"/>
  <c r="J164" i="9"/>
  <c r="B164" i="11"/>
  <c r="B164" i="10"/>
  <c r="B164" i="9"/>
  <c r="AD163" i="11"/>
  <c r="AD163" i="10"/>
  <c r="AD163" i="9"/>
  <c r="V163" i="11"/>
  <c r="V163" i="10"/>
  <c r="V163" i="9"/>
  <c r="N163" i="11"/>
  <c r="N163" i="10"/>
  <c r="N163" i="9"/>
  <c r="F163" i="11"/>
  <c r="F163" i="10"/>
  <c r="F163" i="9"/>
  <c r="Z162" i="11"/>
  <c r="Z162" i="10"/>
  <c r="Z162" i="9"/>
  <c r="R162" i="11"/>
  <c r="R162" i="10"/>
  <c r="R162" i="9"/>
  <c r="J162" i="11"/>
  <c r="J162" i="10"/>
  <c r="J162" i="9"/>
  <c r="B162" i="11"/>
  <c r="B162" i="10"/>
  <c r="B162" i="9"/>
  <c r="AD161" i="11"/>
  <c r="AD161" i="10"/>
  <c r="AD161" i="9"/>
  <c r="V161" i="11"/>
  <c r="V161" i="10"/>
  <c r="V161" i="9"/>
  <c r="N161" i="11"/>
  <c r="N161" i="10"/>
  <c r="N161" i="9"/>
  <c r="F161" i="11"/>
  <c r="F161" i="10"/>
  <c r="F161" i="9"/>
  <c r="Z160" i="11"/>
  <c r="Z160" i="10"/>
  <c r="Z160" i="9"/>
  <c r="R160" i="11"/>
  <c r="R160" i="10"/>
  <c r="R160" i="9"/>
  <c r="J160" i="11"/>
  <c r="J160" i="10"/>
  <c r="J160" i="9"/>
  <c r="B160" i="11"/>
  <c r="B160" i="10"/>
  <c r="B160" i="9"/>
  <c r="AD159" i="11"/>
  <c r="AD159" i="10"/>
  <c r="AD159" i="9"/>
  <c r="V159" i="11"/>
  <c r="V159" i="10"/>
  <c r="V159" i="9"/>
  <c r="N159" i="11"/>
  <c r="N159" i="10"/>
  <c r="N159" i="9"/>
  <c r="F159" i="11"/>
  <c r="F159" i="10"/>
  <c r="F159" i="9"/>
  <c r="Z158" i="11"/>
  <c r="Z158" i="10"/>
  <c r="Z158" i="9"/>
  <c r="R158" i="11"/>
  <c r="R158" i="10"/>
  <c r="R158" i="9"/>
  <c r="J158" i="11"/>
  <c r="J158" i="10"/>
  <c r="J158" i="9"/>
  <c r="B158" i="11"/>
  <c r="B158" i="10"/>
  <c r="B158" i="9"/>
  <c r="AD157" i="11"/>
  <c r="AD157" i="10"/>
  <c r="AD157" i="9"/>
  <c r="V157" i="11"/>
  <c r="V157" i="10"/>
  <c r="V157" i="9"/>
  <c r="N157" i="11"/>
  <c r="N157" i="10"/>
  <c r="N157" i="9"/>
  <c r="F157" i="11"/>
  <c r="F157" i="10"/>
  <c r="F157" i="9"/>
  <c r="Z156" i="11"/>
  <c r="Z156" i="10"/>
  <c r="Z156" i="9"/>
  <c r="R156" i="11"/>
  <c r="R156" i="10"/>
  <c r="R156" i="9"/>
  <c r="J156" i="11"/>
  <c r="J156" i="10"/>
  <c r="J156" i="9"/>
  <c r="B156" i="11"/>
  <c r="B156" i="10"/>
  <c r="B156" i="9"/>
  <c r="AD155" i="11"/>
  <c r="AD155" i="10"/>
  <c r="AD155" i="9"/>
  <c r="V155" i="11"/>
  <c r="V155" i="10"/>
  <c r="V155" i="9"/>
  <c r="N155" i="11"/>
  <c r="N155" i="10"/>
  <c r="N155" i="9"/>
  <c r="F155" i="11"/>
  <c r="F155" i="10"/>
  <c r="F155" i="9"/>
  <c r="Z154" i="11"/>
  <c r="Z154" i="10"/>
  <c r="Z154" i="9"/>
  <c r="R154" i="11"/>
  <c r="R154" i="10"/>
  <c r="R154" i="9"/>
  <c r="J154" i="11"/>
  <c r="J154" i="10"/>
  <c r="J154" i="9"/>
  <c r="B154" i="11"/>
  <c r="B154" i="10"/>
  <c r="B154" i="9"/>
  <c r="AD153" i="11"/>
  <c r="AD153" i="10"/>
  <c r="AD153" i="9"/>
  <c r="V153" i="11"/>
  <c r="V153" i="10"/>
  <c r="V153" i="9"/>
  <c r="N153" i="11"/>
  <c r="N153" i="10"/>
  <c r="N153" i="9"/>
  <c r="F153" i="11"/>
  <c r="F153" i="10"/>
  <c r="F153" i="9"/>
  <c r="Z152" i="11"/>
  <c r="Z152" i="10"/>
  <c r="Z152" i="9"/>
  <c r="R152" i="11"/>
  <c r="R152" i="10"/>
  <c r="R152" i="9"/>
  <c r="J152" i="11"/>
  <c r="J152" i="10"/>
  <c r="J152" i="9"/>
  <c r="B152" i="11"/>
  <c r="B152" i="10"/>
  <c r="B152" i="9"/>
  <c r="AD151" i="11"/>
  <c r="AD151" i="10"/>
  <c r="AD151" i="9"/>
  <c r="V151" i="11"/>
  <c r="V151" i="10"/>
  <c r="V151" i="9"/>
  <c r="N151" i="11"/>
  <c r="N151" i="10"/>
  <c r="N151" i="9"/>
  <c r="F151" i="11"/>
  <c r="F151" i="10"/>
  <c r="F151" i="9"/>
  <c r="Z150" i="11"/>
  <c r="Z150" i="10"/>
  <c r="Z150" i="9"/>
  <c r="R150" i="11"/>
  <c r="R150" i="10"/>
  <c r="R150" i="9"/>
  <c r="J150" i="11"/>
  <c r="J150" i="10"/>
  <c r="J150" i="9"/>
  <c r="B150" i="11"/>
  <c r="B150" i="10"/>
  <c r="B150" i="9"/>
  <c r="AD149" i="11"/>
  <c r="AD149" i="10"/>
  <c r="AD149" i="9"/>
  <c r="V149" i="11"/>
  <c r="V149" i="10"/>
  <c r="V149" i="9"/>
  <c r="N149" i="11"/>
  <c r="N149" i="10"/>
  <c r="N149" i="9"/>
  <c r="F149" i="11"/>
  <c r="F149" i="10"/>
  <c r="F149" i="9"/>
  <c r="Z148" i="11"/>
  <c r="Z148" i="10"/>
  <c r="Z148" i="9"/>
  <c r="R148" i="11"/>
  <c r="R148" i="10"/>
  <c r="R148" i="9"/>
  <c r="J148" i="11"/>
  <c r="J148" i="10"/>
  <c r="J148" i="9"/>
  <c r="B148" i="11"/>
  <c r="B148" i="10"/>
  <c r="B148" i="9"/>
  <c r="AD147" i="11"/>
  <c r="AD147" i="10"/>
  <c r="AD147" i="9"/>
  <c r="V147" i="11"/>
  <c r="V147" i="10"/>
  <c r="V147" i="9"/>
  <c r="N147" i="11"/>
  <c r="N147" i="10"/>
  <c r="N147" i="9"/>
  <c r="F147" i="11"/>
  <c r="F147" i="10"/>
  <c r="F147" i="9"/>
  <c r="Z146" i="11"/>
  <c r="Z146" i="10"/>
  <c r="Z146" i="9"/>
  <c r="R146" i="11"/>
  <c r="R146" i="10"/>
  <c r="R146" i="9"/>
  <c r="J146" i="11"/>
  <c r="J146" i="10"/>
  <c r="J146" i="9"/>
  <c r="B146" i="11"/>
  <c r="B146" i="10"/>
  <c r="B146" i="9"/>
  <c r="AD145" i="11"/>
  <c r="AD145" i="10"/>
  <c r="AD145" i="9"/>
  <c r="V145" i="11"/>
  <c r="V145" i="10"/>
  <c r="V145" i="9"/>
  <c r="N145" i="11"/>
  <c r="N145" i="10"/>
  <c r="N145" i="9"/>
  <c r="F145" i="11"/>
  <c r="F145" i="10"/>
  <c r="F145" i="9"/>
  <c r="Z144" i="11"/>
  <c r="Z144" i="10"/>
  <c r="Z144" i="9"/>
  <c r="R144" i="11"/>
  <c r="R144" i="10"/>
  <c r="R144" i="9"/>
  <c r="J144" i="11"/>
  <c r="J144" i="10"/>
  <c r="J144" i="9"/>
  <c r="B144" i="11"/>
  <c r="B144" i="10"/>
  <c r="B144" i="9"/>
  <c r="AD143" i="11"/>
  <c r="AD143" i="10"/>
  <c r="AD143" i="9"/>
  <c r="V143" i="11"/>
  <c r="V143" i="10"/>
  <c r="V143" i="9"/>
  <c r="N143" i="11"/>
  <c r="N143" i="10"/>
  <c r="N143" i="9"/>
  <c r="F143" i="11"/>
  <c r="F143" i="10"/>
  <c r="F143" i="9"/>
  <c r="Z142" i="11"/>
  <c r="Z142" i="10"/>
  <c r="Z142" i="9"/>
  <c r="R142" i="11"/>
  <c r="R142" i="10"/>
  <c r="R142" i="9"/>
  <c r="J142" i="11"/>
  <c r="J142" i="10"/>
  <c r="J142" i="9"/>
  <c r="B142" i="11"/>
  <c r="B142" i="10"/>
  <c r="B142" i="9"/>
  <c r="AD141" i="11"/>
  <c r="AD141" i="10"/>
  <c r="AD141" i="9"/>
  <c r="V141" i="11"/>
  <c r="V141" i="10"/>
  <c r="V141" i="9"/>
  <c r="N141" i="11"/>
  <c r="N141" i="10"/>
  <c r="N141" i="9"/>
  <c r="F141" i="11"/>
  <c r="F141" i="10"/>
  <c r="F141" i="9"/>
  <c r="Z140" i="11"/>
  <c r="Z140" i="10"/>
  <c r="Z140" i="9"/>
  <c r="R140" i="11"/>
  <c r="R140" i="10"/>
  <c r="R140" i="9"/>
  <c r="J140" i="11"/>
  <c r="J140" i="10"/>
  <c r="J140" i="9"/>
  <c r="B140" i="11"/>
  <c r="B140" i="10"/>
  <c r="B140" i="9"/>
  <c r="AD139" i="11"/>
  <c r="AD139" i="10"/>
  <c r="AD139" i="9"/>
  <c r="V139" i="11"/>
  <c r="V139" i="10"/>
  <c r="V139" i="9"/>
  <c r="N139" i="11"/>
  <c r="N139" i="10"/>
  <c r="N139" i="9"/>
  <c r="F139" i="11"/>
  <c r="F139" i="10"/>
  <c r="F139" i="9"/>
  <c r="Z138" i="11"/>
  <c r="Z138" i="10"/>
  <c r="Z138" i="9"/>
  <c r="R138" i="11"/>
  <c r="R138" i="10"/>
  <c r="R138" i="9"/>
  <c r="J138" i="11"/>
  <c r="J138" i="10"/>
  <c r="J138" i="9"/>
  <c r="B138" i="11"/>
  <c r="B138" i="10"/>
  <c r="B138" i="9"/>
  <c r="AD137" i="11"/>
  <c r="AD137" i="10"/>
  <c r="AD137" i="9"/>
  <c r="V137" i="11"/>
  <c r="V137" i="10"/>
  <c r="V137" i="9"/>
  <c r="N137" i="11"/>
  <c r="N137" i="10"/>
  <c r="N137" i="9"/>
  <c r="F137" i="11"/>
  <c r="F137" i="10"/>
  <c r="F137" i="9"/>
  <c r="Z136" i="11"/>
  <c r="Z136" i="10"/>
  <c r="Z136" i="9"/>
  <c r="R136" i="11"/>
  <c r="R136" i="10"/>
  <c r="R136" i="9"/>
  <c r="J136" i="11"/>
  <c r="J136" i="10"/>
  <c r="J136" i="9"/>
  <c r="B136" i="11"/>
  <c r="B136" i="10"/>
  <c r="B136" i="9"/>
  <c r="AD135" i="11"/>
  <c r="AD135" i="10"/>
  <c r="AD135" i="9"/>
  <c r="V135" i="11"/>
  <c r="V135" i="10"/>
  <c r="V135" i="9"/>
  <c r="N135" i="11"/>
  <c r="N135" i="10"/>
  <c r="N135" i="9"/>
  <c r="F135" i="11"/>
  <c r="F135" i="10"/>
  <c r="F135" i="9"/>
  <c r="Z134" i="11"/>
  <c r="Z134" i="10"/>
  <c r="Z134" i="9"/>
  <c r="R134" i="11"/>
  <c r="R134" i="10"/>
  <c r="R134" i="9"/>
  <c r="J134" i="11"/>
  <c r="J134" i="10"/>
  <c r="J134" i="9"/>
  <c r="B134" i="11"/>
  <c r="B134" i="10"/>
  <c r="B134" i="9"/>
  <c r="AD133" i="11"/>
  <c r="AD133" i="10"/>
  <c r="AD133" i="9"/>
  <c r="V133" i="11"/>
  <c r="V133" i="10"/>
  <c r="V133" i="9"/>
  <c r="N133" i="11"/>
  <c r="N133" i="10"/>
  <c r="N133" i="9"/>
  <c r="F133" i="11"/>
  <c r="F133" i="10"/>
  <c r="F133" i="9"/>
  <c r="Z132" i="11"/>
  <c r="Z132" i="10"/>
  <c r="Z132" i="9"/>
  <c r="R132" i="11"/>
  <c r="R132" i="10"/>
  <c r="R132" i="9"/>
  <c r="J132" i="11"/>
  <c r="J132" i="10"/>
  <c r="J132" i="9"/>
  <c r="B132" i="11"/>
  <c r="B132" i="10"/>
  <c r="B132" i="9"/>
  <c r="AD131" i="11"/>
  <c r="AD131" i="10"/>
  <c r="AD131" i="9"/>
  <c r="V131" i="11"/>
  <c r="V131" i="10"/>
  <c r="V131" i="9"/>
  <c r="N131" i="11"/>
  <c r="N131" i="10"/>
  <c r="N131" i="9"/>
  <c r="F131" i="11"/>
  <c r="F131" i="10"/>
  <c r="F131" i="9"/>
  <c r="Z130" i="11"/>
  <c r="Z130" i="10"/>
  <c r="Z130" i="9"/>
  <c r="R130" i="11"/>
  <c r="R130" i="10"/>
  <c r="R130" i="9"/>
  <c r="J130" i="11"/>
  <c r="J130" i="10"/>
  <c r="J130" i="9"/>
  <c r="B130" i="11"/>
  <c r="B130" i="10"/>
  <c r="B130" i="9"/>
  <c r="AD129" i="11"/>
  <c r="AD129" i="10"/>
  <c r="AD129" i="9"/>
  <c r="V129" i="11"/>
  <c r="V129" i="10"/>
  <c r="V129" i="9"/>
  <c r="N129" i="11"/>
  <c r="N129" i="10"/>
  <c r="N129" i="9"/>
  <c r="F129" i="11"/>
  <c r="F129" i="10"/>
  <c r="F129" i="9"/>
  <c r="AG366" i="11"/>
  <c r="AG366" i="10"/>
  <c r="AG366" i="9"/>
  <c r="Y366" i="11"/>
  <c r="Y366" i="10"/>
  <c r="Y366" i="9"/>
  <c r="Q366" i="11"/>
  <c r="Q366" i="10"/>
  <c r="Q366" i="9"/>
  <c r="I366" i="11"/>
  <c r="I366" i="10"/>
  <c r="I366" i="9"/>
  <c r="A366" i="11"/>
  <c r="A366" i="10"/>
  <c r="A366" i="9"/>
  <c r="AC365" i="11"/>
  <c r="AC365" i="10"/>
  <c r="AC365" i="9"/>
  <c r="U365" i="11"/>
  <c r="U365" i="10"/>
  <c r="U365" i="9"/>
  <c r="M365" i="11"/>
  <c r="M365" i="10"/>
  <c r="M365" i="9"/>
  <c r="E365" i="11"/>
  <c r="E365" i="10"/>
  <c r="E365" i="9"/>
  <c r="AG364" i="11"/>
  <c r="AG364" i="10"/>
  <c r="AG364" i="9"/>
  <c r="Y364" i="11"/>
  <c r="Y364" i="10"/>
  <c r="Y364" i="9"/>
  <c r="Q364" i="11"/>
  <c r="Q364" i="10"/>
  <c r="Q364" i="9"/>
  <c r="I364" i="11"/>
  <c r="I364" i="10"/>
  <c r="I364" i="9"/>
  <c r="A364" i="11"/>
  <c r="A364" i="10"/>
  <c r="A364" i="9"/>
  <c r="AC363" i="11"/>
  <c r="AC363" i="10"/>
  <c r="AC363" i="9"/>
  <c r="U363" i="11"/>
  <c r="U363" i="10"/>
  <c r="U363" i="9"/>
  <c r="M363" i="11"/>
  <c r="M363" i="10"/>
  <c r="M363" i="9"/>
  <c r="E363" i="11"/>
  <c r="E363" i="10"/>
  <c r="E363" i="9"/>
  <c r="AG362" i="11"/>
  <c r="AG362" i="10"/>
  <c r="AG362" i="9"/>
  <c r="Y362" i="11"/>
  <c r="Y362" i="10"/>
  <c r="Y362" i="9"/>
  <c r="Q362" i="11"/>
  <c r="Q362" i="10"/>
  <c r="Q362" i="9"/>
  <c r="I362" i="11"/>
  <c r="I362" i="10"/>
  <c r="I362" i="9"/>
  <c r="A362" i="11"/>
  <c r="A362" i="10"/>
  <c r="A362" i="9"/>
  <c r="AC361" i="11"/>
  <c r="AC361" i="10"/>
  <c r="AC361" i="9"/>
  <c r="U361" i="11"/>
  <c r="U361" i="10"/>
  <c r="U361" i="9"/>
  <c r="M361" i="11"/>
  <c r="M361" i="10"/>
  <c r="M361" i="9"/>
  <c r="E361" i="11"/>
  <c r="E361" i="10"/>
  <c r="E361" i="9"/>
  <c r="AG360" i="11"/>
  <c r="AG360" i="10"/>
  <c r="AG360" i="9"/>
  <c r="Y360" i="11"/>
  <c r="Y360" i="10"/>
  <c r="Y360" i="9"/>
  <c r="Q360" i="11"/>
  <c r="Q360" i="10"/>
  <c r="Q360" i="9"/>
  <c r="I360" i="11"/>
  <c r="I360" i="10"/>
  <c r="I360" i="9"/>
  <c r="A360" i="11"/>
  <c r="A360" i="10"/>
  <c r="A360" i="9"/>
  <c r="AC359" i="11"/>
  <c r="AC359" i="10"/>
  <c r="AC359" i="9"/>
  <c r="U359" i="11"/>
  <c r="U359" i="10"/>
  <c r="U359" i="9"/>
  <c r="M359" i="11"/>
  <c r="M359" i="10"/>
  <c r="M359" i="9"/>
  <c r="E359" i="11"/>
  <c r="E359" i="10"/>
  <c r="E359" i="9"/>
  <c r="Y358" i="11"/>
  <c r="Y358" i="10"/>
  <c r="Y358" i="9"/>
  <c r="Q358" i="11"/>
  <c r="Q358" i="10"/>
  <c r="Q358" i="9"/>
  <c r="I358" i="11"/>
  <c r="I358" i="10"/>
  <c r="I358" i="9"/>
  <c r="A358" i="11"/>
  <c r="A358" i="10"/>
  <c r="A358" i="9"/>
  <c r="AC357" i="11"/>
  <c r="AC357" i="10"/>
  <c r="AC357" i="9"/>
  <c r="U357" i="11"/>
  <c r="U357" i="10"/>
  <c r="U357" i="9"/>
  <c r="M357" i="11"/>
  <c r="M357" i="10"/>
  <c r="M357" i="9"/>
  <c r="E357" i="11"/>
  <c r="E357" i="10"/>
  <c r="E357" i="9"/>
  <c r="AG356" i="11"/>
  <c r="AG356" i="10"/>
  <c r="AG356" i="9"/>
  <c r="Y356" i="11"/>
  <c r="Y356" i="10"/>
  <c r="Y356" i="9"/>
  <c r="Q356" i="11"/>
  <c r="Q356" i="10"/>
  <c r="Q356" i="9"/>
  <c r="I356" i="11"/>
  <c r="I356" i="10"/>
  <c r="I356" i="9"/>
  <c r="A356" i="11"/>
  <c r="A356" i="10"/>
  <c r="A356" i="9"/>
  <c r="AC355" i="11"/>
  <c r="AC355" i="10"/>
  <c r="AC355" i="9"/>
  <c r="U355" i="11"/>
  <c r="U355" i="10"/>
  <c r="U355" i="9"/>
  <c r="M355" i="11"/>
  <c r="M355" i="10"/>
  <c r="M355" i="9"/>
  <c r="E355" i="11"/>
  <c r="E355" i="10"/>
  <c r="E355" i="9"/>
  <c r="AG354" i="11"/>
  <c r="AG354" i="10"/>
  <c r="AG354" i="9"/>
  <c r="Y354" i="11"/>
  <c r="Y354" i="10"/>
  <c r="Y354" i="9"/>
  <c r="Q354" i="11"/>
  <c r="Q354" i="10"/>
  <c r="Q354" i="9"/>
  <c r="I354" i="11"/>
  <c r="I354" i="10"/>
  <c r="I354" i="9"/>
  <c r="A354" i="11"/>
  <c r="A354" i="10"/>
  <c r="A354" i="9"/>
  <c r="AC353" i="11"/>
  <c r="AC353" i="10"/>
  <c r="AC353" i="9"/>
  <c r="U353" i="11"/>
  <c r="U353" i="10"/>
  <c r="U353" i="9"/>
  <c r="M353" i="11"/>
  <c r="M353" i="10"/>
  <c r="M353" i="9"/>
  <c r="E353" i="11"/>
  <c r="E353" i="10"/>
  <c r="E353" i="9"/>
  <c r="AG352" i="11"/>
  <c r="AG352" i="10"/>
  <c r="AG352" i="9"/>
  <c r="Y352" i="11"/>
  <c r="Y352" i="10"/>
  <c r="Y352" i="9"/>
  <c r="Q352" i="11"/>
  <c r="Q352" i="10"/>
  <c r="Q352" i="9"/>
  <c r="I352" i="11"/>
  <c r="I352" i="10"/>
  <c r="I352" i="9"/>
  <c r="A352" i="11"/>
  <c r="A352" i="10"/>
  <c r="A352" i="9"/>
  <c r="AC351" i="11"/>
  <c r="AC351" i="10"/>
  <c r="AC351" i="9"/>
  <c r="U351" i="11"/>
  <c r="U351" i="10"/>
  <c r="U351" i="9"/>
  <c r="M351" i="11"/>
  <c r="M351" i="10"/>
  <c r="M351" i="9"/>
  <c r="E351" i="11"/>
  <c r="E351" i="10"/>
  <c r="E351" i="9"/>
  <c r="AG350" i="11"/>
  <c r="AG350" i="10"/>
  <c r="AG350" i="9"/>
  <c r="Y350" i="11"/>
  <c r="Y350" i="10"/>
  <c r="Y350" i="9"/>
  <c r="Q350" i="11"/>
  <c r="Q350" i="10"/>
  <c r="Q350" i="9"/>
  <c r="I350" i="11"/>
  <c r="I350" i="10"/>
  <c r="I350" i="9"/>
  <c r="A350" i="11"/>
  <c r="A350" i="10"/>
  <c r="A350" i="9"/>
  <c r="AC349" i="11"/>
  <c r="AC349" i="10"/>
  <c r="AC349" i="9"/>
  <c r="U349" i="11"/>
  <c r="U349" i="10"/>
  <c r="U349" i="9"/>
  <c r="M349" i="11"/>
  <c r="M349" i="10"/>
  <c r="M349" i="9"/>
  <c r="E349" i="11"/>
  <c r="E349" i="10"/>
  <c r="E349" i="9"/>
  <c r="AG348" i="11"/>
  <c r="AG348" i="10"/>
  <c r="AG348" i="9"/>
  <c r="Y348" i="11"/>
  <c r="Y348" i="10"/>
  <c r="Y348" i="9"/>
  <c r="Q348" i="11"/>
  <c r="Q348" i="10"/>
  <c r="Q348" i="9"/>
  <c r="I348" i="11"/>
  <c r="I348" i="10"/>
  <c r="I348" i="9"/>
  <c r="A348" i="11"/>
  <c r="A348" i="10"/>
  <c r="A348" i="9"/>
  <c r="AC347" i="11"/>
  <c r="AC347" i="10"/>
  <c r="AC347" i="9"/>
  <c r="U347" i="11"/>
  <c r="U347" i="10"/>
  <c r="U347" i="9"/>
  <c r="M347" i="11"/>
  <c r="M347" i="10"/>
  <c r="M347" i="9"/>
  <c r="E347" i="11"/>
  <c r="E347" i="10"/>
  <c r="E347" i="9"/>
  <c r="Y346" i="11"/>
  <c r="Y346" i="10"/>
  <c r="Y346" i="9"/>
  <c r="Q346" i="11"/>
  <c r="Q346" i="10"/>
  <c r="Q346" i="9"/>
  <c r="I346" i="11"/>
  <c r="I346" i="10"/>
  <c r="I346" i="9"/>
  <c r="A346" i="11"/>
  <c r="A346" i="10"/>
  <c r="A346" i="9"/>
  <c r="AC345" i="11"/>
  <c r="AC345" i="10"/>
  <c r="AC345" i="9"/>
  <c r="U345" i="11"/>
  <c r="U345" i="10"/>
  <c r="U345" i="9"/>
  <c r="M345" i="11"/>
  <c r="M345" i="10"/>
  <c r="M345" i="9"/>
  <c r="E345" i="11"/>
  <c r="E345" i="10"/>
  <c r="E345" i="9"/>
  <c r="Y344" i="11"/>
  <c r="Y344" i="10"/>
  <c r="Y344" i="9"/>
  <c r="Q344" i="11"/>
  <c r="Q344" i="10"/>
  <c r="Q344" i="9"/>
  <c r="I344" i="11"/>
  <c r="I344" i="10"/>
  <c r="I344" i="9"/>
  <c r="A344" i="11"/>
  <c r="A344" i="10"/>
  <c r="A344" i="9"/>
  <c r="AC343" i="11"/>
  <c r="AC343" i="10"/>
  <c r="AC343" i="9"/>
  <c r="U343" i="11"/>
  <c r="U343" i="10"/>
  <c r="U343" i="9"/>
  <c r="M343" i="11"/>
  <c r="M343" i="10"/>
  <c r="M343" i="9"/>
  <c r="E343" i="11"/>
  <c r="E343" i="10"/>
  <c r="E343" i="9"/>
  <c r="AG342" i="11"/>
  <c r="AG342" i="10"/>
  <c r="AG342" i="9"/>
  <c r="Y342" i="11"/>
  <c r="Y342" i="10"/>
  <c r="Y342" i="9"/>
  <c r="Q342" i="11"/>
  <c r="Q342" i="10"/>
  <c r="Q342" i="9"/>
  <c r="I342" i="11"/>
  <c r="I342" i="10"/>
  <c r="I342" i="9"/>
  <c r="A342" i="11"/>
  <c r="A342" i="10"/>
  <c r="A342" i="9"/>
  <c r="AC341" i="11"/>
  <c r="AC341" i="10"/>
  <c r="AC341" i="9"/>
  <c r="U341" i="11"/>
  <c r="U341" i="10"/>
  <c r="U341" i="9"/>
  <c r="M341" i="11"/>
  <c r="M341" i="10"/>
  <c r="M341" i="9"/>
  <c r="E341" i="11"/>
  <c r="E341" i="10"/>
  <c r="E341" i="9"/>
  <c r="AG340" i="11"/>
  <c r="AG340" i="10"/>
  <c r="AG340" i="9"/>
  <c r="Y340" i="11"/>
  <c r="Y340" i="10"/>
  <c r="Y340" i="9"/>
  <c r="Q340" i="11"/>
  <c r="Q340" i="10"/>
  <c r="Q340" i="9"/>
  <c r="I340" i="11"/>
  <c r="I340" i="10"/>
  <c r="I340" i="9"/>
  <c r="A340" i="11"/>
  <c r="A340" i="10"/>
  <c r="A340" i="9"/>
  <c r="AC339" i="11"/>
  <c r="AC339" i="10"/>
  <c r="AC339" i="9"/>
  <c r="U339" i="11"/>
  <c r="U339" i="10"/>
  <c r="U339" i="9"/>
  <c r="M339" i="11"/>
  <c r="M339" i="10"/>
  <c r="M339" i="9"/>
  <c r="E339" i="11"/>
  <c r="E339" i="10"/>
  <c r="E339" i="9"/>
  <c r="AG338" i="11"/>
  <c r="AG338" i="10"/>
  <c r="AG338" i="9"/>
  <c r="Y338" i="11"/>
  <c r="Y338" i="10"/>
  <c r="Y338" i="9"/>
  <c r="Q338" i="11"/>
  <c r="Q338" i="10"/>
  <c r="Q338" i="9"/>
  <c r="I338" i="11"/>
  <c r="I338" i="10"/>
  <c r="I338" i="9"/>
  <c r="A338" i="11"/>
  <c r="A338" i="10"/>
  <c r="A338" i="9"/>
  <c r="AC337" i="11"/>
  <c r="AC337" i="10"/>
  <c r="AC337" i="9"/>
  <c r="U337" i="11"/>
  <c r="U337" i="10"/>
  <c r="U337" i="9"/>
  <c r="M337" i="11"/>
  <c r="M337" i="10"/>
  <c r="M337" i="9"/>
  <c r="E337" i="11"/>
  <c r="E337" i="10"/>
  <c r="E337" i="9"/>
  <c r="AG336" i="11"/>
  <c r="AG336" i="10"/>
  <c r="AG336" i="9"/>
  <c r="Y336" i="11"/>
  <c r="Y336" i="10"/>
  <c r="Y336" i="9"/>
  <c r="Q336" i="11"/>
  <c r="Q336" i="10"/>
  <c r="Q336" i="9"/>
  <c r="I336" i="11"/>
  <c r="I336" i="10"/>
  <c r="I336" i="9"/>
  <c r="A336" i="11"/>
  <c r="A336" i="10"/>
  <c r="A336" i="9"/>
  <c r="AC335" i="11"/>
  <c r="AC335" i="10"/>
  <c r="AC335" i="9"/>
  <c r="U335" i="11"/>
  <c r="U335" i="10"/>
  <c r="U335" i="9"/>
  <c r="M335" i="11"/>
  <c r="M335" i="10"/>
  <c r="M335" i="9"/>
  <c r="E335" i="11"/>
  <c r="E335" i="10"/>
  <c r="E335" i="9"/>
  <c r="Y334" i="11"/>
  <c r="Y334" i="10"/>
  <c r="Y334" i="9"/>
  <c r="Q334" i="11"/>
  <c r="Q334" i="10"/>
  <c r="Q334" i="9"/>
  <c r="I334" i="11"/>
  <c r="I334" i="10"/>
  <c r="I334" i="9"/>
  <c r="A334" i="11"/>
  <c r="A334" i="10"/>
  <c r="A334" i="9"/>
  <c r="AC333" i="11"/>
  <c r="AC333" i="10"/>
  <c r="AC333" i="9"/>
  <c r="U333" i="11"/>
  <c r="U333" i="10"/>
  <c r="U333" i="9"/>
  <c r="M333" i="11"/>
  <c r="M333" i="10"/>
  <c r="M333" i="9"/>
  <c r="E333" i="11"/>
  <c r="E333" i="10"/>
  <c r="E333" i="9"/>
  <c r="AG332" i="11"/>
  <c r="AG332" i="10"/>
  <c r="AG332" i="9"/>
  <c r="Y332" i="11"/>
  <c r="Y332" i="10"/>
  <c r="Y332" i="9"/>
  <c r="Q332" i="11"/>
  <c r="Q332" i="10"/>
  <c r="Q332" i="9"/>
  <c r="I332" i="11"/>
  <c r="I332" i="10"/>
  <c r="I332" i="9"/>
  <c r="A332" i="11"/>
  <c r="A332" i="10"/>
  <c r="A332" i="9"/>
  <c r="AC331" i="11"/>
  <c r="AC331" i="10"/>
  <c r="AC331" i="9"/>
  <c r="U331" i="11"/>
  <c r="U331" i="10"/>
  <c r="U331" i="9"/>
  <c r="M331" i="11"/>
  <c r="M331" i="10"/>
  <c r="M331" i="9"/>
  <c r="E331" i="11"/>
  <c r="E331" i="10"/>
  <c r="E331" i="9"/>
  <c r="AG330" i="11"/>
  <c r="AG330" i="10"/>
  <c r="AG330" i="9"/>
  <c r="Y330" i="11"/>
  <c r="Y330" i="10"/>
  <c r="Y330" i="9"/>
  <c r="Q330" i="11"/>
  <c r="Q330" i="10"/>
  <c r="Q330" i="9"/>
  <c r="I330" i="11"/>
  <c r="I330" i="10"/>
  <c r="I330" i="9"/>
  <c r="A330" i="11"/>
  <c r="A330" i="10"/>
  <c r="A330" i="9"/>
  <c r="AC329" i="11"/>
  <c r="AC329" i="10"/>
  <c r="AC329" i="9"/>
  <c r="U329" i="11"/>
  <c r="U329" i="10"/>
  <c r="U329" i="9"/>
  <c r="M329" i="11"/>
  <c r="M329" i="10"/>
  <c r="M329" i="9"/>
  <c r="E329" i="11"/>
  <c r="E329" i="10"/>
  <c r="E329" i="9"/>
  <c r="AG328" i="11"/>
  <c r="AG328" i="10"/>
  <c r="AG328" i="9"/>
  <c r="Y328" i="11"/>
  <c r="Y328" i="10"/>
  <c r="Y328" i="9"/>
  <c r="Q328" i="11"/>
  <c r="Q328" i="10"/>
  <c r="Q328" i="9"/>
  <c r="I328" i="11"/>
  <c r="I328" i="10"/>
  <c r="I328" i="9"/>
  <c r="A328" i="11"/>
  <c r="A328" i="10"/>
  <c r="A328" i="9"/>
  <c r="AC327" i="11"/>
  <c r="AC327" i="10"/>
  <c r="AC327" i="9"/>
  <c r="U327" i="11"/>
  <c r="U327" i="10"/>
  <c r="U327" i="9"/>
  <c r="M327" i="11"/>
  <c r="M327" i="10"/>
  <c r="M327" i="9"/>
  <c r="E327" i="11"/>
  <c r="E327" i="10"/>
  <c r="E327" i="9"/>
  <c r="AG326" i="11"/>
  <c r="AG326" i="10"/>
  <c r="AG326" i="9"/>
  <c r="Y326" i="11"/>
  <c r="Y326" i="10"/>
  <c r="Y326" i="9"/>
  <c r="Q326" i="11"/>
  <c r="Q326" i="10"/>
  <c r="Q326" i="9"/>
  <c r="I326" i="11"/>
  <c r="I326" i="10"/>
  <c r="I326" i="9"/>
  <c r="A326" i="11"/>
  <c r="A326" i="10"/>
  <c r="A326" i="9"/>
  <c r="AC325" i="11"/>
  <c r="AC325" i="10"/>
  <c r="AC325" i="9"/>
  <c r="U325" i="11"/>
  <c r="U325" i="10"/>
  <c r="U325" i="9"/>
  <c r="M325" i="11"/>
  <c r="M325" i="10"/>
  <c r="M325" i="9"/>
  <c r="E325" i="11"/>
  <c r="E325" i="10"/>
  <c r="E325" i="9"/>
  <c r="AG324" i="11"/>
  <c r="AG324" i="10"/>
  <c r="AG324" i="9"/>
  <c r="Y324" i="11"/>
  <c r="Y324" i="10"/>
  <c r="Y324" i="9"/>
  <c r="Q324" i="11"/>
  <c r="Q324" i="10"/>
  <c r="Q324" i="9"/>
  <c r="I324" i="11"/>
  <c r="I324" i="10"/>
  <c r="I324" i="9"/>
  <c r="A324" i="11"/>
  <c r="A324" i="10"/>
  <c r="A324" i="9"/>
  <c r="AC323" i="11"/>
  <c r="AC323" i="10"/>
  <c r="AC323" i="9"/>
  <c r="U323" i="11"/>
  <c r="U323" i="10"/>
  <c r="U323" i="9"/>
  <c r="M323" i="11"/>
  <c r="M323" i="10"/>
  <c r="M323" i="9"/>
  <c r="E323" i="11"/>
  <c r="E323" i="10"/>
  <c r="E323" i="9"/>
  <c r="AG322" i="11"/>
  <c r="AG322" i="10"/>
  <c r="AG322" i="9"/>
  <c r="Y322" i="11"/>
  <c r="Y322" i="10"/>
  <c r="Y322" i="9"/>
  <c r="Q322" i="11"/>
  <c r="Q322" i="10"/>
  <c r="Q322" i="9"/>
  <c r="I322" i="11"/>
  <c r="I322" i="10"/>
  <c r="I322" i="9"/>
  <c r="A322" i="11"/>
  <c r="A322" i="10"/>
  <c r="A322" i="9"/>
  <c r="AC321" i="11"/>
  <c r="AC321" i="10"/>
  <c r="AC321" i="9"/>
  <c r="U321" i="11"/>
  <c r="U321" i="10"/>
  <c r="U321" i="9"/>
  <c r="M321" i="11"/>
  <c r="M321" i="10"/>
  <c r="M321" i="9"/>
  <c r="E321" i="11"/>
  <c r="E321" i="10"/>
  <c r="E321" i="9"/>
  <c r="AG320" i="11"/>
  <c r="AG320" i="10"/>
  <c r="AG320" i="9"/>
  <c r="Y320" i="11"/>
  <c r="Y320" i="10"/>
  <c r="Y320" i="9"/>
  <c r="Q320" i="11"/>
  <c r="Q320" i="10"/>
  <c r="Q320" i="9"/>
  <c r="I320" i="11"/>
  <c r="I320" i="10"/>
  <c r="I320" i="9"/>
  <c r="A320" i="11"/>
  <c r="A320" i="10"/>
  <c r="A320" i="9"/>
  <c r="AC319" i="11"/>
  <c r="AC319" i="10"/>
  <c r="AC319" i="9"/>
  <c r="U319" i="11"/>
  <c r="U319" i="10"/>
  <c r="U319" i="9"/>
  <c r="M319" i="11"/>
  <c r="M319" i="10"/>
  <c r="M319" i="9"/>
  <c r="E319" i="11"/>
  <c r="E319" i="10"/>
  <c r="E319" i="9"/>
  <c r="Y318" i="11"/>
  <c r="Y318" i="10"/>
  <c r="Y318" i="9"/>
  <c r="Q318" i="11"/>
  <c r="Q318" i="10"/>
  <c r="Q318" i="9"/>
  <c r="I318" i="11"/>
  <c r="I318" i="10"/>
  <c r="I318" i="9"/>
  <c r="A318" i="11"/>
  <c r="A318" i="10"/>
  <c r="A318" i="9"/>
  <c r="AC317" i="11"/>
  <c r="AC317" i="10"/>
  <c r="AC317" i="9"/>
  <c r="U317" i="11"/>
  <c r="U317" i="10"/>
  <c r="U317" i="9"/>
  <c r="M317" i="11"/>
  <c r="M317" i="10"/>
  <c r="M317" i="9"/>
  <c r="E317" i="11"/>
  <c r="E317" i="10"/>
  <c r="E317" i="9"/>
  <c r="AG316" i="11"/>
  <c r="AG316" i="10"/>
  <c r="AG316" i="9"/>
  <c r="Y316" i="11"/>
  <c r="Y316" i="10"/>
  <c r="Y316" i="9"/>
  <c r="Q316" i="11"/>
  <c r="Q316" i="10"/>
  <c r="Q316" i="9"/>
  <c r="I316" i="11"/>
  <c r="I316" i="10"/>
  <c r="I316" i="9"/>
  <c r="A316" i="11"/>
  <c r="A316" i="10"/>
  <c r="A316" i="9"/>
  <c r="AC315" i="11"/>
  <c r="AC315" i="10"/>
  <c r="AC315" i="9"/>
  <c r="U315" i="11"/>
  <c r="U315" i="10"/>
  <c r="U315" i="9"/>
  <c r="M315" i="11"/>
  <c r="M315" i="10"/>
  <c r="M315" i="9"/>
  <c r="E315" i="11"/>
  <c r="E315" i="10"/>
  <c r="E315" i="9"/>
  <c r="AG314" i="11"/>
  <c r="AG314" i="10"/>
  <c r="AG314" i="9"/>
  <c r="Y314" i="11"/>
  <c r="Y314" i="10"/>
  <c r="Y314" i="9"/>
  <c r="Q314" i="11"/>
  <c r="Q314" i="10"/>
  <c r="Q314" i="9"/>
  <c r="I314" i="11"/>
  <c r="I314" i="10"/>
  <c r="I314" i="9"/>
  <c r="A314" i="11"/>
  <c r="A314" i="10"/>
  <c r="A314" i="9"/>
  <c r="AC313" i="11"/>
  <c r="AC313" i="10"/>
  <c r="AC313" i="9"/>
  <c r="U313" i="11"/>
  <c r="U313" i="10"/>
  <c r="U313" i="9"/>
  <c r="M313" i="11"/>
  <c r="M313" i="10"/>
  <c r="M313" i="9"/>
  <c r="E313" i="11"/>
  <c r="E313" i="10"/>
  <c r="E313" i="9"/>
  <c r="AG312" i="11"/>
  <c r="AG312" i="10"/>
  <c r="AG312" i="9"/>
  <c r="Y312" i="11"/>
  <c r="Y312" i="10"/>
  <c r="Y312" i="9"/>
  <c r="Q312" i="11"/>
  <c r="Q312" i="10"/>
  <c r="Q312" i="9"/>
  <c r="I312" i="11"/>
  <c r="I312" i="10"/>
  <c r="I312" i="9"/>
  <c r="A312" i="11"/>
  <c r="A312" i="10"/>
  <c r="A312" i="9"/>
  <c r="AC311" i="11"/>
  <c r="AC311" i="10"/>
  <c r="AC311" i="9"/>
  <c r="U311" i="11"/>
  <c r="U311" i="10"/>
  <c r="U311" i="9"/>
  <c r="M311" i="11"/>
  <c r="M311" i="10"/>
  <c r="M311" i="9"/>
  <c r="E311" i="11"/>
  <c r="E311" i="10"/>
  <c r="E311" i="9"/>
  <c r="AG310" i="11"/>
  <c r="AG310" i="10"/>
  <c r="AG310" i="9"/>
  <c r="Y310" i="11"/>
  <c r="Y310" i="10"/>
  <c r="Y310" i="9"/>
  <c r="Q310" i="11"/>
  <c r="Q310" i="10"/>
  <c r="Q310" i="9"/>
  <c r="I310" i="11"/>
  <c r="I310" i="10"/>
  <c r="I310" i="9"/>
  <c r="A310" i="11"/>
  <c r="A310" i="10"/>
  <c r="A310" i="9"/>
  <c r="AC309" i="11"/>
  <c r="AC309" i="10"/>
  <c r="AC309" i="9"/>
  <c r="U309" i="11"/>
  <c r="U309" i="10"/>
  <c r="U309" i="9"/>
  <c r="M309" i="11"/>
  <c r="M309" i="10"/>
  <c r="M309" i="9"/>
  <c r="E309" i="11"/>
  <c r="E309" i="10"/>
  <c r="E309" i="9"/>
  <c r="AG308" i="11"/>
  <c r="AG308" i="10"/>
  <c r="AG308" i="9"/>
  <c r="Y308" i="11"/>
  <c r="Y308" i="10"/>
  <c r="Y308" i="9"/>
  <c r="Q308" i="11"/>
  <c r="Q308" i="10"/>
  <c r="Q308" i="9"/>
  <c r="I308" i="11"/>
  <c r="I308" i="10"/>
  <c r="I308" i="9"/>
  <c r="A308" i="11"/>
  <c r="A308" i="10"/>
  <c r="A308" i="9"/>
  <c r="AC307" i="11"/>
  <c r="AC307" i="10"/>
  <c r="AC307" i="9"/>
  <c r="U307" i="11"/>
  <c r="U307" i="10"/>
  <c r="U307" i="9"/>
  <c r="M307" i="11"/>
  <c r="M307" i="10"/>
  <c r="M307" i="9"/>
  <c r="E307" i="11"/>
  <c r="E307" i="10"/>
  <c r="E307" i="9"/>
  <c r="AG306" i="11"/>
  <c r="AG306" i="10"/>
  <c r="AG306" i="9"/>
  <c r="Y306" i="11"/>
  <c r="Y306" i="10"/>
  <c r="Y306" i="9"/>
  <c r="Q306" i="11"/>
  <c r="Q306" i="10"/>
  <c r="Q306" i="9"/>
  <c r="I306" i="11"/>
  <c r="I306" i="10"/>
  <c r="I306" i="9"/>
  <c r="A306" i="11"/>
  <c r="A306" i="10"/>
  <c r="A306" i="9"/>
  <c r="AC305" i="11"/>
  <c r="AC305" i="10"/>
  <c r="AC305" i="9"/>
  <c r="U305" i="11"/>
  <c r="U305" i="10"/>
  <c r="U305" i="9"/>
  <c r="M305" i="11"/>
  <c r="M305" i="10"/>
  <c r="M305" i="9"/>
  <c r="E305" i="11"/>
  <c r="E305" i="10"/>
  <c r="E305" i="9"/>
  <c r="AG304" i="11"/>
  <c r="AG304" i="10"/>
  <c r="Y304" i="11"/>
  <c r="Y304" i="10"/>
  <c r="Y304" i="9"/>
  <c r="Q304" i="11"/>
  <c r="Q304" i="10"/>
  <c r="Q304" i="9"/>
  <c r="I304" i="11"/>
  <c r="I304" i="10"/>
  <c r="I304" i="9"/>
  <c r="A304" i="11"/>
  <c r="A304" i="10"/>
  <c r="A304" i="9"/>
  <c r="AC303" i="11"/>
  <c r="AC303" i="10"/>
  <c r="AC303" i="9"/>
  <c r="U303" i="11"/>
  <c r="U303" i="10"/>
  <c r="U303" i="9"/>
  <c r="M303" i="11"/>
  <c r="M303" i="10"/>
  <c r="M303" i="9"/>
  <c r="E303" i="11"/>
  <c r="E303" i="10"/>
  <c r="E303" i="9"/>
  <c r="Y302" i="11"/>
  <c r="Y302" i="10"/>
  <c r="Y302" i="9"/>
  <c r="Q302" i="11"/>
  <c r="Q302" i="10"/>
  <c r="Q302" i="9"/>
  <c r="I302" i="11"/>
  <c r="I302" i="10"/>
  <c r="I302" i="9"/>
  <c r="A302" i="11"/>
  <c r="A302" i="10"/>
  <c r="A302" i="9"/>
  <c r="AC301" i="11"/>
  <c r="AC301" i="10"/>
  <c r="AC301" i="9"/>
  <c r="U301" i="11"/>
  <c r="U301" i="10"/>
  <c r="U301" i="9"/>
  <c r="M301" i="11"/>
  <c r="M301" i="10"/>
  <c r="M301" i="9"/>
  <c r="E301" i="11"/>
  <c r="E301" i="10"/>
  <c r="E301" i="9"/>
  <c r="AG300" i="11"/>
  <c r="AG300" i="10"/>
  <c r="AG300" i="9"/>
  <c r="Y300" i="11"/>
  <c r="Y300" i="10"/>
  <c r="Y300" i="9"/>
  <c r="Q300" i="11"/>
  <c r="Q300" i="10"/>
  <c r="Q300" i="9"/>
  <c r="I300" i="11"/>
  <c r="I300" i="10"/>
  <c r="I300" i="9"/>
  <c r="A300" i="11"/>
  <c r="A300" i="10"/>
  <c r="A300" i="9"/>
  <c r="AC299" i="11"/>
  <c r="AC299" i="10"/>
  <c r="AC299" i="9"/>
  <c r="U299" i="11"/>
  <c r="U299" i="10"/>
  <c r="U299" i="9"/>
  <c r="M299" i="11"/>
  <c r="M299" i="10"/>
  <c r="M299" i="9"/>
  <c r="E299" i="11"/>
  <c r="E299" i="10"/>
  <c r="E299" i="9"/>
  <c r="AG298" i="11"/>
  <c r="AG298" i="10"/>
  <c r="AG298" i="9"/>
  <c r="Y298" i="11"/>
  <c r="Y298" i="10"/>
  <c r="Y298" i="9"/>
  <c r="Q298" i="11"/>
  <c r="Q298" i="10"/>
  <c r="Q298" i="9"/>
  <c r="I298" i="11"/>
  <c r="I298" i="10"/>
  <c r="I298" i="9"/>
  <c r="A298" i="11"/>
  <c r="A298" i="10"/>
  <c r="A298" i="9"/>
  <c r="AC297" i="11"/>
  <c r="AC297" i="10"/>
  <c r="AC297" i="9"/>
  <c r="U297" i="11"/>
  <c r="U297" i="10"/>
  <c r="U297" i="9"/>
  <c r="M297" i="11"/>
  <c r="M297" i="10"/>
  <c r="M297" i="9"/>
  <c r="E297" i="11"/>
  <c r="E297" i="10"/>
  <c r="E297" i="9"/>
  <c r="AG296" i="11"/>
  <c r="AG296" i="10"/>
  <c r="AG296" i="9"/>
  <c r="Y296" i="11"/>
  <c r="Y296" i="10"/>
  <c r="Y296" i="9"/>
  <c r="Q296" i="11"/>
  <c r="Q296" i="10"/>
  <c r="Q296" i="9"/>
  <c r="I296" i="11"/>
  <c r="I296" i="10"/>
  <c r="I296" i="9"/>
  <c r="A296" i="11"/>
  <c r="A296" i="10"/>
  <c r="A296" i="9"/>
  <c r="AC295" i="11"/>
  <c r="AC295" i="10"/>
  <c r="AC295" i="9"/>
  <c r="U295" i="11"/>
  <c r="U295" i="10"/>
  <c r="U295" i="9"/>
  <c r="M295" i="11"/>
  <c r="M295" i="10"/>
  <c r="M295" i="9"/>
  <c r="E295" i="11"/>
  <c r="E295" i="10"/>
  <c r="E295" i="9"/>
  <c r="AG294" i="11"/>
  <c r="AG294" i="10"/>
  <c r="AG294" i="9"/>
  <c r="Y294" i="11"/>
  <c r="Y294" i="10"/>
  <c r="Y294" i="9"/>
  <c r="Q294" i="11"/>
  <c r="Q294" i="10"/>
  <c r="Q294" i="9"/>
  <c r="I294" i="11"/>
  <c r="I294" i="10"/>
  <c r="I294" i="9"/>
  <c r="A294" i="11"/>
  <c r="A294" i="10"/>
  <c r="A294" i="9"/>
  <c r="AC293" i="11"/>
  <c r="AC293" i="10"/>
  <c r="AC293" i="9"/>
  <c r="U293" i="11"/>
  <c r="U293" i="10"/>
  <c r="U293" i="9"/>
  <c r="M293" i="11"/>
  <c r="M293" i="10"/>
  <c r="M293" i="9"/>
  <c r="E293" i="11"/>
  <c r="E293" i="10"/>
  <c r="E293" i="9"/>
  <c r="Y292" i="11"/>
  <c r="Y292" i="10"/>
  <c r="Y292" i="9"/>
  <c r="Q292" i="11"/>
  <c r="Q292" i="10"/>
  <c r="Q292" i="9"/>
  <c r="I292" i="11"/>
  <c r="I292" i="10"/>
  <c r="I292" i="9"/>
  <c r="A292" i="11"/>
  <c r="A292" i="10"/>
  <c r="A292" i="9"/>
  <c r="AC291" i="11"/>
  <c r="AC291" i="10"/>
  <c r="AC291" i="9"/>
  <c r="U291" i="11"/>
  <c r="U291" i="10"/>
  <c r="U291" i="9"/>
  <c r="M291" i="11"/>
  <c r="M291" i="10"/>
  <c r="M291" i="9"/>
  <c r="E291" i="11"/>
  <c r="E291" i="10"/>
  <c r="E291" i="9"/>
  <c r="AG290" i="11"/>
  <c r="AG290" i="10"/>
  <c r="AG290" i="9"/>
  <c r="Y290" i="11"/>
  <c r="Y290" i="10"/>
  <c r="Y290" i="9"/>
  <c r="Q290" i="11"/>
  <c r="Q290" i="10"/>
  <c r="Q290" i="9"/>
  <c r="I290" i="11"/>
  <c r="I290" i="10"/>
  <c r="I290" i="9"/>
  <c r="A290" i="11"/>
  <c r="A290" i="10"/>
  <c r="A290" i="9"/>
  <c r="AC289" i="11"/>
  <c r="AC289" i="10"/>
  <c r="AC289" i="9"/>
  <c r="U289" i="11"/>
  <c r="U289" i="10"/>
  <c r="U289" i="9"/>
  <c r="M289" i="11"/>
  <c r="M289" i="10"/>
  <c r="M289" i="9"/>
  <c r="E289" i="11"/>
  <c r="E289" i="10"/>
  <c r="E289" i="9"/>
  <c r="AG288" i="11"/>
  <c r="AG288" i="10"/>
  <c r="AG288" i="9"/>
  <c r="Y288" i="11"/>
  <c r="Y288" i="10"/>
  <c r="Y288" i="9"/>
  <c r="Q288" i="11"/>
  <c r="Q288" i="10"/>
  <c r="Q288" i="9"/>
  <c r="I288" i="11"/>
  <c r="I288" i="10"/>
  <c r="I288" i="9"/>
  <c r="A288" i="11"/>
  <c r="A288" i="10"/>
  <c r="A288" i="9"/>
  <c r="AC287" i="11"/>
  <c r="AC287" i="10"/>
  <c r="AC287" i="9"/>
  <c r="U287" i="11"/>
  <c r="U287" i="10"/>
  <c r="U287" i="9"/>
  <c r="M287" i="11"/>
  <c r="M287" i="10"/>
  <c r="M287" i="9"/>
  <c r="E287" i="11"/>
  <c r="E287" i="10"/>
  <c r="E287" i="9"/>
  <c r="AG286" i="11"/>
  <c r="AG286" i="10"/>
  <c r="AG286" i="9"/>
  <c r="Y286" i="11"/>
  <c r="Y286" i="10"/>
  <c r="Y286" i="9"/>
  <c r="Q286" i="11"/>
  <c r="Q286" i="10"/>
  <c r="Q286" i="9"/>
  <c r="I286" i="11"/>
  <c r="I286" i="10"/>
  <c r="I286" i="9"/>
  <c r="A286" i="11"/>
  <c r="A286" i="10"/>
  <c r="A286" i="9"/>
  <c r="AC285" i="11"/>
  <c r="AC285" i="10"/>
  <c r="AC285" i="9"/>
  <c r="U285" i="11"/>
  <c r="U285" i="10"/>
  <c r="U285" i="9"/>
  <c r="M285" i="11"/>
  <c r="M285" i="10"/>
  <c r="M285" i="9"/>
  <c r="E285" i="11"/>
  <c r="E285" i="10"/>
  <c r="E285" i="9"/>
  <c r="Y284" i="11"/>
  <c r="Y284" i="10"/>
  <c r="Y284" i="9"/>
  <c r="Q284" i="11"/>
  <c r="Q284" i="10"/>
  <c r="Q284" i="9"/>
  <c r="I284" i="11"/>
  <c r="I284" i="10"/>
  <c r="I284" i="9"/>
  <c r="A284" i="11"/>
  <c r="A284" i="10"/>
  <c r="A284" i="9"/>
  <c r="AC283" i="11"/>
  <c r="AC283" i="10"/>
  <c r="AC283" i="9"/>
  <c r="U283" i="11"/>
  <c r="U283" i="10"/>
  <c r="U283" i="9"/>
  <c r="M283" i="11"/>
  <c r="M283" i="10"/>
  <c r="M283" i="9"/>
  <c r="E283" i="11"/>
  <c r="E283" i="10"/>
  <c r="E283" i="9"/>
  <c r="AG282" i="11"/>
  <c r="AG282" i="10"/>
  <c r="AG282" i="9"/>
  <c r="Y282" i="11"/>
  <c r="Y282" i="10"/>
  <c r="Y282" i="9"/>
  <c r="Q282" i="11"/>
  <c r="Q282" i="10"/>
  <c r="Q282" i="9"/>
  <c r="I282" i="11"/>
  <c r="I282" i="10"/>
  <c r="I282" i="9"/>
  <c r="A282" i="11"/>
  <c r="A282" i="10"/>
  <c r="A282" i="9"/>
  <c r="AC281" i="11"/>
  <c r="AC281" i="10"/>
  <c r="AC281" i="9"/>
  <c r="U281" i="11"/>
  <c r="U281" i="10"/>
  <c r="U281" i="9"/>
  <c r="M281" i="11"/>
  <c r="M281" i="10"/>
  <c r="M281" i="9"/>
  <c r="E281" i="11"/>
  <c r="E281" i="10"/>
  <c r="E281" i="9"/>
  <c r="AG280" i="11"/>
  <c r="AG280" i="10"/>
  <c r="AG280" i="9"/>
  <c r="Y280" i="11"/>
  <c r="Y280" i="10"/>
  <c r="Y280" i="9"/>
  <c r="Q280" i="11"/>
  <c r="Q280" i="10"/>
  <c r="Q280" i="9"/>
  <c r="I280" i="11"/>
  <c r="I280" i="10"/>
  <c r="I280" i="9"/>
  <c r="A280" i="11"/>
  <c r="A280" i="10"/>
  <c r="A280" i="9"/>
  <c r="AC279" i="11"/>
  <c r="AC279" i="10"/>
  <c r="AC279" i="9"/>
  <c r="U279" i="11"/>
  <c r="U279" i="10"/>
  <c r="U279" i="9"/>
  <c r="M279" i="11"/>
  <c r="M279" i="10"/>
  <c r="M279" i="9"/>
  <c r="E279" i="11"/>
  <c r="E279" i="10"/>
  <c r="E279" i="9"/>
  <c r="Y278" i="11"/>
  <c r="Y278" i="10"/>
  <c r="Y278" i="9"/>
  <c r="Q278" i="11"/>
  <c r="Q278" i="10"/>
  <c r="Q278" i="9"/>
  <c r="I278" i="11"/>
  <c r="I278" i="10"/>
  <c r="I278" i="9"/>
  <c r="A278" i="10"/>
  <c r="A278" i="9"/>
  <c r="AC277" i="11"/>
  <c r="AC277" i="10"/>
  <c r="AC277" i="9"/>
  <c r="U277" i="11"/>
  <c r="U277" i="10"/>
  <c r="U277" i="9"/>
  <c r="M277" i="11"/>
  <c r="M277" i="10"/>
  <c r="M277" i="9"/>
  <c r="E277" i="11"/>
  <c r="E277" i="10"/>
  <c r="E277" i="9"/>
  <c r="AG276" i="10"/>
  <c r="AG276" i="9"/>
  <c r="Y276" i="11"/>
  <c r="Y276" i="10"/>
  <c r="Y276" i="9"/>
  <c r="Q276" i="11"/>
  <c r="Q276" i="10"/>
  <c r="Q276" i="9"/>
  <c r="I276" i="11"/>
  <c r="I276" i="10"/>
  <c r="I276" i="9"/>
  <c r="A276" i="11"/>
  <c r="A276" i="10"/>
  <c r="A276" i="9"/>
  <c r="AC275" i="11"/>
  <c r="AC275" i="10"/>
  <c r="AC275" i="9"/>
  <c r="U275" i="11"/>
  <c r="U275" i="10"/>
  <c r="U275" i="9"/>
  <c r="M275" i="11"/>
  <c r="M275" i="10"/>
  <c r="M275" i="9"/>
  <c r="E275" i="11"/>
  <c r="E275" i="10"/>
  <c r="E275" i="9"/>
  <c r="AG274" i="11"/>
  <c r="AG274" i="10"/>
  <c r="AG274" i="9"/>
  <c r="Y274" i="11"/>
  <c r="Y274" i="10"/>
  <c r="Y274" i="9"/>
  <c r="Q274" i="11"/>
  <c r="Q274" i="10"/>
  <c r="Q274" i="9"/>
  <c r="I274" i="11"/>
  <c r="I274" i="10"/>
  <c r="I274" i="9"/>
  <c r="A274" i="11"/>
  <c r="A274" i="10"/>
  <c r="A274" i="9"/>
  <c r="AC273" i="11"/>
  <c r="AC273" i="10"/>
  <c r="AC273" i="9"/>
  <c r="U273" i="11"/>
  <c r="U273" i="10"/>
  <c r="U273" i="9"/>
  <c r="M273" i="11"/>
  <c r="M273" i="10"/>
  <c r="M273" i="9"/>
  <c r="E273" i="11"/>
  <c r="E273" i="10"/>
  <c r="E273" i="9"/>
  <c r="AG272" i="11"/>
  <c r="AG272" i="10"/>
  <c r="AG272" i="9"/>
  <c r="Y272" i="11"/>
  <c r="Y272" i="10"/>
  <c r="Y272" i="9"/>
  <c r="Q272" i="11"/>
  <c r="Q272" i="10"/>
  <c r="Q272" i="9"/>
  <c r="I272" i="11"/>
  <c r="I272" i="10"/>
  <c r="I272" i="9"/>
  <c r="A272" i="11"/>
  <c r="A272" i="10"/>
  <c r="A272" i="9"/>
  <c r="AC271" i="11"/>
  <c r="AC271" i="10"/>
  <c r="AC271" i="9"/>
  <c r="U271" i="11"/>
  <c r="U271" i="10"/>
  <c r="U271" i="9"/>
  <c r="M271" i="11"/>
  <c r="M271" i="10"/>
  <c r="M271" i="9"/>
  <c r="E271" i="11"/>
  <c r="E271" i="10"/>
  <c r="E271" i="9"/>
  <c r="AG270" i="9"/>
  <c r="AG270" i="11"/>
  <c r="AG270" i="10"/>
  <c r="Y270" i="11"/>
  <c r="Y270" i="10"/>
  <c r="Y270" i="9"/>
  <c r="Q270" i="11"/>
  <c r="Q270" i="10"/>
  <c r="Q270" i="9"/>
  <c r="I270" i="11"/>
  <c r="I270" i="10"/>
  <c r="I270" i="9"/>
  <c r="A270" i="11"/>
  <c r="A270" i="10"/>
  <c r="A270" i="9"/>
  <c r="AC269" i="11"/>
  <c r="AC269" i="10"/>
  <c r="AC269" i="9"/>
  <c r="U269" i="11"/>
  <c r="U269" i="10"/>
  <c r="U269" i="9"/>
  <c r="M269" i="11"/>
  <c r="M269" i="10"/>
  <c r="M269" i="9"/>
  <c r="E269" i="11"/>
  <c r="E269" i="10"/>
  <c r="E269" i="9"/>
  <c r="Y268" i="11"/>
  <c r="Y268" i="10"/>
  <c r="Y268" i="9"/>
  <c r="Q268" i="11"/>
  <c r="Q268" i="10"/>
  <c r="Q268" i="9"/>
  <c r="I268" i="11"/>
  <c r="I268" i="10"/>
  <c r="I268" i="9"/>
  <c r="A268" i="11"/>
  <c r="A268" i="10"/>
  <c r="A268" i="9"/>
  <c r="AC267" i="11"/>
  <c r="AC267" i="10"/>
  <c r="AC267" i="9"/>
  <c r="U267" i="11"/>
  <c r="U267" i="10"/>
  <c r="U267" i="9"/>
  <c r="M267" i="11"/>
  <c r="M267" i="10"/>
  <c r="M267" i="9"/>
  <c r="E267" i="11"/>
  <c r="E267" i="10"/>
  <c r="E267" i="9"/>
  <c r="AG266" i="11"/>
  <c r="AG266" i="10"/>
  <c r="AG266" i="9"/>
  <c r="Y266" i="11"/>
  <c r="Y266" i="10"/>
  <c r="Y266" i="9"/>
  <c r="Q266" i="11"/>
  <c r="Q266" i="10"/>
  <c r="Q266" i="9"/>
  <c r="I266" i="11"/>
  <c r="I266" i="10"/>
  <c r="I266" i="9"/>
  <c r="A266" i="11"/>
  <c r="A266" i="10"/>
  <c r="A266" i="9"/>
  <c r="AC265" i="11"/>
  <c r="AC265" i="10"/>
  <c r="AC265" i="9"/>
  <c r="U265" i="11"/>
  <c r="U265" i="10"/>
  <c r="U265" i="9"/>
  <c r="M265" i="11"/>
  <c r="M265" i="10"/>
  <c r="M265" i="9"/>
  <c r="E265" i="11"/>
  <c r="E265" i="10"/>
  <c r="E265" i="9"/>
  <c r="AG264" i="11"/>
  <c r="AG264" i="10"/>
  <c r="AG264" i="9"/>
  <c r="Y264" i="11"/>
  <c r="Y264" i="10"/>
  <c r="Y264" i="9"/>
  <c r="Q264" i="11"/>
  <c r="Q264" i="10"/>
  <c r="Q264" i="9"/>
  <c r="I264" i="11"/>
  <c r="I264" i="10"/>
  <c r="I264" i="9"/>
  <c r="A264" i="11"/>
  <c r="A264" i="10"/>
  <c r="A264" i="9"/>
  <c r="AC263" i="11"/>
  <c r="AC263" i="10"/>
  <c r="AC263" i="9"/>
  <c r="U263" i="11"/>
  <c r="U263" i="10"/>
  <c r="U263" i="9"/>
  <c r="M263" i="11"/>
  <c r="M263" i="10"/>
  <c r="M263" i="9"/>
  <c r="E263" i="11"/>
  <c r="E263" i="10"/>
  <c r="E263" i="9"/>
  <c r="AG262" i="11"/>
  <c r="AG262" i="10"/>
  <c r="AG262" i="9"/>
  <c r="Y262" i="11"/>
  <c r="Y262" i="10"/>
  <c r="Y262" i="9"/>
  <c r="Q262" i="11"/>
  <c r="Q262" i="10"/>
  <c r="Q262" i="9"/>
  <c r="I262" i="11"/>
  <c r="I262" i="10"/>
  <c r="I262" i="9"/>
  <c r="A262" i="11"/>
  <c r="A262" i="10"/>
  <c r="A262" i="9"/>
  <c r="AC261" i="11"/>
  <c r="AC261" i="10"/>
  <c r="AC261" i="9"/>
  <c r="U261" i="11"/>
  <c r="U261" i="10"/>
  <c r="U261" i="9"/>
  <c r="M261" i="11"/>
  <c r="M261" i="10"/>
  <c r="M261" i="9"/>
  <c r="E261" i="11"/>
  <c r="E261" i="10"/>
  <c r="E261" i="9"/>
  <c r="AG260" i="11"/>
  <c r="AG260" i="10"/>
  <c r="AG260" i="9"/>
  <c r="Y260" i="11"/>
  <c r="Y260" i="10"/>
  <c r="Y260" i="9"/>
  <c r="Q260" i="11"/>
  <c r="Q260" i="10"/>
  <c r="Q260" i="9"/>
  <c r="I260" i="11"/>
  <c r="I260" i="10"/>
  <c r="I260" i="9"/>
  <c r="A260" i="11"/>
  <c r="A260" i="10"/>
  <c r="A260" i="9"/>
  <c r="AC259" i="11"/>
  <c r="AC259" i="10"/>
  <c r="AC259" i="9"/>
  <c r="U259" i="11"/>
  <c r="U259" i="10"/>
  <c r="U259" i="9"/>
  <c r="M259" i="11"/>
  <c r="M259" i="10"/>
  <c r="M259" i="9"/>
  <c r="E259" i="11"/>
  <c r="E259" i="10"/>
  <c r="E259" i="9"/>
  <c r="AG258" i="11"/>
  <c r="AG258" i="10"/>
  <c r="AG258" i="9"/>
  <c r="Y258" i="11"/>
  <c r="Y258" i="10"/>
  <c r="Y258" i="9"/>
  <c r="Q258" i="11"/>
  <c r="Q258" i="10"/>
  <c r="Q258" i="9"/>
  <c r="I258" i="11"/>
  <c r="I258" i="10"/>
  <c r="I258" i="9"/>
  <c r="A258" i="11"/>
  <c r="A258" i="10"/>
  <c r="A258" i="9"/>
  <c r="AC257" i="11"/>
  <c r="AC257" i="10"/>
  <c r="AC257" i="9"/>
  <c r="U257" i="11"/>
  <c r="U257" i="10"/>
  <c r="U257" i="9"/>
  <c r="M257" i="11"/>
  <c r="M257" i="10"/>
  <c r="M257" i="9"/>
  <c r="E257" i="11"/>
  <c r="E257" i="10"/>
  <c r="E257" i="9"/>
  <c r="AG256" i="11"/>
  <c r="AG256" i="10"/>
  <c r="AG256" i="9"/>
  <c r="Y256" i="11"/>
  <c r="Y256" i="10"/>
  <c r="Y256" i="9"/>
  <c r="Q256" i="11"/>
  <c r="Q256" i="10"/>
  <c r="Q256" i="9"/>
  <c r="I256" i="11"/>
  <c r="I256" i="10"/>
  <c r="I256" i="9"/>
  <c r="A256" i="11"/>
  <c r="A256" i="10"/>
  <c r="A256" i="9"/>
  <c r="AC255" i="11"/>
  <c r="AC255" i="10"/>
  <c r="AC255" i="9"/>
  <c r="U255" i="11"/>
  <c r="U255" i="10"/>
  <c r="U255" i="9"/>
  <c r="M255" i="11"/>
  <c r="M255" i="10"/>
  <c r="M255" i="9"/>
  <c r="E255" i="11"/>
  <c r="E255" i="10"/>
  <c r="E255" i="9"/>
  <c r="AG254" i="11"/>
  <c r="AG254" i="10"/>
  <c r="AG254" i="9"/>
  <c r="Y254" i="11"/>
  <c r="Y254" i="10"/>
  <c r="Y254" i="9"/>
  <c r="Q254" i="11"/>
  <c r="Q254" i="10"/>
  <c r="Q254" i="9"/>
  <c r="I254" i="11"/>
  <c r="I254" i="10"/>
  <c r="I254" i="9"/>
  <c r="A254" i="11"/>
  <c r="A254" i="10"/>
  <c r="A254" i="9"/>
  <c r="AC253" i="11"/>
  <c r="AC253" i="10"/>
  <c r="AC253" i="9"/>
  <c r="U253" i="11"/>
  <c r="U253" i="10"/>
  <c r="U253" i="9"/>
  <c r="M253" i="11"/>
  <c r="M253" i="10"/>
  <c r="M253" i="9"/>
  <c r="E253" i="11"/>
  <c r="E253" i="10"/>
  <c r="E253" i="9"/>
  <c r="AG252" i="11"/>
  <c r="AG252" i="10"/>
  <c r="AG252" i="9"/>
  <c r="Y252" i="11"/>
  <c r="Y252" i="10"/>
  <c r="Y252" i="9"/>
  <c r="Q252" i="11"/>
  <c r="Q252" i="10"/>
  <c r="Q252" i="9"/>
  <c r="I252" i="11"/>
  <c r="I252" i="10"/>
  <c r="I252" i="9"/>
  <c r="A252" i="11"/>
  <c r="A252" i="10"/>
  <c r="A252" i="9"/>
  <c r="AC251" i="11"/>
  <c r="AC251" i="10"/>
  <c r="AC251" i="9"/>
  <c r="U251" i="11"/>
  <c r="U251" i="10"/>
  <c r="U251" i="9"/>
  <c r="M251" i="11"/>
  <c r="M251" i="10"/>
  <c r="M251" i="9"/>
  <c r="E251" i="11"/>
  <c r="E251" i="10"/>
  <c r="E251" i="9"/>
  <c r="Y250" i="11"/>
  <c r="Y250" i="10"/>
  <c r="Y250" i="9"/>
  <c r="Q250" i="11"/>
  <c r="Q250" i="10"/>
  <c r="Q250" i="9"/>
  <c r="I250" i="11"/>
  <c r="I250" i="10"/>
  <c r="I250" i="9"/>
  <c r="A250" i="11"/>
  <c r="A250" i="10"/>
  <c r="A250" i="9"/>
  <c r="AC249" i="11"/>
  <c r="AC249" i="10"/>
  <c r="AC249" i="9"/>
  <c r="U249" i="11"/>
  <c r="U249" i="10"/>
  <c r="U249" i="9"/>
  <c r="M249" i="11"/>
  <c r="M249" i="10"/>
  <c r="M249" i="9"/>
  <c r="E249" i="11"/>
  <c r="E249" i="10"/>
  <c r="E249" i="9"/>
  <c r="Y248" i="11"/>
  <c r="Y248" i="10"/>
  <c r="Y248" i="9"/>
  <c r="Q248" i="11"/>
  <c r="Q248" i="10"/>
  <c r="Q248" i="9"/>
  <c r="I248" i="11"/>
  <c r="I248" i="10"/>
  <c r="I248" i="9"/>
  <c r="A248" i="11"/>
  <c r="A248" i="10"/>
  <c r="A248" i="9"/>
  <c r="AC247" i="11"/>
  <c r="AC247" i="10"/>
  <c r="AC247" i="9"/>
  <c r="U247" i="11"/>
  <c r="U247" i="10"/>
  <c r="U247" i="9"/>
  <c r="M247" i="11"/>
  <c r="M247" i="10"/>
  <c r="M247" i="9"/>
  <c r="E247" i="11"/>
  <c r="E247" i="10"/>
  <c r="E247" i="9"/>
  <c r="AG246" i="11"/>
  <c r="AG246" i="10"/>
  <c r="AG246" i="9"/>
  <c r="Y246" i="11"/>
  <c r="Y246" i="10"/>
  <c r="Y246" i="9"/>
  <c r="Q246" i="11"/>
  <c r="Q246" i="10"/>
  <c r="Q246" i="9"/>
  <c r="I246" i="11"/>
  <c r="I246" i="10"/>
  <c r="I246" i="9"/>
  <c r="A246" i="11"/>
  <c r="A246" i="10"/>
  <c r="A246" i="9"/>
  <c r="AC245" i="11"/>
  <c r="AC245" i="10"/>
  <c r="AC245" i="9"/>
  <c r="U245" i="11"/>
  <c r="U245" i="10"/>
  <c r="U245" i="9"/>
  <c r="M245" i="11"/>
  <c r="M245" i="10"/>
  <c r="M245" i="9"/>
  <c r="E245" i="11"/>
  <c r="E245" i="10"/>
  <c r="E245" i="9"/>
  <c r="AG244" i="11"/>
  <c r="AG244" i="10"/>
  <c r="AG244" i="9"/>
  <c r="Y244" i="11"/>
  <c r="Y244" i="10"/>
  <c r="Y244" i="9"/>
  <c r="Q244" i="11"/>
  <c r="Q244" i="10"/>
  <c r="Q244" i="9"/>
  <c r="I244" i="11"/>
  <c r="I244" i="10"/>
  <c r="I244" i="9"/>
  <c r="A244" i="11"/>
  <c r="A244" i="10"/>
  <c r="A244" i="9"/>
  <c r="AC243" i="11"/>
  <c r="AC243" i="10"/>
  <c r="AC243" i="9"/>
  <c r="U243" i="11"/>
  <c r="U243" i="10"/>
  <c r="U243" i="9"/>
  <c r="M243" i="11"/>
  <c r="M243" i="10"/>
  <c r="M243" i="9"/>
  <c r="E243" i="11"/>
  <c r="E243" i="10"/>
  <c r="E243" i="9"/>
  <c r="AG242" i="11"/>
  <c r="AG242" i="10"/>
  <c r="AG242" i="9"/>
  <c r="Y242" i="11"/>
  <c r="Y242" i="10"/>
  <c r="Y242" i="9"/>
  <c r="Q242" i="11"/>
  <c r="Q242" i="10"/>
  <c r="Q242" i="9"/>
  <c r="I242" i="11"/>
  <c r="I242" i="10"/>
  <c r="I242" i="9"/>
  <c r="A242" i="11"/>
  <c r="A242" i="10"/>
  <c r="A242" i="9"/>
  <c r="AC241" i="11"/>
  <c r="AC241" i="10"/>
  <c r="AC241" i="9"/>
  <c r="U241" i="11"/>
  <c r="U241" i="10"/>
  <c r="U241" i="9"/>
  <c r="M241" i="11"/>
  <c r="M241" i="10"/>
  <c r="M241" i="9"/>
  <c r="E241" i="11"/>
  <c r="E241" i="10"/>
  <c r="E241" i="9"/>
  <c r="AG240" i="11"/>
  <c r="AG240" i="10"/>
  <c r="AG240" i="9"/>
  <c r="Y240" i="11"/>
  <c r="Y240" i="10"/>
  <c r="Y240" i="9"/>
  <c r="Q240" i="11"/>
  <c r="Q240" i="10"/>
  <c r="Q240" i="9"/>
  <c r="I240" i="11"/>
  <c r="I240" i="10"/>
  <c r="I240" i="9"/>
  <c r="A240" i="11"/>
  <c r="A240" i="10"/>
  <c r="A240" i="9"/>
  <c r="AC239" i="11"/>
  <c r="AC239" i="10"/>
  <c r="AC239" i="9"/>
  <c r="U239" i="11"/>
  <c r="U239" i="10"/>
  <c r="U239" i="9"/>
  <c r="M239" i="11"/>
  <c r="M239" i="10"/>
  <c r="M239" i="9"/>
  <c r="E239" i="11"/>
  <c r="E239" i="10"/>
  <c r="E239" i="9"/>
  <c r="AG238" i="11"/>
  <c r="AG238" i="10"/>
  <c r="AG238" i="9"/>
  <c r="Y238" i="11"/>
  <c r="Y238" i="10"/>
  <c r="Y238" i="9"/>
  <c r="Q238" i="11"/>
  <c r="Q238" i="10"/>
  <c r="Q238" i="9"/>
  <c r="I238" i="11"/>
  <c r="I238" i="10"/>
  <c r="I238" i="9"/>
  <c r="A238" i="11"/>
  <c r="A238" i="10"/>
  <c r="A238" i="9"/>
  <c r="AC237" i="11"/>
  <c r="AC237" i="10"/>
  <c r="AC237" i="9"/>
  <c r="U237" i="11"/>
  <c r="U237" i="10"/>
  <c r="U237" i="9"/>
  <c r="M237" i="11"/>
  <c r="M237" i="10"/>
  <c r="M237" i="9"/>
  <c r="E237" i="11"/>
  <c r="E237" i="10"/>
  <c r="E237" i="9"/>
  <c r="Y236" i="11"/>
  <c r="Y236" i="10"/>
  <c r="Y236" i="9"/>
  <c r="Q236" i="11"/>
  <c r="Q236" i="10"/>
  <c r="Q236" i="9"/>
  <c r="I236" i="11"/>
  <c r="I236" i="10"/>
  <c r="I236" i="9"/>
  <c r="A236" i="11"/>
  <c r="A236" i="10"/>
  <c r="A236" i="9"/>
  <c r="AC235" i="11"/>
  <c r="AC235" i="10"/>
  <c r="AC235" i="9"/>
  <c r="U235" i="11"/>
  <c r="U235" i="10"/>
  <c r="U235" i="9"/>
  <c r="M235" i="11"/>
  <c r="M235" i="10"/>
  <c r="M235" i="9"/>
  <c r="E235" i="11"/>
  <c r="E235" i="10"/>
  <c r="E235" i="9"/>
  <c r="AG234" i="11"/>
  <c r="AG234" i="10"/>
  <c r="AG234" i="9"/>
  <c r="Y234" i="11"/>
  <c r="Y234" i="10"/>
  <c r="Y234" i="9"/>
  <c r="Q234" i="11"/>
  <c r="Q234" i="10"/>
  <c r="Q234" i="9"/>
  <c r="I234" i="11"/>
  <c r="I234" i="10"/>
  <c r="I234" i="9"/>
  <c r="A234" i="11"/>
  <c r="A234" i="10"/>
  <c r="A234" i="9"/>
  <c r="AC233" i="11"/>
  <c r="AC233" i="10"/>
  <c r="AC233" i="9"/>
  <c r="U233" i="11"/>
  <c r="U233" i="10"/>
  <c r="U233" i="9"/>
  <c r="M233" i="11"/>
  <c r="M233" i="10"/>
  <c r="M233" i="9"/>
  <c r="E233" i="11"/>
  <c r="E233" i="10"/>
  <c r="E233" i="9"/>
  <c r="AG232" i="11"/>
  <c r="AG232" i="10"/>
  <c r="AG232" i="9"/>
  <c r="Y232" i="11"/>
  <c r="Y232" i="10"/>
  <c r="Y232" i="9"/>
  <c r="Q232" i="11"/>
  <c r="Q232" i="10"/>
  <c r="Q232" i="9"/>
  <c r="I232" i="11"/>
  <c r="I232" i="10"/>
  <c r="I232" i="9"/>
  <c r="A232" i="11"/>
  <c r="A232" i="10"/>
  <c r="A232" i="9"/>
  <c r="AC231" i="11"/>
  <c r="AC231" i="10"/>
  <c r="AC231" i="9"/>
  <c r="U231" i="11"/>
  <c r="U231" i="10"/>
  <c r="U231" i="9"/>
  <c r="M231" i="11"/>
  <c r="M231" i="10"/>
  <c r="M231" i="9"/>
  <c r="E231" i="11"/>
  <c r="E231" i="10"/>
  <c r="E231" i="9"/>
  <c r="AG230" i="11"/>
  <c r="AG230" i="10"/>
  <c r="AG230" i="9"/>
  <c r="Y230" i="11"/>
  <c r="Y230" i="10"/>
  <c r="Y230" i="9"/>
  <c r="Q230" i="11"/>
  <c r="Q230" i="10"/>
  <c r="Q230" i="9"/>
  <c r="I230" i="11"/>
  <c r="I230" i="10"/>
  <c r="I230" i="9"/>
  <c r="A230" i="11"/>
  <c r="A230" i="10"/>
  <c r="A230" i="9"/>
  <c r="AC229" i="11"/>
  <c r="AC229" i="10"/>
  <c r="AC229" i="9"/>
  <c r="U229" i="11"/>
  <c r="U229" i="10"/>
  <c r="U229" i="9"/>
  <c r="M229" i="11"/>
  <c r="M229" i="10"/>
  <c r="M229" i="9"/>
  <c r="E229" i="11"/>
  <c r="E229" i="10"/>
  <c r="E229" i="9"/>
  <c r="Y228" i="11"/>
  <c r="Y228" i="10"/>
  <c r="Y228" i="9"/>
  <c r="Q228" i="11"/>
  <c r="Q228" i="10"/>
  <c r="Q228" i="9"/>
  <c r="I228" i="11"/>
  <c r="I228" i="10"/>
  <c r="I228" i="9"/>
  <c r="A228" i="11"/>
  <c r="A228" i="10"/>
  <c r="A228" i="9"/>
  <c r="AC227" i="11"/>
  <c r="AC227" i="10"/>
  <c r="AC227" i="9"/>
  <c r="U227" i="11"/>
  <c r="U227" i="10"/>
  <c r="U227" i="9"/>
  <c r="M227" i="11"/>
  <c r="M227" i="10"/>
  <c r="M227" i="9"/>
  <c r="E227" i="11"/>
  <c r="E227" i="10"/>
  <c r="E227" i="9"/>
  <c r="Y226" i="11"/>
  <c r="Y226" i="10"/>
  <c r="Y226" i="9"/>
  <c r="Q226" i="11"/>
  <c r="Q226" i="10"/>
  <c r="Q226" i="9"/>
  <c r="I226" i="11"/>
  <c r="I226" i="10"/>
  <c r="I226" i="9"/>
  <c r="A226" i="11"/>
  <c r="A226" i="10"/>
  <c r="A226" i="9"/>
  <c r="AC225" i="11"/>
  <c r="AC225" i="10"/>
  <c r="AC225" i="9"/>
  <c r="U225" i="11"/>
  <c r="U225" i="10"/>
  <c r="U225" i="9"/>
  <c r="M225" i="11"/>
  <c r="M225" i="10"/>
  <c r="M225" i="9"/>
  <c r="E225" i="11"/>
  <c r="E225" i="10"/>
  <c r="E225" i="9"/>
  <c r="AG224" i="11"/>
  <c r="AG224" i="10"/>
  <c r="AG224" i="9"/>
  <c r="Y224" i="11"/>
  <c r="Y224" i="10"/>
  <c r="Y224" i="9"/>
  <c r="Q224" i="11"/>
  <c r="Q224" i="10"/>
  <c r="Q224" i="9"/>
  <c r="I224" i="11"/>
  <c r="I224" i="10"/>
  <c r="I224" i="9"/>
  <c r="A224" i="11"/>
  <c r="A224" i="10"/>
  <c r="A224" i="9"/>
  <c r="AC223" i="11"/>
  <c r="AC223" i="10"/>
  <c r="AC223" i="9"/>
  <c r="U223" i="11"/>
  <c r="U223" i="10"/>
  <c r="U223" i="9"/>
  <c r="M223" i="11"/>
  <c r="M223" i="10"/>
  <c r="M223" i="9"/>
  <c r="E223" i="11"/>
  <c r="E223" i="10"/>
  <c r="E223" i="9"/>
  <c r="Y222" i="11"/>
  <c r="Y222" i="10"/>
  <c r="Y222" i="9"/>
  <c r="Q222" i="11"/>
  <c r="Q222" i="10"/>
  <c r="Q222" i="9"/>
  <c r="I222" i="11"/>
  <c r="I222" i="10"/>
  <c r="I222" i="9"/>
  <c r="A222" i="11"/>
  <c r="A222" i="10"/>
  <c r="A222" i="9"/>
  <c r="AC221" i="11"/>
  <c r="AC221" i="10"/>
  <c r="AC221" i="9"/>
  <c r="U221" i="11"/>
  <c r="U221" i="10"/>
  <c r="U221" i="9"/>
  <c r="M221" i="11"/>
  <c r="M221" i="10"/>
  <c r="M221" i="9"/>
  <c r="E221" i="11"/>
  <c r="E221" i="10"/>
  <c r="E221" i="9"/>
  <c r="AG220" i="11"/>
  <c r="AG220" i="10"/>
  <c r="AG220" i="9"/>
  <c r="Y220" i="11"/>
  <c r="Y220" i="10"/>
  <c r="Y220" i="9"/>
  <c r="Q220" i="11"/>
  <c r="Q220" i="10"/>
  <c r="Q220" i="9"/>
  <c r="I220" i="11"/>
  <c r="I220" i="10"/>
  <c r="I220" i="9"/>
  <c r="A220" i="11"/>
  <c r="A220" i="10"/>
  <c r="A220" i="9"/>
  <c r="AC219" i="11"/>
  <c r="AC219" i="10"/>
  <c r="AC219" i="9"/>
  <c r="U219" i="11"/>
  <c r="U219" i="10"/>
  <c r="U219" i="9"/>
  <c r="M219" i="11"/>
  <c r="M219" i="10"/>
  <c r="M219" i="9"/>
  <c r="E219" i="11"/>
  <c r="E219" i="10"/>
  <c r="E219" i="9"/>
  <c r="AG218" i="11"/>
  <c r="AG218" i="10"/>
  <c r="AG218" i="9"/>
  <c r="Y218" i="11"/>
  <c r="Y218" i="10"/>
  <c r="Y218" i="9"/>
  <c r="Q218" i="11"/>
  <c r="Q218" i="10"/>
  <c r="Q218" i="9"/>
  <c r="I218" i="11"/>
  <c r="I218" i="10"/>
  <c r="I218" i="9"/>
  <c r="A218" i="11"/>
  <c r="A218" i="10"/>
  <c r="A218" i="9"/>
  <c r="AC217" i="11"/>
  <c r="AC217" i="10"/>
  <c r="AC217" i="9"/>
  <c r="U217" i="11"/>
  <c r="U217" i="10"/>
  <c r="U217" i="9"/>
  <c r="M217" i="11"/>
  <c r="M217" i="10"/>
  <c r="M217" i="9"/>
  <c r="E217" i="11"/>
  <c r="E217" i="10"/>
  <c r="E217" i="9"/>
  <c r="AG216" i="11"/>
  <c r="AG216" i="10"/>
  <c r="AG216" i="9"/>
  <c r="Y216" i="11"/>
  <c r="Y216" i="10"/>
  <c r="Y216" i="9"/>
  <c r="Q216" i="11"/>
  <c r="Q216" i="10"/>
  <c r="Q216" i="9"/>
  <c r="I216" i="11"/>
  <c r="I216" i="10"/>
  <c r="I216" i="9"/>
  <c r="A216" i="11"/>
  <c r="A216" i="10"/>
  <c r="A216" i="9"/>
  <c r="AC215" i="11"/>
  <c r="AC215" i="10"/>
  <c r="AC215" i="9"/>
  <c r="U215" i="11"/>
  <c r="U215" i="10"/>
  <c r="U215" i="9"/>
  <c r="M215" i="11"/>
  <c r="M215" i="10"/>
  <c r="M215" i="9"/>
  <c r="E215" i="11"/>
  <c r="E215" i="10"/>
  <c r="E215" i="9"/>
  <c r="AG214" i="11"/>
  <c r="AG214" i="10"/>
  <c r="AG214" i="9"/>
  <c r="Y214" i="11"/>
  <c r="Y214" i="10"/>
  <c r="Y214" i="9"/>
  <c r="Q214" i="11"/>
  <c r="Q214" i="10"/>
  <c r="Q214" i="9"/>
  <c r="I214" i="11"/>
  <c r="I214" i="10"/>
  <c r="I214" i="9"/>
  <c r="A214" i="11"/>
  <c r="A214" i="10"/>
  <c r="A214" i="9"/>
  <c r="AC213" i="11"/>
  <c r="AC213" i="10"/>
  <c r="AC213" i="9"/>
  <c r="U213" i="11"/>
  <c r="U213" i="10"/>
  <c r="U213" i="9"/>
  <c r="M213" i="11"/>
  <c r="M213" i="10"/>
  <c r="M213" i="9"/>
  <c r="E213" i="11"/>
  <c r="E213" i="10"/>
  <c r="E213" i="9"/>
  <c r="AG212" i="11"/>
  <c r="AG212" i="10"/>
  <c r="AG212" i="9"/>
  <c r="Y212" i="11"/>
  <c r="Y212" i="10"/>
  <c r="Y212" i="9"/>
  <c r="Q212" i="11"/>
  <c r="Q212" i="10"/>
  <c r="Q212" i="9"/>
  <c r="I212" i="11"/>
  <c r="I212" i="10"/>
  <c r="I212" i="9"/>
  <c r="A212" i="11"/>
  <c r="A212" i="10"/>
  <c r="A212" i="9"/>
  <c r="AC211" i="11"/>
  <c r="AC211" i="10"/>
  <c r="AC211" i="9"/>
  <c r="U211" i="11"/>
  <c r="U211" i="10"/>
  <c r="U211" i="9"/>
  <c r="M211" i="11"/>
  <c r="M211" i="10"/>
  <c r="M211" i="9"/>
  <c r="E211" i="11"/>
  <c r="E211" i="10"/>
  <c r="E211" i="9"/>
  <c r="AG210" i="11"/>
  <c r="AG210" i="10"/>
  <c r="AG210" i="9"/>
  <c r="Y210" i="11"/>
  <c r="Y210" i="10"/>
  <c r="Y210" i="9"/>
  <c r="Q210" i="11"/>
  <c r="Q210" i="10"/>
  <c r="Q210" i="9"/>
  <c r="I210" i="11"/>
  <c r="I210" i="10"/>
  <c r="I210" i="9"/>
  <c r="A210" i="11"/>
  <c r="A210" i="10"/>
  <c r="A210" i="9"/>
  <c r="AC209" i="11"/>
  <c r="AC209" i="10"/>
  <c r="AC209" i="9"/>
  <c r="U209" i="11"/>
  <c r="U209" i="10"/>
  <c r="U209" i="9"/>
  <c r="M209" i="11"/>
  <c r="M209" i="10"/>
  <c r="M209" i="9"/>
  <c r="E209" i="11"/>
  <c r="E209" i="10"/>
  <c r="E209" i="9"/>
  <c r="AG208" i="11"/>
  <c r="AG208" i="10"/>
  <c r="AG208" i="9"/>
  <c r="Y208" i="11"/>
  <c r="Y208" i="10"/>
  <c r="Y208" i="9"/>
  <c r="Q208" i="11"/>
  <c r="Q208" i="10"/>
  <c r="Q208" i="9"/>
  <c r="I208" i="11"/>
  <c r="I208" i="10"/>
  <c r="I208" i="9"/>
  <c r="A208" i="11"/>
  <c r="A208" i="10"/>
  <c r="A208" i="9"/>
  <c r="AC207" i="11"/>
  <c r="AC207" i="10"/>
  <c r="AC207" i="9"/>
  <c r="U207" i="11"/>
  <c r="U207" i="10"/>
  <c r="U207" i="9"/>
  <c r="M207" i="11"/>
  <c r="M207" i="10"/>
  <c r="M207" i="9"/>
  <c r="E207" i="11"/>
  <c r="E207" i="10"/>
  <c r="E207" i="9"/>
  <c r="AG206" i="11"/>
  <c r="AG206" i="10"/>
  <c r="AG206" i="9"/>
  <c r="Y206" i="11"/>
  <c r="Y206" i="10"/>
  <c r="Y206" i="9"/>
  <c r="Q206" i="11"/>
  <c r="Q206" i="10"/>
  <c r="Q206" i="9"/>
  <c r="I206" i="11"/>
  <c r="I206" i="10"/>
  <c r="I206" i="9"/>
  <c r="A206" i="11"/>
  <c r="A206" i="10"/>
  <c r="A206" i="9"/>
  <c r="AC205" i="11"/>
  <c r="AC205" i="10"/>
  <c r="AC205" i="9"/>
  <c r="U205" i="11"/>
  <c r="U205" i="10"/>
  <c r="U205" i="9"/>
  <c r="M205" i="11"/>
  <c r="M205" i="10"/>
  <c r="M205" i="9"/>
  <c r="E205" i="11"/>
  <c r="E205" i="10"/>
  <c r="E205" i="9"/>
  <c r="Y204" i="11"/>
  <c r="Y204" i="10"/>
  <c r="Y204" i="9"/>
  <c r="Q204" i="11"/>
  <c r="Q204" i="10"/>
  <c r="Q204" i="9"/>
  <c r="I204" i="11"/>
  <c r="I204" i="10"/>
  <c r="I204" i="9"/>
  <c r="A204" i="11"/>
  <c r="A204" i="10"/>
  <c r="A204" i="9"/>
  <c r="AC203" i="11"/>
  <c r="AC203" i="10"/>
  <c r="AC203" i="9"/>
  <c r="U203" i="11"/>
  <c r="U203" i="10"/>
  <c r="U203" i="9"/>
  <c r="M203" i="11"/>
  <c r="M203" i="10"/>
  <c r="M203" i="9"/>
  <c r="E203" i="11"/>
  <c r="E203" i="10"/>
  <c r="E203" i="9"/>
  <c r="AG202" i="11"/>
  <c r="AG202" i="10"/>
  <c r="AG202" i="9"/>
  <c r="Y202" i="11"/>
  <c r="Y202" i="10"/>
  <c r="Y202" i="9"/>
  <c r="Q202" i="11"/>
  <c r="Q202" i="10"/>
  <c r="Q202" i="9"/>
  <c r="I202" i="11"/>
  <c r="I202" i="10"/>
  <c r="I202" i="9"/>
  <c r="A202" i="11"/>
  <c r="A202" i="10"/>
  <c r="A202" i="9"/>
  <c r="AC201" i="11"/>
  <c r="AC201" i="10"/>
  <c r="AC201" i="9"/>
  <c r="U201" i="11"/>
  <c r="U201" i="10"/>
  <c r="U201" i="9"/>
  <c r="M201" i="11"/>
  <c r="M201" i="10"/>
  <c r="M201" i="9"/>
  <c r="E201" i="11"/>
  <c r="E201" i="10"/>
  <c r="E201" i="9"/>
  <c r="AG200" i="11"/>
  <c r="AG200" i="10"/>
  <c r="AG200" i="9"/>
  <c r="Y200" i="11"/>
  <c r="Y200" i="10"/>
  <c r="Y200" i="9"/>
  <c r="Q200" i="11"/>
  <c r="Q200" i="10"/>
  <c r="Q200" i="9"/>
  <c r="I200" i="11"/>
  <c r="I200" i="10"/>
  <c r="I200" i="9"/>
  <c r="A200" i="11"/>
  <c r="A200" i="10"/>
  <c r="A200" i="9"/>
  <c r="AC199" i="11"/>
  <c r="AC199" i="10"/>
  <c r="AC199" i="9"/>
  <c r="U199" i="11"/>
  <c r="U199" i="10"/>
  <c r="U199" i="9"/>
  <c r="M199" i="11"/>
  <c r="M199" i="10"/>
  <c r="M199" i="9"/>
  <c r="E199" i="11"/>
  <c r="E199" i="10"/>
  <c r="E199" i="9"/>
  <c r="AG198" i="11"/>
  <c r="AG198" i="10"/>
  <c r="AG198" i="9"/>
  <c r="Y198" i="11"/>
  <c r="Y198" i="10"/>
  <c r="Y198" i="9"/>
  <c r="Q198" i="11"/>
  <c r="Q198" i="10"/>
  <c r="Q198" i="9"/>
  <c r="I198" i="11"/>
  <c r="I198" i="10"/>
  <c r="I198" i="9"/>
  <c r="A198" i="11"/>
  <c r="A198" i="10"/>
  <c r="A198" i="9"/>
  <c r="AC197" i="11"/>
  <c r="AC197" i="10"/>
  <c r="AC197" i="9"/>
  <c r="U197" i="11"/>
  <c r="U197" i="10"/>
  <c r="U197" i="9"/>
  <c r="M197" i="11"/>
  <c r="M197" i="10"/>
  <c r="M197" i="9"/>
  <c r="E197" i="11"/>
  <c r="E197" i="10"/>
  <c r="E197" i="9"/>
  <c r="AG196" i="11"/>
  <c r="AG196" i="10"/>
  <c r="AG196" i="9"/>
  <c r="Y196" i="11"/>
  <c r="Y196" i="10"/>
  <c r="Y196" i="9"/>
  <c r="Q196" i="11"/>
  <c r="Q196" i="10"/>
  <c r="Q196" i="9"/>
  <c r="I196" i="11"/>
  <c r="I196" i="10"/>
  <c r="I196" i="9"/>
  <c r="A196" i="11"/>
  <c r="A196" i="10"/>
  <c r="A196" i="9"/>
  <c r="AC195" i="11"/>
  <c r="AC195" i="10"/>
  <c r="AC195" i="9"/>
  <c r="U195" i="11"/>
  <c r="U195" i="10"/>
  <c r="U195" i="9"/>
  <c r="M195" i="11"/>
  <c r="M195" i="10"/>
  <c r="M195" i="9"/>
  <c r="E195" i="11"/>
  <c r="E195" i="10"/>
  <c r="E195" i="9"/>
  <c r="AG194" i="11"/>
  <c r="AG194" i="10"/>
  <c r="AG194" i="9"/>
  <c r="Y194" i="11"/>
  <c r="Y194" i="10"/>
  <c r="Y194" i="9"/>
  <c r="Q194" i="11"/>
  <c r="Q194" i="10"/>
  <c r="Q194" i="9"/>
  <c r="I194" i="11"/>
  <c r="I194" i="10"/>
  <c r="I194" i="9"/>
  <c r="A194" i="11"/>
  <c r="A194" i="10"/>
  <c r="A194" i="9"/>
  <c r="AC193" i="11"/>
  <c r="AC193" i="10"/>
  <c r="AC193" i="9"/>
  <c r="U193" i="11"/>
  <c r="U193" i="10"/>
  <c r="U193" i="9"/>
  <c r="M193" i="11"/>
  <c r="M193" i="10"/>
  <c r="M193" i="9"/>
  <c r="E193" i="11"/>
  <c r="E193" i="10"/>
  <c r="E193" i="9"/>
  <c r="Y192" i="11"/>
  <c r="Y192" i="10"/>
  <c r="Y192" i="9"/>
  <c r="Q192" i="11"/>
  <c r="Q192" i="10"/>
  <c r="Q192" i="9"/>
  <c r="I192" i="11"/>
  <c r="I192" i="10"/>
  <c r="I192" i="9"/>
  <c r="A192" i="11"/>
  <c r="A192" i="10"/>
  <c r="A192" i="9"/>
  <c r="AC191" i="11"/>
  <c r="AC191" i="10"/>
  <c r="AC191" i="9"/>
  <c r="U191" i="11"/>
  <c r="U191" i="10"/>
  <c r="U191" i="9"/>
  <c r="M191" i="11"/>
  <c r="M191" i="10"/>
  <c r="M191" i="9"/>
  <c r="E191" i="11"/>
  <c r="E191" i="10"/>
  <c r="E191" i="9"/>
  <c r="Y190" i="11"/>
  <c r="Y190" i="10"/>
  <c r="Y190" i="9"/>
  <c r="Q190" i="11"/>
  <c r="Q190" i="10"/>
  <c r="Q190" i="9"/>
  <c r="I190" i="11"/>
  <c r="I190" i="10"/>
  <c r="I190" i="9"/>
  <c r="A190" i="11"/>
  <c r="A190" i="10"/>
  <c r="A190" i="9"/>
  <c r="AC189" i="11"/>
  <c r="AC189" i="10"/>
  <c r="AC189" i="9"/>
  <c r="U189" i="11"/>
  <c r="U189" i="10"/>
  <c r="U189" i="9"/>
  <c r="M189" i="11"/>
  <c r="M189" i="10"/>
  <c r="M189" i="9"/>
  <c r="E189" i="11"/>
  <c r="E189" i="10"/>
  <c r="E189" i="9"/>
  <c r="AG188" i="11"/>
  <c r="AG188" i="10"/>
  <c r="AG188" i="9"/>
  <c r="Y188" i="11"/>
  <c r="Y188" i="10"/>
  <c r="Y188" i="9"/>
  <c r="Q188" i="11"/>
  <c r="Q188" i="10"/>
  <c r="Q188" i="9"/>
  <c r="I188" i="11"/>
  <c r="I188" i="10"/>
  <c r="I188" i="9"/>
  <c r="A188" i="11"/>
  <c r="A188" i="10"/>
  <c r="A188" i="9"/>
  <c r="AC187" i="11"/>
  <c r="AC187" i="10"/>
  <c r="AC187" i="9"/>
  <c r="U187" i="11"/>
  <c r="U187" i="10"/>
  <c r="U187" i="9"/>
  <c r="M187" i="11"/>
  <c r="M187" i="10"/>
  <c r="M187" i="9"/>
  <c r="E187" i="11"/>
  <c r="E187" i="10"/>
  <c r="E187" i="9"/>
  <c r="Y186" i="11"/>
  <c r="Y186" i="10"/>
  <c r="Y186" i="9"/>
  <c r="Q186" i="11"/>
  <c r="Q186" i="10"/>
  <c r="Q186" i="9"/>
  <c r="I186" i="11"/>
  <c r="I186" i="10"/>
  <c r="I186" i="9"/>
  <c r="A186" i="11"/>
  <c r="A186" i="10"/>
  <c r="A186" i="9"/>
  <c r="AC185" i="11"/>
  <c r="AC185" i="10"/>
  <c r="AC185" i="9"/>
  <c r="U185" i="11"/>
  <c r="U185" i="10"/>
  <c r="U185" i="9"/>
  <c r="M185" i="11"/>
  <c r="M185" i="10"/>
  <c r="M185" i="9"/>
  <c r="E185" i="11"/>
  <c r="E185" i="10"/>
  <c r="E185" i="9"/>
  <c r="AG184" i="11"/>
  <c r="AG184" i="10"/>
  <c r="AG184" i="9"/>
  <c r="Y184" i="11"/>
  <c r="Y184" i="10"/>
  <c r="Y184" i="9"/>
  <c r="Q184" i="11"/>
  <c r="Q184" i="10"/>
  <c r="Q184" i="9"/>
  <c r="I184" i="11"/>
  <c r="I184" i="10"/>
  <c r="I184" i="9"/>
  <c r="A184" i="11"/>
  <c r="A184" i="10"/>
  <c r="A184" i="9"/>
  <c r="AC183" i="11"/>
  <c r="AC183" i="10"/>
  <c r="AC183" i="9"/>
  <c r="U183" i="11"/>
  <c r="U183" i="10"/>
  <c r="U183" i="9"/>
  <c r="M183" i="11"/>
  <c r="M183" i="10"/>
  <c r="M183" i="9"/>
  <c r="E183" i="11"/>
  <c r="E183" i="10"/>
  <c r="E183" i="9"/>
  <c r="AG182" i="11"/>
  <c r="AG182" i="10"/>
  <c r="AG182" i="9"/>
  <c r="Y182" i="11"/>
  <c r="Y182" i="10"/>
  <c r="Y182" i="9"/>
  <c r="Q182" i="11"/>
  <c r="Q182" i="10"/>
  <c r="Q182" i="9"/>
  <c r="I182" i="11"/>
  <c r="I182" i="10"/>
  <c r="I182" i="9"/>
  <c r="A182" i="11"/>
  <c r="A182" i="10"/>
  <c r="A182" i="9"/>
  <c r="AC181" i="11"/>
  <c r="AC181" i="10"/>
  <c r="AC181" i="9"/>
  <c r="U181" i="11"/>
  <c r="U181" i="10"/>
  <c r="U181" i="9"/>
  <c r="M181" i="11"/>
  <c r="M181" i="10"/>
  <c r="M181" i="9"/>
  <c r="E181" i="11"/>
  <c r="E181" i="10"/>
  <c r="E181" i="9"/>
  <c r="AG180" i="11"/>
  <c r="AG180" i="10"/>
  <c r="AG180" i="9"/>
  <c r="Y180" i="11"/>
  <c r="Y180" i="10"/>
  <c r="Y180" i="9"/>
  <c r="Q180" i="11"/>
  <c r="Q180" i="10"/>
  <c r="Q180" i="9"/>
  <c r="I180" i="11"/>
  <c r="I180" i="10"/>
  <c r="I180" i="9"/>
  <c r="A180" i="11"/>
  <c r="A180" i="10"/>
  <c r="A180" i="9"/>
  <c r="AC179" i="11"/>
  <c r="AC179" i="10"/>
  <c r="AC179" i="9"/>
  <c r="U179" i="11"/>
  <c r="U179" i="10"/>
  <c r="U179" i="9"/>
  <c r="M179" i="11"/>
  <c r="M179" i="10"/>
  <c r="M179" i="9"/>
  <c r="E179" i="11"/>
  <c r="E179" i="10"/>
  <c r="E179" i="9"/>
  <c r="AG178" i="11"/>
  <c r="AG178" i="10"/>
  <c r="AG178" i="9"/>
  <c r="Y178" i="11"/>
  <c r="Y178" i="10"/>
  <c r="Y178" i="9"/>
  <c r="Q178" i="11"/>
  <c r="Q178" i="10"/>
  <c r="Q178" i="9"/>
  <c r="I178" i="11"/>
  <c r="I178" i="10"/>
  <c r="I178" i="9"/>
  <c r="A178" i="11"/>
  <c r="A178" i="10"/>
  <c r="A178" i="9"/>
  <c r="AC177" i="11"/>
  <c r="AC177" i="10"/>
  <c r="AC177" i="9"/>
  <c r="U177" i="11"/>
  <c r="U177" i="10"/>
  <c r="U177" i="9"/>
  <c r="M177" i="11"/>
  <c r="M177" i="10"/>
  <c r="M177" i="9"/>
  <c r="E177" i="11"/>
  <c r="E177" i="10"/>
  <c r="E177" i="9"/>
  <c r="AG176" i="11"/>
  <c r="AG176" i="10"/>
  <c r="AG176" i="9"/>
  <c r="Y176" i="11"/>
  <c r="Y176" i="10"/>
  <c r="Y176" i="9"/>
  <c r="Q176" i="11"/>
  <c r="Q176" i="10"/>
  <c r="Q176" i="9"/>
  <c r="I176" i="11"/>
  <c r="I176" i="10"/>
  <c r="I176" i="9"/>
  <c r="A176" i="11"/>
  <c r="A176" i="10"/>
  <c r="A176" i="9"/>
  <c r="AC175" i="11"/>
  <c r="AC175" i="10"/>
  <c r="AC175" i="9"/>
  <c r="U175" i="11"/>
  <c r="U175" i="10"/>
  <c r="U175" i="9"/>
  <c r="M175" i="11"/>
  <c r="M175" i="10"/>
  <c r="M175" i="9"/>
  <c r="E175" i="11"/>
  <c r="E175" i="10"/>
  <c r="E175" i="9"/>
  <c r="AG174" i="11"/>
  <c r="AG174" i="10"/>
  <c r="AG174" i="9"/>
  <c r="Y174" i="11"/>
  <c r="Y174" i="10"/>
  <c r="Y174" i="9"/>
  <c r="Q174" i="11"/>
  <c r="Q174" i="10"/>
  <c r="Q174" i="9"/>
  <c r="I174" i="11"/>
  <c r="I174" i="10"/>
  <c r="I174" i="9"/>
  <c r="A174" i="11"/>
  <c r="A174" i="10"/>
  <c r="A174" i="9"/>
  <c r="AC173" i="11"/>
  <c r="AC173" i="10"/>
  <c r="AC173" i="9"/>
  <c r="U173" i="11"/>
  <c r="U173" i="10"/>
  <c r="U173" i="9"/>
  <c r="M173" i="11"/>
  <c r="M173" i="10"/>
  <c r="M173" i="9"/>
  <c r="E173" i="11"/>
  <c r="E173" i="10"/>
  <c r="E173" i="9"/>
  <c r="Y172" i="11"/>
  <c r="Y172" i="10"/>
  <c r="Y172" i="9"/>
  <c r="Q172" i="11"/>
  <c r="Q172" i="10"/>
  <c r="Q172" i="9"/>
  <c r="I172" i="11"/>
  <c r="I172" i="10"/>
  <c r="I172" i="9"/>
  <c r="A172" i="11"/>
  <c r="A172" i="10"/>
  <c r="A172" i="9"/>
  <c r="AC171" i="11"/>
  <c r="AC171" i="10"/>
  <c r="AC171" i="9"/>
  <c r="U171" i="11"/>
  <c r="U171" i="10"/>
  <c r="U171" i="9"/>
  <c r="M171" i="11"/>
  <c r="M171" i="10"/>
  <c r="M171" i="9"/>
  <c r="E171" i="11"/>
  <c r="E171" i="10"/>
  <c r="E171" i="9"/>
  <c r="AG170" i="11"/>
  <c r="AG170" i="10"/>
  <c r="AG170" i="9"/>
  <c r="Y170" i="11"/>
  <c r="Y170" i="10"/>
  <c r="Y170" i="9"/>
  <c r="Q170" i="11"/>
  <c r="Q170" i="10"/>
  <c r="Q170" i="9"/>
  <c r="I170" i="11"/>
  <c r="I170" i="10"/>
  <c r="I170" i="9"/>
  <c r="A170" i="11"/>
  <c r="A170" i="10"/>
  <c r="A170" i="9"/>
  <c r="AC169" i="11"/>
  <c r="AC169" i="10"/>
  <c r="AC169" i="9"/>
  <c r="U169" i="11"/>
  <c r="U169" i="10"/>
  <c r="U169" i="9"/>
  <c r="M169" i="11"/>
  <c r="M169" i="10"/>
  <c r="M169" i="9"/>
  <c r="E169" i="11"/>
  <c r="E169" i="10"/>
  <c r="E169" i="9"/>
  <c r="AG168" i="11"/>
  <c r="AG168" i="10"/>
  <c r="AG168" i="9"/>
  <c r="Y168" i="11"/>
  <c r="Y168" i="10"/>
  <c r="Y168" i="9"/>
  <c r="Q168" i="11"/>
  <c r="Q168" i="10"/>
  <c r="Q168" i="9"/>
  <c r="I168" i="11"/>
  <c r="I168" i="10"/>
  <c r="I168" i="9"/>
  <c r="A168" i="11"/>
  <c r="A168" i="10"/>
  <c r="A168" i="9"/>
  <c r="AC167" i="11"/>
  <c r="AC167" i="10"/>
  <c r="AC167" i="9"/>
  <c r="U167" i="11"/>
  <c r="U167" i="10"/>
  <c r="U167" i="9"/>
  <c r="M167" i="11"/>
  <c r="M167" i="10"/>
  <c r="M167" i="9"/>
  <c r="E167" i="11"/>
  <c r="E167" i="10"/>
  <c r="E167" i="9"/>
  <c r="AG166" i="11"/>
  <c r="AG166" i="10"/>
  <c r="AG166" i="9"/>
  <c r="Y166" i="11"/>
  <c r="Y166" i="10"/>
  <c r="Y166" i="9"/>
  <c r="Q166" i="11"/>
  <c r="Q166" i="10"/>
  <c r="Q166" i="9"/>
  <c r="I166" i="11"/>
  <c r="I166" i="10"/>
  <c r="I166" i="9"/>
  <c r="A166" i="11"/>
  <c r="A166" i="10"/>
  <c r="A166" i="9"/>
  <c r="AC165" i="11"/>
  <c r="AC165" i="10"/>
  <c r="AC165" i="9"/>
  <c r="U165" i="11"/>
  <c r="U165" i="10"/>
  <c r="U165" i="9"/>
  <c r="M165" i="11"/>
  <c r="M165" i="10"/>
  <c r="M165" i="9"/>
  <c r="E165" i="11"/>
  <c r="E165" i="10"/>
  <c r="E165" i="9"/>
  <c r="AG164" i="11"/>
  <c r="AG164" i="10"/>
  <c r="AG164" i="9"/>
  <c r="Y164" i="11"/>
  <c r="Y164" i="10"/>
  <c r="Y164" i="9"/>
  <c r="Q164" i="11"/>
  <c r="Q164" i="10"/>
  <c r="Q164" i="9"/>
  <c r="I164" i="11"/>
  <c r="I164" i="10"/>
  <c r="I164" i="9"/>
  <c r="A164" i="11"/>
  <c r="A164" i="10"/>
  <c r="A164" i="9"/>
  <c r="AC163" i="11"/>
  <c r="AC163" i="10"/>
  <c r="AC163" i="9"/>
  <c r="U163" i="11"/>
  <c r="U163" i="10"/>
  <c r="U163" i="9"/>
  <c r="M163" i="11"/>
  <c r="M163" i="10"/>
  <c r="M163" i="9"/>
  <c r="E163" i="11"/>
  <c r="E163" i="10"/>
  <c r="E163" i="9"/>
  <c r="AG162" i="11"/>
  <c r="AG162" i="10"/>
  <c r="AG162" i="9"/>
  <c r="Y162" i="11"/>
  <c r="Y162" i="10"/>
  <c r="Y162" i="9"/>
  <c r="Q162" i="11"/>
  <c r="Q162" i="10"/>
  <c r="Q162" i="9"/>
  <c r="I162" i="11"/>
  <c r="I162" i="10"/>
  <c r="I162" i="9"/>
  <c r="A162" i="11"/>
  <c r="A162" i="10"/>
  <c r="A162" i="9"/>
  <c r="AC161" i="11"/>
  <c r="AC161" i="10"/>
  <c r="AC161" i="9"/>
  <c r="U161" i="11"/>
  <c r="U161" i="10"/>
  <c r="U161" i="9"/>
  <c r="M161" i="11"/>
  <c r="M161" i="10"/>
  <c r="M161" i="9"/>
  <c r="E161" i="11"/>
  <c r="E161" i="10"/>
  <c r="E161" i="9"/>
  <c r="AG160" i="11"/>
  <c r="AG160" i="10"/>
  <c r="AG160" i="9"/>
  <c r="Y160" i="11"/>
  <c r="Y160" i="10"/>
  <c r="Y160" i="9"/>
  <c r="Q160" i="11"/>
  <c r="Q160" i="10"/>
  <c r="Q160" i="9"/>
  <c r="I160" i="11"/>
  <c r="I160" i="10"/>
  <c r="I160" i="9"/>
  <c r="A160" i="11"/>
  <c r="A160" i="10"/>
  <c r="A160" i="9"/>
  <c r="AC159" i="11"/>
  <c r="AC159" i="10"/>
  <c r="AC159" i="9"/>
  <c r="U159" i="11"/>
  <c r="U159" i="10"/>
  <c r="U159" i="9"/>
  <c r="M159" i="11"/>
  <c r="M159" i="10"/>
  <c r="M159" i="9"/>
  <c r="E159" i="11"/>
  <c r="E159" i="10"/>
  <c r="E159" i="9"/>
  <c r="AG158" i="11"/>
  <c r="AG158" i="10"/>
  <c r="AG158" i="9"/>
  <c r="Y158" i="11"/>
  <c r="Y158" i="10"/>
  <c r="Y158" i="9"/>
  <c r="Q158" i="11"/>
  <c r="Q158" i="10"/>
  <c r="Q158" i="9"/>
  <c r="I158" i="11"/>
  <c r="I158" i="10"/>
  <c r="I158" i="9"/>
  <c r="A158" i="11"/>
  <c r="A158" i="10"/>
  <c r="A158" i="9"/>
  <c r="AC157" i="11"/>
  <c r="AC157" i="10"/>
  <c r="AC157" i="9"/>
  <c r="U157" i="11"/>
  <c r="U157" i="10"/>
  <c r="U157" i="9"/>
  <c r="M157" i="11"/>
  <c r="M157" i="10"/>
  <c r="M157" i="9"/>
  <c r="E157" i="11"/>
  <c r="E157" i="10"/>
  <c r="E157" i="9"/>
  <c r="AG156" i="11"/>
  <c r="AG156" i="10"/>
  <c r="AG156" i="9"/>
  <c r="Y156" i="11"/>
  <c r="Y156" i="10"/>
  <c r="Y156" i="9"/>
  <c r="Q156" i="11"/>
  <c r="Q156" i="10"/>
  <c r="Q156" i="9"/>
  <c r="I156" i="11"/>
  <c r="I156" i="10"/>
  <c r="I156" i="9"/>
  <c r="A156" i="11"/>
  <c r="A156" i="10"/>
  <c r="A156" i="9"/>
  <c r="AC155" i="11"/>
  <c r="AC155" i="10"/>
  <c r="AC155" i="9"/>
  <c r="U155" i="11"/>
  <c r="U155" i="10"/>
  <c r="U155" i="9"/>
  <c r="M155" i="11"/>
  <c r="M155" i="10"/>
  <c r="M155" i="9"/>
  <c r="E155" i="11"/>
  <c r="E155" i="10"/>
  <c r="E155" i="9"/>
  <c r="AG154" i="11"/>
  <c r="AG154" i="10"/>
  <c r="AG154" i="9"/>
  <c r="Y154" i="11"/>
  <c r="Y154" i="10"/>
  <c r="Y154" i="9"/>
  <c r="Q154" i="11"/>
  <c r="Q154" i="10"/>
  <c r="Q154" i="9"/>
  <c r="I154" i="11"/>
  <c r="I154" i="10"/>
  <c r="I154" i="9"/>
  <c r="A154" i="11"/>
  <c r="A154" i="10"/>
  <c r="A154" i="9"/>
  <c r="AC153" i="11"/>
  <c r="AC153" i="10"/>
  <c r="AC153" i="9"/>
  <c r="U153" i="11"/>
  <c r="U153" i="10"/>
  <c r="U153" i="9"/>
  <c r="M153" i="11"/>
  <c r="M153" i="10"/>
  <c r="M153" i="9"/>
  <c r="E153" i="11"/>
  <c r="E153" i="10"/>
  <c r="E153" i="9"/>
  <c r="AG152" i="11"/>
  <c r="AG152" i="10"/>
  <c r="AG152" i="9"/>
  <c r="Y152" i="11"/>
  <c r="Y152" i="10"/>
  <c r="Y152" i="9"/>
  <c r="Q152" i="11"/>
  <c r="Q152" i="10"/>
  <c r="Q152" i="9"/>
  <c r="I152" i="11"/>
  <c r="I152" i="10"/>
  <c r="I152" i="9"/>
  <c r="A152" i="11"/>
  <c r="A152" i="10"/>
  <c r="A152" i="9"/>
  <c r="AC151" i="11"/>
  <c r="AC151" i="10"/>
  <c r="AC151" i="9"/>
  <c r="U151" i="11"/>
  <c r="U151" i="10"/>
  <c r="U151" i="9"/>
  <c r="M151" i="11"/>
  <c r="M151" i="10"/>
  <c r="M151" i="9"/>
  <c r="E151" i="11"/>
  <c r="E151" i="10"/>
  <c r="E151" i="9"/>
  <c r="AG150" i="11"/>
  <c r="AG150" i="10"/>
  <c r="AG150" i="9"/>
  <c r="Y150" i="11"/>
  <c r="Y150" i="10"/>
  <c r="Y150" i="9"/>
  <c r="Q150" i="11"/>
  <c r="Q150" i="10"/>
  <c r="Q150" i="9"/>
  <c r="I150" i="11"/>
  <c r="I150" i="10"/>
  <c r="I150" i="9"/>
  <c r="A150" i="11"/>
  <c r="A150" i="10"/>
  <c r="A150" i="9"/>
  <c r="AC149" i="11"/>
  <c r="AC149" i="10"/>
  <c r="AC149" i="9"/>
  <c r="U149" i="11"/>
  <c r="U149" i="10"/>
  <c r="U149" i="9"/>
  <c r="M149" i="11"/>
  <c r="M149" i="10"/>
  <c r="M149" i="9"/>
  <c r="E149" i="11"/>
  <c r="E149" i="10"/>
  <c r="E149" i="9"/>
  <c r="Y148" i="11"/>
  <c r="Y148" i="10"/>
  <c r="Y148" i="9"/>
  <c r="Q148" i="11"/>
  <c r="Q148" i="10"/>
  <c r="Q148" i="9"/>
  <c r="I148" i="11"/>
  <c r="I148" i="10"/>
  <c r="I148" i="9"/>
  <c r="A148" i="11"/>
  <c r="A148" i="10"/>
  <c r="A148" i="9"/>
  <c r="AC147" i="11"/>
  <c r="AC147" i="10"/>
  <c r="AC147" i="9"/>
  <c r="U147" i="11"/>
  <c r="U147" i="10"/>
  <c r="U147" i="9"/>
  <c r="M147" i="11"/>
  <c r="M147" i="10"/>
  <c r="M147" i="9"/>
  <c r="E147" i="11"/>
  <c r="E147" i="10"/>
  <c r="E147" i="9"/>
  <c r="AG146" i="11"/>
  <c r="AG146" i="10"/>
  <c r="AG146" i="9"/>
  <c r="Y146" i="11"/>
  <c r="Y146" i="10"/>
  <c r="Y146" i="9"/>
  <c r="Q146" i="11"/>
  <c r="Q146" i="10"/>
  <c r="Q146" i="9"/>
  <c r="I146" i="11"/>
  <c r="I146" i="10"/>
  <c r="I146" i="9"/>
  <c r="A146" i="11"/>
  <c r="A146" i="10"/>
  <c r="A146" i="9"/>
  <c r="AC145" i="11"/>
  <c r="AC145" i="10"/>
  <c r="AC145" i="9"/>
  <c r="U145" i="11"/>
  <c r="U145" i="10"/>
  <c r="U145" i="9"/>
  <c r="M145" i="11"/>
  <c r="M145" i="10"/>
  <c r="M145" i="9"/>
  <c r="E145" i="11"/>
  <c r="E145" i="10"/>
  <c r="E145" i="9"/>
  <c r="AG144" i="11"/>
  <c r="AG144" i="10"/>
  <c r="AG144" i="9"/>
  <c r="Y144" i="11"/>
  <c r="Y144" i="10"/>
  <c r="Y144" i="9"/>
  <c r="Q144" i="11"/>
  <c r="Q144" i="10"/>
  <c r="Q144" i="9"/>
  <c r="I144" i="11"/>
  <c r="I144" i="10"/>
  <c r="I144" i="9"/>
  <c r="A144" i="11"/>
  <c r="A144" i="10"/>
  <c r="A144" i="9"/>
  <c r="AC143" i="11"/>
  <c r="AC143" i="10"/>
  <c r="AC143" i="9"/>
  <c r="U143" i="11"/>
  <c r="U143" i="10"/>
  <c r="U143" i="9"/>
  <c r="M143" i="11"/>
  <c r="M143" i="10"/>
  <c r="M143" i="9"/>
  <c r="E143" i="11"/>
  <c r="E143" i="10"/>
  <c r="E143" i="9"/>
  <c r="AG142" i="11"/>
  <c r="AG142" i="10"/>
  <c r="AG142" i="9"/>
  <c r="Y142" i="11"/>
  <c r="Y142" i="10"/>
  <c r="Y142" i="9"/>
  <c r="Q142" i="11"/>
  <c r="Q142" i="10"/>
  <c r="Q142" i="9"/>
  <c r="I142" i="11"/>
  <c r="I142" i="10"/>
  <c r="I142" i="9"/>
  <c r="A142" i="11"/>
  <c r="A142" i="10"/>
  <c r="A142" i="9"/>
  <c r="AC141" i="11"/>
  <c r="AC141" i="10"/>
  <c r="AC141" i="9"/>
  <c r="U141" i="11"/>
  <c r="U141" i="10"/>
  <c r="U141" i="9"/>
  <c r="M141" i="11"/>
  <c r="M141" i="10"/>
  <c r="M141" i="9"/>
  <c r="E141" i="11"/>
  <c r="E141" i="10"/>
  <c r="E141" i="9"/>
  <c r="AG140" i="11"/>
  <c r="AG140" i="10"/>
  <c r="AG140" i="9"/>
  <c r="Y140" i="11"/>
  <c r="Y140" i="10"/>
  <c r="Y140" i="9"/>
  <c r="Q140" i="11"/>
  <c r="Q140" i="10"/>
  <c r="Q140" i="9"/>
  <c r="I140" i="11"/>
  <c r="I140" i="10"/>
  <c r="I140" i="9"/>
  <c r="A140" i="11"/>
  <c r="A140" i="10"/>
  <c r="A140" i="9"/>
  <c r="AC139" i="11"/>
  <c r="AC139" i="10"/>
  <c r="AC139" i="9"/>
  <c r="U139" i="11"/>
  <c r="U139" i="10"/>
  <c r="U139" i="9"/>
  <c r="M139" i="11"/>
  <c r="M139" i="10"/>
  <c r="M139" i="9"/>
  <c r="E139" i="11"/>
  <c r="E139" i="10"/>
  <c r="E139" i="9"/>
  <c r="Y138" i="11"/>
  <c r="Y138" i="10"/>
  <c r="Y138" i="9"/>
  <c r="Q138" i="11"/>
  <c r="Q138" i="10"/>
  <c r="Q138" i="9"/>
  <c r="I138" i="11"/>
  <c r="I138" i="10"/>
  <c r="I138" i="9"/>
  <c r="A138" i="11"/>
  <c r="A138" i="10"/>
  <c r="A138" i="9"/>
  <c r="AC137" i="11"/>
  <c r="AC137" i="10"/>
  <c r="AC137" i="9"/>
  <c r="U137" i="11"/>
  <c r="U137" i="10"/>
  <c r="U137" i="9"/>
  <c r="M137" i="11"/>
  <c r="M137" i="10"/>
  <c r="M137" i="9"/>
  <c r="E137" i="11"/>
  <c r="E137" i="10"/>
  <c r="E137" i="9"/>
  <c r="Y136" i="11"/>
  <c r="Y136" i="10"/>
  <c r="Y136" i="9"/>
  <c r="Q136" i="11"/>
  <c r="Q136" i="10"/>
  <c r="Q136" i="9"/>
  <c r="I136" i="11"/>
  <c r="I136" i="10"/>
  <c r="I136" i="9"/>
  <c r="A136" i="11"/>
  <c r="A136" i="10"/>
  <c r="A136" i="9"/>
  <c r="AC135" i="11"/>
  <c r="AC135" i="10"/>
  <c r="AC135" i="9"/>
  <c r="U135" i="11"/>
  <c r="U135" i="10"/>
  <c r="U135" i="9"/>
  <c r="M135" i="11"/>
  <c r="M135" i="10"/>
  <c r="M135" i="9"/>
  <c r="E135" i="11"/>
  <c r="E135" i="10"/>
  <c r="E135" i="9"/>
  <c r="M362" i="2"/>
  <c r="M354" i="2"/>
  <c r="M338" i="2"/>
  <c r="M330" i="2"/>
  <c r="M322" i="2"/>
  <c r="M314" i="2"/>
  <c r="M298" i="2"/>
  <c r="M290" i="2"/>
  <c r="M282" i="2"/>
  <c r="M274" i="2"/>
  <c r="M266" i="2"/>
  <c r="M258" i="2"/>
  <c r="M242" i="2"/>
  <c r="M234" i="2"/>
  <c r="M226" i="2"/>
  <c r="M218" i="2"/>
  <c r="M210" i="2"/>
  <c r="M186" i="2"/>
  <c r="M178" i="2"/>
  <c r="M170" i="2"/>
  <c r="M276" i="2"/>
  <c r="M236" i="2"/>
  <c r="M180" i="2"/>
  <c r="M84" i="2"/>
  <c r="AF366" i="11"/>
  <c r="AF366" i="10"/>
  <c r="AF366" i="9"/>
  <c r="X366" i="11"/>
  <c r="X366" i="10"/>
  <c r="X366" i="9"/>
  <c r="P366" i="11"/>
  <c r="P366" i="10"/>
  <c r="P366" i="9"/>
  <c r="H366" i="11"/>
  <c r="H366" i="10"/>
  <c r="H366" i="9"/>
  <c r="AB365" i="11"/>
  <c r="AB365" i="10"/>
  <c r="AB365" i="9"/>
  <c r="T365" i="11"/>
  <c r="T365" i="10"/>
  <c r="T365" i="9"/>
  <c r="L365" i="11"/>
  <c r="L365" i="10"/>
  <c r="L365" i="9"/>
  <c r="D365" i="11"/>
  <c r="D365" i="10"/>
  <c r="D365" i="9"/>
  <c r="AF364" i="11"/>
  <c r="AF364" i="10"/>
  <c r="AF364" i="9"/>
  <c r="X364" i="11"/>
  <c r="X364" i="10"/>
  <c r="X364" i="9"/>
  <c r="P364" i="11"/>
  <c r="P364" i="10"/>
  <c r="P364" i="9"/>
  <c r="H364" i="11"/>
  <c r="H364" i="10"/>
  <c r="H364" i="9"/>
  <c r="AB363" i="11"/>
  <c r="AB363" i="10"/>
  <c r="AB363" i="9"/>
  <c r="T363" i="11"/>
  <c r="T363" i="10"/>
  <c r="T363" i="9"/>
  <c r="L363" i="11"/>
  <c r="L363" i="10"/>
  <c r="L363" i="9"/>
  <c r="D363" i="11"/>
  <c r="D363" i="10"/>
  <c r="D363" i="9"/>
  <c r="AF362" i="11"/>
  <c r="AF362" i="10"/>
  <c r="AF362" i="9"/>
  <c r="X362" i="11"/>
  <c r="X362" i="10"/>
  <c r="X362" i="9"/>
  <c r="P362" i="11"/>
  <c r="P362" i="10"/>
  <c r="P362" i="9"/>
  <c r="H362" i="11"/>
  <c r="H362" i="10"/>
  <c r="H362" i="9"/>
  <c r="AB361" i="11"/>
  <c r="AB361" i="10"/>
  <c r="AB361" i="9"/>
  <c r="T361" i="11"/>
  <c r="T361" i="10"/>
  <c r="T361" i="9"/>
  <c r="L361" i="11"/>
  <c r="L361" i="10"/>
  <c r="L361" i="9"/>
  <c r="D361" i="11"/>
  <c r="D361" i="10"/>
  <c r="D361" i="9"/>
  <c r="AF360" i="11"/>
  <c r="AF360" i="10"/>
  <c r="AF360" i="9"/>
  <c r="X360" i="11"/>
  <c r="X360" i="10"/>
  <c r="X360" i="9"/>
  <c r="P360" i="11"/>
  <c r="P360" i="10"/>
  <c r="P360" i="9"/>
  <c r="H360" i="11"/>
  <c r="H360" i="10"/>
  <c r="H360" i="9"/>
  <c r="AB359" i="11"/>
  <c r="AB359" i="10"/>
  <c r="AB359" i="9"/>
  <c r="T359" i="11"/>
  <c r="T359" i="10"/>
  <c r="T359" i="9"/>
  <c r="L359" i="11"/>
  <c r="L359" i="10"/>
  <c r="L359" i="9"/>
  <c r="D359" i="11"/>
  <c r="D359" i="10"/>
  <c r="D359" i="9"/>
  <c r="X358" i="11"/>
  <c r="X358" i="10"/>
  <c r="X358" i="9"/>
  <c r="P358" i="11"/>
  <c r="P358" i="10"/>
  <c r="P358" i="9"/>
  <c r="H358" i="11"/>
  <c r="H358" i="10"/>
  <c r="H358" i="9"/>
  <c r="AB357" i="11"/>
  <c r="AB357" i="10"/>
  <c r="AB357" i="9"/>
  <c r="T357" i="11"/>
  <c r="T357" i="10"/>
  <c r="T357" i="9"/>
  <c r="L357" i="11"/>
  <c r="L357" i="10"/>
  <c r="L357" i="9"/>
  <c r="D357" i="11"/>
  <c r="D357" i="10"/>
  <c r="D357" i="9"/>
  <c r="AF356" i="11"/>
  <c r="AF356" i="10"/>
  <c r="AF356" i="9"/>
  <c r="X356" i="11"/>
  <c r="X356" i="10"/>
  <c r="X356" i="9"/>
  <c r="P356" i="11"/>
  <c r="P356" i="10"/>
  <c r="P356" i="9"/>
  <c r="H356" i="11"/>
  <c r="H356" i="10"/>
  <c r="H356" i="9"/>
  <c r="AB355" i="11"/>
  <c r="AB355" i="10"/>
  <c r="AB355" i="9"/>
  <c r="T355" i="11"/>
  <c r="T355" i="10"/>
  <c r="T355" i="9"/>
  <c r="L355" i="11"/>
  <c r="L355" i="10"/>
  <c r="L355" i="9"/>
  <c r="D355" i="11"/>
  <c r="D355" i="10"/>
  <c r="D355" i="9"/>
  <c r="AF354" i="11"/>
  <c r="AF354" i="10"/>
  <c r="AF354" i="9"/>
  <c r="X354" i="11"/>
  <c r="X354" i="10"/>
  <c r="X354" i="9"/>
  <c r="P354" i="11"/>
  <c r="P354" i="10"/>
  <c r="P354" i="9"/>
  <c r="H354" i="11"/>
  <c r="H354" i="10"/>
  <c r="H354" i="9"/>
  <c r="AB353" i="11"/>
  <c r="AB353" i="10"/>
  <c r="AB353" i="9"/>
  <c r="T353" i="11"/>
  <c r="T353" i="10"/>
  <c r="T353" i="9"/>
  <c r="L353" i="11"/>
  <c r="L353" i="10"/>
  <c r="L353" i="9"/>
  <c r="D353" i="11"/>
  <c r="D353" i="10"/>
  <c r="D353" i="9"/>
  <c r="AF352" i="11"/>
  <c r="AF352" i="10"/>
  <c r="AF352" i="9"/>
  <c r="X352" i="11"/>
  <c r="X352" i="10"/>
  <c r="X352" i="9"/>
  <c r="P352" i="11"/>
  <c r="P352" i="10"/>
  <c r="P352" i="9"/>
  <c r="H352" i="11"/>
  <c r="H352" i="10"/>
  <c r="H352" i="9"/>
  <c r="AB351" i="11"/>
  <c r="AB351" i="10"/>
  <c r="AB351" i="9"/>
  <c r="T351" i="11"/>
  <c r="T351" i="10"/>
  <c r="T351" i="9"/>
  <c r="L351" i="11"/>
  <c r="L351" i="10"/>
  <c r="L351" i="9"/>
  <c r="D351" i="11"/>
  <c r="D351" i="10"/>
  <c r="D351" i="9"/>
  <c r="X350" i="11"/>
  <c r="X350" i="10"/>
  <c r="X350" i="9"/>
  <c r="P350" i="11"/>
  <c r="P350" i="10"/>
  <c r="P350" i="9"/>
  <c r="H350" i="11"/>
  <c r="H350" i="10"/>
  <c r="H350" i="9"/>
  <c r="AB349" i="11"/>
  <c r="AB349" i="10"/>
  <c r="AB349" i="9"/>
  <c r="T349" i="11"/>
  <c r="T349" i="10"/>
  <c r="T349" i="9"/>
  <c r="L349" i="11"/>
  <c r="L349" i="10"/>
  <c r="L349" i="9"/>
  <c r="D349" i="11"/>
  <c r="D349" i="10"/>
  <c r="D349" i="9"/>
  <c r="AF348" i="11"/>
  <c r="AF348" i="10"/>
  <c r="AF348" i="9"/>
  <c r="X348" i="11"/>
  <c r="X348" i="10"/>
  <c r="X348" i="9"/>
  <c r="P348" i="11"/>
  <c r="P348" i="10"/>
  <c r="P348" i="9"/>
  <c r="H348" i="11"/>
  <c r="H348" i="10"/>
  <c r="H348" i="9"/>
  <c r="AB347" i="11"/>
  <c r="AB347" i="10"/>
  <c r="AB347" i="9"/>
  <c r="T347" i="11"/>
  <c r="T347" i="10"/>
  <c r="T347" i="9"/>
  <c r="L347" i="11"/>
  <c r="L347" i="10"/>
  <c r="L347" i="9"/>
  <c r="D347" i="11"/>
  <c r="D347" i="10"/>
  <c r="D347" i="9"/>
  <c r="AF346" i="11"/>
  <c r="AF346" i="10"/>
  <c r="AF346" i="9"/>
  <c r="X346" i="11"/>
  <c r="X346" i="10"/>
  <c r="X346" i="9"/>
  <c r="P346" i="11"/>
  <c r="P346" i="10"/>
  <c r="P346" i="9"/>
  <c r="H346" i="11"/>
  <c r="H346" i="10"/>
  <c r="H346" i="9"/>
  <c r="AB345" i="11"/>
  <c r="AB345" i="10"/>
  <c r="AB345" i="9"/>
  <c r="T345" i="11"/>
  <c r="T345" i="10"/>
  <c r="T345" i="9"/>
  <c r="L345" i="11"/>
  <c r="L345" i="10"/>
  <c r="L345" i="9"/>
  <c r="D345" i="11"/>
  <c r="D345" i="10"/>
  <c r="D345" i="9"/>
  <c r="X344" i="11"/>
  <c r="X344" i="10"/>
  <c r="X344" i="9"/>
  <c r="P344" i="11"/>
  <c r="P344" i="10"/>
  <c r="P344" i="9"/>
  <c r="H344" i="11"/>
  <c r="H344" i="10"/>
  <c r="H344" i="9"/>
  <c r="AB343" i="11"/>
  <c r="AB343" i="10"/>
  <c r="AB343" i="9"/>
  <c r="T343" i="11"/>
  <c r="T343" i="10"/>
  <c r="T343" i="9"/>
  <c r="L343" i="11"/>
  <c r="L343" i="10"/>
  <c r="L343" i="9"/>
  <c r="D343" i="11"/>
  <c r="D343" i="10"/>
  <c r="D343" i="9"/>
  <c r="AF342" i="11"/>
  <c r="AF342" i="10"/>
  <c r="AF342" i="9"/>
  <c r="X342" i="11"/>
  <c r="X342" i="10"/>
  <c r="X342" i="9"/>
  <c r="P342" i="11"/>
  <c r="P342" i="10"/>
  <c r="P342" i="9"/>
  <c r="H342" i="11"/>
  <c r="H342" i="10"/>
  <c r="H342" i="9"/>
  <c r="AB341" i="11"/>
  <c r="AB341" i="10"/>
  <c r="AB341" i="9"/>
  <c r="T341" i="11"/>
  <c r="T341" i="10"/>
  <c r="T341" i="9"/>
  <c r="L341" i="11"/>
  <c r="L341" i="10"/>
  <c r="L341" i="9"/>
  <c r="D341" i="11"/>
  <c r="D341" i="10"/>
  <c r="D341" i="9"/>
  <c r="AF340" i="11"/>
  <c r="AF340" i="10"/>
  <c r="AF340" i="9"/>
  <c r="X340" i="11"/>
  <c r="X340" i="10"/>
  <c r="X340" i="9"/>
  <c r="P340" i="11"/>
  <c r="P340" i="10"/>
  <c r="P340" i="9"/>
  <c r="H340" i="11"/>
  <c r="H340" i="10"/>
  <c r="H340" i="9"/>
  <c r="AB339" i="11"/>
  <c r="AB339" i="10"/>
  <c r="AB339" i="9"/>
  <c r="T339" i="11"/>
  <c r="T339" i="10"/>
  <c r="T339" i="9"/>
  <c r="L339" i="11"/>
  <c r="L339" i="10"/>
  <c r="L339" i="9"/>
  <c r="D339" i="11"/>
  <c r="D339" i="10"/>
  <c r="D339" i="9"/>
  <c r="AF338" i="11"/>
  <c r="AF338" i="10"/>
  <c r="AF338" i="9"/>
  <c r="X338" i="11"/>
  <c r="X338" i="10"/>
  <c r="X338" i="9"/>
  <c r="P338" i="11"/>
  <c r="P338" i="10"/>
  <c r="P338" i="9"/>
  <c r="H338" i="11"/>
  <c r="H338" i="10"/>
  <c r="H338" i="9"/>
  <c r="AB337" i="11"/>
  <c r="AB337" i="10"/>
  <c r="AB337" i="9"/>
  <c r="T337" i="11"/>
  <c r="T337" i="10"/>
  <c r="T337" i="9"/>
  <c r="L337" i="11"/>
  <c r="L337" i="10"/>
  <c r="L337" i="9"/>
  <c r="D337" i="11"/>
  <c r="D337" i="10"/>
  <c r="D337" i="9"/>
  <c r="AF336" i="11"/>
  <c r="AF336" i="10"/>
  <c r="AF336" i="9"/>
  <c r="X336" i="11"/>
  <c r="X336" i="10"/>
  <c r="X336" i="9"/>
  <c r="P336" i="11"/>
  <c r="P336" i="10"/>
  <c r="P336" i="9"/>
  <c r="H336" i="11"/>
  <c r="H336" i="10"/>
  <c r="H336" i="9"/>
  <c r="AB335" i="11"/>
  <c r="AB335" i="10"/>
  <c r="AB335" i="9"/>
  <c r="T335" i="11"/>
  <c r="T335" i="10"/>
  <c r="T335" i="9"/>
  <c r="L335" i="11"/>
  <c r="L335" i="10"/>
  <c r="L335" i="9"/>
  <c r="D335" i="11"/>
  <c r="D335" i="10"/>
  <c r="D335" i="9"/>
  <c r="X334" i="11"/>
  <c r="X334" i="10"/>
  <c r="X334" i="9"/>
  <c r="P334" i="11"/>
  <c r="P334" i="10"/>
  <c r="P334" i="9"/>
  <c r="H334" i="11"/>
  <c r="H334" i="10"/>
  <c r="H334" i="9"/>
  <c r="AB333" i="11"/>
  <c r="AB333" i="10"/>
  <c r="AB333" i="9"/>
  <c r="T333" i="11"/>
  <c r="T333" i="10"/>
  <c r="T333" i="9"/>
  <c r="L333" i="11"/>
  <c r="L333" i="10"/>
  <c r="L333" i="9"/>
  <c r="D333" i="11"/>
  <c r="D333" i="10"/>
  <c r="D333" i="9"/>
  <c r="AF332" i="11"/>
  <c r="AF332" i="10"/>
  <c r="AF332" i="9"/>
  <c r="X332" i="11"/>
  <c r="X332" i="10"/>
  <c r="X332" i="9"/>
  <c r="P332" i="11"/>
  <c r="P332" i="10"/>
  <c r="P332" i="9"/>
  <c r="H332" i="11"/>
  <c r="H332" i="10"/>
  <c r="H332" i="9"/>
  <c r="AB331" i="11"/>
  <c r="AB331" i="10"/>
  <c r="AB331" i="9"/>
  <c r="T331" i="11"/>
  <c r="T331" i="10"/>
  <c r="T331" i="9"/>
  <c r="L331" i="11"/>
  <c r="L331" i="10"/>
  <c r="L331" i="9"/>
  <c r="D331" i="11"/>
  <c r="D331" i="10"/>
  <c r="D331" i="9"/>
  <c r="AF330" i="11"/>
  <c r="AF330" i="10"/>
  <c r="AF330" i="9"/>
  <c r="X330" i="11"/>
  <c r="X330" i="10"/>
  <c r="X330" i="9"/>
  <c r="P330" i="11"/>
  <c r="P330" i="10"/>
  <c r="P330" i="9"/>
  <c r="H330" i="11"/>
  <c r="H330" i="10"/>
  <c r="H330" i="9"/>
  <c r="AB329" i="11"/>
  <c r="AB329" i="10"/>
  <c r="AB329" i="9"/>
  <c r="T329" i="11"/>
  <c r="T329" i="10"/>
  <c r="T329" i="9"/>
  <c r="L329" i="11"/>
  <c r="L329" i="10"/>
  <c r="L329" i="9"/>
  <c r="D329" i="11"/>
  <c r="D329" i="10"/>
  <c r="D329" i="9"/>
  <c r="AF328" i="11"/>
  <c r="AF328" i="10"/>
  <c r="AF328" i="9"/>
  <c r="X328" i="11"/>
  <c r="X328" i="10"/>
  <c r="X328" i="9"/>
  <c r="P328" i="11"/>
  <c r="P328" i="10"/>
  <c r="P328" i="9"/>
  <c r="H328" i="11"/>
  <c r="H328" i="10"/>
  <c r="H328" i="9"/>
  <c r="AB327" i="11"/>
  <c r="AB327" i="10"/>
  <c r="AB327" i="9"/>
  <c r="T327" i="11"/>
  <c r="T327" i="10"/>
  <c r="T327" i="9"/>
  <c r="L327" i="11"/>
  <c r="L327" i="10"/>
  <c r="L327" i="9"/>
  <c r="D327" i="11"/>
  <c r="D327" i="10"/>
  <c r="D327" i="9"/>
  <c r="AF326" i="11"/>
  <c r="AF326" i="10"/>
  <c r="AF326" i="9"/>
  <c r="X326" i="11"/>
  <c r="X326" i="10"/>
  <c r="X326" i="9"/>
  <c r="P326" i="11"/>
  <c r="P326" i="10"/>
  <c r="P326" i="9"/>
  <c r="H326" i="11"/>
  <c r="H326" i="10"/>
  <c r="H326" i="9"/>
  <c r="AB325" i="11"/>
  <c r="AB325" i="10"/>
  <c r="AB325" i="9"/>
  <c r="T325" i="11"/>
  <c r="T325" i="10"/>
  <c r="T325" i="9"/>
  <c r="L325" i="11"/>
  <c r="L325" i="10"/>
  <c r="L325" i="9"/>
  <c r="D325" i="11"/>
  <c r="D325" i="10"/>
  <c r="D325" i="9"/>
  <c r="AF324" i="11"/>
  <c r="AF324" i="10"/>
  <c r="AF324" i="9"/>
  <c r="X324" i="11"/>
  <c r="X324" i="10"/>
  <c r="X324" i="9"/>
  <c r="P324" i="11"/>
  <c r="P324" i="10"/>
  <c r="P324" i="9"/>
  <c r="H324" i="11"/>
  <c r="H324" i="10"/>
  <c r="H324" i="9"/>
  <c r="AB323" i="11"/>
  <c r="AB323" i="10"/>
  <c r="AB323" i="9"/>
  <c r="T323" i="11"/>
  <c r="T323" i="10"/>
  <c r="T323" i="9"/>
  <c r="L323" i="11"/>
  <c r="L323" i="10"/>
  <c r="L323" i="9"/>
  <c r="D323" i="11"/>
  <c r="D323" i="10"/>
  <c r="D323" i="9"/>
  <c r="AF322" i="11"/>
  <c r="AF322" i="10"/>
  <c r="AF322" i="9"/>
  <c r="X322" i="11"/>
  <c r="X322" i="10"/>
  <c r="X322" i="9"/>
  <c r="P322" i="11"/>
  <c r="P322" i="10"/>
  <c r="P322" i="9"/>
  <c r="H322" i="11"/>
  <c r="H322" i="10"/>
  <c r="H322" i="9"/>
  <c r="AB321" i="11"/>
  <c r="AB321" i="10"/>
  <c r="AB321" i="9"/>
  <c r="T321" i="11"/>
  <c r="T321" i="10"/>
  <c r="T321" i="9"/>
  <c r="L321" i="11"/>
  <c r="L321" i="10"/>
  <c r="L321" i="9"/>
  <c r="D321" i="11"/>
  <c r="D321" i="10"/>
  <c r="D321" i="9"/>
  <c r="AF320" i="11"/>
  <c r="AF320" i="10"/>
  <c r="AF320" i="9"/>
  <c r="X320" i="11"/>
  <c r="X320" i="10"/>
  <c r="X320" i="9"/>
  <c r="P320" i="11"/>
  <c r="P320" i="10"/>
  <c r="P320" i="9"/>
  <c r="H320" i="11"/>
  <c r="H320" i="10"/>
  <c r="H320" i="9"/>
  <c r="AB319" i="11"/>
  <c r="AB319" i="10"/>
  <c r="AB319" i="9"/>
  <c r="T319" i="11"/>
  <c r="T319" i="10"/>
  <c r="T319" i="9"/>
  <c r="L319" i="11"/>
  <c r="L319" i="10"/>
  <c r="L319" i="9"/>
  <c r="D319" i="11"/>
  <c r="D319" i="10"/>
  <c r="D319" i="9"/>
  <c r="AF318" i="11"/>
  <c r="AF318" i="9"/>
  <c r="X318" i="11"/>
  <c r="X318" i="10"/>
  <c r="X318" i="9"/>
  <c r="P318" i="11"/>
  <c r="P318" i="10"/>
  <c r="P318" i="9"/>
  <c r="H318" i="11"/>
  <c r="H318" i="10"/>
  <c r="H318" i="9"/>
  <c r="AB317" i="11"/>
  <c r="AB317" i="10"/>
  <c r="AB317" i="9"/>
  <c r="T317" i="11"/>
  <c r="T317" i="10"/>
  <c r="T317" i="9"/>
  <c r="L317" i="11"/>
  <c r="L317" i="10"/>
  <c r="L317" i="9"/>
  <c r="D317" i="11"/>
  <c r="D317" i="10"/>
  <c r="D317" i="9"/>
  <c r="AF316" i="11"/>
  <c r="AF316" i="10"/>
  <c r="AF316" i="9"/>
  <c r="X316" i="11"/>
  <c r="X316" i="10"/>
  <c r="X316" i="9"/>
  <c r="P316" i="11"/>
  <c r="P316" i="10"/>
  <c r="P316" i="9"/>
  <c r="H316" i="11"/>
  <c r="H316" i="10"/>
  <c r="H316" i="9"/>
  <c r="AB315" i="11"/>
  <c r="AB315" i="10"/>
  <c r="AB315" i="9"/>
  <c r="T315" i="11"/>
  <c r="T315" i="10"/>
  <c r="T315" i="9"/>
  <c r="L315" i="11"/>
  <c r="L315" i="10"/>
  <c r="L315" i="9"/>
  <c r="D315" i="11"/>
  <c r="D315" i="10"/>
  <c r="D315" i="9"/>
  <c r="AF314" i="11"/>
  <c r="AF314" i="10"/>
  <c r="AF314" i="9"/>
  <c r="X314" i="11"/>
  <c r="X314" i="10"/>
  <c r="X314" i="9"/>
  <c r="P314" i="11"/>
  <c r="P314" i="10"/>
  <c r="P314" i="9"/>
  <c r="H314" i="11"/>
  <c r="H314" i="10"/>
  <c r="H314" i="9"/>
  <c r="AB313" i="11"/>
  <c r="AB313" i="10"/>
  <c r="AB313" i="9"/>
  <c r="T313" i="11"/>
  <c r="T313" i="10"/>
  <c r="T313" i="9"/>
  <c r="L313" i="11"/>
  <c r="L313" i="10"/>
  <c r="L313" i="9"/>
  <c r="D313" i="11"/>
  <c r="D313" i="10"/>
  <c r="D313" i="9"/>
  <c r="AF312" i="11"/>
  <c r="AF312" i="10"/>
  <c r="AF312" i="9"/>
  <c r="X312" i="11"/>
  <c r="X312" i="10"/>
  <c r="X312" i="9"/>
  <c r="P312" i="11"/>
  <c r="P312" i="10"/>
  <c r="P312" i="9"/>
  <c r="H312" i="11"/>
  <c r="H312" i="10"/>
  <c r="H312" i="9"/>
  <c r="AB311" i="11"/>
  <c r="AB311" i="10"/>
  <c r="AB311" i="9"/>
  <c r="T311" i="11"/>
  <c r="T311" i="10"/>
  <c r="T311" i="9"/>
  <c r="L311" i="11"/>
  <c r="L311" i="10"/>
  <c r="L311" i="9"/>
  <c r="D311" i="11"/>
  <c r="D311" i="10"/>
  <c r="D311" i="9"/>
  <c r="AF310" i="11"/>
  <c r="AF310" i="10"/>
  <c r="AF310" i="9"/>
  <c r="X310" i="11"/>
  <c r="X310" i="10"/>
  <c r="X310" i="9"/>
  <c r="P310" i="11"/>
  <c r="P310" i="10"/>
  <c r="P310" i="9"/>
  <c r="H310" i="11"/>
  <c r="H310" i="10"/>
  <c r="H310" i="9"/>
  <c r="AB309" i="11"/>
  <c r="AB309" i="10"/>
  <c r="AB309" i="9"/>
  <c r="T309" i="11"/>
  <c r="T309" i="10"/>
  <c r="T309" i="9"/>
  <c r="L309" i="11"/>
  <c r="L309" i="10"/>
  <c r="L309" i="9"/>
  <c r="D309" i="11"/>
  <c r="D309" i="10"/>
  <c r="D309" i="9"/>
  <c r="AF308" i="11"/>
  <c r="AF308" i="10"/>
  <c r="AF308" i="9"/>
  <c r="X308" i="11"/>
  <c r="X308" i="10"/>
  <c r="X308" i="9"/>
  <c r="P308" i="11"/>
  <c r="P308" i="10"/>
  <c r="P308" i="9"/>
  <c r="H308" i="11"/>
  <c r="H308" i="10"/>
  <c r="H308" i="9"/>
  <c r="AB307" i="11"/>
  <c r="AB307" i="10"/>
  <c r="AB307" i="9"/>
  <c r="T307" i="11"/>
  <c r="T307" i="10"/>
  <c r="T307" i="9"/>
  <c r="L307" i="11"/>
  <c r="L307" i="10"/>
  <c r="L307" i="9"/>
  <c r="D307" i="11"/>
  <c r="D307" i="10"/>
  <c r="D307" i="9"/>
  <c r="AF306" i="11"/>
  <c r="AF306" i="10"/>
  <c r="AF306" i="9"/>
  <c r="X306" i="11"/>
  <c r="X306" i="10"/>
  <c r="X306" i="9"/>
  <c r="P306" i="11"/>
  <c r="P306" i="10"/>
  <c r="P306" i="9"/>
  <c r="H306" i="11"/>
  <c r="H306" i="10"/>
  <c r="H306" i="9"/>
  <c r="AB305" i="11"/>
  <c r="AB305" i="10"/>
  <c r="AB305" i="9"/>
  <c r="T305" i="11"/>
  <c r="T305" i="10"/>
  <c r="T305" i="9"/>
  <c r="L305" i="11"/>
  <c r="L305" i="10"/>
  <c r="L305" i="9"/>
  <c r="D305" i="11"/>
  <c r="D305" i="10"/>
  <c r="D305" i="9"/>
  <c r="X304" i="11"/>
  <c r="X304" i="10"/>
  <c r="X304" i="9"/>
  <c r="P304" i="11"/>
  <c r="P304" i="10"/>
  <c r="P304" i="9"/>
  <c r="H304" i="11"/>
  <c r="H304" i="10"/>
  <c r="H304" i="9"/>
  <c r="AB303" i="11"/>
  <c r="AB303" i="10"/>
  <c r="AB303" i="9"/>
  <c r="T303" i="11"/>
  <c r="T303" i="10"/>
  <c r="T303" i="9"/>
  <c r="L303" i="11"/>
  <c r="L303" i="10"/>
  <c r="L303" i="9"/>
  <c r="D303" i="11"/>
  <c r="D303" i="10"/>
  <c r="D303" i="9"/>
  <c r="X302" i="11"/>
  <c r="X302" i="10"/>
  <c r="X302" i="9"/>
  <c r="P302" i="11"/>
  <c r="P302" i="10"/>
  <c r="P302" i="9"/>
  <c r="H302" i="11"/>
  <c r="H302" i="10"/>
  <c r="H302" i="9"/>
  <c r="AB301" i="11"/>
  <c r="AB301" i="10"/>
  <c r="AB301" i="9"/>
  <c r="T301" i="11"/>
  <c r="T301" i="10"/>
  <c r="T301" i="9"/>
  <c r="L301" i="11"/>
  <c r="L301" i="10"/>
  <c r="L301" i="9"/>
  <c r="D301" i="11"/>
  <c r="D301" i="10"/>
  <c r="D301" i="9"/>
  <c r="X300" i="11"/>
  <c r="X300" i="10"/>
  <c r="X300" i="9"/>
  <c r="P300" i="11"/>
  <c r="P300" i="10"/>
  <c r="P300" i="9"/>
  <c r="H300" i="11"/>
  <c r="H300" i="10"/>
  <c r="H300" i="9"/>
  <c r="AB299" i="11"/>
  <c r="AB299" i="10"/>
  <c r="AB299" i="9"/>
  <c r="T299" i="11"/>
  <c r="T299" i="10"/>
  <c r="T299" i="9"/>
  <c r="L299" i="11"/>
  <c r="L299" i="10"/>
  <c r="L299" i="9"/>
  <c r="D299" i="11"/>
  <c r="D299" i="10"/>
  <c r="D299" i="9"/>
  <c r="AF298" i="11"/>
  <c r="AF298" i="10"/>
  <c r="AF298" i="9"/>
  <c r="X298" i="11"/>
  <c r="X298" i="10"/>
  <c r="X298" i="9"/>
  <c r="P298" i="11"/>
  <c r="P298" i="10"/>
  <c r="P298" i="9"/>
  <c r="H298" i="11"/>
  <c r="H298" i="10"/>
  <c r="H298" i="9"/>
  <c r="AB297" i="11"/>
  <c r="AB297" i="10"/>
  <c r="AB297" i="9"/>
  <c r="T297" i="11"/>
  <c r="T297" i="10"/>
  <c r="T297" i="9"/>
  <c r="L297" i="11"/>
  <c r="L297" i="10"/>
  <c r="L297" i="9"/>
  <c r="D297" i="11"/>
  <c r="D297" i="10"/>
  <c r="D297" i="9"/>
  <c r="AF296" i="11"/>
  <c r="AF296" i="10"/>
  <c r="AF296" i="9"/>
  <c r="X296" i="11"/>
  <c r="X296" i="10"/>
  <c r="X296" i="9"/>
  <c r="P296" i="11"/>
  <c r="P296" i="10"/>
  <c r="P296" i="9"/>
  <c r="H296" i="11"/>
  <c r="H296" i="10"/>
  <c r="H296" i="9"/>
  <c r="AB295" i="11"/>
  <c r="AB295" i="10"/>
  <c r="AB295" i="9"/>
  <c r="T295" i="11"/>
  <c r="T295" i="10"/>
  <c r="T295" i="9"/>
  <c r="L295" i="11"/>
  <c r="L295" i="10"/>
  <c r="L295" i="9"/>
  <c r="D295" i="11"/>
  <c r="D295" i="10"/>
  <c r="D295" i="9"/>
  <c r="AF294" i="11"/>
  <c r="AF294" i="10"/>
  <c r="AF294" i="9"/>
  <c r="X294" i="11"/>
  <c r="X294" i="10"/>
  <c r="X294" i="9"/>
  <c r="P294" i="11"/>
  <c r="P294" i="10"/>
  <c r="P294" i="9"/>
  <c r="H294" i="11"/>
  <c r="H294" i="10"/>
  <c r="H294" i="9"/>
  <c r="AB293" i="11"/>
  <c r="AB293" i="10"/>
  <c r="AB293" i="9"/>
  <c r="T293" i="11"/>
  <c r="T293" i="10"/>
  <c r="T293" i="9"/>
  <c r="L293" i="11"/>
  <c r="L293" i="10"/>
  <c r="L293" i="9"/>
  <c r="D293" i="11"/>
  <c r="D293" i="10"/>
  <c r="D293" i="9"/>
  <c r="X292" i="11"/>
  <c r="X292" i="10"/>
  <c r="X292" i="9"/>
  <c r="P292" i="11"/>
  <c r="P292" i="10"/>
  <c r="P292" i="9"/>
  <c r="H292" i="11"/>
  <c r="H292" i="10"/>
  <c r="H292" i="9"/>
  <c r="AB291" i="11"/>
  <c r="AB291" i="10"/>
  <c r="AB291" i="9"/>
  <c r="T291" i="11"/>
  <c r="T291" i="10"/>
  <c r="T291" i="9"/>
  <c r="L291" i="11"/>
  <c r="L291" i="10"/>
  <c r="L291" i="9"/>
  <c r="D291" i="11"/>
  <c r="D291" i="10"/>
  <c r="D291" i="9"/>
  <c r="AF290" i="11"/>
  <c r="AF290" i="10"/>
  <c r="AF290" i="9"/>
  <c r="X290" i="11"/>
  <c r="X290" i="10"/>
  <c r="X290" i="9"/>
  <c r="P290" i="11"/>
  <c r="P290" i="10"/>
  <c r="P290" i="9"/>
  <c r="H290" i="11"/>
  <c r="H290" i="10"/>
  <c r="H290" i="9"/>
  <c r="AB289" i="11"/>
  <c r="AB289" i="10"/>
  <c r="AB289" i="9"/>
  <c r="T289" i="11"/>
  <c r="T289" i="10"/>
  <c r="T289" i="9"/>
  <c r="L289" i="11"/>
  <c r="L289" i="10"/>
  <c r="L289" i="9"/>
  <c r="D289" i="11"/>
  <c r="D289" i="10"/>
  <c r="D289" i="9"/>
  <c r="AF288" i="11"/>
  <c r="AF288" i="10"/>
  <c r="AF288" i="9"/>
  <c r="X288" i="11"/>
  <c r="X288" i="10"/>
  <c r="X288" i="9"/>
  <c r="P288" i="11"/>
  <c r="P288" i="10"/>
  <c r="P288" i="9"/>
  <c r="H288" i="11"/>
  <c r="H288" i="10"/>
  <c r="H288" i="9"/>
  <c r="AB287" i="11"/>
  <c r="AB287" i="10"/>
  <c r="AB287" i="9"/>
  <c r="T287" i="11"/>
  <c r="T287" i="10"/>
  <c r="T287" i="9"/>
  <c r="L287" i="11"/>
  <c r="L287" i="10"/>
  <c r="L287" i="9"/>
  <c r="D287" i="11"/>
  <c r="D287" i="10"/>
  <c r="D287" i="9"/>
  <c r="AF286" i="11"/>
  <c r="AF286" i="10"/>
  <c r="AF286" i="9"/>
  <c r="X286" i="11"/>
  <c r="X286" i="10"/>
  <c r="X286" i="9"/>
  <c r="P286" i="11"/>
  <c r="P286" i="10"/>
  <c r="P286" i="9"/>
  <c r="H286" i="11"/>
  <c r="H286" i="10"/>
  <c r="H286" i="9"/>
  <c r="AB285" i="11"/>
  <c r="AB285" i="10"/>
  <c r="AB285" i="9"/>
  <c r="T285" i="11"/>
  <c r="T285" i="10"/>
  <c r="T285" i="9"/>
  <c r="L285" i="11"/>
  <c r="L285" i="10"/>
  <c r="L285" i="9"/>
  <c r="D285" i="11"/>
  <c r="D285" i="10"/>
  <c r="D285" i="9"/>
  <c r="X284" i="11"/>
  <c r="X284" i="10"/>
  <c r="X284" i="9"/>
  <c r="P284" i="11"/>
  <c r="P284" i="10"/>
  <c r="P284" i="9"/>
  <c r="H284" i="11"/>
  <c r="H284" i="10"/>
  <c r="H284" i="9"/>
  <c r="AB283" i="11"/>
  <c r="AB283" i="10"/>
  <c r="AB283" i="9"/>
  <c r="T283" i="11"/>
  <c r="T283" i="10"/>
  <c r="T283" i="9"/>
  <c r="L283" i="11"/>
  <c r="L283" i="10"/>
  <c r="L283" i="9"/>
  <c r="D283" i="11"/>
  <c r="D283" i="10"/>
  <c r="D283" i="9"/>
  <c r="AF282" i="11"/>
  <c r="AF282" i="10"/>
  <c r="AF282" i="9"/>
  <c r="X282" i="11"/>
  <c r="X282" i="10"/>
  <c r="X282" i="9"/>
  <c r="P282" i="11"/>
  <c r="P282" i="10"/>
  <c r="P282" i="9"/>
  <c r="H282" i="11"/>
  <c r="H282" i="10"/>
  <c r="H282" i="9"/>
  <c r="AB281" i="11"/>
  <c r="AB281" i="10"/>
  <c r="AB281" i="9"/>
  <c r="T281" i="11"/>
  <c r="T281" i="10"/>
  <c r="T281" i="9"/>
  <c r="L281" i="11"/>
  <c r="L281" i="10"/>
  <c r="L281" i="9"/>
  <c r="D281" i="11"/>
  <c r="D281" i="10"/>
  <c r="D281" i="9"/>
  <c r="AF280" i="11"/>
  <c r="AF280" i="10"/>
  <c r="AF280" i="9"/>
  <c r="X280" i="11"/>
  <c r="X280" i="10"/>
  <c r="X280" i="9"/>
  <c r="P280" i="11"/>
  <c r="P280" i="10"/>
  <c r="P280" i="9"/>
  <c r="H280" i="11"/>
  <c r="H280" i="10"/>
  <c r="H280" i="9"/>
  <c r="AB279" i="11"/>
  <c r="AB279" i="10"/>
  <c r="AB279" i="9"/>
  <c r="T279" i="11"/>
  <c r="T279" i="10"/>
  <c r="T279" i="9"/>
  <c r="L279" i="11"/>
  <c r="L279" i="10"/>
  <c r="L279" i="9"/>
  <c r="D279" i="11"/>
  <c r="D279" i="10"/>
  <c r="D279" i="9"/>
  <c r="AF278" i="11"/>
  <c r="AF278" i="9"/>
  <c r="X278" i="11"/>
  <c r="X278" i="10"/>
  <c r="X278" i="9"/>
  <c r="P278" i="11"/>
  <c r="P278" i="10"/>
  <c r="P278" i="9"/>
  <c r="H278" i="11"/>
  <c r="H278" i="10"/>
  <c r="H278" i="9"/>
  <c r="AB277" i="11"/>
  <c r="AB277" i="10"/>
  <c r="AB277" i="9"/>
  <c r="T277" i="11"/>
  <c r="T277" i="10"/>
  <c r="T277" i="9"/>
  <c r="L277" i="11"/>
  <c r="L277" i="10"/>
  <c r="L277" i="9"/>
  <c r="D277" i="11"/>
  <c r="D277" i="10"/>
  <c r="D277" i="9"/>
  <c r="X276" i="11"/>
  <c r="X276" i="10"/>
  <c r="X276" i="9"/>
  <c r="P276" i="11"/>
  <c r="P276" i="10"/>
  <c r="P276" i="9"/>
  <c r="H276" i="11"/>
  <c r="H276" i="10"/>
  <c r="H276" i="9"/>
  <c r="AB275" i="11"/>
  <c r="AB275" i="10"/>
  <c r="AB275" i="9"/>
  <c r="T275" i="11"/>
  <c r="T275" i="10"/>
  <c r="T275" i="9"/>
  <c r="L275" i="11"/>
  <c r="L275" i="10"/>
  <c r="L275" i="9"/>
  <c r="D275" i="11"/>
  <c r="D275" i="10"/>
  <c r="D275" i="9"/>
  <c r="AF274" i="11"/>
  <c r="AF274" i="10"/>
  <c r="AF274" i="9"/>
  <c r="X274" i="11"/>
  <c r="X274" i="10"/>
  <c r="X274" i="9"/>
  <c r="P274" i="11"/>
  <c r="P274" i="10"/>
  <c r="P274" i="9"/>
  <c r="H274" i="11"/>
  <c r="H274" i="10"/>
  <c r="H274" i="9"/>
  <c r="AB273" i="11"/>
  <c r="AB273" i="10"/>
  <c r="AB273" i="9"/>
  <c r="T273" i="11"/>
  <c r="T273" i="10"/>
  <c r="T273" i="9"/>
  <c r="L273" i="11"/>
  <c r="L273" i="10"/>
  <c r="L273" i="9"/>
  <c r="D273" i="11"/>
  <c r="D273" i="10"/>
  <c r="D273" i="9"/>
  <c r="AF272" i="11"/>
  <c r="AF272" i="10"/>
  <c r="AF272" i="9"/>
  <c r="X272" i="11"/>
  <c r="X272" i="10"/>
  <c r="X272" i="9"/>
  <c r="P272" i="11"/>
  <c r="P272" i="10"/>
  <c r="P272" i="9"/>
  <c r="H272" i="11"/>
  <c r="H272" i="10"/>
  <c r="H272" i="9"/>
  <c r="AB271" i="11"/>
  <c r="AB271" i="10"/>
  <c r="AB271" i="9"/>
  <c r="T271" i="11"/>
  <c r="T271" i="10"/>
  <c r="T271" i="9"/>
  <c r="L271" i="11"/>
  <c r="L271" i="10"/>
  <c r="L271" i="9"/>
  <c r="D271" i="11"/>
  <c r="D271" i="10"/>
  <c r="D271" i="9"/>
  <c r="X270" i="11"/>
  <c r="X270" i="10"/>
  <c r="X270" i="9"/>
  <c r="P270" i="11"/>
  <c r="P270" i="10"/>
  <c r="P270" i="9"/>
  <c r="H270" i="11"/>
  <c r="H270" i="10"/>
  <c r="H270" i="9"/>
  <c r="AB269" i="11"/>
  <c r="AB269" i="10"/>
  <c r="AB269" i="9"/>
  <c r="T269" i="11"/>
  <c r="T269" i="10"/>
  <c r="T269" i="9"/>
  <c r="L269" i="11"/>
  <c r="L269" i="10"/>
  <c r="L269" i="9"/>
  <c r="D269" i="11"/>
  <c r="D269" i="10"/>
  <c r="D269" i="9"/>
  <c r="X268" i="11"/>
  <c r="X268" i="10"/>
  <c r="X268" i="9"/>
  <c r="P268" i="11"/>
  <c r="P268" i="10"/>
  <c r="P268" i="9"/>
  <c r="H268" i="11"/>
  <c r="H268" i="10"/>
  <c r="H268" i="9"/>
  <c r="AB267" i="11"/>
  <c r="AB267" i="10"/>
  <c r="AB267" i="9"/>
  <c r="T267" i="11"/>
  <c r="T267" i="10"/>
  <c r="T267" i="9"/>
  <c r="L267" i="11"/>
  <c r="L267" i="10"/>
  <c r="L267" i="9"/>
  <c r="D267" i="11"/>
  <c r="D267" i="10"/>
  <c r="D267" i="9"/>
  <c r="AF266" i="11"/>
  <c r="AF266" i="10"/>
  <c r="AF266" i="9"/>
  <c r="X266" i="11"/>
  <c r="X266" i="10"/>
  <c r="X266" i="9"/>
  <c r="P266" i="11"/>
  <c r="P266" i="10"/>
  <c r="P266" i="9"/>
  <c r="H266" i="11"/>
  <c r="H266" i="10"/>
  <c r="H266" i="9"/>
  <c r="AB265" i="11"/>
  <c r="AB265" i="10"/>
  <c r="AB265" i="9"/>
  <c r="T265" i="11"/>
  <c r="T265" i="10"/>
  <c r="T265" i="9"/>
  <c r="L265" i="11"/>
  <c r="L265" i="10"/>
  <c r="L265" i="9"/>
  <c r="D265" i="11"/>
  <c r="D265" i="10"/>
  <c r="D265" i="9"/>
  <c r="AF264" i="11"/>
  <c r="AF264" i="10"/>
  <c r="AF264" i="9"/>
  <c r="X264" i="11"/>
  <c r="X264" i="10"/>
  <c r="X264" i="9"/>
  <c r="P264" i="11"/>
  <c r="P264" i="10"/>
  <c r="P264" i="9"/>
  <c r="H264" i="11"/>
  <c r="H264" i="10"/>
  <c r="H264" i="9"/>
  <c r="AB263" i="11"/>
  <c r="AB263" i="10"/>
  <c r="AB263" i="9"/>
  <c r="T263" i="11"/>
  <c r="T263" i="10"/>
  <c r="T263" i="9"/>
  <c r="L263" i="11"/>
  <c r="L263" i="10"/>
  <c r="L263" i="9"/>
  <c r="D263" i="11"/>
  <c r="D263" i="10"/>
  <c r="D263" i="9"/>
  <c r="AF262" i="11"/>
  <c r="AF262" i="10"/>
  <c r="AF262" i="9"/>
  <c r="X262" i="11"/>
  <c r="X262" i="10"/>
  <c r="X262" i="9"/>
  <c r="P262" i="11"/>
  <c r="P262" i="10"/>
  <c r="P262" i="9"/>
  <c r="H262" i="11"/>
  <c r="H262" i="10"/>
  <c r="H262" i="9"/>
  <c r="AB261" i="11"/>
  <c r="AB261" i="10"/>
  <c r="AB261" i="9"/>
  <c r="T261" i="11"/>
  <c r="T261" i="10"/>
  <c r="T261" i="9"/>
  <c r="L261" i="11"/>
  <c r="L261" i="10"/>
  <c r="L261" i="9"/>
  <c r="D261" i="11"/>
  <c r="D261" i="10"/>
  <c r="D261" i="9"/>
  <c r="AF260" i="11"/>
  <c r="AF260" i="10"/>
  <c r="AF260" i="9"/>
  <c r="X260" i="11"/>
  <c r="X260" i="10"/>
  <c r="X260" i="9"/>
  <c r="P260" i="11"/>
  <c r="P260" i="10"/>
  <c r="P260" i="9"/>
  <c r="H260" i="11"/>
  <c r="H260" i="10"/>
  <c r="H260" i="9"/>
  <c r="AB259" i="11"/>
  <c r="AB259" i="10"/>
  <c r="AB259" i="9"/>
  <c r="T259" i="11"/>
  <c r="T259" i="10"/>
  <c r="T259" i="9"/>
  <c r="L259" i="11"/>
  <c r="L259" i="10"/>
  <c r="L259" i="9"/>
  <c r="D259" i="11"/>
  <c r="D259" i="10"/>
  <c r="D259" i="9"/>
  <c r="AF258" i="11"/>
  <c r="AF258" i="10"/>
  <c r="AF258" i="9"/>
  <c r="X258" i="11"/>
  <c r="X258" i="10"/>
  <c r="X258" i="9"/>
  <c r="P258" i="11"/>
  <c r="P258" i="10"/>
  <c r="P258" i="9"/>
  <c r="H258" i="11"/>
  <c r="H258" i="10"/>
  <c r="H258" i="9"/>
  <c r="AB257" i="11"/>
  <c r="AB257" i="10"/>
  <c r="AB257" i="9"/>
  <c r="T257" i="11"/>
  <c r="T257" i="10"/>
  <c r="T257" i="9"/>
  <c r="L257" i="11"/>
  <c r="L257" i="10"/>
  <c r="L257" i="9"/>
  <c r="D257" i="11"/>
  <c r="D257" i="10"/>
  <c r="D257" i="9"/>
  <c r="AF256" i="11"/>
  <c r="AF256" i="10"/>
  <c r="AF256" i="9"/>
  <c r="X256" i="11"/>
  <c r="X256" i="10"/>
  <c r="X256" i="9"/>
  <c r="P256" i="11"/>
  <c r="P256" i="10"/>
  <c r="P256" i="9"/>
  <c r="H256" i="11"/>
  <c r="H256" i="10"/>
  <c r="H256" i="9"/>
  <c r="AB255" i="11"/>
  <c r="AB255" i="10"/>
  <c r="AB255" i="9"/>
  <c r="T255" i="11"/>
  <c r="T255" i="10"/>
  <c r="T255" i="9"/>
  <c r="L255" i="11"/>
  <c r="L255" i="10"/>
  <c r="L255" i="9"/>
  <c r="D255" i="11"/>
  <c r="D255" i="10"/>
  <c r="D255" i="9"/>
  <c r="AF254" i="11"/>
  <c r="AF254" i="10"/>
  <c r="AF254" i="9"/>
  <c r="X254" i="11"/>
  <c r="X254" i="10"/>
  <c r="X254" i="9"/>
  <c r="P254" i="11"/>
  <c r="P254" i="10"/>
  <c r="P254" i="9"/>
  <c r="H254" i="11"/>
  <c r="H254" i="10"/>
  <c r="H254" i="9"/>
  <c r="AB253" i="11"/>
  <c r="AB253" i="10"/>
  <c r="AB253" i="9"/>
  <c r="T253" i="11"/>
  <c r="T253" i="10"/>
  <c r="T253" i="9"/>
  <c r="L253" i="11"/>
  <c r="L253" i="10"/>
  <c r="L253" i="9"/>
  <c r="D253" i="11"/>
  <c r="D253" i="10"/>
  <c r="D253" i="9"/>
  <c r="AF252" i="11"/>
  <c r="AF252" i="10"/>
  <c r="AF252" i="9"/>
  <c r="X252" i="11"/>
  <c r="X252" i="10"/>
  <c r="X252" i="9"/>
  <c r="P252" i="11"/>
  <c r="P252" i="10"/>
  <c r="P252" i="9"/>
  <c r="H252" i="11"/>
  <c r="H252" i="10"/>
  <c r="H252" i="9"/>
  <c r="AB251" i="11"/>
  <c r="AB251" i="10"/>
  <c r="AB251" i="9"/>
  <c r="T251" i="11"/>
  <c r="T251" i="10"/>
  <c r="T251" i="9"/>
  <c r="L251" i="11"/>
  <c r="L251" i="10"/>
  <c r="L251" i="9"/>
  <c r="D251" i="11"/>
  <c r="D251" i="10"/>
  <c r="D251" i="9"/>
  <c r="X250" i="11"/>
  <c r="X250" i="10"/>
  <c r="X250" i="9"/>
  <c r="P250" i="11"/>
  <c r="P250" i="10"/>
  <c r="P250" i="9"/>
  <c r="H250" i="11"/>
  <c r="H250" i="10"/>
  <c r="H250" i="9"/>
  <c r="AB249" i="11"/>
  <c r="AB249" i="10"/>
  <c r="AB249" i="9"/>
  <c r="T249" i="11"/>
  <c r="T249" i="10"/>
  <c r="T249" i="9"/>
  <c r="L249" i="11"/>
  <c r="L249" i="10"/>
  <c r="L249" i="9"/>
  <c r="D249" i="11"/>
  <c r="D249" i="10"/>
  <c r="D249" i="9"/>
  <c r="X248" i="11"/>
  <c r="X248" i="10"/>
  <c r="X248" i="9"/>
  <c r="P248" i="11"/>
  <c r="P248" i="10"/>
  <c r="P248" i="9"/>
  <c r="H248" i="11"/>
  <c r="H248" i="10"/>
  <c r="H248" i="9"/>
  <c r="AB247" i="11"/>
  <c r="AB247" i="10"/>
  <c r="AB247" i="9"/>
  <c r="T247" i="11"/>
  <c r="T247" i="10"/>
  <c r="T247" i="9"/>
  <c r="L247" i="11"/>
  <c r="L247" i="10"/>
  <c r="L247" i="9"/>
  <c r="D247" i="11"/>
  <c r="D247" i="10"/>
  <c r="D247" i="9"/>
  <c r="AF246" i="11"/>
  <c r="AF246" i="10"/>
  <c r="AF246" i="9"/>
  <c r="X246" i="11"/>
  <c r="X246" i="10"/>
  <c r="X246" i="9"/>
  <c r="P246" i="11"/>
  <c r="P246" i="10"/>
  <c r="P246" i="9"/>
  <c r="H246" i="11"/>
  <c r="H246" i="10"/>
  <c r="H246" i="9"/>
  <c r="AB245" i="11"/>
  <c r="AB245" i="10"/>
  <c r="AB245" i="9"/>
  <c r="T245" i="11"/>
  <c r="T245" i="10"/>
  <c r="T245" i="9"/>
  <c r="L245" i="11"/>
  <c r="L245" i="10"/>
  <c r="L245" i="9"/>
  <c r="D245" i="11"/>
  <c r="D245" i="10"/>
  <c r="D245" i="9"/>
  <c r="AF244" i="11"/>
  <c r="AF244" i="10"/>
  <c r="AF244" i="9"/>
  <c r="X244" i="11"/>
  <c r="X244" i="10"/>
  <c r="X244" i="9"/>
  <c r="P244" i="11"/>
  <c r="P244" i="10"/>
  <c r="P244" i="9"/>
  <c r="H244" i="11"/>
  <c r="H244" i="10"/>
  <c r="H244" i="9"/>
  <c r="AB243" i="11"/>
  <c r="AB243" i="10"/>
  <c r="AB243" i="9"/>
  <c r="T243" i="11"/>
  <c r="T243" i="10"/>
  <c r="T243" i="9"/>
  <c r="L243" i="11"/>
  <c r="L243" i="10"/>
  <c r="L243" i="9"/>
  <c r="D243" i="11"/>
  <c r="D243" i="10"/>
  <c r="D243" i="9"/>
  <c r="AF242" i="11"/>
  <c r="AF242" i="10"/>
  <c r="AF242" i="9"/>
  <c r="X242" i="11"/>
  <c r="X242" i="10"/>
  <c r="X242" i="9"/>
  <c r="P242" i="11"/>
  <c r="P242" i="10"/>
  <c r="P242" i="9"/>
  <c r="H242" i="11"/>
  <c r="H242" i="10"/>
  <c r="H242" i="9"/>
  <c r="AB241" i="11"/>
  <c r="AB241" i="10"/>
  <c r="AB241" i="9"/>
  <c r="T241" i="11"/>
  <c r="T241" i="10"/>
  <c r="T241" i="9"/>
  <c r="L241" i="11"/>
  <c r="L241" i="10"/>
  <c r="L241" i="9"/>
  <c r="D241" i="11"/>
  <c r="D241" i="10"/>
  <c r="D241" i="9"/>
  <c r="AF240" i="11"/>
  <c r="AF240" i="10"/>
  <c r="AF240" i="9"/>
  <c r="X240" i="11"/>
  <c r="X240" i="10"/>
  <c r="X240" i="9"/>
  <c r="P240" i="11"/>
  <c r="P240" i="10"/>
  <c r="P240" i="9"/>
  <c r="H240" i="11"/>
  <c r="H240" i="10"/>
  <c r="H240" i="9"/>
  <c r="AB239" i="11"/>
  <c r="AB239" i="10"/>
  <c r="AB239" i="9"/>
  <c r="T239" i="11"/>
  <c r="T239" i="10"/>
  <c r="T239" i="9"/>
  <c r="L239" i="11"/>
  <c r="L239" i="10"/>
  <c r="L239" i="9"/>
  <c r="D239" i="11"/>
  <c r="D239" i="10"/>
  <c r="D239" i="9"/>
  <c r="AF238" i="11"/>
  <c r="AF238" i="10"/>
  <c r="AF238" i="9"/>
  <c r="X238" i="11"/>
  <c r="X238" i="10"/>
  <c r="X238" i="9"/>
  <c r="P238" i="11"/>
  <c r="P238" i="10"/>
  <c r="P238" i="9"/>
  <c r="H238" i="11"/>
  <c r="H238" i="10"/>
  <c r="H238" i="9"/>
  <c r="AB237" i="11"/>
  <c r="AB237" i="10"/>
  <c r="AB237" i="9"/>
  <c r="T237" i="11"/>
  <c r="T237" i="10"/>
  <c r="T237" i="9"/>
  <c r="L237" i="11"/>
  <c r="L237" i="10"/>
  <c r="L237" i="9"/>
  <c r="D237" i="11"/>
  <c r="D237" i="10"/>
  <c r="D237" i="9"/>
  <c r="X236" i="11"/>
  <c r="X236" i="10"/>
  <c r="X236" i="9"/>
  <c r="P236" i="11"/>
  <c r="P236" i="10"/>
  <c r="P236" i="9"/>
  <c r="H236" i="11"/>
  <c r="H236" i="10"/>
  <c r="H236" i="9"/>
  <c r="AB235" i="11"/>
  <c r="AB235" i="10"/>
  <c r="AB235" i="9"/>
  <c r="T235" i="11"/>
  <c r="T235" i="10"/>
  <c r="T235" i="9"/>
  <c r="L235" i="11"/>
  <c r="L235" i="10"/>
  <c r="L235" i="9"/>
  <c r="D235" i="11"/>
  <c r="D235" i="10"/>
  <c r="D235" i="9"/>
  <c r="AF234" i="11"/>
  <c r="AF234" i="10"/>
  <c r="AF234" i="9"/>
  <c r="X234" i="11"/>
  <c r="X234" i="10"/>
  <c r="X234" i="9"/>
  <c r="P234" i="11"/>
  <c r="P234" i="10"/>
  <c r="P234" i="9"/>
  <c r="H234" i="11"/>
  <c r="H234" i="10"/>
  <c r="H234" i="9"/>
  <c r="AB233" i="11"/>
  <c r="AB233" i="10"/>
  <c r="AB233" i="9"/>
  <c r="T233" i="11"/>
  <c r="T233" i="10"/>
  <c r="T233" i="9"/>
  <c r="L233" i="11"/>
  <c r="L233" i="10"/>
  <c r="L233" i="9"/>
  <c r="D233" i="11"/>
  <c r="D233" i="10"/>
  <c r="D233" i="9"/>
  <c r="AF232" i="11"/>
  <c r="AF232" i="10"/>
  <c r="AF232" i="9"/>
  <c r="X232" i="11"/>
  <c r="X232" i="10"/>
  <c r="X232" i="9"/>
  <c r="P232" i="11"/>
  <c r="P232" i="10"/>
  <c r="P232" i="9"/>
  <c r="H232" i="11"/>
  <c r="H232" i="10"/>
  <c r="H232" i="9"/>
  <c r="AB231" i="11"/>
  <c r="AB231" i="10"/>
  <c r="AB231" i="9"/>
  <c r="T231" i="11"/>
  <c r="T231" i="10"/>
  <c r="T231" i="9"/>
  <c r="L231" i="11"/>
  <c r="L231" i="10"/>
  <c r="L231" i="9"/>
  <c r="D231" i="11"/>
  <c r="D231" i="10"/>
  <c r="D231" i="9"/>
  <c r="AF230" i="11"/>
  <c r="AF230" i="10"/>
  <c r="AF230" i="9"/>
  <c r="X230" i="11"/>
  <c r="X230" i="10"/>
  <c r="X230" i="9"/>
  <c r="P230" i="11"/>
  <c r="P230" i="10"/>
  <c r="P230" i="9"/>
  <c r="H230" i="11"/>
  <c r="H230" i="10"/>
  <c r="H230" i="9"/>
  <c r="AB229" i="11"/>
  <c r="AB229" i="10"/>
  <c r="AB229" i="9"/>
  <c r="T229" i="11"/>
  <c r="T229" i="10"/>
  <c r="T229" i="9"/>
  <c r="L229" i="11"/>
  <c r="L229" i="10"/>
  <c r="L229" i="9"/>
  <c r="D229" i="11"/>
  <c r="D229" i="10"/>
  <c r="D229" i="9"/>
  <c r="X228" i="11"/>
  <c r="X228" i="10"/>
  <c r="X228" i="9"/>
  <c r="P228" i="11"/>
  <c r="P228" i="10"/>
  <c r="P228" i="9"/>
  <c r="H228" i="11"/>
  <c r="H228" i="10"/>
  <c r="H228" i="9"/>
  <c r="AB227" i="11"/>
  <c r="AB227" i="10"/>
  <c r="AB227" i="9"/>
  <c r="T227" i="11"/>
  <c r="T227" i="10"/>
  <c r="T227" i="9"/>
  <c r="L227" i="11"/>
  <c r="L227" i="10"/>
  <c r="L227" i="9"/>
  <c r="D227" i="11"/>
  <c r="D227" i="10"/>
  <c r="D227" i="9"/>
  <c r="X226" i="11"/>
  <c r="X226" i="10"/>
  <c r="X226" i="9"/>
  <c r="P226" i="11"/>
  <c r="P226" i="10"/>
  <c r="P226" i="9"/>
  <c r="H226" i="11"/>
  <c r="H226" i="10"/>
  <c r="H226" i="9"/>
  <c r="AB225" i="11"/>
  <c r="AB225" i="10"/>
  <c r="AB225" i="9"/>
  <c r="T225" i="11"/>
  <c r="T225" i="10"/>
  <c r="T225" i="9"/>
  <c r="L225" i="11"/>
  <c r="L225" i="10"/>
  <c r="L225" i="9"/>
  <c r="D225" i="11"/>
  <c r="D225" i="10"/>
  <c r="D225" i="9"/>
  <c r="AF224" i="11"/>
  <c r="AF224" i="10"/>
  <c r="AF224" i="9"/>
  <c r="X224" i="11"/>
  <c r="X224" i="10"/>
  <c r="X224" i="9"/>
  <c r="P224" i="11"/>
  <c r="P224" i="10"/>
  <c r="P224" i="9"/>
  <c r="H224" i="11"/>
  <c r="H224" i="10"/>
  <c r="H224" i="9"/>
  <c r="AB223" i="11"/>
  <c r="AB223" i="10"/>
  <c r="AB223" i="9"/>
  <c r="T223" i="11"/>
  <c r="T223" i="10"/>
  <c r="T223" i="9"/>
  <c r="L223" i="11"/>
  <c r="L223" i="10"/>
  <c r="L223" i="9"/>
  <c r="D223" i="11"/>
  <c r="D223" i="10"/>
  <c r="D223" i="9"/>
  <c r="X222" i="11"/>
  <c r="X222" i="10"/>
  <c r="X222" i="9"/>
  <c r="P222" i="11"/>
  <c r="P222" i="10"/>
  <c r="P222" i="9"/>
  <c r="H222" i="11"/>
  <c r="H222" i="10"/>
  <c r="H222" i="9"/>
  <c r="AB221" i="11"/>
  <c r="AB221" i="10"/>
  <c r="AB221" i="9"/>
  <c r="T221" i="11"/>
  <c r="T221" i="10"/>
  <c r="T221" i="9"/>
  <c r="L221" i="11"/>
  <c r="L221" i="10"/>
  <c r="L221" i="9"/>
  <c r="D221" i="11"/>
  <c r="D221" i="10"/>
  <c r="D221" i="9"/>
  <c r="AF220" i="11"/>
  <c r="AF220" i="10"/>
  <c r="AF220" i="9"/>
  <c r="X220" i="11"/>
  <c r="X220" i="10"/>
  <c r="X220" i="9"/>
  <c r="P220" i="11"/>
  <c r="P220" i="10"/>
  <c r="P220" i="9"/>
  <c r="H220" i="11"/>
  <c r="H220" i="10"/>
  <c r="H220" i="9"/>
  <c r="AB219" i="11"/>
  <c r="AB219" i="10"/>
  <c r="AB219" i="9"/>
  <c r="T219" i="11"/>
  <c r="T219" i="10"/>
  <c r="T219" i="9"/>
  <c r="L219" i="11"/>
  <c r="L219" i="10"/>
  <c r="L219" i="9"/>
  <c r="D219" i="11"/>
  <c r="D219" i="10"/>
  <c r="D219" i="9"/>
  <c r="AF218" i="11"/>
  <c r="AF218" i="10"/>
  <c r="AF218" i="9"/>
  <c r="X218" i="11"/>
  <c r="X218" i="10"/>
  <c r="X218" i="9"/>
  <c r="P218" i="11"/>
  <c r="P218" i="10"/>
  <c r="P218" i="9"/>
  <c r="H218" i="11"/>
  <c r="H218" i="10"/>
  <c r="H218" i="9"/>
  <c r="AB217" i="11"/>
  <c r="AB217" i="10"/>
  <c r="AB217" i="9"/>
  <c r="T217" i="11"/>
  <c r="T217" i="10"/>
  <c r="T217" i="9"/>
  <c r="L217" i="11"/>
  <c r="L217" i="10"/>
  <c r="L217" i="9"/>
  <c r="D217" i="11"/>
  <c r="D217" i="10"/>
  <c r="D217" i="9"/>
  <c r="AF216" i="11"/>
  <c r="AF216" i="10"/>
  <c r="AF216" i="9"/>
  <c r="X216" i="11"/>
  <c r="X216" i="10"/>
  <c r="X216" i="9"/>
  <c r="P216" i="11"/>
  <c r="P216" i="10"/>
  <c r="P216" i="9"/>
  <c r="H216" i="11"/>
  <c r="H216" i="10"/>
  <c r="H216" i="9"/>
  <c r="AB215" i="11"/>
  <c r="AB215" i="10"/>
  <c r="AB215" i="9"/>
  <c r="T215" i="11"/>
  <c r="T215" i="10"/>
  <c r="T215" i="9"/>
  <c r="L215" i="11"/>
  <c r="L215" i="10"/>
  <c r="L215" i="9"/>
  <c r="D215" i="11"/>
  <c r="D215" i="10"/>
  <c r="D215" i="9"/>
  <c r="AF214" i="11"/>
  <c r="AF214" i="10"/>
  <c r="AF214" i="9"/>
  <c r="X214" i="11"/>
  <c r="X214" i="10"/>
  <c r="X214" i="9"/>
  <c r="P214" i="11"/>
  <c r="P214" i="10"/>
  <c r="P214" i="9"/>
  <c r="H214" i="11"/>
  <c r="H214" i="10"/>
  <c r="H214" i="9"/>
  <c r="AB213" i="11"/>
  <c r="AB213" i="10"/>
  <c r="AB213" i="9"/>
  <c r="T213" i="11"/>
  <c r="T213" i="10"/>
  <c r="T213" i="9"/>
  <c r="L213" i="11"/>
  <c r="L213" i="10"/>
  <c r="L213" i="9"/>
  <c r="D213" i="11"/>
  <c r="D213" i="10"/>
  <c r="D213" i="9"/>
  <c r="AF212" i="11"/>
  <c r="AF212" i="10"/>
  <c r="AF212" i="9"/>
  <c r="X212" i="11"/>
  <c r="X212" i="10"/>
  <c r="X212" i="9"/>
  <c r="P212" i="11"/>
  <c r="P212" i="10"/>
  <c r="P212" i="9"/>
  <c r="H212" i="11"/>
  <c r="H212" i="10"/>
  <c r="H212" i="9"/>
  <c r="AB211" i="11"/>
  <c r="AB211" i="10"/>
  <c r="AB211" i="9"/>
  <c r="T211" i="11"/>
  <c r="T211" i="10"/>
  <c r="T211" i="9"/>
  <c r="L211" i="11"/>
  <c r="L211" i="10"/>
  <c r="L211" i="9"/>
  <c r="D211" i="11"/>
  <c r="D211" i="10"/>
  <c r="D211" i="9"/>
  <c r="AF210" i="11"/>
  <c r="AF210" i="10"/>
  <c r="AF210" i="9"/>
  <c r="X210" i="11"/>
  <c r="X210" i="10"/>
  <c r="X210" i="9"/>
  <c r="P210" i="11"/>
  <c r="P210" i="10"/>
  <c r="P210" i="9"/>
  <c r="H210" i="11"/>
  <c r="H210" i="10"/>
  <c r="H210" i="9"/>
  <c r="AB209" i="11"/>
  <c r="AB209" i="10"/>
  <c r="AB209" i="9"/>
  <c r="T209" i="11"/>
  <c r="T209" i="10"/>
  <c r="T209" i="9"/>
  <c r="L209" i="11"/>
  <c r="L209" i="10"/>
  <c r="L209" i="9"/>
  <c r="D209" i="11"/>
  <c r="D209" i="10"/>
  <c r="D209" i="9"/>
  <c r="AF208" i="11"/>
  <c r="AF208" i="10"/>
  <c r="AF208" i="9"/>
  <c r="X208" i="11"/>
  <c r="X208" i="10"/>
  <c r="X208" i="9"/>
  <c r="P208" i="11"/>
  <c r="P208" i="10"/>
  <c r="P208" i="9"/>
  <c r="H208" i="11"/>
  <c r="H208" i="10"/>
  <c r="H208" i="9"/>
  <c r="AB207" i="11"/>
  <c r="AB207" i="10"/>
  <c r="AB207" i="9"/>
  <c r="T207" i="11"/>
  <c r="T207" i="10"/>
  <c r="T207" i="9"/>
  <c r="L207" i="11"/>
  <c r="L207" i="10"/>
  <c r="L207" i="9"/>
  <c r="D207" i="11"/>
  <c r="D207" i="10"/>
  <c r="D207" i="9"/>
  <c r="AF206" i="11"/>
  <c r="AF206" i="10"/>
  <c r="AF206" i="9"/>
  <c r="X206" i="11"/>
  <c r="X206" i="10"/>
  <c r="X206" i="9"/>
  <c r="P206" i="11"/>
  <c r="P206" i="10"/>
  <c r="P206" i="9"/>
  <c r="H206" i="11"/>
  <c r="H206" i="10"/>
  <c r="H206" i="9"/>
  <c r="AB205" i="11"/>
  <c r="AB205" i="10"/>
  <c r="AB205" i="9"/>
  <c r="T205" i="11"/>
  <c r="T205" i="10"/>
  <c r="T205" i="9"/>
  <c r="L205" i="11"/>
  <c r="L205" i="10"/>
  <c r="L205" i="9"/>
  <c r="D205" i="11"/>
  <c r="D205" i="10"/>
  <c r="D205" i="9"/>
  <c r="X204" i="11"/>
  <c r="X204" i="10"/>
  <c r="X204" i="9"/>
  <c r="P204" i="11"/>
  <c r="P204" i="10"/>
  <c r="P204" i="9"/>
  <c r="H204" i="11"/>
  <c r="H204" i="10"/>
  <c r="H204" i="9"/>
  <c r="AB203" i="11"/>
  <c r="AB203" i="10"/>
  <c r="AB203" i="9"/>
  <c r="T203" i="11"/>
  <c r="T203" i="10"/>
  <c r="T203" i="9"/>
  <c r="L203" i="11"/>
  <c r="L203" i="10"/>
  <c r="L203" i="9"/>
  <c r="D203" i="11"/>
  <c r="D203" i="10"/>
  <c r="D203" i="9"/>
  <c r="AF202" i="11"/>
  <c r="AF202" i="10"/>
  <c r="AF202" i="9"/>
  <c r="X202" i="11"/>
  <c r="X202" i="10"/>
  <c r="X202" i="9"/>
  <c r="P202" i="11"/>
  <c r="P202" i="10"/>
  <c r="P202" i="9"/>
  <c r="H202" i="11"/>
  <c r="H202" i="10"/>
  <c r="H202" i="9"/>
  <c r="AB201" i="11"/>
  <c r="AB201" i="10"/>
  <c r="AB201" i="9"/>
  <c r="T201" i="11"/>
  <c r="T201" i="10"/>
  <c r="T201" i="9"/>
  <c r="L201" i="11"/>
  <c r="L201" i="10"/>
  <c r="L201" i="9"/>
  <c r="D201" i="11"/>
  <c r="D201" i="10"/>
  <c r="D201" i="9"/>
  <c r="X200" i="11"/>
  <c r="X200" i="10"/>
  <c r="X200" i="9"/>
  <c r="P200" i="11"/>
  <c r="P200" i="10"/>
  <c r="P200" i="9"/>
  <c r="H200" i="11"/>
  <c r="H200" i="10"/>
  <c r="H200" i="9"/>
  <c r="AB199" i="11"/>
  <c r="AB199" i="10"/>
  <c r="AB199" i="9"/>
  <c r="T199" i="11"/>
  <c r="T199" i="10"/>
  <c r="T199" i="9"/>
  <c r="L199" i="11"/>
  <c r="L199" i="10"/>
  <c r="L199" i="9"/>
  <c r="D199" i="11"/>
  <c r="D199" i="10"/>
  <c r="D199" i="9"/>
  <c r="AF198" i="11"/>
  <c r="AF198" i="10"/>
  <c r="AF198" i="9"/>
  <c r="X198" i="11"/>
  <c r="X198" i="10"/>
  <c r="X198" i="9"/>
  <c r="P198" i="11"/>
  <c r="P198" i="10"/>
  <c r="P198" i="9"/>
  <c r="H198" i="11"/>
  <c r="H198" i="10"/>
  <c r="H198" i="9"/>
  <c r="AB197" i="11"/>
  <c r="AB197" i="10"/>
  <c r="AB197" i="9"/>
  <c r="T197" i="11"/>
  <c r="T197" i="10"/>
  <c r="T197" i="9"/>
  <c r="L197" i="11"/>
  <c r="L197" i="10"/>
  <c r="L197" i="9"/>
  <c r="D197" i="11"/>
  <c r="D197" i="10"/>
  <c r="D197" i="9"/>
  <c r="X196" i="11"/>
  <c r="X196" i="10"/>
  <c r="X196" i="9"/>
  <c r="P196" i="11"/>
  <c r="P196" i="10"/>
  <c r="P196" i="9"/>
  <c r="H196" i="11"/>
  <c r="H196" i="10"/>
  <c r="H196" i="9"/>
  <c r="AB195" i="11"/>
  <c r="AB195" i="10"/>
  <c r="AB195" i="9"/>
  <c r="T195" i="11"/>
  <c r="T195" i="10"/>
  <c r="T195" i="9"/>
  <c r="L195" i="11"/>
  <c r="L195" i="10"/>
  <c r="L195" i="9"/>
  <c r="D195" i="11"/>
  <c r="D195" i="10"/>
  <c r="D195" i="9"/>
  <c r="AF194" i="11"/>
  <c r="AF194" i="10"/>
  <c r="AF194" i="9"/>
  <c r="X194" i="11"/>
  <c r="X194" i="10"/>
  <c r="X194" i="9"/>
  <c r="P194" i="11"/>
  <c r="P194" i="10"/>
  <c r="P194" i="9"/>
  <c r="H194" i="11"/>
  <c r="H194" i="10"/>
  <c r="H194" i="9"/>
  <c r="AB193" i="11"/>
  <c r="AB193" i="10"/>
  <c r="AB193" i="9"/>
  <c r="T193" i="11"/>
  <c r="T193" i="10"/>
  <c r="T193" i="9"/>
  <c r="L193" i="11"/>
  <c r="L193" i="10"/>
  <c r="L193" i="9"/>
  <c r="D193" i="11"/>
  <c r="D193" i="10"/>
  <c r="D193" i="9"/>
  <c r="X192" i="11"/>
  <c r="X192" i="10"/>
  <c r="X192" i="9"/>
  <c r="P192" i="11"/>
  <c r="P192" i="10"/>
  <c r="P192" i="9"/>
  <c r="H192" i="11"/>
  <c r="H192" i="10"/>
  <c r="H192" i="9"/>
  <c r="AB191" i="11"/>
  <c r="AB191" i="10"/>
  <c r="AB191" i="9"/>
  <c r="T191" i="11"/>
  <c r="T191" i="10"/>
  <c r="T191" i="9"/>
  <c r="L191" i="11"/>
  <c r="L191" i="10"/>
  <c r="L191" i="9"/>
  <c r="D191" i="11"/>
  <c r="D191" i="10"/>
  <c r="D191" i="9"/>
  <c r="X190" i="11"/>
  <c r="X190" i="10"/>
  <c r="X190" i="9"/>
  <c r="P190" i="11"/>
  <c r="P190" i="10"/>
  <c r="P190" i="9"/>
  <c r="H190" i="11"/>
  <c r="H190" i="10"/>
  <c r="H190" i="9"/>
  <c r="AB189" i="11"/>
  <c r="AB189" i="10"/>
  <c r="AB189" i="9"/>
  <c r="T189" i="11"/>
  <c r="T189" i="10"/>
  <c r="T189" i="9"/>
  <c r="L189" i="11"/>
  <c r="L189" i="10"/>
  <c r="L189" i="9"/>
  <c r="D189" i="11"/>
  <c r="D189" i="10"/>
  <c r="D189" i="9"/>
  <c r="AF188" i="11"/>
  <c r="AF188" i="10"/>
  <c r="AF188" i="9"/>
  <c r="X188" i="11"/>
  <c r="X188" i="10"/>
  <c r="X188" i="9"/>
  <c r="P188" i="11"/>
  <c r="P188" i="10"/>
  <c r="P188" i="9"/>
  <c r="H188" i="11"/>
  <c r="H188" i="10"/>
  <c r="H188" i="9"/>
  <c r="AB187" i="11"/>
  <c r="AB187" i="10"/>
  <c r="AB187" i="9"/>
  <c r="T187" i="11"/>
  <c r="T187" i="10"/>
  <c r="T187" i="9"/>
  <c r="L187" i="11"/>
  <c r="L187" i="10"/>
  <c r="L187" i="9"/>
  <c r="D187" i="11"/>
  <c r="D187" i="10"/>
  <c r="D187" i="9"/>
  <c r="X186" i="11"/>
  <c r="X186" i="10"/>
  <c r="X186" i="9"/>
  <c r="P186" i="11"/>
  <c r="P186" i="10"/>
  <c r="P186" i="9"/>
  <c r="H186" i="11"/>
  <c r="H186" i="10"/>
  <c r="H186" i="9"/>
  <c r="AB185" i="11"/>
  <c r="AB185" i="10"/>
  <c r="AB185" i="9"/>
  <c r="T185" i="11"/>
  <c r="T185" i="10"/>
  <c r="T185" i="9"/>
  <c r="L185" i="11"/>
  <c r="L185" i="10"/>
  <c r="L185" i="9"/>
  <c r="D185" i="11"/>
  <c r="D185" i="10"/>
  <c r="D185" i="9"/>
  <c r="AF184" i="11"/>
  <c r="AF184" i="10"/>
  <c r="AF184" i="9"/>
  <c r="X184" i="11"/>
  <c r="X184" i="10"/>
  <c r="X184" i="9"/>
  <c r="P184" i="11"/>
  <c r="P184" i="10"/>
  <c r="P184" i="9"/>
  <c r="H184" i="11"/>
  <c r="H184" i="10"/>
  <c r="H184" i="9"/>
  <c r="AB183" i="11"/>
  <c r="AB183" i="10"/>
  <c r="AB183" i="9"/>
  <c r="T183" i="11"/>
  <c r="T183" i="10"/>
  <c r="T183" i="9"/>
  <c r="L183" i="11"/>
  <c r="L183" i="10"/>
  <c r="L183" i="9"/>
  <c r="D183" i="11"/>
  <c r="D183" i="10"/>
  <c r="D183" i="9"/>
  <c r="AF182" i="11"/>
  <c r="AF182" i="10"/>
  <c r="AF182" i="9"/>
  <c r="X182" i="11"/>
  <c r="X182" i="10"/>
  <c r="X182" i="9"/>
  <c r="P182" i="11"/>
  <c r="P182" i="10"/>
  <c r="P182" i="9"/>
  <c r="H182" i="11"/>
  <c r="H182" i="10"/>
  <c r="H182" i="9"/>
  <c r="AB181" i="11"/>
  <c r="AB181" i="10"/>
  <c r="AB181" i="9"/>
  <c r="T181" i="11"/>
  <c r="T181" i="10"/>
  <c r="T181" i="9"/>
  <c r="L181" i="11"/>
  <c r="L181" i="10"/>
  <c r="L181" i="9"/>
  <c r="D181" i="11"/>
  <c r="D181" i="10"/>
  <c r="D181" i="9"/>
  <c r="AF180" i="11"/>
  <c r="AF180" i="10"/>
  <c r="AF180" i="9"/>
  <c r="X180" i="11"/>
  <c r="X180" i="10"/>
  <c r="X180" i="9"/>
  <c r="P180" i="11"/>
  <c r="P180" i="10"/>
  <c r="P180" i="9"/>
  <c r="H180" i="11"/>
  <c r="H180" i="10"/>
  <c r="H180" i="9"/>
  <c r="AB179" i="11"/>
  <c r="AB179" i="10"/>
  <c r="AB179" i="9"/>
  <c r="T179" i="11"/>
  <c r="T179" i="10"/>
  <c r="T179" i="9"/>
  <c r="L179" i="11"/>
  <c r="L179" i="10"/>
  <c r="L179" i="9"/>
  <c r="D179" i="11"/>
  <c r="D179" i="10"/>
  <c r="D179" i="9"/>
  <c r="AF178" i="11"/>
  <c r="AF178" i="10"/>
  <c r="AF178" i="9"/>
  <c r="X178" i="11"/>
  <c r="X178" i="10"/>
  <c r="X178" i="9"/>
  <c r="P178" i="11"/>
  <c r="P178" i="10"/>
  <c r="P178" i="9"/>
  <c r="H178" i="11"/>
  <c r="H178" i="10"/>
  <c r="H178" i="9"/>
  <c r="AB177" i="11"/>
  <c r="AB177" i="10"/>
  <c r="AB177" i="9"/>
  <c r="T177" i="11"/>
  <c r="T177" i="10"/>
  <c r="T177" i="9"/>
  <c r="L177" i="11"/>
  <c r="L177" i="10"/>
  <c r="L177" i="9"/>
  <c r="D177" i="11"/>
  <c r="D177" i="10"/>
  <c r="D177" i="9"/>
  <c r="AF176" i="11"/>
  <c r="AF176" i="10"/>
  <c r="AF176" i="9"/>
  <c r="X176" i="11"/>
  <c r="X176" i="10"/>
  <c r="X176" i="9"/>
  <c r="P176" i="11"/>
  <c r="P176" i="10"/>
  <c r="P176" i="9"/>
  <c r="H176" i="11"/>
  <c r="H176" i="10"/>
  <c r="H176" i="9"/>
  <c r="AB175" i="11"/>
  <c r="AB175" i="10"/>
  <c r="AB175" i="9"/>
  <c r="T175" i="11"/>
  <c r="T175" i="10"/>
  <c r="T175" i="9"/>
  <c r="L175" i="11"/>
  <c r="L175" i="10"/>
  <c r="L175" i="9"/>
  <c r="D175" i="11"/>
  <c r="D175" i="10"/>
  <c r="D175" i="9"/>
  <c r="AF174" i="11"/>
  <c r="AF174" i="10"/>
  <c r="AF174" i="9"/>
  <c r="X174" i="11"/>
  <c r="X174" i="10"/>
  <c r="X174" i="9"/>
  <c r="P174" i="11"/>
  <c r="P174" i="10"/>
  <c r="P174" i="9"/>
  <c r="H174" i="11"/>
  <c r="H174" i="10"/>
  <c r="H174" i="9"/>
  <c r="AB173" i="11"/>
  <c r="AB173" i="10"/>
  <c r="AB173" i="9"/>
  <c r="T173" i="11"/>
  <c r="T173" i="10"/>
  <c r="T173" i="9"/>
  <c r="L173" i="11"/>
  <c r="L173" i="10"/>
  <c r="L173" i="9"/>
  <c r="D173" i="11"/>
  <c r="D173" i="10"/>
  <c r="D173" i="9"/>
  <c r="X172" i="11"/>
  <c r="X172" i="10"/>
  <c r="X172" i="9"/>
  <c r="P172" i="11"/>
  <c r="P172" i="10"/>
  <c r="P172" i="9"/>
  <c r="H172" i="11"/>
  <c r="H172" i="10"/>
  <c r="H172" i="9"/>
  <c r="AB171" i="11"/>
  <c r="AB171" i="10"/>
  <c r="AB171" i="9"/>
  <c r="T171" i="11"/>
  <c r="T171" i="10"/>
  <c r="T171" i="9"/>
  <c r="L171" i="11"/>
  <c r="L171" i="10"/>
  <c r="L171" i="9"/>
  <c r="D171" i="11"/>
  <c r="D171" i="10"/>
  <c r="D171" i="9"/>
  <c r="AF170" i="11"/>
  <c r="AF170" i="10"/>
  <c r="AF170" i="9"/>
  <c r="X170" i="11"/>
  <c r="X170" i="10"/>
  <c r="X170" i="9"/>
  <c r="P170" i="11"/>
  <c r="P170" i="10"/>
  <c r="P170" i="9"/>
  <c r="H170" i="11"/>
  <c r="H170" i="10"/>
  <c r="H170" i="9"/>
  <c r="AB169" i="11"/>
  <c r="AB169" i="10"/>
  <c r="AB169" i="9"/>
  <c r="T169" i="11"/>
  <c r="T169" i="10"/>
  <c r="T169" i="9"/>
  <c r="L169" i="11"/>
  <c r="L169" i="10"/>
  <c r="L169" i="9"/>
  <c r="D169" i="11"/>
  <c r="D169" i="10"/>
  <c r="D169" i="9"/>
  <c r="AF168" i="11"/>
  <c r="AF168" i="10"/>
  <c r="AF168" i="9"/>
  <c r="X168" i="11"/>
  <c r="X168" i="10"/>
  <c r="X168" i="9"/>
  <c r="P168" i="11"/>
  <c r="P168" i="10"/>
  <c r="P168" i="9"/>
  <c r="H168" i="11"/>
  <c r="H168" i="10"/>
  <c r="H168" i="9"/>
  <c r="AB167" i="11"/>
  <c r="AB167" i="10"/>
  <c r="AB167" i="9"/>
  <c r="T167" i="11"/>
  <c r="T167" i="10"/>
  <c r="T167" i="9"/>
  <c r="L167" i="11"/>
  <c r="L167" i="10"/>
  <c r="L167" i="9"/>
  <c r="D167" i="11"/>
  <c r="D167" i="10"/>
  <c r="D167" i="9"/>
  <c r="AF166" i="11"/>
  <c r="AF166" i="10"/>
  <c r="X166" i="11"/>
  <c r="X166" i="10"/>
  <c r="X166" i="9"/>
  <c r="P166" i="11"/>
  <c r="P166" i="10"/>
  <c r="P166" i="9"/>
  <c r="H166" i="11"/>
  <c r="H166" i="10"/>
  <c r="H166" i="9"/>
  <c r="AB165" i="11"/>
  <c r="AB165" i="10"/>
  <c r="AB165" i="9"/>
  <c r="T165" i="11"/>
  <c r="T165" i="10"/>
  <c r="T165" i="9"/>
  <c r="L165" i="11"/>
  <c r="L165" i="10"/>
  <c r="L165" i="9"/>
  <c r="D165" i="11"/>
  <c r="D165" i="10"/>
  <c r="D165" i="9"/>
  <c r="M6" i="2"/>
  <c r="M44" i="2"/>
  <c r="W366" i="11"/>
  <c r="W366" i="10"/>
  <c r="W366" i="9"/>
  <c r="O366" i="11"/>
  <c r="O366" i="10"/>
  <c r="O366" i="9"/>
  <c r="G366" i="11"/>
  <c r="G366" i="10"/>
  <c r="G366" i="9"/>
  <c r="AA365" i="11"/>
  <c r="AA365" i="10"/>
  <c r="AA365" i="9"/>
  <c r="S365" i="11"/>
  <c r="S365" i="10"/>
  <c r="S365" i="9"/>
  <c r="K365" i="11"/>
  <c r="K365" i="10"/>
  <c r="K365" i="9"/>
  <c r="C365" i="11"/>
  <c r="C365" i="10"/>
  <c r="C365" i="9"/>
  <c r="W364" i="11"/>
  <c r="W364" i="10"/>
  <c r="W364" i="9"/>
  <c r="O364" i="11"/>
  <c r="O364" i="10"/>
  <c r="O364" i="9"/>
  <c r="G364" i="11"/>
  <c r="G364" i="10"/>
  <c r="G364" i="9"/>
  <c r="AA363" i="11"/>
  <c r="AA363" i="10"/>
  <c r="AA363" i="9"/>
  <c r="S363" i="11"/>
  <c r="S363" i="10"/>
  <c r="S363" i="9"/>
  <c r="K363" i="11"/>
  <c r="K363" i="10"/>
  <c r="K363" i="9"/>
  <c r="C363" i="11"/>
  <c r="C363" i="10"/>
  <c r="C363" i="9"/>
  <c r="W362" i="11"/>
  <c r="W362" i="10"/>
  <c r="W362" i="9"/>
  <c r="O362" i="11"/>
  <c r="O362" i="10"/>
  <c r="O362" i="9"/>
  <c r="G362" i="11"/>
  <c r="G362" i="10"/>
  <c r="G362" i="9"/>
  <c r="AA361" i="11"/>
  <c r="AA361" i="10"/>
  <c r="AA361" i="9"/>
  <c r="S361" i="11"/>
  <c r="S361" i="10"/>
  <c r="S361" i="9"/>
  <c r="K361" i="11"/>
  <c r="K361" i="10"/>
  <c r="K361" i="9"/>
  <c r="C361" i="11"/>
  <c r="C361" i="10"/>
  <c r="C361" i="9"/>
  <c r="W360" i="11"/>
  <c r="W360" i="10"/>
  <c r="W360" i="9"/>
  <c r="O360" i="11"/>
  <c r="O360" i="10"/>
  <c r="O360" i="9"/>
  <c r="G360" i="11"/>
  <c r="G360" i="10"/>
  <c r="G360" i="9"/>
  <c r="AA359" i="11"/>
  <c r="AA359" i="10"/>
  <c r="AA359" i="9"/>
  <c r="S359" i="11"/>
  <c r="S359" i="10"/>
  <c r="S359" i="9"/>
  <c r="K359" i="11"/>
  <c r="K359" i="10"/>
  <c r="K359" i="9"/>
  <c r="C359" i="11"/>
  <c r="C359" i="10"/>
  <c r="C359" i="9"/>
  <c r="W358" i="11"/>
  <c r="W358" i="10"/>
  <c r="W358" i="9"/>
  <c r="O358" i="11"/>
  <c r="O358" i="10"/>
  <c r="O358" i="9"/>
  <c r="G358" i="11"/>
  <c r="G358" i="10"/>
  <c r="G358" i="9"/>
  <c r="AA357" i="11"/>
  <c r="AA357" i="10"/>
  <c r="AA357" i="9"/>
  <c r="S357" i="11"/>
  <c r="S357" i="10"/>
  <c r="S357" i="9"/>
  <c r="K357" i="11"/>
  <c r="K357" i="10"/>
  <c r="K357" i="9"/>
  <c r="C357" i="11"/>
  <c r="C357" i="10"/>
  <c r="C357" i="9"/>
  <c r="W356" i="11"/>
  <c r="W356" i="10"/>
  <c r="W356" i="9"/>
  <c r="O356" i="11"/>
  <c r="O356" i="10"/>
  <c r="O356" i="9"/>
  <c r="G356" i="11"/>
  <c r="G356" i="10"/>
  <c r="G356" i="9"/>
  <c r="AA355" i="11"/>
  <c r="AA355" i="10"/>
  <c r="AA355" i="9"/>
  <c r="S355" i="11"/>
  <c r="S355" i="10"/>
  <c r="S355" i="9"/>
  <c r="K355" i="11"/>
  <c r="K355" i="10"/>
  <c r="K355" i="9"/>
  <c r="C355" i="11"/>
  <c r="C355" i="10"/>
  <c r="C355" i="9"/>
  <c r="W354" i="11"/>
  <c r="W354" i="10"/>
  <c r="W354" i="9"/>
  <c r="O354" i="11"/>
  <c r="O354" i="10"/>
  <c r="O354" i="9"/>
  <c r="G354" i="11"/>
  <c r="G354" i="10"/>
  <c r="G354" i="9"/>
  <c r="AA353" i="11"/>
  <c r="AA353" i="10"/>
  <c r="AA353" i="9"/>
  <c r="S353" i="11"/>
  <c r="S353" i="10"/>
  <c r="S353" i="9"/>
  <c r="K353" i="11"/>
  <c r="K353" i="10"/>
  <c r="K353" i="9"/>
  <c r="C353" i="11"/>
  <c r="C353" i="10"/>
  <c r="C353" i="9"/>
  <c r="W352" i="11"/>
  <c r="W352" i="10"/>
  <c r="W352" i="9"/>
  <c r="O352" i="11"/>
  <c r="O352" i="10"/>
  <c r="O352" i="9"/>
  <c r="G352" i="11"/>
  <c r="G352" i="10"/>
  <c r="G352" i="9"/>
  <c r="AA351" i="11"/>
  <c r="AA351" i="10"/>
  <c r="AA351" i="9"/>
  <c r="S351" i="11"/>
  <c r="S351" i="10"/>
  <c r="S351" i="9"/>
  <c r="K351" i="11"/>
  <c r="K351" i="10"/>
  <c r="K351" i="9"/>
  <c r="C351" i="11"/>
  <c r="C351" i="10"/>
  <c r="C351" i="9"/>
  <c r="W350" i="11"/>
  <c r="W350" i="10"/>
  <c r="W350" i="9"/>
  <c r="O350" i="11"/>
  <c r="O350" i="10"/>
  <c r="O350" i="9"/>
  <c r="G350" i="11"/>
  <c r="G350" i="10"/>
  <c r="G350" i="9"/>
  <c r="AA349" i="11"/>
  <c r="AA349" i="10"/>
  <c r="AA349" i="9"/>
  <c r="S349" i="11"/>
  <c r="S349" i="10"/>
  <c r="S349" i="9"/>
  <c r="K349" i="11"/>
  <c r="K349" i="10"/>
  <c r="K349" i="9"/>
  <c r="C349" i="11"/>
  <c r="C349" i="10"/>
  <c r="C349" i="9"/>
  <c r="W348" i="11"/>
  <c r="W348" i="10"/>
  <c r="W348" i="9"/>
  <c r="O348" i="11"/>
  <c r="O348" i="10"/>
  <c r="O348" i="9"/>
  <c r="G348" i="11"/>
  <c r="G348" i="10"/>
  <c r="G348" i="9"/>
  <c r="AA347" i="11"/>
  <c r="AA347" i="10"/>
  <c r="AA347" i="9"/>
  <c r="S347" i="11"/>
  <c r="S347" i="10"/>
  <c r="S347" i="9"/>
  <c r="K347" i="11"/>
  <c r="K347" i="10"/>
  <c r="K347" i="9"/>
  <c r="C347" i="11"/>
  <c r="C347" i="10"/>
  <c r="C347" i="9"/>
  <c r="W346" i="11"/>
  <c r="W346" i="10"/>
  <c r="W346" i="9"/>
  <c r="O346" i="11"/>
  <c r="O346" i="10"/>
  <c r="O346" i="9"/>
  <c r="G346" i="11"/>
  <c r="G346" i="10"/>
  <c r="G346" i="9"/>
  <c r="AA345" i="11"/>
  <c r="AA345" i="10"/>
  <c r="AA345" i="9"/>
  <c r="S345" i="11"/>
  <c r="S345" i="10"/>
  <c r="S345" i="9"/>
  <c r="K345" i="11"/>
  <c r="K345" i="10"/>
  <c r="K345" i="9"/>
  <c r="C345" i="11"/>
  <c r="C345" i="10"/>
  <c r="C345" i="9"/>
  <c r="W344" i="11"/>
  <c r="W344" i="10"/>
  <c r="W344" i="9"/>
  <c r="O344" i="11"/>
  <c r="O344" i="10"/>
  <c r="O344" i="9"/>
  <c r="G344" i="11"/>
  <c r="G344" i="10"/>
  <c r="G344" i="9"/>
  <c r="AA343" i="11"/>
  <c r="AA343" i="10"/>
  <c r="AA343" i="9"/>
  <c r="S343" i="11"/>
  <c r="S343" i="10"/>
  <c r="S343" i="9"/>
  <c r="K343" i="11"/>
  <c r="K343" i="10"/>
  <c r="K343" i="9"/>
  <c r="C343" i="11"/>
  <c r="C343" i="10"/>
  <c r="C343" i="9"/>
  <c r="W342" i="11"/>
  <c r="W342" i="10"/>
  <c r="W342" i="9"/>
  <c r="O342" i="11"/>
  <c r="O342" i="10"/>
  <c r="O342" i="9"/>
  <c r="G342" i="11"/>
  <c r="G342" i="10"/>
  <c r="G342" i="9"/>
  <c r="AA341" i="11"/>
  <c r="AA341" i="10"/>
  <c r="AA341" i="9"/>
  <c r="S341" i="11"/>
  <c r="S341" i="10"/>
  <c r="S341" i="9"/>
  <c r="K341" i="11"/>
  <c r="K341" i="10"/>
  <c r="K341" i="9"/>
  <c r="C341" i="11"/>
  <c r="C341" i="10"/>
  <c r="C341" i="9"/>
  <c r="W340" i="11"/>
  <c r="W340" i="10"/>
  <c r="W340" i="9"/>
  <c r="O340" i="11"/>
  <c r="O340" i="10"/>
  <c r="O340" i="9"/>
  <c r="G340" i="11"/>
  <c r="G340" i="10"/>
  <c r="G340" i="9"/>
  <c r="AA339" i="11"/>
  <c r="AA339" i="10"/>
  <c r="AA339" i="9"/>
  <c r="S339" i="11"/>
  <c r="S339" i="10"/>
  <c r="S339" i="9"/>
  <c r="K339" i="11"/>
  <c r="K339" i="10"/>
  <c r="K339" i="9"/>
  <c r="C339" i="11"/>
  <c r="C339" i="10"/>
  <c r="C339" i="9"/>
  <c r="W338" i="11"/>
  <c r="W338" i="10"/>
  <c r="W338" i="9"/>
  <c r="O338" i="11"/>
  <c r="O338" i="10"/>
  <c r="O338" i="9"/>
  <c r="G338" i="11"/>
  <c r="G338" i="10"/>
  <c r="G338" i="9"/>
  <c r="AA337" i="11"/>
  <c r="AA337" i="10"/>
  <c r="AA337" i="9"/>
  <c r="S337" i="11"/>
  <c r="S337" i="10"/>
  <c r="S337" i="9"/>
  <c r="K337" i="11"/>
  <c r="K337" i="10"/>
  <c r="K337" i="9"/>
  <c r="C337" i="11"/>
  <c r="C337" i="10"/>
  <c r="C337" i="9"/>
  <c r="W336" i="11"/>
  <c r="W336" i="10"/>
  <c r="W336" i="9"/>
  <c r="O336" i="11"/>
  <c r="O336" i="10"/>
  <c r="O336" i="9"/>
  <c r="G336" i="11"/>
  <c r="G336" i="10"/>
  <c r="G336" i="9"/>
  <c r="AA335" i="11"/>
  <c r="AA335" i="10"/>
  <c r="AA335" i="9"/>
  <c r="S335" i="11"/>
  <c r="S335" i="10"/>
  <c r="S335" i="9"/>
  <c r="K335" i="11"/>
  <c r="K335" i="10"/>
  <c r="K335" i="9"/>
  <c r="C335" i="11"/>
  <c r="C335" i="10"/>
  <c r="C335" i="9"/>
  <c r="W334" i="11"/>
  <c r="W334" i="10"/>
  <c r="W334" i="9"/>
  <c r="O334" i="11"/>
  <c r="O334" i="10"/>
  <c r="O334" i="9"/>
  <c r="G334" i="11"/>
  <c r="G334" i="10"/>
  <c r="G334" i="9"/>
  <c r="AA333" i="11"/>
  <c r="AA333" i="10"/>
  <c r="AA333" i="9"/>
  <c r="S333" i="11"/>
  <c r="S333" i="10"/>
  <c r="S333" i="9"/>
  <c r="K333" i="11"/>
  <c r="K333" i="10"/>
  <c r="K333" i="9"/>
  <c r="C333" i="11"/>
  <c r="C333" i="10"/>
  <c r="C333" i="9"/>
  <c r="W332" i="11"/>
  <c r="W332" i="10"/>
  <c r="W332" i="9"/>
  <c r="O332" i="11"/>
  <c r="O332" i="10"/>
  <c r="O332" i="9"/>
  <c r="G332" i="11"/>
  <c r="G332" i="10"/>
  <c r="G332" i="9"/>
  <c r="AA331" i="11"/>
  <c r="AA331" i="10"/>
  <c r="AA331" i="9"/>
  <c r="S331" i="11"/>
  <c r="S331" i="10"/>
  <c r="S331" i="9"/>
  <c r="K331" i="11"/>
  <c r="K331" i="10"/>
  <c r="K331" i="9"/>
  <c r="C331" i="11"/>
  <c r="C331" i="10"/>
  <c r="C331" i="9"/>
  <c r="W330" i="11"/>
  <c r="W330" i="10"/>
  <c r="W330" i="9"/>
  <c r="O330" i="11"/>
  <c r="O330" i="10"/>
  <c r="O330" i="9"/>
  <c r="G330" i="11"/>
  <c r="G330" i="10"/>
  <c r="G330" i="9"/>
  <c r="AA329" i="11"/>
  <c r="AA329" i="10"/>
  <c r="AA329" i="9"/>
  <c r="S329" i="11"/>
  <c r="S329" i="10"/>
  <c r="S329" i="9"/>
  <c r="K329" i="11"/>
  <c r="K329" i="10"/>
  <c r="K329" i="9"/>
  <c r="C329" i="11"/>
  <c r="C329" i="10"/>
  <c r="C329" i="9"/>
  <c r="W328" i="11"/>
  <c r="W328" i="10"/>
  <c r="W328" i="9"/>
  <c r="O328" i="11"/>
  <c r="O328" i="10"/>
  <c r="O328" i="9"/>
  <c r="G328" i="11"/>
  <c r="G328" i="10"/>
  <c r="G328" i="9"/>
  <c r="AA327" i="11"/>
  <c r="AA327" i="10"/>
  <c r="AA327" i="9"/>
  <c r="S327" i="11"/>
  <c r="S327" i="10"/>
  <c r="S327" i="9"/>
  <c r="K327" i="11"/>
  <c r="K327" i="10"/>
  <c r="K327" i="9"/>
  <c r="C327" i="11"/>
  <c r="C327" i="10"/>
  <c r="C327" i="9"/>
  <c r="W326" i="11"/>
  <c r="W326" i="10"/>
  <c r="W326" i="9"/>
  <c r="O326" i="11"/>
  <c r="O326" i="10"/>
  <c r="O326" i="9"/>
  <c r="G326" i="11"/>
  <c r="G326" i="10"/>
  <c r="G326" i="9"/>
  <c r="AA325" i="11"/>
  <c r="AA325" i="10"/>
  <c r="AA325" i="9"/>
  <c r="S325" i="11"/>
  <c r="S325" i="10"/>
  <c r="S325" i="9"/>
  <c r="K325" i="11"/>
  <c r="K325" i="10"/>
  <c r="K325" i="9"/>
  <c r="C325" i="11"/>
  <c r="C325" i="10"/>
  <c r="C325" i="9"/>
  <c r="W324" i="11"/>
  <c r="W324" i="10"/>
  <c r="W324" i="9"/>
  <c r="O324" i="11"/>
  <c r="O324" i="10"/>
  <c r="O324" i="9"/>
  <c r="G324" i="11"/>
  <c r="G324" i="10"/>
  <c r="G324" i="9"/>
  <c r="AA323" i="11"/>
  <c r="AA323" i="10"/>
  <c r="AA323" i="9"/>
  <c r="S323" i="11"/>
  <c r="S323" i="10"/>
  <c r="S323" i="9"/>
  <c r="K323" i="11"/>
  <c r="K323" i="10"/>
  <c r="K323" i="9"/>
  <c r="C323" i="11"/>
  <c r="C323" i="10"/>
  <c r="C323" i="9"/>
  <c r="W322" i="11"/>
  <c r="W322" i="10"/>
  <c r="W322" i="9"/>
  <c r="O322" i="11"/>
  <c r="O322" i="10"/>
  <c r="O322" i="9"/>
  <c r="G322" i="11"/>
  <c r="G322" i="10"/>
  <c r="G322" i="9"/>
  <c r="AA321" i="11"/>
  <c r="AA321" i="10"/>
  <c r="AA321" i="9"/>
  <c r="S321" i="11"/>
  <c r="S321" i="10"/>
  <c r="S321" i="9"/>
  <c r="K321" i="11"/>
  <c r="K321" i="10"/>
  <c r="K321" i="9"/>
  <c r="C321" i="11"/>
  <c r="C321" i="10"/>
  <c r="C321" i="9"/>
  <c r="W320" i="11"/>
  <c r="W320" i="10"/>
  <c r="W320" i="9"/>
  <c r="O320" i="11"/>
  <c r="O320" i="10"/>
  <c r="O320" i="9"/>
  <c r="G320" i="11"/>
  <c r="G320" i="10"/>
  <c r="G320" i="9"/>
  <c r="AA319" i="11"/>
  <c r="AA319" i="10"/>
  <c r="AA319" i="9"/>
  <c r="S319" i="11"/>
  <c r="S319" i="10"/>
  <c r="S319" i="9"/>
  <c r="K319" i="11"/>
  <c r="K319" i="10"/>
  <c r="K319" i="9"/>
  <c r="C319" i="11"/>
  <c r="C319" i="10"/>
  <c r="C319" i="9"/>
  <c r="W318" i="11"/>
  <c r="W318" i="10"/>
  <c r="W318" i="9"/>
  <c r="O318" i="11"/>
  <c r="O318" i="10"/>
  <c r="O318" i="9"/>
  <c r="G318" i="11"/>
  <c r="G318" i="10"/>
  <c r="G318" i="9"/>
  <c r="AA317" i="11"/>
  <c r="AA317" i="10"/>
  <c r="AA317" i="9"/>
  <c r="S317" i="11"/>
  <c r="S317" i="10"/>
  <c r="S317" i="9"/>
  <c r="K317" i="11"/>
  <c r="K317" i="10"/>
  <c r="K317" i="9"/>
  <c r="C317" i="11"/>
  <c r="C317" i="10"/>
  <c r="C317" i="9"/>
  <c r="W316" i="11"/>
  <c r="W316" i="10"/>
  <c r="W316" i="9"/>
  <c r="O316" i="11"/>
  <c r="O316" i="10"/>
  <c r="O316" i="9"/>
  <c r="G316" i="11"/>
  <c r="G316" i="10"/>
  <c r="G316" i="9"/>
  <c r="AA315" i="11"/>
  <c r="AA315" i="10"/>
  <c r="AA315" i="9"/>
  <c r="S315" i="11"/>
  <c r="S315" i="10"/>
  <c r="S315" i="9"/>
  <c r="K315" i="11"/>
  <c r="K315" i="10"/>
  <c r="K315" i="9"/>
  <c r="C315" i="11"/>
  <c r="C315" i="10"/>
  <c r="C315" i="9"/>
  <c r="W314" i="11"/>
  <c r="W314" i="10"/>
  <c r="W314" i="9"/>
  <c r="O314" i="11"/>
  <c r="O314" i="10"/>
  <c r="O314" i="9"/>
  <c r="G314" i="11"/>
  <c r="G314" i="10"/>
  <c r="G314" i="9"/>
  <c r="AA313" i="11"/>
  <c r="AA313" i="10"/>
  <c r="AA313" i="9"/>
  <c r="S313" i="11"/>
  <c r="S313" i="10"/>
  <c r="S313" i="9"/>
  <c r="K313" i="11"/>
  <c r="K313" i="10"/>
  <c r="K313" i="9"/>
  <c r="C313" i="11"/>
  <c r="C313" i="10"/>
  <c r="C313" i="9"/>
  <c r="W312" i="11"/>
  <c r="W312" i="10"/>
  <c r="W312" i="9"/>
  <c r="O312" i="11"/>
  <c r="O312" i="10"/>
  <c r="O312" i="9"/>
  <c r="G312" i="11"/>
  <c r="G312" i="10"/>
  <c r="G312" i="9"/>
  <c r="AA311" i="11"/>
  <c r="AA311" i="10"/>
  <c r="AA311" i="9"/>
  <c r="S311" i="11"/>
  <c r="S311" i="10"/>
  <c r="S311" i="9"/>
  <c r="K311" i="11"/>
  <c r="K311" i="10"/>
  <c r="K311" i="9"/>
  <c r="C311" i="11"/>
  <c r="C311" i="10"/>
  <c r="C311" i="9"/>
  <c r="W310" i="11"/>
  <c r="W310" i="10"/>
  <c r="W310" i="9"/>
  <c r="O310" i="11"/>
  <c r="O310" i="10"/>
  <c r="O310" i="9"/>
  <c r="G310" i="11"/>
  <c r="G310" i="10"/>
  <c r="G310" i="9"/>
  <c r="AA309" i="11"/>
  <c r="AA309" i="10"/>
  <c r="AA309" i="9"/>
  <c r="S309" i="11"/>
  <c r="S309" i="10"/>
  <c r="S309" i="9"/>
  <c r="K309" i="11"/>
  <c r="K309" i="10"/>
  <c r="K309" i="9"/>
  <c r="C309" i="11"/>
  <c r="C309" i="10"/>
  <c r="C309" i="9"/>
  <c r="W308" i="11"/>
  <c r="W308" i="10"/>
  <c r="W308" i="9"/>
  <c r="O308" i="11"/>
  <c r="O308" i="10"/>
  <c r="O308" i="9"/>
  <c r="G308" i="11"/>
  <c r="G308" i="10"/>
  <c r="G308" i="9"/>
  <c r="AA307" i="11"/>
  <c r="AA307" i="10"/>
  <c r="AA307" i="9"/>
  <c r="S307" i="11"/>
  <c r="S307" i="10"/>
  <c r="S307" i="9"/>
  <c r="K307" i="11"/>
  <c r="K307" i="10"/>
  <c r="K307" i="9"/>
  <c r="C307" i="11"/>
  <c r="C307" i="10"/>
  <c r="C307" i="9"/>
  <c r="W306" i="11"/>
  <c r="W306" i="10"/>
  <c r="W306" i="9"/>
  <c r="O306" i="11"/>
  <c r="O306" i="10"/>
  <c r="O306" i="9"/>
  <c r="G306" i="11"/>
  <c r="G306" i="10"/>
  <c r="G306" i="9"/>
  <c r="AA305" i="11"/>
  <c r="AA305" i="10"/>
  <c r="AA305" i="9"/>
  <c r="S305" i="11"/>
  <c r="S305" i="10"/>
  <c r="S305" i="9"/>
  <c r="K305" i="11"/>
  <c r="K305" i="10"/>
  <c r="K305" i="9"/>
  <c r="C305" i="11"/>
  <c r="C305" i="10"/>
  <c r="C305" i="9"/>
  <c r="W304" i="11"/>
  <c r="W304" i="10"/>
  <c r="W304" i="9"/>
  <c r="O304" i="11"/>
  <c r="O304" i="10"/>
  <c r="O304" i="9"/>
  <c r="G304" i="11"/>
  <c r="G304" i="10"/>
  <c r="G304" i="9"/>
  <c r="AA303" i="11"/>
  <c r="AA303" i="10"/>
  <c r="AA303" i="9"/>
  <c r="S303" i="11"/>
  <c r="S303" i="10"/>
  <c r="S303" i="9"/>
  <c r="K303" i="11"/>
  <c r="K303" i="10"/>
  <c r="K303" i="9"/>
  <c r="C303" i="11"/>
  <c r="C303" i="10"/>
  <c r="C303" i="9"/>
  <c r="W302" i="11"/>
  <c r="W302" i="10"/>
  <c r="W302" i="9"/>
  <c r="O302" i="11"/>
  <c r="O302" i="10"/>
  <c r="O302" i="9"/>
  <c r="G302" i="11"/>
  <c r="G302" i="10"/>
  <c r="G302" i="9"/>
  <c r="AA301" i="11"/>
  <c r="AA301" i="10"/>
  <c r="AA301" i="9"/>
  <c r="S301" i="11"/>
  <c r="S301" i="10"/>
  <c r="S301" i="9"/>
  <c r="K301" i="11"/>
  <c r="K301" i="10"/>
  <c r="K301" i="9"/>
  <c r="C301" i="11"/>
  <c r="C301" i="10"/>
  <c r="C301" i="9"/>
  <c r="W300" i="11"/>
  <c r="W300" i="10"/>
  <c r="W300" i="9"/>
  <c r="O300" i="11"/>
  <c r="O300" i="10"/>
  <c r="O300" i="9"/>
  <c r="G300" i="11"/>
  <c r="G300" i="10"/>
  <c r="G300" i="9"/>
  <c r="AA299" i="11"/>
  <c r="AA299" i="10"/>
  <c r="AA299" i="9"/>
  <c r="S299" i="11"/>
  <c r="S299" i="10"/>
  <c r="S299" i="9"/>
  <c r="K299" i="11"/>
  <c r="K299" i="10"/>
  <c r="K299" i="9"/>
  <c r="C299" i="11"/>
  <c r="C299" i="10"/>
  <c r="C299" i="9"/>
  <c r="W298" i="11"/>
  <c r="W298" i="10"/>
  <c r="W298" i="9"/>
  <c r="O298" i="11"/>
  <c r="O298" i="10"/>
  <c r="O298" i="9"/>
  <c r="G298" i="11"/>
  <c r="G298" i="10"/>
  <c r="G298" i="9"/>
  <c r="AA297" i="11"/>
  <c r="AA297" i="10"/>
  <c r="AA297" i="9"/>
  <c r="S297" i="11"/>
  <c r="S297" i="10"/>
  <c r="S297" i="9"/>
  <c r="K297" i="11"/>
  <c r="K297" i="10"/>
  <c r="K297" i="9"/>
  <c r="C297" i="11"/>
  <c r="C297" i="10"/>
  <c r="C297" i="9"/>
  <c r="W296" i="11"/>
  <c r="W296" i="10"/>
  <c r="W296" i="9"/>
  <c r="O296" i="11"/>
  <c r="O296" i="10"/>
  <c r="O296" i="9"/>
  <c r="G296" i="11"/>
  <c r="G296" i="10"/>
  <c r="G296" i="9"/>
  <c r="AA295" i="11"/>
  <c r="AA295" i="10"/>
  <c r="AA295" i="9"/>
  <c r="S295" i="11"/>
  <c r="S295" i="10"/>
  <c r="S295" i="9"/>
  <c r="K295" i="11"/>
  <c r="K295" i="10"/>
  <c r="K295" i="9"/>
  <c r="C295" i="11"/>
  <c r="C295" i="10"/>
  <c r="C295" i="9"/>
  <c r="W294" i="11"/>
  <c r="W294" i="10"/>
  <c r="W294" i="9"/>
  <c r="O294" i="11"/>
  <c r="O294" i="10"/>
  <c r="O294" i="9"/>
  <c r="G294" i="11"/>
  <c r="G294" i="10"/>
  <c r="G294" i="9"/>
  <c r="AA293" i="11"/>
  <c r="AA293" i="10"/>
  <c r="AA293" i="9"/>
  <c r="S293" i="11"/>
  <c r="S293" i="10"/>
  <c r="S293" i="9"/>
  <c r="K293" i="11"/>
  <c r="K293" i="10"/>
  <c r="K293" i="9"/>
  <c r="C293" i="11"/>
  <c r="C293" i="10"/>
  <c r="C293" i="9"/>
  <c r="W292" i="11"/>
  <c r="W292" i="10"/>
  <c r="W292" i="9"/>
  <c r="O292" i="11"/>
  <c r="O292" i="10"/>
  <c r="O292" i="9"/>
  <c r="G292" i="11"/>
  <c r="G292" i="10"/>
  <c r="G292" i="9"/>
  <c r="AA291" i="11"/>
  <c r="AA291" i="10"/>
  <c r="AA291" i="9"/>
  <c r="S291" i="11"/>
  <c r="S291" i="10"/>
  <c r="S291" i="9"/>
  <c r="K291" i="11"/>
  <c r="K291" i="10"/>
  <c r="K291" i="9"/>
  <c r="C291" i="11"/>
  <c r="C291" i="10"/>
  <c r="C291" i="9"/>
  <c r="W290" i="11"/>
  <c r="W290" i="10"/>
  <c r="W290" i="9"/>
  <c r="O290" i="11"/>
  <c r="O290" i="10"/>
  <c r="O290" i="9"/>
  <c r="G290" i="11"/>
  <c r="G290" i="10"/>
  <c r="G290" i="9"/>
  <c r="AA289" i="11"/>
  <c r="AA289" i="10"/>
  <c r="AA289" i="9"/>
  <c r="S289" i="11"/>
  <c r="S289" i="10"/>
  <c r="S289" i="9"/>
  <c r="K289" i="11"/>
  <c r="K289" i="10"/>
  <c r="K289" i="9"/>
  <c r="C289" i="11"/>
  <c r="C289" i="10"/>
  <c r="C289" i="9"/>
  <c r="W288" i="11"/>
  <c r="W288" i="10"/>
  <c r="W288" i="9"/>
  <c r="O288" i="11"/>
  <c r="O288" i="10"/>
  <c r="O288" i="9"/>
  <c r="G288" i="11"/>
  <c r="G288" i="10"/>
  <c r="G288" i="9"/>
  <c r="AA287" i="11"/>
  <c r="AA287" i="10"/>
  <c r="AA287" i="9"/>
  <c r="S287" i="11"/>
  <c r="S287" i="10"/>
  <c r="S287" i="9"/>
  <c r="K287" i="11"/>
  <c r="K287" i="10"/>
  <c r="K287" i="9"/>
  <c r="C287" i="11"/>
  <c r="C287" i="10"/>
  <c r="C287" i="9"/>
  <c r="W286" i="11"/>
  <c r="W286" i="10"/>
  <c r="W286" i="9"/>
  <c r="O286" i="11"/>
  <c r="O286" i="10"/>
  <c r="O286" i="9"/>
  <c r="G286" i="11"/>
  <c r="G286" i="10"/>
  <c r="G286" i="9"/>
  <c r="AA285" i="11"/>
  <c r="AA285" i="10"/>
  <c r="AA285" i="9"/>
  <c r="S285" i="11"/>
  <c r="S285" i="10"/>
  <c r="S285" i="9"/>
  <c r="K285" i="11"/>
  <c r="K285" i="10"/>
  <c r="K285" i="9"/>
  <c r="C285" i="11"/>
  <c r="C285" i="10"/>
  <c r="C285" i="9"/>
  <c r="W284" i="11"/>
  <c r="W284" i="10"/>
  <c r="W284" i="9"/>
  <c r="O284" i="11"/>
  <c r="O284" i="10"/>
  <c r="O284" i="9"/>
  <c r="G284" i="11"/>
  <c r="G284" i="10"/>
  <c r="G284" i="9"/>
  <c r="AA283" i="11"/>
  <c r="AA283" i="10"/>
  <c r="AA283" i="9"/>
  <c r="S283" i="11"/>
  <c r="S283" i="10"/>
  <c r="S283" i="9"/>
  <c r="K283" i="11"/>
  <c r="K283" i="10"/>
  <c r="K283" i="9"/>
  <c r="C283" i="11"/>
  <c r="C283" i="10"/>
  <c r="C283" i="9"/>
  <c r="W282" i="11"/>
  <c r="W282" i="10"/>
  <c r="W282" i="9"/>
  <c r="O282" i="11"/>
  <c r="O282" i="10"/>
  <c r="O282" i="9"/>
  <c r="G282" i="11"/>
  <c r="G282" i="10"/>
  <c r="G282" i="9"/>
  <c r="AA281" i="11"/>
  <c r="AA281" i="10"/>
  <c r="AA281" i="9"/>
  <c r="S281" i="11"/>
  <c r="S281" i="10"/>
  <c r="S281" i="9"/>
  <c r="K281" i="11"/>
  <c r="K281" i="10"/>
  <c r="K281" i="9"/>
  <c r="C281" i="11"/>
  <c r="C281" i="10"/>
  <c r="C281" i="9"/>
  <c r="W280" i="11"/>
  <c r="W280" i="10"/>
  <c r="W280" i="9"/>
  <c r="O280" i="11"/>
  <c r="O280" i="10"/>
  <c r="O280" i="9"/>
  <c r="G280" i="11"/>
  <c r="G280" i="10"/>
  <c r="G280" i="9"/>
  <c r="AA279" i="11"/>
  <c r="AA279" i="10"/>
  <c r="AA279" i="9"/>
  <c r="S279" i="11"/>
  <c r="S279" i="10"/>
  <c r="S279" i="9"/>
  <c r="K279" i="11"/>
  <c r="K279" i="10"/>
  <c r="K279" i="9"/>
  <c r="C279" i="11"/>
  <c r="C279" i="10"/>
  <c r="C279" i="9"/>
  <c r="W278" i="11"/>
  <c r="W278" i="10"/>
  <c r="W278" i="9"/>
  <c r="O278" i="11"/>
  <c r="O278" i="10"/>
  <c r="O278" i="9"/>
  <c r="G278" i="11"/>
  <c r="G278" i="10"/>
  <c r="G278" i="9"/>
  <c r="AA277" i="11"/>
  <c r="AA277" i="10"/>
  <c r="AA277" i="9"/>
  <c r="S277" i="11"/>
  <c r="S277" i="10"/>
  <c r="S277" i="9"/>
  <c r="K277" i="11"/>
  <c r="K277" i="10"/>
  <c r="K277" i="9"/>
  <c r="C277" i="11"/>
  <c r="C277" i="10"/>
  <c r="C277" i="9"/>
  <c r="W276" i="11"/>
  <c r="W276" i="10"/>
  <c r="W276" i="9"/>
  <c r="O276" i="11"/>
  <c r="O276" i="10"/>
  <c r="O276" i="9"/>
  <c r="G276" i="11"/>
  <c r="G276" i="10"/>
  <c r="G276" i="9"/>
  <c r="AA275" i="11"/>
  <c r="AA275" i="10"/>
  <c r="AA275" i="9"/>
  <c r="S275" i="11"/>
  <c r="S275" i="10"/>
  <c r="S275" i="9"/>
  <c r="K275" i="11"/>
  <c r="K275" i="10"/>
  <c r="K275" i="9"/>
  <c r="C275" i="11"/>
  <c r="C275" i="10"/>
  <c r="C275" i="9"/>
  <c r="W274" i="11"/>
  <c r="W274" i="10"/>
  <c r="W274" i="9"/>
  <c r="O274" i="11"/>
  <c r="O274" i="10"/>
  <c r="O274" i="9"/>
  <c r="G274" i="11"/>
  <c r="G274" i="10"/>
  <c r="G274" i="9"/>
  <c r="AA273" i="11"/>
  <c r="AA273" i="10"/>
  <c r="AA273" i="9"/>
  <c r="S273" i="11"/>
  <c r="S273" i="10"/>
  <c r="S273" i="9"/>
  <c r="K273" i="11"/>
  <c r="K273" i="10"/>
  <c r="K273" i="9"/>
  <c r="C273" i="11"/>
  <c r="C273" i="10"/>
  <c r="C273" i="9"/>
  <c r="W272" i="11"/>
  <c r="W272" i="10"/>
  <c r="W272" i="9"/>
  <c r="O272" i="11"/>
  <c r="O272" i="10"/>
  <c r="O272" i="9"/>
  <c r="G272" i="11"/>
  <c r="G272" i="10"/>
  <c r="G272" i="9"/>
  <c r="AA271" i="11"/>
  <c r="AA271" i="10"/>
  <c r="AA271" i="9"/>
  <c r="S271" i="11"/>
  <c r="S271" i="10"/>
  <c r="S271" i="9"/>
  <c r="K271" i="11"/>
  <c r="K271" i="10"/>
  <c r="K271" i="9"/>
  <c r="C271" i="11"/>
  <c r="C271" i="10"/>
  <c r="C271" i="9"/>
  <c r="W270" i="11"/>
  <c r="W270" i="10"/>
  <c r="W270" i="9"/>
  <c r="O270" i="11"/>
  <c r="O270" i="10"/>
  <c r="O270" i="9"/>
  <c r="G270" i="11"/>
  <c r="G270" i="10"/>
  <c r="G270" i="9"/>
  <c r="AA269" i="11"/>
  <c r="AA269" i="10"/>
  <c r="AA269" i="9"/>
  <c r="S269" i="11"/>
  <c r="S269" i="10"/>
  <c r="S269" i="9"/>
  <c r="K269" i="11"/>
  <c r="K269" i="10"/>
  <c r="K269" i="9"/>
  <c r="C269" i="11"/>
  <c r="C269" i="10"/>
  <c r="C269" i="9"/>
  <c r="W268" i="11"/>
  <c r="W268" i="10"/>
  <c r="W268" i="9"/>
  <c r="O268" i="11"/>
  <c r="O268" i="10"/>
  <c r="O268" i="9"/>
  <c r="G268" i="11"/>
  <c r="G268" i="10"/>
  <c r="G268" i="9"/>
  <c r="AA267" i="11"/>
  <c r="AA267" i="10"/>
  <c r="AA267" i="9"/>
  <c r="S267" i="11"/>
  <c r="S267" i="10"/>
  <c r="S267" i="9"/>
  <c r="K267" i="11"/>
  <c r="K267" i="10"/>
  <c r="K267" i="9"/>
  <c r="C267" i="11"/>
  <c r="C267" i="10"/>
  <c r="C267" i="9"/>
  <c r="W266" i="11"/>
  <c r="W266" i="10"/>
  <c r="W266" i="9"/>
  <c r="O266" i="11"/>
  <c r="O266" i="10"/>
  <c r="O266" i="9"/>
  <c r="G266" i="11"/>
  <c r="G266" i="10"/>
  <c r="G266" i="9"/>
  <c r="AA265" i="11"/>
  <c r="AA265" i="10"/>
  <c r="AA265" i="9"/>
  <c r="S265" i="11"/>
  <c r="S265" i="10"/>
  <c r="S265" i="9"/>
  <c r="K265" i="11"/>
  <c r="K265" i="10"/>
  <c r="K265" i="9"/>
  <c r="C265" i="11"/>
  <c r="C265" i="10"/>
  <c r="C265" i="9"/>
  <c r="W264" i="11"/>
  <c r="W264" i="10"/>
  <c r="W264" i="9"/>
  <c r="O264" i="11"/>
  <c r="O264" i="10"/>
  <c r="O264" i="9"/>
  <c r="G264" i="11"/>
  <c r="G264" i="10"/>
  <c r="G264" i="9"/>
  <c r="AA263" i="11"/>
  <c r="AA263" i="10"/>
  <c r="AA263" i="9"/>
  <c r="S263" i="11"/>
  <c r="S263" i="10"/>
  <c r="S263" i="9"/>
  <c r="K263" i="11"/>
  <c r="K263" i="10"/>
  <c r="K263" i="9"/>
  <c r="C263" i="11"/>
  <c r="C263" i="10"/>
  <c r="C263" i="9"/>
  <c r="W262" i="11"/>
  <c r="W262" i="10"/>
  <c r="W262" i="9"/>
  <c r="O262" i="11"/>
  <c r="O262" i="10"/>
  <c r="O262" i="9"/>
  <c r="G262" i="11"/>
  <c r="G262" i="10"/>
  <c r="G262" i="9"/>
  <c r="AA261" i="11"/>
  <c r="AA261" i="10"/>
  <c r="AA261" i="9"/>
  <c r="S261" i="11"/>
  <c r="S261" i="10"/>
  <c r="S261" i="9"/>
  <c r="K261" i="11"/>
  <c r="K261" i="10"/>
  <c r="K261" i="9"/>
  <c r="C261" i="11"/>
  <c r="C261" i="10"/>
  <c r="C261" i="9"/>
  <c r="W260" i="11"/>
  <c r="W260" i="10"/>
  <c r="W260" i="9"/>
  <c r="O260" i="11"/>
  <c r="O260" i="10"/>
  <c r="O260" i="9"/>
  <c r="G260" i="11"/>
  <c r="G260" i="10"/>
  <c r="G260" i="9"/>
  <c r="AA259" i="11"/>
  <c r="AA259" i="10"/>
  <c r="AA259" i="9"/>
  <c r="S259" i="11"/>
  <c r="S259" i="10"/>
  <c r="S259" i="9"/>
  <c r="K259" i="11"/>
  <c r="K259" i="10"/>
  <c r="K259" i="9"/>
  <c r="C259" i="11"/>
  <c r="C259" i="10"/>
  <c r="C259" i="9"/>
  <c r="W258" i="11"/>
  <c r="W258" i="10"/>
  <c r="W258" i="9"/>
  <c r="O258" i="11"/>
  <c r="O258" i="10"/>
  <c r="O258" i="9"/>
  <c r="G258" i="11"/>
  <c r="G258" i="10"/>
  <c r="G258" i="9"/>
  <c r="AA257" i="11"/>
  <c r="AA257" i="10"/>
  <c r="AA257" i="9"/>
  <c r="S257" i="11"/>
  <c r="S257" i="10"/>
  <c r="S257" i="9"/>
  <c r="K257" i="11"/>
  <c r="K257" i="10"/>
  <c r="K257" i="9"/>
  <c r="C257" i="11"/>
  <c r="C257" i="10"/>
  <c r="C257" i="9"/>
  <c r="W256" i="11"/>
  <c r="W256" i="10"/>
  <c r="W256" i="9"/>
  <c r="O256" i="11"/>
  <c r="O256" i="10"/>
  <c r="O256" i="9"/>
  <c r="G256" i="11"/>
  <c r="G256" i="10"/>
  <c r="G256" i="9"/>
  <c r="AA255" i="11"/>
  <c r="AA255" i="10"/>
  <c r="AA255" i="9"/>
  <c r="S255" i="11"/>
  <c r="S255" i="10"/>
  <c r="S255" i="9"/>
  <c r="K255" i="11"/>
  <c r="K255" i="10"/>
  <c r="K255" i="9"/>
  <c r="C255" i="11"/>
  <c r="C255" i="10"/>
  <c r="C255" i="9"/>
  <c r="W254" i="11"/>
  <c r="W254" i="10"/>
  <c r="W254" i="9"/>
  <c r="O254" i="11"/>
  <c r="O254" i="10"/>
  <c r="O254" i="9"/>
  <c r="G254" i="11"/>
  <c r="G254" i="10"/>
  <c r="G254" i="9"/>
  <c r="AA253" i="11"/>
  <c r="AA253" i="10"/>
  <c r="AA253" i="9"/>
  <c r="S253" i="11"/>
  <c r="S253" i="10"/>
  <c r="S253" i="9"/>
  <c r="K253" i="11"/>
  <c r="K253" i="10"/>
  <c r="K253" i="9"/>
  <c r="C253" i="11"/>
  <c r="C253" i="10"/>
  <c r="C253" i="9"/>
  <c r="W252" i="11"/>
  <c r="W252" i="10"/>
  <c r="W252" i="9"/>
  <c r="O252" i="11"/>
  <c r="O252" i="10"/>
  <c r="O252" i="9"/>
  <c r="G252" i="11"/>
  <c r="G252" i="10"/>
  <c r="G252" i="9"/>
  <c r="AA251" i="11"/>
  <c r="AA251" i="10"/>
  <c r="AA251" i="9"/>
  <c r="S251" i="11"/>
  <c r="S251" i="10"/>
  <c r="S251" i="9"/>
  <c r="K251" i="11"/>
  <c r="K251" i="10"/>
  <c r="K251" i="9"/>
  <c r="C251" i="11"/>
  <c r="C251" i="10"/>
  <c r="C251" i="9"/>
  <c r="W250" i="11"/>
  <c r="W250" i="10"/>
  <c r="W250" i="9"/>
  <c r="O250" i="11"/>
  <c r="O250" i="10"/>
  <c r="O250" i="9"/>
  <c r="G250" i="11"/>
  <c r="G250" i="10"/>
  <c r="G250" i="9"/>
  <c r="AA249" i="11"/>
  <c r="AA249" i="10"/>
  <c r="AA249" i="9"/>
  <c r="S249" i="11"/>
  <c r="S249" i="10"/>
  <c r="S249" i="9"/>
  <c r="K249" i="11"/>
  <c r="K249" i="10"/>
  <c r="K249" i="9"/>
  <c r="C249" i="11"/>
  <c r="C249" i="10"/>
  <c r="C249" i="9"/>
  <c r="W248" i="11"/>
  <c r="W248" i="10"/>
  <c r="W248" i="9"/>
  <c r="O248" i="11"/>
  <c r="O248" i="10"/>
  <c r="O248" i="9"/>
  <c r="G248" i="11"/>
  <c r="G248" i="10"/>
  <c r="G248" i="9"/>
  <c r="AA247" i="11"/>
  <c r="AA247" i="10"/>
  <c r="AA247" i="9"/>
  <c r="S247" i="11"/>
  <c r="S247" i="10"/>
  <c r="S247" i="9"/>
  <c r="K247" i="11"/>
  <c r="K247" i="10"/>
  <c r="K247" i="9"/>
  <c r="C247" i="11"/>
  <c r="C247" i="10"/>
  <c r="C247" i="9"/>
  <c r="W246" i="11"/>
  <c r="W246" i="10"/>
  <c r="W246" i="9"/>
  <c r="O246" i="11"/>
  <c r="O246" i="10"/>
  <c r="O246" i="9"/>
  <c r="G246" i="11"/>
  <c r="G246" i="10"/>
  <c r="G246" i="9"/>
  <c r="AA245" i="11"/>
  <c r="AA245" i="10"/>
  <c r="AA245" i="9"/>
  <c r="S245" i="11"/>
  <c r="S245" i="10"/>
  <c r="S245" i="9"/>
  <c r="K245" i="11"/>
  <c r="K245" i="10"/>
  <c r="K245" i="9"/>
  <c r="C245" i="11"/>
  <c r="C245" i="10"/>
  <c r="C245" i="9"/>
  <c r="W244" i="11"/>
  <c r="W244" i="10"/>
  <c r="W244" i="9"/>
  <c r="O244" i="11"/>
  <c r="O244" i="10"/>
  <c r="O244" i="9"/>
  <c r="G244" i="11"/>
  <c r="G244" i="10"/>
  <c r="G244" i="9"/>
  <c r="AA243" i="11"/>
  <c r="AA243" i="10"/>
  <c r="AA243" i="9"/>
  <c r="S243" i="11"/>
  <c r="S243" i="10"/>
  <c r="S243" i="9"/>
  <c r="K243" i="11"/>
  <c r="K243" i="10"/>
  <c r="K243" i="9"/>
  <c r="C243" i="11"/>
  <c r="C243" i="10"/>
  <c r="C243" i="9"/>
  <c r="W242" i="11"/>
  <c r="W242" i="10"/>
  <c r="W242" i="9"/>
  <c r="O242" i="11"/>
  <c r="O242" i="10"/>
  <c r="O242" i="9"/>
  <c r="G242" i="11"/>
  <c r="G242" i="10"/>
  <c r="G242" i="9"/>
  <c r="AA241" i="11"/>
  <c r="AA241" i="10"/>
  <c r="AA241" i="9"/>
  <c r="S241" i="11"/>
  <c r="S241" i="10"/>
  <c r="S241" i="9"/>
  <c r="K241" i="11"/>
  <c r="K241" i="10"/>
  <c r="K241" i="9"/>
  <c r="C241" i="11"/>
  <c r="C241" i="10"/>
  <c r="C241" i="9"/>
  <c r="W240" i="11"/>
  <c r="W240" i="10"/>
  <c r="W240" i="9"/>
  <c r="O240" i="11"/>
  <c r="O240" i="10"/>
  <c r="O240" i="9"/>
  <c r="G240" i="11"/>
  <c r="G240" i="10"/>
  <c r="G240" i="9"/>
  <c r="AA239" i="11"/>
  <c r="AA239" i="10"/>
  <c r="AA239" i="9"/>
  <c r="S239" i="11"/>
  <c r="S239" i="10"/>
  <c r="S239" i="9"/>
  <c r="K239" i="11"/>
  <c r="K239" i="10"/>
  <c r="K239" i="9"/>
  <c r="C239" i="11"/>
  <c r="C239" i="10"/>
  <c r="C239" i="9"/>
  <c r="W238" i="11"/>
  <c r="W238" i="10"/>
  <c r="W238" i="9"/>
  <c r="O238" i="11"/>
  <c r="O238" i="10"/>
  <c r="O238" i="9"/>
  <c r="G238" i="11"/>
  <c r="G238" i="10"/>
  <c r="G238" i="9"/>
  <c r="AA237" i="11"/>
  <c r="AA237" i="10"/>
  <c r="AA237" i="9"/>
  <c r="S237" i="11"/>
  <c r="S237" i="10"/>
  <c r="S237" i="9"/>
  <c r="K237" i="11"/>
  <c r="K237" i="10"/>
  <c r="K237" i="9"/>
  <c r="C237" i="11"/>
  <c r="C237" i="10"/>
  <c r="C237" i="9"/>
  <c r="W236" i="11"/>
  <c r="W236" i="10"/>
  <c r="W236" i="9"/>
  <c r="O236" i="11"/>
  <c r="O236" i="10"/>
  <c r="O236" i="9"/>
  <c r="G236" i="11"/>
  <c r="G236" i="10"/>
  <c r="G236" i="9"/>
  <c r="AA235" i="11"/>
  <c r="AA235" i="10"/>
  <c r="AA235" i="9"/>
  <c r="S235" i="11"/>
  <c r="S235" i="10"/>
  <c r="S235" i="9"/>
  <c r="K235" i="11"/>
  <c r="K235" i="10"/>
  <c r="K235" i="9"/>
  <c r="C235" i="11"/>
  <c r="C235" i="10"/>
  <c r="C235" i="9"/>
  <c r="W234" i="11"/>
  <c r="W234" i="10"/>
  <c r="W234" i="9"/>
  <c r="O234" i="11"/>
  <c r="O234" i="10"/>
  <c r="O234" i="9"/>
  <c r="G234" i="11"/>
  <c r="G234" i="10"/>
  <c r="G234" i="9"/>
  <c r="AA233" i="11"/>
  <c r="AA233" i="10"/>
  <c r="AA233" i="9"/>
  <c r="S233" i="11"/>
  <c r="S233" i="10"/>
  <c r="S233" i="9"/>
  <c r="K233" i="11"/>
  <c r="K233" i="10"/>
  <c r="K233" i="9"/>
  <c r="C233" i="11"/>
  <c r="C233" i="10"/>
  <c r="C233" i="9"/>
  <c r="W232" i="11"/>
  <c r="W232" i="10"/>
  <c r="W232" i="9"/>
  <c r="O232" i="11"/>
  <c r="O232" i="10"/>
  <c r="O232" i="9"/>
  <c r="G232" i="11"/>
  <c r="G232" i="10"/>
  <c r="G232" i="9"/>
  <c r="AA231" i="11"/>
  <c r="AA231" i="10"/>
  <c r="AA231" i="9"/>
  <c r="S231" i="11"/>
  <c r="S231" i="10"/>
  <c r="S231" i="9"/>
  <c r="K231" i="11"/>
  <c r="K231" i="10"/>
  <c r="K231" i="9"/>
  <c r="C231" i="11"/>
  <c r="C231" i="10"/>
  <c r="C231" i="9"/>
  <c r="W230" i="11"/>
  <c r="W230" i="10"/>
  <c r="W230" i="9"/>
  <c r="O230" i="11"/>
  <c r="O230" i="10"/>
  <c r="O230" i="9"/>
  <c r="G230" i="11"/>
  <c r="G230" i="10"/>
  <c r="G230" i="9"/>
  <c r="AA229" i="11"/>
  <c r="AA229" i="10"/>
  <c r="AA229" i="9"/>
  <c r="S229" i="11"/>
  <c r="S229" i="10"/>
  <c r="S229" i="9"/>
  <c r="K229" i="11"/>
  <c r="K229" i="10"/>
  <c r="K229" i="9"/>
  <c r="C229" i="11"/>
  <c r="C229" i="10"/>
  <c r="C229" i="9"/>
  <c r="W228" i="11"/>
  <c r="W228" i="10"/>
  <c r="W228" i="9"/>
  <c r="O228" i="11"/>
  <c r="O228" i="10"/>
  <c r="O228" i="9"/>
  <c r="G228" i="11"/>
  <c r="G228" i="10"/>
  <c r="G228" i="9"/>
  <c r="AA227" i="11"/>
  <c r="AA227" i="10"/>
  <c r="AA227" i="9"/>
  <c r="S227" i="11"/>
  <c r="S227" i="10"/>
  <c r="S227" i="9"/>
  <c r="K227" i="11"/>
  <c r="K227" i="10"/>
  <c r="K227" i="9"/>
  <c r="C227" i="11"/>
  <c r="C227" i="10"/>
  <c r="C227" i="9"/>
  <c r="W226" i="11"/>
  <c r="W226" i="10"/>
  <c r="W226" i="9"/>
  <c r="O226" i="11"/>
  <c r="O226" i="10"/>
  <c r="O226" i="9"/>
  <c r="G226" i="11"/>
  <c r="G226" i="10"/>
  <c r="G226" i="9"/>
  <c r="AA225" i="11"/>
  <c r="AA225" i="10"/>
  <c r="AA225" i="9"/>
  <c r="S225" i="11"/>
  <c r="S225" i="10"/>
  <c r="S225" i="9"/>
  <c r="K225" i="11"/>
  <c r="K225" i="10"/>
  <c r="K225" i="9"/>
  <c r="C225" i="11"/>
  <c r="C225" i="10"/>
  <c r="C225" i="9"/>
  <c r="W224" i="11"/>
  <c r="W224" i="10"/>
  <c r="W224" i="9"/>
  <c r="O224" i="11"/>
  <c r="O224" i="10"/>
  <c r="O224" i="9"/>
  <c r="G224" i="11"/>
  <c r="G224" i="10"/>
  <c r="G224" i="9"/>
  <c r="AA223" i="11"/>
  <c r="AA223" i="10"/>
  <c r="AA223" i="9"/>
  <c r="S223" i="11"/>
  <c r="S223" i="10"/>
  <c r="S223" i="9"/>
  <c r="K223" i="11"/>
  <c r="K223" i="10"/>
  <c r="K223" i="9"/>
  <c r="C223" i="11"/>
  <c r="C223" i="10"/>
  <c r="C223" i="9"/>
  <c r="W222" i="11"/>
  <c r="W222" i="10"/>
  <c r="W222" i="9"/>
  <c r="O222" i="11"/>
  <c r="O222" i="10"/>
  <c r="O222" i="9"/>
  <c r="G222" i="11"/>
  <c r="G222" i="10"/>
  <c r="G222" i="9"/>
  <c r="AA221" i="11"/>
  <c r="AA221" i="10"/>
  <c r="AA221" i="9"/>
  <c r="S221" i="11"/>
  <c r="S221" i="10"/>
  <c r="S221" i="9"/>
  <c r="K221" i="11"/>
  <c r="K221" i="10"/>
  <c r="K221" i="9"/>
  <c r="C221" i="11"/>
  <c r="C221" i="10"/>
  <c r="C221" i="9"/>
  <c r="W220" i="11"/>
  <c r="W220" i="10"/>
  <c r="W220" i="9"/>
  <c r="O220" i="11"/>
  <c r="O220" i="10"/>
  <c r="O220" i="9"/>
  <c r="G220" i="11"/>
  <c r="G220" i="10"/>
  <c r="G220" i="9"/>
  <c r="AA219" i="11"/>
  <c r="AA219" i="10"/>
  <c r="AA219" i="9"/>
  <c r="S219" i="11"/>
  <c r="S219" i="10"/>
  <c r="S219" i="9"/>
  <c r="K219" i="11"/>
  <c r="K219" i="10"/>
  <c r="K219" i="9"/>
  <c r="C219" i="11"/>
  <c r="C219" i="10"/>
  <c r="C219" i="9"/>
  <c r="W218" i="11"/>
  <c r="W218" i="10"/>
  <c r="W218" i="9"/>
  <c r="O218" i="11"/>
  <c r="O218" i="10"/>
  <c r="O218" i="9"/>
  <c r="G218" i="11"/>
  <c r="G218" i="10"/>
  <c r="G218" i="9"/>
  <c r="AA217" i="11"/>
  <c r="AA217" i="10"/>
  <c r="AA217" i="9"/>
  <c r="S217" i="11"/>
  <c r="S217" i="10"/>
  <c r="S217" i="9"/>
  <c r="K217" i="11"/>
  <c r="K217" i="10"/>
  <c r="K217" i="9"/>
  <c r="C217" i="11"/>
  <c r="C217" i="10"/>
  <c r="C217" i="9"/>
  <c r="W216" i="11"/>
  <c r="W216" i="10"/>
  <c r="W216" i="9"/>
  <c r="O216" i="11"/>
  <c r="O216" i="10"/>
  <c r="O216" i="9"/>
  <c r="G216" i="11"/>
  <c r="G216" i="10"/>
  <c r="G216" i="9"/>
  <c r="AA215" i="11"/>
  <c r="AA215" i="10"/>
  <c r="AA215" i="9"/>
  <c r="S215" i="11"/>
  <c r="S215" i="10"/>
  <c r="S215" i="9"/>
  <c r="K215" i="11"/>
  <c r="K215" i="10"/>
  <c r="K215" i="9"/>
  <c r="C215" i="11"/>
  <c r="C215" i="10"/>
  <c r="C215" i="9"/>
  <c r="W214" i="11"/>
  <c r="W214" i="10"/>
  <c r="W214" i="9"/>
  <c r="O214" i="11"/>
  <c r="O214" i="10"/>
  <c r="O214" i="9"/>
  <c r="G214" i="11"/>
  <c r="G214" i="10"/>
  <c r="G214" i="9"/>
  <c r="AA213" i="11"/>
  <c r="AA213" i="10"/>
  <c r="AA213" i="9"/>
  <c r="S213" i="11"/>
  <c r="S213" i="10"/>
  <c r="S213" i="9"/>
  <c r="K213" i="11"/>
  <c r="K213" i="10"/>
  <c r="K213" i="9"/>
  <c r="C213" i="11"/>
  <c r="C213" i="10"/>
  <c r="C213" i="9"/>
  <c r="W212" i="11"/>
  <c r="W212" i="10"/>
  <c r="W212" i="9"/>
  <c r="O212" i="11"/>
  <c r="O212" i="10"/>
  <c r="O212" i="9"/>
  <c r="G212" i="11"/>
  <c r="G212" i="10"/>
  <c r="G212" i="9"/>
  <c r="AA211" i="11"/>
  <c r="AA211" i="10"/>
  <c r="AA211" i="9"/>
  <c r="S211" i="11"/>
  <c r="S211" i="10"/>
  <c r="S211" i="9"/>
  <c r="K211" i="11"/>
  <c r="K211" i="10"/>
  <c r="K211" i="9"/>
  <c r="C211" i="11"/>
  <c r="C211" i="10"/>
  <c r="C211" i="9"/>
  <c r="W210" i="11"/>
  <c r="W210" i="10"/>
  <c r="W210" i="9"/>
  <c r="O210" i="11"/>
  <c r="O210" i="10"/>
  <c r="O210" i="9"/>
  <c r="G210" i="11"/>
  <c r="G210" i="10"/>
  <c r="G210" i="9"/>
  <c r="AA209" i="11"/>
  <c r="AA209" i="10"/>
  <c r="AA209" i="9"/>
  <c r="S209" i="11"/>
  <c r="S209" i="10"/>
  <c r="S209" i="9"/>
  <c r="K209" i="11"/>
  <c r="K209" i="10"/>
  <c r="K209" i="9"/>
  <c r="C209" i="11"/>
  <c r="C209" i="10"/>
  <c r="C209" i="9"/>
  <c r="W208" i="11"/>
  <c r="W208" i="10"/>
  <c r="W208" i="9"/>
  <c r="O208" i="11"/>
  <c r="O208" i="10"/>
  <c r="O208" i="9"/>
  <c r="G208" i="11"/>
  <c r="G208" i="10"/>
  <c r="G208" i="9"/>
  <c r="AA207" i="11"/>
  <c r="AA207" i="10"/>
  <c r="AA207" i="9"/>
  <c r="S207" i="11"/>
  <c r="S207" i="10"/>
  <c r="S207" i="9"/>
  <c r="K207" i="11"/>
  <c r="K207" i="10"/>
  <c r="K207" i="9"/>
  <c r="C207" i="11"/>
  <c r="C207" i="10"/>
  <c r="C207" i="9"/>
  <c r="W206" i="11"/>
  <c r="W206" i="10"/>
  <c r="W206" i="9"/>
  <c r="O206" i="11"/>
  <c r="O206" i="10"/>
  <c r="O206" i="9"/>
  <c r="G206" i="11"/>
  <c r="G206" i="10"/>
  <c r="G206" i="9"/>
  <c r="AA205" i="11"/>
  <c r="AA205" i="10"/>
  <c r="AA205" i="9"/>
  <c r="S205" i="11"/>
  <c r="S205" i="10"/>
  <c r="S205" i="9"/>
  <c r="K205" i="11"/>
  <c r="K205" i="10"/>
  <c r="K205" i="9"/>
  <c r="C205" i="11"/>
  <c r="C205" i="10"/>
  <c r="C205" i="9"/>
  <c r="W204" i="11"/>
  <c r="W204" i="10"/>
  <c r="W204" i="9"/>
  <c r="O204" i="11"/>
  <c r="O204" i="10"/>
  <c r="O204" i="9"/>
  <c r="G204" i="11"/>
  <c r="G204" i="10"/>
  <c r="G204" i="9"/>
  <c r="AA203" i="11"/>
  <c r="AA203" i="10"/>
  <c r="AA203" i="9"/>
  <c r="S203" i="11"/>
  <c r="S203" i="10"/>
  <c r="S203" i="9"/>
  <c r="K203" i="11"/>
  <c r="K203" i="10"/>
  <c r="K203" i="9"/>
  <c r="C203" i="11"/>
  <c r="C203" i="10"/>
  <c r="C203" i="9"/>
  <c r="W202" i="11"/>
  <c r="W202" i="10"/>
  <c r="W202" i="9"/>
  <c r="O202" i="11"/>
  <c r="O202" i="10"/>
  <c r="O202" i="9"/>
  <c r="G202" i="11"/>
  <c r="G202" i="10"/>
  <c r="G202" i="9"/>
  <c r="AA201" i="11"/>
  <c r="AA201" i="10"/>
  <c r="AA201" i="9"/>
  <c r="S201" i="11"/>
  <c r="S201" i="10"/>
  <c r="S201" i="9"/>
  <c r="K201" i="11"/>
  <c r="K201" i="10"/>
  <c r="K201" i="9"/>
  <c r="C201" i="11"/>
  <c r="C201" i="10"/>
  <c r="C201" i="9"/>
  <c r="W200" i="11"/>
  <c r="W200" i="10"/>
  <c r="W200" i="9"/>
  <c r="O200" i="11"/>
  <c r="O200" i="10"/>
  <c r="O200" i="9"/>
  <c r="G200" i="11"/>
  <c r="G200" i="10"/>
  <c r="G200" i="9"/>
  <c r="AA199" i="11"/>
  <c r="AA199" i="10"/>
  <c r="AA199" i="9"/>
  <c r="S199" i="11"/>
  <c r="S199" i="10"/>
  <c r="S199" i="9"/>
  <c r="K199" i="11"/>
  <c r="K199" i="10"/>
  <c r="K199" i="9"/>
  <c r="C199" i="11"/>
  <c r="C199" i="10"/>
  <c r="C199" i="9"/>
  <c r="W198" i="11"/>
  <c r="W198" i="10"/>
  <c r="W198" i="9"/>
  <c r="O198" i="11"/>
  <c r="O198" i="10"/>
  <c r="O198" i="9"/>
  <c r="G198" i="11"/>
  <c r="G198" i="10"/>
  <c r="G198" i="9"/>
  <c r="AA197" i="11"/>
  <c r="AA197" i="10"/>
  <c r="AA197" i="9"/>
  <c r="S197" i="11"/>
  <c r="S197" i="10"/>
  <c r="S197" i="9"/>
  <c r="K197" i="11"/>
  <c r="K197" i="10"/>
  <c r="K197" i="9"/>
  <c r="C197" i="11"/>
  <c r="C197" i="10"/>
  <c r="C197" i="9"/>
  <c r="W196" i="11"/>
  <c r="W196" i="10"/>
  <c r="W196" i="9"/>
  <c r="O196" i="11"/>
  <c r="O196" i="10"/>
  <c r="O196" i="9"/>
  <c r="G196" i="11"/>
  <c r="G196" i="10"/>
  <c r="G196" i="9"/>
  <c r="AA195" i="11"/>
  <c r="AA195" i="10"/>
  <c r="AA195" i="9"/>
  <c r="S195" i="11"/>
  <c r="S195" i="10"/>
  <c r="S195" i="9"/>
  <c r="K195" i="11"/>
  <c r="K195" i="10"/>
  <c r="K195" i="9"/>
  <c r="C195" i="11"/>
  <c r="C195" i="10"/>
  <c r="C195" i="9"/>
  <c r="W194" i="11"/>
  <c r="W194" i="10"/>
  <c r="W194" i="9"/>
  <c r="O194" i="11"/>
  <c r="O194" i="10"/>
  <c r="O194" i="9"/>
  <c r="G194" i="11"/>
  <c r="G194" i="10"/>
  <c r="G194" i="9"/>
  <c r="AA193" i="11"/>
  <c r="AA193" i="10"/>
  <c r="AA193" i="9"/>
  <c r="S193" i="11"/>
  <c r="S193" i="10"/>
  <c r="S193" i="9"/>
  <c r="K193" i="11"/>
  <c r="K193" i="10"/>
  <c r="K193" i="9"/>
  <c r="C193" i="11"/>
  <c r="C193" i="10"/>
  <c r="C193" i="9"/>
  <c r="W192" i="11"/>
  <c r="W192" i="10"/>
  <c r="W192" i="9"/>
  <c r="O192" i="11"/>
  <c r="O192" i="10"/>
  <c r="O192" i="9"/>
  <c r="G192" i="11"/>
  <c r="G192" i="10"/>
  <c r="G192" i="9"/>
  <c r="AA191" i="11"/>
  <c r="AA191" i="10"/>
  <c r="AA191" i="9"/>
  <c r="S191" i="11"/>
  <c r="S191" i="10"/>
  <c r="S191" i="9"/>
  <c r="K191" i="11"/>
  <c r="K191" i="10"/>
  <c r="K191" i="9"/>
  <c r="C191" i="11"/>
  <c r="C191" i="10"/>
  <c r="C191" i="9"/>
  <c r="W190" i="11"/>
  <c r="W190" i="10"/>
  <c r="W190" i="9"/>
  <c r="O190" i="11"/>
  <c r="O190" i="10"/>
  <c r="O190" i="9"/>
  <c r="G190" i="11"/>
  <c r="G190" i="10"/>
  <c r="G190" i="9"/>
  <c r="AA189" i="11"/>
  <c r="AA189" i="10"/>
  <c r="AA189" i="9"/>
  <c r="S189" i="11"/>
  <c r="S189" i="10"/>
  <c r="S189" i="9"/>
  <c r="K189" i="11"/>
  <c r="K189" i="10"/>
  <c r="K189" i="9"/>
  <c r="C189" i="11"/>
  <c r="C189" i="10"/>
  <c r="C189" i="9"/>
  <c r="W188" i="11"/>
  <c r="W188" i="10"/>
  <c r="W188" i="9"/>
  <c r="O188" i="11"/>
  <c r="O188" i="10"/>
  <c r="O188" i="9"/>
  <c r="G188" i="11"/>
  <c r="G188" i="10"/>
  <c r="G188" i="9"/>
  <c r="AA187" i="11"/>
  <c r="AA187" i="10"/>
  <c r="AA187" i="9"/>
  <c r="S187" i="11"/>
  <c r="S187" i="10"/>
  <c r="S187" i="9"/>
  <c r="K187" i="11"/>
  <c r="K187" i="10"/>
  <c r="K187" i="9"/>
  <c r="C187" i="11"/>
  <c r="C187" i="10"/>
  <c r="C187" i="9"/>
  <c r="W186" i="11"/>
  <c r="W186" i="10"/>
  <c r="W186" i="9"/>
  <c r="O186" i="11"/>
  <c r="O186" i="10"/>
  <c r="O186" i="9"/>
  <c r="G186" i="11"/>
  <c r="G186" i="10"/>
  <c r="G186" i="9"/>
  <c r="AA185" i="11"/>
  <c r="AA185" i="10"/>
  <c r="AA185" i="9"/>
  <c r="S185" i="11"/>
  <c r="S185" i="10"/>
  <c r="S185" i="9"/>
  <c r="K185" i="11"/>
  <c r="K185" i="10"/>
  <c r="K185" i="9"/>
  <c r="C185" i="11"/>
  <c r="C185" i="10"/>
  <c r="C185" i="9"/>
  <c r="W184" i="11"/>
  <c r="W184" i="10"/>
  <c r="W184" i="9"/>
  <c r="O184" i="11"/>
  <c r="O184" i="10"/>
  <c r="O184" i="9"/>
  <c r="G184" i="11"/>
  <c r="G184" i="10"/>
  <c r="G184" i="9"/>
  <c r="AA183" i="11"/>
  <c r="AA183" i="10"/>
  <c r="AA183" i="9"/>
  <c r="S183" i="11"/>
  <c r="S183" i="10"/>
  <c r="S183" i="9"/>
  <c r="K183" i="11"/>
  <c r="K183" i="10"/>
  <c r="K183" i="9"/>
  <c r="C183" i="11"/>
  <c r="C183" i="10"/>
  <c r="C183" i="9"/>
  <c r="W182" i="11"/>
  <c r="W182" i="10"/>
  <c r="W182" i="9"/>
  <c r="O182" i="11"/>
  <c r="O182" i="10"/>
  <c r="O182" i="9"/>
  <c r="G182" i="11"/>
  <c r="G182" i="10"/>
  <c r="G182" i="9"/>
  <c r="AA181" i="11"/>
  <c r="AA181" i="10"/>
  <c r="AA181" i="9"/>
  <c r="S181" i="11"/>
  <c r="S181" i="10"/>
  <c r="S181" i="9"/>
  <c r="K181" i="11"/>
  <c r="K181" i="10"/>
  <c r="K181" i="9"/>
  <c r="C181" i="11"/>
  <c r="C181" i="10"/>
  <c r="C181" i="9"/>
  <c r="W180" i="11"/>
  <c r="W180" i="10"/>
  <c r="W180" i="9"/>
  <c r="O180" i="11"/>
  <c r="O180" i="10"/>
  <c r="O180" i="9"/>
  <c r="G180" i="11"/>
  <c r="G180" i="10"/>
  <c r="G180" i="9"/>
  <c r="AA179" i="11"/>
  <c r="AA179" i="10"/>
  <c r="AA179" i="9"/>
  <c r="S179" i="11"/>
  <c r="S179" i="10"/>
  <c r="S179" i="9"/>
  <c r="K179" i="11"/>
  <c r="K179" i="10"/>
  <c r="K179" i="9"/>
  <c r="C179" i="11"/>
  <c r="C179" i="10"/>
  <c r="C179" i="9"/>
  <c r="W178" i="11"/>
  <c r="W178" i="10"/>
  <c r="W178" i="9"/>
  <c r="O178" i="11"/>
  <c r="O178" i="10"/>
  <c r="O178" i="9"/>
  <c r="G178" i="11"/>
  <c r="G178" i="10"/>
  <c r="G178" i="9"/>
  <c r="AA177" i="11"/>
  <c r="AA177" i="10"/>
  <c r="AA177" i="9"/>
  <c r="S177" i="11"/>
  <c r="S177" i="10"/>
  <c r="S177" i="9"/>
  <c r="K177" i="11"/>
  <c r="K177" i="10"/>
  <c r="K177" i="9"/>
  <c r="C177" i="11"/>
  <c r="C177" i="10"/>
  <c r="C177" i="9"/>
  <c r="W176" i="11"/>
  <c r="W176" i="10"/>
  <c r="W176" i="9"/>
  <c r="O176" i="11"/>
  <c r="O176" i="10"/>
  <c r="O176" i="9"/>
  <c r="G176" i="11"/>
  <c r="G176" i="10"/>
  <c r="G176" i="9"/>
  <c r="AA175" i="11"/>
  <c r="AA175" i="10"/>
  <c r="AA175" i="9"/>
  <c r="S175" i="11"/>
  <c r="S175" i="10"/>
  <c r="S175" i="9"/>
  <c r="K175" i="11"/>
  <c r="K175" i="10"/>
  <c r="K175" i="9"/>
  <c r="C175" i="11"/>
  <c r="C175" i="10"/>
  <c r="C175" i="9"/>
  <c r="W174" i="11"/>
  <c r="W174" i="10"/>
  <c r="W174" i="9"/>
  <c r="O174" i="11"/>
  <c r="O174" i="10"/>
  <c r="O174" i="9"/>
  <c r="T96" i="11"/>
  <c r="T96" i="10"/>
  <c r="T96" i="9"/>
  <c r="L96" i="11"/>
  <c r="L96" i="10"/>
  <c r="L96" i="9"/>
  <c r="D96" i="11"/>
  <c r="D96" i="10"/>
  <c r="D96" i="9"/>
  <c r="AF95" i="11"/>
  <c r="AF95" i="10"/>
  <c r="AF95" i="9"/>
  <c r="X95" i="11"/>
  <c r="X95" i="10"/>
  <c r="X95" i="9"/>
  <c r="P95" i="11"/>
  <c r="P95" i="10"/>
  <c r="P95" i="9"/>
  <c r="H95" i="11"/>
  <c r="H95" i="10"/>
  <c r="H95" i="9"/>
  <c r="AB94" i="11"/>
  <c r="AB94" i="10"/>
  <c r="AB94" i="9"/>
  <c r="T94" i="11"/>
  <c r="T94" i="10"/>
  <c r="T94" i="9"/>
  <c r="L94" i="11"/>
  <c r="L94" i="10"/>
  <c r="L94" i="9"/>
  <c r="D94" i="11"/>
  <c r="D94" i="10"/>
  <c r="D94" i="9"/>
  <c r="AF93" i="11"/>
  <c r="AF93" i="10"/>
  <c r="AF93" i="9"/>
  <c r="X93" i="11"/>
  <c r="X93" i="10"/>
  <c r="X93" i="9"/>
  <c r="P93" i="11"/>
  <c r="P93" i="10"/>
  <c r="P93" i="9"/>
  <c r="H93" i="11"/>
  <c r="H93" i="10"/>
  <c r="H93" i="9"/>
  <c r="AB92" i="11"/>
  <c r="AB92" i="10"/>
  <c r="AB92" i="9"/>
  <c r="T92" i="11"/>
  <c r="T92" i="10"/>
  <c r="T92" i="9"/>
  <c r="L92" i="11"/>
  <c r="L92" i="10"/>
  <c r="L92" i="9"/>
  <c r="D92" i="11"/>
  <c r="D92" i="10"/>
  <c r="D92" i="9"/>
  <c r="AF91" i="11"/>
  <c r="AF91" i="10"/>
  <c r="AF91" i="9"/>
  <c r="X91" i="11"/>
  <c r="X91" i="10"/>
  <c r="X91" i="9"/>
  <c r="P91" i="11"/>
  <c r="P91" i="10"/>
  <c r="P91" i="9"/>
  <c r="H91" i="11"/>
  <c r="H91" i="10"/>
  <c r="H91" i="9"/>
  <c r="AB90" i="11"/>
  <c r="AB90" i="10"/>
  <c r="AB90" i="9"/>
  <c r="T90" i="11"/>
  <c r="T90" i="10"/>
  <c r="T90" i="9"/>
  <c r="L90" i="11"/>
  <c r="L90" i="10"/>
  <c r="L90" i="9"/>
  <c r="D90" i="11"/>
  <c r="D90" i="10"/>
  <c r="D90" i="9"/>
  <c r="AF89" i="10"/>
  <c r="AF89" i="9"/>
  <c r="X89" i="11"/>
  <c r="X89" i="10"/>
  <c r="X89" i="9"/>
  <c r="P89" i="11"/>
  <c r="P89" i="10"/>
  <c r="P89" i="9"/>
  <c r="H89" i="11"/>
  <c r="H89" i="10"/>
  <c r="H89" i="9"/>
  <c r="AB88" i="11"/>
  <c r="AB88" i="10"/>
  <c r="AB88" i="9"/>
  <c r="T88" i="11"/>
  <c r="T88" i="10"/>
  <c r="T88" i="9"/>
  <c r="L88" i="11"/>
  <c r="L88" i="10"/>
  <c r="L88" i="9"/>
  <c r="D88" i="11"/>
  <c r="D88" i="10"/>
  <c r="D88" i="9"/>
  <c r="AF87" i="11"/>
  <c r="AF87" i="10"/>
  <c r="AF87" i="9"/>
  <c r="X87" i="11"/>
  <c r="X87" i="10"/>
  <c r="X87" i="9"/>
  <c r="P87" i="11"/>
  <c r="P87" i="10"/>
  <c r="P87" i="9"/>
  <c r="H87" i="11"/>
  <c r="H87" i="10"/>
  <c r="H87" i="9"/>
  <c r="AB86" i="11"/>
  <c r="AB86" i="10"/>
  <c r="AB86" i="9"/>
  <c r="T86" i="11"/>
  <c r="T86" i="10"/>
  <c r="T86" i="9"/>
  <c r="L86" i="11"/>
  <c r="L86" i="10"/>
  <c r="L86" i="9"/>
  <c r="D86" i="11"/>
  <c r="D86" i="10"/>
  <c r="D86" i="9"/>
  <c r="AF85" i="11"/>
  <c r="AF85" i="10"/>
  <c r="AF85" i="9"/>
  <c r="X85" i="11"/>
  <c r="X85" i="10"/>
  <c r="X85" i="9"/>
  <c r="P85" i="11"/>
  <c r="P85" i="10"/>
  <c r="P85" i="9"/>
  <c r="H85" i="11"/>
  <c r="H85" i="10"/>
  <c r="H85" i="9"/>
  <c r="AB84" i="11"/>
  <c r="AB84" i="10"/>
  <c r="AB84" i="9"/>
  <c r="T84" i="11"/>
  <c r="T84" i="10"/>
  <c r="T84" i="9"/>
  <c r="L84" i="11"/>
  <c r="L84" i="10"/>
  <c r="L84" i="9"/>
  <c r="D84" i="11"/>
  <c r="D84" i="10"/>
  <c r="D84" i="9"/>
  <c r="AF83" i="11"/>
  <c r="AF83" i="10"/>
  <c r="AF83" i="9"/>
  <c r="X83" i="11"/>
  <c r="X83" i="10"/>
  <c r="X83" i="9"/>
  <c r="P83" i="11"/>
  <c r="P83" i="10"/>
  <c r="P83" i="9"/>
  <c r="H83" i="11"/>
  <c r="H83" i="10"/>
  <c r="H83" i="9"/>
  <c r="AB82" i="11"/>
  <c r="AB82" i="10"/>
  <c r="AB82" i="9"/>
  <c r="T82" i="11"/>
  <c r="T82" i="10"/>
  <c r="T82" i="9"/>
  <c r="L82" i="11"/>
  <c r="L82" i="10"/>
  <c r="L82" i="9"/>
  <c r="D82" i="11"/>
  <c r="D82" i="10"/>
  <c r="D82" i="9"/>
  <c r="AF81" i="11"/>
  <c r="AF81" i="10"/>
  <c r="AF81" i="9"/>
  <c r="X81" i="11"/>
  <c r="X81" i="10"/>
  <c r="X81" i="9"/>
  <c r="P81" i="11"/>
  <c r="P81" i="10"/>
  <c r="P81" i="9"/>
  <c r="H81" i="11"/>
  <c r="H81" i="10"/>
  <c r="H81" i="9"/>
  <c r="AB80" i="11"/>
  <c r="AB80" i="10"/>
  <c r="AB80" i="9"/>
  <c r="T80" i="11"/>
  <c r="T80" i="10"/>
  <c r="T80" i="9"/>
  <c r="L80" i="11"/>
  <c r="L80" i="10"/>
  <c r="L80" i="9"/>
  <c r="D80" i="11"/>
  <c r="D80" i="10"/>
  <c r="D80" i="9"/>
  <c r="AF79" i="11"/>
  <c r="AF79" i="10"/>
  <c r="AF79" i="9"/>
  <c r="X79" i="11"/>
  <c r="X79" i="10"/>
  <c r="X79" i="9"/>
  <c r="P79" i="11"/>
  <c r="P79" i="10"/>
  <c r="P79" i="9"/>
  <c r="H79" i="11"/>
  <c r="H79" i="10"/>
  <c r="H79" i="9"/>
  <c r="AB78" i="11"/>
  <c r="AB78" i="10"/>
  <c r="AB78" i="9"/>
  <c r="T78" i="11"/>
  <c r="T78" i="10"/>
  <c r="T78" i="9"/>
  <c r="L78" i="11"/>
  <c r="L78" i="10"/>
  <c r="L78" i="9"/>
  <c r="D78" i="11"/>
  <c r="D78" i="10"/>
  <c r="D78" i="9"/>
  <c r="AF77" i="11"/>
  <c r="AF77" i="10"/>
  <c r="AF77" i="9"/>
  <c r="X77" i="11"/>
  <c r="X77" i="10"/>
  <c r="X77" i="9"/>
  <c r="P77" i="11"/>
  <c r="P77" i="10"/>
  <c r="P77" i="9"/>
  <c r="H77" i="11"/>
  <c r="H77" i="10"/>
  <c r="H77" i="9"/>
  <c r="AB76" i="11"/>
  <c r="AB76" i="10"/>
  <c r="AB76" i="9"/>
  <c r="T76" i="11"/>
  <c r="T76" i="10"/>
  <c r="T76" i="9"/>
  <c r="L76" i="11"/>
  <c r="L76" i="10"/>
  <c r="L76" i="9"/>
  <c r="D76" i="11"/>
  <c r="D76" i="10"/>
  <c r="D76" i="9"/>
  <c r="AF75" i="11"/>
  <c r="AF75" i="10"/>
  <c r="AF75" i="9"/>
  <c r="X75" i="11"/>
  <c r="X75" i="10"/>
  <c r="X75" i="9"/>
  <c r="P75" i="11"/>
  <c r="P75" i="10"/>
  <c r="P75" i="9"/>
  <c r="H75" i="11"/>
  <c r="H75" i="10"/>
  <c r="H75" i="9"/>
  <c r="AB74" i="11"/>
  <c r="AB74" i="10"/>
  <c r="AB74" i="9"/>
  <c r="T74" i="11"/>
  <c r="T74" i="10"/>
  <c r="T74" i="9"/>
  <c r="L74" i="11"/>
  <c r="L74" i="10"/>
  <c r="L74" i="9"/>
  <c r="D74" i="11"/>
  <c r="D74" i="10"/>
  <c r="D74" i="9"/>
  <c r="AF73" i="11"/>
  <c r="AF73" i="10"/>
  <c r="AF73" i="9"/>
  <c r="X73" i="11"/>
  <c r="X73" i="10"/>
  <c r="X73" i="9"/>
  <c r="P73" i="11"/>
  <c r="P73" i="10"/>
  <c r="P73" i="9"/>
  <c r="H73" i="11"/>
  <c r="H73" i="10"/>
  <c r="H73" i="9"/>
  <c r="AB72" i="11"/>
  <c r="AB72" i="10"/>
  <c r="AB72" i="9"/>
  <c r="T72" i="11"/>
  <c r="T72" i="10"/>
  <c r="T72" i="9"/>
  <c r="L72" i="11"/>
  <c r="L72" i="10"/>
  <c r="L72" i="9"/>
  <c r="D72" i="11"/>
  <c r="D72" i="10"/>
  <c r="D72" i="9"/>
  <c r="AF71" i="11"/>
  <c r="AF71" i="10"/>
  <c r="AF71" i="9"/>
  <c r="X71" i="11"/>
  <c r="X71" i="10"/>
  <c r="X71" i="9"/>
  <c r="P71" i="11"/>
  <c r="P71" i="10"/>
  <c r="P71" i="9"/>
  <c r="H71" i="11"/>
  <c r="H71" i="10"/>
  <c r="H71" i="9"/>
  <c r="AB70" i="11"/>
  <c r="AB70" i="10"/>
  <c r="AB70" i="9"/>
  <c r="T70" i="11"/>
  <c r="T70" i="10"/>
  <c r="T70" i="9"/>
  <c r="L70" i="11"/>
  <c r="L70" i="10"/>
  <c r="L70" i="9"/>
  <c r="D70" i="11"/>
  <c r="D70" i="10"/>
  <c r="D70" i="9"/>
  <c r="AF69" i="11"/>
  <c r="AF69" i="10"/>
  <c r="AF69" i="9"/>
  <c r="X69" i="11"/>
  <c r="X69" i="10"/>
  <c r="X69" i="9"/>
  <c r="P69" i="11"/>
  <c r="P69" i="10"/>
  <c r="P69" i="9"/>
  <c r="H69" i="11"/>
  <c r="H69" i="10"/>
  <c r="H69" i="9"/>
  <c r="AB68" i="11"/>
  <c r="AB68" i="10"/>
  <c r="AB68" i="9"/>
  <c r="T68" i="11"/>
  <c r="T68" i="10"/>
  <c r="T68" i="9"/>
  <c r="L68" i="11"/>
  <c r="L68" i="10"/>
  <c r="L68" i="9"/>
  <c r="D68" i="11"/>
  <c r="D68" i="10"/>
  <c r="D68" i="9"/>
  <c r="AF67" i="11"/>
  <c r="AF67" i="10"/>
  <c r="AF67" i="9"/>
  <c r="X67" i="11"/>
  <c r="X67" i="10"/>
  <c r="X67" i="9"/>
  <c r="P67" i="11"/>
  <c r="P67" i="10"/>
  <c r="P67" i="9"/>
  <c r="H67" i="11"/>
  <c r="H67" i="10"/>
  <c r="H67" i="9"/>
  <c r="AB66" i="11"/>
  <c r="AB66" i="10"/>
  <c r="AB66" i="9"/>
  <c r="T66" i="11"/>
  <c r="T66" i="10"/>
  <c r="T66" i="9"/>
  <c r="L66" i="11"/>
  <c r="L66" i="10"/>
  <c r="L66" i="9"/>
  <c r="D66" i="11"/>
  <c r="D66" i="10"/>
  <c r="D66" i="9"/>
  <c r="AF65" i="11"/>
  <c r="AF65" i="10"/>
  <c r="AF65" i="9"/>
  <c r="X65" i="11"/>
  <c r="X65" i="10"/>
  <c r="X65" i="9"/>
  <c r="P65" i="11"/>
  <c r="P65" i="10"/>
  <c r="P65" i="9"/>
  <c r="H65" i="11"/>
  <c r="H65" i="10"/>
  <c r="H65" i="9"/>
  <c r="AB64" i="11"/>
  <c r="AB64" i="10"/>
  <c r="AB64" i="9"/>
  <c r="T64" i="11"/>
  <c r="T64" i="10"/>
  <c r="T64" i="9"/>
  <c r="L64" i="11"/>
  <c r="L64" i="10"/>
  <c r="L64" i="9"/>
  <c r="D64" i="11"/>
  <c r="D64" i="10"/>
  <c r="D64" i="9"/>
  <c r="X63" i="11"/>
  <c r="X63" i="10"/>
  <c r="X63" i="9"/>
  <c r="P63" i="11"/>
  <c r="P63" i="10"/>
  <c r="P63" i="9"/>
  <c r="H63" i="11"/>
  <c r="H63" i="10"/>
  <c r="H63" i="9"/>
  <c r="AB62" i="11"/>
  <c r="AB62" i="10"/>
  <c r="AB62" i="9"/>
  <c r="T62" i="11"/>
  <c r="T62" i="10"/>
  <c r="T62" i="9"/>
  <c r="L62" i="11"/>
  <c r="L62" i="10"/>
  <c r="L62" i="9"/>
  <c r="D62" i="11"/>
  <c r="D62" i="10"/>
  <c r="D62" i="9"/>
  <c r="X61" i="11"/>
  <c r="X61" i="10"/>
  <c r="X61" i="9"/>
  <c r="P61" i="11"/>
  <c r="P61" i="10"/>
  <c r="P61" i="9"/>
  <c r="H61" i="11"/>
  <c r="H61" i="10"/>
  <c r="H61" i="9"/>
  <c r="AB60" i="11"/>
  <c r="AB60" i="10"/>
  <c r="AB60" i="9"/>
  <c r="T60" i="11"/>
  <c r="T60" i="10"/>
  <c r="T60" i="9"/>
  <c r="L60" i="11"/>
  <c r="L60" i="10"/>
  <c r="L60" i="9"/>
  <c r="D60" i="11"/>
  <c r="D60" i="10"/>
  <c r="D60" i="9"/>
  <c r="AF59" i="11"/>
  <c r="AF59" i="10"/>
  <c r="AF59" i="9"/>
  <c r="X59" i="11"/>
  <c r="X59" i="10"/>
  <c r="X59" i="9"/>
  <c r="P59" i="11"/>
  <c r="P59" i="10"/>
  <c r="P59" i="9"/>
  <c r="H59" i="11"/>
  <c r="H59" i="10"/>
  <c r="H59" i="9"/>
  <c r="AB58" i="11"/>
  <c r="AB58" i="10"/>
  <c r="AB58" i="9"/>
  <c r="T58" i="11"/>
  <c r="T58" i="10"/>
  <c r="T58" i="9"/>
  <c r="L58" i="11"/>
  <c r="L58" i="10"/>
  <c r="L58" i="9"/>
  <c r="D58" i="11"/>
  <c r="D58" i="10"/>
  <c r="D58" i="9"/>
  <c r="AF57" i="11"/>
  <c r="AF57" i="10"/>
  <c r="AF57" i="9"/>
  <c r="X57" i="11"/>
  <c r="X57" i="10"/>
  <c r="X57" i="9"/>
  <c r="P57" i="11"/>
  <c r="P57" i="10"/>
  <c r="P57" i="9"/>
  <c r="H57" i="11"/>
  <c r="H57" i="10"/>
  <c r="H57" i="9"/>
  <c r="AB56" i="11"/>
  <c r="AB56" i="10"/>
  <c r="AB56" i="9"/>
  <c r="T56" i="11"/>
  <c r="T56" i="10"/>
  <c r="T56" i="9"/>
  <c r="L56" i="11"/>
  <c r="L56" i="10"/>
  <c r="L56" i="9"/>
  <c r="D56" i="11"/>
  <c r="D56" i="10"/>
  <c r="D56" i="9"/>
  <c r="AF55" i="11"/>
  <c r="AF55" i="10"/>
  <c r="AF55" i="9"/>
  <c r="X55" i="11"/>
  <c r="X55" i="10"/>
  <c r="X55" i="9"/>
  <c r="P55" i="11"/>
  <c r="P55" i="10"/>
  <c r="P55" i="9"/>
  <c r="H55" i="11"/>
  <c r="H55" i="10"/>
  <c r="H55" i="9"/>
  <c r="AB54" i="11"/>
  <c r="AB54" i="10"/>
  <c r="AB54" i="9"/>
  <c r="T54" i="11"/>
  <c r="T54" i="10"/>
  <c r="T54" i="9"/>
  <c r="K54" i="11"/>
  <c r="K54" i="10"/>
  <c r="K54" i="9"/>
  <c r="C54" i="11"/>
  <c r="C54" i="10"/>
  <c r="C54" i="9"/>
  <c r="W53" i="11"/>
  <c r="W53" i="10"/>
  <c r="W53" i="9"/>
  <c r="O53" i="11"/>
  <c r="O53" i="10"/>
  <c r="O53" i="9"/>
  <c r="G53" i="11"/>
  <c r="G53" i="10"/>
  <c r="G53" i="9"/>
  <c r="AA52" i="11"/>
  <c r="AA52" i="10"/>
  <c r="AA52" i="9"/>
  <c r="S52" i="11"/>
  <c r="S52" i="10"/>
  <c r="S52" i="9"/>
  <c r="K52" i="11"/>
  <c r="K52" i="10"/>
  <c r="K52" i="9"/>
  <c r="C52" i="11"/>
  <c r="C52" i="10"/>
  <c r="C52" i="9"/>
  <c r="W51" i="11"/>
  <c r="W51" i="10"/>
  <c r="W51" i="9"/>
  <c r="O51" i="11"/>
  <c r="O51" i="10"/>
  <c r="O51" i="9"/>
  <c r="G51" i="11"/>
  <c r="G51" i="10"/>
  <c r="G51" i="9"/>
  <c r="AA50" i="11"/>
  <c r="AA50" i="10"/>
  <c r="AA50" i="9"/>
  <c r="S50" i="11"/>
  <c r="S50" i="10"/>
  <c r="S50" i="9"/>
  <c r="K50" i="11"/>
  <c r="K50" i="10"/>
  <c r="K50" i="9"/>
  <c r="C50" i="11"/>
  <c r="C50" i="10"/>
  <c r="C50" i="9"/>
  <c r="W49" i="11"/>
  <c r="W49" i="10"/>
  <c r="W49" i="9"/>
  <c r="O49" i="11"/>
  <c r="O49" i="10"/>
  <c r="O49" i="9"/>
  <c r="G49" i="11"/>
  <c r="G49" i="10"/>
  <c r="G49" i="9"/>
  <c r="AA48" i="11"/>
  <c r="AA48" i="10"/>
  <c r="AA48" i="9"/>
  <c r="S48" i="11"/>
  <c r="S48" i="10"/>
  <c r="S48" i="9"/>
  <c r="K48" i="11"/>
  <c r="K48" i="10"/>
  <c r="K48" i="9"/>
  <c r="C48" i="11"/>
  <c r="C48" i="10"/>
  <c r="C48" i="9"/>
  <c r="W47" i="11"/>
  <c r="W47" i="10"/>
  <c r="W47" i="9"/>
  <c r="O47" i="11"/>
  <c r="O47" i="10"/>
  <c r="O47" i="9"/>
  <c r="G47" i="11"/>
  <c r="G47" i="10"/>
  <c r="G47" i="9"/>
  <c r="AA46" i="11"/>
  <c r="AA46" i="10"/>
  <c r="AA46" i="9"/>
  <c r="S46" i="11"/>
  <c r="S46" i="10"/>
  <c r="S46" i="9"/>
  <c r="K46" i="11"/>
  <c r="K46" i="10"/>
  <c r="K46" i="9"/>
  <c r="C46" i="11"/>
  <c r="C46" i="10"/>
  <c r="C46" i="9"/>
  <c r="W45" i="11"/>
  <c r="W45" i="10"/>
  <c r="W45" i="9"/>
  <c r="O45" i="11"/>
  <c r="O45" i="10"/>
  <c r="O45" i="9"/>
  <c r="G45" i="11"/>
  <c r="G45" i="10"/>
  <c r="G45" i="9"/>
  <c r="AA44" i="11"/>
  <c r="AA44" i="10"/>
  <c r="AA44" i="9"/>
  <c r="S44" i="11"/>
  <c r="S44" i="10"/>
  <c r="S44" i="9"/>
  <c r="K44" i="11"/>
  <c r="K44" i="10"/>
  <c r="K44" i="9"/>
  <c r="C44" i="11"/>
  <c r="C44" i="10"/>
  <c r="C44" i="9"/>
  <c r="W43" i="11"/>
  <c r="W43" i="10"/>
  <c r="W43" i="9"/>
  <c r="O43" i="11"/>
  <c r="O43" i="10"/>
  <c r="O43" i="9"/>
  <c r="G43" i="11"/>
  <c r="G43" i="10"/>
  <c r="G43" i="9"/>
  <c r="AA42" i="11"/>
  <c r="AA42" i="10"/>
  <c r="AA42" i="9"/>
  <c r="S42" i="11"/>
  <c r="S42" i="10"/>
  <c r="S42" i="9"/>
  <c r="K42" i="11"/>
  <c r="K42" i="10"/>
  <c r="K42" i="9"/>
  <c r="C42" i="11"/>
  <c r="C42" i="10"/>
  <c r="C42" i="9"/>
  <c r="W41" i="11"/>
  <c r="W41" i="10"/>
  <c r="W41" i="9"/>
  <c r="O41" i="11"/>
  <c r="O41" i="10"/>
  <c r="O41" i="9"/>
  <c r="G41" i="11"/>
  <c r="G41" i="10"/>
  <c r="G41" i="9"/>
  <c r="AA40" i="11"/>
  <c r="AA40" i="10"/>
  <c r="AA40" i="9"/>
  <c r="S40" i="11"/>
  <c r="S40" i="10"/>
  <c r="S40" i="9"/>
  <c r="K40" i="11"/>
  <c r="K40" i="10"/>
  <c r="K40" i="9"/>
  <c r="C40" i="11"/>
  <c r="C40" i="10"/>
  <c r="C40" i="9"/>
  <c r="W39" i="11"/>
  <c r="W39" i="10"/>
  <c r="W39" i="9"/>
  <c r="O39" i="11"/>
  <c r="O39" i="10"/>
  <c r="O39" i="9"/>
  <c r="G39" i="11"/>
  <c r="G39" i="10"/>
  <c r="G39" i="9"/>
  <c r="AA38" i="11"/>
  <c r="AA38" i="10"/>
  <c r="AA38" i="9"/>
  <c r="S38" i="11"/>
  <c r="S38" i="10"/>
  <c r="S38" i="9"/>
  <c r="K38" i="11"/>
  <c r="K38" i="10"/>
  <c r="K38" i="9"/>
  <c r="C38" i="11"/>
  <c r="C38" i="10"/>
  <c r="C38" i="9"/>
  <c r="W37" i="11"/>
  <c r="W37" i="9"/>
  <c r="W37" i="10"/>
  <c r="O37" i="11"/>
  <c r="O37" i="9"/>
  <c r="O37" i="10"/>
  <c r="G37" i="11"/>
  <c r="G37" i="9"/>
  <c r="G37" i="10"/>
  <c r="AA36" i="11"/>
  <c r="AA36" i="10"/>
  <c r="AA36" i="9"/>
  <c r="S36" i="11"/>
  <c r="S36" i="10"/>
  <c r="S36" i="9"/>
  <c r="K36" i="11"/>
  <c r="K36" i="10"/>
  <c r="K36" i="9"/>
  <c r="C36" i="11"/>
  <c r="C36" i="10"/>
  <c r="C36" i="9"/>
  <c r="W35" i="11"/>
  <c r="W35" i="10"/>
  <c r="W35" i="9"/>
  <c r="O35" i="11"/>
  <c r="O35" i="10"/>
  <c r="O35" i="9"/>
  <c r="G35" i="11"/>
  <c r="G35" i="10"/>
  <c r="G35" i="9"/>
  <c r="AA34" i="11"/>
  <c r="AA34" i="10"/>
  <c r="AA34" i="9"/>
  <c r="S34" i="11"/>
  <c r="S34" i="10"/>
  <c r="S34" i="9"/>
  <c r="K34" i="11"/>
  <c r="K34" i="10"/>
  <c r="K34" i="9"/>
  <c r="C34" i="11"/>
  <c r="C34" i="10"/>
  <c r="C34" i="9"/>
  <c r="W33" i="11"/>
  <c r="W33" i="10"/>
  <c r="W33" i="9"/>
  <c r="O33" i="11"/>
  <c r="O33" i="10"/>
  <c r="O33" i="9"/>
  <c r="G33" i="11"/>
  <c r="G33" i="10"/>
  <c r="G33" i="9"/>
  <c r="AA32" i="11"/>
  <c r="AA32" i="10"/>
  <c r="AA32" i="9"/>
  <c r="S32" i="11"/>
  <c r="S32" i="10"/>
  <c r="S32" i="9"/>
  <c r="K32" i="11"/>
  <c r="K32" i="9"/>
  <c r="K32" i="10"/>
  <c r="C32" i="11"/>
  <c r="C32" i="10"/>
  <c r="C32" i="9"/>
  <c r="W31" i="11"/>
  <c r="W31" i="9"/>
  <c r="W31" i="10"/>
  <c r="O31" i="11"/>
  <c r="O31" i="9"/>
  <c r="O31" i="10"/>
  <c r="G31" i="11"/>
  <c r="G31" i="9"/>
  <c r="G31" i="10"/>
  <c r="AA30" i="11"/>
  <c r="AA30" i="9"/>
  <c r="AA30" i="10"/>
  <c r="S30" i="11"/>
  <c r="S30" i="9"/>
  <c r="S30" i="10"/>
  <c r="K30" i="11"/>
  <c r="K30" i="9"/>
  <c r="K30" i="10"/>
  <c r="C30" i="11"/>
  <c r="C30" i="9"/>
  <c r="C30" i="10"/>
  <c r="W29" i="11"/>
  <c r="W29" i="10"/>
  <c r="W29" i="9"/>
  <c r="O29" i="11"/>
  <c r="O29" i="10"/>
  <c r="O29" i="9"/>
  <c r="G29" i="11"/>
  <c r="G29" i="10"/>
  <c r="G29" i="9"/>
  <c r="AA28" i="11"/>
  <c r="AA28" i="9"/>
  <c r="AA28" i="10"/>
  <c r="S28" i="11"/>
  <c r="S28" i="9"/>
  <c r="S28" i="10"/>
  <c r="K28" i="11"/>
  <c r="K28" i="9"/>
  <c r="K28" i="10"/>
  <c r="C28" i="11"/>
  <c r="C28" i="9"/>
  <c r="C28" i="10"/>
  <c r="W27" i="11"/>
  <c r="W27" i="10"/>
  <c r="W27" i="9"/>
  <c r="O27" i="11"/>
  <c r="O27" i="10"/>
  <c r="O27" i="9"/>
  <c r="G27" i="11"/>
  <c r="G27" i="10"/>
  <c r="G27" i="9"/>
  <c r="AA26" i="11"/>
  <c r="AA26" i="9"/>
  <c r="AA26" i="10"/>
  <c r="S26" i="11"/>
  <c r="S26" i="9"/>
  <c r="S26" i="10"/>
  <c r="K26" i="11"/>
  <c r="K26" i="9"/>
  <c r="K26" i="10"/>
  <c r="C26" i="11"/>
  <c r="C26" i="9"/>
  <c r="C26" i="10"/>
  <c r="W25" i="11"/>
  <c r="W25" i="9"/>
  <c r="W25" i="10"/>
  <c r="O25" i="11"/>
  <c r="O25" i="9"/>
  <c r="O25" i="10"/>
  <c r="G25" i="11"/>
  <c r="G25" i="9"/>
  <c r="G25" i="10"/>
  <c r="AA24" i="11"/>
  <c r="AA24" i="9"/>
  <c r="AA24" i="10"/>
  <c r="S24" i="11"/>
  <c r="S24" i="9"/>
  <c r="S24" i="10"/>
  <c r="K24" i="11"/>
  <c r="K24" i="9"/>
  <c r="K24" i="10"/>
  <c r="C24" i="11"/>
  <c r="C24" i="9"/>
  <c r="C24" i="10"/>
  <c r="W23" i="11"/>
  <c r="W23" i="10"/>
  <c r="W23" i="9"/>
  <c r="O23" i="11"/>
  <c r="O23" i="10"/>
  <c r="O23" i="9"/>
  <c r="G23" i="11"/>
  <c r="G23" i="10"/>
  <c r="G23" i="9"/>
  <c r="AA22" i="11"/>
  <c r="AA22" i="10"/>
  <c r="AA22" i="9"/>
  <c r="S22" i="11"/>
  <c r="S22" i="10"/>
  <c r="S22" i="9"/>
  <c r="K22" i="11"/>
  <c r="K22" i="10"/>
  <c r="K22" i="9"/>
  <c r="C22" i="11"/>
  <c r="C22" i="10"/>
  <c r="C22" i="9"/>
  <c r="W21" i="11"/>
  <c r="W21" i="9"/>
  <c r="W21" i="10"/>
  <c r="O21" i="11"/>
  <c r="O21" i="9"/>
  <c r="O21" i="10"/>
  <c r="G21" i="11"/>
  <c r="G21" i="9"/>
  <c r="G21" i="10"/>
  <c r="AA20" i="11"/>
  <c r="AA20" i="10"/>
  <c r="AA20" i="9"/>
  <c r="S20" i="11"/>
  <c r="S20" i="10"/>
  <c r="S20" i="9"/>
  <c r="K20" i="11"/>
  <c r="K20" i="10"/>
  <c r="K20" i="9"/>
  <c r="C20" i="11"/>
  <c r="C20" i="10"/>
  <c r="C20" i="9"/>
  <c r="W19" i="11"/>
  <c r="W19" i="9"/>
  <c r="W19" i="10"/>
  <c r="O19" i="11"/>
  <c r="O19" i="9"/>
  <c r="O19" i="10"/>
  <c r="G19" i="11"/>
  <c r="G19" i="9"/>
  <c r="G19" i="10"/>
  <c r="AA18" i="11"/>
  <c r="AA18" i="9"/>
  <c r="AA18" i="10"/>
  <c r="S18" i="11"/>
  <c r="S18" i="9"/>
  <c r="S18" i="10"/>
  <c r="K18" i="11"/>
  <c r="K18" i="9"/>
  <c r="K18" i="10"/>
  <c r="C18" i="11"/>
  <c r="C18" i="9"/>
  <c r="C18" i="10"/>
  <c r="W17" i="11"/>
  <c r="W17" i="9"/>
  <c r="W17" i="10"/>
  <c r="O17" i="11"/>
  <c r="O17" i="9"/>
  <c r="O17" i="10"/>
  <c r="G17" i="11"/>
  <c r="G17" i="9"/>
  <c r="G17" i="10"/>
  <c r="AA16" i="11"/>
  <c r="AA16" i="9"/>
  <c r="AA16" i="10"/>
  <c r="S16" i="11"/>
  <c r="S16" i="9"/>
  <c r="S16" i="10"/>
  <c r="K16" i="11"/>
  <c r="K16" i="9"/>
  <c r="K16" i="10"/>
  <c r="C16" i="11"/>
  <c r="C16" i="9"/>
  <c r="C16" i="10"/>
  <c r="W15" i="11"/>
  <c r="W15" i="9"/>
  <c r="W15" i="10"/>
  <c r="O15" i="11"/>
  <c r="O15" i="9"/>
  <c r="O15" i="10"/>
  <c r="G15" i="11"/>
  <c r="G15" i="9"/>
  <c r="G15" i="10"/>
  <c r="AA14" i="11"/>
  <c r="AA14" i="10"/>
  <c r="AA14" i="9"/>
  <c r="S14" i="11"/>
  <c r="S14" i="10"/>
  <c r="S14" i="9"/>
  <c r="K14" i="11"/>
  <c r="K14" i="10"/>
  <c r="K14" i="9"/>
  <c r="C14" i="11"/>
  <c r="C14" i="10"/>
  <c r="C14" i="9"/>
  <c r="W13" i="11"/>
  <c r="W13" i="9"/>
  <c r="W13" i="10"/>
  <c r="O13" i="11"/>
  <c r="O13" i="9"/>
  <c r="O13" i="10"/>
  <c r="G13" i="11"/>
  <c r="G13" i="9"/>
  <c r="G13" i="10"/>
  <c r="AA12" i="11"/>
  <c r="AA12" i="9"/>
  <c r="AA12" i="10"/>
  <c r="S12" i="11"/>
  <c r="S12" i="9"/>
  <c r="S12" i="10"/>
  <c r="K12" i="11"/>
  <c r="K12" i="9"/>
  <c r="K12" i="10"/>
  <c r="C12" i="11"/>
  <c r="C12" i="9"/>
  <c r="C12" i="10"/>
  <c r="W11" i="11"/>
  <c r="W11" i="9"/>
  <c r="W11" i="10"/>
  <c r="O11" i="11"/>
  <c r="O11" i="9"/>
  <c r="O11" i="10"/>
  <c r="G11" i="11"/>
  <c r="G11" i="9"/>
  <c r="G11" i="10"/>
  <c r="AA10" i="11"/>
  <c r="AA10" i="9"/>
  <c r="AA10" i="10"/>
  <c r="S10" i="11"/>
  <c r="S10" i="9"/>
  <c r="S10" i="10"/>
  <c r="K10" i="11"/>
  <c r="K10" i="9"/>
  <c r="K10" i="10"/>
  <c r="C10" i="11"/>
  <c r="C10" i="9"/>
  <c r="C10" i="10"/>
  <c r="W9" i="11"/>
  <c r="W9" i="10"/>
  <c r="W9" i="9"/>
  <c r="O9" i="11"/>
  <c r="O9" i="10"/>
  <c r="O9" i="9"/>
  <c r="G9" i="11"/>
  <c r="G9" i="10"/>
  <c r="G9" i="9"/>
  <c r="AA8" i="11"/>
  <c r="AA8" i="9"/>
  <c r="AA8" i="10"/>
  <c r="S8" i="11"/>
  <c r="S8" i="9"/>
  <c r="S8" i="10"/>
  <c r="K8" i="11"/>
  <c r="K8" i="9"/>
  <c r="K8" i="10"/>
  <c r="C8" i="11"/>
  <c r="C8" i="9"/>
  <c r="C8" i="10"/>
  <c r="W7" i="11"/>
  <c r="W7" i="9"/>
  <c r="W7" i="10"/>
  <c r="O7" i="11"/>
  <c r="O7" i="9"/>
  <c r="O7" i="10"/>
  <c r="G7" i="11"/>
  <c r="G7" i="9"/>
  <c r="G7" i="10"/>
  <c r="AA6" i="11"/>
  <c r="AA6" i="10"/>
  <c r="AA6" i="9"/>
  <c r="S6" i="11"/>
  <c r="S6" i="10"/>
  <c r="S6" i="9"/>
  <c r="K6" i="11"/>
  <c r="K6" i="10"/>
  <c r="K6" i="9"/>
  <c r="C6" i="11"/>
  <c r="C6" i="10"/>
  <c r="C6" i="9"/>
  <c r="W5" i="11"/>
  <c r="W5" i="10"/>
  <c r="W5" i="9"/>
  <c r="O5" i="11"/>
  <c r="O5" i="10"/>
  <c r="O5" i="9"/>
  <c r="G5" i="11"/>
  <c r="G5" i="10"/>
  <c r="G5" i="9"/>
  <c r="AA4" i="11"/>
  <c r="AA4" i="10"/>
  <c r="AA4" i="9"/>
  <c r="S4" i="11"/>
  <c r="S4" i="10"/>
  <c r="S4" i="9"/>
  <c r="K4" i="11"/>
  <c r="K4" i="10"/>
  <c r="K4" i="9"/>
  <c r="C4" i="11"/>
  <c r="C4" i="10"/>
  <c r="C4" i="9"/>
  <c r="W3" i="11"/>
  <c r="W3" i="10"/>
  <c r="W3" i="9"/>
  <c r="O3" i="11"/>
  <c r="O3" i="10"/>
  <c r="O3" i="9"/>
  <c r="G3" i="11"/>
  <c r="G3" i="10"/>
  <c r="G3" i="9"/>
  <c r="D2" i="11"/>
  <c r="D2" i="9"/>
  <c r="D2" i="10"/>
  <c r="S178" i="11"/>
  <c r="S178" i="10"/>
  <c r="S178" i="9"/>
  <c r="K178" i="11"/>
  <c r="K178" i="10"/>
  <c r="K178" i="9"/>
  <c r="C178" i="11"/>
  <c r="C178" i="10"/>
  <c r="C178" i="9"/>
  <c r="W177" i="11"/>
  <c r="W177" i="10"/>
  <c r="W177" i="9"/>
  <c r="O177" i="11"/>
  <c r="O177" i="10"/>
  <c r="O177" i="9"/>
  <c r="G177" i="11"/>
  <c r="G177" i="10"/>
  <c r="G177" i="9"/>
  <c r="AA176" i="11"/>
  <c r="AA176" i="10"/>
  <c r="AA176" i="9"/>
  <c r="S176" i="11"/>
  <c r="S176" i="10"/>
  <c r="S176" i="9"/>
  <c r="K176" i="11"/>
  <c r="K176" i="10"/>
  <c r="K176" i="9"/>
  <c r="C176" i="11"/>
  <c r="C176" i="10"/>
  <c r="C176" i="9"/>
  <c r="W175" i="11"/>
  <c r="W175" i="10"/>
  <c r="W175" i="9"/>
  <c r="O175" i="11"/>
  <c r="O175" i="10"/>
  <c r="O175" i="9"/>
  <c r="G175" i="11"/>
  <c r="G175" i="10"/>
  <c r="G175" i="9"/>
  <c r="AA174" i="11"/>
  <c r="AA174" i="10"/>
  <c r="AA174" i="9"/>
  <c r="S174" i="11"/>
  <c r="S174" i="10"/>
  <c r="S174" i="9"/>
  <c r="K174" i="11"/>
  <c r="K174" i="10"/>
  <c r="K174" i="9"/>
  <c r="C174" i="11"/>
  <c r="C174" i="10"/>
  <c r="C174" i="9"/>
  <c r="W173" i="11"/>
  <c r="W173" i="10"/>
  <c r="W173" i="9"/>
  <c r="O173" i="11"/>
  <c r="O173" i="10"/>
  <c r="O173" i="9"/>
  <c r="G173" i="11"/>
  <c r="G173" i="10"/>
  <c r="G173" i="9"/>
  <c r="AA172" i="11"/>
  <c r="AA172" i="10"/>
  <c r="AA172" i="9"/>
  <c r="S172" i="11"/>
  <c r="S172" i="10"/>
  <c r="S172" i="9"/>
  <c r="K172" i="11"/>
  <c r="K172" i="10"/>
  <c r="K172" i="9"/>
  <c r="C172" i="11"/>
  <c r="C172" i="10"/>
  <c r="C172" i="9"/>
  <c r="W171" i="11"/>
  <c r="W171" i="10"/>
  <c r="W171" i="9"/>
  <c r="O171" i="11"/>
  <c r="O171" i="10"/>
  <c r="O171" i="9"/>
  <c r="G171" i="11"/>
  <c r="G171" i="10"/>
  <c r="G171" i="9"/>
  <c r="AA170" i="11"/>
  <c r="AA170" i="10"/>
  <c r="AA170" i="9"/>
  <c r="S170" i="11"/>
  <c r="S170" i="10"/>
  <c r="S170" i="9"/>
  <c r="K170" i="11"/>
  <c r="K170" i="10"/>
  <c r="K170" i="9"/>
  <c r="C170" i="11"/>
  <c r="C170" i="10"/>
  <c r="C170" i="9"/>
  <c r="W169" i="11"/>
  <c r="W169" i="10"/>
  <c r="W169" i="9"/>
  <c r="O169" i="11"/>
  <c r="O169" i="10"/>
  <c r="O169" i="9"/>
  <c r="G169" i="11"/>
  <c r="G169" i="10"/>
  <c r="G169" i="9"/>
  <c r="AA168" i="11"/>
  <c r="AA168" i="10"/>
  <c r="AA168" i="9"/>
  <c r="S168" i="11"/>
  <c r="S168" i="10"/>
  <c r="S168" i="9"/>
  <c r="K168" i="11"/>
  <c r="K168" i="10"/>
  <c r="K168" i="9"/>
  <c r="C168" i="11"/>
  <c r="C168" i="10"/>
  <c r="C168" i="9"/>
  <c r="W167" i="11"/>
  <c r="W167" i="10"/>
  <c r="W167" i="9"/>
  <c r="O167" i="11"/>
  <c r="O167" i="10"/>
  <c r="O167" i="9"/>
  <c r="G167" i="11"/>
  <c r="G167" i="10"/>
  <c r="G167" i="9"/>
  <c r="AA166" i="11"/>
  <c r="AA166" i="10"/>
  <c r="AA166" i="9"/>
  <c r="S166" i="11"/>
  <c r="S166" i="10"/>
  <c r="S166" i="9"/>
  <c r="K166" i="11"/>
  <c r="K166" i="10"/>
  <c r="K166" i="9"/>
  <c r="C166" i="11"/>
  <c r="C166" i="10"/>
  <c r="C166" i="9"/>
  <c r="W165" i="11"/>
  <c r="W165" i="10"/>
  <c r="W165" i="9"/>
  <c r="O165" i="11"/>
  <c r="O165" i="10"/>
  <c r="O165" i="9"/>
  <c r="G165" i="11"/>
  <c r="G165" i="10"/>
  <c r="G165" i="9"/>
  <c r="AA164" i="11"/>
  <c r="AA164" i="10"/>
  <c r="AA164" i="9"/>
  <c r="S164" i="11"/>
  <c r="S164" i="10"/>
  <c r="S164" i="9"/>
  <c r="K164" i="11"/>
  <c r="K164" i="10"/>
  <c r="K164" i="9"/>
  <c r="C164" i="11"/>
  <c r="C164" i="10"/>
  <c r="C164" i="9"/>
  <c r="W163" i="11"/>
  <c r="W163" i="10"/>
  <c r="W163" i="9"/>
  <c r="O163" i="11"/>
  <c r="O163" i="10"/>
  <c r="O163" i="9"/>
  <c r="G163" i="11"/>
  <c r="G163" i="10"/>
  <c r="G163" i="9"/>
  <c r="AA162" i="11"/>
  <c r="AA162" i="10"/>
  <c r="AA162" i="9"/>
  <c r="S162" i="11"/>
  <c r="S162" i="10"/>
  <c r="S162" i="9"/>
  <c r="K162" i="11"/>
  <c r="K162" i="10"/>
  <c r="K162" i="9"/>
  <c r="C162" i="11"/>
  <c r="C162" i="10"/>
  <c r="C162" i="9"/>
  <c r="W161" i="11"/>
  <c r="W161" i="10"/>
  <c r="W161" i="9"/>
  <c r="O161" i="11"/>
  <c r="O161" i="10"/>
  <c r="O161" i="9"/>
  <c r="G161" i="11"/>
  <c r="G161" i="10"/>
  <c r="G161" i="9"/>
  <c r="AA160" i="11"/>
  <c r="AA160" i="10"/>
  <c r="AA160" i="9"/>
  <c r="S160" i="11"/>
  <c r="S160" i="10"/>
  <c r="S160" i="9"/>
  <c r="K160" i="11"/>
  <c r="K160" i="10"/>
  <c r="K160" i="9"/>
  <c r="C160" i="11"/>
  <c r="C160" i="10"/>
  <c r="C160" i="9"/>
  <c r="W159" i="11"/>
  <c r="W159" i="10"/>
  <c r="W159" i="9"/>
  <c r="O159" i="11"/>
  <c r="O159" i="10"/>
  <c r="O159" i="9"/>
  <c r="G159" i="11"/>
  <c r="G159" i="10"/>
  <c r="G159" i="9"/>
  <c r="AA158" i="11"/>
  <c r="AA158" i="10"/>
  <c r="AA158" i="9"/>
  <c r="S158" i="11"/>
  <c r="S158" i="10"/>
  <c r="S158" i="9"/>
  <c r="K158" i="11"/>
  <c r="K158" i="10"/>
  <c r="K158" i="9"/>
  <c r="C158" i="11"/>
  <c r="C158" i="10"/>
  <c r="C158" i="9"/>
  <c r="W157" i="11"/>
  <c r="W157" i="10"/>
  <c r="W157" i="9"/>
  <c r="O157" i="11"/>
  <c r="O157" i="10"/>
  <c r="O157" i="9"/>
  <c r="G157" i="11"/>
  <c r="G157" i="10"/>
  <c r="G157" i="9"/>
  <c r="AA156" i="11"/>
  <c r="AA156" i="10"/>
  <c r="AA156" i="9"/>
  <c r="S156" i="11"/>
  <c r="S156" i="10"/>
  <c r="S156" i="9"/>
  <c r="K156" i="11"/>
  <c r="K156" i="10"/>
  <c r="K156" i="9"/>
  <c r="C156" i="11"/>
  <c r="C156" i="10"/>
  <c r="C156" i="9"/>
  <c r="W155" i="11"/>
  <c r="W155" i="10"/>
  <c r="W155" i="9"/>
  <c r="O155" i="11"/>
  <c r="O155" i="10"/>
  <c r="O155" i="9"/>
  <c r="G155" i="11"/>
  <c r="G155" i="10"/>
  <c r="G155" i="9"/>
  <c r="AA154" i="11"/>
  <c r="AA154" i="10"/>
  <c r="AA154" i="9"/>
  <c r="S154" i="11"/>
  <c r="S154" i="10"/>
  <c r="S154" i="9"/>
  <c r="K154" i="11"/>
  <c r="K154" i="10"/>
  <c r="K154" i="9"/>
  <c r="C154" i="11"/>
  <c r="C154" i="10"/>
  <c r="C154" i="9"/>
  <c r="W153" i="11"/>
  <c r="W153" i="10"/>
  <c r="W153" i="9"/>
  <c r="O153" i="11"/>
  <c r="O153" i="10"/>
  <c r="O153" i="9"/>
  <c r="G153" i="11"/>
  <c r="G153" i="10"/>
  <c r="G153" i="9"/>
  <c r="AA152" i="11"/>
  <c r="AA152" i="10"/>
  <c r="AA152" i="9"/>
  <c r="S152" i="11"/>
  <c r="S152" i="10"/>
  <c r="S152" i="9"/>
  <c r="K152" i="11"/>
  <c r="K152" i="10"/>
  <c r="K152" i="9"/>
  <c r="C152" i="11"/>
  <c r="C152" i="10"/>
  <c r="C152" i="9"/>
  <c r="W151" i="11"/>
  <c r="W151" i="10"/>
  <c r="W151" i="9"/>
  <c r="O151" i="11"/>
  <c r="O151" i="10"/>
  <c r="O151" i="9"/>
  <c r="G151" i="11"/>
  <c r="G151" i="10"/>
  <c r="G151" i="9"/>
  <c r="AA150" i="11"/>
  <c r="AA150" i="10"/>
  <c r="AA150" i="9"/>
  <c r="S150" i="11"/>
  <c r="S150" i="10"/>
  <c r="S150" i="9"/>
  <c r="K150" i="11"/>
  <c r="K150" i="10"/>
  <c r="K150" i="9"/>
  <c r="C150" i="11"/>
  <c r="C150" i="10"/>
  <c r="C150" i="9"/>
  <c r="W149" i="11"/>
  <c r="W149" i="10"/>
  <c r="W149" i="9"/>
  <c r="O149" i="11"/>
  <c r="O149" i="10"/>
  <c r="O149" i="9"/>
  <c r="G149" i="11"/>
  <c r="G149" i="10"/>
  <c r="G149" i="9"/>
  <c r="AA148" i="11"/>
  <c r="AA148" i="10"/>
  <c r="AA148" i="9"/>
  <c r="S148" i="11"/>
  <c r="S148" i="10"/>
  <c r="S148" i="9"/>
  <c r="K148" i="11"/>
  <c r="K148" i="10"/>
  <c r="K148" i="9"/>
  <c r="C148" i="11"/>
  <c r="C148" i="10"/>
  <c r="C148" i="9"/>
  <c r="W147" i="11"/>
  <c r="W147" i="10"/>
  <c r="W147" i="9"/>
  <c r="O147" i="11"/>
  <c r="O147" i="10"/>
  <c r="O147" i="9"/>
  <c r="G147" i="11"/>
  <c r="G147" i="10"/>
  <c r="G147" i="9"/>
  <c r="AA146" i="11"/>
  <c r="AA146" i="10"/>
  <c r="AA146" i="9"/>
  <c r="S146" i="11"/>
  <c r="S146" i="10"/>
  <c r="S146" i="9"/>
  <c r="K146" i="11"/>
  <c r="K146" i="10"/>
  <c r="K146" i="9"/>
  <c r="C146" i="11"/>
  <c r="C146" i="10"/>
  <c r="C146" i="9"/>
  <c r="W145" i="11"/>
  <c r="W145" i="10"/>
  <c r="W145" i="9"/>
  <c r="O145" i="11"/>
  <c r="O145" i="10"/>
  <c r="O145" i="9"/>
  <c r="G145" i="11"/>
  <c r="G145" i="10"/>
  <c r="G145" i="9"/>
  <c r="AA144" i="11"/>
  <c r="AA144" i="10"/>
  <c r="AA144" i="9"/>
  <c r="S144" i="11"/>
  <c r="S144" i="10"/>
  <c r="S144" i="9"/>
  <c r="K144" i="11"/>
  <c r="K144" i="10"/>
  <c r="K144" i="9"/>
  <c r="C144" i="11"/>
  <c r="C144" i="10"/>
  <c r="C144" i="9"/>
  <c r="W143" i="11"/>
  <c r="W143" i="10"/>
  <c r="W143" i="9"/>
  <c r="O143" i="11"/>
  <c r="O143" i="10"/>
  <c r="O143" i="9"/>
  <c r="G143" i="11"/>
  <c r="G143" i="10"/>
  <c r="G143" i="9"/>
  <c r="AA142" i="11"/>
  <c r="AA142" i="10"/>
  <c r="AA142" i="9"/>
  <c r="S142" i="11"/>
  <c r="S142" i="10"/>
  <c r="S142" i="9"/>
  <c r="K142" i="11"/>
  <c r="K142" i="10"/>
  <c r="K142" i="9"/>
  <c r="C142" i="11"/>
  <c r="C142" i="10"/>
  <c r="C142" i="9"/>
  <c r="W141" i="11"/>
  <c r="W141" i="10"/>
  <c r="W141" i="9"/>
  <c r="O141" i="11"/>
  <c r="O141" i="10"/>
  <c r="O141" i="9"/>
  <c r="G141" i="11"/>
  <c r="G141" i="10"/>
  <c r="G141" i="9"/>
  <c r="AA140" i="11"/>
  <c r="AA140" i="10"/>
  <c r="AA140" i="9"/>
  <c r="S140" i="11"/>
  <c r="S140" i="10"/>
  <c r="S140" i="9"/>
  <c r="K140" i="11"/>
  <c r="K140" i="10"/>
  <c r="K140" i="9"/>
  <c r="C140" i="11"/>
  <c r="C140" i="10"/>
  <c r="C140" i="9"/>
  <c r="W139" i="11"/>
  <c r="W139" i="10"/>
  <c r="W139" i="9"/>
  <c r="O139" i="11"/>
  <c r="O139" i="10"/>
  <c r="O139" i="9"/>
  <c r="G139" i="11"/>
  <c r="G139" i="10"/>
  <c r="G139" i="9"/>
  <c r="AA138" i="11"/>
  <c r="AA138" i="10"/>
  <c r="AA138" i="9"/>
  <c r="S138" i="11"/>
  <c r="S138" i="10"/>
  <c r="S138" i="9"/>
  <c r="K138" i="11"/>
  <c r="K138" i="10"/>
  <c r="K138" i="9"/>
  <c r="C138" i="11"/>
  <c r="C138" i="10"/>
  <c r="C138" i="9"/>
  <c r="W137" i="11"/>
  <c r="W137" i="10"/>
  <c r="W137" i="9"/>
  <c r="O137" i="11"/>
  <c r="O137" i="10"/>
  <c r="O137" i="9"/>
  <c r="G137" i="11"/>
  <c r="G137" i="10"/>
  <c r="G137" i="9"/>
  <c r="AA136" i="11"/>
  <c r="AA136" i="10"/>
  <c r="AA136" i="9"/>
  <c r="S136" i="11"/>
  <c r="S136" i="10"/>
  <c r="S136" i="9"/>
  <c r="K136" i="11"/>
  <c r="K136" i="10"/>
  <c r="K136" i="9"/>
  <c r="C136" i="11"/>
  <c r="C136" i="10"/>
  <c r="C136" i="9"/>
  <c r="W135" i="11"/>
  <c r="W135" i="10"/>
  <c r="W135" i="9"/>
  <c r="O135" i="11"/>
  <c r="O135" i="10"/>
  <c r="O135" i="9"/>
  <c r="G135" i="11"/>
  <c r="G135" i="10"/>
  <c r="G135" i="9"/>
  <c r="AA134" i="11"/>
  <c r="AA134" i="10"/>
  <c r="AA134" i="9"/>
  <c r="S134" i="11"/>
  <c r="S134" i="10"/>
  <c r="S134" i="9"/>
  <c r="K134" i="11"/>
  <c r="K134" i="10"/>
  <c r="K134" i="9"/>
  <c r="C134" i="11"/>
  <c r="C134" i="10"/>
  <c r="C134" i="9"/>
  <c r="W133" i="11"/>
  <c r="W133" i="10"/>
  <c r="W133" i="9"/>
  <c r="O133" i="11"/>
  <c r="O133" i="10"/>
  <c r="O133" i="9"/>
  <c r="G133" i="11"/>
  <c r="G133" i="10"/>
  <c r="G133" i="9"/>
  <c r="AA132" i="11"/>
  <c r="AA132" i="10"/>
  <c r="AA132" i="9"/>
  <c r="S132" i="11"/>
  <c r="S132" i="10"/>
  <c r="S132" i="9"/>
  <c r="K132" i="11"/>
  <c r="K132" i="10"/>
  <c r="K132" i="9"/>
  <c r="C132" i="11"/>
  <c r="C132" i="10"/>
  <c r="C132" i="9"/>
  <c r="W131" i="11"/>
  <c r="W131" i="10"/>
  <c r="W131" i="9"/>
  <c r="O131" i="11"/>
  <c r="O131" i="10"/>
  <c r="O131" i="9"/>
  <c r="G131" i="11"/>
  <c r="G131" i="10"/>
  <c r="G131" i="9"/>
  <c r="AA130" i="11"/>
  <c r="AA130" i="10"/>
  <c r="AA130" i="9"/>
  <c r="S130" i="11"/>
  <c r="S130" i="10"/>
  <c r="S130" i="9"/>
  <c r="K130" i="11"/>
  <c r="K130" i="10"/>
  <c r="K130" i="9"/>
  <c r="C130" i="11"/>
  <c r="C130" i="10"/>
  <c r="C130" i="9"/>
  <c r="W129" i="11"/>
  <c r="W129" i="10"/>
  <c r="W129" i="9"/>
  <c r="O129" i="11"/>
  <c r="O129" i="10"/>
  <c r="O129" i="9"/>
  <c r="G129" i="11"/>
  <c r="G129" i="10"/>
  <c r="G129" i="9"/>
  <c r="AA128" i="11"/>
  <c r="AA128" i="10"/>
  <c r="AA128" i="9"/>
  <c r="S128" i="11"/>
  <c r="S128" i="10"/>
  <c r="S128" i="9"/>
  <c r="K128" i="11"/>
  <c r="K128" i="10"/>
  <c r="K128" i="9"/>
  <c r="C128" i="11"/>
  <c r="C128" i="10"/>
  <c r="C128" i="9"/>
  <c r="W127" i="11"/>
  <c r="W127" i="10"/>
  <c r="W127" i="9"/>
  <c r="O127" i="11"/>
  <c r="O127" i="10"/>
  <c r="O127" i="9"/>
  <c r="G127" i="11"/>
  <c r="G127" i="10"/>
  <c r="G127" i="9"/>
  <c r="AA126" i="11"/>
  <c r="AA126" i="10"/>
  <c r="AA126" i="9"/>
  <c r="S126" i="11"/>
  <c r="S126" i="10"/>
  <c r="S126" i="9"/>
  <c r="K126" i="11"/>
  <c r="K126" i="10"/>
  <c r="K126" i="9"/>
  <c r="C126" i="11"/>
  <c r="C126" i="10"/>
  <c r="C126" i="9"/>
  <c r="W125" i="11"/>
  <c r="W125" i="10"/>
  <c r="W125" i="9"/>
  <c r="O125" i="11"/>
  <c r="O125" i="10"/>
  <c r="O125" i="9"/>
  <c r="G125" i="11"/>
  <c r="G125" i="10"/>
  <c r="G125" i="9"/>
  <c r="AA124" i="11"/>
  <c r="AA124" i="10"/>
  <c r="AA124" i="9"/>
  <c r="S124" i="11"/>
  <c r="S124" i="10"/>
  <c r="S124" i="9"/>
  <c r="K124" i="11"/>
  <c r="K124" i="10"/>
  <c r="K124" i="9"/>
  <c r="C124" i="11"/>
  <c r="C124" i="10"/>
  <c r="C124" i="9"/>
  <c r="W123" i="11"/>
  <c r="W123" i="10"/>
  <c r="W123" i="9"/>
  <c r="O123" i="11"/>
  <c r="O123" i="10"/>
  <c r="O123" i="9"/>
  <c r="G123" i="11"/>
  <c r="G123" i="10"/>
  <c r="G123" i="9"/>
  <c r="AA122" i="11"/>
  <c r="AA122" i="10"/>
  <c r="AA122" i="9"/>
  <c r="S122" i="11"/>
  <c r="S122" i="10"/>
  <c r="S122" i="9"/>
  <c r="K122" i="11"/>
  <c r="K122" i="10"/>
  <c r="K122" i="9"/>
  <c r="C122" i="11"/>
  <c r="C122" i="10"/>
  <c r="C122" i="9"/>
  <c r="W121" i="11"/>
  <c r="W121" i="10"/>
  <c r="W121" i="9"/>
  <c r="O121" i="11"/>
  <c r="O121" i="10"/>
  <c r="O121" i="9"/>
  <c r="G121" i="11"/>
  <c r="G121" i="10"/>
  <c r="G121" i="9"/>
  <c r="AA120" i="11"/>
  <c r="AA120" i="10"/>
  <c r="AA120" i="9"/>
  <c r="S120" i="11"/>
  <c r="S120" i="10"/>
  <c r="S120" i="9"/>
  <c r="K120" i="11"/>
  <c r="K120" i="10"/>
  <c r="K120" i="9"/>
  <c r="C120" i="11"/>
  <c r="C120" i="10"/>
  <c r="C120" i="9"/>
  <c r="W119" i="11"/>
  <c r="W119" i="10"/>
  <c r="W119" i="9"/>
  <c r="O119" i="11"/>
  <c r="O119" i="10"/>
  <c r="O119" i="9"/>
  <c r="G119" i="11"/>
  <c r="G119" i="10"/>
  <c r="G119" i="9"/>
  <c r="AA118" i="11"/>
  <c r="AA118" i="10"/>
  <c r="AA118" i="9"/>
  <c r="S118" i="11"/>
  <c r="S118" i="10"/>
  <c r="S118" i="9"/>
  <c r="K118" i="11"/>
  <c r="K118" i="10"/>
  <c r="K118" i="9"/>
  <c r="C118" i="11"/>
  <c r="C118" i="10"/>
  <c r="C118" i="9"/>
  <c r="W117" i="11"/>
  <c r="W117" i="10"/>
  <c r="W117" i="9"/>
  <c r="O117" i="11"/>
  <c r="O117" i="10"/>
  <c r="O117" i="9"/>
  <c r="G117" i="11"/>
  <c r="G117" i="10"/>
  <c r="G117" i="9"/>
  <c r="AA116" i="11"/>
  <c r="AA116" i="10"/>
  <c r="AA116" i="9"/>
  <c r="S116" i="11"/>
  <c r="S116" i="10"/>
  <c r="S116" i="9"/>
  <c r="K116" i="11"/>
  <c r="K116" i="10"/>
  <c r="K116" i="9"/>
  <c r="C116" i="11"/>
  <c r="C116" i="10"/>
  <c r="C116" i="9"/>
  <c r="W115" i="11"/>
  <c r="W115" i="10"/>
  <c r="W115" i="9"/>
  <c r="O115" i="11"/>
  <c r="O115" i="10"/>
  <c r="O115" i="9"/>
  <c r="G115" i="11"/>
  <c r="G115" i="10"/>
  <c r="G115" i="9"/>
  <c r="AA114" i="11"/>
  <c r="AA114" i="10"/>
  <c r="AA114" i="9"/>
  <c r="S114" i="11"/>
  <c r="S114" i="10"/>
  <c r="S114" i="9"/>
  <c r="K114" i="11"/>
  <c r="K114" i="10"/>
  <c r="K114" i="9"/>
  <c r="C114" i="11"/>
  <c r="C114" i="10"/>
  <c r="C114" i="9"/>
  <c r="W113" i="11"/>
  <c r="W113" i="10"/>
  <c r="W113" i="9"/>
  <c r="O113" i="11"/>
  <c r="O113" i="10"/>
  <c r="O113" i="9"/>
  <c r="G113" i="11"/>
  <c r="G113" i="10"/>
  <c r="G113" i="9"/>
  <c r="AA112" i="11"/>
  <c r="AA112" i="10"/>
  <c r="AA112" i="9"/>
  <c r="S112" i="11"/>
  <c r="S112" i="10"/>
  <c r="S112" i="9"/>
  <c r="K112" i="11"/>
  <c r="K112" i="10"/>
  <c r="K112" i="9"/>
  <c r="C112" i="11"/>
  <c r="C112" i="10"/>
  <c r="C112" i="9"/>
  <c r="W111" i="11"/>
  <c r="W111" i="10"/>
  <c r="W111" i="9"/>
  <c r="O111" i="11"/>
  <c r="O111" i="10"/>
  <c r="O111" i="9"/>
  <c r="G111" i="11"/>
  <c r="G111" i="10"/>
  <c r="G111" i="9"/>
  <c r="AA110" i="11"/>
  <c r="AA110" i="10"/>
  <c r="AA110" i="9"/>
  <c r="S110" i="11"/>
  <c r="S110" i="10"/>
  <c r="S110" i="9"/>
  <c r="K110" i="11"/>
  <c r="K110" i="10"/>
  <c r="K110" i="9"/>
  <c r="C110" i="11"/>
  <c r="C110" i="10"/>
  <c r="C110" i="9"/>
  <c r="W109" i="11"/>
  <c r="W109" i="10"/>
  <c r="W109" i="9"/>
  <c r="O109" i="11"/>
  <c r="O109" i="10"/>
  <c r="O109" i="9"/>
  <c r="G109" i="11"/>
  <c r="G109" i="10"/>
  <c r="G109" i="9"/>
  <c r="AA108" i="11"/>
  <c r="AA108" i="10"/>
  <c r="AA108" i="9"/>
  <c r="S108" i="11"/>
  <c r="S108" i="10"/>
  <c r="S108" i="9"/>
  <c r="K108" i="11"/>
  <c r="K108" i="10"/>
  <c r="K108" i="9"/>
  <c r="C108" i="11"/>
  <c r="C108" i="10"/>
  <c r="C108" i="9"/>
  <c r="W107" i="11"/>
  <c r="W107" i="10"/>
  <c r="W107" i="9"/>
  <c r="O107" i="11"/>
  <c r="O107" i="10"/>
  <c r="O107" i="9"/>
  <c r="G107" i="11"/>
  <c r="G107" i="10"/>
  <c r="G107" i="9"/>
  <c r="AA106" i="11"/>
  <c r="AA106" i="10"/>
  <c r="AA106" i="9"/>
  <c r="S106" i="11"/>
  <c r="S106" i="10"/>
  <c r="S106" i="9"/>
  <c r="K106" i="11"/>
  <c r="K106" i="10"/>
  <c r="K106" i="9"/>
  <c r="C106" i="11"/>
  <c r="C106" i="10"/>
  <c r="C106" i="9"/>
  <c r="W105" i="11"/>
  <c r="W105" i="10"/>
  <c r="W105" i="9"/>
  <c r="O105" i="11"/>
  <c r="O105" i="10"/>
  <c r="O105" i="9"/>
  <c r="G105" i="11"/>
  <c r="G105" i="10"/>
  <c r="G105" i="9"/>
  <c r="AA104" i="11"/>
  <c r="AA104" i="10"/>
  <c r="AA104" i="9"/>
  <c r="S104" i="11"/>
  <c r="S104" i="10"/>
  <c r="S104" i="9"/>
  <c r="K104" i="11"/>
  <c r="K104" i="10"/>
  <c r="K104" i="9"/>
  <c r="C104" i="11"/>
  <c r="C104" i="10"/>
  <c r="C104" i="9"/>
  <c r="W103" i="11"/>
  <c r="W103" i="10"/>
  <c r="W103" i="9"/>
  <c r="O103" i="11"/>
  <c r="O103" i="10"/>
  <c r="O103" i="9"/>
  <c r="G103" i="11"/>
  <c r="G103" i="10"/>
  <c r="G103" i="9"/>
  <c r="AA102" i="11"/>
  <c r="AA102" i="10"/>
  <c r="AA102" i="9"/>
  <c r="S102" i="11"/>
  <c r="S102" i="10"/>
  <c r="S102" i="9"/>
  <c r="K102" i="11"/>
  <c r="K102" i="10"/>
  <c r="K102" i="9"/>
  <c r="C102" i="11"/>
  <c r="C102" i="10"/>
  <c r="C102" i="9"/>
  <c r="W101" i="11"/>
  <c r="W101" i="10"/>
  <c r="W101" i="9"/>
  <c r="O101" i="11"/>
  <c r="O101" i="10"/>
  <c r="O101" i="9"/>
  <c r="G101" i="11"/>
  <c r="G101" i="10"/>
  <c r="G101" i="9"/>
  <c r="AA100" i="11"/>
  <c r="AA100" i="10"/>
  <c r="AA100" i="9"/>
  <c r="S100" i="11"/>
  <c r="S100" i="10"/>
  <c r="S100" i="9"/>
  <c r="K100" i="11"/>
  <c r="K100" i="10"/>
  <c r="K100" i="9"/>
  <c r="C100" i="11"/>
  <c r="C100" i="10"/>
  <c r="C100" i="9"/>
  <c r="W99" i="11"/>
  <c r="W99" i="10"/>
  <c r="W99" i="9"/>
  <c r="O99" i="11"/>
  <c r="O99" i="10"/>
  <c r="O99" i="9"/>
  <c r="G99" i="11"/>
  <c r="G99" i="10"/>
  <c r="G99" i="9"/>
  <c r="AA98" i="11"/>
  <c r="AA98" i="10"/>
  <c r="AA98" i="9"/>
  <c r="S98" i="11"/>
  <c r="S98" i="10"/>
  <c r="S98" i="9"/>
  <c r="K98" i="11"/>
  <c r="K98" i="10"/>
  <c r="K98" i="9"/>
  <c r="C98" i="11"/>
  <c r="C98" i="10"/>
  <c r="C98" i="9"/>
  <c r="W97" i="11"/>
  <c r="W97" i="10"/>
  <c r="W97" i="9"/>
  <c r="O97" i="11"/>
  <c r="O97" i="10"/>
  <c r="O97" i="9"/>
  <c r="G97" i="11"/>
  <c r="G97" i="10"/>
  <c r="G97" i="9"/>
  <c r="AA96" i="11"/>
  <c r="AA96" i="10"/>
  <c r="AA96" i="9"/>
  <c r="S96" i="11"/>
  <c r="S96" i="10"/>
  <c r="S96" i="9"/>
  <c r="K96" i="11"/>
  <c r="K96" i="10"/>
  <c r="K96" i="9"/>
  <c r="C96" i="11"/>
  <c r="C96" i="10"/>
  <c r="C96" i="9"/>
  <c r="W95" i="11"/>
  <c r="W95" i="10"/>
  <c r="W95" i="9"/>
  <c r="O95" i="11"/>
  <c r="O95" i="10"/>
  <c r="O95" i="9"/>
  <c r="G95" i="11"/>
  <c r="G95" i="10"/>
  <c r="G95" i="9"/>
  <c r="AA94" i="11"/>
  <c r="AA94" i="10"/>
  <c r="AA94" i="9"/>
  <c r="S94" i="11"/>
  <c r="S94" i="10"/>
  <c r="S94" i="9"/>
  <c r="K94" i="11"/>
  <c r="K94" i="10"/>
  <c r="K94" i="9"/>
  <c r="C94" i="11"/>
  <c r="C94" i="10"/>
  <c r="C94" i="9"/>
  <c r="W93" i="11"/>
  <c r="W93" i="10"/>
  <c r="W93" i="9"/>
  <c r="O93" i="11"/>
  <c r="O93" i="10"/>
  <c r="O93" i="9"/>
  <c r="G93" i="11"/>
  <c r="G93" i="10"/>
  <c r="G93" i="9"/>
  <c r="AA92" i="11"/>
  <c r="AA92" i="10"/>
  <c r="AA92" i="9"/>
  <c r="S92" i="11"/>
  <c r="S92" i="10"/>
  <c r="S92" i="9"/>
  <c r="K92" i="11"/>
  <c r="K92" i="10"/>
  <c r="K92" i="9"/>
  <c r="C92" i="11"/>
  <c r="C92" i="10"/>
  <c r="C92" i="9"/>
  <c r="W91" i="11"/>
  <c r="W91" i="10"/>
  <c r="W91" i="9"/>
  <c r="O91" i="11"/>
  <c r="O91" i="10"/>
  <c r="O91" i="9"/>
  <c r="G91" i="11"/>
  <c r="G91" i="10"/>
  <c r="G91" i="9"/>
  <c r="AA90" i="11"/>
  <c r="AA90" i="10"/>
  <c r="AA90" i="9"/>
  <c r="S90" i="11"/>
  <c r="S90" i="10"/>
  <c r="S90" i="9"/>
  <c r="K90" i="11"/>
  <c r="K90" i="10"/>
  <c r="K90" i="9"/>
  <c r="C90" i="11"/>
  <c r="C90" i="10"/>
  <c r="C90" i="9"/>
  <c r="W89" i="11"/>
  <c r="W89" i="10"/>
  <c r="W89" i="9"/>
  <c r="O89" i="11"/>
  <c r="O89" i="10"/>
  <c r="O89" i="9"/>
  <c r="G89" i="11"/>
  <c r="G89" i="10"/>
  <c r="G89" i="9"/>
  <c r="AA88" i="11"/>
  <c r="AA88" i="10"/>
  <c r="AA88" i="9"/>
  <c r="S88" i="11"/>
  <c r="S88" i="10"/>
  <c r="S88" i="9"/>
  <c r="K88" i="11"/>
  <c r="K88" i="10"/>
  <c r="K88" i="9"/>
  <c r="C88" i="11"/>
  <c r="C88" i="10"/>
  <c r="C88" i="9"/>
  <c r="W87" i="11"/>
  <c r="W87" i="10"/>
  <c r="W87" i="9"/>
  <c r="O87" i="11"/>
  <c r="O87" i="10"/>
  <c r="O87" i="9"/>
  <c r="G87" i="11"/>
  <c r="G87" i="10"/>
  <c r="G87" i="9"/>
  <c r="AA86" i="11"/>
  <c r="AA86" i="10"/>
  <c r="AA86" i="9"/>
  <c r="S86" i="11"/>
  <c r="S86" i="10"/>
  <c r="S86" i="9"/>
  <c r="K86" i="11"/>
  <c r="K86" i="10"/>
  <c r="K86" i="9"/>
  <c r="C86" i="11"/>
  <c r="C86" i="10"/>
  <c r="C86" i="9"/>
  <c r="W85" i="11"/>
  <c r="W85" i="10"/>
  <c r="W85" i="9"/>
  <c r="O85" i="11"/>
  <c r="O85" i="10"/>
  <c r="O85" i="9"/>
  <c r="G85" i="11"/>
  <c r="G85" i="10"/>
  <c r="G85" i="9"/>
  <c r="AA84" i="11"/>
  <c r="AA84" i="10"/>
  <c r="AA84" i="9"/>
  <c r="S84" i="11"/>
  <c r="S84" i="10"/>
  <c r="S84" i="9"/>
  <c r="K84" i="11"/>
  <c r="K84" i="10"/>
  <c r="K84" i="9"/>
  <c r="C84" i="11"/>
  <c r="C84" i="10"/>
  <c r="C84" i="9"/>
  <c r="W83" i="11"/>
  <c r="W83" i="10"/>
  <c r="W83" i="9"/>
  <c r="O83" i="11"/>
  <c r="O83" i="10"/>
  <c r="O83" i="9"/>
  <c r="G83" i="11"/>
  <c r="G83" i="10"/>
  <c r="G83" i="9"/>
  <c r="AA82" i="11"/>
  <c r="AA82" i="10"/>
  <c r="AA82" i="9"/>
  <c r="S82" i="11"/>
  <c r="S82" i="10"/>
  <c r="S82" i="9"/>
  <c r="K82" i="11"/>
  <c r="K82" i="10"/>
  <c r="K82" i="9"/>
  <c r="C82" i="11"/>
  <c r="C82" i="10"/>
  <c r="C82" i="9"/>
  <c r="W81" i="11"/>
  <c r="W81" i="10"/>
  <c r="W81" i="9"/>
  <c r="O81" i="11"/>
  <c r="O81" i="10"/>
  <c r="O81" i="9"/>
  <c r="G81" i="11"/>
  <c r="G81" i="10"/>
  <c r="G81" i="9"/>
  <c r="AA80" i="11"/>
  <c r="AA80" i="10"/>
  <c r="AA80" i="9"/>
  <c r="S80" i="11"/>
  <c r="S80" i="10"/>
  <c r="S80" i="9"/>
  <c r="K80" i="11"/>
  <c r="K80" i="10"/>
  <c r="K80" i="9"/>
  <c r="C80" i="11"/>
  <c r="C80" i="10"/>
  <c r="C80" i="9"/>
  <c r="W79" i="11"/>
  <c r="W79" i="10"/>
  <c r="W79" i="9"/>
  <c r="O79" i="11"/>
  <c r="O79" i="10"/>
  <c r="O79" i="9"/>
  <c r="G79" i="11"/>
  <c r="G79" i="10"/>
  <c r="G79" i="9"/>
  <c r="AA78" i="11"/>
  <c r="AA78" i="10"/>
  <c r="AA78" i="9"/>
  <c r="S78" i="11"/>
  <c r="S78" i="10"/>
  <c r="S78" i="9"/>
  <c r="K78" i="11"/>
  <c r="K78" i="10"/>
  <c r="K78" i="9"/>
  <c r="C78" i="11"/>
  <c r="C78" i="10"/>
  <c r="C78" i="9"/>
  <c r="W77" i="11"/>
  <c r="W77" i="10"/>
  <c r="W77" i="9"/>
  <c r="O77" i="11"/>
  <c r="O77" i="10"/>
  <c r="O77" i="9"/>
  <c r="G77" i="11"/>
  <c r="G77" i="10"/>
  <c r="G77" i="9"/>
  <c r="AA76" i="11"/>
  <c r="AA76" i="10"/>
  <c r="AA76" i="9"/>
  <c r="S76" i="11"/>
  <c r="S76" i="10"/>
  <c r="S76" i="9"/>
  <c r="K76" i="11"/>
  <c r="K76" i="10"/>
  <c r="K76" i="9"/>
  <c r="C76" i="11"/>
  <c r="C76" i="10"/>
  <c r="C76" i="9"/>
  <c r="W75" i="11"/>
  <c r="W75" i="10"/>
  <c r="W75" i="9"/>
  <c r="O75" i="11"/>
  <c r="O75" i="10"/>
  <c r="O75" i="9"/>
  <c r="G75" i="11"/>
  <c r="G75" i="10"/>
  <c r="G75" i="9"/>
  <c r="AA74" i="11"/>
  <c r="AA74" i="10"/>
  <c r="AA74" i="9"/>
  <c r="S74" i="11"/>
  <c r="S74" i="10"/>
  <c r="S74" i="9"/>
  <c r="K74" i="11"/>
  <c r="K74" i="10"/>
  <c r="K74" i="9"/>
  <c r="C74" i="11"/>
  <c r="C74" i="10"/>
  <c r="C74" i="9"/>
  <c r="W73" i="11"/>
  <c r="W73" i="10"/>
  <c r="W73" i="9"/>
  <c r="O73" i="11"/>
  <c r="O73" i="10"/>
  <c r="O73" i="9"/>
  <c r="G73" i="11"/>
  <c r="G73" i="10"/>
  <c r="G73" i="9"/>
  <c r="AA72" i="11"/>
  <c r="AA72" i="10"/>
  <c r="AA72" i="9"/>
  <c r="S72" i="11"/>
  <c r="S72" i="10"/>
  <c r="S72" i="9"/>
  <c r="K72" i="11"/>
  <c r="K72" i="10"/>
  <c r="K72" i="9"/>
  <c r="C72" i="11"/>
  <c r="C72" i="10"/>
  <c r="C72" i="9"/>
  <c r="W71" i="11"/>
  <c r="W71" i="10"/>
  <c r="W71" i="9"/>
  <c r="O71" i="11"/>
  <c r="O71" i="10"/>
  <c r="O71" i="9"/>
  <c r="G71" i="11"/>
  <c r="G71" i="10"/>
  <c r="G71" i="9"/>
  <c r="AA70" i="11"/>
  <c r="AA70" i="10"/>
  <c r="AA70" i="9"/>
  <c r="S70" i="11"/>
  <c r="S70" i="10"/>
  <c r="S70" i="9"/>
  <c r="K70" i="11"/>
  <c r="K70" i="10"/>
  <c r="K70" i="9"/>
  <c r="C70" i="11"/>
  <c r="C70" i="10"/>
  <c r="C70" i="9"/>
  <c r="W69" i="11"/>
  <c r="W69" i="10"/>
  <c r="W69" i="9"/>
  <c r="O69" i="11"/>
  <c r="O69" i="10"/>
  <c r="O69" i="9"/>
  <c r="G69" i="11"/>
  <c r="G69" i="10"/>
  <c r="G69" i="9"/>
  <c r="AA68" i="11"/>
  <c r="AA68" i="10"/>
  <c r="AA68" i="9"/>
  <c r="S68" i="11"/>
  <c r="S68" i="10"/>
  <c r="S68" i="9"/>
  <c r="K68" i="11"/>
  <c r="K68" i="10"/>
  <c r="K68" i="9"/>
  <c r="C68" i="11"/>
  <c r="C68" i="10"/>
  <c r="C68" i="9"/>
  <c r="W67" i="11"/>
  <c r="W67" i="10"/>
  <c r="W67" i="9"/>
  <c r="O67" i="11"/>
  <c r="O67" i="10"/>
  <c r="O67" i="9"/>
  <c r="G67" i="11"/>
  <c r="G67" i="10"/>
  <c r="G67" i="9"/>
  <c r="AA66" i="11"/>
  <c r="AA66" i="10"/>
  <c r="AA66" i="9"/>
  <c r="S66" i="11"/>
  <c r="S66" i="10"/>
  <c r="S66" i="9"/>
  <c r="K66" i="11"/>
  <c r="K66" i="10"/>
  <c r="K66" i="9"/>
  <c r="C66" i="11"/>
  <c r="C66" i="10"/>
  <c r="C66" i="9"/>
  <c r="W65" i="11"/>
  <c r="W65" i="10"/>
  <c r="W65" i="9"/>
  <c r="O65" i="11"/>
  <c r="O65" i="10"/>
  <c r="O65" i="9"/>
  <c r="G65" i="11"/>
  <c r="G65" i="10"/>
  <c r="G65" i="9"/>
  <c r="AA64" i="11"/>
  <c r="AA64" i="10"/>
  <c r="AA64" i="9"/>
  <c r="S64" i="11"/>
  <c r="S64" i="10"/>
  <c r="S64" i="9"/>
  <c r="K64" i="11"/>
  <c r="K64" i="10"/>
  <c r="K64" i="9"/>
  <c r="C64" i="11"/>
  <c r="C64" i="10"/>
  <c r="C64" i="9"/>
  <c r="W63" i="11"/>
  <c r="W63" i="10"/>
  <c r="W63" i="9"/>
  <c r="O63" i="11"/>
  <c r="O63" i="10"/>
  <c r="O63" i="9"/>
  <c r="G63" i="11"/>
  <c r="G63" i="10"/>
  <c r="G63" i="9"/>
  <c r="AA62" i="11"/>
  <c r="AA62" i="10"/>
  <c r="AA62" i="9"/>
  <c r="S62" i="11"/>
  <c r="S62" i="10"/>
  <c r="S62" i="9"/>
  <c r="K62" i="11"/>
  <c r="K62" i="10"/>
  <c r="K62" i="9"/>
  <c r="C62" i="11"/>
  <c r="C62" i="10"/>
  <c r="C62" i="9"/>
  <c r="W61" i="11"/>
  <c r="W61" i="10"/>
  <c r="W61" i="9"/>
  <c r="O61" i="11"/>
  <c r="O61" i="10"/>
  <c r="O61" i="9"/>
  <c r="G61" i="11"/>
  <c r="G61" i="10"/>
  <c r="G61" i="9"/>
  <c r="AA60" i="11"/>
  <c r="AA60" i="10"/>
  <c r="AA60" i="9"/>
  <c r="S60" i="11"/>
  <c r="S60" i="10"/>
  <c r="S60" i="9"/>
  <c r="K60" i="11"/>
  <c r="K60" i="10"/>
  <c r="K60" i="9"/>
  <c r="C60" i="11"/>
  <c r="C60" i="10"/>
  <c r="C60" i="9"/>
  <c r="W59" i="11"/>
  <c r="W59" i="10"/>
  <c r="W59" i="9"/>
  <c r="O59" i="11"/>
  <c r="O59" i="10"/>
  <c r="O59" i="9"/>
  <c r="G59" i="11"/>
  <c r="G59" i="10"/>
  <c r="G59" i="9"/>
  <c r="AA58" i="11"/>
  <c r="AA58" i="10"/>
  <c r="AA58" i="9"/>
  <c r="S58" i="11"/>
  <c r="S58" i="10"/>
  <c r="S58" i="9"/>
  <c r="K58" i="11"/>
  <c r="K58" i="10"/>
  <c r="K58" i="9"/>
  <c r="C58" i="11"/>
  <c r="C58" i="10"/>
  <c r="C58" i="9"/>
  <c r="W57" i="11"/>
  <c r="W57" i="10"/>
  <c r="W57" i="9"/>
  <c r="O57" i="11"/>
  <c r="O57" i="10"/>
  <c r="O57" i="9"/>
  <c r="G57" i="11"/>
  <c r="G57" i="10"/>
  <c r="G57" i="9"/>
  <c r="AA56" i="11"/>
  <c r="AA56" i="10"/>
  <c r="AA56" i="9"/>
  <c r="S56" i="11"/>
  <c r="S56" i="10"/>
  <c r="S56" i="9"/>
  <c r="K56" i="11"/>
  <c r="K56" i="10"/>
  <c r="K56" i="9"/>
  <c r="C56" i="11"/>
  <c r="C56" i="10"/>
  <c r="C56" i="9"/>
  <c r="W55" i="11"/>
  <c r="W55" i="10"/>
  <c r="W55" i="9"/>
  <c r="O55" i="11"/>
  <c r="O55" i="10"/>
  <c r="O55" i="9"/>
  <c r="G55" i="11"/>
  <c r="G55" i="10"/>
  <c r="G55" i="9"/>
  <c r="AA54" i="11"/>
  <c r="AA54" i="10"/>
  <c r="AA54" i="9"/>
  <c r="S54" i="11"/>
  <c r="S54" i="10"/>
  <c r="S54" i="9"/>
  <c r="J54" i="11"/>
  <c r="J54" i="10"/>
  <c r="J54" i="9"/>
  <c r="B54" i="11"/>
  <c r="B54" i="10"/>
  <c r="B54" i="9"/>
  <c r="AD53" i="11"/>
  <c r="AD53" i="10"/>
  <c r="AD53" i="9"/>
  <c r="V53" i="11"/>
  <c r="V53" i="10"/>
  <c r="V53" i="9"/>
  <c r="N53" i="11"/>
  <c r="N53" i="10"/>
  <c r="N53" i="9"/>
  <c r="F53" i="11"/>
  <c r="F53" i="10"/>
  <c r="F53" i="9"/>
  <c r="Z52" i="11"/>
  <c r="Z52" i="10"/>
  <c r="Z52" i="9"/>
  <c r="R52" i="11"/>
  <c r="R52" i="10"/>
  <c r="R52" i="9"/>
  <c r="J52" i="11"/>
  <c r="J52" i="10"/>
  <c r="J52" i="9"/>
  <c r="B52" i="11"/>
  <c r="B52" i="10"/>
  <c r="B52" i="9"/>
  <c r="AD51" i="11"/>
  <c r="AD51" i="10"/>
  <c r="AD51" i="9"/>
  <c r="V51" i="11"/>
  <c r="V51" i="10"/>
  <c r="V51" i="9"/>
  <c r="N51" i="11"/>
  <c r="N51" i="10"/>
  <c r="N51" i="9"/>
  <c r="F51" i="11"/>
  <c r="F51" i="10"/>
  <c r="F51" i="9"/>
  <c r="Z50" i="11"/>
  <c r="Z50" i="10"/>
  <c r="Z50" i="9"/>
  <c r="R50" i="11"/>
  <c r="R50" i="10"/>
  <c r="R50" i="9"/>
  <c r="J50" i="11"/>
  <c r="J50" i="10"/>
  <c r="J50" i="9"/>
  <c r="B50" i="11"/>
  <c r="B50" i="10"/>
  <c r="B50" i="9"/>
  <c r="AD49" i="11"/>
  <c r="AD49" i="10"/>
  <c r="AD49" i="9"/>
  <c r="V49" i="11"/>
  <c r="V49" i="10"/>
  <c r="V49" i="9"/>
  <c r="N49" i="11"/>
  <c r="N49" i="10"/>
  <c r="N49" i="9"/>
  <c r="F49" i="11"/>
  <c r="F49" i="10"/>
  <c r="F49" i="9"/>
  <c r="Z48" i="11"/>
  <c r="Z48" i="10"/>
  <c r="Z48" i="9"/>
  <c r="R48" i="11"/>
  <c r="R48" i="10"/>
  <c r="R48" i="9"/>
  <c r="J48" i="11"/>
  <c r="J48" i="10"/>
  <c r="J48" i="9"/>
  <c r="B48" i="11"/>
  <c r="B48" i="10"/>
  <c r="B48" i="9"/>
  <c r="AD47" i="11"/>
  <c r="AD47" i="10"/>
  <c r="AD47" i="9"/>
  <c r="V47" i="11"/>
  <c r="V47" i="10"/>
  <c r="V47" i="9"/>
  <c r="N47" i="11"/>
  <c r="N47" i="10"/>
  <c r="N47" i="9"/>
  <c r="F47" i="11"/>
  <c r="F47" i="10"/>
  <c r="F47" i="9"/>
  <c r="Z46" i="11"/>
  <c r="Z46" i="10"/>
  <c r="Z46" i="9"/>
  <c r="R46" i="11"/>
  <c r="R46" i="10"/>
  <c r="R46" i="9"/>
  <c r="J46" i="11"/>
  <c r="J46" i="10"/>
  <c r="J46" i="9"/>
  <c r="B46" i="11"/>
  <c r="B46" i="10"/>
  <c r="B46" i="9"/>
  <c r="AD45" i="11"/>
  <c r="AD45" i="10"/>
  <c r="AD45" i="9"/>
  <c r="V45" i="11"/>
  <c r="V45" i="10"/>
  <c r="V45" i="9"/>
  <c r="N45" i="11"/>
  <c r="N45" i="10"/>
  <c r="N45" i="9"/>
  <c r="F45" i="11"/>
  <c r="F45" i="10"/>
  <c r="F45" i="9"/>
  <c r="Z44" i="11"/>
  <c r="Z44" i="10"/>
  <c r="Z44" i="9"/>
  <c r="R44" i="11"/>
  <c r="R44" i="10"/>
  <c r="R44" i="9"/>
  <c r="J44" i="11"/>
  <c r="J44" i="9"/>
  <c r="J44" i="10"/>
  <c r="B44" i="11"/>
  <c r="B44" i="10"/>
  <c r="B44" i="9"/>
  <c r="AD43" i="11"/>
  <c r="AD43" i="10"/>
  <c r="AD43" i="9"/>
  <c r="V43" i="11"/>
  <c r="V43" i="10"/>
  <c r="V43" i="9"/>
  <c r="N43" i="11"/>
  <c r="N43" i="10"/>
  <c r="N43" i="9"/>
  <c r="F43" i="11"/>
  <c r="F43" i="10"/>
  <c r="F43" i="9"/>
  <c r="Z42" i="11"/>
  <c r="Z42" i="10"/>
  <c r="Z42" i="9"/>
  <c r="R42" i="11"/>
  <c r="R42" i="10"/>
  <c r="R42" i="9"/>
  <c r="J42" i="11"/>
  <c r="J42" i="10"/>
  <c r="J42" i="9"/>
  <c r="B42" i="11"/>
  <c r="B42" i="10"/>
  <c r="B42" i="9"/>
  <c r="AD41" i="11"/>
  <c r="AD41" i="10"/>
  <c r="AD41" i="9"/>
  <c r="V41" i="11"/>
  <c r="V41" i="10"/>
  <c r="V41" i="9"/>
  <c r="N41" i="11"/>
  <c r="N41" i="10"/>
  <c r="N41" i="9"/>
  <c r="F41" i="11"/>
  <c r="F41" i="10"/>
  <c r="F41" i="9"/>
  <c r="Z40" i="11"/>
  <c r="Z40" i="10"/>
  <c r="Z40" i="9"/>
  <c r="R40" i="11"/>
  <c r="R40" i="10"/>
  <c r="R40" i="9"/>
  <c r="J40" i="11"/>
  <c r="J40" i="10"/>
  <c r="J40" i="9"/>
  <c r="B40" i="11"/>
  <c r="B40" i="10"/>
  <c r="B40" i="9"/>
  <c r="AD39" i="11"/>
  <c r="AD39" i="10"/>
  <c r="AD39" i="9"/>
  <c r="V39" i="11"/>
  <c r="V39" i="10"/>
  <c r="V39" i="9"/>
  <c r="N39" i="11"/>
  <c r="N39" i="10"/>
  <c r="N39" i="9"/>
  <c r="F39" i="11"/>
  <c r="F39" i="10"/>
  <c r="F39" i="9"/>
  <c r="Z38" i="11"/>
  <c r="Z38" i="10"/>
  <c r="Z38" i="9"/>
  <c r="R38" i="11"/>
  <c r="R38" i="10"/>
  <c r="R38" i="9"/>
  <c r="J38" i="11"/>
  <c r="J38" i="10"/>
  <c r="J38" i="9"/>
  <c r="B38" i="11"/>
  <c r="B38" i="10"/>
  <c r="B38" i="9"/>
  <c r="AD37" i="11"/>
  <c r="AD37" i="10"/>
  <c r="AD37" i="9"/>
  <c r="V37" i="11"/>
  <c r="V37" i="10"/>
  <c r="V37" i="9"/>
  <c r="N37" i="11"/>
  <c r="N37" i="10"/>
  <c r="N37" i="9"/>
  <c r="F37" i="11"/>
  <c r="F37" i="10"/>
  <c r="F37" i="9"/>
  <c r="Z36" i="11"/>
  <c r="Z36" i="10"/>
  <c r="Z36" i="9"/>
  <c r="R36" i="11"/>
  <c r="R36" i="10"/>
  <c r="R36" i="9"/>
  <c r="J36" i="11"/>
  <c r="J36" i="10"/>
  <c r="J36" i="9"/>
  <c r="B36" i="11"/>
  <c r="B36" i="9"/>
  <c r="B36" i="10"/>
  <c r="AD35" i="11"/>
  <c r="AD35" i="10"/>
  <c r="AD35" i="9"/>
  <c r="V35" i="11"/>
  <c r="V35" i="10"/>
  <c r="V35" i="9"/>
  <c r="N35" i="11"/>
  <c r="N35" i="10"/>
  <c r="N35" i="9"/>
  <c r="F35" i="11"/>
  <c r="F35" i="10"/>
  <c r="F35" i="9"/>
  <c r="Z34" i="11"/>
  <c r="Z34" i="10"/>
  <c r="Z34" i="9"/>
  <c r="R34" i="11"/>
  <c r="R34" i="10"/>
  <c r="R34" i="9"/>
  <c r="J34" i="11"/>
  <c r="J34" i="10"/>
  <c r="J34" i="9"/>
  <c r="B34" i="11"/>
  <c r="B34" i="10"/>
  <c r="B34" i="9"/>
  <c r="AD33" i="11"/>
  <c r="AD33" i="10"/>
  <c r="AD33" i="9"/>
  <c r="V33" i="11"/>
  <c r="V33" i="10"/>
  <c r="V33" i="9"/>
  <c r="N33" i="11"/>
  <c r="N33" i="10"/>
  <c r="N33" i="9"/>
  <c r="F33" i="11"/>
  <c r="F33" i="10"/>
  <c r="F33" i="9"/>
  <c r="Z32" i="11"/>
  <c r="Z32" i="10"/>
  <c r="Z32" i="9"/>
  <c r="R32" i="11"/>
  <c r="R32" i="10"/>
  <c r="R32" i="9"/>
  <c r="J32" i="11"/>
  <c r="J32" i="10"/>
  <c r="J32" i="9"/>
  <c r="B32" i="11"/>
  <c r="B32" i="9"/>
  <c r="B32" i="10"/>
  <c r="AD31" i="11"/>
  <c r="AD31" i="10"/>
  <c r="AD31" i="9"/>
  <c r="V31" i="11"/>
  <c r="V31" i="10"/>
  <c r="V31" i="9"/>
  <c r="N31" i="11"/>
  <c r="N31" i="10"/>
  <c r="N31" i="9"/>
  <c r="F31" i="11"/>
  <c r="F31" i="10"/>
  <c r="F31" i="9"/>
  <c r="Z30" i="11"/>
  <c r="Z30" i="9"/>
  <c r="Z30" i="10"/>
  <c r="R30" i="11"/>
  <c r="R30" i="9"/>
  <c r="R30" i="10"/>
  <c r="J30" i="11"/>
  <c r="J30" i="9"/>
  <c r="J30" i="10"/>
  <c r="B30" i="11"/>
  <c r="B30" i="9"/>
  <c r="B30" i="10"/>
  <c r="AD29" i="11"/>
  <c r="AD29" i="10"/>
  <c r="AD29" i="9"/>
  <c r="V29" i="11"/>
  <c r="V29" i="10"/>
  <c r="V29" i="9"/>
  <c r="N29" i="11"/>
  <c r="N29" i="10"/>
  <c r="N29" i="9"/>
  <c r="F29" i="11"/>
  <c r="F29" i="10"/>
  <c r="F29" i="9"/>
  <c r="Z28" i="11"/>
  <c r="Z28" i="10"/>
  <c r="Z28" i="9"/>
  <c r="R28" i="11"/>
  <c r="R28" i="10"/>
  <c r="R28" i="9"/>
  <c r="J28" i="11"/>
  <c r="J28" i="10"/>
  <c r="J28" i="9"/>
  <c r="B28" i="11"/>
  <c r="B28" i="10"/>
  <c r="B28" i="9"/>
  <c r="AD27" i="11"/>
  <c r="AD27" i="9"/>
  <c r="AD27" i="10"/>
  <c r="V27" i="11"/>
  <c r="V27" i="9"/>
  <c r="V27" i="10"/>
  <c r="N27" i="11"/>
  <c r="N27" i="9"/>
  <c r="N27" i="10"/>
  <c r="F27" i="11"/>
  <c r="F27" i="9"/>
  <c r="F27" i="10"/>
  <c r="Z26" i="11"/>
  <c r="Z26" i="10"/>
  <c r="Z26" i="9"/>
  <c r="R26" i="11"/>
  <c r="R26" i="10"/>
  <c r="R26" i="9"/>
  <c r="J26" i="11"/>
  <c r="J26" i="10"/>
  <c r="J26" i="9"/>
  <c r="B26" i="11"/>
  <c r="B26" i="10"/>
  <c r="B26" i="9"/>
  <c r="AD25" i="11"/>
  <c r="AD25" i="9"/>
  <c r="AD25" i="10"/>
  <c r="V25" i="11"/>
  <c r="V25" i="9"/>
  <c r="V25" i="10"/>
  <c r="N25" i="11"/>
  <c r="N25" i="9"/>
  <c r="N25" i="10"/>
  <c r="F25" i="11"/>
  <c r="F25" i="9"/>
  <c r="F25" i="10"/>
  <c r="Z24" i="11"/>
  <c r="Z24" i="9"/>
  <c r="Z24" i="10"/>
  <c r="R24" i="11"/>
  <c r="R24" i="9"/>
  <c r="R24" i="10"/>
  <c r="J24" i="11"/>
  <c r="J24" i="9"/>
  <c r="J24" i="10"/>
  <c r="B24" i="11"/>
  <c r="B24" i="9"/>
  <c r="B24" i="10"/>
  <c r="AD23" i="11"/>
  <c r="AD23" i="9"/>
  <c r="AD23" i="10"/>
  <c r="V23" i="11"/>
  <c r="V23" i="9"/>
  <c r="V23" i="10"/>
  <c r="N23" i="11"/>
  <c r="N23" i="9"/>
  <c r="N23" i="10"/>
  <c r="F23" i="11"/>
  <c r="F23" i="9"/>
  <c r="F23" i="10"/>
  <c r="Z22" i="11"/>
  <c r="Z22" i="10"/>
  <c r="Z22" i="9"/>
  <c r="R22" i="11"/>
  <c r="R22" i="10"/>
  <c r="R22" i="9"/>
  <c r="J22" i="11"/>
  <c r="J22" i="10"/>
  <c r="J22" i="9"/>
  <c r="B22" i="11"/>
  <c r="B22" i="10"/>
  <c r="B22" i="9"/>
  <c r="AD21" i="11"/>
  <c r="AD21" i="10"/>
  <c r="AD21" i="9"/>
  <c r="V21" i="11"/>
  <c r="V21" i="10"/>
  <c r="V21" i="9"/>
  <c r="N21" i="11"/>
  <c r="N21" i="10"/>
  <c r="N21" i="9"/>
  <c r="F21" i="11"/>
  <c r="F21" i="10"/>
  <c r="F21" i="9"/>
  <c r="Z20" i="11"/>
  <c r="Z20" i="9"/>
  <c r="Z20" i="10"/>
  <c r="R20" i="11"/>
  <c r="R20" i="9"/>
  <c r="R20" i="10"/>
  <c r="J20" i="11"/>
  <c r="J20" i="9"/>
  <c r="J20" i="10"/>
  <c r="B20" i="11"/>
  <c r="B20" i="9"/>
  <c r="B20" i="10"/>
  <c r="AD19" i="11"/>
  <c r="AD19" i="10"/>
  <c r="AD19" i="9"/>
  <c r="V19" i="11"/>
  <c r="V19" i="10"/>
  <c r="V19" i="9"/>
  <c r="N19" i="11"/>
  <c r="N19" i="10"/>
  <c r="N19" i="9"/>
  <c r="F19" i="11"/>
  <c r="F19" i="10"/>
  <c r="F19" i="9"/>
  <c r="Z18" i="11"/>
  <c r="Z18" i="9"/>
  <c r="Z18" i="10"/>
  <c r="R18" i="11"/>
  <c r="R18" i="9"/>
  <c r="R18" i="10"/>
  <c r="J18" i="11"/>
  <c r="J18" i="9"/>
  <c r="J18" i="10"/>
  <c r="B18" i="11"/>
  <c r="B18" i="9"/>
  <c r="B18" i="10"/>
  <c r="AD17" i="11"/>
  <c r="AD17" i="9"/>
  <c r="AD17" i="10"/>
  <c r="V17" i="11"/>
  <c r="V17" i="9"/>
  <c r="V17" i="10"/>
  <c r="N17" i="11"/>
  <c r="N17" i="9"/>
  <c r="N17" i="10"/>
  <c r="F17" i="11"/>
  <c r="F17" i="9"/>
  <c r="F17" i="10"/>
  <c r="Z16" i="11"/>
  <c r="Z16" i="10"/>
  <c r="Z16" i="9"/>
  <c r="R16" i="11"/>
  <c r="R16" i="10"/>
  <c r="R16" i="9"/>
  <c r="J16" i="11"/>
  <c r="J16" i="10"/>
  <c r="J16" i="9"/>
  <c r="B16" i="11"/>
  <c r="B16" i="10"/>
  <c r="B16" i="9"/>
  <c r="AD15" i="11"/>
  <c r="AD15" i="9"/>
  <c r="AD15" i="10"/>
  <c r="V15" i="11"/>
  <c r="V15" i="9"/>
  <c r="V15" i="10"/>
  <c r="N15" i="11"/>
  <c r="N15" i="9"/>
  <c r="N15" i="10"/>
  <c r="F15" i="11"/>
  <c r="F15" i="9"/>
  <c r="F15" i="10"/>
  <c r="Z14" i="11"/>
  <c r="Z14" i="9"/>
  <c r="Z14" i="10"/>
  <c r="R14" i="11"/>
  <c r="R14" i="9"/>
  <c r="R14" i="10"/>
  <c r="J14" i="11"/>
  <c r="J14" i="9"/>
  <c r="J14" i="10"/>
  <c r="B14" i="11"/>
  <c r="B14" i="9"/>
  <c r="B14" i="10"/>
  <c r="AD13" i="11"/>
  <c r="AD13" i="10"/>
  <c r="AD13" i="9"/>
  <c r="V13" i="11"/>
  <c r="V13" i="10"/>
  <c r="V13" i="9"/>
  <c r="N13" i="11"/>
  <c r="N13" i="10"/>
  <c r="N13" i="9"/>
  <c r="F13" i="11"/>
  <c r="F13" i="10"/>
  <c r="F13" i="9"/>
  <c r="Z12" i="11"/>
  <c r="Z12" i="10"/>
  <c r="Z12" i="9"/>
  <c r="R12" i="11"/>
  <c r="R12" i="10"/>
  <c r="R12" i="9"/>
  <c r="J12" i="11"/>
  <c r="J12" i="10"/>
  <c r="J12" i="9"/>
  <c r="B12" i="11"/>
  <c r="B12" i="10"/>
  <c r="B12" i="9"/>
  <c r="AD11" i="11"/>
  <c r="AD11" i="10"/>
  <c r="AD11" i="9"/>
  <c r="V11" i="11"/>
  <c r="V11" i="10"/>
  <c r="V11" i="9"/>
  <c r="N11" i="11"/>
  <c r="N11" i="10"/>
  <c r="N11" i="9"/>
  <c r="F11" i="11"/>
  <c r="F11" i="10"/>
  <c r="F11" i="9"/>
  <c r="Z10" i="11"/>
  <c r="Z10" i="9"/>
  <c r="Z10" i="10"/>
  <c r="R10" i="11"/>
  <c r="R10" i="9"/>
  <c r="R10" i="10"/>
  <c r="J10" i="11"/>
  <c r="J10" i="9"/>
  <c r="J10" i="10"/>
  <c r="B10" i="11"/>
  <c r="B10" i="9"/>
  <c r="B10" i="10"/>
  <c r="AD9" i="11"/>
  <c r="AD9" i="9"/>
  <c r="AD9" i="10"/>
  <c r="V9" i="11"/>
  <c r="V9" i="9"/>
  <c r="V9" i="10"/>
  <c r="N9" i="11"/>
  <c r="N9" i="9"/>
  <c r="N9" i="10"/>
  <c r="F9" i="11"/>
  <c r="F9" i="9"/>
  <c r="F9" i="10"/>
  <c r="Z8" i="11"/>
  <c r="Z8" i="10"/>
  <c r="Z8" i="9"/>
  <c r="R8" i="11"/>
  <c r="R8" i="10"/>
  <c r="R8" i="9"/>
  <c r="J8" i="11"/>
  <c r="J8" i="10"/>
  <c r="J8" i="9"/>
  <c r="B8" i="11"/>
  <c r="B8" i="10"/>
  <c r="B8" i="9"/>
  <c r="AD7" i="11"/>
  <c r="AD7" i="9"/>
  <c r="AD7" i="10"/>
  <c r="V7" i="11"/>
  <c r="V7" i="9"/>
  <c r="V7" i="10"/>
  <c r="N7" i="11"/>
  <c r="N7" i="9"/>
  <c r="N7" i="10"/>
  <c r="F7" i="11"/>
  <c r="F7" i="9"/>
  <c r="F7" i="10"/>
  <c r="Z6" i="11"/>
  <c r="Z6" i="10"/>
  <c r="Z6" i="9"/>
  <c r="R6" i="11"/>
  <c r="R6" i="10"/>
  <c r="R6" i="9"/>
  <c r="J6" i="11"/>
  <c r="J6" i="10"/>
  <c r="J6" i="9"/>
  <c r="B6" i="11"/>
  <c r="B6" i="10"/>
  <c r="B6" i="9"/>
  <c r="AD5" i="11"/>
  <c r="AD5" i="9"/>
  <c r="AD5" i="10"/>
  <c r="V5" i="11"/>
  <c r="V5" i="9"/>
  <c r="V5" i="10"/>
  <c r="N5" i="11"/>
  <c r="N5" i="9"/>
  <c r="N5" i="10"/>
  <c r="F5" i="11"/>
  <c r="F5" i="9"/>
  <c r="F5" i="10"/>
  <c r="Z4" i="11"/>
  <c r="Z4" i="10"/>
  <c r="Z4" i="9"/>
  <c r="R4" i="11"/>
  <c r="R4" i="10"/>
  <c r="R4" i="9"/>
  <c r="J4" i="11"/>
  <c r="J4" i="10"/>
  <c r="J4" i="9"/>
  <c r="B4" i="11"/>
  <c r="B4" i="10"/>
  <c r="B4" i="9"/>
  <c r="AD3" i="11"/>
  <c r="AD3" i="10"/>
  <c r="AD3" i="9"/>
  <c r="V3" i="11"/>
  <c r="V3" i="10"/>
  <c r="V3" i="9"/>
  <c r="N3" i="11"/>
  <c r="N3" i="10"/>
  <c r="N3" i="9"/>
  <c r="F3" i="11"/>
  <c r="F3" i="10"/>
  <c r="F3" i="9"/>
  <c r="AA2" i="11"/>
  <c r="A23" i="14" s="1"/>
  <c r="AA2" i="10"/>
  <c r="S2" i="11"/>
  <c r="A15" i="14" s="1"/>
  <c r="S2" i="10"/>
  <c r="K2" i="11"/>
  <c r="A7" i="14" s="1"/>
  <c r="K2" i="10"/>
  <c r="C2" i="11"/>
  <c r="C2" i="9"/>
  <c r="C2" i="10"/>
  <c r="Z128" i="11"/>
  <c r="Z128" i="10"/>
  <c r="Z128" i="9"/>
  <c r="R128" i="11"/>
  <c r="R128" i="10"/>
  <c r="R128" i="9"/>
  <c r="J128" i="11"/>
  <c r="J128" i="10"/>
  <c r="J128" i="9"/>
  <c r="B128" i="11"/>
  <c r="B128" i="10"/>
  <c r="B128" i="9"/>
  <c r="AD127" i="11"/>
  <c r="AD127" i="10"/>
  <c r="AD127" i="9"/>
  <c r="V127" i="11"/>
  <c r="V127" i="10"/>
  <c r="V127" i="9"/>
  <c r="N127" i="11"/>
  <c r="N127" i="10"/>
  <c r="N127" i="9"/>
  <c r="F127" i="11"/>
  <c r="F127" i="10"/>
  <c r="F127" i="9"/>
  <c r="Z126" i="11"/>
  <c r="Z126" i="10"/>
  <c r="Z126" i="9"/>
  <c r="R126" i="11"/>
  <c r="R126" i="10"/>
  <c r="R126" i="9"/>
  <c r="J126" i="11"/>
  <c r="J126" i="10"/>
  <c r="J126" i="9"/>
  <c r="B126" i="11"/>
  <c r="B126" i="10"/>
  <c r="B126" i="9"/>
  <c r="AD125" i="11"/>
  <c r="AD125" i="10"/>
  <c r="AD125" i="9"/>
  <c r="V125" i="11"/>
  <c r="V125" i="10"/>
  <c r="V125" i="9"/>
  <c r="N125" i="11"/>
  <c r="N125" i="10"/>
  <c r="N125" i="9"/>
  <c r="F125" i="11"/>
  <c r="F125" i="10"/>
  <c r="F125" i="9"/>
  <c r="Z124" i="11"/>
  <c r="Z124" i="10"/>
  <c r="Z124" i="9"/>
  <c r="R124" i="11"/>
  <c r="R124" i="10"/>
  <c r="R124" i="9"/>
  <c r="J124" i="11"/>
  <c r="J124" i="10"/>
  <c r="J124" i="9"/>
  <c r="B124" i="11"/>
  <c r="B124" i="10"/>
  <c r="B124" i="9"/>
  <c r="AD123" i="11"/>
  <c r="AD123" i="10"/>
  <c r="AD123" i="9"/>
  <c r="V123" i="11"/>
  <c r="V123" i="10"/>
  <c r="V123" i="9"/>
  <c r="N123" i="11"/>
  <c r="N123" i="10"/>
  <c r="N123" i="9"/>
  <c r="F123" i="11"/>
  <c r="F123" i="10"/>
  <c r="F123" i="9"/>
  <c r="Z122" i="11"/>
  <c r="Z122" i="10"/>
  <c r="Z122" i="9"/>
  <c r="R122" i="11"/>
  <c r="R122" i="10"/>
  <c r="R122" i="9"/>
  <c r="J122" i="11"/>
  <c r="J122" i="10"/>
  <c r="J122" i="9"/>
  <c r="B122" i="11"/>
  <c r="B122" i="10"/>
  <c r="B122" i="9"/>
  <c r="AD121" i="11"/>
  <c r="AD121" i="10"/>
  <c r="AD121" i="9"/>
  <c r="V121" i="11"/>
  <c r="V121" i="10"/>
  <c r="V121" i="9"/>
  <c r="N121" i="11"/>
  <c r="N121" i="10"/>
  <c r="N121" i="9"/>
  <c r="F121" i="11"/>
  <c r="F121" i="10"/>
  <c r="F121" i="9"/>
  <c r="Z120" i="11"/>
  <c r="Z120" i="10"/>
  <c r="Z120" i="9"/>
  <c r="R120" i="11"/>
  <c r="R120" i="10"/>
  <c r="R120" i="9"/>
  <c r="J120" i="11"/>
  <c r="J120" i="10"/>
  <c r="J120" i="9"/>
  <c r="B120" i="11"/>
  <c r="B120" i="10"/>
  <c r="B120" i="9"/>
  <c r="AD119" i="11"/>
  <c r="AD119" i="10"/>
  <c r="AD119" i="9"/>
  <c r="V119" i="11"/>
  <c r="V119" i="10"/>
  <c r="V119" i="9"/>
  <c r="N119" i="11"/>
  <c r="N119" i="10"/>
  <c r="N119" i="9"/>
  <c r="F119" i="11"/>
  <c r="F119" i="10"/>
  <c r="F119" i="9"/>
  <c r="Z118" i="11"/>
  <c r="Z118" i="10"/>
  <c r="Z118" i="9"/>
  <c r="R118" i="11"/>
  <c r="R118" i="10"/>
  <c r="R118" i="9"/>
  <c r="J118" i="11"/>
  <c r="J118" i="10"/>
  <c r="J118" i="9"/>
  <c r="B118" i="11"/>
  <c r="B118" i="10"/>
  <c r="B118" i="9"/>
  <c r="AD117" i="11"/>
  <c r="AD117" i="10"/>
  <c r="AD117" i="9"/>
  <c r="V117" i="11"/>
  <c r="V117" i="10"/>
  <c r="V117" i="9"/>
  <c r="N117" i="11"/>
  <c r="N117" i="10"/>
  <c r="N117" i="9"/>
  <c r="F117" i="11"/>
  <c r="F117" i="10"/>
  <c r="F117" i="9"/>
  <c r="Z116" i="11"/>
  <c r="Z116" i="10"/>
  <c r="Z116" i="9"/>
  <c r="R116" i="11"/>
  <c r="R116" i="10"/>
  <c r="R116" i="9"/>
  <c r="J116" i="11"/>
  <c r="J116" i="10"/>
  <c r="J116" i="9"/>
  <c r="B116" i="11"/>
  <c r="B116" i="10"/>
  <c r="B116" i="9"/>
  <c r="AD115" i="11"/>
  <c r="AD115" i="10"/>
  <c r="AD115" i="9"/>
  <c r="V115" i="11"/>
  <c r="V115" i="10"/>
  <c r="V115" i="9"/>
  <c r="N115" i="11"/>
  <c r="N115" i="10"/>
  <c r="N115" i="9"/>
  <c r="F115" i="11"/>
  <c r="F115" i="10"/>
  <c r="F115" i="9"/>
  <c r="Z114" i="11"/>
  <c r="Z114" i="10"/>
  <c r="Z114" i="9"/>
  <c r="R114" i="11"/>
  <c r="R114" i="10"/>
  <c r="R114" i="9"/>
  <c r="J114" i="11"/>
  <c r="J114" i="10"/>
  <c r="J114" i="9"/>
  <c r="B114" i="11"/>
  <c r="B114" i="10"/>
  <c r="B114" i="9"/>
  <c r="AD113" i="11"/>
  <c r="AD113" i="10"/>
  <c r="AD113" i="9"/>
  <c r="V113" i="11"/>
  <c r="V113" i="10"/>
  <c r="V113" i="9"/>
  <c r="N113" i="11"/>
  <c r="N113" i="10"/>
  <c r="N113" i="9"/>
  <c r="F113" i="11"/>
  <c r="F113" i="10"/>
  <c r="F113" i="9"/>
  <c r="Z112" i="11"/>
  <c r="Z112" i="10"/>
  <c r="Z112" i="9"/>
  <c r="R112" i="11"/>
  <c r="R112" i="10"/>
  <c r="R112" i="9"/>
  <c r="J112" i="11"/>
  <c r="J112" i="10"/>
  <c r="J112" i="9"/>
  <c r="B112" i="11"/>
  <c r="B112" i="10"/>
  <c r="B112" i="9"/>
  <c r="AD111" i="11"/>
  <c r="AD111" i="10"/>
  <c r="AD111" i="9"/>
  <c r="V111" i="11"/>
  <c r="V111" i="10"/>
  <c r="V111" i="9"/>
  <c r="N111" i="11"/>
  <c r="N111" i="10"/>
  <c r="N111" i="9"/>
  <c r="F111" i="11"/>
  <c r="F111" i="10"/>
  <c r="F111" i="9"/>
  <c r="Z110" i="11"/>
  <c r="Z110" i="10"/>
  <c r="Z110" i="9"/>
  <c r="R110" i="11"/>
  <c r="R110" i="10"/>
  <c r="R110" i="9"/>
  <c r="J110" i="11"/>
  <c r="J110" i="10"/>
  <c r="J110" i="9"/>
  <c r="B110" i="11"/>
  <c r="B110" i="10"/>
  <c r="B110" i="9"/>
  <c r="AD109" i="11"/>
  <c r="AD109" i="10"/>
  <c r="AD109" i="9"/>
  <c r="V109" i="11"/>
  <c r="V109" i="10"/>
  <c r="V109" i="9"/>
  <c r="N109" i="11"/>
  <c r="N109" i="10"/>
  <c r="N109" i="9"/>
  <c r="F109" i="11"/>
  <c r="F109" i="10"/>
  <c r="F109" i="9"/>
  <c r="Z108" i="11"/>
  <c r="Z108" i="10"/>
  <c r="Z108" i="9"/>
  <c r="R108" i="11"/>
  <c r="R108" i="10"/>
  <c r="R108" i="9"/>
  <c r="J108" i="11"/>
  <c r="J108" i="10"/>
  <c r="J108" i="9"/>
  <c r="B108" i="11"/>
  <c r="B108" i="10"/>
  <c r="B108" i="9"/>
  <c r="AD107" i="11"/>
  <c r="AD107" i="10"/>
  <c r="AD107" i="9"/>
  <c r="V107" i="11"/>
  <c r="V107" i="10"/>
  <c r="V107" i="9"/>
  <c r="N107" i="11"/>
  <c r="N107" i="10"/>
  <c r="N107" i="9"/>
  <c r="F107" i="11"/>
  <c r="F107" i="10"/>
  <c r="F107" i="9"/>
  <c r="Z106" i="11"/>
  <c r="Z106" i="10"/>
  <c r="Z106" i="9"/>
  <c r="R106" i="11"/>
  <c r="R106" i="10"/>
  <c r="R106" i="9"/>
  <c r="J106" i="11"/>
  <c r="J106" i="10"/>
  <c r="J106" i="9"/>
  <c r="B106" i="11"/>
  <c r="B106" i="10"/>
  <c r="B106" i="9"/>
  <c r="AD105" i="11"/>
  <c r="AD105" i="10"/>
  <c r="AD105" i="9"/>
  <c r="V105" i="11"/>
  <c r="V105" i="10"/>
  <c r="V105" i="9"/>
  <c r="N105" i="11"/>
  <c r="N105" i="10"/>
  <c r="N105" i="9"/>
  <c r="F105" i="11"/>
  <c r="F105" i="10"/>
  <c r="F105" i="9"/>
  <c r="Z104" i="11"/>
  <c r="Z104" i="10"/>
  <c r="Z104" i="9"/>
  <c r="R104" i="11"/>
  <c r="R104" i="10"/>
  <c r="R104" i="9"/>
  <c r="J104" i="11"/>
  <c r="J104" i="10"/>
  <c r="J104" i="9"/>
  <c r="B104" i="11"/>
  <c r="B104" i="10"/>
  <c r="B104" i="9"/>
  <c r="AD103" i="11"/>
  <c r="AD103" i="10"/>
  <c r="AD103" i="9"/>
  <c r="V103" i="11"/>
  <c r="V103" i="10"/>
  <c r="V103" i="9"/>
  <c r="N103" i="11"/>
  <c r="N103" i="10"/>
  <c r="N103" i="9"/>
  <c r="F103" i="11"/>
  <c r="F103" i="10"/>
  <c r="F103" i="9"/>
  <c r="Z102" i="11"/>
  <c r="Z102" i="10"/>
  <c r="Z102" i="9"/>
  <c r="R102" i="11"/>
  <c r="R102" i="10"/>
  <c r="R102" i="9"/>
  <c r="J102" i="11"/>
  <c r="J102" i="10"/>
  <c r="J102" i="9"/>
  <c r="B102" i="11"/>
  <c r="B102" i="10"/>
  <c r="B102" i="9"/>
  <c r="AD101" i="11"/>
  <c r="AD101" i="10"/>
  <c r="AD101" i="9"/>
  <c r="V101" i="11"/>
  <c r="V101" i="10"/>
  <c r="V101" i="9"/>
  <c r="N101" i="11"/>
  <c r="N101" i="10"/>
  <c r="N101" i="9"/>
  <c r="F101" i="11"/>
  <c r="F101" i="10"/>
  <c r="F101" i="9"/>
  <c r="Z100" i="11"/>
  <c r="Z100" i="10"/>
  <c r="Z100" i="9"/>
  <c r="R100" i="11"/>
  <c r="R100" i="10"/>
  <c r="R100" i="9"/>
  <c r="J100" i="11"/>
  <c r="J100" i="10"/>
  <c r="J100" i="9"/>
  <c r="B100" i="11"/>
  <c r="B100" i="10"/>
  <c r="B100" i="9"/>
  <c r="AD99" i="11"/>
  <c r="AD99" i="10"/>
  <c r="AD99" i="9"/>
  <c r="V99" i="11"/>
  <c r="V99" i="10"/>
  <c r="V99" i="9"/>
  <c r="N99" i="11"/>
  <c r="N99" i="10"/>
  <c r="N99" i="9"/>
  <c r="F99" i="11"/>
  <c r="F99" i="10"/>
  <c r="F99" i="9"/>
  <c r="Z98" i="11"/>
  <c r="Z98" i="10"/>
  <c r="Z98" i="9"/>
  <c r="R98" i="11"/>
  <c r="R98" i="10"/>
  <c r="R98" i="9"/>
  <c r="J98" i="11"/>
  <c r="J98" i="10"/>
  <c r="J98" i="9"/>
  <c r="B98" i="11"/>
  <c r="B98" i="10"/>
  <c r="B98" i="9"/>
  <c r="AD97" i="11"/>
  <c r="AD97" i="10"/>
  <c r="AD97" i="9"/>
  <c r="V97" i="11"/>
  <c r="V97" i="10"/>
  <c r="V97" i="9"/>
  <c r="N97" i="11"/>
  <c r="N97" i="10"/>
  <c r="N97" i="9"/>
  <c r="F97" i="11"/>
  <c r="F97" i="10"/>
  <c r="F97" i="9"/>
  <c r="Z96" i="11"/>
  <c r="Z96" i="10"/>
  <c r="Z96" i="9"/>
  <c r="R96" i="11"/>
  <c r="R96" i="10"/>
  <c r="R96" i="9"/>
  <c r="J96" i="11"/>
  <c r="J96" i="10"/>
  <c r="J96" i="9"/>
  <c r="B96" i="11"/>
  <c r="B96" i="10"/>
  <c r="B96" i="9"/>
  <c r="AD95" i="11"/>
  <c r="AD95" i="10"/>
  <c r="AD95" i="9"/>
  <c r="V95" i="11"/>
  <c r="V95" i="10"/>
  <c r="V95" i="9"/>
  <c r="N95" i="11"/>
  <c r="N95" i="10"/>
  <c r="N95" i="9"/>
  <c r="F95" i="11"/>
  <c r="F95" i="10"/>
  <c r="F95" i="9"/>
  <c r="Z94" i="11"/>
  <c r="Z94" i="10"/>
  <c r="Z94" i="9"/>
  <c r="R94" i="11"/>
  <c r="R94" i="10"/>
  <c r="R94" i="9"/>
  <c r="J94" i="11"/>
  <c r="J94" i="10"/>
  <c r="J94" i="9"/>
  <c r="B94" i="11"/>
  <c r="B94" i="10"/>
  <c r="B94" i="9"/>
  <c r="AD93" i="11"/>
  <c r="AD93" i="10"/>
  <c r="AD93" i="9"/>
  <c r="V93" i="11"/>
  <c r="V93" i="10"/>
  <c r="V93" i="9"/>
  <c r="N93" i="11"/>
  <c r="N93" i="10"/>
  <c r="N93" i="9"/>
  <c r="F93" i="11"/>
  <c r="F93" i="10"/>
  <c r="F93" i="9"/>
  <c r="Z92" i="11"/>
  <c r="Z92" i="10"/>
  <c r="Z92" i="9"/>
  <c r="R92" i="11"/>
  <c r="R92" i="10"/>
  <c r="R92" i="9"/>
  <c r="J92" i="11"/>
  <c r="J92" i="10"/>
  <c r="J92" i="9"/>
  <c r="B92" i="11"/>
  <c r="B92" i="10"/>
  <c r="B92" i="9"/>
  <c r="AD91" i="11"/>
  <c r="AD91" i="10"/>
  <c r="AD91" i="9"/>
  <c r="V91" i="11"/>
  <c r="V91" i="10"/>
  <c r="V91" i="9"/>
  <c r="N91" i="11"/>
  <c r="N91" i="10"/>
  <c r="N91" i="9"/>
  <c r="F91" i="11"/>
  <c r="F91" i="10"/>
  <c r="F91" i="9"/>
  <c r="Z90" i="11"/>
  <c r="Z90" i="10"/>
  <c r="Z90" i="9"/>
  <c r="R90" i="11"/>
  <c r="R90" i="10"/>
  <c r="R90" i="9"/>
  <c r="J90" i="11"/>
  <c r="J90" i="10"/>
  <c r="J90" i="9"/>
  <c r="B90" i="11"/>
  <c r="B90" i="10"/>
  <c r="B90" i="9"/>
  <c r="AD89" i="11"/>
  <c r="AD89" i="10"/>
  <c r="AD89" i="9"/>
  <c r="V89" i="11"/>
  <c r="V89" i="10"/>
  <c r="V89" i="9"/>
  <c r="N89" i="11"/>
  <c r="N89" i="10"/>
  <c r="N89" i="9"/>
  <c r="F89" i="11"/>
  <c r="F89" i="10"/>
  <c r="F89" i="9"/>
  <c r="Z88" i="11"/>
  <c r="Z88" i="9"/>
  <c r="Z88" i="10"/>
  <c r="R88" i="11"/>
  <c r="R88" i="10"/>
  <c r="R88" i="9"/>
  <c r="J88" i="11"/>
  <c r="J88" i="10"/>
  <c r="J88" i="9"/>
  <c r="B88" i="11"/>
  <c r="B88" i="10"/>
  <c r="B88" i="9"/>
  <c r="AD87" i="11"/>
  <c r="AD87" i="10"/>
  <c r="AD87" i="9"/>
  <c r="V87" i="11"/>
  <c r="V87" i="10"/>
  <c r="V87" i="9"/>
  <c r="N87" i="11"/>
  <c r="N87" i="10"/>
  <c r="N87" i="9"/>
  <c r="F87" i="11"/>
  <c r="F87" i="10"/>
  <c r="F87" i="9"/>
  <c r="Z86" i="11"/>
  <c r="Z86" i="10"/>
  <c r="Z86" i="9"/>
  <c r="R86" i="11"/>
  <c r="R86" i="10"/>
  <c r="R86" i="9"/>
  <c r="J86" i="11"/>
  <c r="J86" i="10"/>
  <c r="J86" i="9"/>
  <c r="B86" i="11"/>
  <c r="B86" i="10"/>
  <c r="B86" i="9"/>
  <c r="AD85" i="11"/>
  <c r="AD85" i="10"/>
  <c r="AD85" i="9"/>
  <c r="V85" i="11"/>
  <c r="V85" i="10"/>
  <c r="V85" i="9"/>
  <c r="N85" i="11"/>
  <c r="N85" i="10"/>
  <c r="N85" i="9"/>
  <c r="F85" i="11"/>
  <c r="F85" i="10"/>
  <c r="F85" i="9"/>
  <c r="Z84" i="11"/>
  <c r="Z84" i="10"/>
  <c r="Z84" i="9"/>
  <c r="R84" i="11"/>
  <c r="R84" i="10"/>
  <c r="R84" i="9"/>
  <c r="J84" i="11"/>
  <c r="J84" i="10"/>
  <c r="J84" i="9"/>
  <c r="B84" i="11"/>
  <c r="B84" i="10"/>
  <c r="B84" i="9"/>
  <c r="AD83" i="11"/>
  <c r="AD83" i="10"/>
  <c r="AD83" i="9"/>
  <c r="V83" i="11"/>
  <c r="V83" i="10"/>
  <c r="V83" i="9"/>
  <c r="N83" i="11"/>
  <c r="N83" i="10"/>
  <c r="N83" i="9"/>
  <c r="F83" i="11"/>
  <c r="F83" i="10"/>
  <c r="F83" i="9"/>
  <c r="Z82" i="11"/>
  <c r="Z82" i="10"/>
  <c r="Z82" i="9"/>
  <c r="R82" i="11"/>
  <c r="R82" i="10"/>
  <c r="R82" i="9"/>
  <c r="J82" i="11"/>
  <c r="J82" i="10"/>
  <c r="J82" i="9"/>
  <c r="B82" i="11"/>
  <c r="B82" i="10"/>
  <c r="B82" i="9"/>
  <c r="AD81" i="11"/>
  <c r="AD81" i="10"/>
  <c r="AD81" i="9"/>
  <c r="V81" i="11"/>
  <c r="V81" i="10"/>
  <c r="V81" i="9"/>
  <c r="N81" i="11"/>
  <c r="N81" i="10"/>
  <c r="N81" i="9"/>
  <c r="F81" i="11"/>
  <c r="F81" i="10"/>
  <c r="F81" i="9"/>
  <c r="Z80" i="11"/>
  <c r="Z80" i="10"/>
  <c r="Z80" i="9"/>
  <c r="R80" i="11"/>
  <c r="R80" i="10"/>
  <c r="R80" i="9"/>
  <c r="J80" i="11"/>
  <c r="J80" i="10"/>
  <c r="J80" i="9"/>
  <c r="B80" i="11"/>
  <c r="B80" i="10"/>
  <c r="B80" i="9"/>
  <c r="AD79" i="11"/>
  <c r="AD79" i="10"/>
  <c r="AD79" i="9"/>
  <c r="V79" i="11"/>
  <c r="V79" i="10"/>
  <c r="V79" i="9"/>
  <c r="N79" i="11"/>
  <c r="N79" i="10"/>
  <c r="N79" i="9"/>
  <c r="F79" i="11"/>
  <c r="F79" i="10"/>
  <c r="F79" i="9"/>
  <c r="Z78" i="11"/>
  <c r="Z78" i="10"/>
  <c r="Z78" i="9"/>
  <c r="R78" i="11"/>
  <c r="R78" i="10"/>
  <c r="R78" i="9"/>
  <c r="J78" i="11"/>
  <c r="J78" i="10"/>
  <c r="J78" i="9"/>
  <c r="B78" i="11"/>
  <c r="B78" i="10"/>
  <c r="B78" i="9"/>
  <c r="AD77" i="11"/>
  <c r="AD77" i="10"/>
  <c r="AD77" i="9"/>
  <c r="V77" i="11"/>
  <c r="V77" i="10"/>
  <c r="V77" i="9"/>
  <c r="N77" i="11"/>
  <c r="N77" i="10"/>
  <c r="N77" i="9"/>
  <c r="F77" i="11"/>
  <c r="F77" i="10"/>
  <c r="F77" i="9"/>
  <c r="Z76" i="11"/>
  <c r="Z76" i="10"/>
  <c r="Z76" i="9"/>
  <c r="R76" i="11"/>
  <c r="R76" i="10"/>
  <c r="R76" i="9"/>
  <c r="J76" i="11"/>
  <c r="J76" i="10"/>
  <c r="J76" i="9"/>
  <c r="B76" i="11"/>
  <c r="B76" i="10"/>
  <c r="B76" i="9"/>
  <c r="AD75" i="11"/>
  <c r="AD75" i="10"/>
  <c r="AD75" i="9"/>
  <c r="V75" i="11"/>
  <c r="V75" i="10"/>
  <c r="V75" i="9"/>
  <c r="N75" i="11"/>
  <c r="N75" i="10"/>
  <c r="N75" i="9"/>
  <c r="F75" i="11"/>
  <c r="F75" i="10"/>
  <c r="F75" i="9"/>
  <c r="Z74" i="11"/>
  <c r="Z74" i="10"/>
  <c r="Z74" i="9"/>
  <c r="R74" i="11"/>
  <c r="R74" i="10"/>
  <c r="R74" i="9"/>
  <c r="J74" i="11"/>
  <c r="J74" i="10"/>
  <c r="J74" i="9"/>
  <c r="B74" i="11"/>
  <c r="B74" i="10"/>
  <c r="B74" i="9"/>
  <c r="AD73" i="11"/>
  <c r="AD73" i="10"/>
  <c r="AD73" i="9"/>
  <c r="V73" i="11"/>
  <c r="V73" i="10"/>
  <c r="V73" i="9"/>
  <c r="N73" i="11"/>
  <c r="N73" i="10"/>
  <c r="N73" i="9"/>
  <c r="F73" i="11"/>
  <c r="F73" i="10"/>
  <c r="F73" i="9"/>
  <c r="Z72" i="11"/>
  <c r="Z72" i="10"/>
  <c r="Z72" i="9"/>
  <c r="R72" i="11"/>
  <c r="R72" i="10"/>
  <c r="R72" i="9"/>
  <c r="J72" i="11"/>
  <c r="J72" i="10"/>
  <c r="J72" i="9"/>
  <c r="B72" i="11"/>
  <c r="B72" i="10"/>
  <c r="B72" i="9"/>
  <c r="AD71" i="11"/>
  <c r="AD71" i="10"/>
  <c r="AD71" i="9"/>
  <c r="V71" i="11"/>
  <c r="V71" i="10"/>
  <c r="V71" i="9"/>
  <c r="N71" i="11"/>
  <c r="N71" i="10"/>
  <c r="N71" i="9"/>
  <c r="F71" i="11"/>
  <c r="F71" i="10"/>
  <c r="F71" i="9"/>
  <c r="Z70" i="11"/>
  <c r="Z70" i="10"/>
  <c r="Z70" i="9"/>
  <c r="R70" i="11"/>
  <c r="R70" i="10"/>
  <c r="R70" i="9"/>
  <c r="J70" i="11"/>
  <c r="J70" i="10"/>
  <c r="J70" i="9"/>
  <c r="B70" i="11"/>
  <c r="B70" i="10"/>
  <c r="B70" i="9"/>
  <c r="AD69" i="11"/>
  <c r="AD69" i="10"/>
  <c r="AD69" i="9"/>
  <c r="V69" i="11"/>
  <c r="V69" i="10"/>
  <c r="V69" i="9"/>
  <c r="N69" i="11"/>
  <c r="N69" i="10"/>
  <c r="N69" i="9"/>
  <c r="F69" i="11"/>
  <c r="F69" i="10"/>
  <c r="F69" i="9"/>
  <c r="Z68" i="11"/>
  <c r="Z68" i="10"/>
  <c r="Z68" i="9"/>
  <c r="R68" i="11"/>
  <c r="R68" i="10"/>
  <c r="R68" i="9"/>
  <c r="J68" i="11"/>
  <c r="J68" i="10"/>
  <c r="J68" i="9"/>
  <c r="B68" i="11"/>
  <c r="B68" i="10"/>
  <c r="B68" i="9"/>
  <c r="AD67" i="11"/>
  <c r="AD67" i="10"/>
  <c r="AD67" i="9"/>
  <c r="V67" i="11"/>
  <c r="V67" i="10"/>
  <c r="V67" i="9"/>
  <c r="N67" i="11"/>
  <c r="N67" i="10"/>
  <c r="N67" i="9"/>
  <c r="F67" i="11"/>
  <c r="F67" i="10"/>
  <c r="F67" i="9"/>
  <c r="Z66" i="11"/>
  <c r="Z66" i="10"/>
  <c r="Z66" i="9"/>
  <c r="R66" i="11"/>
  <c r="R66" i="10"/>
  <c r="R66" i="9"/>
  <c r="J66" i="11"/>
  <c r="J66" i="10"/>
  <c r="J66" i="9"/>
  <c r="B66" i="11"/>
  <c r="B66" i="10"/>
  <c r="B66" i="9"/>
  <c r="AD65" i="11"/>
  <c r="AD65" i="10"/>
  <c r="AD65" i="9"/>
  <c r="V65" i="11"/>
  <c r="V65" i="10"/>
  <c r="V65" i="9"/>
  <c r="N65" i="11"/>
  <c r="N65" i="10"/>
  <c r="N65" i="9"/>
  <c r="F65" i="11"/>
  <c r="F65" i="10"/>
  <c r="F65" i="9"/>
  <c r="Z64" i="11"/>
  <c r="Z64" i="10"/>
  <c r="Z64" i="9"/>
  <c r="R64" i="11"/>
  <c r="R64" i="10"/>
  <c r="R64" i="9"/>
  <c r="J64" i="11"/>
  <c r="J64" i="10"/>
  <c r="J64" i="9"/>
  <c r="B64" i="11"/>
  <c r="B64" i="10"/>
  <c r="B64" i="9"/>
  <c r="AD63" i="11"/>
  <c r="AD63" i="10"/>
  <c r="AD63" i="9"/>
  <c r="V63" i="11"/>
  <c r="V63" i="10"/>
  <c r="V63" i="9"/>
  <c r="N63" i="11"/>
  <c r="N63" i="10"/>
  <c r="N63" i="9"/>
  <c r="F63" i="11"/>
  <c r="F63" i="10"/>
  <c r="F63" i="9"/>
  <c r="Z62" i="11"/>
  <c r="Z62" i="10"/>
  <c r="Z62" i="9"/>
  <c r="R62" i="11"/>
  <c r="R62" i="10"/>
  <c r="R62" i="9"/>
  <c r="J62" i="11"/>
  <c r="J62" i="10"/>
  <c r="J62" i="9"/>
  <c r="B62" i="11"/>
  <c r="B62" i="10"/>
  <c r="B62" i="9"/>
  <c r="AD61" i="11"/>
  <c r="AD61" i="10"/>
  <c r="AD61" i="9"/>
  <c r="V61" i="11"/>
  <c r="V61" i="10"/>
  <c r="V61" i="9"/>
  <c r="N61" i="11"/>
  <c r="N61" i="10"/>
  <c r="N61" i="9"/>
  <c r="F61" i="11"/>
  <c r="F61" i="10"/>
  <c r="F61" i="9"/>
  <c r="Z60" i="11"/>
  <c r="Z60" i="10"/>
  <c r="Z60" i="9"/>
  <c r="R60" i="11"/>
  <c r="R60" i="10"/>
  <c r="R60" i="9"/>
  <c r="J60" i="11"/>
  <c r="J60" i="10"/>
  <c r="J60" i="9"/>
  <c r="B60" i="11"/>
  <c r="B60" i="10"/>
  <c r="B60" i="9"/>
  <c r="AD59" i="11"/>
  <c r="AD59" i="10"/>
  <c r="AD59" i="9"/>
  <c r="V59" i="11"/>
  <c r="V59" i="10"/>
  <c r="V59" i="9"/>
  <c r="N59" i="11"/>
  <c r="N59" i="10"/>
  <c r="N59" i="9"/>
  <c r="F59" i="11"/>
  <c r="F59" i="10"/>
  <c r="F59" i="9"/>
  <c r="Z58" i="11"/>
  <c r="Z58" i="10"/>
  <c r="Z58" i="9"/>
  <c r="R58" i="11"/>
  <c r="R58" i="10"/>
  <c r="R58" i="9"/>
  <c r="J58" i="11"/>
  <c r="J58" i="10"/>
  <c r="J58" i="9"/>
  <c r="B58" i="11"/>
  <c r="B58" i="10"/>
  <c r="B58" i="9"/>
  <c r="AD57" i="11"/>
  <c r="AD57" i="10"/>
  <c r="AD57" i="9"/>
  <c r="V57" i="11"/>
  <c r="V57" i="10"/>
  <c r="V57" i="9"/>
  <c r="N57" i="11"/>
  <c r="N57" i="10"/>
  <c r="N57" i="9"/>
  <c r="F57" i="11"/>
  <c r="F57" i="10"/>
  <c r="F57" i="9"/>
  <c r="Z56" i="11"/>
  <c r="Z56" i="10"/>
  <c r="Z56" i="9"/>
  <c r="R56" i="11"/>
  <c r="R56" i="10"/>
  <c r="R56" i="9"/>
  <c r="J56" i="11"/>
  <c r="J56" i="10"/>
  <c r="J56" i="9"/>
  <c r="B56" i="11"/>
  <c r="B56" i="10"/>
  <c r="B56" i="9"/>
  <c r="AD55" i="11"/>
  <c r="AD55" i="10"/>
  <c r="AD55" i="9"/>
  <c r="V55" i="11"/>
  <c r="V55" i="10"/>
  <c r="V55" i="9"/>
  <c r="N55" i="11"/>
  <c r="N55" i="10"/>
  <c r="N55" i="9"/>
  <c r="F55" i="11"/>
  <c r="F55" i="10"/>
  <c r="F55" i="9"/>
  <c r="Z54" i="11"/>
  <c r="Z54" i="10"/>
  <c r="Z54" i="9"/>
  <c r="Q54" i="11"/>
  <c r="Q54" i="10"/>
  <c r="Q54" i="9"/>
  <c r="I54" i="11"/>
  <c r="I54" i="10"/>
  <c r="I54" i="9"/>
  <c r="A54" i="11"/>
  <c r="A54" i="10"/>
  <c r="A54" i="9"/>
  <c r="AC53" i="11"/>
  <c r="AC53" i="10"/>
  <c r="AC53" i="9"/>
  <c r="U53" i="11"/>
  <c r="U53" i="10"/>
  <c r="U53" i="9"/>
  <c r="M53" i="11"/>
  <c r="M53" i="10"/>
  <c r="M53" i="9"/>
  <c r="E53" i="11"/>
  <c r="E53" i="10"/>
  <c r="E53" i="9"/>
  <c r="AG52" i="11"/>
  <c r="AG52" i="10"/>
  <c r="AG52" i="9"/>
  <c r="Y52" i="11"/>
  <c r="Y52" i="10"/>
  <c r="Y52" i="9"/>
  <c r="Q52" i="11"/>
  <c r="Q52" i="10"/>
  <c r="Q52" i="9"/>
  <c r="I52" i="11"/>
  <c r="I52" i="10"/>
  <c r="I52" i="9"/>
  <c r="A52" i="11"/>
  <c r="A52" i="10"/>
  <c r="A52" i="9"/>
  <c r="AC51" i="11"/>
  <c r="AC51" i="10"/>
  <c r="AC51" i="9"/>
  <c r="U51" i="11"/>
  <c r="U51" i="10"/>
  <c r="U51" i="9"/>
  <c r="M51" i="11"/>
  <c r="M51" i="10"/>
  <c r="M51" i="9"/>
  <c r="E51" i="11"/>
  <c r="E51" i="10"/>
  <c r="E51" i="9"/>
  <c r="AG50" i="11"/>
  <c r="AG50" i="10"/>
  <c r="AG50" i="9"/>
  <c r="Y50" i="11"/>
  <c r="Y50" i="10"/>
  <c r="Y50" i="9"/>
  <c r="Q50" i="11"/>
  <c r="Q50" i="10"/>
  <c r="Q50" i="9"/>
  <c r="I50" i="11"/>
  <c r="I50" i="10"/>
  <c r="I50" i="9"/>
  <c r="A50" i="11"/>
  <c r="A50" i="10"/>
  <c r="A50" i="9"/>
  <c r="AC49" i="11"/>
  <c r="AC49" i="10"/>
  <c r="AC49" i="9"/>
  <c r="U49" i="11"/>
  <c r="U49" i="10"/>
  <c r="U49" i="9"/>
  <c r="M49" i="11"/>
  <c r="M49" i="10"/>
  <c r="M49" i="9"/>
  <c r="E49" i="11"/>
  <c r="E49" i="10"/>
  <c r="E49" i="9"/>
  <c r="AG48" i="11"/>
  <c r="AG48" i="10"/>
  <c r="AG48" i="9"/>
  <c r="Y48" i="11"/>
  <c r="Y48" i="10"/>
  <c r="Y48" i="9"/>
  <c r="Q48" i="11"/>
  <c r="Q48" i="10"/>
  <c r="Q48" i="9"/>
  <c r="I48" i="11"/>
  <c r="I48" i="10"/>
  <c r="I48" i="9"/>
  <c r="A48" i="11"/>
  <c r="A48" i="10"/>
  <c r="A48" i="9"/>
  <c r="AC47" i="11"/>
  <c r="AC47" i="10"/>
  <c r="AC47" i="9"/>
  <c r="U47" i="11"/>
  <c r="U47" i="10"/>
  <c r="U47" i="9"/>
  <c r="M47" i="11"/>
  <c r="M47" i="10"/>
  <c r="M47" i="9"/>
  <c r="E47" i="11"/>
  <c r="E47" i="10"/>
  <c r="E47" i="9"/>
  <c r="AG46" i="11"/>
  <c r="AG46" i="10"/>
  <c r="AG46" i="9"/>
  <c r="Y46" i="11"/>
  <c r="Y46" i="10"/>
  <c r="Y46" i="9"/>
  <c r="Q46" i="11"/>
  <c r="Q46" i="10"/>
  <c r="Q46" i="9"/>
  <c r="I46" i="11"/>
  <c r="I46" i="10"/>
  <c r="I46" i="9"/>
  <c r="A46" i="11"/>
  <c r="A46" i="10"/>
  <c r="A46" i="9"/>
  <c r="AC45" i="11"/>
  <c r="AC45" i="10"/>
  <c r="AC45" i="9"/>
  <c r="U45" i="11"/>
  <c r="U45" i="10"/>
  <c r="U45" i="9"/>
  <c r="M45" i="11"/>
  <c r="M45" i="10"/>
  <c r="M45" i="9"/>
  <c r="E45" i="11"/>
  <c r="E45" i="10"/>
  <c r="E45" i="9"/>
  <c r="AG44" i="11"/>
  <c r="AG44" i="10"/>
  <c r="AG44" i="9"/>
  <c r="Y44" i="11"/>
  <c r="Y44" i="10"/>
  <c r="Y44" i="9"/>
  <c r="Q44" i="11"/>
  <c r="Q44" i="10"/>
  <c r="Q44" i="9"/>
  <c r="I44" i="11"/>
  <c r="I44" i="10"/>
  <c r="I44" i="9"/>
  <c r="A44" i="11"/>
  <c r="A44" i="10"/>
  <c r="A44" i="9"/>
  <c r="AC43" i="11"/>
  <c r="AC43" i="10"/>
  <c r="AC43" i="9"/>
  <c r="U43" i="11"/>
  <c r="U43" i="10"/>
  <c r="U43" i="9"/>
  <c r="M43" i="11"/>
  <c r="M43" i="10"/>
  <c r="M43" i="9"/>
  <c r="E43" i="11"/>
  <c r="E43" i="10"/>
  <c r="E43" i="9"/>
  <c r="AG42" i="11"/>
  <c r="AG42" i="10"/>
  <c r="AG42" i="9"/>
  <c r="Y42" i="11"/>
  <c r="Y42" i="10"/>
  <c r="Y42" i="9"/>
  <c r="Q42" i="11"/>
  <c r="Q42" i="10"/>
  <c r="Q42" i="9"/>
  <c r="I42" i="11"/>
  <c r="I42" i="10"/>
  <c r="I42" i="9"/>
  <c r="A42" i="11"/>
  <c r="A42" i="10"/>
  <c r="A42" i="9"/>
  <c r="AC41" i="11"/>
  <c r="AC41" i="10"/>
  <c r="AC41" i="9"/>
  <c r="U41" i="11"/>
  <c r="U41" i="10"/>
  <c r="U41" i="9"/>
  <c r="M41" i="11"/>
  <c r="M41" i="10"/>
  <c r="M41" i="9"/>
  <c r="E41" i="11"/>
  <c r="E41" i="10"/>
  <c r="E41" i="9"/>
  <c r="AG40" i="11"/>
  <c r="AG40" i="10"/>
  <c r="AG40" i="9"/>
  <c r="Y40" i="11"/>
  <c r="Y40" i="10"/>
  <c r="Y40" i="9"/>
  <c r="Q40" i="11"/>
  <c r="Q40" i="10"/>
  <c r="Q40" i="9"/>
  <c r="I40" i="11"/>
  <c r="I40" i="10"/>
  <c r="I40" i="9"/>
  <c r="A40" i="11"/>
  <c r="A40" i="10"/>
  <c r="A40" i="9"/>
  <c r="AC39" i="11"/>
  <c r="AC39" i="10"/>
  <c r="AC39" i="9"/>
  <c r="U39" i="11"/>
  <c r="U39" i="10"/>
  <c r="U39" i="9"/>
  <c r="M39" i="11"/>
  <c r="M39" i="10"/>
  <c r="M39" i="9"/>
  <c r="E39" i="11"/>
  <c r="E39" i="10"/>
  <c r="E39" i="9"/>
  <c r="AG38" i="11"/>
  <c r="AG38" i="10"/>
  <c r="AG38" i="9"/>
  <c r="Y38" i="11"/>
  <c r="Y38" i="10"/>
  <c r="Y38" i="9"/>
  <c r="Q38" i="11"/>
  <c r="Q38" i="10"/>
  <c r="Q38" i="9"/>
  <c r="I38" i="11"/>
  <c r="I38" i="10"/>
  <c r="I38" i="9"/>
  <c r="A38" i="11"/>
  <c r="A38" i="10"/>
  <c r="A38" i="9"/>
  <c r="AC37" i="11"/>
  <c r="AC37" i="10"/>
  <c r="AC37" i="9"/>
  <c r="U37" i="11"/>
  <c r="U37" i="10"/>
  <c r="U37" i="9"/>
  <c r="M37" i="11"/>
  <c r="M37" i="10"/>
  <c r="M37" i="9"/>
  <c r="E37" i="11"/>
  <c r="E37" i="10"/>
  <c r="E37" i="9"/>
  <c r="AG36" i="11"/>
  <c r="AG36" i="10"/>
  <c r="AG36" i="9"/>
  <c r="Y36" i="11"/>
  <c r="Y36" i="10"/>
  <c r="Y36" i="9"/>
  <c r="Q36" i="11"/>
  <c r="Q36" i="10"/>
  <c r="Q36" i="9"/>
  <c r="I36" i="11"/>
  <c r="I36" i="10"/>
  <c r="I36" i="9"/>
  <c r="A36" i="11"/>
  <c r="A36" i="10"/>
  <c r="A36" i="9"/>
  <c r="AC35" i="11"/>
  <c r="AC35" i="9"/>
  <c r="AC35" i="10"/>
  <c r="U35" i="11"/>
  <c r="U35" i="9"/>
  <c r="U35" i="10"/>
  <c r="M35" i="11"/>
  <c r="M35" i="9"/>
  <c r="M35" i="10"/>
  <c r="E35" i="11"/>
  <c r="E35" i="9"/>
  <c r="E35" i="10"/>
  <c r="AG34" i="11"/>
  <c r="AG34" i="10"/>
  <c r="AG34" i="9"/>
  <c r="Y34" i="11"/>
  <c r="Y34" i="10"/>
  <c r="Y34" i="9"/>
  <c r="Q34" i="11"/>
  <c r="Q34" i="10"/>
  <c r="Q34" i="9"/>
  <c r="I34" i="11"/>
  <c r="I34" i="10"/>
  <c r="I34" i="9"/>
  <c r="A34" i="11"/>
  <c r="A34" i="10"/>
  <c r="A34" i="9"/>
  <c r="AC33" i="11"/>
  <c r="AC33" i="9"/>
  <c r="AC33" i="10"/>
  <c r="U33" i="11"/>
  <c r="U33" i="9"/>
  <c r="U33" i="10"/>
  <c r="M33" i="11"/>
  <c r="M33" i="10"/>
  <c r="M33" i="9"/>
  <c r="E33" i="11"/>
  <c r="E33" i="10"/>
  <c r="E33" i="9"/>
  <c r="AG32" i="11"/>
  <c r="AG32" i="9"/>
  <c r="AG32" i="10"/>
  <c r="Y32" i="11"/>
  <c r="Y32" i="10"/>
  <c r="Y32" i="9"/>
  <c r="Q32" i="11"/>
  <c r="Q32" i="10"/>
  <c r="Q32" i="9"/>
  <c r="I32" i="11"/>
  <c r="I32" i="10"/>
  <c r="I32" i="9"/>
  <c r="A32" i="11"/>
  <c r="A32" i="10"/>
  <c r="A32" i="9"/>
  <c r="AC31" i="11"/>
  <c r="AC31" i="9"/>
  <c r="AC31" i="10"/>
  <c r="U31" i="11"/>
  <c r="U31" i="9"/>
  <c r="U31" i="10"/>
  <c r="M31" i="11"/>
  <c r="M31" i="9"/>
  <c r="M31" i="10"/>
  <c r="E31" i="11"/>
  <c r="E31" i="9"/>
  <c r="E31" i="10"/>
  <c r="AG30" i="11"/>
  <c r="AG30" i="9"/>
  <c r="AG30" i="10"/>
  <c r="Y30" i="11"/>
  <c r="Y30" i="10"/>
  <c r="Y30" i="9"/>
  <c r="Q30" i="11"/>
  <c r="Q30" i="10"/>
  <c r="Q30" i="9"/>
  <c r="I30" i="11"/>
  <c r="I30" i="10"/>
  <c r="I30" i="9"/>
  <c r="A30" i="11"/>
  <c r="A30" i="10"/>
  <c r="A30" i="9"/>
  <c r="AC29" i="11"/>
  <c r="AC29" i="10"/>
  <c r="AC29" i="9"/>
  <c r="U29" i="11"/>
  <c r="U29" i="10"/>
  <c r="U29" i="9"/>
  <c r="M29" i="11"/>
  <c r="M29" i="10"/>
  <c r="M29" i="9"/>
  <c r="E29" i="11"/>
  <c r="E29" i="10"/>
  <c r="E29" i="9"/>
  <c r="AG28" i="11"/>
  <c r="AG28" i="10"/>
  <c r="AG28" i="9"/>
  <c r="Y28" i="11"/>
  <c r="Y28" i="10"/>
  <c r="Y28" i="9"/>
  <c r="Q28" i="11"/>
  <c r="Q28" i="10"/>
  <c r="Q28" i="9"/>
  <c r="I28" i="11"/>
  <c r="I28" i="10"/>
  <c r="I28" i="9"/>
  <c r="A28" i="11"/>
  <c r="A28" i="10"/>
  <c r="A28" i="9"/>
  <c r="AC27" i="11"/>
  <c r="AC27" i="10"/>
  <c r="AC27" i="9"/>
  <c r="U27" i="11"/>
  <c r="U27" i="10"/>
  <c r="U27" i="9"/>
  <c r="M27" i="11"/>
  <c r="M27" i="10"/>
  <c r="M27" i="9"/>
  <c r="E27" i="11"/>
  <c r="E27" i="10"/>
  <c r="E27" i="9"/>
  <c r="AG26" i="11"/>
  <c r="AG26" i="10"/>
  <c r="AG26" i="9"/>
  <c r="Y26" i="11"/>
  <c r="Y26" i="9"/>
  <c r="Y26" i="10"/>
  <c r="Q26" i="11"/>
  <c r="Q26" i="9"/>
  <c r="Q26" i="10"/>
  <c r="I26" i="11"/>
  <c r="I26" i="9"/>
  <c r="I26" i="10"/>
  <c r="A26" i="11"/>
  <c r="A26" i="9"/>
  <c r="A26" i="10"/>
  <c r="AC25" i="11"/>
  <c r="AC25" i="10"/>
  <c r="AC25" i="9"/>
  <c r="U25" i="11"/>
  <c r="U25" i="10"/>
  <c r="U25" i="9"/>
  <c r="M25" i="11"/>
  <c r="M25" i="10"/>
  <c r="M25" i="9"/>
  <c r="E25" i="11"/>
  <c r="E25" i="10"/>
  <c r="E25" i="9"/>
  <c r="AG24" i="11"/>
  <c r="AG24" i="10"/>
  <c r="AG24" i="9"/>
  <c r="Y24" i="11"/>
  <c r="Y24" i="9"/>
  <c r="Y24" i="10"/>
  <c r="Q24" i="11"/>
  <c r="Q24" i="9"/>
  <c r="Q24" i="10"/>
  <c r="I24" i="11"/>
  <c r="I24" i="9"/>
  <c r="I24" i="10"/>
  <c r="A24" i="11"/>
  <c r="A24" i="9"/>
  <c r="A24" i="10"/>
  <c r="AC23" i="11"/>
  <c r="AC23" i="9"/>
  <c r="AC23" i="10"/>
  <c r="U23" i="11"/>
  <c r="U23" i="9"/>
  <c r="U23" i="10"/>
  <c r="M23" i="11"/>
  <c r="M23" i="9"/>
  <c r="M23" i="10"/>
  <c r="E23" i="11"/>
  <c r="E23" i="9"/>
  <c r="E23" i="10"/>
  <c r="AG22" i="11"/>
  <c r="AG22" i="9"/>
  <c r="AG22" i="10"/>
  <c r="Y22" i="11"/>
  <c r="Y22" i="10"/>
  <c r="Y22" i="9"/>
  <c r="Q22" i="11"/>
  <c r="Q22" i="10"/>
  <c r="Q22" i="9"/>
  <c r="I22" i="11"/>
  <c r="I22" i="10"/>
  <c r="I22" i="9"/>
  <c r="A22" i="11"/>
  <c r="A22" i="10"/>
  <c r="A22" i="9"/>
  <c r="AC21" i="11"/>
  <c r="AC21" i="10"/>
  <c r="AC21" i="9"/>
  <c r="U21" i="11"/>
  <c r="U21" i="10"/>
  <c r="U21" i="9"/>
  <c r="M21" i="11"/>
  <c r="M21" i="10"/>
  <c r="M21" i="9"/>
  <c r="E21" i="11"/>
  <c r="E21" i="10"/>
  <c r="E21" i="9"/>
  <c r="AG20" i="11"/>
  <c r="AG20" i="10"/>
  <c r="AG20" i="9"/>
  <c r="Y20" i="11"/>
  <c r="Y20" i="10"/>
  <c r="Y20" i="9"/>
  <c r="Q20" i="11"/>
  <c r="Q20" i="10"/>
  <c r="Q20" i="9"/>
  <c r="I20" i="11"/>
  <c r="I20" i="10"/>
  <c r="I20" i="9"/>
  <c r="A20" i="11"/>
  <c r="A20" i="10"/>
  <c r="A20" i="9"/>
  <c r="AC19" i="11"/>
  <c r="AC19" i="9"/>
  <c r="AC19" i="10"/>
  <c r="U19" i="11"/>
  <c r="U19" i="9"/>
  <c r="U19" i="10"/>
  <c r="M19" i="11"/>
  <c r="M19" i="9"/>
  <c r="M19" i="10"/>
  <c r="E19" i="11"/>
  <c r="E19" i="9"/>
  <c r="E19" i="10"/>
  <c r="AG18" i="11"/>
  <c r="AG18" i="9"/>
  <c r="AG18" i="10"/>
  <c r="Y18" i="11"/>
  <c r="Y18" i="10"/>
  <c r="Y18" i="9"/>
  <c r="Q18" i="11"/>
  <c r="Q18" i="10"/>
  <c r="Q18" i="9"/>
  <c r="I18" i="11"/>
  <c r="I18" i="10"/>
  <c r="I18" i="9"/>
  <c r="A18" i="11"/>
  <c r="A18" i="10"/>
  <c r="A18" i="9"/>
  <c r="AC17" i="11"/>
  <c r="AC17" i="9"/>
  <c r="AC17" i="10"/>
  <c r="U17" i="11"/>
  <c r="U17" i="9"/>
  <c r="U17" i="10"/>
  <c r="M17" i="11"/>
  <c r="M17" i="9"/>
  <c r="M17" i="10"/>
  <c r="E17" i="11"/>
  <c r="E17" i="9"/>
  <c r="E17" i="10"/>
  <c r="Y16" i="11"/>
  <c r="Y16" i="10"/>
  <c r="Y16" i="9"/>
  <c r="Q16" i="11"/>
  <c r="Q16" i="10"/>
  <c r="Q16" i="9"/>
  <c r="I16" i="11"/>
  <c r="I16" i="10"/>
  <c r="I16" i="9"/>
  <c r="A16" i="11"/>
  <c r="A16" i="10"/>
  <c r="A16" i="9"/>
  <c r="AC15" i="11"/>
  <c r="AC15" i="9"/>
  <c r="AC15" i="10"/>
  <c r="U15" i="11"/>
  <c r="U15" i="9"/>
  <c r="U15" i="10"/>
  <c r="M15" i="11"/>
  <c r="M15" i="9"/>
  <c r="M15" i="10"/>
  <c r="E15" i="11"/>
  <c r="E15" i="9"/>
  <c r="E15" i="10"/>
  <c r="AG14" i="11"/>
  <c r="AG14" i="9"/>
  <c r="AG14" i="10"/>
  <c r="Y14" i="11"/>
  <c r="Y14" i="9"/>
  <c r="Y14" i="10"/>
  <c r="Q14" i="11"/>
  <c r="Q14" i="9"/>
  <c r="Q14" i="10"/>
  <c r="I14" i="11"/>
  <c r="I14" i="9"/>
  <c r="I14" i="10"/>
  <c r="A14" i="11"/>
  <c r="A14" i="9"/>
  <c r="A14" i="10"/>
  <c r="AC13" i="11"/>
  <c r="AC13" i="10"/>
  <c r="AC13" i="9"/>
  <c r="U13" i="11"/>
  <c r="U13" i="10"/>
  <c r="U13" i="9"/>
  <c r="M13" i="11"/>
  <c r="M13" i="10"/>
  <c r="M13" i="9"/>
  <c r="E13" i="11"/>
  <c r="E13" i="10"/>
  <c r="E13" i="9"/>
  <c r="AG12" i="10"/>
  <c r="AG12" i="11"/>
  <c r="AG12" i="9"/>
  <c r="Y12" i="11"/>
  <c r="Y12" i="10"/>
  <c r="Y12" i="9"/>
  <c r="Q12" i="11"/>
  <c r="Q12" i="10"/>
  <c r="Q12" i="9"/>
  <c r="I12" i="11"/>
  <c r="I12" i="10"/>
  <c r="I12" i="9"/>
  <c r="A12" i="11"/>
  <c r="A12" i="10"/>
  <c r="A12" i="9"/>
  <c r="AC11" i="11"/>
  <c r="AC11" i="10"/>
  <c r="AC11" i="9"/>
  <c r="U11" i="11"/>
  <c r="U11" i="10"/>
  <c r="U11" i="9"/>
  <c r="M11" i="11"/>
  <c r="M11" i="10"/>
  <c r="M11" i="9"/>
  <c r="E11" i="11"/>
  <c r="E11" i="10"/>
  <c r="E11" i="9"/>
  <c r="AG10" i="11"/>
  <c r="AG10" i="10"/>
  <c r="AG10" i="9"/>
  <c r="Y10" i="11"/>
  <c r="Y10" i="10"/>
  <c r="Y10" i="9"/>
  <c r="Q10" i="11"/>
  <c r="Q10" i="10"/>
  <c r="Q10" i="9"/>
  <c r="I10" i="11"/>
  <c r="I10" i="10"/>
  <c r="I10" i="9"/>
  <c r="A10" i="11"/>
  <c r="A10" i="10"/>
  <c r="A10" i="9"/>
  <c r="AC9" i="11"/>
  <c r="AC9" i="9"/>
  <c r="AC9" i="10"/>
  <c r="U9" i="11"/>
  <c r="U9" i="9"/>
  <c r="U9" i="10"/>
  <c r="M9" i="11"/>
  <c r="M9" i="9"/>
  <c r="M9" i="10"/>
  <c r="E9" i="11"/>
  <c r="E9" i="9"/>
  <c r="E9" i="10"/>
  <c r="AG8" i="11"/>
  <c r="AG8" i="9"/>
  <c r="AG8" i="10"/>
  <c r="Y8" i="11"/>
  <c r="Y8" i="10"/>
  <c r="Y8" i="9"/>
  <c r="Q8" i="11"/>
  <c r="Q8" i="10"/>
  <c r="Q8" i="9"/>
  <c r="I8" i="11"/>
  <c r="I8" i="10"/>
  <c r="I8" i="9"/>
  <c r="A8" i="11"/>
  <c r="A8" i="10"/>
  <c r="A8" i="9"/>
  <c r="AC7" i="11"/>
  <c r="AC7" i="10"/>
  <c r="AC7" i="9"/>
  <c r="U7" i="11"/>
  <c r="U7" i="10"/>
  <c r="U7" i="9"/>
  <c r="M7" i="11"/>
  <c r="M7" i="10"/>
  <c r="M7" i="9"/>
  <c r="E7" i="11"/>
  <c r="E7" i="10"/>
  <c r="E7" i="9"/>
  <c r="AG6" i="11"/>
  <c r="AG6" i="10"/>
  <c r="AG6" i="9"/>
  <c r="Y6" i="11"/>
  <c r="Y6" i="9"/>
  <c r="Y6" i="10"/>
  <c r="Q6" i="11"/>
  <c r="Q6" i="9"/>
  <c r="Q6" i="10"/>
  <c r="I6" i="11"/>
  <c r="I6" i="9"/>
  <c r="I6" i="10"/>
  <c r="A6" i="11"/>
  <c r="A6" i="9"/>
  <c r="A6" i="10"/>
  <c r="AC5" i="11"/>
  <c r="AC5" i="9"/>
  <c r="AC5" i="10"/>
  <c r="U5" i="11"/>
  <c r="U5" i="9"/>
  <c r="U5" i="10"/>
  <c r="M5" i="11"/>
  <c r="M5" i="9"/>
  <c r="M5" i="10"/>
  <c r="E5" i="11"/>
  <c r="E5" i="9"/>
  <c r="E5" i="10"/>
  <c r="AG4" i="11"/>
  <c r="AG4" i="9"/>
  <c r="AG4" i="10"/>
  <c r="Y4" i="11"/>
  <c r="Y4" i="9"/>
  <c r="Y4" i="10"/>
  <c r="Q4" i="11"/>
  <c r="Q4" i="9"/>
  <c r="Q4" i="10"/>
  <c r="I4" i="11"/>
  <c r="I4" i="9"/>
  <c r="I4" i="10"/>
  <c r="A4" i="11"/>
  <c r="A4" i="9"/>
  <c r="A4" i="10"/>
  <c r="AC3" i="11"/>
  <c r="AC3" i="9"/>
  <c r="AC3" i="10"/>
  <c r="U3" i="11"/>
  <c r="U3" i="9"/>
  <c r="U3" i="10"/>
  <c r="M3" i="11"/>
  <c r="M3" i="9"/>
  <c r="M3" i="10"/>
  <c r="E3" i="11"/>
  <c r="E3" i="9"/>
  <c r="E3" i="10"/>
  <c r="Z2" i="11"/>
  <c r="A22" i="14" s="1"/>
  <c r="Z2" i="9"/>
  <c r="R2" i="11"/>
  <c r="A14" i="14" s="1"/>
  <c r="R2" i="9"/>
  <c r="J2" i="11"/>
  <c r="A6" i="14" s="1"/>
  <c r="J2" i="9"/>
  <c r="B2" i="11"/>
  <c r="B2" i="10"/>
  <c r="B2" i="9"/>
  <c r="Y134" i="11"/>
  <c r="Y134" i="10"/>
  <c r="Y134" i="9"/>
  <c r="Q134" i="11"/>
  <c r="Q134" i="10"/>
  <c r="Q134" i="9"/>
  <c r="I134" i="11"/>
  <c r="I134" i="10"/>
  <c r="I134" i="9"/>
  <c r="A134" i="11"/>
  <c r="A134" i="10"/>
  <c r="A134" i="9"/>
  <c r="AC133" i="11"/>
  <c r="AC133" i="10"/>
  <c r="AC133" i="9"/>
  <c r="U133" i="11"/>
  <c r="U133" i="10"/>
  <c r="U133" i="9"/>
  <c r="M133" i="11"/>
  <c r="M133" i="10"/>
  <c r="M133" i="9"/>
  <c r="E133" i="11"/>
  <c r="E133" i="10"/>
  <c r="E133" i="9"/>
  <c r="AG132" i="11"/>
  <c r="AG132" i="10"/>
  <c r="AG132" i="9"/>
  <c r="Y132" i="11"/>
  <c r="Y132" i="10"/>
  <c r="Y132" i="9"/>
  <c r="Q132" i="11"/>
  <c r="Q132" i="10"/>
  <c r="Q132" i="9"/>
  <c r="I132" i="11"/>
  <c r="I132" i="10"/>
  <c r="I132" i="9"/>
  <c r="A132" i="11"/>
  <c r="A132" i="10"/>
  <c r="A132" i="9"/>
  <c r="AC131" i="11"/>
  <c r="AC131" i="10"/>
  <c r="AC131" i="9"/>
  <c r="U131" i="11"/>
  <c r="U131" i="10"/>
  <c r="U131" i="9"/>
  <c r="M131" i="11"/>
  <c r="M131" i="10"/>
  <c r="M131" i="9"/>
  <c r="E131" i="11"/>
  <c r="E131" i="10"/>
  <c r="E131" i="9"/>
  <c r="AG130" i="11"/>
  <c r="AG130" i="10"/>
  <c r="AG130" i="9"/>
  <c r="Y130" i="11"/>
  <c r="Y130" i="10"/>
  <c r="Y130" i="9"/>
  <c r="Q130" i="11"/>
  <c r="Q130" i="10"/>
  <c r="Q130" i="9"/>
  <c r="I130" i="11"/>
  <c r="I130" i="10"/>
  <c r="I130" i="9"/>
  <c r="A130" i="11"/>
  <c r="A130" i="10"/>
  <c r="A130" i="9"/>
  <c r="AC129" i="11"/>
  <c r="AC129" i="10"/>
  <c r="AC129" i="9"/>
  <c r="U129" i="11"/>
  <c r="U129" i="10"/>
  <c r="U129" i="9"/>
  <c r="M129" i="11"/>
  <c r="M129" i="10"/>
  <c r="M129" i="9"/>
  <c r="E129" i="11"/>
  <c r="E129" i="10"/>
  <c r="E129" i="9"/>
  <c r="Y128" i="11"/>
  <c r="Y128" i="10"/>
  <c r="Y128" i="9"/>
  <c r="Q128" i="11"/>
  <c r="Q128" i="10"/>
  <c r="Q128" i="9"/>
  <c r="I128" i="11"/>
  <c r="I128" i="10"/>
  <c r="I128" i="9"/>
  <c r="A128" i="11"/>
  <c r="A128" i="10"/>
  <c r="A128" i="9"/>
  <c r="AC127" i="11"/>
  <c r="AC127" i="10"/>
  <c r="AC127" i="9"/>
  <c r="U127" i="11"/>
  <c r="U127" i="10"/>
  <c r="U127" i="9"/>
  <c r="M127" i="11"/>
  <c r="M127" i="10"/>
  <c r="M127" i="9"/>
  <c r="E127" i="11"/>
  <c r="E127" i="10"/>
  <c r="E127" i="9"/>
  <c r="AG126" i="11"/>
  <c r="AG126" i="10"/>
  <c r="AG126" i="9"/>
  <c r="Y126" i="11"/>
  <c r="Y126" i="10"/>
  <c r="Y126" i="9"/>
  <c r="Q126" i="11"/>
  <c r="Q126" i="10"/>
  <c r="Q126" i="9"/>
  <c r="I126" i="11"/>
  <c r="I126" i="10"/>
  <c r="I126" i="9"/>
  <c r="A126" i="11"/>
  <c r="A126" i="10"/>
  <c r="A126" i="9"/>
  <c r="AC125" i="11"/>
  <c r="AC125" i="10"/>
  <c r="AC125" i="9"/>
  <c r="U125" i="11"/>
  <c r="U125" i="10"/>
  <c r="U125" i="9"/>
  <c r="M125" i="11"/>
  <c r="M125" i="10"/>
  <c r="M125" i="9"/>
  <c r="E125" i="11"/>
  <c r="E125" i="10"/>
  <c r="E125" i="9"/>
  <c r="AG124" i="11"/>
  <c r="AG124" i="10"/>
  <c r="AG124" i="9"/>
  <c r="Y124" i="11"/>
  <c r="Y124" i="10"/>
  <c r="Y124" i="9"/>
  <c r="Q124" i="11"/>
  <c r="Q124" i="10"/>
  <c r="Q124" i="9"/>
  <c r="I124" i="11"/>
  <c r="I124" i="10"/>
  <c r="I124" i="9"/>
  <c r="A124" i="11"/>
  <c r="A124" i="10"/>
  <c r="A124" i="9"/>
  <c r="AC123" i="11"/>
  <c r="AC123" i="10"/>
  <c r="AC123" i="9"/>
  <c r="U123" i="11"/>
  <c r="U123" i="10"/>
  <c r="U123" i="9"/>
  <c r="M123" i="11"/>
  <c r="M123" i="10"/>
  <c r="M123" i="9"/>
  <c r="E123" i="11"/>
  <c r="E123" i="10"/>
  <c r="E123" i="9"/>
  <c r="AG122" i="11"/>
  <c r="AG122" i="10"/>
  <c r="AG122" i="9"/>
  <c r="Y122" i="11"/>
  <c r="Y122" i="10"/>
  <c r="Y122" i="9"/>
  <c r="Q122" i="11"/>
  <c r="Q122" i="10"/>
  <c r="Q122" i="9"/>
  <c r="I122" i="11"/>
  <c r="I122" i="10"/>
  <c r="I122" i="9"/>
  <c r="A122" i="11"/>
  <c r="A122" i="10"/>
  <c r="A122" i="9"/>
  <c r="AC121" i="11"/>
  <c r="AC121" i="10"/>
  <c r="AC121" i="9"/>
  <c r="U121" i="11"/>
  <c r="U121" i="10"/>
  <c r="U121" i="9"/>
  <c r="M121" i="11"/>
  <c r="M121" i="10"/>
  <c r="M121" i="9"/>
  <c r="E121" i="11"/>
  <c r="E121" i="10"/>
  <c r="E121" i="9"/>
  <c r="AG120" i="11"/>
  <c r="AG120" i="10"/>
  <c r="AG120" i="9"/>
  <c r="Y120" i="11"/>
  <c r="Y120" i="10"/>
  <c r="Y120" i="9"/>
  <c r="Q120" i="11"/>
  <c r="Q120" i="10"/>
  <c r="Q120" i="9"/>
  <c r="I120" i="11"/>
  <c r="I120" i="10"/>
  <c r="I120" i="9"/>
  <c r="A120" i="11"/>
  <c r="A120" i="10"/>
  <c r="A120" i="9"/>
  <c r="AC119" i="11"/>
  <c r="AC119" i="10"/>
  <c r="AC119" i="9"/>
  <c r="U119" i="11"/>
  <c r="U119" i="10"/>
  <c r="U119" i="9"/>
  <c r="M119" i="11"/>
  <c r="M119" i="10"/>
  <c r="M119" i="9"/>
  <c r="E119" i="11"/>
  <c r="E119" i="10"/>
  <c r="E119" i="9"/>
  <c r="Y118" i="11"/>
  <c r="Y118" i="10"/>
  <c r="Y118" i="9"/>
  <c r="Q118" i="11"/>
  <c r="Q118" i="10"/>
  <c r="Q118" i="9"/>
  <c r="I118" i="11"/>
  <c r="I118" i="10"/>
  <c r="I118" i="9"/>
  <c r="A118" i="11"/>
  <c r="A118" i="10"/>
  <c r="A118" i="9"/>
  <c r="AC117" i="11"/>
  <c r="AC117" i="10"/>
  <c r="AC117" i="9"/>
  <c r="U117" i="11"/>
  <c r="U117" i="10"/>
  <c r="U117" i="9"/>
  <c r="M117" i="11"/>
  <c r="M117" i="10"/>
  <c r="M117" i="9"/>
  <c r="E117" i="11"/>
  <c r="E117" i="10"/>
  <c r="E117" i="9"/>
  <c r="AG116" i="11"/>
  <c r="AG116" i="10"/>
  <c r="AG116" i="9"/>
  <c r="Y116" i="11"/>
  <c r="Y116" i="10"/>
  <c r="Y116" i="9"/>
  <c r="Q116" i="11"/>
  <c r="Q116" i="10"/>
  <c r="Q116" i="9"/>
  <c r="I116" i="11"/>
  <c r="I116" i="10"/>
  <c r="I116" i="9"/>
  <c r="A116" i="11"/>
  <c r="A116" i="10"/>
  <c r="A116" i="9"/>
  <c r="AC115" i="11"/>
  <c r="AC115" i="10"/>
  <c r="AC115" i="9"/>
  <c r="U115" i="11"/>
  <c r="U115" i="10"/>
  <c r="U115" i="9"/>
  <c r="M115" i="11"/>
  <c r="M115" i="10"/>
  <c r="M115" i="9"/>
  <c r="E115" i="11"/>
  <c r="E115" i="10"/>
  <c r="E115" i="9"/>
  <c r="Y114" i="11"/>
  <c r="Y114" i="10"/>
  <c r="Y114" i="9"/>
  <c r="Q114" i="11"/>
  <c r="Q114" i="10"/>
  <c r="Q114" i="9"/>
  <c r="I114" i="11"/>
  <c r="I114" i="10"/>
  <c r="I114" i="9"/>
  <c r="A114" i="11"/>
  <c r="A114" i="10"/>
  <c r="A114" i="9"/>
  <c r="AC113" i="11"/>
  <c r="AC113" i="10"/>
  <c r="AC113" i="9"/>
  <c r="U113" i="11"/>
  <c r="U113" i="10"/>
  <c r="U113" i="9"/>
  <c r="M113" i="11"/>
  <c r="M113" i="10"/>
  <c r="M113" i="9"/>
  <c r="E113" i="11"/>
  <c r="E113" i="10"/>
  <c r="E113" i="9"/>
  <c r="AG112" i="11"/>
  <c r="AG112" i="10"/>
  <c r="AG112" i="9"/>
  <c r="Y112" i="11"/>
  <c r="Y112" i="10"/>
  <c r="Y112" i="9"/>
  <c r="Q112" i="11"/>
  <c r="Q112" i="10"/>
  <c r="Q112" i="9"/>
  <c r="I112" i="11"/>
  <c r="I112" i="10"/>
  <c r="I112" i="9"/>
  <c r="A112" i="11"/>
  <c r="A112" i="10"/>
  <c r="A112" i="9"/>
  <c r="AC111" i="11"/>
  <c r="AC111" i="10"/>
  <c r="AC111" i="9"/>
  <c r="U111" i="11"/>
  <c r="U111" i="10"/>
  <c r="U111" i="9"/>
  <c r="M111" i="11"/>
  <c r="M111" i="10"/>
  <c r="M111" i="9"/>
  <c r="E111" i="11"/>
  <c r="E111" i="10"/>
  <c r="E111" i="9"/>
  <c r="AG110" i="11"/>
  <c r="AG110" i="10"/>
  <c r="AG110" i="9"/>
  <c r="Y110" i="11"/>
  <c r="Y110" i="10"/>
  <c r="Y110" i="9"/>
  <c r="Q110" i="11"/>
  <c r="Q110" i="10"/>
  <c r="Q110" i="9"/>
  <c r="I110" i="11"/>
  <c r="I110" i="10"/>
  <c r="I110" i="9"/>
  <c r="A110" i="11"/>
  <c r="A110" i="10"/>
  <c r="A110" i="9"/>
  <c r="AC109" i="11"/>
  <c r="AC109" i="10"/>
  <c r="AC109" i="9"/>
  <c r="U109" i="11"/>
  <c r="U109" i="10"/>
  <c r="U109" i="9"/>
  <c r="M109" i="11"/>
  <c r="M109" i="10"/>
  <c r="M109" i="9"/>
  <c r="E109" i="11"/>
  <c r="E109" i="10"/>
  <c r="E109" i="9"/>
  <c r="AG108" i="11"/>
  <c r="AG108" i="10"/>
  <c r="AG108" i="9"/>
  <c r="Y108" i="11"/>
  <c r="Y108" i="10"/>
  <c r="Y108" i="9"/>
  <c r="Q108" i="11"/>
  <c r="Q108" i="10"/>
  <c r="Q108" i="9"/>
  <c r="I108" i="11"/>
  <c r="I108" i="10"/>
  <c r="I108" i="9"/>
  <c r="A108" i="11"/>
  <c r="A108" i="10"/>
  <c r="A108" i="9"/>
  <c r="AC107" i="11"/>
  <c r="AC107" i="10"/>
  <c r="AC107" i="9"/>
  <c r="U107" i="11"/>
  <c r="U107" i="10"/>
  <c r="U107" i="9"/>
  <c r="M107" i="11"/>
  <c r="M107" i="10"/>
  <c r="M107" i="9"/>
  <c r="E107" i="11"/>
  <c r="E107" i="10"/>
  <c r="E107" i="9"/>
  <c r="AG106" i="11"/>
  <c r="AG106" i="10"/>
  <c r="AG106" i="9"/>
  <c r="Y106" i="11"/>
  <c r="Y106" i="10"/>
  <c r="Y106" i="9"/>
  <c r="Q106" i="11"/>
  <c r="Q106" i="10"/>
  <c r="Q106" i="9"/>
  <c r="I106" i="11"/>
  <c r="I106" i="10"/>
  <c r="I106" i="9"/>
  <c r="A106" i="11"/>
  <c r="A106" i="10"/>
  <c r="A106" i="9"/>
  <c r="AC105" i="11"/>
  <c r="AC105" i="10"/>
  <c r="AC105" i="9"/>
  <c r="U105" i="11"/>
  <c r="U105" i="10"/>
  <c r="U105" i="9"/>
  <c r="M105" i="11"/>
  <c r="M105" i="10"/>
  <c r="M105" i="9"/>
  <c r="E105" i="11"/>
  <c r="E105" i="10"/>
  <c r="E105" i="9"/>
  <c r="AG104" i="11"/>
  <c r="AG104" i="10"/>
  <c r="AG104" i="9"/>
  <c r="Y104" i="11"/>
  <c r="Y104" i="10"/>
  <c r="Y104" i="9"/>
  <c r="Q104" i="11"/>
  <c r="Q104" i="10"/>
  <c r="Q104" i="9"/>
  <c r="I104" i="11"/>
  <c r="I104" i="10"/>
  <c r="I104" i="9"/>
  <c r="A104" i="11"/>
  <c r="A104" i="10"/>
  <c r="A104" i="9"/>
  <c r="AC103" i="11"/>
  <c r="AC103" i="10"/>
  <c r="AC103" i="9"/>
  <c r="U103" i="11"/>
  <c r="U103" i="10"/>
  <c r="U103" i="9"/>
  <c r="M103" i="11"/>
  <c r="M103" i="10"/>
  <c r="M103" i="9"/>
  <c r="E103" i="11"/>
  <c r="E103" i="10"/>
  <c r="E103" i="9"/>
  <c r="Y102" i="11"/>
  <c r="Y102" i="10"/>
  <c r="Y102" i="9"/>
  <c r="Q102" i="11"/>
  <c r="Q102" i="10"/>
  <c r="Q102" i="9"/>
  <c r="I102" i="11"/>
  <c r="I102" i="10"/>
  <c r="I102" i="9"/>
  <c r="A102" i="11"/>
  <c r="A102" i="10"/>
  <c r="A102" i="9"/>
  <c r="AC101" i="11"/>
  <c r="AC101" i="10"/>
  <c r="AC101" i="9"/>
  <c r="U101" i="11"/>
  <c r="U101" i="10"/>
  <c r="U101" i="9"/>
  <c r="M101" i="11"/>
  <c r="M101" i="10"/>
  <c r="M101" i="9"/>
  <c r="E101" i="11"/>
  <c r="E101" i="10"/>
  <c r="E101" i="9"/>
  <c r="AG100" i="9"/>
  <c r="AG100" i="10"/>
  <c r="Y100" i="11"/>
  <c r="Y100" i="10"/>
  <c r="Y100" i="9"/>
  <c r="Q100" i="11"/>
  <c r="Q100" i="10"/>
  <c r="Q100" i="9"/>
  <c r="I100" i="11"/>
  <c r="I100" i="10"/>
  <c r="I100" i="9"/>
  <c r="A100" i="11"/>
  <c r="A100" i="10"/>
  <c r="A100" i="9"/>
  <c r="AC99" i="11"/>
  <c r="AC99" i="10"/>
  <c r="AC99" i="9"/>
  <c r="U99" i="11"/>
  <c r="U99" i="10"/>
  <c r="U99" i="9"/>
  <c r="M99" i="11"/>
  <c r="M99" i="10"/>
  <c r="M99" i="9"/>
  <c r="E99" i="11"/>
  <c r="E99" i="10"/>
  <c r="E99" i="9"/>
  <c r="AG98" i="11"/>
  <c r="AG98" i="10"/>
  <c r="Y98" i="11"/>
  <c r="Y98" i="10"/>
  <c r="Y98" i="9"/>
  <c r="Q98" i="11"/>
  <c r="Q98" i="10"/>
  <c r="Q98" i="9"/>
  <c r="I98" i="11"/>
  <c r="I98" i="10"/>
  <c r="I98" i="9"/>
  <c r="A98" i="11"/>
  <c r="A98" i="10"/>
  <c r="A98" i="9"/>
  <c r="AC97" i="11"/>
  <c r="AC97" i="10"/>
  <c r="AC97" i="9"/>
  <c r="U97" i="11"/>
  <c r="U97" i="10"/>
  <c r="U97" i="9"/>
  <c r="M97" i="11"/>
  <c r="M97" i="10"/>
  <c r="M97" i="9"/>
  <c r="E97" i="11"/>
  <c r="E97" i="10"/>
  <c r="E97" i="9"/>
  <c r="AG96" i="11"/>
  <c r="AG96" i="10"/>
  <c r="AG96" i="9"/>
  <c r="Y96" i="11"/>
  <c r="Y96" i="10"/>
  <c r="Y96" i="9"/>
  <c r="Q96" i="11"/>
  <c r="Q96" i="10"/>
  <c r="Q96" i="9"/>
  <c r="I96" i="11"/>
  <c r="I96" i="10"/>
  <c r="I96" i="9"/>
  <c r="A96" i="11"/>
  <c r="A96" i="10"/>
  <c r="A96" i="9"/>
  <c r="AC95" i="11"/>
  <c r="AC95" i="10"/>
  <c r="AC95" i="9"/>
  <c r="U95" i="11"/>
  <c r="U95" i="10"/>
  <c r="U95" i="9"/>
  <c r="M95" i="11"/>
  <c r="M95" i="10"/>
  <c r="M95" i="9"/>
  <c r="E95" i="11"/>
  <c r="E95" i="10"/>
  <c r="E95" i="9"/>
  <c r="AG94" i="11"/>
  <c r="AG94" i="10"/>
  <c r="AG94" i="9"/>
  <c r="Y94" i="11"/>
  <c r="Y94" i="10"/>
  <c r="Y94" i="9"/>
  <c r="Q94" i="11"/>
  <c r="Q94" i="10"/>
  <c r="Q94" i="9"/>
  <c r="I94" i="11"/>
  <c r="I94" i="10"/>
  <c r="I94" i="9"/>
  <c r="A94" i="11"/>
  <c r="A94" i="10"/>
  <c r="A94" i="9"/>
  <c r="AC93" i="11"/>
  <c r="AC93" i="10"/>
  <c r="AC93" i="9"/>
  <c r="U93" i="11"/>
  <c r="U93" i="10"/>
  <c r="U93" i="9"/>
  <c r="M93" i="11"/>
  <c r="M93" i="10"/>
  <c r="M93" i="9"/>
  <c r="E93" i="11"/>
  <c r="E93" i="10"/>
  <c r="E93" i="9"/>
  <c r="AG92" i="11"/>
  <c r="AG92" i="10"/>
  <c r="AG92" i="9"/>
  <c r="Y92" i="11"/>
  <c r="Y92" i="10"/>
  <c r="Y92" i="9"/>
  <c r="Q92" i="11"/>
  <c r="Q92" i="10"/>
  <c r="Q92" i="9"/>
  <c r="I92" i="11"/>
  <c r="I92" i="10"/>
  <c r="I92" i="9"/>
  <c r="A92" i="11"/>
  <c r="A92" i="10"/>
  <c r="A92" i="9"/>
  <c r="AC91" i="11"/>
  <c r="AC91" i="10"/>
  <c r="AC91" i="9"/>
  <c r="U91" i="11"/>
  <c r="U91" i="10"/>
  <c r="U91" i="9"/>
  <c r="M91" i="11"/>
  <c r="M91" i="10"/>
  <c r="M91" i="9"/>
  <c r="E91" i="11"/>
  <c r="E91" i="10"/>
  <c r="E91" i="9"/>
  <c r="Y90" i="11"/>
  <c r="Y90" i="10"/>
  <c r="Y90" i="9"/>
  <c r="Q90" i="11"/>
  <c r="Q90" i="10"/>
  <c r="Q90" i="9"/>
  <c r="I90" i="11"/>
  <c r="I90" i="10"/>
  <c r="I90" i="9"/>
  <c r="A90" i="11"/>
  <c r="A90" i="10"/>
  <c r="A90" i="9"/>
  <c r="AC89" i="11"/>
  <c r="AC89" i="10"/>
  <c r="AC89" i="9"/>
  <c r="U89" i="11"/>
  <c r="U89" i="10"/>
  <c r="U89" i="9"/>
  <c r="M89" i="11"/>
  <c r="M89" i="10"/>
  <c r="M89" i="9"/>
  <c r="E89" i="11"/>
  <c r="E89" i="10"/>
  <c r="E89" i="9"/>
  <c r="AG88" i="11"/>
  <c r="AG88" i="10"/>
  <c r="AG88" i="9"/>
  <c r="Y88" i="11"/>
  <c r="Y88" i="10"/>
  <c r="Y88" i="9"/>
  <c r="Q88" i="11"/>
  <c r="Q88" i="10"/>
  <c r="Q88" i="9"/>
  <c r="I88" i="11"/>
  <c r="I88" i="10"/>
  <c r="I88" i="9"/>
  <c r="A88" i="11"/>
  <c r="A88" i="10"/>
  <c r="A88" i="9"/>
  <c r="AC87" i="11"/>
  <c r="AC87" i="10"/>
  <c r="AC87" i="9"/>
  <c r="U87" i="11"/>
  <c r="U87" i="10"/>
  <c r="U87" i="9"/>
  <c r="M87" i="11"/>
  <c r="M87" i="10"/>
  <c r="M87" i="9"/>
  <c r="E87" i="11"/>
  <c r="E87" i="10"/>
  <c r="E87" i="9"/>
  <c r="Y86" i="11"/>
  <c r="Y86" i="10"/>
  <c r="Y86" i="9"/>
  <c r="Q86" i="11"/>
  <c r="Q86" i="10"/>
  <c r="Q86" i="9"/>
  <c r="I86" i="11"/>
  <c r="I86" i="10"/>
  <c r="I86" i="9"/>
  <c r="A86" i="11"/>
  <c r="A86" i="10"/>
  <c r="A86" i="9"/>
  <c r="AC85" i="11"/>
  <c r="AC85" i="10"/>
  <c r="AC85" i="9"/>
  <c r="U85" i="11"/>
  <c r="U85" i="10"/>
  <c r="U85" i="9"/>
  <c r="M85" i="11"/>
  <c r="M85" i="10"/>
  <c r="M85" i="9"/>
  <c r="E85" i="11"/>
  <c r="E85" i="10"/>
  <c r="E85" i="9"/>
  <c r="AG84" i="11"/>
  <c r="AG84" i="10"/>
  <c r="AG84" i="9"/>
  <c r="Y84" i="11"/>
  <c r="Y84" i="10"/>
  <c r="Y84" i="9"/>
  <c r="Q84" i="11"/>
  <c r="Q84" i="10"/>
  <c r="Q84" i="9"/>
  <c r="I84" i="11"/>
  <c r="I84" i="10"/>
  <c r="I84" i="9"/>
  <c r="A84" i="11"/>
  <c r="A84" i="10"/>
  <c r="A84" i="9"/>
  <c r="AC83" i="11"/>
  <c r="AC83" i="10"/>
  <c r="AC83" i="9"/>
  <c r="U83" i="11"/>
  <c r="U83" i="10"/>
  <c r="U83" i="9"/>
  <c r="M83" i="11"/>
  <c r="M83" i="10"/>
  <c r="M83" i="9"/>
  <c r="E83" i="11"/>
  <c r="E83" i="10"/>
  <c r="E83" i="9"/>
  <c r="AG82" i="11"/>
  <c r="AG82" i="10"/>
  <c r="AG82" i="9"/>
  <c r="Y82" i="11"/>
  <c r="Y82" i="10"/>
  <c r="Y82" i="9"/>
  <c r="Q82" i="11"/>
  <c r="Q82" i="10"/>
  <c r="Q82" i="9"/>
  <c r="I82" i="11"/>
  <c r="I82" i="10"/>
  <c r="I82" i="9"/>
  <c r="A82" i="11"/>
  <c r="A82" i="10"/>
  <c r="A82" i="9"/>
  <c r="AC81" i="11"/>
  <c r="AC81" i="10"/>
  <c r="AC81" i="9"/>
  <c r="U81" i="11"/>
  <c r="U81" i="10"/>
  <c r="U81" i="9"/>
  <c r="M81" i="11"/>
  <c r="M81" i="10"/>
  <c r="M81" i="9"/>
  <c r="E81" i="11"/>
  <c r="E81" i="10"/>
  <c r="E81" i="9"/>
  <c r="AG80" i="11"/>
  <c r="AG80" i="10"/>
  <c r="AG80" i="9"/>
  <c r="Y80" i="11"/>
  <c r="Y80" i="10"/>
  <c r="Y80" i="9"/>
  <c r="Q80" i="11"/>
  <c r="Q80" i="10"/>
  <c r="Q80" i="9"/>
  <c r="I80" i="11"/>
  <c r="I80" i="10"/>
  <c r="I80" i="9"/>
  <c r="A80" i="11"/>
  <c r="A80" i="10"/>
  <c r="A80" i="9"/>
  <c r="AC79" i="11"/>
  <c r="AC79" i="10"/>
  <c r="AC79" i="9"/>
  <c r="U79" i="11"/>
  <c r="U79" i="10"/>
  <c r="U79" i="9"/>
  <c r="M79" i="11"/>
  <c r="M79" i="10"/>
  <c r="M79" i="9"/>
  <c r="E79" i="11"/>
  <c r="E79" i="10"/>
  <c r="E79" i="9"/>
  <c r="Y78" i="11"/>
  <c r="Y78" i="10"/>
  <c r="Y78" i="9"/>
  <c r="Q78" i="11"/>
  <c r="Q78" i="10"/>
  <c r="Q78" i="9"/>
  <c r="I78" i="11"/>
  <c r="I78" i="10"/>
  <c r="I78" i="9"/>
  <c r="A78" i="11"/>
  <c r="A78" i="10"/>
  <c r="A78" i="9"/>
  <c r="AC77" i="11"/>
  <c r="AC77" i="10"/>
  <c r="AC77" i="9"/>
  <c r="U77" i="11"/>
  <c r="U77" i="10"/>
  <c r="U77" i="9"/>
  <c r="M77" i="11"/>
  <c r="M77" i="10"/>
  <c r="M77" i="9"/>
  <c r="E77" i="11"/>
  <c r="E77" i="10"/>
  <c r="E77" i="9"/>
  <c r="AG76" i="11"/>
  <c r="AG76" i="10"/>
  <c r="AG76" i="9"/>
  <c r="Y76" i="11"/>
  <c r="Y76" i="10"/>
  <c r="Y76" i="9"/>
  <c r="Q76" i="11"/>
  <c r="Q76" i="10"/>
  <c r="Q76" i="9"/>
  <c r="I76" i="11"/>
  <c r="I76" i="10"/>
  <c r="I76" i="9"/>
  <c r="A76" i="11"/>
  <c r="A76" i="10"/>
  <c r="A76" i="9"/>
  <c r="AC75" i="11"/>
  <c r="AC75" i="10"/>
  <c r="AC75" i="9"/>
  <c r="U75" i="11"/>
  <c r="U75" i="10"/>
  <c r="U75" i="9"/>
  <c r="M75" i="11"/>
  <c r="M75" i="10"/>
  <c r="M75" i="9"/>
  <c r="E75" i="11"/>
  <c r="E75" i="10"/>
  <c r="E75" i="9"/>
  <c r="AG74" i="11"/>
  <c r="AG74" i="10"/>
  <c r="AG74" i="9"/>
  <c r="Y74" i="11"/>
  <c r="Y74" i="10"/>
  <c r="Y74" i="9"/>
  <c r="Q74" i="11"/>
  <c r="Q74" i="10"/>
  <c r="Q74" i="9"/>
  <c r="I74" i="11"/>
  <c r="I74" i="10"/>
  <c r="I74" i="9"/>
  <c r="A74" i="11"/>
  <c r="A74" i="10"/>
  <c r="A74" i="9"/>
  <c r="AC73" i="11"/>
  <c r="AC73" i="10"/>
  <c r="AC73" i="9"/>
  <c r="U73" i="11"/>
  <c r="U73" i="10"/>
  <c r="U73" i="9"/>
  <c r="M73" i="11"/>
  <c r="M73" i="10"/>
  <c r="M73" i="9"/>
  <c r="E73" i="11"/>
  <c r="E73" i="10"/>
  <c r="E73" i="9"/>
  <c r="AG72" i="11"/>
  <c r="AG72" i="10"/>
  <c r="AG72" i="9"/>
  <c r="Y72" i="11"/>
  <c r="Y72" i="10"/>
  <c r="Y72" i="9"/>
  <c r="Q72" i="11"/>
  <c r="Q72" i="10"/>
  <c r="Q72" i="9"/>
  <c r="I72" i="11"/>
  <c r="I72" i="10"/>
  <c r="I72" i="9"/>
  <c r="A72" i="11"/>
  <c r="A72" i="10"/>
  <c r="A72" i="9"/>
  <c r="AC71" i="11"/>
  <c r="AC71" i="10"/>
  <c r="AC71" i="9"/>
  <c r="U71" i="11"/>
  <c r="U71" i="10"/>
  <c r="U71" i="9"/>
  <c r="M71" i="11"/>
  <c r="M71" i="10"/>
  <c r="M71" i="9"/>
  <c r="E71" i="11"/>
  <c r="E71" i="10"/>
  <c r="E71" i="9"/>
  <c r="AG70" i="11"/>
  <c r="AG70" i="10"/>
  <c r="AG70" i="9"/>
  <c r="Y70" i="11"/>
  <c r="Y70" i="10"/>
  <c r="Y70" i="9"/>
  <c r="Q70" i="11"/>
  <c r="Q70" i="10"/>
  <c r="Q70" i="9"/>
  <c r="I70" i="11"/>
  <c r="I70" i="10"/>
  <c r="I70" i="9"/>
  <c r="A70" i="11"/>
  <c r="A70" i="10"/>
  <c r="A70" i="9"/>
  <c r="AC69" i="11"/>
  <c r="AC69" i="10"/>
  <c r="AC69" i="9"/>
  <c r="U69" i="11"/>
  <c r="U69" i="10"/>
  <c r="U69" i="9"/>
  <c r="M69" i="11"/>
  <c r="M69" i="10"/>
  <c r="M69" i="9"/>
  <c r="E69" i="11"/>
  <c r="E69" i="10"/>
  <c r="E69" i="9"/>
  <c r="Y68" i="11"/>
  <c r="Y68" i="10"/>
  <c r="Y68" i="9"/>
  <c r="Q68" i="11"/>
  <c r="Q68" i="10"/>
  <c r="Q68" i="9"/>
  <c r="I68" i="11"/>
  <c r="I68" i="10"/>
  <c r="I68" i="9"/>
  <c r="A68" i="11"/>
  <c r="A68" i="10"/>
  <c r="A68" i="9"/>
  <c r="AC67" i="11"/>
  <c r="AC67" i="10"/>
  <c r="AC67" i="9"/>
  <c r="U67" i="11"/>
  <c r="U67" i="10"/>
  <c r="U67" i="9"/>
  <c r="M67" i="11"/>
  <c r="M67" i="10"/>
  <c r="M67" i="9"/>
  <c r="E67" i="11"/>
  <c r="E67" i="10"/>
  <c r="E67" i="9"/>
  <c r="AG66" i="11"/>
  <c r="AG66" i="10"/>
  <c r="AG66" i="9"/>
  <c r="Y66" i="11"/>
  <c r="Y66" i="10"/>
  <c r="Y66" i="9"/>
  <c r="Q66" i="11"/>
  <c r="Q66" i="10"/>
  <c r="Q66" i="9"/>
  <c r="I66" i="11"/>
  <c r="I66" i="10"/>
  <c r="I66" i="9"/>
  <c r="A66" i="11"/>
  <c r="A66" i="10"/>
  <c r="A66" i="9"/>
  <c r="AC65" i="11"/>
  <c r="AC65" i="10"/>
  <c r="AC65" i="9"/>
  <c r="U65" i="11"/>
  <c r="U65" i="10"/>
  <c r="U65" i="9"/>
  <c r="M65" i="11"/>
  <c r="M65" i="10"/>
  <c r="M65" i="9"/>
  <c r="E65" i="11"/>
  <c r="E65" i="10"/>
  <c r="E65" i="9"/>
  <c r="AG64" i="11"/>
  <c r="AG64" i="10"/>
  <c r="AG64" i="9"/>
  <c r="Y64" i="11"/>
  <c r="Y64" i="10"/>
  <c r="Y64" i="9"/>
  <c r="Q64" i="11"/>
  <c r="Q64" i="10"/>
  <c r="Q64" i="9"/>
  <c r="I64" i="11"/>
  <c r="I64" i="10"/>
  <c r="I64" i="9"/>
  <c r="A64" i="11"/>
  <c r="A64" i="10"/>
  <c r="A64" i="9"/>
  <c r="AC63" i="11"/>
  <c r="AC63" i="10"/>
  <c r="AC63" i="9"/>
  <c r="U63" i="11"/>
  <c r="U63" i="10"/>
  <c r="U63" i="9"/>
  <c r="M63" i="11"/>
  <c r="M63" i="10"/>
  <c r="M63" i="9"/>
  <c r="E63" i="11"/>
  <c r="E63" i="10"/>
  <c r="E63" i="9"/>
  <c r="AG62" i="11"/>
  <c r="AG62" i="10"/>
  <c r="AG62" i="9"/>
  <c r="Y62" i="11"/>
  <c r="Y62" i="10"/>
  <c r="Y62" i="9"/>
  <c r="Q62" i="11"/>
  <c r="Q62" i="10"/>
  <c r="Q62" i="9"/>
  <c r="I62" i="11"/>
  <c r="I62" i="10"/>
  <c r="I62" i="9"/>
  <c r="A62" i="11"/>
  <c r="A62" i="10"/>
  <c r="A62" i="9"/>
  <c r="AC61" i="11"/>
  <c r="AC61" i="10"/>
  <c r="AC61" i="9"/>
  <c r="U61" i="11"/>
  <c r="U61" i="10"/>
  <c r="U61" i="9"/>
  <c r="M61" i="11"/>
  <c r="M61" i="10"/>
  <c r="M61" i="9"/>
  <c r="E61" i="11"/>
  <c r="E61" i="10"/>
  <c r="E61" i="9"/>
  <c r="AG60" i="11"/>
  <c r="AG60" i="10"/>
  <c r="AG60" i="9"/>
  <c r="Y60" i="11"/>
  <c r="Y60" i="10"/>
  <c r="Y60" i="9"/>
  <c r="Q60" i="11"/>
  <c r="Q60" i="10"/>
  <c r="Q60" i="9"/>
  <c r="I60" i="11"/>
  <c r="I60" i="10"/>
  <c r="I60" i="9"/>
  <c r="A60" i="11"/>
  <c r="A60" i="10"/>
  <c r="A60" i="9"/>
  <c r="AC59" i="11"/>
  <c r="AC59" i="10"/>
  <c r="AC59" i="9"/>
  <c r="U59" i="11"/>
  <c r="U59" i="10"/>
  <c r="U59" i="9"/>
  <c r="M59" i="11"/>
  <c r="M59" i="10"/>
  <c r="M59" i="9"/>
  <c r="E59" i="11"/>
  <c r="E59" i="10"/>
  <c r="E59" i="9"/>
  <c r="AG58" i="10"/>
  <c r="AG58" i="11"/>
  <c r="Y58" i="11"/>
  <c r="Y58" i="10"/>
  <c r="Y58" i="9"/>
  <c r="Q58" i="11"/>
  <c r="Q58" i="10"/>
  <c r="Q58" i="9"/>
  <c r="I58" i="11"/>
  <c r="I58" i="10"/>
  <c r="I58" i="9"/>
  <c r="A58" i="11"/>
  <c r="A58" i="10"/>
  <c r="A58" i="9"/>
  <c r="AC57" i="11"/>
  <c r="AC57" i="10"/>
  <c r="AC57" i="9"/>
  <c r="U57" i="11"/>
  <c r="U57" i="10"/>
  <c r="U57" i="9"/>
  <c r="M57" i="11"/>
  <c r="M57" i="10"/>
  <c r="M57" i="9"/>
  <c r="E57" i="11"/>
  <c r="E57" i="10"/>
  <c r="E57" i="9"/>
  <c r="AG56" i="11"/>
  <c r="AG56" i="10"/>
  <c r="AG56" i="9"/>
  <c r="Y56" i="11"/>
  <c r="Y56" i="10"/>
  <c r="Y56" i="9"/>
  <c r="Q56" i="11"/>
  <c r="Q56" i="10"/>
  <c r="Q56" i="9"/>
  <c r="I56" i="11"/>
  <c r="I56" i="10"/>
  <c r="I56" i="9"/>
  <c r="A56" i="11"/>
  <c r="A56" i="10"/>
  <c r="A56" i="9"/>
  <c r="AC55" i="11"/>
  <c r="AC55" i="10"/>
  <c r="AC55" i="9"/>
  <c r="U55" i="11"/>
  <c r="U55" i="10"/>
  <c r="U55" i="9"/>
  <c r="M55" i="11"/>
  <c r="M55" i="10"/>
  <c r="M55" i="9"/>
  <c r="E55" i="11"/>
  <c r="E55" i="10"/>
  <c r="E55" i="9"/>
  <c r="AG54" i="11"/>
  <c r="AG54" i="10"/>
  <c r="AG54" i="9"/>
  <c r="Y54" i="11"/>
  <c r="Y54" i="10"/>
  <c r="Y54" i="9"/>
  <c r="P54" i="11"/>
  <c r="P54" i="10"/>
  <c r="P54" i="9"/>
  <c r="H54" i="11"/>
  <c r="H54" i="10"/>
  <c r="H54" i="9"/>
  <c r="AB53" i="11"/>
  <c r="AB53" i="10"/>
  <c r="AB53" i="9"/>
  <c r="T53" i="11"/>
  <c r="T53" i="10"/>
  <c r="T53" i="9"/>
  <c r="L53" i="11"/>
  <c r="L53" i="10"/>
  <c r="L53" i="9"/>
  <c r="D53" i="11"/>
  <c r="D53" i="10"/>
  <c r="D53" i="9"/>
  <c r="AF52" i="11"/>
  <c r="AF52" i="10"/>
  <c r="AF52" i="9"/>
  <c r="X52" i="11"/>
  <c r="X52" i="10"/>
  <c r="X52" i="9"/>
  <c r="P52" i="11"/>
  <c r="P52" i="10"/>
  <c r="P52" i="9"/>
  <c r="H52" i="11"/>
  <c r="H52" i="10"/>
  <c r="H52" i="9"/>
  <c r="AB51" i="11"/>
  <c r="AB51" i="10"/>
  <c r="AB51" i="9"/>
  <c r="T51" i="11"/>
  <c r="T51" i="10"/>
  <c r="T51" i="9"/>
  <c r="L51" i="11"/>
  <c r="L51" i="10"/>
  <c r="L51" i="9"/>
  <c r="D51" i="11"/>
  <c r="D51" i="10"/>
  <c r="D51" i="9"/>
  <c r="AF50" i="11"/>
  <c r="AF50" i="10"/>
  <c r="AF50" i="9"/>
  <c r="X50" i="11"/>
  <c r="X50" i="10"/>
  <c r="X50" i="9"/>
  <c r="P50" i="11"/>
  <c r="P50" i="10"/>
  <c r="P50" i="9"/>
  <c r="H50" i="11"/>
  <c r="H50" i="10"/>
  <c r="H50" i="9"/>
  <c r="AB49" i="11"/>
  <c r="AB49" i="10"/>
  <c r="AB49" i="9"/>
  <c r="T49" i="11"/>
  <c r="T49" i="10"/>
  <c r="T49" i="9"/>
  <c r="L49" i="11"/>
  <c r="L49" i="10"/>
  <c r="L49" i="9"/>
  <c r="D49" i="11"/>
  <c r="D49" i="10"/>
  <c r="D49" i="9"/>
  <c r="AF48" i="11"/>
  <c r="AF48" i="10"/>
  <c r="AF48" i="9"/>
  <c r="X48" i="11"/>
  <c r="X48" i="10"/>
  <c r="X48" i="9"/>
  <c r="P48" i="11"/>
  <c r="P48" i="10"/>
  <c r="P48" i="9"/>
  <c r="H48" i="11"/>
  <c r="H48" i="10"/>
  <c r="H48" i="9"/>
  <c r="AB47" i="11"/>
  <c r="AB47" i="10"/>
  <c r="AB47" i="9"/>
  <c r="T47" i="11"/>
  <c r="T47" i="10"/>
  <c r="T47" i="9"/>
  <c r="L47" i="11"/>
  <c r="L47" i="10"/>
  <c r="L47" i="9"/>
  <c r="D47" i="11"/>
  <c r="D47" i="10"/>
  <c r="D47" i="9"/>
  <c r="AF46" i="11"/>
  <c r="AF46" i="10"/>
  <c r="AF46" i="9"/>
  <c r="X46" i="11"/>
  <c r="X46" i="10"/>
  <c r="X46" i="9"/>
  <c r="P46" i="11"/>
  <c r="P46" i="10"/>
  <c r="P46" i="9"/>
  <c r="H46" i="11"/>
  <c r="H46" i="10"/>
  <c r="H46" i="9"/>
  <c r="AB45" i="11"/>
  <c r="AB45" i="10"/>
  <c r="AB45" i="9"/>
  <c r="T45" i="11"/>
  <c r="T45" i="10"/>
  <c r="T45" i="9"/>
  <c r="L45" i="11"/>
  <c r="L45" i="10"/>
  <c r="L45" i="9"/>
  <c r="D45" i="11"/>
  <c r="D45" i="10"/>
  <c r="D45" i="9"/>
  <c r="AF44" i="11"/>
  <c r="AF44" i="10"/>
  <c r="AF44" i="9"/>
  <c r="X44" i="11"/>
  <c r="X44" i="10"/>
  <c r="X44" i="9"/>
  <c r="P44" i="11"/>
  <c r="P44" i="10"/>
  <c r="P44" i="9"/>
  <c r="H44" i="11"/>
  <c r="H44" i="10"/>
  <c r="H44" i="9"/>
  <c r="AB43" i="11"/>
  <c r="AB43" i="10"/>
  <c r="AB43" i="9"/>
  <c r="T43" i="11"/>
  <c r="T43" i="10"/>
  <c r="T43" i="9"/>
  <c r="L43" i="11"/>
  <c r="L43" i="10"/>
  <c r="L43" i="9"/>
  <c r="D43" i="11"/>
  <c r="D43" i="10"/>
  <c r="D43" i="9"/>
  <c r="AF42" i="11"/>
  <c r="AF42" i="10"/>
  <c r="AF42" i="9"/>
  <c r="X42" i="11"/>
  <c r="X42" i="10"/>
  <c r="X42" i="9"/>
  <c r="P42" i="11"/>
  <c r="P42" i="10"/>
  <c r="P42" i="9"/>
  <c r="H42" i="11"/>
  <c r="H42" i="10"/>
  <c r="H42" i="9"/>
  <c r="AB41" i="11"/>
  <c r="AB41" i="10"/>
  <c r="AB41" i="9"/>
  <c r="T41" i="11"/>
  <c r="T41" i="10"/>
  <c r="T41" i="9"/>
  <c r="L41" i="11"/>
  <c r="L41" i="10"/>
  <c r="L41" i="9"/>
  <c r="D41" i="11"/>
  <c r="D41" i="10"/>
  <c r="D41" i="9"/>
  <c r="AF40" i="11"/>
  <c r="AF40" i="10"/>
  <c r="AF40" i="9"/>
  <c r="X40" i="11"/>
  <c r="X40" i="10"/>
  <c r="X40" i="9"/>
  <c r="P40" i="11"/>
  <c r="P40" i="10"/>
  <c r="P40" i="9"/>
  <c r="H40" i="11"/>
  <c r="H40" i="10"/>
  <c r="H40" i="9"/>
  <c r="AB39" i="11"/>
  <c r="AB39" i="10"/>
  <c r="AB39" i="9"/>
  <c r="T39" i="11"/>
  <c r="T39" i="10"/>
  <c r="T39" i="9"/>
  <c r="L39" i="11"/>
  <c r="L39" i="10"/>
  <c r="L39" i="9"/>
  <c r="D39" i="11"/>
  <c r="D39" i="10"/>
  <c r="D39" i="9"/>
  <c r="AF38" i="11"/>
  <c r="AF38" i="10"/>
  <c r="AF38" i="9"/>
  <c r="X38" i="11"/>
  <c r="X38" i="10"/>
  <c r="X38" i="9"/>
  <c r="P38" i="11"/>
  <c r="P38" i="10"/>
  <c r="P38" i="9"/>
  <c r="H38" i="11"/>
  <c r="H38" i="10"/>
  <c r="H38" i="9"/>
  <c r="AB37" i="11"/>
  <c r="AB37" i="10"/>
  <c r="AB37" i="9"/>
  <c r="T37" i="11"/>
  <c r="T37" i="10"/>
  <c r="T37" i="9"/>
  <c r="L37" i="11"/>
  <c r="L37" i="10"/>
  <c r="L37" i="9"/>
  <c r="D37" i="11"/>
  <c r="D37" i="10"/>
  <c r="D37" i="9"/>
  <c r="AF36" i="11"/>
  <c r="AF36" i="10"/>
  <c r="AF36" i="9"/>
  <c r="X36" i="11"/>
  <c r="X36" i="10"/>
  <c r="X36" i="9"/>
  <c r="P36" i="11"/>
  <c r="P36" i="10"/>
  <c r="P36" i="9"/>
  <c r="H36" i="11"/>
  <c r="H36" i="10"/>
  <c r="H36" i="9"/>
  <c r="AB35" i="11"/>
  <c r="AB35" i="10"/>
  <c r="AB35" i="9"/>
  <c r="T35" i="11"/>
  <c r="T35" i="10"/>
  <c r="T35" i="9"/>
  <c r="L35" i="11"/>
  <c r="L35" i="10"/>
  <c r="L35" i="9"/>
  <c r="D35" i="11"/>
  <c r="D35" i="10"/>
  <c r="D35" i="9"/>
  <c r="AF34" i="11"/>
  <c r="AF34" i="10"/>
  <c r="AF34" i="9"/>
  <c r="X34" i="11"/>
  <c r="X34" i="10"/>
  <c r="X34" i="9"/>
  <c r="P34" i="11"/>
  <c r="P34" i="10"/>
  <c r="P34" i="9"/>
  <c r="H34" i="11"/>
  <c r="H34" i="9"/>
  <c r="H34" i="10"/>
  <c r="AB33" i="11"/>
  <c r="AB33" i="10"/>
  <c r="AB33" i="9"/>
  <c r="T33" i="11"/>
  <c r="T33" i="10"/>
  <c r="T33" i="9"/>
  <c r="L33" i="11"/>
  <c r="L33" i="10"/>
  <c r="L33" i="9"/>
  <c r="D33" i="11"/>
  <c r="D33" i="10"/>
  <c r="D33" i="9"/>
  <c r="AF32" i="11"/>
  <c r="AF32" i="10"/>
  <c r="AF32" i="9"/>
  <c r="X32" i="11"/>
  <c r="X32" i="9"/>
  <c r="X32" i="10"/>
  <c r="P32" i="11"/>
  <c r="P32" i="10"/>
  <c r="P32" i="9"/>
  <c r="H32" i="11"/>
  <c r="H32" i="10"/>
  <c r="H32" i="9"/>
  <c r="AB31" i="11"/>
  <c r="AB31" i="10"/>
  <c r="AB31" i="9"/>
  <c r="T31" i="11"/>
  <c r="T31" i="10"/>
  <c r="T31" i="9"/>
  <c r="L31" i="11"/>
  <c r="L31" i="10"/>
  <c r="L31" i="9"/>
  <c r="D31" i="11"/>
  <c r="D31" i="10"/>
  <c r="D31" i="9"/>
  <c r="AF30" i="11"/>
  <c r="AF30" i="10"/>
  <c r="AF30" i="9"/>
  <c r="X30" i="11"/>
  <c r="X30" i="9"/>
  <c r="X30" i="10"/>
  <c r="P30" i="11"/>
  <c r="P30" i="9"/>
  <c r="P30" i="10"/>
  <c r="H30" i="11"/>
  <c r="H30" i="9"/>
  <c r="H30" i="10"/>
  <c r="AB29" i="11"/>
  <c r="AB29" i="9"/>
  <c r="AB29" i="10"/>
  <c r="T29" i="11"/>
  <c r="T29" i="9"/>
  <c r="T29" i="10"/>
  <c r="L29" i="11"/>
  <c r="L29" i="9"/>
  <c r="L29" i="10"/>
  <c r="D29" i="11"/>
  <c r="D29" i="9"/>
  <c r="D29" i="10"/>
  <c r="AF28" i="11"/>
  <c r="AF28" i="9"/>
  <c r="AF28" i="10"/>
  <c r="X28" i="11"/>
  <c r="X28" i="10"/>
  <c r="X28" i="9"/>
  <c r="P28" i="11"/>
  <c r="P28" i="10"/>
  <c r="P28" i="9"/>
  <c r="H28" i="11"/>
  <c r="H28" i="10"/>
  <c r="H28" i="9"/>
  <c r="AB27" i="11"/>
  <c r="AB27" i="10"/>
  <c r="AB27" i="9"/>
  <c r="T27" i="11"/>
  <c r="T27" i="10"/>
  <c r="T27" i="9"/>
  <c r="L27" i="11"/>
  <c r="L27" i="10"/>
  <c r="L27" i="9"/>
  <c r="D27" i="11"/>
  <c r="D27" i="10"/>
  <c r="D27" i="9"/>
  <c r="AF26" i="11"/>
  <c r="AF26" i="10"/>
  <c r="AF26" i="9"/>
  <c r="X26" i="11"/>
  <c r="X26" i="10"/>
  <c r="X26" i="9"/>
  <c r="P26" i="11"/>
  <c r="P26" i="10"/>
  <c r="P26" i="9"/>
  <c r="H26" i="11"/>
  <c r="H26" i="10"/>
  <c r="H26" i="9"/>
  <c r="AB25" i="11"/>
  <c r="AB25" i="9"/>
  <c r="AB25" i="10"/>
  <c r="T25" i="11"/>
  <c r="T25" i="9"/>
  <c r="T25" i="10"/>
  <c r="L25" i="11"/>
  <c r="L25" i="9"/>
  <c r="L25" i="10"/>
  <c r="D25" i="11"/>
  <c r="D25" i="9"/>
  <c r="D25" i="10"/>
  <c r="AF24" i="11"/>
  <c r="AF24" i="9"/>
  <c r="AF24" i="10"/>
  <c r="X24" i="11"/>
  <c r="X24" i="10"/>
  <c r="X24" i="9"/>
  <c r="P24" i="11"/>
  <c r="P24" i="10"/>
  <c r="P24" i="9"/>
  <c r="H24" i="11"/>
  <c r="H24" i="10"/>
  <c r="H24" i="9"/>
  <c r="AB23" i="11"/>
  <c r="AB23" i="9"/>
  <c r="AB23" i="10"/>
  <c r="T23" i="11"/>
  <c r="T23" i="9"/>
  <c r="T23" i="10"/>
  <c r="L23" i="11"/>
  <c r="L23" i="9"/>
  <c r="L23" i="10"/>
  <c r="D23" i="11"/>
  <c r="D23" i="9"/>
  <c r="D23" i="10"/>
  <c r="AF22" i="11"/>
  <c r="AF22" i="9"/>
  <c r="AF22" i="10"/>
  <c r="X22" i="11"/>
  <c r="X22" i="9"/>
  <c r="X22" i="10"/>
  <c r="P22" i="11"/>
  <c r="P22" i="9"/>
  <c r="P22" i="10"/>
  <c r="H22" i="11"/>
  <c r="H22" i="9"/>
  <c r="H22" i="10"/>
  <c r="AB21" i="11"/>
  <c r="AB21" i="10"/>
  <c r="AB21" i="9"/>
  <c r="T21" i="11"/>
  <c r="T21" i="10"/>
  <c r="T21" i="9"/>
  <c r="L21" i="11"/>
  <c r="L21" i="10"/>
  <c r="L21" i="9"/>
  <c r="D21" i="11"/>
  <c r="D21" i="10"/>
  <c r="D21" i="9"/>
  <c r="AF20" i="11"/>
  <c r="AF20" i="10"/>
  <c r="AF20" i="9"/>
  <c r="X20" i="11"/>
  <c r="X20" i="10"/>
  <c r="X20" i="9"/>
  <c r="P20" i="11"/>
  <c r="P20" i="10"/>
  <c r="P20" i="9"/>
  <c r="H20" i="11"/>
  <c r="H20" i="10"/>
  <c r="H20" i="9"/>
  <c r="AB19" i="11"/>
  <c r="AB19" i="10"/>
  <c r="AB19" i="9"/>
  <c r="T19" i="11"/>
  <c r="T19" i="10"/>
  <c r="T19" i="9"/>
  <c r="L19" i="11"/>
  <c r="L19" i="10"/>
  <c r="L19" i="9"/>
  <c r="D19" i="11"/>
  <c r="D19" i="10"/>
  <c r="D19" i="9"/>
  <c r="AF18" i="11"/>
  <c r="AF18" i="10"/>
  <c r="AF18" i="9"/>
  <c r="X18" i="11"/>
  <c r="X18" i="9"/>
  <c r="X18" i="10"/>
  <c r="P18" i="11"/>
  <c r="P18" i="9"/>
  <c r="P18" i="10"/>
  <c r="H18" i="11"/>
  <c r="H18" i="9"/>
  <c r="H18" i="10"/>
  <c r="AB17" i="11"/>
  <c r="AB17" i="10"/>
  <c r="AB17" i="9"/>
  <c r="T17" i="11"/>
  <c r="T17" i="10"/>
  <c r="T17" i="9"/>
  <c r="L17" i="11"/>
  <c r="L17" i="10"/>
  <c r="L17" i="9"/>
  <c r="D17" i="11"/>
  <c r="D17" i="10"/>
  <c r="D17" i="9"/>
  <c r="X16" i="11"/>
  <c r="X16" i="10"/>
  <c r="X16" i="9"/>
  <c r="P16" i="11"/>
  <c r="P16" i="10"/>
  <c r="P16" i="9"/>
  <c r="H16" i="11"/>
  <c r="H16" i="10"/>
  <c r="H16" i="9"/>
  <c r="AB15" i="11"/>
  <c r="AB15" i="10"/>
  <c r="AB15" i="9"/>
  <c r="T15" i="11"/>
  <c r="T15" i="10"/>
  <c r="T15" i="9"/>
  <c r="L15" i="11"/>
  <c r="L15" i="10"/>
  <c r="L15" i="9"/>
  <c r="D15" i="11"/>
  <c r="D15" i="10"/>
  <c r="D15" i="9"/>
  <c r="AF14" i="11"/>
  <c r="AF14" i="10"/>
  <c r="AF14" i="9"/>
  <c r="X14" i="11"/>
  <c r="X14" i="9"/>
  <c r="X14" i="10"/>
  <c r="P14" i="11"/>
  <c r="P14" i="9"/>
  <c r="P14" i="10"/>
  <c r="H14" i="11"/>
  <c r="H14" i="9"/>
  <c r="H14" i="10"/>
  <c r="AB13" i="11"/>
  <c r="AB13" i="10"/>
  <c r="AB13" i="9"/>
  <c r="T13" i="11"/>
  <c r="T13" i="10"/>
  <c r="T13" i="9"/>
  <c r="L13" i="11"/>
  <c r="L13" i="10"/>
  <c r="L13" i="9"/>
  <c r="D13" i="11"/>
  <c r="D13" i="10"/>
  <c r="D13" i="9"/>
  <c r="X12" i="11"/>
  <c r="X12" i="9"/>
  <c r="X12" i="10"/>
  <c r="P12" i="11"/>
  <c r="P12" i="9"/>
  <c r="P12" i="10"/>
  <c r="H12" i="11"/>
  <c r="H12" i="9"/>
  <c r="H12" i="10"/>
  <c r="AB11" i="11"/>
  <c r="AB11" i="9"/>
  <c r="AB11" i="10"/>
  <c r="T11" i="11"/>
  <c r="T11" i="9"/>
  <c r="T11" i="10"/>
  <c r="L11" i="11"/>
  <c r="L11" i="9"/>
  <c r="L11" i="10"/>
  <c r="D11" i="11"/>
  <c r="D11" i="9"/>
  <c r="D11" i="10"/>
  <c r="AF10" i="11"/>
  <c r="AF10" i="9"/>
  <c r="AF10" i="10"/>
  <c r="X10" i="11"/>
  <c r="X10" i="10"/>
  <c r="X10" i="9"/>
  <c r="P10" i="11"/>
  <c r="P10" i="10"/>
  <c r="P10" i="9"/>
  <c r="H10" i="11"/>
  <c r="H10" i="10"/>
  <c r="H10" i="9"/>
  <c r="AB9" i="11"/>
  <c r="AB9" i="10"/>
  <c r="AB9" i="9"/>
  <c r="T9" i="11"/>
  <c r="T9" i="10"/>
  <c r="T9" i="9"/>
  <c r="L9" i="11"/>
  <c r="L9" i="10"/>
  <c r="L9" i="9"/>
  <c r="D9" i="11"/>
  <c r="D9" i="10"/>
  <c r="D9" i="9"/>
  <c r="AF8" i="11"/>
  <c r="AF8" i="9"/>
  <c r="AF8" i="10"/>
  <c r="X8" i="11"/>
  <c r="X8" i="9"/>
  <c r="X8" i="10"/>
  <c r="P8" i="11"/>
  <c r="P8" i="9"/>
  <c r="P8" i="10"/>
  <c r="H8" i="11"/>
  <c r="H8" i="9"/>
  <c r="H8" i="10"/>
  <c r="AB7" i="11"/>
  <c r="AB7" i="10"/>
  <c r="AB7" i="9"/>
  <c r="T7" i="11"/>
  <c r="T7" i="10"/>
  <c r="T7" i="9"/>
  <c r="L7" i="11"/>
  <c r="L7" i="10"/>
  <c r="L7" i="9"/>
  <c r="D7" i="11"/>
  <c r="D7" i="10"/>
  <c r="D7" i="9"/>
  <c r="X6" i="11"/>
  <c r="X6" i="9"/>
  <c r="X6" i="10"/>
  <c r="P6" i="11"/>
  <c r="P6" i="9"/>
  <c r="P6" i="10"/>
  <c r="H6" i="11"/>
  <c r="H6" i="9"/>
  <c r="H6" i="10"/>
  <c r="AB5" i="11"/>
  <c r="AB5" i="10"/>
  <c r="AB5" i="9"/>
  <c r="T5" i="11"/>
  <c r="T5" i="10"/>
  <c r="T5" i="9"/>
  <c r="L5" i="11"/>
  <c r="L5" i="10"/>
  <c r="L5" i="9"/>
  <c r="D5" i="11"/>
  <c r="D5" i="10"/>
  <c r="D5" i="9"/>
  <c r="AF4" i="11"/>
  <c r="AF4" i="10"/>
  <c r="AF4" i="9"/>
  <c r="X4" i="11"/>
  <c r="X4" i="9"/>
  <c r="X4" i="10"/>
  <c r="P4" i="11"/>
  <c r="P4" i="9"/>
  <c r="P4" i="10"/>
  <c r="H4" i="11"/>
  <c r="H4" i="9"/>
  <c r="H4" i="10"/>
  <c r="AB3" i="11"/>
  <c r="AB3" i="9"/>
  <c r="AB3" i="10"/>
  <c r="T3" i="11"/>
  <c r="T3" i="9"/>
  <c r="T3" i="10"/>
  <c r="L3" i="11"/>
  <c r="L3" i="9"/>
  <c r="L3" i="10"/>
  <c r="D3" i="11"/>
  <c r="D3" i="9"/>
  <c r="D3" i="10"/>
  <c r="A2" i="11"/>
  <c r="A2" i="10"/>
  <c r="A2" i="9"/>
  <c r="X164" i="11"/>
  <c r="X164" i="10"/>
  <c r="X164" i="9"/>
  <c r="P164" i="11"/>
  <c r="P164" i="10"/>
  <c r="P164" i="9"/>
  <c r="H164" i="11"/>
  <c r="H164" i="10"/>
  <c r="H164" i="9"/>
  <c r="AB163" i="11"/>
  <c r="AB163" i="10"/>
  <c r="AB163" i="9"/>
  <c r="T163" i="11"/>
  <c r="T163" i="10"/>
  <c r="T163" i="9"/>
  <c r="L163" i="11"/>
  <c r="L163" i="10"/>
  <c r="L163" i="9"/>
  <c r="D163" i="11"/>
  <c r="D163" i="10"/>
  <c r="D163" i="9"/>
  <c r="AF162" i="11"/>
  <c r="AF162" i="10"/>
  <c r="AF162" i="9"/>
  <c r="X162" i="11"/>
  <c r="X162" i="10"/>
  <c r="X162" i="9"/>
  <c r="P162" i="11"/>
  <c r="P162" i="10"/>
  <c r="P162" i="9"/>
  <c r="H162" i="11"/>
  <c r="H162" i="10"/>
  <c r="H162" i="9"/>
  <c r="AB161" i="11"/>
  <c r="AB161" i="10"/>
  <c r="AB161" i="9"/>
  <c r="T161" i="11"/>
  <c r="T161" i="10"/>
  <c r="T161" i="9"/>
  <c r="L161" i="11"/>
  <c r="L161" i="10"/>
  <c r="L161" i="9"/>
  <c r="D161" i="11"/>
  <c r="D161" i="10"/>
  <c r="D161" i="9"/>
  <c r="AF160" i="11"/>
  <c r="AF160" i="10"/>
  <c r="AF160" i="9"/>
  <c r="X160" i="11"/>
  <c r="X160" i="10"/>
  <c r="X160" i="9"/>
  <c r="P160" i="11"/>
  <c r="P160" i="10"/>
  <c r="P160" i="9"/>
  <c r="H160" i="11"/>
  <c r="H160" i="10"/>
  <c r="H160" i="9"/>
  <c r="AB159" i="11"/>
  <c r="AB159" i="10"/>
  <c r="AB159" i="9"/>
  <c r="T159" i="11"/>
  <c r="T159" i="10"/>
  <c r="T159" i="9"/>
  <c r="L159" i="11"/>
  <c r="L159" i="10"/>
  <c r="L159" i="9"/>
  <c r="D159" i="11"/>
  <c r="D159" i="10"/>
  <c r="D159" i="9"/>
  <c r="AF158" i="11"/>
  <c r="AF158" i="10"/>
  <c r="AF158" i="9"/>
  <c r="X158" i="11"/>
  <c r="X158" i="10"/>
  <c r="X158" i="9"/>
  <c r="P158" i="11"/>
  <c r="P158" i="10"/>
  <c r="P158" i="9"/>
  <c r="H158" i="11"/>
  <c r="H158" i="10"/>
  <c r="H158" i="9"/>
  <c r="AB157" i="11"/>
  <c r="AB157" i="10"/>
  <c r="AB157" i="9"/>
  <c r="T157" i="11"/>
  <c r="T157" i="10"/>
  <c r="T157" i="9"/>
  <c r="L157" i="11"/>
  <c r="L157" i="10"/>
  <c r="L157" i="9"/>
  <c r="D157" i="11"/>
  <c r="D157" i="10"/>
  <c r="D157" i="9"/>
  <c r="AF156" i="11"/>
  <c r="AF156" i="10"/>
  <c r="AF156" i="9"/>
  <c r="X156" i="11"/>
  <c r="X156" i="10"/>
  <c r="X156" i="9"/>
  <c r="P156" i="11"/>
  <c r="P156" i="10"/>
  <c r="P156" i="9"/>
  <c r="H156" i="11"/>
  <c r="H156" i="10"/>
  <c r="H156" i="9"/>
  <c r="AB155" i="11"/>
  <c r="AB155" i="10"/>
  <c r="AB155" i="9"/>
  <c r="T155" i="11"/>
  <c r="T155" i="10"/>
  <c r="T155" i="9"/>
  <c r="L155" i="11"/>
  <c r="L155" i="10"/>
  <c r="L155" i="9"/>
  <c r="D155" i="11"/>
  <c r="D155" i="10"/>
  <c r="D155" i="9"/>
  <c r="AF154" i="11"/>
  <c r="AF154" i="10"/>
  <c r="AF154" i="9"/>
  <c r="X154" i="11"/>
  <c r="X154" i="10"/>
  <c r="X154" i="9"/>
  <c r="P154" i="11"/>
  <c r="P154" i="10"/>
  <c r="P154" i="9"/>
  <c r="H154" i="11"/>
  <c r="H154" i="10"/>
  <c r="H154" i="9"/>
  <c r="AB153" i="11"/>
  <c r="AB153" i="10"/>
  <c r="AB153" i="9"/>
  <c r="T153" i="11"/>
  <c r="T153" i="10"/>
  <c r="T153" i="9"/>
  <c r="L153" i="11"/>
  <c r="L153" i="10"/>
  <c r="L153" i="9"/>
  <c r="D153" i="11"/>
  <c r="D153" i="10"/>
  <c r="D153" i="9"/>
  <c r="AF152" i="11"/>
  <c r="AF152" i="10"/>
  <c r="AF152" i="9"/>
  <c r="X152" i="11"/>
  <c r="X152" i="10"/>
  <c r="X152" i="9"/>
  <c r="P152" i="11"/>
  <c r="P152" i="10"/>
  <c r="P152" i="9"/>
  <c r="H152" i="11"/>
  <c r="H152" i="10"/>
  <c r="H152" i="9"/>
  <c r="AB151" i="11"/>
  <c r="AB151" i="10"/>
  <c r="AB151" i="9"/>
  <c r="T151" i="11"/>
  <c r="T151" i="10"/>
  <c r="T151" i="9"/>
  <c r="L151" i="11"/>
  <c r="L151" i="10"/>
  <c r="L151" i="9"/>
  <c r="D151" i="11"/>
  <c r="D151" i="10"/>
  <c r="D151" i="9"/>
  <c r="AF150" i="11"/>
  <c r="AF150" i="10"/>
  <c r="AF150" i="9"/>
  <c r="X150" i="11"/>
  <c r="X150" i="10"/>
  <c r="X150" i="9"/>
  <c r="P150" i="11"/>
  <c r="P150" i="10"/>
  <c r="P150" i="9"/>
  <c r="H150" i="11"/>
  <c r="H150" i="10"/>
  <c r="H150" i="9"/>
  <c r="AB149" i="11"/>
  <c r="AB149" i="10"/>
  <c r="AB149" i="9"/>
  <c r="T149" i="11"/>
  <c r="T149" i="10"/>
  <c r="T149" i="9"/>
  <c r="L149" i="11"/>
  <c r="L149" i="10"/>
  <c r="L149" i="9"/>
  <c r="D149" i="11"/>
  <c r="D149" i="10"/>
  <c r="D149" i="9"/>
  <c r="X148" i="11"/>
  <c r="X148" i="10"/>
  <c r="X148" i="9"/>
  <c r="P148" i="11"/>
  <c r="P148" i="10"/>
  <c r="P148" i="9"/>
  <c r="H148" i="11"/>
  <c r="H148" i="10"/>
  <c r="H148" i="9"/>
  <c r="AB147" i="11"/>
  <c r="AB147" i="10"/>
  <c r="AB147" i="9"/>
  <c r="T147" i="11"/>
  <c r="T147" i="10"/>
  <c r="T147" i="9"/>
  <c r="L147" i="11"/>
  <c r="L147" i="10"/>
  <c r="L147" i="9"/>
  <c r="D147" i="11"/>
  <c r="D147" i="10"/>
  <c r="D147" i="9"/>
  <c r="AF146" i="11"/>
  <c r="AF146" i="10"/>
  <c r="AF146" i="9"/>
  <c r="X146" i="11"/>
  <c r="X146" i="10"/>
  <c r="X146" i="9"/>
  <c r="P146" i="11"/>
  <c r="P146" i="10"/>
  <c r="P146" i="9"/>
  <c r="H146" i="11"/>
  <c r="H146" i="10"/>
  <c r="H146" i="9"/>
  <c r="AB145" i="11"/>
  <c r="AB145" i="10"/>
  <c r="AB145" i="9"/>
  <c r="T145" i="11"/>
  <c r="T145" i="10"/>
  <c r="T145" i="9"/>
  <c r="L145" i="11"/>
  <c r="L145" i="10"/>
  <c r="L145" i="9"/>
  <c r="D145" i="11"/>
  <c r="D145" i="10"/>
  <c r="D145" i="9"/>
  <c r="AF144" i="11"/>
  <c r="AF144" i="10"/>
  <c r="AF144" i="9"/>
  <c r="X144" i="11"/>
  <c r="X144" i="10"/>
  <c r="X144" i="9"/>
  <c r="P144" i="11"/>
  <c r="P144" i="10"/>
  <c r="P144" i="9"/>
  <c r="H144" i="11"/>
  <c r="H144" i="10"/>
  <c r="H144" i="9"/>
  <c r="AB143" i="11"/>
  <c r="AB143" i="10"/>
  <c r="AB143" i="9"/>
  <c r="T143" i="11"/>
  <c r="T143" i="10"/>
  <c r="T143" i="9"/>
  <c r="L143" i="11"/>
  <c r="L143" i="10"/>
  <c r="L143" i="9"/>
  <c r="D143" i="11"/>
  <c r="D143" i="10"/>
  <c r="D143" i="9"/>
  <c r="AF142" i="11"/>
  <c r="AF142" i="10"/>
  <c r="AF142" i="9"/>
  <c r="X142" i="11"/>
  <c r="X142" i="10"/>
  <c r="X142" i="9"/>
  <c r="P142" i="11"/>
  <c r="P142" i="10"/>
  <c r="P142" i="9"/>
  <c r="H142" i="11"/>
  <c r="H142" i="10"/>
  <c r="H142" i="9"/>
  <c r="AB141" i="11"/>
  <c r="AB141" i="10"/>
  <c r="AB141" i="9"/>
  <c r="T141" i="11"/>
  <c r="T141" i="10"/>
  <c r="T141" i="9"/>
  <c r="L141" i="11"/>
  <c r="L141" i="10"/>
  <c r="L141" i="9"/>
  <c r="D141" i="11"/>
  <c r="D141" i="10"/>
  <c r="D141" i="9"/>
  <c r="AF140" i="11"/>
  <c r="AF140" i="10"/>
  <c r="AF140" i="9"/>
  <c r="X140" i="11"/>
  <c r="X140" i="10"/>
  <c r="X140" i="9"/>
  <c r="P140" i="11"/>
  <c r="P140" i="10"/>
  <c r="P140" i="9"/>
  <c r="H140" i="11"/>
  <c r="H140" i="10"/>
  <c r="H140" i="9"/>
  <c r="AB139" i="11"/>
  <c r="AB139" i="10"/>
  <c r="AB139" i="9"/>
  <c r="T139" i="11"/>
  <c r="T139" i="10"/>
  <c r="T139" i="9"/>
  <c r="L139" i="11"/>
  <c r="L139" i="10"/>
  <c r="L139" i="9"/>
  <c r="D139" i="11"/>
  <c r="D139" i="10"/>
  <c r="D139" i="9"/>
  <c r="X138" i="11"/>
  <c r="X138" i="10"/>
  <c r="X138" i="9"/>
  <c r="P138" i="11"/>
  <c r="P138" i="10"/>
  <c r="P138" i="9"/>
  <c r="H138" i="11"/>
  <c r="H138" i="10"/>
  <c r="H138" i="9"/>
  <c r="AB137" i="11"/>
  <c r="AB137" i="10"/>
  <c r="AB137" i="9"/>
  <c r="T137" i="11"/>
  <c r="T137" i="10"/>
  <c r="T137" i="9"/>
  <c r="L137" i="11"/>
  <c r="L137" i="10"/>
  <c r="L137" i="9"/>
  <c r="D137" i="11"/>
  <c r="D137" i="10"/>
  <c r="D137" i="9"/>
  <c r="X136" i="11"/>
  <c r="X136" i="10"/>
  <c r="X136" i="9"/>
  <c r="P136" i="11"/>
  <c r="P136" i="10"/>
  <c r="P136" i="9"/>
  <c r="H136" i="11"/>
  <c r="H136" i="10"/>
  <c r="H136" i="9"/>
  <c r="AB135" i="11"/>
  <c r="AB135" i="10"/>
  <c r="AB135" i="9"/>
  <c r="T135" i="11"/>
  <c r="T135" i="10"/>
  <c r="T135" i="9"/>
  <c r="L135" i="11"/>
  <c r="L135" i="10"/>
  <c r="L135" i="9"/>
  <c r="D135" i="11"/>
  <c r="D135" i="10"/>
  <c r="D135" i="9"/>
  <c r="X134" i="11"/>
  <c r="X134" i="10"/>
  <c r="X134" i="9"/>
  <c r="P134" i="11"/>
  <c r="P134" i="10"/>
  <c r="P134" i="9"/>
  <c r="H134" i="11"/>
  <c r="H134" i="10"/>
  <c r="H134" i="9"/>
  <c r="AB133" i="11"/>
  <c r="AB133" i="10"/>
  <c r="AB133" i="9"/>
  <c r="T133" i="11"/>
  <c r="T133" i="10"/>
  <c r="T133" i="9"/>
  <c r="L133" i="11"/>
  <c r="L133" i="10"/>
  <c r="L133" i="9"/>
  <c r="D133" i="11"/>
  <c r="D133" i="10"/>
  <c r="D133" i="9"/>
  <c r="AF132" i="11"/>
  <c r="AF132" i="10"/>
  <c r="AF132" i="9"/>
  <c r="X132" i="11"/>
  <c r="X132" i="10"/>
  <c r="X132" i="9"/>
  <c r="P132" i="11"/>
  <c r="P132" i="10"/>
  <c r="P132" i="9"/>
  <c r="H132" i="11"/>
  <c r="H132" i="10"/>
  <c r="H132" i="9"/>
  <c r="AB131" i="11"/>
  <c r="AB131" i="10"/>
  <c r="AB131" i="9"/>
  <c r="T131" i="11"/>
  <c r="T131" i="10"/>
  <c r="T131" i="9"/>
  <c r="L131" i="11"/>
  <c r="L131" i="10"/>
  <c r="L131" i="9"/>
  <c r="D131" i="11"/>
  <c r="D131" i="10"/>
  <c r="D131" i="9"/>
  <c r="AF130" i="11"/>
  <c r="AF130" i="10"/>
  <c r="AF130" i="9"/>
  <c r="X130" i="11"/>
  <c r="X130" i="10"/>
  <c r="X130" i="9"/>
  <c r="P130" i="11"/>
  <c r="P130" i="10"/>
  <c r="P130" i="9"/>
  <c r="H130" i="11"/>
  <c r="H130" i="10"/>
  <c r="H130" i="9"/>
  <c r="AB129" i="11"/>
  <c r="AB129" i="10"/>
  <c r="AB129" i="9"/>
  <c r="T129" i="11"/>
  <c r="T129" i="10"/>
  <c r="T129" i="9"/>
  <c r="L129" i="11"/>
  <c r="L129" i="10"/>
  <c r="L129" i="9"/>
  <c r="D129" i="11"/>
  <c r="D129" i="10"/>
  <c r="D129" i="9"/>
  <c r="X128" i="11"/>
  <c r="X128" i="10"/>
  <c r="X128" i="9"/>
  <c r="P128" i="11"/>
  <c r="P128" i="10"/>
  <c r="P128" i="9"/>
  <c r="H128" i="11"/>
  <c r="H128" i="10"/>
  <c r="H128" i="9"/>
  <c r="AB127" i="11"/>
  <c r="AB127" i="10"/>
  <c r="AB127" i="9"/>
  <c r="T127" i="11"/>
  <c r="T127" i="10"/>
  <c r="T127" i="9"/>
  <c r="L127" i="11"/>
  <c r="L127" i="10"/>
  <c r="L127" i="9"/>
  <c r="D127" i="11"/>
  <c r="D127" i="10"/>
  <c r="D127" i="9"/>
  <c r="AF126" i="11"/>
  <c r="AF126" i="10"/>
  <c r="AF126" i="9"/>
  <c r="X126" i="11"/>
  <c r="X126" i="10"/>
  <c r="X126" i="9"/>
  <c r="P126" i="11"/>
  <c r="P126" i="10"/>
  <c r="P126" i="9"/>
  <c r="H126" i="11"/>
  <c r="H126" i="10"/>
  <c r="H126" i="9"/>
  <c r="AB125" i="11"/>
  <c r="AB125" i="10"/>
  <c r="AB125" i="9"/>
  <c r="T125" i="11"/>
  <c r="T125" i="10"/>
  <c r="T125" i="9"/>
  <c r="L125" i="11"/>
  <c r="L125" i="10"/>
  <c r="L125" i="9"/>
  <c r="D125" i="11"/>
  <c r="D125" i="10"/>
  <c r="D125" i="9"/>
  <c r="AF124" i="11"/>
  <c r="AF124" i="10"/>
  <c r="AF124" i="9"/>
  <c r="X124" i="11"/>
  <c r="X124" i="10"/>
  <c r="X124" i="9"/>
  <c r="P124" i="11"/>
  <c r="P124" i="10"/>
  <c r="P124" i="9"/>
  <c r="H124" i="11"/>
  <c r="H124" i="10"/>
  <c r="H124" i="9"/>
  <c r="AB123" i="11"/>
  <c r="AB123" i="10"/>
  <c r="AB123" i="9"/>
  <c r="T123" i="11"/>
  <c r="T123" i="10"/>
  <c r="T123" i="9"/>
  <c r="L123" i="11"/>
  <c r="L123" i="10"/>
  <c r="L123" i="9"/>
  <c r="D123" i="11"/>
  <c r="D123" i="10"/>
  <c r="D123" i="9"/>
  <c r="AF122" i="11"/>
  <c r="AF122" i="10"/>
  <c r="AF122" i="9"/>
  <c r="X122" i="11"/>
  <c r="X122" i="10"/>
  <c r="X122" i="9"/>
  <c r="P122" i="11"/>
  <c r="P122" i="10"/>
  <c r="P122" i="9"/>
  <c r="H122" i="11"/>
  <c r="H122" i="10"/>
  <c r="H122" i="9"/>
  <c r="AB121" i="11"/>
  <c r="AB121" i="10"/>
  <c r="AB121" i="9"/>
  <c r="T121" i="11"/>
  <c r="T121" i="10"/>
  <c r="T121" i="9"/>
  <c r="L121" i="11"/>
  <c r="L121" i="10"/>
  <c r="L121" i="9"/>
  <c r="D121" i="11"/>
  <c r="D121" i="10"/>
  <c r="D121" i="9"/>
  <c r="X120" i="11"/>
  <c r="X120" i="10"/>
  <c r="X120" i="9"/>
  <c r="P120" i="11"/>
  <c r="P120" i="10"/>
  <c r="P120" i="9"/>
  <c r="H120" i="11"/>
  <c r="H120" i="10"/>
  <c r="H120" i="9"/>
  <c r="AB119" i="11"/>
  <c r="AB119" i="10"/>
  <c r="AB119" i="9"/>
  <c r="T119" i="11"/>
  <c r="T119" i="10"/>
  <c r="T119" i="9"/>
  <c r="L119" i="11"/>
  <c r="L119" i="10"/>
  <c r="L119" i="9"/>
  <c r="D119" i="11"/>
  <c r="D119" i="10"/>
  <c r="D119" i="9"/>
  <c r="X118" i="11"/>
  <c r="X118" i="10"/>
  <c r="X118" i="9"/>
  <c r="P118" i="11"/>
  <c r="P118" i="10"/>
  <c r="P118" i="9"/>
  <c r="H118" i="11"/>
  <c r="H118" i="10"/>
  <c r="H118" i="9"/>
  <c r="AB117" i="11"/>
  <c r="AB117" i="10"/>
  <c r="AB117" i="9"/>
  <c r="T117" i="11"/>
  <c r="T117" i="10"/>
  <c r="T117" i="9"/>
  <c r="L117" i="11"/>
  <c r="L117" i="10"/>
  <c r="L117" i="9"/>
  <c r="D117" i="11"/>
  <c r="D117" i="10"/>
  <c r="D117" i="9"/>
  <c r="AF116" i="11"/>
  <c r="AF116" i="10"/>
  <c r="AF116" i="9"/>
  <c r="X116" i="11"/>
  <c r="X116" i="10"/>
  <c r="X116" i="9"/>
  <c r="P116" i="11"/>
  <c r="P116" i="10"/>
  <c r="P116" i="9"/>
  <c r="H116" i="11"/>
  <c r="H116" i="10"/>
  <c r="H116" i="9"/>
  <c r="AB115" i="11"/>
  <c r="AB115" i="10"/>
  <c r="AB115" i="9"/>
  <c r="T115" i="11"/>
  <c r="T115" i="10"/>
  <c r="T115" i="9"/>
  <c r="L115" i="11"/>
  <c r="L115" i="10"/>
  <c r="L115" i="9"/>
  <c r="D115" i="11"/>
  <c r="D115" i="10"/>
  <c r="D115" i="9"/>
  <c r="X114" i="11"/>
  <c r="X114" i="10"/>
  <c r="X114" i="9"/>
  <c r="P114" i="11"/>
  <c r="P114" i="10"/>
  <c r="P114" i="9"/>
  <c r="H114" i="11"/>
  <c r="H114" i="10"/>
  <c r="H114" i="9"/>
  <c r="AB113" i="11"/>
  <c r="AB113" i="10"/>
  <c r="AB113" i="9"/>
  <c r="T113" i="11"/>
  <c r="T113" i="10"/>
  <c r="T113" i="9"/>
  <c r="L113" i="11"/>
  <c r="L113" i="10"/>
  <c r="L113" i="9"/>
  <c r="D113" i="11"/>
  <c r="D113" i="10"/>
  <c r="D113" i="9"/>
  <c r="AF112" i="11"/>
  <c r="AF112" i="10"/>
  <c r="AF112" i="9"/>
  <c r="X112" i="11"/>
  <c r="X112" i="10"/>
  <c r="X112" i="9"/>
  <c r="P112" i="11"/>
  <c r="P112" i="10"/>
  <c r="P112" i="9"/>
  <c r="H112" i="11"/>
  <c r="H112" i="10"/>
  <c r="H112" i="9"/>
  <c r="AB111" i="11"/>
  <c r="AB111" i="10"/>
  <c r="AB111" i="9"/>
  <c r="T111" i="11"/>
  <c r="T111" i="10"/>
  <c r="T111" i="9"/>
  <c r="L111" i="11"/>
  <c r="L111" i="10"/>
  <c r="L111" i="9"/>
  <c r="D111" i="11"/>
  <c r="D111" i="10"/>
  <c r="D111" i="9"/>
  <c r="AF110" i="11"/>
  <c r="AF110" i="10"/>
  <c r="AF110" i="9"/>
  <c r="X110" i="11"/>
  <c r="X110" i="10"/>
  <c r="X110" i="9"/>
  <c r="P110" i="11"/>
  <c r="P110" i="10"/>
  <c r="P110" i="9"/>
  <c r="H110" i="11"/>
  <c r="H110" i="10"/>
  <c r="H110" i="9"/>
  <c r="AB109" i="11"/>
  <c r="AB109" i="10"/>
  <c r="AB109" i="9"/>
  <c r="T109" i="11"/>
  <c r="T109" i="10"/>
  <c r="T109" i="9"/>
  <c r="L109" i="11"/>
  <c r="L109" i="10"/>
  <c r="L109" i="9"/>
  <c r="D109" i="11"/>
  <c r="D109" i="10"/>
  <c r="D109" i="9"/>
  <c r="AF108" i="11"/>
  <c r="AF108" i="10"/>
  <c r="AF108" i="9"/>
  <c r="X108" i="11"/>
  <c r="X108" i="10"/>
  <c r="X108" i="9"/>
  <c r="P108" i="11"/>
  <c r="P108" i="10"/>
  <c r="P108" i="9"/>
  <c r="H108" i="11"/>
  <c r="H108" i="10"/>
  <c r="H108" i="9"/>
  <c r="AB107" i="11"/>
  <c r="AB107" i="10"/>
  <c r="AB107" i="9"/>
  <c r="T107" i="11"/>
  <c r="T107" i="10"/>
  <c r="T107" i="9"/>
  <c r="L107" i="11"/>
  <c r="L107" i="10"/>
  <c r="L107" i="9"/>
  <c r="D107" i="11"/>
  <c r="D107" i="10"/>
  <c r="D107" i="9"/>
  <c r="X106" i="11"/>
  <c r="X106" i="10"/>
  <c r="X106" i="9"/>
  <c r="P106" i="11"/>
  <c r="P106" i="10"/>
  <c r="P106" i="9"/>
  <c r="H106" i="11"/>
  <c r="H106" i="10"/>
  <c r="H106" i="9"/>
  <c r="AB105" i="11"/>
  <c r="AB105" i="10"/>
  <c r="AB105" i="9"/>
  <c r="T105" i="11"/>
  <c r="T105" i="10"/>
  <c r="T105" i="9"/>
  <c r="L105" i="11"/>
  <c r="L105" i="10"/>
  <c r="L105" i="9"/>
  <c r="D105" i="11"/>
  <c r="D105" i="10"/>
  <c r="D105" i="9"/>
  <c r="AF104" i="11"/>
  <c r="AF104" i="10"/>
  <c r="X104" i="11"/>
  <c r="X104" i="10"/>
  <c r="X104" i="9"/>
  <c r="P104" i="11"/>
  <c r="P104" i="10"/>
  <c r="P104" i="9"/>
  <c r="H104" i="11"/>
  <c r="H104" i="10"/>
  <c r="H104" i="9"/>
  <c r="AB103" i="11"/>
  <c r="AB103" i="10"/>
  <c r="AB103" i="9"/>
  <c r="T103" i="11"/>
  <c r="T103" i="10"/>
  <c r="T103" i="9"/>
  <c r="L103" i="11"/>
  <c r="L103" i="10"/>
  <c r="L103" i="9"/>
  <c r="D103" i="11"/>
  <c r="D103" i="10"/>
  <c r="D103" i="9"/>
  <c r="X102" i="11"/>
  <c r="X102" i="10"/>
  <c r="X102" i="9"/>
  <c r="P102" i="11"/>
  <c r="P102" i="10"/>
  <c r="P102" i="9"/>
  <c r="H102" i="11"/>
  <c r="H102" i="10"/>
  <c r="H102" i="9"/>
  <c r="AB101" i="11"/>
  <c r="AB101" i="10"/>
  <c r="AB101" i="9"/>
  <c r="T101" i="11"/>
  <c r="T101" i="10"/>
  <c r="T101" i="9"/>
  <c r="L101" i="11"/>
  <c r="L101" i="10"/>
  <c r="L101" i="9"/>
  <c r="D101" i="11"/>
  <c r="D101" i="10"/>
  <c r="D101" i="9"/>
  <c r="AF100" i="11"/>
  <c r="AF100" i="10"/>
  <c r="AF100" i="9"/>
  <c r="X100" i="11"/>
  <c r="X100" i="10"/>
  <c r="X100" i="9"/>
  <c r="P100" i="11"/>
  <c r="P100" i="10"/>
  <c r="P100" i="9"/>
  <c r="H100" i="11"/>
  <c r="H100" i="10"/>
  <c r="H100" i="9"/>
  <c r="AB99" i="11"/>
  <c r="AB99" i="10"/>
  <c r="AB99" i="9"/>
  <c r="T99" i="11"/>
  <c r="T99" i="10"/>
  <c r="T99" i="9"/>
  <c r="L99" i="11"/>
  <c r="L99" i="10"/>
  <c r="L99" i="9"/>
  <c r="D99" i="11"/>
  <c r="D99" i="10"/>
  <c r="D99" i="9"/>
  <c r="X98" i="11"/>
  <c r="X98" i="10"/>
  <c r="X98" i="9"/>
  <c r="P98" i="11"/>
  <c r="P98" i="10"/>
  <c r="P98" i="9"/>
  <c r="H98" i="11"/>
  <c r="H98" i="10"/>
  <c r="H98" i="9"/>
  <c r="AB97" i="11"/>
  <c r="AB97" i="10"/>
  <c r="AB97" i="9"/>
  <c r="T97" i="11"/>
  <c r="T97" i="10"/>
  <c r="T97" i="9"/>
  <c r="L97" i="11"/>
  <c r="L97" i="10"/>
  <c r="L97" i="9"/>
  <c r="D97" i="11"/>
  <c r="D97" i="10"/>
  <c r="D97" i="9"/>
  <c r="AF96" i="11"/>
  <c r="AF96" i="10"/>
  <c r="AF96" i="9"/>
  <c r="X96" i="11"/>
  <c r="X96" i="10"/>
  <c r="X96" i="9"/>
  <c r="P96" i="11"/>
  <c r="P96" i="10"/>
  <c r="P96" i="9"/>
  <c r="H96" i="11"/>
  <c r="H96" i="10"/>
  <c r="H96" i="9"/>
  <c r="AB95" i="11"/>
  <c r="AB95" i="10"/>
  <c r="AB95" i="9"/>
  <c r="T95" i="11"/>
  <c r="T95" i="10"/>
  <c r="T95" i="9"/>
  <c r="L95" i="11"/>
  <c r="L95" i="10"/>
  <c r="L95" i="9"/>
  <c r="D95" i="11"/>
  <c r="D95" i="10"/>
  <c r="D95" i="9"/>
  <c r="AF94" i="11"/>
  <c r="AF94" i="10"/>
  <c r="AF94" i="9"/>
  <c r="X94" i="11"/>
  <c r="X94" i="10"/>
  <c r="X94" i="9"/>
  <c r="P94" i="11"/>
  <c r="P94" i="10"/>
  <c r="P94" i="9"/>
  <c r="H94" i="11"/>
  <c r="H94" i="10"/>
  <c r="H94" i="9"/>
  <c r="AB93" i="11"/>
  <c r="AB93" i="10"/>
  <c r="AB93" i="9"/>
  <c r="T93" i="11"/>
  <c r="T93" i="10"/>
  <c r="T93" i="9"/>
  <c r="L93" i="11"/>
  <c r="L93" i="10"/>
  <c r="L93" i="9"/>
  <c r="D93" i="11"/>
  <c r="D93" i="10"/>
  <c r="D93" i="9"/>
  <c r="AF92" i="11"/>
  <c r="AF92" i="10"/>
  <c r="AF92" i="9"/>
  <c r="X92" i="11"/>
  <c r="X92" i="10"/>
  <c r="X92" i="9"/>
  <c r="P92" i="11"/>
  <c r="P92" i="10"/>
  <c r="P92" i="9"/>
  <c r="H92" i="11"/>
  <c r="H92" i="10"/>
  <c r="H92" i="9"/>
  <c r="AB91" i="11"/>
  <c r="AB91" i="10"/>
  <c r="AB91" i="9"/>
  <c r="T91" i="11"/>
  <c r="T91" i="10"/>
  <c r="T91" i="9"/>
  <c r="L91" i="11"/>
  <c r="L91" i="10"/>
  <c r="L91" i="9"/>
  <c r="D91" i="11"/>
  <c r="D91" i="10"/>
  <c r="D91" i="9"/>
  <c r="X90" i="11"/>
  <c r="X90" i="10"/>
  <c r="X90" i="9"/>
  <c r="P90" i="11"/>
  <c r="P90" i="10"/>
  <c r="P90" i="9"/>
  <c r="H90" i="11"/>
  <c r="H90" i="10"/>
  <c r="H90" i="9"/>
  <c r="AB89" i="11"/>
  <c r="AB89" i="10"/>
  <c r="AB89" i="9"/>
  <c r="T89" i="11"/>
  <c r="T89" i="10"/>
  <c r="T89" i="9"/>
  <c r="L89" i="11"/>
  <c r="L89" i="10"/>
  <c r="L89" i="9"/>
  <c r="D89" i="11"/>
  <c r="D89" i="10"/>
  <c r="D89" i="9"/>
  <c r="AF88" i="11"/>
  <c r="AF88" i="10"/>
  <c r="AF88" i="9"/>
  <c r="X88" i="11"/>
  <c r="X88" i="10"/>
  <c r="X88" i="9"/>
  <c r="P88" i="11"/>
  <c r="P88" i="10"/>
  <c r="P88" i="9"/>
  <c r="H88" i="11"/>
  <c r="H88" i="10"/>
  <c r="H88" i="9"/>
  <c r="AB87" i="11"/>
  <c r="AB87" i="10"/>
  <c r="AB87" i="9"/>
  <c r="T87" i="11"/>
  <c r="T87" i="10"/>
  <c r="T87" i="9"/>
  <c r="L87" i="11"/>
  <c r="L87" i="10"/>
  <c r="L87" i="9"/>
  <c r="D87" i="11"/>
  <c r="D87" i="10"/>
  <c r="D87" i="9"/>
  <c r="X86" i="11"/>
  <c r="X86" i="10"/>
  <c r="X86" i="9"/>
  <c r="P86" i="11"/>
  <c r="P86" i="10"/>
  <c r="P86" i="9"/>
  <c r="H86" i="11"/>
  <c r="H86" i="10"/>
  <c r="H86" i="9"/>
  <c r="AB85" i="11"/>
  <c r="AB85" i="10"/>
  <c r="AB85" i="9"/>
  <c r="T85" i="11"/>
  <c r="T85" i="10"/>
  <c r="T85" i="9"/>
  <c r="L85" i="11"/>
  <c r="L85" i="10"/>
  <c r="L85" i="9"/>
  <c r="D85" i="11"/>
  <c r="D85" i="10"/>
  <c r="D85" i="9"/>
  <c r="AF84" i="11"/>
  <c r="AF84" i="10"/>
  <c r="AF84" i="9"/>
  <c r="X84" i="11"/>
  <c r="X84" i="10"/>
  <c r="X84" i="9"/>
  <c r="P84" i="11"/>
  <c r="P84" i="10"/>
  <c r="P84" i="9"/>
  <c r="H84" i="11"/>
  <c r="H84" i="10"/>
  <c r="H84" i="9"/>
  <c r="AB83" i="11"/>
  <c r="AB83" i="10"/>
  <c r="AB83" i="9"/>
  <c r="T83" i="11"/>
  <c r="T83" i="10"/>
  <c r="T83" i="9"/>
  <c r="L83" i="11"/>
  <c r="L83" i="10"/>
  <c r="L83" i="9"/>
  <c r="D83" i="11"/>
  <c r="D83" i="10"/>
  <c r="D83" i="9"/>
  <c r="AF82" i="11"/>
  <c r="AF82" i="10"/>
  <c r="AF82" i="9"/>
  <c r="X82" i="11"/>
  <c r="X82" i="10"/>
  <c r="X82" i="9"/>
  <c r="P82" i="11"/>
  <c r="P82" i="10"/>
  <c r="P82" i="9"/>
  <c r="H82" i="11"/>
  <c r="H82" i="10"/>
  <c r="H82" i="9"/>
  <c r="AB81" i="11"/>
  <c r="AB81" i="10"/>
  <c r="AB81" i="9"/>
  <c r="T81" i="11"/>
  <c r="T81" i="10"/>
  <c r="T81" i="9"/>
  <c r="L81" i="11"/>
  <c r="L81" i="10"/>
  <c r="L81" i="9"/>
  <c r="D81" i="11"/>
  <c r="D81" i="10"/>
  <c r="D81" i="9"/>
  <c r="AF80" i="11"/>
  <c r="AF80" i="10"/>
  <c r="AF80" i="9"/>
  <c r="X80" i="11"/>
  <c r="X80" i="10"/>
  <c r="X80" i="9"/>
  <c r="P80" i="11"/>
  <c r="P80" i="10"/>
  <c r="P80" i="9"/>
  <c r="H80" i="11"/>
  <c r="H80" i="10"/>
  <c r="H80" i="9"/>
  <c r="AB79" i="11"/>
  <c r="AB79" i="10"/>
  <c r="AB79" i="9"/>
  <c r="T79" i="11"/>
  <c r="T79" i="10"/>
  <c r="T79" i="9"/>
  <c r="L79" i="11"/>
  <c r="L79" i="10"/>
  <c r="L79" i="9"/>
  <c r="D79" i="11"/>
  <c r="D79" i="10"/>
  <c r="D79" i="9"/>
  <c r="X78" i="11"/>
  <c r="X78" i="10"/>
  <c r="X78" i="9"/>
  <c r="P78" i="11"/>
  <c r="P78" i="10"/>
  <c r="P78" i="9"/>
  <c r="H78" i="11"/>
  <c r="H78" i="10"/>
  <c r="H78" i="9"/>
  <c r="AB77" i="11"/>
  <c r="AB77" i="10"/>
  <c r="AB77" i="9"/>
  <c r="T77" i="11"/>
  <c r="T77" i="10"/>
  <c r="T77" i="9"/>
  <c r="L77" i="11"/>
  <c r="L77" i="10"/>
  <c r="L77" i="9"/>
  <c r="D77" i="11"/>
  <c r="D77" i="10"/>
  <c r="D77" i="9"/>
  <c r="AF76" i="11"/>
  <c r="AF76" i="10"/>
  <c r="AF76" i="9"/>
  <c r="X76" i="11"/>
  <c r="X76" i="10"/>
  <c r="X76" i="9"/>
  <c r="P76" i="11"/>
  <c r="P76" i="10"/>
  <c r="P76" i="9"/>
  <c r="H76" i="11"/>
  <c r="H76" i="10"/>
  <c r="H76" i="9"/>
  <c r="AB75" i="11"/>
  <c r="AB75" i="10"/>
  <c r="AB75" i="9"/>
  <c r="T75" i="11"/>
  <c r="T75" i="10"/>
  <c r="T75" i="9"/>
  <c r="L75" i="11"/>
  <c r="L75" i="10"/>
  <c r="L75" i="9"/>
  <c r="D75" i="11"/>
  <c r="D75" i="10"/>
  <c r="D75" i="9"/>
  <c r="AF74" i="11"/>
  <c r="AF74" i="10"/>
  <c r="AF74" i="9"/>
  <c r="X74" i="11"/>
  <c r="X74" i="10"/>
  <c r="X74" i="9"/>
  <c r="P74" i="11"/>
  <c r="P74" i="10"/>
  <c r="P74" i="9"/>
  <c r="H74" i="11"/>
  <c r="H74" i="10"/>
  <c r="H74" i="9"/>
  <c r="AB73" i="11"/>
  <c r="AB73" i="10"/>
  <c r="AB73" i="9"/>
  <c r="T73" i="11"/>
  <c r="T73" i="10"/>
  <c r="T73" i="9"/>
  <c r="L73" i="11"/>
  <c r="L73" i="10"/>
  <c r="L73" i="9"/>
  <c r="D73" i="11"/>
  <c r="D73" i="10"/>
  <c r="D73" i="9"/>
  <c r="AF72" i="11"/>
  <c r="AF72" i="10"/>
  <c r="AF72" i="9"/>
  <c r="X72" i="11"/>
  <c r="X72" i="10"/>
  <c r="X72" i="9"/>
  <c r="P72" i="11"/>
  <c r="P72" i="10"/>
  <c r="P72" i="9"/>
  <c r="H72" i="11"/>
  <c r="H72" i="10"/>
  <c r="H72" i="9"/>
  <c r="AB71" i="11"/>
  <c r="AB71" i="10"/>
  <c r="AB71" i="9"/>
  <c r="T71" i="11"/>
  <c r="T71" i="10"/>
  <c r="T71" i="9"/>
  <c r="L71" i="11"/>
  <c r="L71" i="10"/>
  <c r="L71" i="9"/>
  <c r="D71" i="11"/>
  <c r="D71" i="10"/>
  <c r="D71" i="9"/>
  <c r="AF70" i="11"/>
  <c r="AF70" i="10"/>
  <c r="AF70" i="9"/>
  <c r="X70" i="11"/>
  <c r="X70" i="10"/>
  <c r="X70" i="9"/>
  <c r="P70" i="11"/>
  <c r="P70" i="10"/>
  <c r="P70" i="9"/>
  <c r="H70" i="11"/>
  <c r="H70" i="10"/>
  <c r="H70" i="9"/>
  <c r="AB69" i="11"/>
  <c r="AB69" i="10"/>
  <c r="AB69" i="9"/>
  <c r="T69" i="11"/>
  <c r="T69" i="10"/>
  <c r="T69" i="9"/>
  <c r="L69" i="11"/>
  <c r="L69" i="10"/>
  <c r="L69" i="9"/>
  <c r="D69" i="11"/>
  <c r="D69" i="10"/>
  <c r="D69" i="9"/>
  <c r="X68" i="11"/>
  <c r="X68" i="10"/>
  <c r="X68" i="9"/>
  <c r="P68" i="11"/>
  <c r="P68" i="10"/>
  <c r="P68" i="9"/>
  <c r="H68" i="11"/>
  <c r="H68" i="10"/>
  <c r="H68" i="9"/>
  <c r="AB67" i="11"/>
  <c r="AB67" i="10"/>
  <c r="AB67" i="9"/>
  <c r="T67" i="11"/>
  <c r="T67" i="10"/>
  <c r="T67" i="9"/>
  <c r="L67" i="11"/>
  <c r="L67" i="10"/>
  <c r="L67" i="9"/>
  <c r="D67" i="11"/>
  <c r="D67" i="10"/>
  <c r="D67" i="9"/>
  <c r="X66" i="11"/>
  <c r="X66" i="10"/>
  <c r="X66" i="9"/>
  <c r="P66" i="11"/>
  <c r="P66" i="10"/>
  <c r="P66" i="9"/>
  <c r="H66" i="11"/>
  <c r="H66" i="10"/>
  <c r="H66" i="9"/>
  <c r="AB65" i="11"/>
  <c r="AB65" i="10"/>
  <c r="AB65" i="9"/>
  <c r="T65" i="11"/>
  <c r="T65" i="10"/>
  <c r="T65" i="9"/>
  <c r="L65" i="11"/>
  <c r="L65" i="10"/>
  <c r="L65" i="9"/>
  <c r="D65" i="11"/>
  <c r="D65" i="10"/>
  <c r="D65" i="9"/>
  <c r="AF64" i="11"/>
  <c r="AF64" i="10"/>
  <c r="AF64" i="9"/>
  <c r="X64" i="11"/>
  <c r="X64" i="10"/>
  <c r="X64" i="9"/>
  <c r="P64" i="11"/>
  <c r="P64" i="10"/>
  <c r="P64" i="9"/>
  <c r="H64" i="11"/>
  <c r="H64" i="10"/>
  <c r="H64" i="9"/>
  <c r="AB63" i="11"/>
  <c r="AB63" i="10"/>
  <c r="AB63" i="9"/>
  <c r="T63" i="11"/>
  <c r="T63" i="10"/>
  <c r="T63" i="9"/>
  <c r="L63" i="11"/>
  <c r="L63" i="10"/>
  <c r="L63" i="9"/>
  <c r="D63" i="11"/>
  <c r="D63" i="10"/>
  <c r="D63" i="9"/>
  <c r="AF62" i="11"/>
  <c r="AF62" i="10"/>
  <c r="AF62" i="9"/>
  <c r="X62" i="11"/>
  <c r="X62" i="10"/>
  <c r="X62" i="9"/>
  <c r="P62" i="11"/>
  <c r="P62" i="10"/>
  <c r="P62" i="9"/>
  <c r="H62" i="11"/>
  <c r="H62" i="10"/>
  <c r="H62" i="9"/>
  <c r="AB61" i="11"/>
  <c r="AB61" i="10"/>
  <c r="AB61" i="9"/>
  <c r="T61" i="11"/>
  <c r="T61" i="10"/>
  <c r="T61" i="9"/>
  <c r="L61" i="11"/>
  <c r="L61" i="10"/>
  <c r="L61" i="9"/>
  <c r="D61" i="11"/>
  <c r="D61" i="10"/>
  <c r="D61" i="9"/>
  <c r="AF60" i="11"/>
  <c r="AF60" i="10"/>
  <c r="AF60" i="9"/>
  <c r="X60" i="11"/>
  <c r="X60" i="10"/>
  <c r="X60" i="9"/>
  <c r="P60" i="11"/>
  <c r="P60" i="10"/>
  <c r="P60" i="9"/>
  <c r="H60" i="11"/>
  <c r="H60" i="10"/>
  <c r="H60" i="9"/>
  <c r="AB59" i="11"/>
  <c r="AB59" i="10"/>
  <c r="AB59" i="9"/>
  <c r="T59" i="11"/>
  <c r="T59" i="10"/>
  <c r="T59" i="9"/>
  <c r="L59" i="11"/>
  <c r="L59" i="10"/>
  <c r="L59" i="9"/>
  <c r="D59" i="11"/>
  <c r="D59" i="10"/>
  <c r="D59" i="9"/>
  <c r="X58" i="11"/>
  <c r="X58" i="10"/>
  <c r="X58" i="9"/>
  <c r="P58" i="11"/>
  <c r="P58" i="10"/>
  <c r="P58" i="9"/>
  <c r="H58" i="11"/>
  <c r="H58" i="10"/>
  <c r="H58" i="9"/>
  <c r="AB57" i="11"/>
  <c r="AB57" i="10"/>
  <c r="AB57" i="9"/>
  <c r="T57" i="11"/>
  <c r="T57" i="10"/>
  <c r="T57" i="9"/>
  <c r="L57" i="11"/>
  <c r="L57" i="10"/>
  <c r="L57" i="9"/>
  <c r="D57" i="11"/>
  <c r="D57" i="10"/>
  <c r="D57" i="9"/>
  <c r="AF56" i="11"/>
  <c r="AF56" i="10"/>
  <c r="AF56" i="9"/>
  <c r="X56" i="11"/>
  <c r="X56" i="10"/>
  <c r="X56" i="9"/>
  <c r="P56" i="11"/>
  <c r="P56" i="10"/>
  <c r="P56" i="9"/>
  <c r="H56" i="11"/>
  <c r="H56" i="10"/>
  <c r="H56" i="9"/>
  <c r="AB55" i="11"/>
  <c r="AB55" i="10"/>
  <c r="AB55" i="9"/>
  <c r="T55" i="11"/>
  <c r="T55" i="10"/>
  <c r="T55" i="9"/>
  <c r="L55" i="11"/>
  <c r="L55" i="10"/>
  <c r="L55" i="9"/>
  <c r="D55" i="11"/>
  <c r="D55" i="10"/>
  <c r="D55" i="9"/>
  <c r="AF54" i="11"/>
  <c r="AF54" i="10"/>
  <c r="AF54" i="9"/>
  <c r="X54" i="11"/>
  <c r="X54" i="10"/>
  <c r="X54" i="9"/>
  <c r="O54" i="11"/>
  <c r="O54" i="10"/>
  <c r="O54" i="9"/>
  <c r="G54" i="11"/>
  <c r="G54" i="10"/>
  <c r="G54" i="9"/>
  <c r="AA53" i="11"/>
  <c r="AA53" i="10"/>
  <c r="AA53" i="9"/>
  <c r="S53" i="11"/>
  <c r="S53" i="10"/>
  <c r="S53" i="9"/>
  <c r="K53" i="11"/>
  <c r="K53" i="10"/>
  <c r="K53" i="9"/>
  <c r="C53" i="11"/>
  <c r="C53" i="10"/>
  <c r="C53" i="9"/>
  <c r="W52" i="11"/>
  <c r="W52" i="10"/>
  <c r="W52" i="9"/>
  <c r="O52" i="11"/>
  <c r="O52" i="10"/>
  <c r="O52" i="9"/>
  <c r="G52" i="11"/>
  <c r="G52" i="10"/>
  <c r="G52" i="9"/>
  <c r="AA51" i="11"/>
  <c r="AA51" i="10"/>
  <c r="AA51" i="9"/>
  <c r="S51" i="11"/>
  <c r="S51" i="10"/>
  <c r="S51" i="9"/>
  <c r="K51" i="11"/>
  <c r="K51" i="10"/>
  <c r="K51" i="9"/>
  <c r="C51" i="11"/>
  <c r="C51" i="10"/>
  <c r="C51" i="9"/>
  <c r="W50" i="11"/>
  <c r="W50" i="10"/>
  <c r="W50" i="9"/>
  <c r="O50" i="11"/>
  <c r="O50" i="10"/>
  <c r="O50" i="9"/>
  <c r="G50" i="11"/>
  <c r="G50" i="10"/>
  <c r="G50" i="9"/>
  <c r="AA49" i="11"/>
  <c r="AA49" i="10"/>
  <c r="AA49" i="9"/>
  <c r="S49" i="11"/>
  <c r="S49" i="10"/>
  <c r="S49" i="9"/>
  <c r="K49" i="11"/>
  <c r="K49" i="10"/>
  <c r="K49" i="9"/>
  <c r="C49" i="11"/>
  <c r="C49" i="10"/>
  <c r="C49" i="9"/>
  <c r="W48" i="11"/>
  <c r="W48" i="10"/>
  <c r="W48" i="9"/>
  <c r="O48" i="11"/>
  <c r="O48" i="10"/>
  <c r="O48" i="9"/>
  <c r="G48" i="11"/>
  <c r="G48" i="10"/>
  <c r="G48" i="9"/>
  <c r="AA47" i="11"/>
  <c r="AA47" i="10"/>
  <c r="AA47" i="9"/>
  <c r="S47" i="11"/>
  <c r="S47" i="10"/>
  <c r="S47" i="9"/>
  <c r="K47" i="11"/>
  <c r="K47" i="10"/>
  <c r="K47" i="9"/>
  <c r="C47" i="11"/>
  <c r="C47" i="10"/>
  <c r="C47" i="9"/>
  <c r="W46" i="11"/>
  <c r="W46" i="10"/>
  <c r="W46" i="9"/>
  <c r="O46" i="11"/>
  <c r="O46" i="10"/>
  <c r="O46" i="9"/>
  <c r="G46" i="11"/>
  <c r="G46" i="10"/>
  <c r="G46" i="9"/>
  <c r="AA45" i="11"/>
  <c r="AA45" i="10"/>
  <c r="AA45" i="9"/>
  <c r="S45" i="11"/>
  <c r="S45" i="10"/>
  <c r="S45" i="9"/>
  <c r="K45" i="11"/>
  <c r="K45" i="10"/>
  <c r="K45" i="9"/>
  <c r="C45" i="11"/>
  <c r="C45" i="10"/>
  <c r="C45" i="9"/>
  <c r="W44" i="11"/>
  <c r="W44" i="10"/>
  <c r="W44" i="9"/>
  <c r="O44" i="11"/>
  <c r="O44" i="10"/>
  <c r="O44" i="9"/>
  <c r="G44" i="11"/>
  <c r="G44" i="10"/>
  <c r="G44" i="9"/>
  <c r="AA43" i="11"/>
  <c r="AA43" i="10"/>
  <c r="AA43" i="9"/>
  <c r="S43" i="11"/>
  <c r="S43" i="10"/>
  <c r="S43" i="9"/>
  <c r="K43" i="11"/>
  <c r="K43" i="10"/>
  <c r="K43" i="9"/>
  <c r="C43" i="11"/>
  <c r="C43" i="10"/>
  <c r="C43" i="9"/>
  <c r="W42" i="11"/>
  <c r="W42" i="10"/>
  <c r="W42" i="9"/>
  <c r="O42" i="11"/>
  <c r="O42" i="10"/>
  <c r="O42" i="9"/>
  <c r="G42" i="11"/>
  <c r="G42" i="10"/>
  <c r="G42" i="9"/>
  <c r="AA41" i="11"/>
  <c r="AA41" i="10"/>
  <c r="AA41" i="9"/>
  <c r="S41" i="11"/>
  <c r="S41" i="9"/>
  <c r="S41" i="10"/>
  <c r="K41" i="11"/>
  <c r="K41" i="9"/>
  <c r="K41" i="10"/>
  <c r="C41" i="11"/>
  <c r="C41" i="9"/>
  <c r="C41" i="10"/>
  <c r="W40" i="11"/>
  <c r="W40" i="10"/>
  <c r="W40" i="9"/>
  <c r="O40" i="11"/>
  <c r="O40" i="10"/>
  <c r="O40" i="9"/>
  <c r="G40" i="11"/>
  <c r="G40" i="10"/>
  <c r="G40" i="9"/>
  <c r="AA39" i="11"/>
  <c r="AA39" i="10"/>
  <c r="AA39" i="9"/>
  <c r="S39" i="11"/>
  <c r="S39" i="10"/>
  <c r="S39" i="9"/>
  <c r="K39" i="11"/>
  <c r="K39" i="10"/>
  <c r="K39" i="9"/>
  <c r="C39" i="11"/>
  <c r="C39" i="10"/>
  <c r="C39" i="9"/>
  <c r="W38" i="11"/>
  <c r="W38" i="10"/>
  <c r="W38" i="9"/>
  <c r="O38" i="11"/>
  <c r="O38" i="10"/>
  <c r="O38" i="9"/>
  <c r="G38" i="11"/>
  <c r="G38" i="10"/>
  <c r="G38" i="9"/>
  <c r="AA37" i="11"/>
  <c r="AA37" i="10"/>
  <c r="AA37" i="9"/>
  <c r="S37" i="11"/>
  <c r="S37" i="10"/>
  <c r="S37" i="9"/>
  <c r="K37" i="11"/>
  <c r="K37" i="10"/>
  <c r="K37" i="9"/>
  <c r="C37" i="11"/>
  <c r="C37" i="10"/>
  <c r="C37" i="9"/>
  <c r="W36" i="11"/>
  <c r="W36" i="10"/>
  <c r="W36" i="9"/>
  <c r="O36" i="11"/>
  <c r="O36" i="10"/>
  <c r="O36" i="9"/>
  <c r="G36" i="11"/>
  <c r="G36" i="10"/>
  <c r="G36" i="9"/>
  <c r="AA35" i="11"/>
  <c r="AA35" i="10"/>
  <c r="AA35" i="9"/>
  <c r="S35" i="11"/>
  <c r="S35" i="10"/>
  <c r="S35" i="9"/>
  <c r="K35" i="11"/>
  <c r="K35" i="10"/>
  <c r="K35" i="9"/>
  <c r="C35" i="11"/>
  <c r="C35" i="10"/>
  <c r="C35" i="9"/>
  <c r="W34" i="11"/>
  <c r="W34" i="10"/>
  <c r="W34" i="9"/>
  <c r="O34" i="11"/>
  <c r="O34" i="10"/>
  <c r="O34" i="9"/>
  <c r="G34" i="11"/>
  <c r="G34" i="10"/>
  <c r="G34" i="9"/>
  <c r="AA33" i="11"/>
  <c r="AA33" i="9"/>
  <c r="AA33" i="10"/>
  <c r="S33" i="11"/>
  <c r="S33" i="10"/>
  <c r="S33" i="9"/>
  <c r="K33" i="11"/>
  <c r="K33" i="10"/>
  <c r="K33" i="9"/>
  <c r="C33" i="11"/>
  <c r="C33" i="9"/>
  <c r="C33" i="10"/>
  <c r="W32" i="11"/>
  <c r="W32" i="10"/>
  <c r="W32" i="9"/>
  <c r="O32" i="11"/>
  <c r="O32" i="10"/>
  <c r="O32" i="9"/>
  <c r="G32" i="11"/>
  <c r="G32" i="10"/>
  <c r="G32" i="9"/>
  <c r="AA31" i="11"/>
  <c r="AA31" i="10"/>
  <c r="AA31" i="9"/>
  <c r="S31" i="11"/>
  <c r="S31" i="10"/>
  <c r="S31" i="9"/>
  <c r="K31" i="11"/>
  <c r="K31" i="10"/>
  <c r="K31" i="9"/>
  <c r="C31" i="11"/>
  <c r="C31" i="10"/>
  <c r="C31" i="9"/>
  <c r="W30" i="11"/>
  <c r="W30" i="10"/>
  <c r="W30" i="9"/>
  <c r="O30" i="11"/>
  <c r="O30" i="10"/>
  <c r="O30" i="9"/>
  <c r="G30" i="11"/>
  <c r="G30" i="10"/>
  <c r="G30" i="9"/>
  <c r="AA29" i="11"/>
  <c r="AA29" i="9"/>
  <c r="AA29" i="10"/>
  <c r="S29" i="11"/>
  <c r="S29" i="9"/>
  <c r="S29" i="10"/>
  <c r="K29" i="11"/>
  <c r="K29" i="9"/>
  <c r="K29" i="10"/>
  <c r="C29" i="11"/>
  <c r="C29" i="9"/>
  <c r="C29" i="10"/>
  <c r="W28" i="11"/>
  <c r="W28" i="9"/>
  <c r="W28" i="10"/>
  <c r="O28" i="11"/>
  <c r="O28" i="9"/>
  <c r="O28" i="10"/>
  <c r="G28" i="11"/>
  <c r="G28" i="9"/>
  <c r="G28" i="10"/>
  <c r="AA27" i="11"/>
  <c r="AA27" i="10"/>
  <c r="AA27" i="9"/>
  <c r="S27" i="11"/>
  <c r="S27" i="10"/>
  <c r="S27" i="9"/>
  <c r="K27" i="11"/>
  <c r="K27" i="10"/>
  <c r="K27" i="9"/>
  <c r="C27" i="11"/>
  <c r="C27" i="10"/>
  <c r="C27" i="9"/>
  <c r="W26" i="11"/>
  <c r="W26" i="10"/>
  <c r="W26" i="9"/>
  <c r="O26" i="11"/>
  <c r="O26" i="10"/>
  <c r="O26" i="9"/>
  <c r="G26" i="11"/>
  <c r="G26" i="10"/>
  <c r="G26" i="9"/>
  <c r="AA25" i="11"/>
  <c r="AA25" i="10"/>
  <c r="AA25" i="9"/>
  <c r="S25" i="11"/>
  <c r="S25" i="10"/>
  <c r="S25" i="9"/>
  <c r="K25" i="11"/>
  <c r="K25" i="10"/>
  <c r="K25" i="9"/>
  <c r="C25" i="11"/>
  <c r="C25" i="10"/>
  <c r="C25" i="9"/>
  <c r="W24" i="11"/>
  <c r="W24" i="9"/>
  <c r="W24" i="10"/>
  <c r="O24" i="11"/>
  <c r="O24" i="9"/>
  <c r="O24" i="10"/>
  <c r="G24" i="11"/>
  <c r="G24" i="9"/>
  <c r="G24" i="10"/>
  <c r="AA23" i="11"/>
  <c r="AA23" i="10"/>
  <c r="AA23" i="9"/>
  <c r="S23" i="11"/>
  <c r="S23" i="10"/>
  <c r="S23" i="9"/>
  <c r="K23" i="11"/>
  <c r="K23" i="10"/>
  <c r="K23" i="9"/>
  <c r="C23" i="11"/>
  <c r="C23" i="10"/>
  <c r="C23" i="9"/>
  <c r="W22" i="11"/>
  <c r="W22" i="9"/>
  <c r="W22" i="10"/>
  <c r="O22" i="11"/>
  <c r="O22" i="9"/>
  <c r="O22" i="10"/>
  <c r="G22" i="11"/>
  <c r="G22" i="9"/>
  <c r="G22" i="10"/>
  <c r="AA21" i="11"/>
  <c r="AA21" i="9"/>
  <c r="AA21" i="10"/>
  <c r="S21" i="11"/>
  <c r="S21" i="9"/>
  <c r="S21" i="10"/>
  <c r="K21" i="11"/>
  <c r="K21" i="9"/>
  <c r="K21" i="10"/>
  <c r="C21" i="11"/>
  <c r="C21" i="9"/>
  <c r="C21" i="10"/>
  <c r="W20" i="11"/>
  <c r="W20" i="10"/>
  <c r="W20" i="9"/>
  <c r="O20" i="11"/>
  <c r="O20" i="10"/>
  <c r="O20" i="9"/>
  <c r="G20" i="11"/>
  <c r="G20" i="10"/>
  <c r="G20" i="9"/>
  <c r="AA19" i="11"/>
  <c r="AA19" i="10"/>
  <c r="AA19" i="9"/>
  <c r="S19" i="11"/>
  <c r="S19" i="10"/>
  <c r="S19" i="9"/>
  <c r="K19" i="11"/>
  <c r="K19" i="10"/>
  <c r="K19" i="9"/>
  <c r="C19" i="11"/>
  <c r="C19" i="10"/>
  <c r="C19" i="9"/>
  <c r="W18" i="11"/>
  <c r="W18" i="10"/>
  <c r="W18" i="9"/>
  <c r="O18" i="11"/>
  <c r="O18" i="10"/>
  <c r="O18" i="9"/>
  <c r="G18" i="11"/>
  <c r="G18" i="10"/>
  <c r="G18" i="9"/>
  <c r="AA17" i="11"/>
  <c r="AA17" i="9"/>
  <c r="AA17" i="10"/>
  <c r="S17" i="11"/>
  <c r="S17" i="9"/>
  <c r="S17" i="10"/>
  <c r="K17" i="11"/>
  <c r="K17" i="9"/>
  <c r="K17" i="10"/>
  <c r="C17" i="11"/>
  <c r="C17" i="9"/>
  <c r="C17" i="10"/>
  <c r="W16" i="11"/>
  <c r="W16" i="9"/>
  <c r="W16" i="10"/>
  <c r="O16" i="11"/>
  <c r="O16" i="9"/>
  <c r="O16" i="10"/>
  <c r="G16" i="11"/>
  <c r="G16" i="9"/>
  <c r="G16" i="10"/>
  <c r="AA15" i="11"/>
  <c r="AA15" i="9"/>
  <c r="AA15" i="10"/>
  <c r="S15" i="11"/>
  <c r="S15" i="9"/>
  <c r="S15" i="10"/>
  <c r="K15" i="11"/>
  <c r="K15" i="9"/>
  <c r="K15" i="10"/>
  <c r="C15" i="11"/>
  <c r="C15" i="9"/>
  <c r="C15" i="10"/>
  <c r="W14" i="11"/>
  <c r="W14" i="10"/>
  <c r="W14" i="9"/>
  <c r="O14" i="11"/>
  <c r="O14" i="10"/>
  <c r="O14" i="9"/>
  <c r="G14" i="11"/>
  <c r="G14" i="10"/>
  <c r="G14" i="9"/>
  <c r="AA13" i="11"/>
  <c r="AA13" i="9"/>
  <c r="AA13" i="10"/>
  <c r="S13" i="11"/>
  <c r="S13" i="9"/>
  <c r="S13" i="10"/>
  <c r="K13" i="11"/>
  <c r="K13" i="9"/>
  <c r="K13" i="10"/>
  <c r="C13" i="11"/>
  <c r="C13" i="9"/>
  <c r="C13" i="10"/>
  <c r="W12" i="11"/>
  <c r="W12" i="9"/>
  <c r="W12" i="10"/>
  <c r="O12" i="11"/>
  <c r="O12" i="9"/>
  <c r="O12" i="10"/>
  <c r="G12" i="11"/>
  <c r="G12" i="9"/>
  <c r="G12" i="10"/>
  <c r="AA11" i="11"/>
  <c r="AA11" i="9"/>
  <c r="AA11" i="10"/>
  <c r="S11" i="11"/>
  <c r="S11" i="9"/>
  <c r="S11" i="10"/>
  <c r="K11" i="11"/>
  <c r="K11" i="9"/>
  <c r="K11" i="10"/>
  <c r="C11" i="11"/>
  <c r="C11" i="9"/>
  <c r="C11" i="10"/>
  <c r="W10" i="11"/>
  <c r="W10" i="9"/>
  <c r="W10" i="10"/>
  <c r="O10" i="11"/>
  <c r="O10" i="9"/>
  <c r="O10" i="10"/>
  <c r="G10" i="11"/>
  <c r="G10" i="9"/>
  <c r="G10" i="10"/>
  <c r="AA9" i="11"/>
  <c r="AA9" i="10"/>
  <c r="AA9" i="9"/>
  <c r="S9" i="11"/>
  <c r="S9" i="10"/>
  <c r="S9" i="9"/>
  <c r="K9" i="11"/>
  <c r="K9" i="10"/>
  <c r="K9" i="9"/>
  <c r="C9" i="11"/>
  <c r="C9" i="10"/>
  <c r="C9" i="9"/>
  <c r="W8" i="11"/>
  <c r="W8" i="9"/>
  <c r="W8" i="10"/>
  <c r="O8" i="11"/>
  <c r="O8" i="9"/>
  <c r="O8" i="10"/>
  <c r="G8" i="11"/>
  <c r="G8" i="9"/>
  <c r="G8" i="10"/>
  <c r="AA7" i="11"/>
  <c r="AA7" i="9"/>
  <c r="AA7" i="10"/>
  <c r="S7" i="11"/>
  <c r="S7" i="9"/>
  <c r="S7" i="10"/>
  <c r="K7" i="11"/>
  <c r="K7" i="9"/>
  <c r="K7" i="10"/>
  <c r="C7" i="11"/>
  <c r="C7" i="9"/>
  <c r="C7" i="10"/>
  <c r="W6" i="11"/>
  <c r="W6" i="10"/>
  <c r="W6" i="9"/>
  <c r="O6" i="11"/>
  <c r="O6" i="10"/>
  <c r="O6" i="9"/>
  <c r="G6" i="11"/>
  <c r="G6" i="10"/>
  <c r="G6" i="9"/>
  <c r="AA5" i="11"/>
  <c r="AA5" i="10"/>
  <c r="AA5" i="9"/>
  <c r="S5" i="11"/>
  <c r="S5" i="10"/>
  <c r="S5" i="9"/>
  <c r="K5" i="11"/>
  <c r="K5" i="10"/>
  <c r="K5" i="9"/>
  <c r="C5" i="11"/>
  <c r="C5" i="10"/>
  <c r="C5" i="9"/>
  <c r="W4" i="11"/>
  <c r="W4" i="10"/>
  <c r="W4" i="9"/>
  <c r="O4" i="11"/>
  <c r="O4" i="10"/>
  <c r="O4" i="9"/>
  <c r="G4" i="11"/>
  <c r="G4" i="10"/>
  <c r="G4" i="9"/>
  <c r="AA3" i="11"/>
  <c r="AA3" i="10"/>
  <c r="AA3" i="9"/>
  <c r="S3" i="11"/>
  <c r="S3" i="10"/>
  <c r="S3" i="9"/>
  <c r="K3" i="11"/>
  <c r="K3" i="10"/>
  <c r="K3" i="9"/>
  <c r="C3" i="11"/>
  <c r="C3" i="10"/>
  <c r="C3" i="9"/>
  <c r="G174" i="11"/>
  <c r="G174" i="10"/>
  <c r="G174" i="9"/>
  <c r="AA173" i="11"/>
  <c r="AA173" i="10"/>
  <c r="AA173" i="9"/>
  <c r="S173" i="11"/>
  <c r="S173" i="10"/>
  <c r="S173" i="9"/>
  <c r="K173" i="11"/>
  <c r="K173" i="10"/>
  <c r="K173" i="9"/>
  <c r="C173" i="11"/>
  <c r="C173" i="10"/>
  <c r="C173" i="9"/>
  <c r="W172" i="11"/>
  <c r="W172" i="10"/>
  <c r="W172" i="9"/>
  <c r="O172" i="11"/>
  <c r="O172" i="10"/>
  <c r="O172" i="9"/>
  <c r="G172" i="11"/>
  <c r="G172" i="10"/>
  <c r="G172" i="9"/>
  <c r="AA171" i="11"/>
  <c r="AA171" i="10"/>
  <c r="AA171" i="9"/>
  <c r="S171" i="11"/>
  <c r="S171" i="10"/>
  <c r="S171" i="9"/>
  <c r="K171" i="11"/>
  <c r="K171" i="10"/>
  <c r="K171" i="9"/>
  <c r="C171" i="11"/>
  <c r="C171" i="10"/>
  <c r="C171" i="9"/>
  <c r="W170" i="11"/>
  <c r="W170" i="10"/>
  <c r="W170" i="9"/>
  <c r="O170" i="11"/>
  <c r="O170" i="10"/>
  <c r="O170" i="9"/>
  <c r="G170" i="11"/>
  <c r="G170" i="10"/>
  <c r="G170" i="9"/>
  <c r="AA169" i="11"/>
  <c r="AA169" i="10"/>
  <c r="AA169" i="9"/>
  <c r="S169" i="11"/>
  <c r="S169" i="10"/>
  <c r="S169" i="9"/>
  <c r="K169" i="11"/>
  <c r="K169" i="10"/>
  <c r="K169" i="9"/>
  <c r="C169" i="11"/>
  <c r="C169" i="10"/>
  <c r="C169" i="9"/>
  <c r="W168" i="11"/>
  <c r="W168" i="10"/>
  <c r="W168" i="9"/>
  <c r="O168" i="11"/>
  <c r="O168" i="10"/>
  <c r="O168" i="9"/>
  <c r="G168" i="11"/>
  <c r="G168" i="10"/>
  <c r="G168" i="9"/>
  <c r="AA167" i="11"/>
  <c r="AA167" i="10"/>
  <c r="AA167" i="9"/>
  <c r="S167" i="11"/>
  <c r="S167" i="10"/>
  <c r="S167" i="9"/>
  <c r="K167" i="11"/>
  <c r="K167" i="10"/>
  <c r="K167" i="9"/>
  <c r="C167" i="11"/>
  <c r="C167" i="10"/>
  <c r="C167" i="9"/>
  <c r="W166" i="11"/>
  <c r="W166" i="10"/>
  <c r="W166" i="9"/>
  <c r="O166" i="11"/>
  <c r="O166" i="10"/>
  <c r="O166" i="9"/>
  <c r="G166" i="11"/>
  <c r="G166" i="10"/>
  <c r="G166" i="9"/>
  <c r="AA165" i="11"/>
  <c r="AA165" i="10"/>
  <c r="AA165" i="9"/>
  <c r="S165" i="11"/>
  <c r="S165" i="10"/>
  <c r="S165" i="9"/>
  <c r="K165" i="11"/>
  <c r="K165" i="10"/>
  <c r="K165" i="9"/>
  <c r="C165" i="11"/>
  <c r="C165" i="10"/>
  <c r="C165" i="9"/>
  <c r="W164" i="11"/>
  <c r="W164" i="10"/>
  <c r="W164" i="9"/>
  <c r="O164" i="11"/>
  <c r="O164" i="10"/>
  <c r="O164" i="9"/>
  <c r="G164" i="11"/>
  <c r="G164" i="10"/>
  <c r="G164" i="9"/>
  <c r="AA163" i="11"/>
  <c r="AA163" i="10"/>
  <c r="AA163" i="9"/>
  <c r="S163" i="11"/>
  <c r="S163" i="10"/>
  <c r="S163" i="9"/>
  <c r="K163" i="11"/>
  <c r="K163" i="10"/>
  <c r="K163" i="9"/>
  <c r="C163" i="11"/>
  <c r="C163" i="10"/>
  <c r="C163" i="9"/>
  <c r="W162" i="11"/>
  <c r="W162" i="10"/>
  <c r="W162" i="9"/>
  <c r="O162" i="11"/>
  <c r="O162" i="10"/>
  <c r="O162" i="9"/>
  <c r="G162" i="11"/>
  <c r="G162" i="10"/>
  <c r="G162" i="9"/>
  <c r="AA161" i="11"/>
  <c r="AA161" i="10"/>
  <c r="AA161" i="9"/>
  <c r="S161" i="11"/>
  <c r="S161" i="10"/>
  <c r="S161" i="9"/>
  <c r="K161" i="11"/>
  <c r="K161" i="10"/>
  <c r="K161" i="9"/>
  <c r="C161" i="11"/>
  <c r="C161" i="10"/>
  <c r="C161" i="9"/>
  <c r="W160" i="11"/>
  <c r="W160" i="10"/>
  <c r="W160" i="9"/>
  <c r="O160" i="11"/>
  <c r="O160" i="10"/>
  <c r="O160" i="9"/>
  <c r="G160" i="11"/>
  <c r="G160" i="10"/>
  <c r="G160" i="9"/>
  <c r="AA159" i="11"/>
  <c r="AA159" i="10"/>
  <c r="AA159" i="9"/>
  <c r="S159" i="11"/>
  <c r="S159" i="10"/>
  <c r="S159" i="9"/>
  <c r="K159" i="11"/>
  <c r="K159" i="10"/>
  <c r="K159" i="9"/>
  <c r="C159" i="11"/>
  <c r="C159" i="10"/>
  <c r="C159" i="9"/>
  <c r="W158" i="11"/>
  <c r="W158" i="10"/>
  <c r="W158" i="9"/>
  <c r="O158" i="11"/>
  <c r="O158" i="10"/>
  <c r="O158" i="9"/>
  <c r="G158" i="11"/>
  <c r="G158" i="10"/>
  <c r="G158" i="9"/>
  <c r="AA157" i="11"/>
  <c r="AA157" i="10"/>
  <c r="AA157" i="9"/>
  <c r="S157" i="11"/>
  <c r="S157" i="10"/>
  <c r="S157" i="9"/>
  <c r="K157" i="11"/>
  <c r="K157" i="10"/>
  <c r="K157" i="9"/>
  <c r="C157" i="11"/>
  <c r="C157" i="10"/>
  <c r="C157" i="9"/>
  <c r="W156" i="11"/>
  <c r="W156" i="10"/>
  <c r="W156" i="9"/>
  <c r="O156" i="11"/>
  <c r="O156" i="10"/>
  <c r="O156" i="9"/>
  <c r="G156" i="11"/>
  <c r="G156" i="10"/>
  <c r="G156" i="9"/>
  <c r="AA155" i="11"/>
  <c r="AA155" i="10"/>
  <c r="AA155" i="9"/>
  <c r="S155" i="11"/>
  <c r="S155" i="10"/>
  <c r="S155" i="9"/>
  <c r="K155" i="11"/>
  <c r="K155" i="10"/>
  <c r="K155" i="9"/>
  <c r="C155" i="11"/>
  <c r="C155" i="10"/>
  <c r="C155" i="9"/>
  <c r="W154" i="11"/>
  <c r="W154" i="10"/>
  <c r="W154" i="9"/>
  <c r="O154" i="11"/>
  <c r="O154" i="10"/>
  <c r="O154" i="9"/>
  <c r="G154" i="11"/>
  <c r="G154" i="10"/>
  <c r="G154" i="9"/>
  <c r="AA153" i="11"/>
  <c r="AA153" i="10"/>
  <c r="AA153" i="9"/>
  <c r="S153" i="11"/>
  <c r="S153" i="10"/>
  <c r="S153" i="9"/>
  <c r="K153" i="11"/>
  <c r="K153" i="10"/>
  <c r="K153" i="9"/>
  <c r="C153" i="11"/>
  <c r="C153" i="10"/>
  <c r="C153" i="9"/>
  <c r="W152" i="11"/>
  <c r="W152" i="10"/>
  <c r="W152" i="9"/>
  <c r="O152" i="11"/>
  <c r="O152" i="10"/>
  <c r="O152" i="9"/>
  <c r="G152" i="11"/>
  <c r="G152" i="10"/>
  <c r="G152" i="9"/>
  <c r="AA151" i="11"/>
  <c r="AA151" i="10"/>
  <c r="AA151" i="9"/>
  <c r="S151" i="11"/>
  <c r="S151" i="10"/>
  <c r="S151" i="9"/>
  <c r="K151" i="11"/>
  <c r="K151" i="10"/>
  <c r="K151" i="9"/>
  <c r="C151" i="11"/>
  <c r="C151" i="10"/>
  <c r="C151" i="9"/>
  <c r="W150" i="11"/>
  <c r="W150" i="10"/>
  <c r="W150" i="9"/>
  <c r="O150" i="11"/>
  <c r="O150" i="10"/>
  <c r="O150" i="9"/>
  <c r="G150" i="11"/>
  <c r="G150" i="10"/>
  <c r="G150" i="9"/>
  <c r="AA149" i="11"/>
  <c r="AA149" i="10"/>
  <c r="AA149" i="9"/>
  <c r="S149" i="11"/>
  <c r="S149" i="10"/>
  <c r="S149" i="9"/>
  <c r="K149" i="11"/>
  <c r="K149" i="10"/>
  <c r="K149" i="9"/>
  <c r="C149" i="11"/>
  <c r="C149" i="10"/>
  <c r="C149" i="9"/>
  <c r="W148" i="11"/>
  <c r="W148" i="10"/>
  <c r="W148" i="9"/>
  <c r="O148" i="11"/>
  <c r="O148" i="10"/>
  <c r="O148" i="9"/>
  <c r="G148" i="11"/>
  <c r="G148" i="10"/>
  <c r="G148" i="9"/>
  <c r="AA147" i="11"/>
  <c r="AA147" i="10"/>
  <c r="AA147" i="9"/>
  <c r="S147" i="11"/>
  <c r="S147" i="10"/>
  <c r="S147" i="9"/>
  <c r="K147" i="11"/>
  <c r="K147" i="10"/>
  <c r="K147" i="9"/>
  <c r="C147" i="11"/>
  <c r="C147" i="10"/>
  <c r="C147" i="9"/>
  <c r="W146" i="11"/>
  <c r="W146" i="10"/>
  <c r="W146" i="9"/>
  <c r="O146" i="11"/>
  <c r="O146" i="10"/>
  <c r="O146" i="9"/>
  <c r="G146" i="11"/>
  <c r="G146" i="10"/>
  <c r="G146" i="9"/>
  <c r="AA145" i="11"/>
  <c r="AA145" i="10"/>
  <c r="AA145" i="9"/>
  <c r="S145" i="11"/>
  <c r="S145" i="10"/>
  <c r="S145" i="9"/>
  <c r="K145" i="11"/>
  <c r="K145" i="10"/>
  <c r="K145" i="9"/>
  <c r="C145" i="11"/>
  <c r="C145" i="10"/>
  <c r="C145" i="9"/>
  <c r="W144" i="11"/>
  <c r="W144" i="10"/>
  <c r="W144" i="9"/>
  <c r="O144" i="11"/>
  <c r="O144" i="10"/>
  <c r="O144" i="9"/>
  <c r="G144" i="11"/>
  <c r="G144" i="10"/>
  <c r="G144" i="9"/>
  <c r="AA143" i="11"/>
  <c r="AA143" i="10"/>
  <c r="AA143" i="9"/>
  <c r="S143" i="11"/>
  <c r="S143" i="10"/>
  <c r="S143" i="9"/>
  <c r="K143" i="11"/>
  <c r="K143" i="10"/>
  <c r="K143" i="9"/>
  <c r="C143" i="11"/>
  <c r="C143" i="10"/>
  <c r="C143" i="9"/>
  <c r="W142" i="11"/>
  <c r="W142" i="10"/>
  <c r="W142" i="9"/>
  <c r="O142" i="11"/>
  <c r="O142" i="10"/>
  <c r="O142" i="9"/>
  <c r="G142" i="11"/>
  <c r="G142" i="10"/>
  <c r="G142" i="9"/>
  <c r="AA141" i="11"/>
  <c r="AA141" i="10"/>
  <c r="AA141" i="9"/>
  <c r="S141" i="11"/>
  <c r="S141" i="10"/>
  <c r="S141" i="9"/>
  <c r="K141" i="11"/>
  <c r="K141" i="10"/>
  <c r="K141" i="9"/>
  <c r="C141" i="11"/>
  <c r="C141" i="10"/>
  <c r="C141" i="9"/>
  <c r="W140" i="11"/>
  <c r="W140" i="10"/>
  <c r="W140" i="9"/>
  <c r="O140" i="11"/>
  <c r="O140" i="10"/>
  <c r="O140" i="9"/>
  <c r="G140" i="11"/>
  <c r="G140" i="10"/>
  <c r="G140" i="9"/>
  <c r="AA139" i="11"/>
  <c r="AA139" i="10"/>
  <c r="AA139" i="9"/>
  <c r="S139" i="11"/>
  <c r="S139" i="10"/>
  <c r="S139" i="9"/>
  <c r="K139" i="11"/>
  <c r="K139" i="10"/>
  <c r="K139" i="9"/>
  <c r="C139" i="11"/>
  <c r="C139" i="10"/>
  <c r="C139" i="9"/>
  <c r="W138" i="11"/>
  <c r="W138" i="10"/>
  <c r="W138" i="9"/>
  <c r="O138" i="11"/>
  <c r="O138" i="10"/>
  <c r="O138" i="9"/>
  <c r="G138" i="11"/>
  <c r="G138" i="10"/>
  <c r="G138" i="9"/>
  <c r="AA137" i="11"/>
  <c r="AA137" i="10"/>
  <c r="AA137" i="9"/>
  <c r="S137" i="11"/>
  <c r="S137" i="10"/>
  <c r="S137" i="9"/>
  <c r="K137" i="11"/>
  <c r="K137" i="10"/>
  <c r="K137" i="9"/>
  <c r="C137" i="11"/>
  <c r="C137" i="10"/>
  <c r="C137" i="9"/>
  <c r="W136" i="11"/>
  <c r="W136" i="10"/>
  <c r="W136" i="9"/>
  <c r="O136" i="11"/>
  <c r="O136" i="10"/>
  <c r="O136" i="9"/>
  <c r="G136" i="11"/>
  <c r="G136" i="10"/>
  <c r="G136" i="9"/>
  <c r="AA135" i="11"/>
  <c r="AA135" i="10"/>
  <c r="AA135" i="9"/>
  <c r="S135" i="11"/>
  <c r="S135" i="10"/>
  <c r="S135" i="9"/>
  <c r="K135" i="11"/>
  <c r="K135" i="10"/>
  <c r="K135" i="9"/>
  <c r="C135" i="11"/>
  <c r="C135" i="10"/>
  <c r="C135" i="9"/>
  <c r="W134" i="11"/>
  <c r="W134" i="10"/>
  <c r="W134" i="9"/>
  <c r="O134" i="11"/>
  <c r="O134" i="10"/>
  <c r="O134" i="9"/>
  <c r="G134" i="11"/>
  <c r="G134" i="10"/>
  <c r="G134" i="9"/>
  <c r="AA133" i="11"/>
  <c r="AA133" i="10"/>
  <c r="AA133" i="9"/>
  <c r="S133" i="11"/>
  <c r="S133" i="10"/>
  <c r="S133" i="9"/>
  <c r="K133" i="11"/>
  <c r="K133" i="10"/>
  <c r="K133" i="9"/>
  <c r="C133" i="11"/>
  <c r="C133" i="10"/>
  <c r="C133" i="9"/>
  <c r="W132" i="11"/>
  <c r="W132" i="10"/>
  <c r="W132" i="9"/>
  <c r="O132" i="11"/>
  <c r="O132" i="10"/>
  <c r="O132" i="9"/>
  <c r="G132" i="11"/>
  <c r="G132" i="10"/>
  <c r="G132" i="9"/>
  <c r="AA131" i="11"/>
  <c r="AA131" i="10"/>
  <c r="AA131" i="9"/>
  <c r="S131" i="11"/>
  <c r="S131" i="10"/>
  <c r="S131" i="9"/>
  <c r="K131" i="11"/>
  <c r="K131" i="10"/>
  <c r="K131" i="9"/>
  <c r="C131" i="11"/>
  <c r="C131" i="10"/>
  <c r="C131" i="9"/>
  <c r="W130" i="11"/>
  <c r="W130" i="10"/>
  <c r="W130" i="9"/>
  <c r="O130" i="11"/>
  <c r="O130" i="10"/>
  <c r="O130" i="9"/>
  <c r="G130" i="11"/>
  <c r="G130" i="10"/>
  <c r="G130" i="9"/>
  <c r="AA129" i="11"/>
  <c r="AA129" i="10"/>
  <c r="AA129" i="9"/>
  <c r="S129" i="11"/>
  <c r="S129" i="10"/>
  <c r="S129" i="9"/>
  <c r="K129" i="11"/>
  <c r="K129" i="10"/>
  <c r="K129" i="9"/>
  <c r="C129" i="11"/>
  <c r="C129" i="10"/>
  <c r="C129" i="9"/>
  <c r="W128" i="11"/>
  <c r="W128" i="10"/>
  <c r="W128" i="9"/>
  <c r="O128" i="11"/>
  <c r="O128" i="10"/>
  <c r="O128" i="9"/>
  <c r="G128" i="11"/>
  <c r="G128" i="10"/>
  <c r="G128" i="9"/>
  <c r="AA127" i="11"/>
  <c r="AA127" i="10"/>
  <c r="AA127" i="9"/>
  <c r="S127" i="11"/>
  <c r="S127" i="10"/>
  <c r="S127" i="9"/>
  <c r="K127" i="11"/>
  <c r="K127" i="10"/>
  <c r="K127" i="9"/>
  <c r="C127" i="11"/>
  <c r="C127" i="10"/>
  <c r="C127" i="9"/>
  <c r="W126" i="11"/>
  <c r="W126" i="10"/>
  <c r="W126" i="9"/>
  <c r="O126" i="11"/>
  <c r="O126" i="10"/>
  <c r="O126" i="9"/>
  <c r="G126" i="11"/>
  <c r="G126" i="10"/>
  <c r="G126" i="9"/>
  <c r="AA125" i="11"/>
  <c r="AA125" i="10"/>
  <c r="AA125" i="9"/>
  <c r="S125" i="11"/>
  <c r="S125" i="10"/>
  <c r="S125" i="9"/>
  <c r="K125" i="11"/>
  <c r="K125" i="10"/>
  <c r="K125" i="9"/>
  <c r="C125" i="11"/>
  <c r="C125" i="10"/>
  <c r="C125" i="9"/>
  <c r="W124" i="11"/>
  <c r="W124" i="10"/>
  <c r="W124" i="9"/>
  <c r="O124" i="11"/>
  <c r="O124" i="10"/>
  <c r="O124" i="9"/>
  <c r="G124" i="11"/>
  <c r="G124" i="10"/>
  <c r="G124" i="9"/>
  <c r="AA123" i="11"/>
  <c r="AA123" i="10"/>
  <c r="AA123" i="9"/>
  <c r="S123" i="11"/>
  <c r="S123" i="10"/>
  <c r="S123" i="9"/>
  <c r="K123" i="11"/>
  <c r="K123" i="10"/>
  <c r="K123" i="9"/>
  <c r="C123" i="11"/>
  <c r="C123" i="10"/>
  <c r="C123" i="9"/>
  <c r="W122" i="11"/>
  <c r="W122" i="10"/>
  <c r="W122" i="9"/>
  <c r="O122" i="11"/>
  <c r="O122" i="10"/>
  <c r="O122" i="9"/>
  <c r="G122" i="11"/>
  <c r="G122" i="10"/>
  <c r="G122" i="9"/>
  <c r="AA121" i="11"/>
  <c r="AA121" i="10"/>
  <c r="AA121" i="9"/>
  <c r="S121" i="11"/>
  <c r="S121" i="10"/>
  <c r="S121" i="9"/>
  <c r="K121" i="11"/>
  <c r="K121" i="10"/>
  <c r="K121" i="9"/>
  <c r="C121" i="11"/>
  <c r="C121" i="10"/>
  <c r="C121" i="9"/>
  <c r="W120" i="11"/>
  <c r="W120" i="10"/>
  <c r="W120" i="9"/>
  <c r="O120" i="11"/>
  <c r="O120" i="10"/>
  <c r="O120" i="9"/>
  <c r="G120" i="11"/>
  <c r="G120" i="10"/>
  <c r="G120" i="9"/>
  <c r="AA119" i="11"/>
  <c r="AA119" i="10"/>
  <c r="AA119" i="9"/>
  <c r="S119" i="11"/>
  <c r="S119" i="10"/>
  <c r="S119" i="9"/>
  <c r="K119" i="11"/>
  <c r="K119" i="10"/>
  <c r="K119" i="9"/>
  <c r="C119" i="11"/>
  <c r="C119" i="10"/>
  <c r="C119" i="9"/>
  <c r="W118" i="11"/>
  <c r="W118" i="10"/>
  <c r="W118" i="9"/>
  <c r="O118" i="11"/>
  <c r="O118" i="10"/>
  <c r="O118" i="9"/>
  <c r="G118" i="11"/>
  <c r="G118" i="10"/>
  <c r="G118" i="9"/>
  <c r="AA117" i="11"/>
  <c r="AA117" i="10"/>
  <c r="AA117" i="9"/>
  <c r="S117" i="11"/>
  <c r="S117" i="10"/>
  <c r="S117" i="9"/>
  <c r="K117" i="11"/>
  <c r="K117" i="10"/>
  <c r="K117" i="9"/>
  <c r="C117" i="11"/>
  <c r="C117" i="10"/>
  <c r="C117" i="9"/>
  <c r="W116" i="11"/>
  <c r="W116" i="10"/>
  <c r="W116" i="9"/>
  <c r="O116" i="11"/>
  <c r="O116" i="10"/>
  <c r="O116" i="9"/>
  <c r="G116" i="11"/>
  <c r="G116" i="10"/>
  <c r="G116" i="9"/>
  <c r="AA115" i="11"/>
  <c r="AA115" i="10"/>
  <c r="AA115" i="9"/>
  <c r="S115" i="11"/>
  <c r="S115" i="10"/>
  <c r="S115" i="9"/>
  <c r="K115" i="11"/>
  <c r="K115" i="10"/>
  <c r="K115" i="9"/>
  <c r="C115" i="11"/>
  <c r="C115" i="10"/>
  <c r="C115" i="9"/>
  <c r="W114" i="11"/>
  <c r="W114" i="10"/>
  <c r="W114" i="9"/>
  <c r="O114" i="11"/>
  <c r="O114" i="10"/>
  <c r="O114" i="9"/>
  <c r="G114" i="11"/>
  <c r="G114" i="10"/>
  <c r="G114" i="9"/>
  <c r="AA113" i="11"/>
  <c r="AA113" i="10"/>
  <c r="AA113" i="9"/>
  <c r="S113" i="11"/>
  <c r="S113" i="10"/>
  <c r="S113" i="9"/>
  <c r="K113" i="11"/>
  <c r="K113" i="10"/>
  <c r="K113" i="9"/>
  <c r="C113" i="11"/>
  <c r="C113" i="10"/>
  <c r="C113" i="9"/>
  <c r="W112" i="11"/>
  <c r="W112" i="10"/>
  <c r="W112" i="9"/>
  <c r="O112" i="11"/>
  <c r="O112" i="10"/>
  <c r="O112" i="9"/>
  <c r="G112" i="11"/>
  <c r="G112" i="10"/>
  <c r="G112" i="9"/>
  <c r="AA111" i="11"/>
  <c r="AA111" i="10"/>
  <c r="AA111" i="9"/>
  <c r="S111" i="11"/>
  <c r="S111" i="10"/>
  <c r="S111" i="9"/>
  <c r="K111" i="11"/>
  <c r="K111" i="10"/>
  <c r="K111" i="9"/>
  <c r="C111" i="11"/>
  <c r="C111" i="10"/>
  <c r="C111" i="9"/>
  <c r="W110" i="11"/>
  <c r="W110" i="10"/>
  <c r="W110" i="9"/>
  <c r="O110" i="11"/>
  <c r="O110" i="10"/>
  <c r="O110" i="9"/>
  <c r="G110" i="11"/>
  <c r="G110" i="10"/>
  <c r="G110" i="9"/>
  <c r="AA109" i="11"/>
  <c r="AA109" i="10"/>
  <c r="AA109" i="9"/>
  <c r="S109" i="11"/>
  <c r="S109" i="10"/>
  <c r="S109" i="9"/>
  <c r="K109" i="11"/>
  <c r="K109" i="10"/>
  <c r="K109" i="9"/>
  <c r="C109" i="11"/>
  <c r="C109" i="10"/>
  <c r="C109" i="9"/>
  <c r="W108" i="11"/>
  <c r="W108" i="10"/>
  <c r="W108" i="9"/>
  <c r="O108" i="11"/>
  <c r="O108" i="10"/>
  <c r="O108" i="9"/>
  <c r="G108" i="11"/>
  <c r="G108" i="10"/>
  <c r="G108" i="9"/>
  <c r="AA107" i="11"/>
  <c r="AA107" i="10"/>
  <c r="AA107" i="9"/>
  <c r="S107" i="11"/>
  <c r="S107" i="10"/>
  <c r="S107" i="9"/>
  <c r="K107" i="11"/>
  <c r="K107" i="10"/>
  <c r="K107" i="9"/>
  <c r="C107" i="11"/>
  <c r="C107" i="10"/>
  <c r="C107" i="9"/>
  <c r="W106" i="11"/>
  <c r="W106" i="10"/>
  <c r="W106" i="9"/>
  <c r="O106" i="11"/>
  <c r="O106" i="10"/>
  <c r="O106" i="9"/>
  <c r="G106" i="11"/>
  <c r="G106" i="10"/>
  <c r="G106" i="9"/>
  <c r="AA105" i="11"/>
  <c r="AA105" i="10"/>
  <c r="AA105" i="9"/>
  <c r="S105" i="11"/>
  <c r="S105" i="10"/>
  <c r="S105" i="9"/>
  <c r="K105" i="11"/>
  <c r="K105" i="10"/>
  <c r="K105" i="9"/>
  <c r="C105" i="11"/>
  <c r="C105" i="10"/>
  <c r="C105" i="9"/>
  <c r="W104" i="11"/>
  <c r="W104" i="10"/>
  <c r="W104" i="9"/>
  <c r="O104" i="11"/>
  <c r="O104" i="10"/>
  <c r="O104" i="9"/>
  <c r="G104" i="11"/>
  <c r="G104" i="10"/>
  <c r="G104" i="9"/>
  <c r="AA103" i="11"/>
  <c r="AA103" i="10"/>
  <c r="AA103" i="9"/>
  <c r="S103" i="11"/>
  <c r="S103" i="10"/>
  <c r="S103" i="9"/>
  <c r="K103" i="11"/>
  <c r="K103" i="10"/>
  <c r="K103" i="9"/>
  <c r="C103" i="11"/>
  <c r="C103" i="10"/>
  <c r="C103" i="9"/>
  <c r="W102" i="11"/>
  <c r="W102" i="10"/>
  <c r="W102" i="9"/>
  <c r="O102" i="11"/>
  <c r="O102" i="10"/>
  <c r="O102" i="9"/>
  <c r="G102" i="11"/>
  <c r="G102" i="10"/>
  <c r="G102" i="9"/>
  <c r="AA101" i="11"/>
  <c r="AA101" i="10"/>
  <c r="AA101" i="9"/>
  <c r="S101" i="11"/>
  <c r="S101" i="10"/>
  <c r="S101" i="9"/>
  <c r="K101" i="11"/>
  <c r="K101" i="10"/>
  <c r="K101" i="9"/>
  <c r="C101" i="11"/>
  <c r="C101" i="10"/>
  <c r="C101" i="9"/>
  <c r="W100" i="11"/>
  <c r="W100" i="10"/>
  <c r="W100" i="9"/>
  <c r="O100" i="11"/>
  <c r="O100" i="10"/>
  <c r="O100" i="9"/>
  <c r="G100" i="11"/>
  <c r="G100" i="10"/>
  <c r="G100" i="9"/>
  <c r="AA99" i="11"/>
  <c r="AA99" i="10"/>
  <c r="AA99" i="9"/>
  <c r="S99" i="11"/>
  <c r="S99" i="10"/>
  <c r="S99" i="9"/>
  <c r="K99" i="11"/>
  <c r="K99" i="10"/>
  <c r="K99" i="9"/>
  <c r="C99" i="11"/>
  <c r="C99" i="10"/>
  <c r="C99" i="9"/>
  <c r="W98" i="11"/>
  <c r="W98" i="10"/>
  <c r="W98" i="9"/>
  <c r="O98" i="11"/>
  <c r="O98" i="10"/>
  <c r="O98" i="9"/>
  <c r="G98" i="11"/>
  <c r="G98" i="10"/>
  <c r="G98" i="9"/>
  <c r="AA97" i="11"/>
  <c r="AA97" i="10"/>
  <c r="AA97" i="9"/>
  <c r="S97" i="11"/>
  <c r="S97" i="10"/>
  <c r="S97" i="9"/>
  <c r="K97" i="11"/>
  <c r="K97" i="10"/>
  <c r="K97" i="9"/>
  <c r="C97" i="11"/>
  <c r="C97" i="10"/>
  <c r="C97" i="9"/>
  <c r="W96" i="11"/>
  <c r="W96" i="10"/>
  <c r="W96" i="9"/>
  <c r="O96" i="11"/>
  <c r="O96" i="10"/>
  <c r="O96" i="9"/>
  <c r="G96" i="11"/>
  <c r="G96" i="10"/>
  <c r="G96" i="9"/>
  <c r="AA95" i="11"/>
  <c r="AA95" i="10"/>
  <c r="AA95" i="9"/>
  <c r="S95" i="11"/>
  <c r="S95" i="10"/>
  <c r="S95" i="9"/>
  <c r="K95" i="11"/>
  <c r="K95" i="10"/>
  <c r="K95" i="9"/>
  <c r="C95" i="11"/>
  <c r="C95" i="10"/>
  <c r="C95" i="9"/>
  <c r="W94" i="11"/>
  <c r="W94" i="10"/>
  <c r="W94" i="9"/>
  <c r="O94" i="11"/>
  <c r="O94" i="10"/>
  <c r="O94" i="9"/>
  <c r="G94" i="11"/>
  <c r="G94" i="10"/>
  <c r="G94" i="9"/>
  <c r="AA93" i="11"/>
  <c r="AA93" i="10"/>
  <c r="AA93" i="9"/>
  <c r="S93" i="11"/>
  <c r="S93" i="10"/>
  <c r="S93" i="9"/>
  <c r="K93" i="11"/>
  <c r="K93" i="10"/>
  <c r="K93" i="9"/>
  <c r="C93" i="11"/>
  <c r="C93" i="10"/>
  <c r="C93" i="9"/>
  <c r="W92" i="11"/>
  <c r="W92" i="10"/>
  <c r="W92" i="9"/>
  <c r="O92" i="11"/>
  <c r="O92" i="10"/>
  <c r="O92" i="9"/>
  <c r="G92" i="11"/>
  <c r="G92" i="10"/>
  <c r="G92" i="9"/>
  <c r="AA91" i="11"/>
  <c r="AA91" i="10"/>
  <c r="AA91" i="9"/>
  <c r="S91" i="11"/>
  <c r="S91" i="10"/>
  <c r="S91" i="9"/>
  <c r="K91" i="11"/>
  <c r="K91" i="10"/>
  <c r="K91" i="9"/>
  <c r="C91" i="11"/>
  <c r="C91" i="10"/>
  <c r="C91" i="9"/>
  <c r="W90" i="11"/>
  <c r="W90" i="10"/>
  <c r="W90" i="9"/>
  <c r="O90" i="11"/>
  <c r="O90" i="10"/>
  <c r="O90" i="9"/>
  <c r="G90" i="11"/>
  <c r="G90" i="10"/>
  <c r="G90" i="9"/>
  <c r="AA89" i="11"/>
  <c r="AA89" i="10"/>
  <c r="AA89" i="9"/>
  <c r="S89" i="11"/>
  <c r="S89" i="10"/>
  <c r="S89" i="9"/>
  <c r="K89" i="11"/>
  <c r="K89" i="10"/>
  <c r="K89" i="9"/>
  <c r="C89" i="11"/>
  <c r="C89" i="10"/>
  <c r="C89" i="9"/>
  <c r="W88" i="11"/>
  <c r="W88" i="10"/>
  <c r="W88" i="9"/>
  <c r="O88" i="11"/>
  <c r="O88" i="10"/>
  <c r="O88" i="9"/>
  <c r="G88" i="11"/>
  <c r="G88" i="10"/>
  <c r="G88" i="9"/>
  <c r="AA87" i="11"/>
  <c r="AA87" i="10"/>
  <c r="AA87" i="9"/>
  <c r="S87" i="11"/>
  <c r="S87" i="10"/>
  <c r="S87" i="9"/>
  <c r="K87" i="11"/>
  <c r="K87" i="10"/>
  <c r="K87" i="9"/>
  <c r="C87" i="11"/>
  <c r="C87" i="10"/>
  <c r="C87" i="9"/>
  <c r="W86" i="11"/>
  <c r="W86" i="10"/>
  <c r="W86" i="9"/>
  <c r="O86" i="11"/>
  <c r="O86" i="10"/>
  <c r="O86" i="9"/>
  <c r="G86" i="11"/>
  <c r="G86" i="10"/>
  <c r="G86" i="9"/>
  <c r="AA85" i="11"/>
  <c r="AA85" i="10"/>
  <c r="AA85" i="9"/>
  <c r="S85" i="11"/>
  <c r="S85" i="10"/>
  <c r="S85" i="9"/>
  <c r="K85" i="11"/>
  <c r="K85" i="10"/>
  <c r="K85" i="9"/>
  <c r="C85" i="11"/>
  <c r="C85" i="10"/>
  <c r="C85" i="9"/>
  <c r="W84" i="11"/>
  <c r="W84" i="10"/>
  <c r="W84" i="9"/>
  <c r="O84" i="11"/>
  <c r="O84" i="10"/>
  <c r="O84" i="9"/>
  <c r="G84" i="11"/>
  <c r="G84" i="10"/>
  <c r="G84" i="9"/>
  <c r="AA83" i="11"/>
  <c r="AA83" i="10"/>
  <c r="AA83" i="9"/>
  <c r="S83" i="11"/>
  <c r="S83" i="10"/>
  <c r="S83" i="9"/>
  <c r="K83" i="11"/>
  <c r="K83" i="10"/>
  <c r="K83" i="9"/>
  <c r="C83" i="11"/>
  <c r="C83" i="10"/>
  <c r="C83" i="9"/>
  <c r="W82" i="11"/>
  <c r="W82" i="10"/>
  <c r="W82" i="9"/>
  <c r="O82" i="11"/>
  <c r="O82" i="10"/>
  <c r="O82" i="9"/>
  <c r="G82" i="11"/>
  <c r="G82" i="10"/>
  <c r="G82" i="9"/>
  <c r="AA81" i="11"/>
  <c r="AA81" i="10"/>
  <c r="AA81" i="9"/>
  <c r="S81" i="11"/>
  <c r="S81" i="10"/>
  <c r="S81" i="9"/>
  <c r="K81" i="11"/>
  <c r="K81" i="10"/>
  <c r="K81" i="9"/>
  <c r="C81" i="11"/>
  <c r="C81" i="10"/>
  <c r="C81" i="9"/>
  <c r="W80" i="11"/>
  <c r="W80" i="10"/>
  <c r="W80" i="9"/>
  <c r="O80" i="11"/>
  <c r="O80" i="10"/>
  <c r="O80" i="9"/>
  <c r="G80" i="11"/>
  <c r="G80" i="10"/>
  <c r="G80" i="9"/>
  <c r="AA79" i="11"/>
  <c r="AA79" i="10"/>
  <c r="AA79" i="9"/>
  <c r="S79" i="11"/>
  <c r="S79" i="10"/>
  <c r="S79" i="9"/>
  <c r="K79" i="11"/>
  <c r="K79" i="10"/>
  <c r="K79" i="9"/>
  <c r="C79" i="11"/>
  <c r="C79" i="10"/>
  <c r="C79" i="9"/>
  <c r="W78" i="11"/>
  <c r="W78" i="10"/>
  <c r="W78" i="9"/>
  <c r="O78" i="11"/>
  <c r="O78" i="10"/>
  <c r="O78" i="9"/>
  <c r="G78" i="11"/>
  <c r="G78" i="10"/>
  <c r="G78" i="9"/>
  <c r="AA77" i="11"/>
  <c r="AA77" i="10"/>
  <c r="AA77" i="9"/>
  <c r="S77" i="11"/>
  <c r="S77" i="10"/>
  <c r="S77" i="9"/>
  <c r="K77" i="11"/>
  <c r="K77" i="10"/>
  <c r="K77" i="9"/>
  <c r="C77" i="11"/>
  <c r="C77" i="10"/>
  <c r="C77" i="9"/>
  <c r="W76" i="11"/>
  <c r="W76" i="10"/>
  <c r="W76" i="9"/>
  <c r="O76" i="11"/>
  <c r="O76" i="10"/>
  <c r="O76" i="9"/>
  <c r="G76" i="11"/>
  <c r="G76" i="10"/>
  <c r="G76" i="9"/>
  <c r="AA75" i="11"/>
  <c r="AA75" i="10"/>
  <c r="AA75" i="9"/>
  <c r="S75" i="11"/>
  <c r="S75" i="10"/>
  <c r="S75" i="9"/>
  <c r="K75" i="11"/>
  <c r="K75" i="10"/>
  <c r="K75" i="9"/>
  <c r="C75" i="11"/>
  <c r="C75" i="10"/>
  <c r="C75" i="9"/>
  <c r="W74" i="11"/>
  <c r="W74" i="10"/>
  <c r="W74" i="9"/>
  <c r="O74" i="11"/>
  <c r="O74" i="10"/>
  <c r="O74" i="9"/>
  <c r="G74" i="11"/>
  <c r="G74" i="10"/>
  <c r="G74" i="9"/>
  <c r="AA73" i="11"/>
  <c r="AA73" i="10"/>
  <c r="AA73" i="9"/>
  <c r="S73" i="11"/>
  <c r="S73" i="10"/>
  <c r="S73" i="9"/>
  <c r="K73" i="11"/>
  <c r="K73" i="10"/>
  <c r="K73" i="9"/>
  <c r="C73" i="11"/>
  <c r="C73" i="10"/>
  <c r="C73" i="9"/>
  <c r="W72" i="11"/>
  <c r="W72" i="10"/>
  <c r="W72" i="9"/>
  <c r="O72" i="11"/>
  <c r="O72" i="10"/>
  <c r="O72" i="9"/>
  <c r="G72" i="11"/>
  <c r="G72" i="10"/>
  <c r="G72" i="9"/>
  <c r="AA71" i="11"/>
  <c r="AA71" i="10"/>
  <c r="AA71" i="9"/>
  <c r="S71" i="11"/>
  <c r="S71" i="10"/>
  <c r="S71" i="9"/>
  <c r="K71" i="11"/>
  <c r="K71" i="10"/>
  <c r="K71" i="9"/>
  <c r="C71" i="11"/>
  <c r="C71" i="10"/>
  <c r="C71" i="9"/>
  <c r="W70" i="11"/>
  <c r="W70" i="10"/>
  <c r="W70" i="9"/>
  <c r="O70" i="11"/>
  <c r="O70" i="10"/>
  <c r="O70" i="9"/>
  <c r="G70" i="11"/>
  <c r="G70" i="10"/>
  <c r="G70" i="9"/>
  <c r="AA69" i="11"/>
  <c r="AA69" i="10"/>
  <c r="AA69" i="9"/>
  <c r="S69" i="11"/>
  <c r="S69" i="10"/>
  <c r="S69" i="9"/>
  <c r="K69" i="11"/>
  <c r="K69" i="10"/>
  <c r="K69" i="9"/>
  <c r="C69" i="11"/>
  <c r="C69" i="10"/>
  <c r="C69" i="9"/>
  <c r="W68" i="11"/>
  <c r="W68" i="10"/>
  <c r="W68" i="9"/>
  <c r="O68" i="11"/>
  <c r="O68" i="10"/>
  <c r="O68" i="9"/>
  <c r="G68" i="11"/>
  <c r="G68" i="10"/>
  <c r="G68" i="9"/>
  <c r="AA67" i="11"/>
  <c r="AA67" i="10"/>
  <c r="AA67" i="9"/>
  <c r="S67" i="11"/>
  <c r="S67" i="10"/>
  <c r="S67" i="9"/>
  <c r="K67" i="11"/>
  <c r="K67" i="10"/>
  <c r="K67" i="9"/>
  <c r="C67" i="11"/>
  <c r="C67" i="10"/>
  <c r="C67" i="9"/>
  <c r="W66" i="11"/>
  <c r="W66" i="10"/>
  <c r="W66" i="9"/>
  <c r="O66" i="11"/>
  <c r="O66" i="10"/>
  <c r="O66" i="9"/>
  <c r="G66" i="11"/>
  <c r="G66" i="10"/>
  <c r="G66" i="9"/>
  <c r="AA65" i="11"/>
  <c r="AA65" i="10"/>
  <c r="AA65" i="9"/>
  <c r="S65" i="11"/>
  <c r="S65" i="10"/>
  <c r="S65" i="9"/>
  <c r="K65" i="11"/>
  <c r="K65" i="10"/>
  <c r="K65" i="9"/>
  <c r="C65" i="11"/>
  <c r="C65" i="10"/>
  <c r="C65" i="9"/>
  <c r="W64" i="11"/>
  <c r="W64" i="10"/>
  <c r="W64" i="9"/>
  <c r="O64" i="11"/>
  <c r="O64" i="10"/>
  <c r="O64" i="9"/>
  <c r="G64" i="11"/>
  <c r="G64" i="10"/>
  <c r="G64" i="9"/>
  <c r="AA63" i="11"/>
  <c r="AA63" i="10"/>
  <c r="AA63" i="9"/>
  <c r="S63" i="11"/>
  <c r="S63" i="10"/>
  <c r="S63" i="9"/>
  <c r="K63" i="11"/>
  <c r="K63" i="10"/>
  <c r="K63" i="9"/>
  <c r="C63" i="11"/>
  <c r="C63" i="10"/>
  <c r="C63" i="9"/>
  <c r="W62" i="11"/>
  <c r="W62" i="10"/>
  <c r="W62" i="9"/>
  <c r="O62" i="11"/>
  <c r="O62" i="10"/>
  <c r="O62" i="9"/>
  <c r="G62" i="11"/>
  <c r="G62" i="10"/>
  <c r="G62" i="9"/>
  <c r="AA61" i="11"/>
  <c r="AA61" i="10"/>
  <c r="AA61" i="9"/>
  <c r="S61" i="11"/>
  <c r="S61" i="10"/>
  <c r="S61" i="9"/>
  <c r="K61" i="11"/>
  <c r="K61" i="10"/>
  <c r="K61" i="9"/>
  <c r="C61" i="11"/>
  <c r="C61" i="10"/>
  <c r="C61" i="9"/>
  <c r="W60" i="11"/>
  <c r="W60" i="10"/>
  <c r="W60" i="9"/>
  <c r="O60" i="11"/>
  <c r="O60" i="10"/>
  <c r="O60" i="9"/>
  <c r="G60" i="11"/>
  <c r="G60" i="10"/>
  <c r="G60" i="9"/>
  <c r="AA59" i="11"/>
  <c r="AA59" i="10"/>
  <c r="AA59" i="9"/>
  <c r="S59" i="11"/>
  <c r="S59" i="10"/>
  <c r="S59" i="9"/>
  <c r="K59" i="11"/>
  <c r="K59" i="10"/>
  <c r="K59" i="9"/>
  <c r="C59" i="11"/>
  <c r="C59" i="10"/>
  <c r="C59" i="9"/>
  <c r="W58" i="11"/>
  <c r="W58" i="10"/>
  <c r="W58" i="9"/>
  <c r="O58" i="11"/>
  <c r="O58" i="10"/>
  <c r="O58" i="9"/>
  <c r="G58" i="11"/>
  <c r="G58" i="10"/>
  <c r="G58" i="9"/>
  <c r="AA57" i="11"/>
  <c r="AA57" i="10"/>
  <c r="AA57" i="9"/>
  <c r="S57" i="11"/>
  <c r="S57" i="10"/>
  <c r="S57" i="9"/>
  <c r="K57" i="11"/>
  <c r="K57" i="10"/>
  <c r="K57" i="9"/>
  <c r="C57" i="11"/>
  <c r="C57" i="10"/>
  <c r="C57" i="9"/>
  <c r="W56" i="11"/>
  <c r="W56" i="10"/>
  <c r="W56" i="9"/>
  <c r="O56" i="11"/>
  <c r="O56" i="10"/>
  <c r="O56" i="9"/>
  <c r="G56" i="11"/>
  <c r="G56" i="10"/>
  <c r="G56" i="9"/>
  <c r="AA55" i="11"/>
  <c r="AA55" i="10"/>
  <c r="AA55" i="9"/>
  <c r="S55" i="11"/>
  <c r="S55" i="10"/>
  <c r="S55" i="9"/>
  <c r="K55" i="11"/>
  <c r="K55" i="10"/>
  <c r="K55" i="9"/>
  <c r="C55" i="11"/>
  <c r="C55" i="10"/>
  <c r="C55" i="9"/>
  <c r="W54" i="11"/>
  <c r="W54" i="10"/>
  <c r="W54" i="9"/>
  <c r="N54" i="11"/>
  <c r="N54" i="10"/>
  <c r="N54" i="9"/>
  <c r="F54" i="11"/>
  <c r="F54" i="10"/>
  <c r="F54" i="9"/>
  <c r="Z53" i="11"/>
  <c r="Z53" i="10"/>
  <c r="Z53" i="9"/>
  <c r="R53" i="11"/>
  <c r="R53" i="10"/>
  <c r="R53" i="9"/>
  <c r="J53" i="11"/>
  <c r="J53" i="10"/>
  <c r="J53" i="9"/>
  <c r="B53" i="11"/>
  <c r="B53" i="10"/>
  <c r="B53" i="9"/>
  <c r="AD52" i="11"/>
  <c r="AD52" i="10"/>
  <c r="AD52" i="9"/>
  <c r="V52" i="11"/>
  <c r="V52" i="10"/>
  <c r="V52" i="9"/>
  <c r="N52" i="11"/>
  <c r="N52" i="10"/>
  <c r="N52" i="9"/>
  <c r="F52" i="11"/>
  <c r="F52" i="10"/>
  <c r="F52" i="9"/>
  <c r="Z51" i="11"/>
  <c r="Z51" i="10"/>
  <c r="Z51" i="9"/>
  <c r="R51" i="11"/>
  <c r="R51" i="10"/>
  <c r="R51" i="9"/>
  <c r="J51" i="11"/>
  <c r="J51" i="10"/>
  <c r="J51" i="9"/>
  <c r="B51" i="11"/>
  <c r="B51" i="10"/>
  <c r="B51" i="9"/>
  <c r="AD50" i="11"/>
  <c r="AD50" i="10"/>
  <c r="AD50" i="9"/>
  <c r="V50" i="11"/>
  <c r="V50" i="10"/>
  <c r="V50" i="9"/>
  <c r="N50" i="11"/>
  <c r="N50" i="10"/>
  <c r="N50" i="9"/>
  <c r="F50" i="11"/>
  <c r="F50" i="10"/>
  <c r="F50" i="9"/>
  <c r="Z49" i="11"/>
  <c r="Z49" i="10"/>
  <c r="Z49" i="9"/>
  <c r="R49" i="11"/>
  <c r="R49" i="10"/>
  <c r="R49" i="9"/>
  <c r="J49" i="11"/>
  <c r="J49" i="10"/>
  <c r="J49" i="9"/>
  <c r="B49" i="11"/>
  <c r="B49" i="10"/>
  <c r="B49" i="9"/>
  <c r="AD48" i="11"/>
  <c r="AD48" i="10"/>
  <c r="AD48" i="9"/>
  <c r="V48" i="11"/>
  <c r="V48" i="10"/>
  <c r="V48" i="9"/>
  <c r="N48" i="11"/>
  <c r="N48" i="10"/>
  <c r="N48" i="9"/>
  <c r="F48" i="11"/>
  <c r="F48" i="10"/>
  <c r="F48" i="9"/>
  <c r="Z47" i="11"/>
  <c r="Z47" i="10"/>
  <c r="Z47" i="9"/>
  <c r="R47" i="11"/>
  <c r="R47" i="10"/>
  <c r="R47" i="9"/>
  <c r="J47" i="11"/>
  <c r="J47" i="10"/>
  <c r="J47" i="9"/>
  <c r="B47" i="11"/>
  <c r="B47" i="10"/>
  <c r="B47" i="9"/>
  <c r="AD46" i="11"/>
  <c r="AD46" i="10"/>
  <c r="AD46" i="9"/>
  <c r="V46" i="11"/>
  <c r="V46" i="10"/>
  <c r="V46" i="9"/>
  <c r="N46" i="11"/>
  <c r="N46" i="10"/>
  <c r="N46" i="9"/>
  <c r="F46" i="11"/>
  <c r="F46" i="10"/>
  <c r="F46" i="9"/>
  <c r="Z45" i="11"/>
  <c r="Z45" i="10"/>
  <c r="Z45" i="9"/>
  <c r="R45" i="11"/>
  <c r="R45" i="10"/>
  <c r="R45" i="9"/>
  <c r="J45" i="11"/>
  <c r="J45" i="10"/>
  <c r="J45" i="9"/>
  <c r="B45" i="11"/>
  <c r="B45" i="10"/>
  <c r="B45" i="9"/>
  <c r="AD44" i="11"/>
  <c r="AD44" i="10"/>
  <c r="AD44" i="9"/>
  <c r="V44" i="11"/>
  <c r="V44" i="10"/>
  <c r="V44" i="9"/>
  <c r="N44" i="11"/>
  <c r="N44" i="10"/>
  <c r="N44" i="9"/>
  <c r="F44" i="11"/>
  <c r="F44" i="10"/>
  <c r="F44" i="9"/>
  <c r="Z43" i="11"/>
  <c r="Z43" i="10"/>
  <c r="Z43" i="9"/>
  <c r="R43" i="11"/>
  <c r="R43" i="10"/>
  <c r="R43" i="9"/>
  <c r="J43" i="11"/>
  <c r="J43" i="10"/>
  <c r="J43" i="9"/>
  <c r="B43" i="11"/>
  <c r="B43" i="10"/>
  <c r="B43" i="9"/>
  <c r="AD42" i="11"/>
  <c r="AD42" i="10"/>
  <c r="AD42" i="9"/>
  <c r="V42" i="11"/>
  <c r="V42" i="10"/>
  <c r="V42" i="9"/>
  <c r="N42" i="11"/>
  <c r="N42" i="10"/>
  <c r="N42" i="9"/>
  <c r="F42" i="11"/>
  <c r="F42" i="10"/>
  <c r="F42" i="9"/>
  <c r="Z41" i="11"/>
  <c r="Z41" i="10"/>
  <c r="Z41" i="9"/>
  <c r="R41" i="11"/>
  <c r="R41" i="10"/>
  <c r="R41" i="9"/>
  <c r="J41" i="11"/>
  <c r="J41" i="10"/>
  <c r="J41" i="9"/>
  <c r="B41" i="11"/>
  <c r="B41" i="10"/>
  <c r="B41" i="9"/>
  <c r="AD40" i="11"/>
  <c r="AD40" i="9"/>
  <c r="AD40" i="10"/>
  <c r="V40" i="11"/>
  <c r="V40" i="9"/>
  <c r="V40" i="10"/>
  <c r="N40" i="11"/>
  <c r="N40" i="10"/>
  <c r="N40" i="9"/>
  <c r="F40" i="11"/>
  <c r="F40" i="10"/>
  <c r="F40" i="9"/>
  <c r="Z39" i="11"/>
  <c r="Z39" i="10"/>
  <c r="Z39" i="9"/>
  <c r="R39" i="11"/>
  <c r="R39" i="10"/>
  <c r="R39" i="9"/>
  <c r="J39" i="11"/>
  <c r="J39" i="10"/>
  <c r="J39" i="9"/>
  <c r="B39" i="11"/>
  <c r="B39" i="10"/>
  <c r="B39" i="9"/>
  <c r="AD38" i="11"/>
  <c r="AD38" i="10"/>
  <c r="AD38" i="9"/>
  <c r="V38" i="11"/>
  <c r="V38" i="10"/>
  <c r="V38" i="9"/>
  <c r="N38" i="11"/>
  <c r="N38" i="10"/>
  <c r="N38" i="9"/>
  <c r="F38" i="11"/>
  <c r="F38" i="10"/>
  <c r="F38" i="9"/>
  <c r="Z37" i="11"/>
  <c r="Z37" i="10"/>
  <c r="Z37" i="9"/>
  <c r="R37" i="11"/>
  <c r="R37" i="10"/>
  <c r="R37" i="9"/>
  <c r="J37" i="11"/>
  <c r="J37" i="10"/>
  <c r="J37" i="9"/>
  <c r="B37" i="11"/>
  <c r="B37" i="10"/>
  <c r="B37" i="9"/>
  <c r="AD36" i="11"/>
  <c r="AD36" i="10"/>
  <c r="AD36" i="9"/>
  <c r="V36" i="11"/>
  <c r="V36" i="10"/>
  <c r="V36" i="9"/>
  <c r="N36" i="11"/>
  <c r="N36" i="10"/>
  <c r="N36" i="9"/>
  <c r="F36" i="11"/>
  <c r="F36" i="10"/>
  <c r="F36" i="9"/>
  <c r="Z35" i="11"/>
  <c r="Z35" i="10"/>
  <c r="Z35" i="9"/>
  <c r="R35" i="11"/>
  <c r="R35" i="10"/>
  <c r="R35" i="9"/>
  <c r="J35" i="11"/>
  <c r="J35" i="10"/>
  <c r="J35" i="9"/>
  <c r="B35" i="11"/>
  <c r="B35" i="10"/>
  <c r="B35" i="9"/>
  <c r="AD34" i="11"/>
  <c r="AD34" i="10"/>
  <c r="AD34" i="9"/>
  <c r="V34" i="11"/>
  <c r="V34" i="10"/>
  <c r="V34" i="9"/>
  <c r="N34" i="11"/>
  <c r="N34" i="10"/>
  <c r="N34" i="9"/>
  <c r="F34" i="11"/>
  <c r="F34" i="10"/>
  <c r="F34" i="9"/>
  <c r="Z33" i="11"/>
  <c r="Z33" i="10"/>
  <c r="Z33" i="9"/>
  <c r="R33" i="11"/>
  <c r="R33" i="10"/>
  <c r="R33" i="9"/>
  <c r="J33" i="11"/>
  <c r="J33" i="10"/>
  <c r="J33" i="9"/>
  <c r="B33" i="11"/>
  <c r="B33" i="10"/>
  <c r="B33" i="9"/>
  <c r="AD32" i="11"/>
  <c r="AD32" i="9"/>
  <c r="AD32" i="10"/>
  <c r="V32" i="11"/>
  <c r="V32" i="10"/>
  <c r="V32" i="9"/>
  <c r="N32" i="11"/>
  <c r="N32" i="9"/>
  <c r="N32" i="10"/>
  <c r="F32" i="11"/>
  <c r="F32" i="9"/>
  <c r="F32" i="10"/>
  <c r="Z31" i="11"/>
  <c r="Z31" i="10"/>
  <c r="Z31" i="9"/>
  <c r="R31" i="11"/>
  <c r="R31" i="10"/>
  <c r="R31" i="9"/>
  <c r="J31" i="11"/>
  <c r="J31" i="10"/>
  <c r="J31" i="9"/>
  <c r="B31" i="11"/>
  <c r="B31" i="10"/>
  <c r="B31" i="9"/>
  <c r="AD30" i="11"/>
  <c r="AD30" i="10"/>
  <c r="AD30" i="9"/>
  <c r="V30" i="11"/>
  <c r="V30" i="10"/>
  <c r="V30" i="9"/>
  <c r="N30" i="11"/>
  <c r="N30" i="10"/>
  <c r="N30" i="9"/>
  <c r="F30" i="11"/>
  <c r="F30" i="10"/>
  <c r="F30" i="9"/>
  <c r="Z29" i="11"/>
  <c r="Z29" i="9"/>
  <c r="Z29" i="10"/>
  <c r="R29" i="11"/>
  <c r="R29" i="9"/>
  <c r="R29" i="10"/>
  <c r="J29" i="11"/>
  <c r="J29" i="9"/>
  <c r="J29" i="10"/>
  <c r="B29" i="11"/>
  <c r="B29" i="9"/>
  <c r="B29" i="10"/>
  <c r="AD28" i="11"/>
  <c r="AD28" i="9"/>
  <c r="AD28" i="10"/>
  <c r="V28" i="11"/>
  <c r="V28" i="9"/>
  <c r="V28" i="10"/>
  <c r="N28" i="11"/>
  <c r="N28" i="9"/>
  <c r="N28" i="10"/>
  <c r="F28" i="11"/>
  <c r="F28" i="9"/>
  <c r="F28" i="10"/>
  <c r="Z27" i="11"/>
  <c r="Z27" i="9"/>
  <c r="Z27" i="10"/>
  <c r="R27" i="11"/>
  <c r="R27" i="9"/>
  <c r="R27" i="10"/>
  <c r="J27" i="11"/>
  <c r="J27" i="9"/>
  <c r="J27" i="10"/>
  <c r="B27" i="11"/>
  <c r="B27" i="9"/>
  <c r="B27" i="10"/>
  <c r="AD26" i="11"/>
  <c r="AD26" i="10"/>
  <c r="AD26" i="9"/>
  <c r="V26" i="11"/>
  <c r="V26" i="10"/>
  <c r="V26" i="9"/>
  <c r="N26" i="11"/>
  <c r="N26" i="10"/>
  <c r="N26" i="9"/>
  <c r="F26" i="11"/>
  <c r="F26" i="10"/>
  <c r="F26" i="9"/>
  <c r="Z25" i="11"/>
  <c r="Z25" i="10"/>
  <c r="Z25" i="9"/>
  <c r="R25" i="11"/>
  <c r="R25" i="10"/>
  <c r="R25" i="9"/>
  <c r="J25" i="11"/>
  <c r="J25" i="10"/>
  <c r="J25" i="9"/>
  <c r="B25" i="11"/>
  <c r="B25" i="10"/>
  <c r="B25" i="9"/>
  <c r="AD24" i="11"/>
  <c r="AD24" i="10"/>
  <c r="AD24" i="9"/>
  <c r="V24" i="11"/>
  <c r="V24" i="10"/>
  <c r="V24" i="9"/>
  <c r="N24" i="11"/>
  <c r="N24" i="10"/>
  <c r="N24" i="9"/>
  <c r="F24" i="11"/>
  <c r="F24" i="10"/>
  <c r="F24" i="9"/>
  <c r="Z23" i="11"/>
  <c r="Z23" i="9"/>
  <c r="Z23" i="10"/>
  <c r="R23" i="11"/>
  <c r="R23" i="9"/>
  <c r="R23" i="10"/>
  <c r="J23" i="11"/>
  <c r="J23" i="9"/>
  <c r="J23" i="10"/>
  <c r="B23" i="11"/>
  <c r="B23" i="9"/>
  <c r="B23" i="10"/>
  <c r="AD22" i="11"/>
  <c r="AD22" i="9"/>
  <c r="AD22" i="10"/>
  <c r="V22" i="11"/>
  <c r="V22" i="9"/>
  <c r="V22" i="10"/>
  <c r="N22" i="11"/>
  <c r="N22" i="9"/>
  <c r="N22" i="10"/>
  <c r="F22" i="11"/>
  <c r="F22" i="9"/>
  <c r="F22" i="10"/>
  <c r="Z21" i="11"/>
  <c r="Z21" i="9"/>
  <c r="Z21" i="10"/>
  <c r="R21" i="11"/>
  <c r="R21" i="9"/>
  <c r="R21" i="10"/>
  <c r="J21" i="11"/>
  <c r="J21" i="9"/>
  <c r="J21" i="10"/>
  <c r="B21" i="11"/>
  <c r="B21" i="9"/>
  <c r="B21" i="10"/>
  <c r="AD20" i="11"/>
  <c r="AD20" i="9"/>
  <c r="AD20" i="10"/>
  <c r="V20" i="11"/>
  <c r="V20" i="9"/>
  <c r="V20" i="10"/>
  <c r="N20" i="11"/>
  <c r="N20" i="9"/>
  <c r="N20" i="10"/>
  <c r="F20" i="11"/>
  <c r="F20" i="9"/>
  <c r="F20" i="10"/>
  <c r="Z19" i="11"/>
  <c r="Z19" i="10"/>
  <c r="Z19" i="9"/>
  <c r="R19" i="11"/>
  <c r="R19" i="10"/>
  <c r="R19" i="9"/>
  <c r="J19" i="11"/>
  <c r="J19" i="10"/>
  <c r="J19" i="9"/>
  <c r="B19" i="11"/>
  <c r="B19" i="10"/>
  <c r="B19" i="9"/>
  <c r="AD18" i="11"/>
  <c r="AD18" i="10"/>
  <c r="AD18" i="9"/>
  <c r="V18" i="11"/>
  <c r="V18" i="10"/>
  <c r="V18" i="9"/>
  <c r="N18" i="11"/>
  <c r="N18" i="10"/>
  <c r="N18" i="9"/>
  <c r="F18" i="11"/>
  <c r="F18" i="10"/>
  <c r="F18" i="9"/>
  <c r="Z17" i="11"/>
  <c r="Z17" i="10"/>
  <c r="Z17" i="9"/>
  <c r="R17" i="11"/>
  <c r="R17" i="10"/>
  <c r="R17" i="9"/>
  <c r="J17" i="11"/>
  <c r="J17" i="10"/>
  <c r="J17" i="9"/>
  <c r="B17" i="11"/>
  <c r="B17" i="10"/>
  <c r="B17" i="9"/>
  <c r="AD16" i="11"/>
  <c r="AD16" i="9"/>
  <c r="AD16" i="10"/>
  <c r="V16" i="11"/>
  <c r="V16" i="9"/>
  <c r="V16" i="10"/>
  <c r="N16" i="11"/>
  <c r="N16" i="9"/>
  <c r="N16" i="10"/>
  <c r="F16" i="11"/>
  <c r="F16" i="9"/>
  <c r="F16" i="10"/>
  <c r="Z15" i="11"/>
  <c r="Z15" i="10"/>
  <c r="Z15" i="9"/>
  <c r="R15" i="11"/>
  <c r="R15" i="10"/>
  <c r="R15" i="9"/>
  <c r="J15" i="11"/>
  <c r="J15" i="10"/>
  <c r="J15" i="9"/>
  <c r="B15" i="11"/>
  <c r="B15" i="10"/>
  <c r="B15" i="9"/>
  <c r="AD14" i="11"/>
  <c r="AD14" i="9"/>
  <c r="AD14" i="10"/>
  <c r="V14" i="11"/>
  <c r="V14" i="9"/>
  <c r="V14" i="10"/>
  <c r="N14" i="11"/>
  <c r="N14" i="9"/>
  <c r="N14" i="10"/>
  <c r="F14" i="11"/>
  <c r="F14" i="9"/>
  <c r="F14" i="10"/>
  <c r="Z13" i="11"/>
  <c r="Z13" i="9"/>
  <c r="Z13" i="10"/>
  <c r="R13" i="11"/>
  <c r="R13" i="9"/>
  <c r="R13" i="10"/>
  <c r="J13" i="11"/>
  <c r="J13" i="9"/>
  <c r="J13" i="10"/>
  <c r="B13" i="11"/>
  <c r="B13" i="9"/>
  <c r="B13" i="10"/>
  <c r="AD12" i="11"/>
  <c r="AD12" i="10"/>
  <c r="AD12" i="9"/>
  <c r="V12" i="11"/>
  <c r="V12" i="10"/>
  <c r="V12" i="9"/>
  <c r="N12" i="11"/>
  <c r="N12" i="10"/>
  <c r="N12" i="9"/>
  <c r="F12" i="11"/>
  <c r="F12" i="10"/>
  <c r="F12" i="9"/>
  <c r="Z11" i="11"/>
  <c r="Z11" i="10"/>
  <c r="Z11" i="9"/>
  <c r="R11" i="11"/>
  <c r="R11" i="10"/>
  <c r="R11" i="9"/>
  <c r="J11" i="11"/>
  <c r="J11" i="10"/>
  <c r="J11" i="9"/>
  <c r="B11" i="11"/>
  <c r="B11" i="10"/>
  <c r="B11" i="9"/>
  <c r="AD10" i="11"/>
  <c r="AD10" i="9"/>
  <c r="AD10" i="10"/>
  <c r="V10" i="11"/>
  <c r="V10" i="9"/>
  <c r="V10" i="10"/>
  <c r="N10" i="11"/>
  <c r="N10" i="9"/>
  <c r="N10" i="10"/>
  <c r="F10" i="11"/>
  <c r="F10" i="9"/>
  <c r="F10" i="10"/>
  <c r="Z9" i="11"/>
  <c r="Z9" i="9"/>
  <c r="Z9" i="10"/>
  <c r="R9" i="11"/>
  <c r="R9" i="9"/>
  <c r="R9" i="10"/>
  <c r="J9" i="11"/>
  <c r="J9" i="9"/>
  <c r="J9" i="10"/>
  <c r="B9" i="11"/>
  <c r="B9" i="9"/>
  <c r="B9" i="10"/>
  <c r="AD8" i="11"/>
  <c r="AD8" i="10"/>
  <c r="AD8" i="9"/>
  <c r="V8" i="11"/>
  <c r="V8" i="10"/>
  <c r="V8" i="9"/>
  <c r="N8" i="11"/>
  <c r="N8" i="10"/>
  <c r="N8" i="9"/>
  <c r="F8" i="11"/>
  <c r="F8" i="10"/>
  <c r="F8" i="9"/>
  <c r="Z7" i="11"/>
  <c r="Z7" i="9"/>
  <c r="Z7" i="10"/>
  <c r="R7" i="11"/>
  <c r="R7" i="9"/>
  <c r="R7" i="10"/>
  <c r="J7" i="11"/>
  <c r="J7" i="9"/>
  <c r="J7" i="10"/>
  <c r="B7" i="11"/>
  <c r="B7" i="9"/>
  <c r="B7" i="10"/>
  <c r="AD6" i="11"/>
  <c r="AD6" i="10"/>
  <c r="AD6" i="9"/>
  <c r="V6" i="11"/>
  <c r="V6" i="10"/>
  <c r="V6" i="9"/>
  <c r="N6" i="11"/>
  <c r="N6" i="10"/>
  <c r="N6" i="9"/>
  <c r="F6" i="11"/>
  <c r="F6" i="10"/>
  <c r="F6" i="9"/>
  <c r="Z5" i="11"/>
  <c r="Z5" i="9"/>
  <c r="Z5" i="10"/>
  <c r="R5" i="11"/>
  <c r="R5" i="9"/>
  <c r="R5" i="10"/>
  <c r="J5" i="11"/>
  <c r="J5" i="9"/>
  <c r="J5" i="10"/>
  <c r="B5" i="11"/>
  <c r="B5" i="9"/>
  <c r="B5" i="10"/>
  <c r="AD4" i="11"/>
  <c r="AD4" i="10"/>
  <c r="AD4" i="9"/>
  <c r="V4" i="11"/>
  <c r="V4" i="10"/>
  <c r="V4" i="9"/>
  <c r="N4" i="11"/>
  <c r="N4" i="10"/>
  <c r="N4" i="9"/>
  <c r="F4" i="11"/>
  <c r="F4" i="10"/>
  <c r="F4" i="9"/>
  <c r="Z3" i="11"/>
  <c r="Z3" i="10"/>
  <c r="Z3" i="9"/>
  <c r="R3" i="11"/>
  <c r="R3" i="10"/>
  <c r="R3" i="9"/>
  <c r="J3" i="11"/>
  <c r="J3" i="10"/>
  <c r="J3" i="9"/>
  <c r="B3" i="11"/>
  <c r="B3" i="10"/>
  <c r="B3" i="9"/>
  <c r="Z175" i="11"/>
  <c r="Z175" i="10"/>
  <c r="Z175" i="9"/>
  <c r="R175" i="11"/>
  <c r="R175" i="10"/>
  <c r="R175" i="9"/>
  <c r="J175" i="11"/>
  <c r="J175" i="10"/>
  <c r="J175" i="9"/>
  <c r="B175" i="11"/>
  <c r="B175" i="10"/>
  <c r="B175" i="9"/>
  <c r="AD174" i="11"/>
  <c r="AD174" i="10"/>
  <c r="AD174" i="9"/>
  <c r="V174" i="11"/>
  <c r="V174" i="10"/>
  <c r="V174" i="9"/>
  <c r="N174" i="11"/>
  <c r="N174" i="10"/>
  <c r="N174" i="9"/>
  <c r="F174" i="11"/>
  <c r="F174" i="10"/>
  <c r="F174" i="9"/>
  <c r="Z173" i="11"/>
  <c r="Z173" i="10"/>
  <c r="Z173" i="9"/>
  <c r="R173" i="11"/>
  <c r="R173" i="10"/>
  <c r="R173" i="9"/>
  <c r="J173" i="11"/>
  <c r="J173" i="10"/>
  <c r="J173" i="9"/>
  <c r="B173" i="11"/>
  <c r="B173" i="10"/>
  <c r="B173" i="9"/>
  <c r="AD172" i="11"/>
  <c r="AD172" i="10"/>
  <c r="AD172" i="9"/>
  <c r="V172" i="11"/>
  <c r="V172" i="10"/>
  <c r="V172" i="9"/>
  <c r="N172" i="11"/>
  <c r="N172" i="10"/>
  <c r="N172" i="9"/>
  <c r="F172" i="11"/>
  <c r="F172" i="10"/>
  <c r="F172" i="9"/>
  <c r="Z171" i="11"/>
  <c r="Z171" i="10"/>
  <c r="Z171" i="9"/>
  <c r="R171" i="11"/>
  <c r="R171" i="10"/>
  <c r="R171" i="9"/>
  <c r="J171" i="11"/>
  <c r="J171" i="10"/>
  <c r="J171" i="9"/>
  <c r="B171" i="11"/>
  <c r="B171" i="10"/>
  <c r="B171" i="9"/>
  <c r="AD170" i="11"/>
  <c r="AD170" i="10"/>
  <c r="AD170" i="9"/>
  <c r="V170" i="11"/>
  <c r="V170" i="10"/>
  <c r="V170" i="9"/>
  <c r="N170" i="11"/>
  <c r="N170" i="10"/>
  <c r="N170" i="9"/>
  <c r="F170" i="11"/>
  <c r="F170" i="10"/>
  <c r="F170" i="9"/>
  <c r="Z169" i="11"/>
  <c r="Z169" i="10"/>
  <c r="Z169" i="9"/>
  <c r="R169" i="11"/>
  <c r="R169" i="10"/>
  <c r="R169" i="9"/>
  <c r="J169" i="11"/>
  <c r="J169" i="10"/>
  <c r="J169" i="9"/>
  <c r="B169" i="11"/>
  <c r="B169" i="10"/>
  <c r="B169" i="9"/>
  <c r="AD168" i="11"/>
  <c r="AD168" i="10"/>
  <c r="AD168" i="9"/>
  <c r="V168" i="11"/>
  <c r="V168" i="10"/>
  <c r="V168" i="9"/>
  <c r="N168" i="11"/>
  <c r="N168" i="10"/>
  <c r="N168" i="9"/>
  <c r="F168" i="11"/>
  <c r="F168" i="10"/>
  <c r="F168" i="9"/>
  <c r="Z167" i="11"/>
  <c r="Z167" i="10"/>
  <c r="Z167" i="9"/>
  <c r="R167" i="11"/>
  <c r="R167" i="10"/>
  <c r="R167" i="9"/>
  <c r="J167" i="11"/>
  <c r="J167" i="10"/>
  <c r="J167" i="9"/>
  <c r="B167" i="11"/>
  <c r="B167" i="10"/>
  <c r="B167" i="9"/>
  <c r="AD166" i="11"/>
  <c r="AD166" i="10"/>
  <c r="AD166" i="9"/>
  <c r="V166" i="11"/>
  <c r="V166" i="10"/>
  <c r="V166" i="9"/>
  <c r="N166" i="11"/>
  <c r="N166" i="10"/>
  <c r="N166" i="9"/>
  <c r="F166" i="11"/>
  <c r="F166" i="10"/>
  <c r="F166" i="9"/>
  <c r="Z165" i="11"/>
  <c r="Z165" i="10"/>
  <c r="Z165" i="9"/>
  <c r="R165" i="11"/>
  <c r="R165" i="10"/>
  <c r="R165" i="9"/>
  <c r="J165" i="11"/>
  <c r="J165" i="10"/>
  <c r="J165" i="9"/>
  <c r="B165" i="11"/>
  <c r="B165" i="10"/>
  <c r="B165" i="9"/>
  <c r="AD164" i="11"/>
  <c r="AD164" i="10"/>
  <c r="AD164" i="9"/>
  <c r="V164" i="11"/>
  <c r="V164" i="10"/>
  <c r="V164" i="9"/>
  <c r="N164" i="11"/>
  <c r="N164" i="10"/>
  <c r="N164" i="9"/>
  <c r="F164" i="11"/>
  <c r="F164" i="10"/>
  <c r="F164" i="9"/>
  <c r="Z163" i="11"/>
  <c r="Z163" i="10"/>
  <c r="Z163" i="9"/>
  <c r="R163" i="11"/>
  <c r="R163" i="10"/>
  <c r="R163" i="9"/>
  <c r="J163" i="11"/>
  <c r="J163" i="10"/>
  <c r="J163" i="9"/>
  <c r="B163" i="11"/>
  <c r="B163" i="10"/>
  <c r="B163" i="9"/>
  <c r="AD162" i="11"/>
  <c r="AD162" i="10"/>
  <c r="AD162" i="9"/>
  <c r="V162" i="11"/>
  <c r="V162" i="10"/>
  <c r="V162" i="9"/>
  <c r="N162" i="11"/>
  <c r="N162" i="10"/>
  <c r="N162" i="9"/>
  <c r="F162" i="11"/>
  <c r="F162" i="10"/>
  <c r="F162" i="9"/>
  <c r="Z161" i="11"/>
  <c r="Z161" i="10"/>
  <c r="Z161" i="9"/>
  <c r="R161" i="11"/>
  <c r="R161" i="10"/>
  <c r="R161" i="9"/>
  <c r="J161" i="11"/>
  <c r="J161" i="10"/>
  <c r="J161" i="9"/>
  <c r="B161" i="11"/>
  <c r="B161" i="10"/>
  <c r="B161" i="9"/>
  <c r="AD160" i="11"/>
  <c r="AD160" i="10"/>
  <c r="AD160" i="9"/>
  <c r="V160" i="11"/>
  <c r="V160" i="10"/>
  <c r="V160" i="9"/>
  <c r="N160" i="11"/>
  <c r="N160" i="10"/>
  <c r="N160" i="9"/>
  <c r="F160" i="11"/>
  <c r="F160" i="10"/>
  <c r="F160" i="9"/>
  <c r="Z159" i="11"/>
  <c r="Z159" i="10"/>
  <c r="Z159" i="9"/>
  <c r="R159" i="11"/>
  <c r="R159" i="10"/>
  <c r="R159" i="9"/>
  <c r="J159" i="11"/>
  <c r="J159" i="10"/>
  <c r="J159" i="9"/>
  <c r="B159" i="11"/>
  <c r="B159" i="10"/>
  <c r="B159" i="9"/>
  <c r="AD158" i="11"/>
  <c r="AD158" i="10"/>
  <c r="AD158" i="9"/>
  <c r="V158" i="11"/>
  <c r="V158" i="10"/>
  <c r="V158" i="9"/>
  <c r="N158" i="11"/>
  <c r="N158" i="10"/>
  <c r="N158" i="9"/>
  <c r="F158" i="11"/>
  <c r="F158" i="10"/>
  <c r="F158" i="9"/>
  <c r="Z157" i="11"/>
  <c r="Z157" i="10"/>
  <c r="Z157" i="9"/>
  <c r="R157" i="11"/>
  <c r="R157" i="10"/>
  <c r="R157" i="9"/>
  <c r="J157" i="11"/>
  <c r="J157" i="10"/>
  <c r="J157" i="9"/>
  <c r="B157" i="11"/>
  <c r="B157" i="10"/>
  <c r="B157" i="9"/>
  <c r="AD156" i="11"/>
  <c r="AD156" i="10"/>
  <c r="AD156" i="9"/>
  <c r="V156" i="11"/>
  <c r="V156" i="10"/>
  <c r="V156" i="9"/>
  <c r="N156" i="11"/>
  <c r="N156" i="10"/>
  <c r="N156" i="9"/>
  <c r="F156" i="11"/>
  <c r="F156" i="10"/>
  <c r="F156" i="9"/>
  <c r="Z155" i="11"/>
  <c r="Z155" i="10"/>
  <c r="Z155" i="9"/>
  <c r="R155" i="11"/>
  <c r="R155" i="10"/>
  <c r="R155" i="9"/>
  <c r="J155" i="11"/>
  <c r="J155" i="10"/>
  <c r="J155" i="9"/>
  <c r="B155" i="11"/>
  <c r="B155" i="10"/>
  <c r="B155" i="9"/>
  <c r="AD154" i="11"/>
  <c r="AD154" i="10"/>
  <c r="AD154" i="9"/>
  <c r="V154" i="11"/>
  <c r="V154" i="10"/>
  <c r="V154" i="9"/>
  <c r="N154" i="11"/>
  <c r="N154" i="10"/>
  <c r="N154" i="9"/>
  <c r="F154" i="11"/>
  <c r="F154" i="10"/>
  <c r="F154" i="9"/>
  <c r="Z153" i="11"/>
  <c r="Z153" i="10"/>
  <c r="Z153" i="9"/>
  <c r="R153" i="11"/>
  <c r="R153" i="10"/>
  <c r="R153" i="9"/>
  <c r="J153" i="11"/>
  <c r="J153" i="10"/>
  <c r="J153" i="9"/>
  <c r="B153" i="11"/>
  <c r="B153" i="10"/>
  <c r="B153" i="9"/>
  <c r="AD152" i="11"/>
  <c r="AD152" i="10"/>
  <c r="AD152" i="9"/>
  <c r="V152" i="11"/>
  <c r="V152" i="10"/>
  <c r="V152" i="9"/>
  <c r="N152" i="11"/>
  <c r="N152" i="10"/>
  <c r="N152" i="9"/>
  <c r="F152" i="11"/>
  <c r="F152" i="10"/>
  <c r="F152" i="9"/>
  <c r="Z151" i="11"/>
  <c r="Z151" i="10"/>
  <c r="Z151" i="9"/>
  <c r="R151" i="11"/>
  <c r="R151" i="10"/>
  <c r="R151" i="9"/>
  <c r="J151" i="11"/>
  <c r="J151" i="10"/>
  <c r="J151" i="9"/>
  <c r="B151" i="11"/>
  <c r="B151" i="10"/>
  <c r="B151" i="9"/>
  <c r="AD150" i="11"/>
  <c r="AD150" i="10"/>
  <c r="AD150" i="9"/>
  <c r="V150" i="11"/>
  <c r="V150" i="10"/>
  <c r="V150" i="9"/>
  <c r="N150" i="11"/>
  <c r="N150" i="10"/>
  <c r="N150" i="9"/>
  <c r="F150" i="11"/>
  <c r="F150" i="10"/>
  <c r="F150" i="9"/>
  <c r="Z149" i="11"/>
  <c r="Z149" i="10"/>
  <c r="Z149" i="9"/>
  <c r="R149" i="11"/>
  <c r="R149" i="10"/>
  <c r="R149" i="9"/>
  <c r="J149" i="11"/>
  <c r="J149" i="10"/>
  <c r="J149" i="9"/>
  <c r="B149" i="11"/>
  <c r="B149" i="10"/>
  <c r="B149" i="9"/>
  <c r="AD148" i="11"/>
  <c r="AD148" i="10"/>
  <c r="AD148" i="9"/>
  <c r="V148" i="11"/>
  <c r="V148" i="10"/>
  <c r="V148" i="9"/>
  <c r="N148" i="11"/>
  <c r="N148" i="10"/>
  <c r="N148" i="9"/>
  <c r="F148" i="11"/>
  <c r="F148" i="10"/>
  <c r="F148" i="9"/>
  <c r="Z147" i="11"/>
  <c r="Z147" i="10"/>
  <c r="Z147" i="9"/>
  <c r="R147" i="11"/>
  <c r="R147" i="10"/>
  <c r="R147" i="9"/>
  <c r="J147" i="11"/>
  <c r="J147" i="10"/>
  <c r="J147" i="9"/>
  <c r="B147" i="11"/>
  <c r="B147" i="10"/>
  <c r="B147" i="9"/>
  <c r="AD146" i="11"/>
  <c r="AD146" i="10"/>
  <c r="AD146" i="9"/>
  <c r="V146" i="11"/>
  <c r="V146" i="10"/>
  <c r="V146" i="9"/>
  <c r="N146" i="11"/>
  <c r="N146" i="10"/>
  <c r="N146" i="9"/>
  <c r="F146" i="11"/>
  <c r="F146" i="10"/>
  <c r="F146" i="9"/>
  <c r="Z145" i="11"/>
  <c r="Z145" i="10"/>
  <c r="Z145" i="9"/>
  <c r="R145" i="11"/>
  <c r="R145" i="10"/>
  <c r="R145" i="9"/>
  <c r="J145" i="11"/>
  <c r="J145" i="10"/>
  <c r="J145" i="9"/>
  <c r="B145" i="11"/>
  <c r="B145" i="10"/>
  <c r="B145" i="9"/>
  <c r="AD144" i="11"/>
  <c r="AD144" i="10"/>
  <c r="AD144" i="9"/>
  <c r="V144" i="11"/>
  <c r="V144" i="10"/>
  <c r="V144" i="9"/>
  <c r="N144" i="11"/>
  <c r="N144" i="10"/>
  <c r="N144" i="9"/>
  <c r="F144" i="11"/>
  <c r="F144" i="10"/>
  <c r="F144" i="9"/>
  <c r="Z143" i="11"/>
  <c r="Z143" i="10"/>
  <c r="Z143" i="9"/>
  <c r="R143" i="11"/>
  <c r="R143" i="10"/>
  <c r="R143" i="9"/>
  <c r="J143" i="11"/>
  <c r="J143" i="10"/>
  <c r="J143" i="9"/>
  <c r="B143" i="11"/>
  <c r="B143" i="10"/>
  <c r="B143" i="9"/>
  <c r="AD142" i="11"/>
  <c r="AD142" i="10"/>
  <c r="AD142" i="9"/>
  <c r="V142" i="11"/>
  <c r="V142" i="10"/>
  <c r="V142" i="9"/>
  <c r="N142" i="11"/>
  <c r="N142" i="10"/>
  <c r="N142" i="9"/>
  <c r="F142" i="11"/>
  <c r="F142" i="10"/>
  <c r="F142" i="9"/>
  <c r="Z141" i="11"/>
  <c r="Z141" i="10"/>
  <c r="Z141" i="9"/>
  <c r="R141" i="11"/>
  <c r="R141" i="10"/>
  <c r="R141" i="9"/>
  <c r="J141" i="11"/>
  <c r="J141" i="10"/>
  <c r="J141" i="9"/>
  <c r="B141" i="11"/>
  <c r="B141" i="10"/>
  <c r="B141" i="9"/>
  <c r="AD140" i="11"/>
  <c r="AD140" i="10"/>
  <c r="AD140" i="9"/>
  <c r="V140" i="11"/>
  <c r="V140" i="10"/>
  <c r="V140" i="9"/>
  <c r="N140" i="11"/>
  <c r="N140" i="10"/>
  <c r="N140" i="9"/>
  <c r="F140" i="11"/>
  <c r="F140" i="10"/>
  <c r="F140" i="9"/>
  <c r="Z139" i="11"/>
  <c r="Z139" i="10"/>
  <c r="Z139" i="9"/>
  <c r="R139" i="11"/>
  <c r="R139" i="10"/>
  <c r="R139" i="9"/>
  <c r="J139" i="11"/>
  <c r="J139" i="10"/>
  <c r="J139" i="9"/>
  <c r="B139" i="11"/>
  <c r="B139" i="10"/>
  <c r="B139" i="9"/>
  <c r="AD138" i="11"/>
  <c r="AD138" i="10"/>
  <c r="AD138" i="9"/>
  <c r="V138" i="11"/>
  <c r="V138" i="10"/>
  <c r="V138" i="9"/>
  <c r="N138" i="11"/>
  <c r="N138" i="10"/>
  <c r="N138" i="9"/>
  <c r="F138" i="11"/>
  <c r="F138" i="10"/>
  <c r="F138" i="9"/>
  <c r="Z137" i="11"/>
  <c r="Z137" i="10"/>
  <c r="Z137" i="9"/>
  <c r="R137" i="11"/>
  <c r="R137" i="10"/>
  <c r="R137" i="9"/>
  <c r="J137" i="11"/>
  <c r="J137" i="10"/>
  <c r="J137" i="9"/>
  <c r="B137" i="11"/>
  <c r="B137" i="10"/>
  <c r="B137" i="9"/>
  <c r="AD136" i="11"/>
  <c r="AD136" i="10"/>
  <c r="AD136" i="9"/>
  <c r="V136" i="11"/>
  <c r="V136" i="10"/>
  <c r="V136" i="9"/>
  <c r="N136" i="11"/>
  <c r="N136" i="10"/>
  <c r="N136" i="9"/>
  <c r="F136" i="11"/>
  <c r="F136" i="10"/>
  <c r="F136" i="9"/>
  <c r="Z135" i="11"/>
  <c r="Z135" i="10"/>
  <c r="Z135" i="9"/>
  <c r="R135" i="11"/>
  <c r="R135" i="10"/>
  <c r="R135" i="9"/>
  <c r="J135" i="11"/>
  <c r="J135" i="10"/>
  <c r="J135" i="9"/>
  <c r="B135" i="11"/>
  <c r="B135" i="10"/>
  <c r="B135" i="9"/>
  <c r="AD134" i="11"/>
  <c r="AD134" i="10"/>
  <c r="AD134" i="9"/>
  <c r="V134" i="11"/>
  <c r="V134" i="10"/>
  <c r="V134" i="9"/>
  <c r="N134" i="11"/>
  <c r="N134" i="10"/>
  <c r="N134" i="9"/>
  <c r="F134" i="11"/>
  <c r="F134" i="10"/>
  <c r="F134" i="9"/>
  <c r="Z133" i="11"/>
  <c r="Z133" i="10"/>
  <c r="Z133" i="9"/>
  <c r="R133" i="11"/>
  <c r="R133" i="10"/>
  <c r="R133" i="9"/>
  <c r="J133" i="11"/>
  <c r="J133" i="10"/>
  <c r="J133" i="9"/>
  <c r="B133" i="11"/>
  <c r="B133" i="10"/>
  <c r="B133" i="9"/>
  <c r="AD132" i="11"/>
  <c r="AD132" i="10"/>
  <c r="AD132" i="9"/>
  <c r="V132" i="11"/>
  <c r="V132" i="10"/>
  <c r="V132" i="9"/>
  <c r="N132" i="11"/>
  <c r="N132" i="10"/>
  <c r="N132" i="9"/>
  <c r="F132" i="11"/>
  <c r="F132" i="10"/>
  <c r="F132" i="9"/>
  <c r="Z131" i="11"/>
  <c r="Z131" i="10"/>
  <c r="Z131" i="9"/>
  <c r="R131" i="11"/>
  <c r="R131" i="10"/>
  <c r="R131" i="9"/>
  <c r="J131" i="11"/>
  <c r="J131" i="10"/>
  <c r="J131" i="9"/>
  <c r="B131" i="11"/>
  <c r="B131" i="10"/>
  <c r="B131" i="9"/>
  <c r="AD130" i="11"/>
  <c r="AD130" i="10"/>
  <c r="AD130" i="9"/>
  <c r="V130" i="11"/>
  <c r="V130" i="10"/>
  <c r="V130" i="9"/>
  <c r="N130" i="11"/>
  <c r="N130" i="10"/>
  <c r="N130" i="9"/>
  <c r="F130" i="11"/>
  <c r="F130" i="10"/>
  <c r="F130" i="9"/>
  <c r="Z129" i="11"/>
  <c r="Z129" i="10"/>
  <c r="Z129" i="9"/>
  <c r="R129" i="11"/>
  <c r="R129" i="10"/>
  <c r="R129" i="9"/>
  <c r="J129" i="11"/>
  <c r="J129" i="10"/>
  <c r="J129" i="9"/>
  <c r="B129" i="11"/>
  <c r="B129" i="10"/>
  <c r="B129" i="9"/>
  <c r="AD128" i="11"/>
  <c r="AD128" i="10"/>
  <c r="AD128" i="9"/>
  <c r="V128" i="11"/>
  <c r="V128" i="10"/>
  <c r="V128" i="9"/>
  <c r="N128" i="11"/>
  <c r="N128" i="10"/>
  <c r="N128" i="9"/>
  <c r="F128" i="11"/>
  <c r="F128" i="10"/>
  <c r="F128" i="9"/>
  <c r="Z127" i="11"/>
  <c r="Z127" i="10"/>
  <c r="Z127" i="9"/>
  <c r="R127" i="11"/>
  <c r="R127" i="10"/>
  <c r="R127" i="9"/>
  <c r="J127" i="11"/>
  <c r="J127" i="10"/>
  <c r="J127" i="9"/>
  <c r="B127" i="11"/>
  <c r="B127" i="10"/>
  <c r="B127" i="9"/>
  <c r="AD126" i="11"/>
  <c r="AD126" i="10"/>
  <c r="AD126" i="9"/>
  <c r="V126" i="11"/>
  <c r="V126" i="10"/>
  <c r="V126" i="9"/>
  <c r="N126" i="11"/>
  <c r="N126" i="10"/>
  <c r="N126" i="9"/>
  <c r="F126" i="11"/>
  <c r="F126" i="10"/>
  <c r="F126" i="9"/>
  <c r="Z125" i="11"/>
  <c r="Z125" i="10"/>
  <c r="Z125" i="9"/>
  <c r="R125" i="11"/>
  <c r="R125" i="10"/>
  <c r="R125" i="9"/>
  <c r="J125" i="11"/>
  <c r="J125" i="10"/>
  <c r="J125" i="9"/>
  <c r="B125" i="11"/>
  <c r="B125" i="10"/>
  <c r="B125" i="9"/>
  <c r="AD124" i="11"/>
  <c r="AD124" i="10"/>
  <c r="AD124" i="9"/>
  <c r="V124" i="11"/>
  <c r="V124" i="10"/>
  <c r="V124" i="9"/>
  <c r="N124" i="11"/>
  <c r="N124" i="10"/>
  <c r="N124" i="9"/>
  <c r="F124" i="11"/>
  <c r="F124" i="10"/>
  <c r="F124" i="9"/>
  <c r="Z123" i="11"/>
  <c r="Z123" i="10"/>
  <c r="Z123" i="9"/>
  <c r="R123" i="11"/>
  <c r="R123" i="10"/>
  <c r="R123" i="9"/>
  <c r="J123" i="11"/>
  <c r="J123" i="10"/>
  <c r="J123" i="9"/>
  <c r="B123" i="11"/>
  <c r="B123" i="10"/>
  <c r="B123" i="9"/>
  <c r="AD122" i="11"/>
  <c r="AD122" i="10"/>
  <c r="AD122" i="9"/>
  <c r="V122" i="11"/>
  <c r="V122" i="10"/>
  <c r="V122" i="9"/>
  <c r="N122" i="11"/>
  <c r="N122" i="10"/>
  <c r="N122" i="9"/>
  <c r="F122" i="11"/>
  <c r="F122" i="10"/>
  <c r="F122" i="9"/>
  <c r="Z121" i="11"/>
  <c r="Z121" i="10"/>
  <c r="Z121" i="9"/>
  <c r="R121" i="11"/>
  <c r="R121" i="10"/>
  <c r="R121" i="9"/>
  <c r="J121" i="11"/>
  <c r="J121" i="10"/>
  <c r="J121" i="9"/>
  <c r="B121" i="11"/>
  <c r="B121" i="10"/>
  <c r="B121" i="9"/>
  <c r="AD120" i="11"/>
  <c r="AD120" i="10"/>
  <c r="AD120" i="9"/>
  <c r="V120" i="11"/>
  <c r="V120" i="10"/>
  <c r="V120" i="9"/>
  <c r="N120" i="11"/>
  <c r="N120" i="10"/>
  <c r="N120" i="9"/>
  <c r="F120" i="11"/>
  <c r="F120" i="10"/>
  <c r="F120" i="9"/>
  <c r="Z119" i="11"/>
  <c r="Z119" i="10"/>
  <c r="Z119" i="9"/>
  <c r="R119" i="11"/>
  <c r="R119" i="10"/>
  <c r="R119" i="9"/>
  <c r="J119" i="11"/>
  <c r="J119" i="10"/>
  <c r="J119" i="9"/>
  <c r="B119" i="11"/>
  <c r="B119" i="10"/>
  <c r="B119" i="9"/>
  <c r="AD118" i="11"/>
  <c r="AD118" i="10"/>
  <c r="AD118" i="9"/>
  <c r="V118" i="11"/>
  <c r="V118" i="10"/>
  <c r="V118" i="9"/>
  <c r="N118" i="11"/>
  <c r="N118" i="10"/>
  <c r="N118" i="9"/>
  <c r="F118" i="11"/>
  <c r="F118" i="10"/>
  <c r="F118" i="9"/>
  <c r="Z117" i="11"/>
  <c r="Z117" i="10"/>
  <c r="Z117" i="9"/>
  <c r="R117" i="11"/>
  <c r="R117" i="10"/>
  <c r="R117" i="9"/>
  <c r="J117" i="11"/>
  <c r="J117" i="10"/>
  <c r="J117" i="9"/>
  <c r="B117" i="11"/>
  <c r="B117" i="10"/>
  <c r="B117" i="9"/>
  <c r="AD116" i="11"/>
  <c r="AD116" i="10"/>
  <c r="AD116" i="9"/>
  <c r="V116" i="11"/>
  <c r="V116" i="10"/>
  <c r="V116" i="9"/>
  <c r="N116" i="11"/>
  <c r="N116" i="10"/>
  <c r="N116" i="9"/>
  <c r="F116" i="11"/>
  <c r="F116" i="10"/>
  <c r="F116" i="9"/>
  <c r="Z115" i="11"/>
  <c r="Z115" i="10"/>
  <c r="Z115" i="9"/>
  <c r="R115" i="11"/>
  <c r="R115" i="10"/>
  <c r="R115" i="9"/>
  <c r="J115" i="11"/>
  <c r="J115" i="10"/>
  <c r="J115" i="9"/>
  <c r="B115" i="11"/>
  <c r="B115" i="10"/>
  <c r="B115" i="9"/>
  <c r="AD114" i="11"/>
  <c r="AD114" i="10"/>
  <c r="AD114" i="9"/>
  <c r="V114" i="11"/>
  <c r="V114" i="10"/>
  <c r="V114" i="9"/>
  <c r="N114" i="11"/>
  <c r="N114" i="10"/>
  <c r="N114" i="9"/>
  <c r="F114" i="11"/>
  <c r="F114" i="10"/>
  <c r="F114" i="9"/>
  <c r="Z113" i="11"/>
  <c r="Z113" i="10"/>
  <c r="Z113" i="9"/>
  <c r="R113" i="11"/>
  <c r="R113" i="10"/>
  <c r="R113" i="9"/>
  <c r="J113" i="11"/>
  <c r="J113" i="10"/>
  <c r="J113" i="9"/>
  <c r="B113" i="11"/>
  <c r="B113" i="10"/>
  <c r="B113" i="9"/>
  <c r="AD112" i="11"/>
  <c r="AD112" i="10"/>
  <c r="AD112" i="9"/>
  <c r="V112" i="11"/>
  <c r="V112" i="10"/>
  <c r="V112" i="9"/>
  <c r="N112" i="11"/>
  <c r="N112" i="10"/>
  <c r="N112" i="9"/>
  <c r="F112" i="11"/>
  <c r="F112" i="10"/>
  <c r="F112" i="9"/>
  <c r="Z111" i="11"/>
  <c r="Z111" i="10"/>
  <c r="Z111" i="9"/>
  <c r="R111" i="11"/>
  <c r="R111" i="10"/>
  <c r="R111" i="9"/>
  <c r="J111" i="11"/>
  <c r="J111" i="10"/>
  <c r="J111" i="9"/>
  <c r="B111" i="11"/>
  <c r="B111" i="10"/>
  <c r="B111" i="9"/>
  <c r="AD110" i="11"/>
  <c r="AD110" i="10"/>
  <c r="AD110" i="9"/>
  <c r="V110" i="11"/>
  <c r="V110" i="10"/>
  <c r="V110" i="9"/>
  <c r="N110" i="11"/>
  <c r="N110" i="10"/>
  <c r="N110" i="9"/>
  <c r="F110" i="11"/>
  <c r="F110" i="10"/>
  <c r="F110" i="9"/>
  <c r="Z109" i="11"/>
  <c r="Z109" i="10"/>
  <c r="Z109" i="9"/>
  <c r="R109" i="11"/>
  <c r="R109" i="10"/>
  <c r="R109" i="9"/>
  <c r="J109" i="11"/>
  <c r="J109" i="10"/>
  <c r="J109" i="9"/>
  <c r="B109" i="11"/>
  <c r="B109" i="10"/>
  <c r="B109" i="9"/>
  <c r="AD108" i="11"/>
  <c r="AD108" i="10"/>
  <c r="AD108" i="9"/>
  <c r="V108" i="11"/>
  <c r="V108" i="10"/>
  <c r="V108" i="9"/>
  <c r="N108" i="11"/>
  <c r="N108" i="10"/>
  <c r="N108" i="9"/>
  <c r="F108" i="11"/>
  <c r="F108" i="10"/>
  <c r="F108" i="9"/>
  <c r="Z107" i="11"/>
  <c r="Z107" i="10"/>
  <c r="Z107" i="9"/>
  <c r="R107" i="11"/>
  <c r="R107" i="10"/>
  <c r="R107" i="9"/>
  <c r="J107" i="11"/>
  <c r="J107" i="10"/>
  <c r="J107" i="9"/>
  <c r="B107" i="11"/>
  <c r="B107" i="10"/>
  <c r="B107" i="9"/>
  <c r="AD106" i="11"/>
  <c r="AD106" i="10"/>
  <c r="AD106" i="9"/>
  <c r="V106" i="11"/>
  <c r="V106" i="10"/>
  <c r="V106" i="9"/>
  <c r="N106" i="11"/>
  <c r="N106" i="10"/>
  <c r="N106" i="9"/>
  <c r="F106" i="11"/>
  <c r="F106" i="10"/>
  <c r="F106" i="9"/>
  <c r="Z105" i="11"/>
  <c r="Z105" i="10"/>
  <c r="Z105" i="9"/>
  <c r="R105" i="11"/>
  <c r="R105" i="10"/>
  <c r="R105" i="9"/>
  <c r="J105" i="11"/>
  <c r="J105" i="10"/>
  <c r="J105" i="9"/>
  <c r="B105" i="11"/>
  <c r="B105" i="10"/>
  <c r="B105" i="9"/>
  <c r="AD104" i="11"/>
  <c r="AD104" i="10"/>
  <c r="AD104" i="9"/>
  <c r="V104" i="11"/>
  <c r="V104" i="10"/>
  <c r="V104" i="9"/>
  <c r="N104" i="11"/>
  <c r="N104" i="10"/>
  <c r="N104" i="9"/>
  <c r="F104" i="11"/>
  <c r="F104" i="10"/>
  <c r="F104" i="9"/>
  <c r="Z103" i="11"/>
  <c r="Z103" i="10"/>
  <c r="Z103" i="9"/>
  <c r="R103" i="11"/>
  <c r="R103" i="10"/>
  <c r="R103" i="9"/>
  <c r="J103" i="11"/>
  <c r="J103" i="10"/>
  <c r="J103" i="9"/>
  <c r="B103" i="11"/>
  <c r="B103" i="10"/>
  <c r="B103" i="9"/>
  <c r="AD102" i="11"/>
  <c r="AD102" i="10"/>
  <c r="AD102" i="9"/>
  <c r="V102" i="11"/>
  <c r="V102" i="10"/>
  <c r="V102" i="9"/>
  <c r="N102" i="11"/>
  <c r="N102" i="10"/>
  <c r="N102" i="9"/>
  <c r="F102" i="11"/>
  <c r="F102" i="10"/>
  <c r="F102" i="9"/>
  <c r="Z101" i="11"/>
  <c r="Z101" i="10"/>
  <c r="Z101" i="9"/>
  <c r="R101" i="11"/>
  <c r="R101" i="10"/>
  <c r="R101" i="9"/>
  <c r="J101" i="11"/>
  <c r="J101" i="10"/>
  <c r="J101" i="9"/>
  <c r="B101" i="11"/>
  <c r="B101" i="10"/>
  <c r="B101" i="9"/>
  <c r="AD100" i="11"/>
  <c r="AD100" i="10"/>
  <c r="AD100" i="9"/>
  <c r="V100" i="11"/>
  <c r="V100" i="10"/>
  <c r="V100" i="9"/>
  <c r="N100" i="11"/>
  <c r="N100" i="10"/>
  <c r="N100" i="9"/>
  <c r="F100" i="11"/>
  <c r="F100" i="10"/>
  <c r="F100" i="9"/>
  <c r="Z99" i="11"/>
  <c r="Z99" i="10"/>
  <c r="Z99" i="9"/>
  <c r="R99" i="11"/>
  <c r="R99" i="10"/>
  <c r="R99" i="9"/>
  <c r="J99" i="11"/>
  <c r="J99" i="10"/>
  <c r="J99" i="9"/>
  <c r="B99" i="11"/>
  <c r="B99" i="10"/>
  <c r="B99" i="9"/>
  <c r="AD98" i="11"/>
  <c r="AD98" i="10"/>
  <c r="AD98" i="9"/>
  <c r="V98" i="11"/>
  <c r="V98" i="10"/>
  <c r="V98" i="9"/>
  <c r="N98" i="11"/>
  <c r="N98" i="10"/>
  <c r="N98" i="9"/>
  <c r="F98" i="11"/>
  <c r="F98" i="10"/>
  <c r="F98" i="9"/>
  <c r="Z97" i="11"/>
  <c r="Z97" i="10"/>
  <c r="Z97" i="9"/>
  <c r="R97" i="11"/>
  <c r="R97" i="10"/>
  <c r="R97" i="9"/>
  <c r="J97" i="11"/>
  <c r="J97" i="10"/>
  <c r="J97" i="9"/>
  <c r="B97" i="11"/>
  <c r="B97" i="10"/>
  <c r="B97" i="9"/>
  <c r="AD96" i="11"/>
  <c r="AD96" i="10"/>
  <c r="AD96" i="9"/>
  <c r="V96" i="11"/>
  <c r="V96" i="10"/>
  <c r="V96" i="9"/>
  <c r="N96" i="11"/>
  <c r="N96" i="10"/>
  <c r="N96" i="9"/>
  <c r="F96" i="11"/>
  <c r="F96" i="10"/>
  <c r="F96" i="9"/>
  <c r="Z95" i="11"/>
  <c r="Z95" i="10"/>
  <c r="Z95" i="9"/>
  <c r="R95" i="11"/>
  <c r="R95" i="10"/>
  <c r="R95" i="9"/>
  <c r="J95" i="11"/>
  <c r="J95" i="10"/>
  <c r="J95" i="9"/>
  <c r="B95" i="11"/>
  <c r="B95" i="10"/>
  <c r="B95" i="9"/>
  <c r="AD94" i="11"/>
  <c r="AD94" i="10"/>
  <c r="AD94" i="9"/>
  <c r="V94" i="11"/>
  <c r="V94" i="10"/>
  <c r="V94" i="9"/>
  <c r="N94" i="11"/>
  <c r="N94" i="10"/>
  <c r="N94" i="9"/>
  <c r="F94" i="11"/>
  <c r="F94" i="10"/>
  <c r="F94" i="9"/>
  <c r="Z93" i="11"/>
  <c r="Z93" i="10"/>
  <c r="Z93" i="9"/>
  <c r="R93" i="11"/>
  <c r="R93" i="10"/>
  <c r="R93" i="9"/>
  <c r="J93" i="11"/>
  <c r="J93" i="10"/>
  <c r="J93" i="9"/>
  <c r="B93" i="11"/>
  <c r="B93" i="10"/>
  <c r="B93" i="9"/>
  <c r="AD92" i="11"/>
  <c r="AD92" i="10"/>
  <c r="AD92" i="9"/>
  <c r="V92" i="11"/>
  <c r="V92" i="10"/>
  <c r="V92" i="9"/>
  <c r="N92" i="11"/>
  <c r="N92" i="10"/>
  <c r="N92" i="9"/>
  <c r="F92" i="11"/>
  <c r="F92" i="10"/>
  <c r="F92" i="9"/>
  <c r="Z91" i="11"/>
  <c r="Z91" i="10"/>
  <c r="Z91" i="9"/>
  <c r="R91" i="11"/>
  <c r="R91" i="10"/>
  <c r="R91" i="9"/>
  <c r="J91" i="11"/>
  <c r="J91" i="10"/>
  <c r="J91" i="9"/>
  <c r="B91" i="11"/>
  <c r="B91" i="10"/>
  <c r="B91" i="9"/>
  <c r="AD90" i="11"/>
  <c r="AD90" i="10"/>
  <c r="AD90" i="9"/>
  <c r="V90" i="11"/>
  <c r="V90" i="10"/>
  <c r="V90" i="9"/>
  <c r="N90" i="11"/>
  <c r="N90" i="10"/>
  <c r="N90" i="9"/>
  <c r="F90" i="11"/>
  <c r="F90" i="10"/>
  <c r="F90" i="9"/>
  <c r="Z89" i="11"/>
  <c r="Z89" i="10"/>
  <c r="Z89" i="9"/>
  <c r="R89" i="11"/>
  <c r="R89" i="10"/>
  <c r="R89" i="9"/>
  <c r="J89" i="11"/>
  <c r="J89" i="10"/>
  <c r="J89" i="9"/>
  <c r="B89" i="11"/>
  <c r="B89" i="10"/>
  <c r="B89" i="9"/>
  <c r="AD88" i="11"/>
  <c r="AD88" i="10"/>
  <c r="AD88" i="9"/>
  <c r="V88" i="11"/>
  <c r="V88" i="10"/>
  <c r="V88" i="9"/>
  <c r="N88" i="11"/>
  <c r="N88" i="10"/>
  <c r="N88" i="9"/>
  <c r="F88" i="11"/>
  <c r="F88" i="10"/>
  <c r="F88" i="9"/>
  <c r="Z87" i="11"/>
  <c r="Z87" i="10"/>
  <c r="Z87" i="9"/>
  <c r="R87" i="11"/>
  <c r="R87" i="10"/>
  <c r="R87" i="9"/>
  <c r="J87" i="11"/>
  <c r="J87" i="10"/>
  <c r="J87" i="9"/>
  <c r="B87" i="11"/>
  <c r="B87" i="10"/>
  <c r="B87" i="9"/>
  <c r="AD86" i="11"/>
  <c r="AD86" i="10"/>
  <c r="AD86" i="9"/>
  <c r="V86" i="11"/>
  <c r="V86" i="10"/>
  <c r="V86" i="9"/>
  <c r="N86" i="11"/>
  <c r="N86" i="10"/>
  <c r="N86" i="9"/>
  <c r="F86" i="11"/>
  <c r="F86" i="10"/>
  <c r="F86" i="9"/>
  <c r="Z85" i="11"/>
  <c r="Z85" i="10"/>
  <c r="Z85" i="9"/>
  <c r="R85" i="11"/>
  <c r="R85" i="10"/>
  <c r="R85" i="9"/>
  <c r="J85" i="11"/>
  <c r="J85" i="10"/>
  <c r="J85" i="9"/>
  <c r="B85" i="11"/>
  <c r="B85" i="10"/>
  <c r="B85" i="9"/>
  <c r="AD84" i="11"/>
  <c r="AD84" i="10"/>
  <c r="AD84" i="9"/>
  <c r="V84" i="11"/>
  <c r="V84" i="10"/>
  <c r="V84" i="9"/>
  <c r="N84" i="11"/>
  <c r="N84" i="10"/>
  <c r="N84" i="9"/>
  <c r="F84" i="11"/>
  <c r="F84" i="10"/>
  <c r="F84" i="9"/>
  <c r="Z83" i="11"/>
  <c r="Z83" i="10"/>
  <c r="Z83" i="9"/>
  <c r="R83" i="11"/>
  <c r="R83" i="10"/>
  <c r="R83" i="9"/>
  <c r="J83" i="11"/>
  <c r="J83" i="10"/>
  <c r="J83" i="9"/>
  <c r="B83" i="11"/>
  <c r="B83" i="10"/>
  <c r="B83" i="9"/>
  <c r="AD82" i="11"/>
  <c r="AD82" i="10"/>
  <c r="AD82" i="9"/>
  <c r="V82" i="11"/>
  <c r="V82" i="10"/>
  <c r="V82" i="9"/>
  <c r="N82" i="11"/>
  <c r="N82" i="10"/>
  <c r="N82" i="9"/>
  <c r="F82" i="11"/>
  <c r="F82" i="10"/>
  <c r="F82" i="9"/>
  <c r="Z81" i="11"/>
  <c r="Z81" i="10"/>
  <c r="Z81" i="9"/>
  <c r="R81" i="11"/>
  <c r="R81" i="10"/>
  <c r="R81" i="9"/>
  <c r="J81" i="11"/>
  <c r="J81" i="10"/>
  <c r="J81" i="9"/>
  <c r="B81" i="11"/>
  <c r="B81" i="10"/>
  <c r="B81" i="9"/>
  <c r="AD80" i="11"/>
  <c r="AD80" i="10"/>
  <c r="AD80" i="9"/>
  <c r="V80" i="11"/>
  <c r="V80" i="10"/>
  <c r="V80" i="9"/>
  <c r="N80" i="11"/>
  <c r="N80" i="10"/>
  <c r="N80" i="9"/>
  <c r="F80" i="11"/>
  <c r="F80" i="10"/>
  <c r="F80" i="9"/>
  <c r="Z79" i="11"/>
  <c r="Z79" i="10"/>
  <c r="Z79" i="9"/>
  <c r="R79" i="11"/>
  <c r="R79" i="10"/>
  <c r="R79" i="9"/>
  <c r="J79" i="11"/>
  <c r="J79" i="10"/>
  <c r="J79" i="9"/>
  <c r="B79" i="11"/>
  <c r="B79" i="10"/>
  <c r="B79" i="9"/>
  <c r="AD78" i="11"/>
  <c r="AD78" i="10"/>
  <c r="AD78" i="9"/>
  <c r="V78" i="11"/>
  <c r="V78" i="10"/>
  <c r="V78" i="9"/>
  <c r="N78" i="11"/>
  <c r="N78" i="10"/>
  <c r="N78" i="9"/>
  <c r="F78" i="11"/>
  <c r="F78" i="10"/>
  <c r="F78" i="9"/>
  <c r="Z77" i="11"/>
  <c r="Z77" i="10"/>
  <c r="Z77" i="9"/>
  <c r="R77" i="11"/>
  <c r="R77" i="10"/>
  <c r="R77" i="9"/>
  <c r="J77" i="11"/>
  <c r="J77" i="10"/>
  <c r="J77" i="9"/>
  <c r="B77" i="11"/>
  <c r="B77" i="10"/>
  <c r="B77" i="9"/>
  <c r="AD76" i="11"/>
  <c r="AD76" i="10"/>
  <c r="AD76" i="9"/>
  <c r="V76" i="11"/>
  <c r="V76" i="10"/>
  <c r="V76" i="9"/>
  <c r="N76" i="11"/>
  <c r="N76" i="10"/>
  <c r="N76" i="9"/>
  <c r="F76" i="11"/>
  <c r="F76" i="10"/>
  <c r="F76" i="9"/>
  <c r="Z75" i="11"/>
  <c r="Z75" i="10"/>
  <c r="Z75" i="9"/>
  <c r="R75" i="11"/>
  <c r="R75" i="10"/>
  <c r="R75" i="9"/>
  <c r="J75" i="11"/>
  <c r="J75" i="10"/>
  <c r="J75" i="9"/>
  <c r="B75" i="11"/>
  <c r="B75" i="10"/>
  <c r="B75" i="9"/>
  <c r="AD74" i="11"/>
  <c r="AD74" i="10"/>
  <c r="AD74" i="9"/>
  <c r="V74" i="11"/>
  <c r="V74" i="10"/>
  <c r="V74" i="9"/>
  <c r="N74" i="11"/>
  <c r="N74" i="10"/>
  <c r="N74" i="9"/>
  <c r="F74" i="11"/>
  <c r="F74" i="10"/>
  <c r="F74" i="9"/>
  <c r="Z73" i="11"/>
  <c r="Z73" i="10"/>
  <c r="Z73" i="9"/>
  <c r="R73" i="11"/>
  <c r="R73" i="10"/>
  <c r="R73" i="9"/>
  <c r="J73" i="11"/>
  <c r="J73" i="10"/>
  <c r="J73" i="9"/>
  <c r="B73" i="11"/>
  <c r="B73" i="10"/>
  <c r="B73" i="9"/>
  <c r="AD72" i="11"/>
  <c r="AD72" i="10"/>
  <c r="AD72" i="9"/>
  <c r="V72" i="11"/>
  <c r="V72" i="10"/>
  <c r="V72" i="9"/>
  <c r="N72" i="11"/>
  <c r="N72" i="10"/>
  <c r="N72" i="9"/>
  <c r="F72" i="11"/>
  <c r="F72" i="10"/>
  <c r="F72" i="9"/>
  <c r="Z71" i="11"/>
  <c r="Z71" i="10"/>
  <c r="Z71" i="9"/>
  <c r="R71" i="11"/>
  <c r="R71" i="10"/>
  <c r="R71" i="9"/>
  <c r="J71" i="11"/>
  <c r="J71" i="10"/>
  <c r="J71" i="9"/>
  <c r="B71" i="11"/>
  <c r="B71" i="10"/>
  <c r="B71" i="9"/>
  <c r="AD70" i="11"/>
  <c r="AD70" i="10"/>
  <c r="AD70" i="9"/>
  <c r="V70" i="11"/>
  <c r="V70" i="10"/>
  <c r="V70" i="9"/>
  <c r="N70" i="11"/>
  <c r="N70" i="10"/>
  <c r="N70" i="9"/>
  <c r="F70" i="11"/>
  <c r="F70" i="10"/>
  <c r="F70" i="9"/>
  <c r="Z69" i="11"/>
  <c r="Z69" i="10"/>
  <c r="Z69" i="9"/>
  <c r="R69" i="11"/>
  <c r="R69" i="10"/>
  <c r="R69" i="9"/>
  <c r="J69" i="11"/>
  <c r="J69" i="10"/>
  <c r="J69" i="9"/>
  <c r="B69" i="11"/>
  <c r="B69" i="10"/>
  <c r="B69" i="9"/>
  <c r="AD68" i="11"/>
  <c r="AD68" i="10"/>
  <c r="AD68" i="9"/>
  <c r="V68" i="11"/>
  <c r="V68" i="10"/>
  <c r="V68" i="9"/>
  <c r="N68" i="11"/>
  <c r="N68" i="10"/>
  <c r="N68" i="9"/>
  <c r="F68" i="11"/>
  <c r="F68" i="10"/>
  <c r="F68" i="9"/>
  <c r="Z67" i="11"/>
  <c r="Z67" i="10"/>
  <c r="Z67" i="9"/>
  <c r="R67" i="11"/>
  <c r="R67" i="10"/>
  <c r="R67" i="9"/>
  <c r="J67" i="11"/>
  <c r="J67" i="10"/>
  <c r="J67" i="9"/>
  <c r="B67" i="11"/>
  <c r="B67" i="10"/>
  <c r="B67" i="9"/>
  <c r="AD66" i="11"/>
  <c r="AD66" i="10"/>
  <c r="AD66" i="9"/>
  <c r="V66" i="11"/>
  <c r="V66" i="10"/>
  <c r="V66" i="9"/>
  <c r="N66" i="11"/>
  <c r="N66" i="10"/>
  <c r="N66" i="9"/>
  <c r="F66" i="11"/>
  <c r="F66" i="10"/>
  <c r="F66" i="9"/>
  <c r="Z65" i="11"/>
  <c r="Z65" i="10"/>
  <c r="Z65" i="9"/>
  <c r="R65" i="11"/>
  <c r="R65" i="10"/>
  <c r="R65" i="9"/>
  <c r="J65" i="11"/>
  <c r="J65" i="10"/>
  <c r="J65" i="9"/>
  <c r="B65" i="11"/>
  <c r="B65" i="10"/>
  <c r="B65" i="9"/>
  <c r="AD64" i="11"/>
  <c r="AD64" i="10"/>
  <c r="AD64" i="9"/>
  <c r="V64" i="11"/>
  <c r="V64" i="10"/>
  <c r="V64" i="9"/>
  <c r="N64" i="11"/>
  <c r="N64" i="10"/>
  <c r="N64" i="9"/>
  <c r="F64" i="11"/>
  <c r="F64" i="10"/>
  <c r="F64" i="9"/>
  <c r="Z63" i="11"/>
  <c r="Z63" i="10"/>
  <c r="Z63" i="9"/>
  <c r="R63" i="11"/>
  <c r="R63" i="10"/>
  <c r="R63" i="9"/>
  <c r="J63" i="11"/>
  <c r="J63" i="10"/>
  <c r="J63" i="9"/>
  <c r="B63" i="11"/>
  <c r="B63" i="10"/>
  <c r="B63" i="9"/>
  <c r="AD62" i="11"/>
  <c r="AD62" i="10"/>
  <c r="AD62" i="9"/>
  <c r="V62" i="11"/>
  <c r="V62" i="10"/>
  <c r="V62" i="9"/>
  <c r="N62" i="11"/>
  <c r="N62" i="10"/>
  <c r="N62" i="9"/>
  <c r="F62" i="11"/>
  <c r="F62" i="10"/>
  <c r="F62" i="9"/>
  <c r="Z61" i="11"/>
  <c r="Z61" i="10"/>
  <c r="Z61" i="9"/>
  <c r="R61" i="11"/>
  <c r="R61" i="10"/>
  <c r="R61" i="9"/>
  <c r="J61" i="11"/>
  <c r="J61" i="10"/>
  <c r="J61" i="9"/>
  <c r="B61" i="11"/>
  <c r="B61" i="10"/>
  <c r="B61" i="9"/>
  <c r="AD60" i="11"/>
  <c r="AD60" i="9"/>
  <c r="AD60" i="10"/>
  <c r="V60" i="11"/>
  <c r="V60" i="10"/>
  <c r="V60" i="9"/>
  <c r="N60" i="11"/>
  <c r="N60" i="10"/>
  <c r="N60" i="9"/>
  <c r="F60" i="11"/>
  <c r="F60" i="10"/>
  <c r="F60" i="9"/>
  <c r="Z59" i="11"/>
  <c r="Z59" i="10"/>
  <c r="Z59" i="9"/>
  <c r="R59" i="11"/>
  <c r="R59" i="10"/>
  <c r="R59" i="9"/>
  <c r="J59" i="11"/>
  <c r="J59" i="10"/>
  <c r="J59" i="9"/>
  <c r="B59" i="11"/>
  <c r="B59" i="10"/>
  <c r="B59" i="9"/>
  <c r="AD58" i="11"/>
  <c r="AD58" i="10"/>
  <c r="AD58" i="9"/>
  <c r="V58" i="11"/>
  <c r="V58" i="10"/>
  <c r="V58" i="9"/>
  <c r="N58" i="11"/>
  <c r="N58" i="10"/>
  <c r="N58" i="9"/>
  <c r="F58" i="11"/>
  <c r="F58" i="10"/>
  <c r="F58" i="9"/>
  <c r="Z57" i="11"/>
  <c r="Z57" i="10"/>
  <c r="Z57" i="9"/>
  <c r="R57" i="11"/>
  <c r="R57" i="10"/>
  <c r="R57" i="9"/>
  <c r="J57" i="11"/>
  <c r="J57" i="10"/>
  <c r="J57" i="9"/>
  <c r="B57" i="11"/>
  <c r="B57" i="10"/>
  <c r="B57" i="9"/>
  <c r="AD56" i="11"/>
  <c r="AD56" i="10"/>
  <c r="AD56" i="9"/>
  <c r="V56" i="11"/>
  <c r="V56" i="10"/>
  <c r="V56" i="9"/>
  <c r="N56" i="11"/>
  <c r="N56" i="10"/>
  <c r="N56" i="9"/>
  <c r="F56" i="11"/>
  <c r="F56" i="10"/>
  <c r="F56" i="9"/>
  <c r="Z55" i="11"/>
  <c r="Z55" i="10"/>
  <c r="Z55" i="9"/>
  <c r="R55" i="11"/>
  <c r="R55" i="10"/>
  <c r="R55" i="9"/>
  <c r="J55" i="11"/>
  <c r="J55" i="10"/>
  <c r="J55" i="9"/>
  <c r="B55" i="11"/>
  <c r="B55" i="10"/>
  <c r="B55" i="9"/>
  <c r="AD54" i="11"/>
  <c r="AD54" i="10"/>
  <c r="AD54" i="9"/>
  <c r="V54" i="11"/>
  <c r="V54" i="10"/>
  <c r="V54" i="9"/>
  <c r="M54" i="11"/>
  <c r="M54" i="10"/>
  <c r="M54" i="9"/>
  <c r="E54" i="11"/>
  <c r="E54" i="10"/>
  <c r="E54" i="9"/>
  <c r="AG53" i="11"/>
  <c r="AG53" i="10"/>
  <c r="AG53" i="9"/>
  <c r="Y53" i="11"/>
  <c r="Y53" i="10"/>
  <c r="Y53" i="9"/>
  <c r="Q53" i="11"/>
  <c r="Q53" i="10"/>
  <c r="Q53" i="9"/>
  <c r="I53" i="11"/>
  <c r="I53" i="10"/>
  <c r="I53" i="9"/>
  <c r="A53" i="11"/>
  <c r="A53" i="10"/>
  <c r="A53" i="9"/>
  <c r="AC52" i="11"/>
  <c r="AC52" i="10"/>
  <c r="AC52" i="9"/>
  <c r="U52" i="11"/>
  <c r="U52" i="10"/>
  <c r="U52" i="9"/>
  <c r="M52" i="11"/>
  <c r="M52" i="10"/>
  <c r="M52" i="9"/>
  <c r="E52" i="11"/>
  <c r="E52" i="10"/>
  <c r="E52" i="9"/>
  <c r="AG51" i="11"/>
  <c r="AG51" i="10"/>
  <c r="AG51" i="9"/>
  <c r="Y51" i="11"/>
  <c r="Y51" i="10"/>
  <c r="Y51" i="9"/>
  <c r="Q51" i="11"/>
  <c r="Q51" i="10"/>
  <c r="Q51" i="9"/>
  <c r="I51" i="11"/>
  <c r="I51" i="10"/>
  <c r="I51" i="9"/>
  <c r="A51" i="11"/>
  <c r="A51" i="10"/>
  <c r="A51" i="9"/>
  <c r="AC50" i="11"/>
  <c r="AC50" i="10"/>
  <c r="AC50" i="9"/>
  <c r="U50" i="11"/>
  <c r="U50" i="10"/>
  <c r="U50" i="9"/>
  <c r="M50" i="11"/>
  <c r="M50" i="10"/>
  <c r="M50" i="9"/>
  <c r="E50" i="11"/>
  <c r="E50" i="10"/>
  <c r="E50" i="9"/>
  <c r="AG49" i="11"/>
  <c r="AG49" i="10"/>
  <c r="AG49" i="9"/>
  <c r="Y49" i="11"/>
  <c r="Y49" i="10"/>
  <c r="Y49" i="9"/>
  <c r="Q49" i="11"/>
  <c r="Q49" i="10"/>
  <c r="Q49" i="9"/>
  <c r="I49" i="11"/>
  <c r="I49" i="10"/>
  <c r="I49" i="9"/>
  <c r="A49" i="11"/>
  <c r="A49" i="10"/>
  <c r="A49" i="9"/>
  <c r="AC48" i="11"/>
  <c r="AC48" i="10"/>
  <c r="AC48" i="9"/>
  <c r="U48" i="11"/>
  <c r="U48" i="10"/>
  <c r="U48" i="9"/>
  <c r="M48" i="11"/>
  <c r="M48" i="10"/>
  <c r="M48" i="9"/>
  <c r="E48" i="11"/>
  <c r="E48" i="10"/>
  <c r="E48" i="9"/>
  <c r="AG47" i="11"/>
  <c r="AG47" i="10"/>
  <c r="AG47" i="9"/>
  <c r="Y47" i="11"/>
  <c r="Y47" i="10"/>
  <c r="Y47" i="9"/>
  <c r="Q47" i="11"/>
  <c r="Q47" i="10"/>
  <c r="Q47" i="9"/>
  <c r="I47" i="11"/>
  <c r="I47" i="10"/>
  <c r="I47" i="9"/>
  <c r="A47" i="11"/>
  <c r="A47" i="10"/>
  <c r="A47" i="9"/>
  <c r="AC46" i="11"/>
  <c r="AC46" i="10"/>
  <c r="AC46" i="9"/>
  <c r="U46" i="11"/>
  <c r="U46" i="10"/>
  <c r="U46" i="9"/>
  <c r="M46" i="11"/>
  <c r="M46" i="10"/>
  <c r="M46" i="9"/>
  <c r="E46" i="11"/>
  <c r="E46" i="10"/>
  <c r="E46" i="9"/>
  <c r="AG45" i="11"/>
  <c r="AG45" i="10"/>
  <c r="AG45" i="9"/>
  <c r="Y45" i="11"/>
  <c r="Y45" i="10"/>
  <c r="Y45" i="9"/>
  <c r="Q45" i="11"/>
  <c r="Q45" i="10"/>
  <c r="Q45" i="9"/>
  <c r="I45" i="11"/>
  <c r="I45" i="10"/>
  <c r="I45" i="9"/>
  <c r="A45" i="11"/>
  <c r="A45" i="10"/>
  <c r="A45" i="9"/>
  <c r="AC44" i="11"/>
  <c r="AC44" i="10"/>
  <c r="AC44" i="9"/>
  <c r="U44" i="11"/>
  <c r="U44" i="10"/>
  <c r="U44" i="9"/>
  <c r="M44" i="11"/>
  <c r="M44" i="10"/>
  <c r="M44" i="9"/>
  <c r="E44" i="11"/>
  <c r="E44" i="10"/>
  <c r="E44" i="9"/>
  <c r="AG43" i="11"/>
  <c r="AG43" i="10"/>
  <c r="AG43" i="9"/>
  <c r="Y43" i="11"/>
  <c r="Y43" i="10"/>
  <c r="Y43" i="9"/>
  <c r="Q43" i="11"/>
  <c r="Q43" i="10"/>
  <c r="Q43" i="9"/>
  <c r="I43" i="11"/>
  <c r="I43" i="10"/>
  <c r="I43" i="9"/>
  <c r="A43" i="11"/>
  <c r="A43" i="10"/>
  <c r="A43" i="9"/>
  <c r="AC42" i="11"/>
  <c r="AC42" i="10"/>
  <c r="AC42" i="9"/>
  <c r="U42" i="11"/>
  <c r="U42" i="10"/>
  <c r="U42" i="9"/>
  <c r="M42" i="11"/>
  <c r="M42" i="10"/>
  <c r="M42" i="9"/>
  <c r="E42" i="11"/>
  <c r="E42" i="10"/>
  <c r="E42" i="9"/>
  <c r="AG41" i="11"/>
  <c r="AG41" i="10"/>
  <c r="AG41" i="9"/>
  <c r="Y41" i="11"/>
  <c r="Y41" i="10"/>
  <c r="Y41" i="9"/>
  <c r="Q41" i="11"/>
  <c r="Q41" i="10"/>
  <c r="Q41" i="9"/>
  <c r="I41" i="11"/>
  <c r="I41" i="10"/>
  <c r="I41" i="9"/>
  <c r="A41" i="11"/>
  <c r="A41" i="10"/>
  <c r="A41" i="9"/>
  <c r="AC40" i="11"/>
  <c r="AC40" i="10"/>
  <c r="AC40" i="9"/>
  <c r="U40" i="11"/>
  <c r="U40" i="10"/>
  <c r="U40" i="9"/>
  <c r="M40" i="11"/>
  <c r="M40" i="10"/>
  <c r="M40" i="9"/>
  <c r="E40" i="11"/>
  <c r="E40" i="10"/>
  <c r="E40" i="9"/>
  <c r="AG39" i="11"/>
  <c r="AG39" i="10"/>
  <c r="AG39" i="9"/>
  <c r="Y39" i="11"/>
  <c r="Y39" i="9"/>
  <c r="Y39" i="10"/>
  <c r="Q39" i="11"/>
  <c r="Q39" i="9"/>
  <c r="Q39" i="10"/>
  <c r="I39" i="11"/>
  <c r="I39" i="9"/>
  <c r="I39" i="10"/>
  <c r="A39" i="11"/>
  <c r="A39" i="9"/>
  <c r="A39" i="10"/>
  <c r="AC38" i="11"/>
  <c r="AC38" i="10"/>
  <c r="AC38" i="9"/>
  <c r="U38" i="11"/>
  <c r="U38" i="10"/>
  <c r="U38" i="9"/>
  <c r="M38" i="11"/>
  <c r="M38" i="10"/>
  <c r="M38" i="9"/>
  <c r="E38" i="11"/>
  <c r="E38" i="10"/>
  <c r="E38" i="9"/>
  <c r="AG37" i="11"/>
  <c r="AG37" i="10"/>
  <c r="AG37" i="9"/>
  <c r="Y37" i="11"/>
  <c r="Y37" i="10"/>
  <c r="Y37" i="9"/>
  <c r="Q37" i="11"/>
  <c r="Q37" i="10"/>
  <c r="Q37" i="9"/>
  <c r="I37" i="11"/>
  <c r="I37" i="10"/>
  <c r="I37" i="9"/>
  <c r="A37" i="11"/>
  <c r="A37" i="10"/>
  <c r="A37" i="9"/>
  <c r="AC36" i="11"/>
  <c r="AC36" i="10"/>
  <c r="AC36" i="9"/>
  <c r="U36" i="11"/>
  <c r="U36" i="10"/>
  <c r="U36" i="9"/>
  <c r="M36" i="11"/>
  <c r="M36" i="10"/>
  <c r="M36" i="9"/>
  <c r="E36" i="11"/>
  <c r="E36" i="10"/>
  <c r="E36" i="9"/>
  <c r="AG35" i="11"/>
  <c r="AG35" i="10"/>
  <c r="AG35" i="9"/>
  <c r="Y35" i="11"/>
  <c r="Y35" i="10"/>
  <c r="Y35" i="9"/>
  <c r="Q35" i="11"/>
  <c r="Q35" i="10"/>
  <c r="Q35" i="9"/>
  <c r="I35" i="11"/>
  <c r="I35" i="10"/>
  <c r="I35" i="9"/>
  <c r="A35" i="11"/>
  <c r="A35" i="10"/>
  <c r="A35" i="9"/>
  <c r="AC34" i="11"/>
  <c r="AC34" i="10"/>
  <c r="AC34" i="9"/>
  <c r="U34" i="11"/>
  <c r="U34" i="10"/>
  <c r="U34" i="9"/>
  <c r="M34" i="11"/>
  <c r="M34" i="10"/>
  <c r="M34" i="9"/>
  <c r="E34" i="11"/>
  <c r="E34" i="10"/>
  <c r="E34" i="9"/>
  <c r="AG33" i="11"/>
  <c r="AG33" i="10"/>
  <c r="AG33" i="9"/>
  <c r="Y33" i="11"/>
  <c r="Y33" i="10"/>
  <c r="Y33" i="9"/>
  <c r="Q33" i="11"/>
  <c r="Q33" i="10"/>
  <c r="Q33" i="9"/>
  <c r="I33" i="11"/>
  <c r="I33" i="10"/>
  <c r="I33" i="9"/>
  <c r="A33" i="11"/>
  <c r="A33" i="10"/>
  <c r="A33" i="9"/>
  <c r="AC32" i="11"/>
  <c r="AC32" i="10"/>
  <c r="AC32" i="9"/>
  <c r="U32" i="11"/>
  <c r="U32" i="10"/>
  <c r="U32" i="9"/>
  <c r="M32" i="11"/>
  <c r="M32" i="9"/>
  <c r="M32" i="10"/>
  <c r="E32" i="11"/>
  <c r="E32" i="9"/>
  <c r="E32" i="10"/>
  <c r="AG31" i="11"/>
  <c r="AG31" i="9"/>
  <c r="AG31" i="10"/>
  <c r="Y31" i="11"/>
  <c r="Y31" i="9"/>
  <c r="Y31" i="10"/>
  <c r="Q31" i="11"/>
  <c r="Q31" i="9"/>
  <c r="Q31" i="10"/>
  <c r="I31" i="11"/>
  <c r="I31" i="9"/>
  <c r="I31" i="10"/>
  <c r="A31" i="11"/>
  <c r="A31" i="9"/>
  <c r="A31" i="10"/>
  <c r="AC30" i="11"/>
  <c r="AC30" i="10"/>
  <c r="AC30" i="9"/>
  <c r="U30" i="11"/>
  <c r="U30" i="10"/>
  <c r="U30" i="9"/>
  <c r="M30" i="11"/>
  <c r="M30" i="10"/>
  <c r="M30" i="9"/>
  <c r="E30" i="11"/>
  <c r="E30" i="10"/>
  <c r="E30" i="9"/>
  <c r="Y29" i="11"/>
  <c r="Y29" i="10"/>
  <c r="Y29" i="9"/>
  <c r="Q29" i="11"/>
  <c r="Q29" i="10"/>
  <c r="Q29" i="9"/>
  <c r="I29" i="11"/>
  <c r="I29" i="10"/>
  <c r="I29" i="9"/>
  <c r="A29" i="11"/>
  <c r="A29" i="10"/>
  <c r="A29" i="9"/>
  <c r="AC28" i="11"/>
  <c r="AC28" i="9"/>
  <c r="AC28" i="10"/>
  <c r="U28" i="11"/>
  <c r="U28" i="9"/>
  <c r="U28" i="10"/>
  <c r="M28" i="11"/>
  <c r="M28" i="9"/>
  <c r="M28" i="10"/>
  <c r="E28" i="11"/>
  <c r="E28" i="9"/>
  <c r="E28" i="10"/>
  <c r="AG27" i="11"/>
  <c r="AG27" i="9"/>
  <c r="AG27" i="10"/>
  <c r="Y27" i="11"/>
  <c r="Y27" i="9"/>
  <c r="Y27" i="10"/>
  <c r="Q27" i="11"/>
  <c r="Q27" i="9"/>
  <c r="Q27" i="10"/>
  <c r="I27" i="11"/>
  <c r="I27" i="9"/>
  <c r="I27" i="10"/>
  <c r="A27" i="11"/>
  <c r="A27" i="9"/>
  <c r="A27" i="10"/>
  <c r="AC26" i="11"/>
  <c r="AC26" i="9"/>
  <c r="AC26" i="10"/>
  <c r="U26" i="11"/>
  <c r="U26" i="9"/>
  <c r="U26" i="10"/>
  <c r="M26" i="11"/>
  <c r="M26" i="9"/>
  <c r="M26" i="10"/>
  <c r="E26" i="11"/>
  <c r="E26" i="9"/>
  <c r="E26" i="10"/>
  <c r="AG25" i="11"/>
  <c r="AG25" i="9"/>
  <c r="AG25" i="10"/>
  <c r="Y25" i="11"/>
  <c r="Y25" i="10"/>
  <c r="Y25" i="9"/>
  <c r="Q25" i="11"/>
  <c r="Q25" i="10"/>
  <c r="Q25" i="9"/>
  <c r="I25" i="11"/>
  <c r="I25" i="10"/>
  <c r="I25" i="9"/>
  <c r="A25" i="11"/>
  <c r="A25" i="10"/>
  <c r="A25" i="9"/>
  <c r="AC24" i="11"/>
  <c r="AC24" i="10"/>
  <c r="AC24" i="9"/>
  <c r="U24" i="11"/>
  <c r="U24" i="10"/>
  <c r="U24" i="9"/>
  <c r="M24" i="11"/>
  <c r="M24" i="10"/>
  <c r="M24" i="9"/>
  <c r="E24" i="11"/>
  <c r="E24" i="10"/>
  <c r="E24" i="9"/>
  <c r="AG23" i="11"/>
  <c r="AG23" i="10"/>
  <c r="AG23" i="9"/>
  <c r="Y23" i="11"/>
  <c r="Y23" i="10"/>
  <c r="Y23" i="9"/>
  <c r="Q23" i="11"/>
  <c r="Q23" i="10"/>
  <c r="Q23" i="9"/>
  <c r="I23" i="11"/>
  <c r="I23" i="10"/>
  <c r="I23" i="9"/>
  <c r="A23" i="11"/>
  <c r="A23" i="10"/>
  <c r="A23" i="9"/>
  <c r="AC22" i="11"/>
  <c r="AC22" i="10"/>
  <c r="AC22" i="9"/>
  <c r="U22" i="11"/>
  <c r="U22" i="10"/>
  <c r="U22" i="9"/>
  <c r="M22" i="11"/>
  <c r="M22" i="10"/>
  <c r="M22" i="9"/>
  <c r="E22" i="11"/>
  <c r="E22" i="10"/>
  <c r="E22" i="9"/>
  <c r="AG21" i="11"/>
  <c r="AG21" i="10"/>
  <c r="AG21" i="9"/>
  <c r="Y21" i="11"/>
  <c r="Y21" i="9"/>
  <c r="Y21" i="10"/>
  <c r="Q21" i="11"/>
  <c r="Q21" i="9"/>
  <c r="Q21" i="10"/>
  <c r="I21" i="11"/>
  <c r="I21" i="9"/>
  <c r="I21" i="10"/>
  <c r="A21" i="11"/>
  <c r="A21" i="9"/>
  <c r="A21" i="10"/>
  <c r="AC20" i="11"/>
  <c r="AC20" i="9"/>
  <c r="AC20" i="10"/>
  <c r="U20" i="11"/>
  <c r="U20" i="9"/>
  <c r="U20" i="10"/>
  <c r="M20" i="11"/>
  <c r="M20" i="9"/>
  <c r="M20" i="10"/>
  <c r="E20" i="11"/>
  <c r="E20" i="9"/>
  <c r="E20" i="10"/>
  <c r="AG19" i="11"/>
  <c r="AG19" i="9"/>
  <c r="AG19" i="10"/>
  <c r="Y19" i="11"/>
  <c r="Y19" i="9"/>
  <c r="Y19" i="10"/>
  <c r="Q19" i="11"/>
  <c r="Q19" i="9"/>
  <c r="Q19" i="10"/>
  <c r="I19" i="11"/>
  <c r="I19" i="9"/>
  <c r="I19" i="10"/>
  <c r="A19" i="11"/>
  <c r="A19" i="9"/>
  <c r="A19" i="10"/>
  <c r="AC18" i="11"/>
  <c r="AC18" i="10"/>
  <c r="AC18" i="9"/>
  <c r="U18" i="11"/>
  <c r="U18" i="10"/>
  <c r="U18" i="9"/>
  <c r="M18" i="11"/>
  <c r="M18" i="10"/>
  <c r="M18" i="9"/>
  <c r="E18" i="11"/>
  <c r="E18" i="10"/>
  <c r="E18" i="9"/>
  <c r="AG17" i="11"/>
  <c r="AG17" i="10"/>
  <c r="AG17" i="9"/>
  <c r="Y17" i="11"/>
  <c r="Y17" i="10"/>
  <c r="Y17" i="9"/>
  <c r="Q17" i="11"/>
  <c r="Q17" i="10"/>
  <c r="Q17" i="9"/>
  <c r="I17" i="11"/>
  <c r="I17" i="10"/>
  <c r="I17" i="9"/>
  <c r="A17" i="11"/>
  <c r="A17" i="10"/>
  <c r="A17" i="9"/>
  <c r="AC16" i="11"/>
  <c r="AC16" i="9"/>
  <c r="AC16" i="10"/>
  <c r="U16" i="11"/>
  <c r="U16" i="9"/>
  <c r="U16" i="10"/>
  <c r="M16" i="11"/>
  <c r="M16" i="9"/>
  <c r="M16" i="10"/>
  <c r="E16" i="11"/>
  <c r="E16" i="9"/>
  <c r="E16" i="10"/>
  <c r="Y15" i="11"/>
  <c r="Y15" i="10"/>
  <c r="Y15" i="9"/>
  <c r="Q15" i="11"/>
  <c r="Q15" i="10"/>
  <c r="Q15" i="9"/>
  <c r="I15" i="11"/>
  <c r="I15" i="10"/>
  <c r="I15" i="9"/>
  <c r="A15" i="11"/>
  <c r="A15" i="10"/>
  <c r="A15" i="9"/>
  <c r="AC14" i="11"/>
  <c r="AC14" i="10"/>
  <c r="AC14" i="9"/>
  <c r="U14" i="11"/>
  <c r="U14" i="10"/>
  <c r="U14" i="9"/>
  <c r="M14" i="11"/>
  <c r="M14" i="10"/>
  <c r="M14" i="9"/>
  <c r="E14" i="11"/>
  <c r="E14" i="10"/>
  <c r="E14" i="9"/>
  <c r="Y13" i="11"/>
  <c r="Y13" i="9"/>
  <c r="Y13" i="10"/>
  <c r="Q13" i="11"/>
  <c r="Q13" i="9"/>
  <c r="Q13" i="10"/>
  <c r="I13" i="11"/>
  <c r="I13" i="9"/>
  <c r="I13" i="10"/>
  <c r="A13" i="11"/>
  <c r="A13" i="9"/>
  <c r="A13" i="10"/>
  <c r="AC12" i="11"/>
  <c r="AC12" i="10"/>
  <c r="AC12" i="9"/>
  <c r="U12" i="11"/>
  <c r="U12" i="10"/>
  <c r="U12" i="9"/>
  <c r="M12" i="11"/>
  <c r="M12" i="10"/>
  <c r="M12" i="9"/>
  <c r="E12" i="11"/>
  <c r="E12" i="10"/>
  <c r="E12" i="9"/>
  <c r="Y11" i="11"/>
  <c r="Y11" i="10"/>
  <c r="Y11" i="9"/>
  <c r="Q11" i="11"/>
  <c r="Q11" i="10"/>
  <c r="Q11" i="9"/>
  <c r="I11" i="11"/>
  <c r="I11" i="10"/>
  <c r="I11" i="9"/>
  <c r="A11" i="11"/>
  <c r="A11" i="10"/>
  <c r="A11" i="9"/>
  <c r="AC10" i="11"/>
  <c r="AC10" i="10"/>
  <c r="AC10" i="9"/>
  <c r="U10" i="11"/>
  <c r="U10" i="10"/>
  <c r="U10" i="9"/>
  <c r="M10" i="11"/>
  <c r="M10" i="10"/>
  <c r="M10" i="9"/>
  <c r="E10" i="11"/>
  <c r="E10" i="10"/>
  <c r="E10" i="9"/>
  <c r="AG9" i="11"/>
  <c r="AG9" i="10"/>
  <c r="AG9" i="9"/>
  <c r="Y9" i="11"/>
  <c r="Y9" i="9"/>
  <c r="Y9" i="10"/>
  <c r="Q9" i="11"/>
  <c r="Q9" i="9"/>
  <c r="Q9" i="10"/>
  <c r="I9" i="11"/>
  <c r="I9" i="9"/>
  <c r="I9" i="10"/>
  <c r="A9" i="11"/>
  <c r="A9" i="9"/>
  <c r="A9" i="10"/>
  <c r="AC8" i="11"/>
  <c r="AC8" i="10"/>
  <c r="AC8" i="9"/>
  <c r="U8" i="11"/>
  <c r="U8" i="10"/>
  <c r="U8" i="9"/>
  <c r="M8" i="11"/>
  <c r="M8" i="10"/>
  <c r="M8" i="9"/>
  <c r="E8" i="11"/>
  <c r="E8" i="10"/>
  <c r="E8" i="9"/>
  <c r="AG7" i="11"/>
  <c r="AG7" i="10"/>
  <c r="AG7" i="9"/>
  <c r="Y7" i="11"/>
  <c r="Y7" i="10"/>
  <c r="Y7" i="9"/>
  <c r="Q7" i="11"/>
  <c r="Q7" i="10"/>
  <c r="Q7" i="9"/>
  <c r="I7" i="11"/>
  <c r="I7" i="10"/>
  <c r="I7" i="9"/>
  <c r="A7" i="11"/>
  <c r="A7" i="10"/>
  <c r="A7" i="9"/>
  <c r="AC6" i="11"/>
  <c r="AC6" i="9"/>
  <c r="AC6" i="10"/>
  <c r="U6" i="11"/>
  <c r="U6" i="9"/>
  <c r="U6" i="10"/>
  <c r="M6" i="11"/>
  <c r="M6" i="9"/>
  <c r="M6" i="10"/>
  <c r="E6" i="11"/>
  <c r="E6" i="9"/>
  <c r="E6" i="10"/>
  <c r="Y5" i="11"/>
  <c r="Y5" i="9"/>
  <c r="Y5" i="10"/>
  <c r="Q5" i="11"/>
  <c r="Q5" i="9"/>
  <c r="Q5" i="10"/>
  <c r="I5" i="11"/>
  <c r="I5" i="9"/>
  <c r="I5" i="10"/>
  <c r="A5" i="11"/>
  <c r="A5" i="9"/>
  <c r="A5" i="10"/>
  <c r="AC4" i="11"/>
  <c r="AC4" i="9"/>
  <c r="AC4" i="10"/>
  <c r="U4" i="11"/>
  <c r="U4" i="9"/>
  <c r="U4" i="10"/>
  <c r="M4" i="11"/>
  <c r="M4" i="9"/>
  <c r="M4" i="10"/>
  <c r="E4" i="11"/>
  <c r="E4" i="9"/>
  <c r="E4" i="10"/>
  <c r="Y3" i="11"/>
  <c r="Y3" i="9"/>
  <c r="Y3" i="10"/>
  <c r="Q3" i="11"/>
  <c r="Q3" i="9"/>
  <c r="Q3" i="10"/>
  <c r="I3" i="11"/>
  <c r="I3" i="9"/>
  <c r="I3" i="10"/>
  <c r="A3" i="11"/>
  <c r="A3" i="9"/>
  <c r="A3" i="10"/>
  <c r="AD2" i="9"/>
  <c r="AD2" i="11"/>
  <c r="A26" i="14" s="1"/>
  <c r="V2" i="9"/>
  <c r="V2" i="11"/>
  <c r="A18" i="14" s="1"/>
  <c r="N2" i="9"/>
  <c r="N2" i="11"/>
  <c r="A10" i="14" s="1"/>
  <c r="AC164" i="11"/>
  <c r="AC164" i="10"/>
  <c r="AC164" i="9"/>
  <c r="U164" i="11"/>
  <c r="U164" i="10"/>
  <c r="U164" i="9"/>
  <c r="M164" i="11"/>
  <c r="M164" i="10"/>
  <c r="M164" i="9"/>
  <c r="E164" i="11"/>
  <c r="E164" i="10"/>
  <c r="E164" i="9"/>
  <c r="AG163" i="11"/>
  <c r="AG163" i="10"/>
  <c r="AG163" i="9"/>
  <c r="Y163" i="11"/>
  <c r="Y163" i="10"/>
  <c r="Y163" i="9"/>
  <c r="Q163" i="11"/>
  <c r="Q163" i="10"/>
  <c r="Q163" i="9"/>
  <c r="I163" i="11"/>
  <c r="I163" i="10"/>
  <c r="I163" i="9"/>
  <c r="A163" i="11"/>
  <c r="A163" i="10"/>
  <c r="A163" i="9"/>
  <c r="AC162" i="11"/>
  <c r="AC162" i="10"/>
  <c r="AC162" i="9"/>
  <c r="U162" i="11"/>
  <c r="U162" i="10"/>
  <c r="U162" i="9"/>
  <c r="M162" i="11"/>
  <c r="M162" i="10"/>
  <c r="M162" i="9"/>
  <c r="E162" i="11"/>
  <c r="E162" i="10"/>
  <c r="E162" i="9"/>
  <c r="AG161" i="11"/>
  <c r="AG161" i="10"/>
  <c r="AG161" i="9"/>
  <c r="Y161" i="11"/>
  <c r="Y161" i="10"/>
  <c r="Y161" i="9"/>
  <c r="Q161" i="11"/>
  <c r="Q161" i="10"/>
  <c r="Q161" i="9"/>
  <c r="I161" i="11"/>
  <c r="I161" i="10"/>
  <c r="I161" i="9"/>
  <c r="A161" i="11"/>
  <c r="A161" i="10"/>
  <c r="A161" i="9"/>
  <c r="AC160" i="11"/>
  <c r="AC160" i="10"/>
  <c r="AC160" i="9"/>
  <c r="U160" i="11"/>
  <c r="U160" i="10"/>
  <c r="U160" i="9"/>
  <c r="M160" i="11"/>
  <c r="M160" i="10"/>
  <c r="M160" i="9"/>
  <c r="E160" i="11"/>
  <c r="E160" i="10"/>
  <c r="E160" i="9"/>
  <c r="AG159" i="11"/>
  <c r="AG159" i="10"/>
  <c r="AG159" i="9"/>
  <c r="Y159" i="11"/>
  <c r="Y159" i="10"/>
  <c r="Y159" i="9"/>
  <c r="Q159" i="11"/>
  <c r="Q159" i="10"/>
  <c r="Q159" i="9"/>
  <c r="I159" i="11"/>
  <c r="I159" i="10"/>
  <c r="I159" i="9"/>
  <c r="A159" i="11"/>
  <c r="A159" i="10"/>
  <c r="A159" i="9"/>
  <c r="AC158" i="11"/>
  <c r="AC158" i="10"/>
  <c r="AC158" i="9"/>
  <c r="U158" i="11"/>
  <c r="U158" i="10"/>
  <c r="U158" i="9"/>
  <c r="M158" i="11"/>
  <c r="M158" i="10"/>
  <c r="M158" i="9"/>
  <c r="E158" i="11"/>
  <c r="E158" i="10"/>
  <c r="E158" i="9"/>
  <c r="AG157" i="11"/>
  <c r="AG157" i="10"/>
  <c r="AG157" i="9"/>
  <c r="Y157" i="11"/>
  <c r="Y157" i="10"/>
  <c r="Y157" i="9"/>
  <c r="Q157" i="11"/>
  <c r="Q157" i="10"/>
  <c r="Q157" i="9"/>
  <c r="I157" i="11"/>
  <c r="I157" i="10"/>
  <c r="I157" i="9"/>
  <c r="A157" i="11"/>
  <c r="A157" i="10"/>
  <c r="A157" i="9"/>
  <c r="AC156" i="11"/>
  <c r="AC156" i="10"/>
  <c r="AC156" i="9"/>
  <c r="U156" i="11"/>
  <c r="U156" i="10"/>
  <c r="U156" i="9"/>
  <c r="M156" i="11"/>
  <c r="M156" i="10"/>
  <c r="M156" i="9"/>
  <c r="E156" i="11"/>
  <c r="E156" i="10"/>
  <c r="E156" i="9"/>
  <c r="AG155" i="11"/>
  <c r="AG155" i="10"/>
  <c r="AG155" i="9"/>
  <c r="Y155" i="11"/>
  <c r="Y155" i="10"/>
  <c r="Y155" i="9"/>
  <c r="Q155" i="11"/>
  <c r="Q155" i="10"/>
  <c r="Q155" i="9"/>
  <c r="I155" i="11"/>
  <c r="I155" i="10"/>
  <c r="I155" i="9"/>
  <c r="A155" i="11"/>
  <c r="A155" i="10"/>
  <c r="A155" i="9"/>
  <c r="AC154" i="11"/>
  <c r="AC154" i="10"/>
  <c r="AC154" i="9"/>
  <c r="U154" i="11"/>
  <c r="U154" i="10"/>
  <c r="U154" i="9"/>
  <c r="M154" i="11"/>
  <c r="M154" i="10"/>
  <c r="M154" i="9"/>
  <c r="E154" i="11"/>
  <c r="E154" i="10"/>
  <c r="E154" i="9"/>
  <c r="AG153" i="11"/>
  <c r="AG153" i="10"/>
  <c r="AG153" i="9"/>
  <c r="Y153" i="11"/>
  <c r="Y153" i="10"/>
  <c r="Y153" i="9"/>
  <c r="Q153" i="11"/>
  <c r="Q153" i="10"/>
  <c r="Q153" i="9"/>
  <c r="I153" i="11"/>
  <c r="I153" i="10"/>
  <c r="I153" i="9"/>
  <c r="A153" i="11"/>
  <c r="A153" i="10"/>
  <c r="A153" i="9"/>
  <c r="AC152" i="11"/>
  <c r="AC152" i="10"/>
  <c r="AC152" i="9"/>
  <c r="U152" i="11"/>
  <c r="U152" i="10"/>
  <c r="U152" i="9"/>
  <c r="M152" i="11"/>
  <c r="M152" i="10"/>
  <c r="M152" i="9"/>
  <c r="E152" i="11"/>
  <c r="E152" i="10"/>
  <c r="E152" i="9"/>
  <c r="AG151" i="11"/>
  <c r="AG151" i="10"/>
  <c r="AG151" i="9"/>
  <c r="Y151" i="11"/>
  <c r="Y151" i="10"/>
  <c r="Y151" i="9"/>
  <c r="Q151" i="11"/>
  <c r="Q151" i="10"/>
  <c r="Q151" i="9"/>
  <c r="I151" i="11"/>
  <c r="I151" i="10"/>
  <c r="I151" i="9"/>
  <c r="A151" i="11"/>
  <c r="A151" i="10"/>
  <c r="A151" i="9"/>
  <c r="AC150" i="11"/>
  <c r="AC150" i="10"/>
  <c r="AC150" i="9"/>
  <c r="U150" i="11"/>
  <c r="U150" i="10"/>
  <c r="U150" i="9"/>
  <c r="M150" i="11"/>
  <c r="M150" i="10"/>
  <c r="M150" i="9"/>
  <c r="E150" i="11"/>
  <c r="E150" i="10"/>
  <c r="E150" i="9"/>
  <c r="Y149" i="11"/>
  <c r="Y149" i="10"/>
  <c r="Y149" i="9"/>
  <c r="Q149" i="11"/>
  <c r="Q149" i="10"/>
  <c r="Q149" i="9"/>
  <c r="I149" i="11"/>
  <c r="I149" i="10"/>
  <c r="I149" i="9"/>
  <c r="A149" i="11"/>
  <c r="A149" i="10"/>
  <c r="A149" i="9"/>
  <c r="AC148" i="11"/>
  <c r="AC148" i="10"/>
  <c r="AC148" i="9"/>
  <c r="U148" i="11"/>
  <c r="U148" i="10"/>
  <c r="U148" i="9"/>
  <c r="M148" i="11"/>
  <c r="M148" i="10"/>
  <c r="M148" i="9"/>
  <c r="E148" i="11"/>
  <c r="E148" i="10"/>
  <c r="E148" i="9"/>
  <c r="Y147" i="11"/>
  <c r="Y147" i="10"/>
  <c r="Y147" i="9"/>
  <c r="Q147" i="11"/>
  <c r="Q147" i="10"/>
  <c r="Q147" i="9"/>
  <c r="I147" i="11"/>
  <c r="I147" i="10"/>
  <c r="I147" i="9"/>
  <c r="A147" i="11"/>
  <c r="A147" i="10"/>
  <c r="A147" i="9"/>
  <c r="AC146" i="11"/>
  <c r="AC146" i="10"/>
  <c r="AC146" i="9"/>
  <c r="U146" i="11"/>
  <c r="U146" i="10"/>
  <c r="U146" i="9"/>
  <c r="M146" i="11"/>
  <c r="M146" i="10"/>
  <c r="M146" i="9"/>
  <c r="E146" i="11"/>
  <c r="E146" i="10"/>
  <c r="E146" i="9"/>
  <c r="AG145" i="11"/>
  <c r="AG145" i="10"/>
  <c r="AG145" i="9"/>
  <c r="Y145" i="11"/>
  <c r="Y145" i="10"/>
  <c r="Y145" i="9"/>
  <c r="Q145" i="11"/>
  <c r="Q145" i="10"/>
  <c r="Q145" i="9"/>
  <c r="I145" i="11"/>
  <c r="I145" i="10"/>
  <c r="I145" i="9"/>
  <c r="A145" i="11"/>
  <c r="A145" i="10"/>
  <c r="A145" i="9"/>
  <c r="AC144" i="11"/>
  <c r="AC144" i="10"/>
  <c r="AC144" i="9"/>
  <c r="U144" i="11"/>
  <c r="U144" i="10"/>
  <c r="U144" i="9"/>
  <c r="M144" i="11"/>
  <c r="M144" i="10"/>
  <c r="M144" i="9"/>
  <c r="E144" i="11"/>
  <c r="E144" i="10"/>
  <c r="E144" i="9"/>
  <c r="AG143" i="11"/>
  <c r="AG143" i="10"/>
  <c r="AG143" i="9"/>
  <c r="Y143" i="11"/>
  <c r="Y143" i="10"/>
  <c r="Y143" i="9"/>
  <c r="Q143" i="11"/>
  <c r="Q143" i="10"/>
  <c r="Q143" i="9"/>
  <c r="I143" i="11"/>
  <c r="I143" i="10"/>
  <c r="I143" i="9"/>
  <c r="A143" i="11"/>
  <c r="A143" i="10"/>
  <c r="A143" i="9"/>
  <c r="AC142" i="11"/>
  <c r="AC142" i="10"/>
  <c r="AC142" i="9"/>
  <c r="U142" i="11"/>
  <c r="U142" i="10"/>
  <c r="U142" i="9"/>
  <c r="M142" i="11"/>
  <c r="M142" i="10"/>
  <c r="M142" i="9"/>
  <c r="E142" i="11"/>
  <c r="E142" i="10"/>
  <c r="E142" i="9"/>
  <c r="AG141" i="11"/>
  <c r="AG141" i="10"/>
  <c r="AG141" i="9"/>
  <c r="Y141" i="11"/>
  <c r="Y141" i="10"/>
  <c r="Y141" i="9"/>
  <c r="Q141" i="11"/>
  <c r="Q141" i="10"/>
  <c r="Q141" i="9"/>
  <c r="I141" i="11"/>
  <c r="I141" i="10"/>
  <c r="I141" i="9"/>
  <c r="A141" i="11"/>
  <c r="A141" i="10"/>
  <c r="A141" i="9"/>
  <c r="AC140" i="11"/>
  <c r="AC140" i="10"/>
  <c r="AC140" i="9"/>
  <c r="U140" i="11"/>
  <c r="U140" i="10"/>
  <c r="U140" i="9"/>
  <c r="M140" i="11"/>
  <c r="M140" i="10"/>
  <c r="M140" i="9"/>
  <c r="E140" i="11"/>
  <c r="E140" i="10"/>
  <c r="E140" i="9"/>
  <c r="Y139" i="11"/>
  <c r="Y139" i="10"/>
  <c r="Y139" i="9"/>
  <c r="Q139" i="11"/>
  <c r="Q139" i="10"/>
  <c r="Q139" i="9"/>
  <c r="I139" i="11"/>
  <c r="I139" i="10"/>
  <c r="I139" i="9"/>
  <c r="A139" i="11"/>
  <c r="A139" i="10"/>
  <c r="A139" i="9"/>
  <c r="AC138" i="11"/>
  <c r="AC138" i="10"/>
  <c r="AC138" i="9"/>
  <c r="U138" i="11"/>
  <c r="U138" i="10"/>
  <c r="U138" i="9"/>
  <c r="M138" i="11"/>
  <c r="M138" i="10"/>
  <c r="M138" i="9"/>
  <c r="E138" i="11"/>
  <c r="E138" i="10"/>
  <c r="E138" i="9"/>
  <c r="AG137" i="9"/>
  <c r="AG137" i="11"/>
  <c r="AG137" i="10"/>
  <c r="Y137" i="11"/>
  <c r="Y137" i="10"/>
  <c r="Y137" i="9"/>
  <c r="Q137" i="11"/>
  <c r="Q137" i="10"/>
  <c r="Q137" i="9"/>
  <c r="I137" i="11"/>
  <c r="I137" i="10"/>
  <c r="I137" i="9"/>
  <c r="A137" i="11"/>
  <c r="A137" i="10"/>
  <c r="A137" i="9"/>
  <c r="AC136" i="11"/>
  <c r="AC136" i="10"/>
  <c r="AC136" i="9"/>
  <c r="U136" i="11"/>
  <c r="U136" i="10"/>
  <c r="U136" i="9"/>
  <c r="M136" i="11"/>
  <c r="M136" i="10"/>
  <c r="M136" i="9"/>
  <c r="E136" i="11"/>
  <c r="E136" i="10"/>
  <c r="E136" i="9"/>
  <c r="AG135" i="11"/>
  <c r="AG135" i="10"/>
  <c r="AG135" i="9"/>
  <c r="Y135" i="11"/>
  <c r="Y135" i="10"/>
  <c r="Y135" i="9"/>
  <c r="Q135" i="11"/>
  <c r="Q135" i="10"/>
  <c r="Q135" i="9"/>
  <c r="I135" i="11"/>
  <c r="I135" i="10"/>
  <c r="I135" i="9"/>
  <c r="A135" i="11"/>
  <c r="A135" i="10"/>
  <c r="A135" i="9"/>
  <c r="AC134" i="11"/>
  <c r="AC134" i="10"/>
  <c r="AC134" i="9"/>
  <c r="U134" i="11"/>
  <c r="U134" i="10"/>
  <c r="U134" i="9"/>
  <c r="M134" i="11"/>
  <c r="M134" i="10"/>
  <c r="M134" i="9"/>
  <c r="E134" i="11"/>
  <c r="E134" i="10"/>
  <c r="E134" i="9"/>
  <c r="AG133" i="11"/>
  <c r="AG133" i="9"/>
  <c r="Y133" i="11"/>
  <c r="Y133" i="10"/>
  <c r="Y133" i="9"/>
  <c r="Q133" i="11"/>
  <c r="Q133" i="10"/>
  <c r="Q133" i="9"/>
  <c r="I133" i="11"/>
  <c r="I133" i="10"/>
  <c r="I133" i="9"/>
  <c r="A133" i="11"/>
  <c r="A133" i="10"/>
  <c r="A133" i="9"/>
  <c r="AC132" i="11"/>
  <c r="AC132" i="10"/>
  <c r="AC132" i="9"/>
  <c r="U132" i="11"/>
  <c r="U132" i="10"/>
  <c r="U132" i="9"/>
  <c r="M132" i="11"/>
  <c r="M132" i="10"/>
  <c r="M132" i="9"/>
  <c r="E132" i="11"/>
  <c r="E132" i="10"/>
  <c r="E132" i="9"/>
  <c r="Y131" i="11"/>
  <c r="Y131" i="10"/>
  <c r="Y131" i="9"/>
  <c r="Q131" i="11"/>
  <c r="Q131" i="10"/>
  <c r="Q131" i="9"/>
  <c r="I131" i="11"/>
  <c r="I131" i="10"/>
  <c r="I131" i="9"/>
  <c r="A131" i="11"/>
  <c r="A131" i="10"/>
  <c r="A131" i="9"/>
  <c r="AC130" i="11"/>
  <c r="AC130" i="10"/>
  <c r="AC130" i="9"/>
  <c r="U130" i="11"/>
  <c r="U130" i="10"/>
  <c r="U130" i="9"/>
  <c r="M130" i="11"/>
  <c r="M130" i="10"/>
  <c r="M130" i="9"/>
  <c r="E130" i="11"/>
  <c r="E130" i="10"/>
  <c r="E130" i="9"/>
  <c r="Y129" i="11"/>
  <c r="Y129" i="10"/>
  <c r="Y129" i="9"/>
  <c r="Q129" i="11"/>
  <c r="Q129" i="10"/>
  <c r="Q129" i="9"/>
  <c r="I129" i="11"/>
  <c r="I129" i="10"/>
  <c r="I129" i="9"/>
  <c r="A129" i="11"/>
  <c r="A129" i="10"/>
  <c r="A129" i="9"/>
  <c r="AC128" i="11"/>
  <c r="AC128" i="10"/>
  <c r="AC128" i="9"/>
  <c r="U128" i="11"/>
  <c r="U128" i="10"/>
  <c r="U128" i="9"/>
  <c r="M128" i="11"/>
  <c r="M128" i="10"/>
  <c r="M128" i="9"/>
  <c r="E128" i="11"/>
  <c r="E128" i="10"/>
  <c r="E128" i="9"/>
  <c r="Y127" i="11"/>
  <c r="Y127" i="10"/>
  <c r="Y127" i="9"/>
  <c r="Q127" i="11"/>
  <c r="Q127" i="10"/>
  <c r="Q127" i="9"/>
  <c r="I127" i="11"/>
  <c r="I127" i="10"/>
  <c r="I127" i="9"/>
  <c r="A127" i="11"/>
  <c r="A127" i="10"/>
  <c r="A127" i="9"/>
  <c r="AC126" i="11"/>
  <c r="AC126" i="10"/>
  <c r="AC126" i="9"/>
  <c r="U126" i="11"/>
  <c r="U126" i="10"/>
  <c r="U126" i="9"/>
  <c r="M126" i="11"/>
  <c r="M126" i="10"/>
  <c r="M126" i="9"/>
  <c r="E126" i="11"/>
  <c r="E126" i="10"/>
  <c r="E126" i="9"/>
  <c r="AG125" i="11"/>
  <c r="AG125" i="10"/>
  <c r="AG125" i="9"/>
  <c r="Y125" i="11"/>
  <c r="Y125" i="10"/>
  <c r="Y125" i="9"/>
  <c r="Q125" i="11"/>
  <c r="Q125" i="10"/>
  <c r="Q125" i="9"/>
  <c r="I125" i="11"/>
  <c r="I125" i="10"/>
  <c r="I125" i="9"/>
  <c r="A125" i="11"/>
  <c r="A125" i="10"/>
  <c r="A125" i="9"/>
  <c r="AC124" i="11"/>
  <c r="AC124" i="10"/>
  <c r="AC124" i="9"/>
  <c r="U124" i="11"/>
  <c r="U124" i="10"/>
  <c r="U124" i="9"/>
  <c r="M124" i="11"/>
  <c r="M124" i="10"/>
  <c r="M124" i="9"/>
  <c r="E124" i="11"/>
  <c r="E124" i="10"/>
  <c r="E124" i="9"/>
  <c r="AG123" i="11"/>
  <c r="AG123" i="10"/>
  <c r="AG123" i="9"/>
  <c r="Y123" i="11"/>
  <c r="Y123" i="10"/>
  <c r="Y123" i="9"/>
  <c r="Q123" i="11"/>
  <c r="Q123" i="10"/>
  <c r="Q123" i="9"/>
  <c r="I123" i="11"/>
  <c r="I123" i="10"/>
  <c r="I123" i="9"/>
  <c r="A123" i="11"/>
  <c r="A123" i="10"/>
  <c r="A123" i="9"/>
  <c r="AC122" i="11"/>
  <c r="AC122" i="10"/>
  <c r="AC122" i="9"/>
  <c r="U122" i="11"/>
  <c r="U122" i="10"/>
  <c r="U122" i="9"/>
  <c r="M122" i="11"/>
  <c r="M122" i="10"/>
  <c r="M122" i="9"/>
  <c r="E122" i="11"/>
  <c r="E122" i="10"/>
  <c r="E122" i="9"/>
  <c r="AG121" i="11"/>
  <c r="AG121" i="10"/>
  <c r="AG121" i="9"/>
  <c r="Y121" i="11"/>
  <c r="Y121" i="10"/>
  <c r="Y121" i="9"/>
  <c r="Q121" i="11"/>
  <c r="Q121" i="10"/>
  <c r="Q121" i="9"/>
  <c r="I121" i="11"/>
  <c r="I121" i="10"/>
  <c r="I121" i="9"/>
  <c r="A121" i="11"/>
  <c r="A121" i="10"/>
  <c r="A121" i="9"/>
  <c r="AC120" i="11"/>
  <c r="AC120" i="10"/>
  <c r="AC120" i="9"/>
  <c r="U120" i="11"/>
  <c r="U120" i="10"/>
  <c r="U120" i="9"/>
  <c r="M120" i="11"/>
  <c r="M120" i="10"/>
  <c r="M120" i="9"/>
  <c r="E120" i="11"/>
  <c r="E120" i="10"/>
  <c r="E120" i="9"/>
  <c r="Y119" i="11"/>
  <c r="Y119" i="10"/>
  <c r="Y119" i="9"/>
  <c r="Q119" i="11"/>
  <c r="Q119" i="10"/>
  <c r="Q119" i="9"/>
  <c r="I119" i="11"/>
  <c r="I119" i="10"/>
  <c r="I119" i="9"/>
  <c r="A119" i="11"/>
  <c r="A119" i="10"/>
  <c r="A119" i="9"/>
  <c r="AC118" i="11"/>
  <c r="AC118" i="10"/>
  <c r="AC118" i="9"/>
  <c r="U118" i="11"/>
  <c r="U118" i="10"/>
  <c r="U118" i="9"/>
  <c r="M118" i="11"/>
  <c r="M118" i="10"/>
  <c r="M118" i="9"/>
  <c r="E118" i="11"/>
  <c r="E118" i="10"/>
  <c r="E118" i="9"/>
  <c r="AG117" i="11"/>
  <c r="AG117" i="10"/>
  <c r="AG117" i="9"/>
  <c r="Y117" i="11"/>
  <c r="Y117" i="10"/>
  <c r="Y117" i="9"/>
  <c r="Q117" i="11"/>
  <c r="Q117" i="10"/>
  <c r="Q117" i="9"/>
  <c r="I117" i="11"/>
  <c r="I117" i="10"/>
  <c r="I117" i="9"/>
  <c r="A117" i="11"/>
  <c r="A117" i="10"/>
  <c r="A117" i="9"/>
  <c r="AC116" i="11"/>
  <c r="AC116" i="10"/>
  <c r="AC116" i="9"/>
  <c r="U116" i="11"/>
  <c r="U116" i="10"/>
  <c r="U116" i="9"/>
  <c r="M116" i="11"/>
  <c r="M116" i="10"/>
  <c r="M116" i="9"/>
  <c r="E116" i="11"/>
  <c r="E116" i="10"/>
  <c r="E116" i="9"/>
  <c r="AG115" i="11"/>
  <c r="AG115" i="10"/>
  <c r="AG115" i="9"/>
  <c r="Y115" i="11"/>
  <c r="Y115" i="10"/>
  <c r="Y115" i="9"/>
  <c r="Q115" i="11"/>
  <c r="Q115" i="10"/>
  <c r="Q115" i="9"/>
  <c r="I115" i="11"/>
  <c r="I115" i="10"/>
  <c r="I115" i="9"/>
  <c r="A115" i="11"/>
  <c r="A115" i="10"/>
  <c r="A115" i="9"/>
  <c r="AC114" i="11"/>
  <c r="AC114" i="10"/>
  <c r="AC114" i="9"/>
  <c r="U114" i="11"/>
  <c r="U114" i="10"/>
  <c r="U114" i="9"/>
  <c r="M114" i="11"/>
  <c r="M114" i="10"/>
  <c r="M114" i="9"/>
  <c r="E114" i="11"/>
  <c r="E114" i="10"/>
  <c r="E114" i="9"/>
  <c r="Y113" i="11"/>
  <c r="Y113" i="10"/>
  <c r="Y113" i="9"/>
  <c r="Q113" i="11"/>
  <c r="Q113" i="10"/>
  <c r="Q113" i="9"/>
  <c r="I113" i="11"/>
  <c r="I113" i="10"/>
  <c r="I113" i="9"/>
  <c r="A113" i="11"/>
  <c r="A113" i="10"/>
  <c r="A113" i="9"/>
  <c r="AC112" i="11"/>
  <c r="AC112" i="10"/>
  <c r="AC112" i="9"/>
  <c r="U112" i="11"/>
  <c r="U112" i="10"/>
  <c r="U112" i="9"/>
  <c r="M112" i="11"/>
  <c r="M112" i="10"/>
  <c r="M112" i="9"/>
  <c r="E112" i="11"/>
  <c r="E112" i="10"/>
  <c r="E112" i="9"/>
  <c r="AG111" i="11"/>
  <c r="AG111" i="10"/>
  <c r="AG111" i="9"/>
  <c r="Y111" i="11"/>
  <c r="Y111" i="10"/>
  <c r="Y111" i="9"/>
  <c r="Q111" i="11"/>
  <c r="Q111" i="10"/>
  <c r="Q111" i="9"/>
  <c r="I111" i="11"/>
  <c r="I111" i="10"/>
  <c r="I111" i="9"/>
  <c r="A111" i="11"/>
  <c r="A111" i="10"/>
  <c r="A111" i="9"/>
  <c r="AC110" i="11"/>
  <c r="AC110" i="10"/>
  <c r="AC110" i="9"/>
  <c r="U110" i="11"/>
  <c r="U110" i="10"/>
  <c r="U110" i="9"/>
  <c r="M110" i="11"/>
  <c r="M110" i="10"/>
  <c r="M110" i="9"/>
  <c r="E110" i="11"/>
  <c r="E110" i="10"/>
  <c r="E110" i="9"/>
  <c r="AG109" i="11"/>
  <c r="AG109" i="10"/>
  <c r="AG109" i="9"/>
  <c r="Y109" i="11"/>
  <c r="Y109" i="10"/>
  <c r="Y109" i="9"/>
  <c r="Q109" i="11"/>
  <c r="Q109" i="10"/>
  <c r="Q109" i="9"/>
  <c r="I109" i="11"/>
  <c r="I109" i="10"/>
  <c r="I109" i="9"/>
  <c r="A109" i="11"/>
  <c r="A109" i="10"/>
  <c r="A109" i="9"/>
  <c r="AC108" i="11"/>
  <c r="AC108" i="10"/>
  <c r="AC108" i="9"/>
  <c r="U108" i="11"/>
  <c r="U108" i="10"/>
  <c r="U108" i="9"/>
  <c r="M108" i="11"/>
  <c r="M108" i="10"/>
  <c r="M108" i="9"/>
  <c r="E108" i="11"/>
  <c r="E108" i="10"/>
  <c r="E108" i="9"/>
  <c r="AG107" i="11"/>
  <c r="AG107" i="10"/>
  <c r="AG107" i="9"/>
  <c r="Y107" i="11"/>
  <c r="Y107" i="10"/>
  <c r="Y107" i="9"/>
  <c r="Q107" i="11"/>
  <c r="Q107" i="10"/>
  <c r="Q107" i="9"/>
  <c r="I107" i="11"/>
  <c r="I107" i="10"/>
  <c r="I107" i="9"/>
  <c r="A107" i="11"/>
  <c r="A107" i="10"/>
  <c r="A107" i="9"/>
  <c r="AC106" i="11"/>
  <c r="AC106" i="10"/>
  <c r="AC106" i="9"/>
  <c r="U106" i="11"/>
  <c r="U106" i="10"/>
  <c r="U106" i="9"/>
  <c r="M106" i="11"/>
  <c r="M106" i="10"/>
  <c r="M106" i="9"/>
  <c r="E106" i="11"/>
  <c r="E106" i="10"/>
  <c r="E106" i="9"/>
  <c r="AG105" i="11"/>
  <c r="AG105" i="10"/>
  <c r="AG105" i="9"/>
  <c r="Y105" i="11"/>
  <c r="Y105" i="10"/>
  <c r="Y105" i="9"/>
  <c r="Q105" i="11"/>
  <c r="Q105" i="10"/>
  <c r="Q105" i="9"/>
  <c r="I105" i="11"/>
  <c r="I105" i="10"/>
  <c r="I105" i="9"/>
  <c r="A105" i="11"/>
  <c r="A105" i="10"/>
  <c r="A105" i="9"/>
  <c r="AC104" i="11"/>
  <c r="AC104" i="10"/>
  <c r="AC104" i="9"/>
  <c r="U104" i="11"/>
  <c r="U104" i="10"/>
  <c r="U104" i="9"/>
  <c r="M104" i="11"/>
  <c r="M104" i="10"/>
  <c r="M104" i="9"/>
  <c r="E104" i="11"/>
  <c r="E104" i="10"/>
  <c r="E104" i="9"/>
  <c r="Y103" i="11"/>
  <c r="Y103" i="10"/>
  <c r="Y103" i="9"/>
  <c r="Q103" i="11"/>
  <c r="Q103" i="10"/>
  <c r="Q103" i="9"/>
  <c r="I103" i="11"/>
  <c r="I103" i="10"/>
  <c r="I103" i="9"/>
  <c r="A103" i="11"/>
  <c r="A103" i="10"/>
  <c r="A103" i="9"/>
  <c r="AC102" i="11"/>
  <c r="AC102" i="10"/>
  <c r="AC102" i="9"/>
  <c r="U102" i="11"/>
  <c r="U102" i="10"/>
  <c r="U102" i="9"/>
  <c r="M102" i="11"/>
  <c r="M102" i="10"/>
  <c r="M102" i="9"/>
  <c r="E102" i="11"/>
  <c r="E102" i="10"/>
  <c r="E102" i="9"/>
  <c r="AG101" i="11"/>
  <c r="AG101" i="10"/>
  <c r="AG101" i="9"/>
  <c r="Y101" i="11"/>
  <c r="Y101" i="10"/>
  <c r="Y101" i="9"/>
  <c r="Q101" i="11"/>
  <c r="Q101" i="10"/>
  <c r="Q101" i="9"/>
  <c r="I101" i="11"/>
  <c r="I101" i="10"/>
  <c r="I101" i="9"/>
  <c r="A101" i="11"/>
  <c r="A101" i="10"/>
  <c r="A101" i="9"/>
  <c r="AC100" i="11"/>
  <c r="AC100" i="10"/>
  <c r="AC100" i="9"/>
  <c r="U100" i="11"/>
  <c r="U100" i="10"/>
  <c r="U100" i="9"/>
  <c r="M100" i="11"/>
  <c r="M100" i="10"/>
  <c r="M100" i="9"/>
  <c r="E100" i="11"/>
  <c r="E100" i="10"/>
  <c r="E100" i="9"/>
  <c r="AG99" i="9"/>
  <c r="AG99" i="10"/>
  <c r="Y99" i="11"/>
  <c r="Y99" i="10"/>
  <c r="Y99" i="9"/>
  <c r="Q99" i="11"/>
  <c r="Q99" i="10"/>
  <c r="Q99" i="9"/>
  <c r="I99" i="11"/>
  <c r="I99" i="10"/>
  <c r="I99" i="9"/>
  <c r="A99" i="11"/>
  <c r="A99" i="10"/>
  <c r="A99" i="9"/>
  <c r="AC98" i="11"/>
  <c r="AC98" i="10"/>
  <c r="AC98" i="9"/>
  <c r="U98" i="11"/>
  <c r="U98" i="10"/>
  <c r="U98" i="9"/>
  <c r="M98" i="11"/>
  <c r="M98" i="10"/>
  <c r="M98" i="9"/>
  <c r="E98" i="11"/>
  <c r="E98" i="10"/>
  <c r="E98" i="9"/>
  <c r="AG97" i="11"/>
  <c r="AG97" i="10"/>
  <c r="AG97" i="9"/>
  <c r="Y97" i="11"/>
  <c r="Y97" i="10"/>
  <c r="Y97" i="9"/>
  <c r="Q97" i="11"/>
  <c r="Q97" i="10"/>
  <c r="Q97" i="9"/>
  <c r="I97" i="11"/>
  <c r="I97" i="10"/>
  <c r="I97" i="9"/>
  <c r="A97" i="11"/>
  <c r="A97" i="10"/>
  <c r="A97" i="9"/>
  <c r="AC96" i="11"/>
  <c r="AC96" i="10"/>
  <c r="AC96" i="9"/>
  <c r="U96" i="11"/>
  <c r="U96" i="10"/>
  <c r="U96" i="9"/>
  <c r="M96" i="11"/>
  <c r="M96" i="10"/>
  <c r="M96" i="9"/>
  <c r="E96" i="11"/>
  <c r="E96" i="10"/>
  <c r="E96" i="9"/>
  <c r="AG95" i="11"/>
  <c r="AG95" i="10"/>
  <c r="AG95" i="9"/>
  <c r="Y95" i="11"/>
  <c r="Y95" i="10"/>
  <c r="Y95" i="9"/>
  <c r="Q95" i="11"/>
  <c r="Q95" i="10"/>
  <c r="Q95" i="9"/>
  <c r="I95" i="11"/>
  <c r="I95" i="10"/>
  <c r="I95" i="9"/>
  <c r="A95" i="11"/>
  <c r="A95" i="10"/>
  <c r="A95" i="9"/>
  <c r="AC94" i="11"/>
  <c r="AC94" i="10"/>
  <c r="AC94" i="9"/>
  <c r="U94" i="11"/>
  <c r="U94" i="10"/>
  <c r="U94" i="9"/>
  <c r="M94" i="11"/>
  <c r="M94" i="10"/>
  <c r="M94" i="9"/>
  <c r="E94" i="11"/>
  <c r="E94" i="10"/>
  <c r="E94" i="9"/>
  <c r="AG93" i="11"/>
  <c r="AG93" i="10"/>
  <c r="AG93" i="9"/>
  <c r="Y93" i="11"/>
  <c r="Y93" i="10"/>
  <c r="Y93" i="9"/>
  <c r="Q93" i="11"/>
  <c r="Q93" i="10"/>
  <c r="Q93" i="9"/>
  <c r="I93" i="11"/>
  <c r="I93" i="10"/>
  <c r="I93" i="9"/>
  <c r="A93" i="11"/>
  <c r="A93" i="10"/>
  <c r="A93" i="9"/>
  <c r="AC92" i="11"/>
  <c r="AC92" i="10"/>
  <c r="AC92" i="9"/>
  <c r="U92" i="11"/>
  <c r="U92" i="10"/>
  <c r="U92" i="9"/>
  <c r="M92" i="11"/>
  <c r="M92" i="10"/>
  <c r="M92" i="9"/>
  <c r="E92" i="11"/>
  <c r="E92" i="10"/>
  <c r="E92" i="9"/>
  <c r="AG91" i="11"/>
  <c r="AG91" i="10"/>
  <c r="AG91" i="9"/>
  <c r="Y91" i="11"/>
  <c r="Y91" i="10"/>
  <c r="Y91" i="9"/>
  <c r="Q91" i="11"/>
  <c r="Q91" i="10"/>
  <c r="Q91" i="9"/>
  <c r="I91" i="11"/>
  <c r="I91" i="10"/>
  <c r="I91" i="9"/>
  <c r="A91" i="11"/>
  <c r="A91" i="10"/>
  <c r="A91" i="9"/>
  <c r="AC90" i="11"/>
  <c r="AC90" i="10"/>
  <c r="AC90" i="9"/>
  <c r="U90" i="11"/>
  <c r="U90" i="10"/>
  <c r="U90" i="9"/>
  <c r="M90" i="11"/>
  <c r="M90" i="10"/>
  <c r="M90" i="9"/>
  <c r="E90" i="11"/>
  <c r="E90" i="10"/>
  <c r="E90" i="9"/>
  <c r="AG89" i="11"/>
  <c r="AG89" i="10"/>
  <c r="AG89" i="9"/>
  <c r="Y89" i="11"/>
  <c r="Y89" i="10"/>
  <c r="Y89" i="9"/>
  <c r="Q89" i="11"/>
  <c r="Q89" i="10"/>
  <c r="Q89" i="9"/>
  <c r="I89" i="11"/>
  <c r="I89" i="10"/>
  <c r="I89" i="9"/>
  <c r="A89" i="11"/>
  <c r="A89" i="10"/>
  <c r="A89" i="9"/>
  <c r="AC88" i="11"/>
  <c r="AC88" i="10"/>
  <c r="AC88" i="9"/>
  <c r="U88" i="11"/>
  <c r="U88" i="10"/>
  <c r="U88" i="9"/>
  <c r="M88" i="11"/>
  <c r="M88" i="10"/>
  <c r="M88" i="9"/>
  <c r="E88" i="11"/>
  <c r="E88" i="10"/>
  <c r="E88" i="9"/>
  <c r="AG87" i="11"/>
  <c r="AG87" i="10"/>
  <c r="AG87" i="9"/>
  <c r="Y87" i="11"/>
  <c r="Y87" i="10"/>
  <c r="Y87" i="9"/>
  <c r="Q87" i="11"/>
  <c r="Q87" i="10"/>
  <c r="Q87" i="9"/>
  <c r="I87" i="11"/>
  <c r="I87" i="10"/>
  <c r="I87" i="9"/>
  <c r="A87" i="11"/>
  <c r="A87" i="10"/>
  <c r="A87" i="9"/>
  <c r="AC86" i="11"/>
  <c r="AC86" i="10"/>
  <c r="AC86" i="9"/>
  <c r="U86" i="11"/>
  <c r="U86" i="10"/>
  <c r="U86" i="9"/>
  <c r="M86" i="11"/>
  <c r="M86" i="10"/>
  <c r="M86" i="9"/>
  <c r="E86" i="11"/>
  <c r="E86" i="10"/>
  <c r="E86" i="9"/>
  <c r="AG85" i="11"/>
  <c r="AG85" i="10"/>
  <c r="AG85" i="9"/>
  <c r="Y85" i="11"/>
  <c r="Y85" i="10"/>
  <c r="Y85" i="9"/>
  <c r="Q85" i="11"/>
  <c r="Q85" i="10"/>
  <c r="Q85" i="9"/>
  <c r="I85" i="11"/>
  <c r="I85" i="10"/>
  <c r="I85" i="9"/>
  <c r="A85" i="11"/>
  <c r="A85" i="10"/>
  <c r="A85" i="9"/>
  <c r="AC84" i="11"/>
  <c r="AC84" i="10"/>
  <c r="AC84" i="9"/>
  <c r="U84" i="11"/>
  <c r="U84" i="10"/>
  <c r="U84" i="9"/>
  <c r="M84" i="11"/>
  <c r="M84" i="10"/>
  <c r="M84" i="9"/>
  <c r="E84" i="11"/>
  <c r="E84" i="10"/>
  <c r="E84" i="9"/>
  <c r="AG83" i="11"/>
  <c r="AG83" i="10"/>
  <c r="AG83" i="9"/>
  <c r="Y83" i="11"/>
  <c r="Y83" i="10"/>
  <c r="Y83" i="9"/>
  <c r="Q83" i="11"/>
  <c r="Q83" i="10"/>
  <c r="Q83" i="9"/>
  <c r="I83" i="11"/>
  <c r="I83" i="10"/>
  <c r="I83" i="9"/>
  <c r="A83" i="11"/>
  <c r="A83" i="10"/>
  <c r="A83" i="9"/>
  <c r="AC82" i="11"/>
  <c r="AC82" i="10"/>
  <c r="AC82" i="9"/>
  <c r="U82" i="11"/>
  <c r="U82" i="10"/>
  <c r="U82" i="9"/>
  <c r="M82" i="11"/>
  <c r="M82" i="10"/>
  <c r="M82" i="9"/>
  <c r="E82" i="11"/>
  <c r="E82" i="10"/>
  <c r="E82" i="9"/>
  <c r="AG81" i="11"/>
  <c r="AG81" i="10"/>
  <c r="AG81" i="9"/>
  <c r="Y81" i="11"/>
  <c r="Y81" i="10"/>
  <c r="Y81" i="9"/>
  <c r="Q81" i="11"/>
  <c r="Q81" i="10"/>
  <c r="Q81" i="9"/>
  <c r="I81" i="11"/>
  <c r="I81" i="10"/>
  <c r="I81" i="9"/>
  <c r="A81" i="11"/>
  <c r="A81" i="10"/>
  <c r="A81" i="9"/>
  <c r="AC80" i="11"/>
  <c r="AC80" i="10"/>
  <c r="AC80" i="9"/>
  <c r="U80" i="11"/>
  <c r="U80" i="10"/>
  <c r="U80" i="9"/>
  <c r="M80" i="11"/>
  <c r="M80" i="10"/>
  <c r="M80" i="9"/>
  <c r="E80" i="11"/>
  <c r="E80" i="10"/>
  <c r="E80" i="9"/>
  <c r="AG79" i="11"/>
  <c r="AG79" i="10"/>
  <c r="AG79" i="9"/>
  <c r="Y79" i="11"/>
  <c r="Y79" i="10"/>
  <c r="Y79" i="9"/>
  <c r="Q79" i="11"/>
  <c r="Q79" i="10"/>
  <c r="Q79" i="9"/>
  <c r="I79" i="11"/>
  <c r="I79" i="10"/>
  <c r="I79" i="9"/>
  <c r="A79" i="11"/>
  <c r="A79" i="10"/>
  <c r="A79" i="9"/>
  <c r="AC78" i="11"/>
  <c r="AC78" i="10"/>
  <c r="AC78" i="9"/>
  <c r="U78" i="11"/>
  <c r="U78" i="10"/>
  <c r="U78" i="9"/>
  <c r="M78" i="11"/>
  <c r="M78" i="10"/>
  <c r="M78" i="9"/>
  <c r="E78" i="11"/>
  <c r="E78" i="10"/>
  <c r="E78" i="9"/>
  <c r="AG77" i="11"/>
  <c r="AG77" i="10"/>
  <c r="AG77" i="9"/>
  <c r="Y77" i="11"/>
  <c r="Y77" i="10"/>
  <c r="Y77" i="9"/>
  <c r="Q77" i="11"/>
  <c r="Q77" i="10"/>
  <c r="Q77" i="9"/>
  <c r="I77" i="11"/>
  <c r="I77" i="10"/>
  <c r="I77" i="9"/>
  <c r="A77" i="11"/>
  <c r="A77" i="10"/>
  <c r="A77" i="9"/>
  <c r="AC76" i="11"/>
  <c r="AC76" i="10"/>
  <c r="AC76" i="9"/>
  <c r="U76" i="11"/>
  <c r="U76" i="10"/>
  <c r="U76" i="9"/>
  <c r="M76" i="11"/>
  <c r="M76" i="10"/>
  <c r="M76" i="9"/>
  <c r="E76" i="11"/>
  <c r="E76" i="10"/>
  <c r="E76" i="9"/>
  <c r="AG75" i="11"/>
  <c r="AG75" i="10"/>
  <c r="AG75" i="9"/>
  <c r="Y75" i="11"/>
  <c r="Y75" i="10"/>
  <c r="Y75" i="9"/>
  <c r="Q75" i="11"/>
  <c r="Q75" i="10"/>
  <c r="Q75" i="9"/>
  <c r="I75" i="11"/>
  <c r="I75" i="10"/>
  <c r="I75" i="9"/>
  <c r="A75" i="11"/>
  <c r="A75" i="10"/>
  <c r="A75" i="9"/>
  <c r="AC74" i="11"/>
  <c r="AC74" i="10"/>
  <c r="AC74" i="9"/>
  <c r="U74" i="11"/>
  <c r="U74" i="10"/>
  <c r="U74" i="9"/>
  <c r="M74" i="11"/>
  <c r="M74" i="10"/>
  <c r="M74" i="9"/>
  <c r="E74" i="11"/>
  <c r="E74" i="10"/>
  <c r="E74" i="9"/>
  <c r="AG73" i="11"/>
  <c r="AG73" i="10"/>
  <c r="AG73" i="9"/>
  <c r="Y73" i="11"/>
  <c r="Y73" i="10"/>
  <c r="Y73" i="9"/>
  <c r="Q73" i="11"/>
  <c r="Q73" i="10"/>
  <c r="Q73" i="9"/>
  <c r="I73" i="11"/>
  <c r="I73" i="10"/>
  <c r="I73" i="9"/>
  <c r="A73" i="11"/>
  <c r="A73" i="10"/>
  <c r="A73" i="9"/>
  <c r="AC72" i="11"/>
  <c r="AC72" i="10"/>
  <c r="AC72" i="9"/>
  <c r="U72" i="11"/>
  <c r="U72" i="10"/>
  <c r="U72" i="9"/>
  <c r="M72" i="11"/>
  <c r="M72" i="10"/>
  <c r="M72" i="9"/>
  <c r="E72" i="11"/>
  <c r="E72" i="10"/>
  <c r="E72" i="9"/>
  <c r="AG71" i="11"/>
  <c r="AG71" i="10"/>
  <c r="AG71" i="9"/>
  <c r="Y71" i="11"/>
  <c r="Y71" i="10"/>
  <c r="Y71" i="9"/>
  <c r="Q71" i="11"/>
  <c r="Q71" i="10"/>
  <c r="Q71" i="9"/>
  <c r="I71" i="11"/>
  <c r="I71" i="10"/>
  <c r="I71" i="9"/>
  <c r="A71" i="11"/>
  <c r="A71" i="10"/>
  <c r="A71" i="9"/>
  <c r="AC70" i="11"/>
  <c r="AC70" i="10"/>
  <c r="AC70" i="9"/>
  <c r="U70" i="11"/>
  <c r="U70" i="10"/>
  <c r="U70" i="9"/>
  <c r="M70" i="11"/>
  <c r="M70" i="10"/>
  <c r="M70" i="9"/>
  <c r="E70" i="11"/>
  <c r="E70" i="10"/>
  <c r="E70" i="9"/>
  <c r="AG69" i="11"/>
  <c r="AG69" i="10"/>
  <c r="AG69" i="9"/>
  <c r="Y69" i="11"/>
  <c r="Y69" i="10"/>
  <c r="Y69" i="9"/>
  <c r="Q69" i="11"/>
  <c r="Q69" i="10"/>
  <c r="Q69" i="9"/>
  <c r="I69" i="11"/>
  <c r="I69" i="10"/>
  <c r="I69" i="9"/>
  <c r="A69" i="11"/>
  <c r="A69" i="10"/>
  <c r="A69" i="9"/>
  <c r="AC68" i="11"/>
  <c r="AC68" i="10"/>
  <c r="AC68" i="9"/>
  <c r="U68" i="11"/>
  <c r="U68" i="10"/>
  <c r="U68" i="9"/>
  <c r="M68" i="11"/>
  <c r="M68" i="10"/>
  <c r="M68" i="9"/>
  <c r="E68" i="11"/>
  <c r="E68" i="10"/>
  <c r="E68" i="9"/>
  <c r="AG67" i="11"/>
  <c r="AG67" i="10"/>
  <c r="AG67" i="9"/>
  <c r="Y67" i="11"/>
  <c r="Y67" i="10"/>
  <c r="Y67" i="9"/>
  <c r="Q67" i="11"/>
  <c r="Q67" i="10"/>
  <c r="Q67" i="9"/>
  <c r="I67" i="11"/>
  <c r="I67" i="10"/>
  <c r="I67" i="9"/>
  <c r="A67" i="11"/>
  <c r="A67" i="10"/>
  <c r="A67" i="9"/>
  <c r="AC66" i="11"/>
  <c r="AC66" i="10"/>
  <c r="AC66" i="9"/>
  <c r="U66" i="11"/>
  <c r="U66" i="10"/>
  <c r="U66" i="9"/>
  <c r="M66" i="11"/>
  <c r="M66" i="10"/>
  <c r="M66" i="9"/>
  <c r="E66" i="11"/>
  <c r="E66" i="10"/>
  <c r="E66" i="9"/>
  <c r="AG65" i="11"/>
  <c r="AG65" i="10"/>
  <c r="AG65" i="9"/>
  <c r="Y65" i="11"/>
  <c r="Y65" i="10"/>
  <c r="Y65" i="9"/>
  <c r="Q65" i="11"/>
  <c r="Q65" i="10"/>
  <c r="Q65" i="9"/>
  <c r="I65" i="11"/>
  <c r="I65" i="10"/>
  <c r="I65" i="9"/>
  <c r="A65" i="11"/>
  <c r="A65" i="10"/>
  <c r="A65" i="9"/>
  <c r="AC64" i="11"/>
  <c r="AC64" i="10"/>
  <c r="AC64" i="9"/>
  <c r="U64" i="11"/>
  <c r="U64" i="10"/>
  <c r="U64" i="9"/>
  <c r="M64" i="11"/>
  <c r="M64" i="10"/>
  <c r="M64" i="9"/>
  <c r="E64" i="11"/>
  <c r="E64" i="10"/>
  <c r="E64" i="9"/>
  <c r="AG63" i="11"/>
  <c r="AG63" i="10"/>
  <c r="AG63" i="9"/>
  <c r="Y63" i="11"/>
  <c r="Y63" i="10"/>
  <c r="Y63" i="9"/>
  <c r="Q63" i="11"/>
  <c r="Q63" i="10"/>
  <c r="Q63" i="9"/>
  <c r="I63" i="11"/>
  <c r="I63" i="10"/>
  <c r="I63" i="9"/>
  <c r="A63" i="11"/>
  <c r="A63" i="10"/>
  <c r="A63" i="9"/>
  <c r="AC62" i="11"/>
  <c r="AC62" i="10"/>
  <c r="AC62" i="9"/>
  <c r="U62" i="11"/>
  <c r="U62" i="10"/>
  <c r="U62" i="9"/>
  <c r="M62" i="11"/>
  <c r="M62" i="10"/>
  <c r="M62" i="9"/>
  <c r="E62" i="11"/>
  <c r="E62" i="10"/>
  <c r="E62" i="9"/>
  <c r="AG61" i="10"/>
  <c r="AG61" i="11"/>
  <c r="Y61" i="11"/>
  <c r="Y61" i="10"/>
  <c r="Y61" i="9"/>
  <c r="Q61" i="11"/>
  <c r="Q61" i="10"/>
  <c r="Q61" i="9"/>
  <c r="I61" i="11"/>
  <c r="I61" i="10"/>
  <c r="I61" i="9"/>
  <c r="A61" i="11"/>
  <c r="A61" i="10"/>
  <c r="A61" i="9"/>
  <c r="AC60" i="11"/>
  <c r="AC60" i="10"/>
  <c r="AC60" i="9"/>
  <c r="U60" i="11"/>
  <c r="U60" i="10"/>
  <c r="U60" i="9"/>
  <c r="M60" i="11"/>
  <c r="M60" i="10"/>
  <c r="M60" i="9"/>
  <c r="E60" i="11"/>
  <c r="E60" i="10"/>
  <c r="E60" i="9"/>
  <c r="AG59" i="11"/>
  <c r="AG59" i="10"/>
  <c r="AG59" i="9"/>
  <c r="Y59" i="11"/>
  <c r="Y59" i="10"/>
  <c r="Y59" i="9"/>
  <c r="Q59" i="11"/>
  <c r="Q59" i="10"/>
  <c r="Q59" i="9"/>
  <c r="I59" i="11"/>
  <c r="I59" i="10"/>
  <c r="I59" i="9"/>
  <c r="A59" i="11"/>
  <c r="A59" i="9"/>
  <c r="A59" i="10"/>
  <c r="AC58" i="11"/>
  <c r="AC58" i="10"/>
  <c r="AC58" i="9"/>
  <c r="U58" i="11"/>
  <c r="U58" i="10"/>
  <c r="U58" i="9"/>
  <c r="M58" i="11"/>
  <c r="M58" i="10"/>
  <c r="M58" i="9"/>
  <c r="E58" i="11"/>
  <c r="E58" i="10"/>
  <c r="E58" i="9"/>
  <c r="AG57" i="11"/>
  <c r="AG57" i="10"/>
  <c r="AG57" i="9"/>
  <c r="Y57" i="11"/>
  <c r="Y57" i="10"/>
  <c r="Y57" i="9"/>
  <c r="Q57" i="11"/>
  <c r="Q57" i="10"/>
  <c r="Q57" i="9"/>
  <c r="I57" i="11"/>
  <c r="I57" i="10"/>
  <c r="I57" i="9"/>
  <c r="A57" i="11"/>
  <c r="A57" i="10"/>
  <c r="A57" i="9"/>
  <c r="AC56" i="11"/>
  <c r="AC56" i="10"/>
  <c r="AC56" i="9"/>
  <c r="U56" i="11"/>
  <c r="U56" i="10"/>
  <c r="U56" i="9"/>
  <c r="M56" i="11"/>
  <c r="M56" i="10"/>
  <c r="M56" i="9"/>
  <c r="E56" i="11"/>
  <c r="E56" i="10"/>
  <c r="E56" i="9"/>
  <c r="AG55" i="11"/>
  <c r="AG55" i="10"/>
  <c r="AG55" i="9"/>
  <c r="Y55" i="11"/>
  <c r="Y55" i="10"/>
  <c r="Y55" i="9"/>
  <c r="Q55" i="11"/>
  <c r="Q55" i="10"/>
  <c r="Q55" i="9"/>
  <c r="I55" i="11"/>
  <c r="I55" i="10"/>
  <c r="I55" i="9"/>
  <c r="A55" i="11"/>
  <c r="A55" i="10"/>
  <c r="A55" i="9"/>
  <c r="AC54" i="11"/>
  <c r="AC54" i="10"/>
  <c r="AC54" i="9"/>
  <c r="U54" i="11"/>
  <c r="U54" i="10"/>
  <c r="U54" i="9"/>
  <c r="L54" i="11"/>
  <c r="L54" i="10"/>
  <c r="L54" i="9"/>
  <c r="D54" i="11"/>
  <c r="D54" i="10"/>
  <c r="D54" i="9"/>
  <c r="AF53" i="11"/>
  <c r="AF53" i="10"/>
  <c r="AF53" i="9"/>
  <c r="X53" i="11"/>
  <c r="X53" i="10"/>
  <c r="X53" i="9"/>
  <c r="P53" i="11"/>
  <c r="P53" i="10"/>
  <c r="P53" i="9"/>
  <c r="H53" i="11"/>
  <c r="H53" i="10"/>
  <c r="H53" i="9"/>
  <c r="AB52" i="11"/>
  <c r="AB52" i="10"/>
  <c r="AB52" i="9"/>
  <c r="T52" i="11"/>
  <c r="T52" i="10"/>
  <c r="T52" i="9"/>
  <c r="L52" i="11"/>
  <c r="L52" i="10"/>
  <c r="L52" i="9"/>
  <c r="D52" i="11"/>
  <c r="D52" i="10"/>
  <c r="D52" i="9"/>
  <c r="AF51" i="11"/>
  <c r="AF51" i="10"/>
  <c r="AF51" i="9"/>
  <c r="X51" i="11"/>
  <c r="X51" i="10"/>
  <c r="X51" i="9"/>
  <c r="P51" i="11"/>
  <c r="P51" i="10"/>
  <c r="P51" i="9"/>
  <c r="H51" i="11"/>
  <c r="H51" i="10"/>
  <c r="H51" i="9"/>
  <c r="AB50" i="11"/>
  <c r="AB50" i="10"/>
  <c r="AB50" i="9"/>
  <c r="T50" i="11"/>
  <c r="T50" i="10"/>
  <c r="T50" i="9"/>
  <c r="L50" i="11"/>
  <c r="L50" i="10"/>
  <c r="L50" i="9"/>
  <c r="D50" i="11"/>
  <c r="D50" i="10"/>
  <c r="D50" i="9"/>
  <c r="AF49" i="11"/>
  <c r="AF49" i="10"/>
  <c r="AF49" i="9"/>
  <c r="X49" i="11"/>
  <c r="X49" i="10"/>
  <c r="X49" i="9"/>
  <c r="P49" i="11"/>
  <c r="P49" i="10"/>
  <c r="P49" i="9"/>
  <c r="H49" i="11"/>
  <c r="H49" i="10"/>
  <c r="H49" i="9"/>
  <c r="AB48" i="11"/>
  <c r="AB48" i="10"/>
  <c r="AB48" i="9"/>
  <c r="T48" i="11"/>
  <c r="T48" i="10"/>
  <c r="T48" i="9"/>
  <c r="L48" i="11"/>
  <c r="L48" i="10"/>
  <c r="L48" i="9"/>
  <c r="D48" i="11"/>
  <c r="D48" i="10"/>
  <c r="D48" i="9"/>
  <c r="AF47" i="11"/>
  <c r="AF47" i="10"/>
  <c r="AF47" i="9"/>
  <c r="X47" i="11"/>
  <c r="X47" i="10"/>
  <c r="X47" i="9"/>
  <c r="P47" i="11"/>
  <c r="P47" i="10"/>
  <c r="P47" i="9"/>
  <c r="H47" i="11"/>
  <c r="H47" i="10"/>
  <c r="H47" i="9"/>
  <c r="AB46" i="11"/>
  <c r="AB46" i="10"/>
  <c r="AB46" i="9"/>
  <c r="T46" i="11"/>
  <c r="T46" i="10"/>
  <c r="T46" i="9"/>
  <c r="L46" i="11"/>
  <c r="L46" i="10"/>
  <c r="L46" i="9"/>
  <c r="D46" i="11"/>
  <c r="D46" i="9"/>
  <c r="D46" i="10"/>
  <c r="AF45" i="11"/>
  <c r="AF45" i="10"/>
  <c r="AF45" i="9"/>
  <c r="X45" i="11"/>
  <c r="X45" i="10"/>
  <c r="X45" i="9"/>
  <c r="P45" i="11"/>
  <c r="P45" i="10"/>
  <c r="P45" i="9"/>
  <c r="H45" i="11"/>
  <c r="H45" i="10"/>
  <c r="H45" i="9"/>
  <c r="AB44" i="11"/>
  <c r="AB44" i="10"/>
  <c r="AB44" i="9"/>
  <c r="T44" i="11"/>
  <c r="T44" i="10"/>
  <c r="T44" i="9"/>
  <c r="L44" i="11"/>
  <c r="L44" i="10"/>
  <c r="L44" i="9"/>
  <c r="D44" i="11"/>
  <c r="D44" i="10"/>
  <c r="D44" i="9"/>
  <c r="AF43" i="11"/>
  <c r="AF43" i="10"/>
  <c r="AF43" i="9"/>
  <c r="X43" i="11"/>
  <c r="X43" i="10"/>
  <c r="X43" i="9"/>
  <c r="P43" i="11"/>
  <c r="P43" i="10"/>
  <c r="P43" i="9"/>
  <c r="H43" i="11"/>
  <c r="H43" i="10"/>
  <c r="H43" i="9"/>
  <c r="AB42" i="11"/>
  <c r="AB42" i="10"/>
  <c r="AB42" i="9"/>
  <c r="T42" i="11"/>
  <c r="T42" i="10"/>
  <c r="T42" i="9"/>
  <c r="L42" i="11"/>
  <c r="L42" i="10"/>
  <c r="L42" i="9"/>
  <c r="D42" i="11"/>
  <c r="D42" i="10"/>
  <c r="D42" i="9"/>
  <c r="AF41" i="11"/>
  <c r="AF41" i="10"/>
  <c r="AF41" i="9"/>
  <c r="X41" i="11"/>
  <c r="X41" i="10"/>
  <c r="X41" i="9"/>
  <c r="P41" i="11"/>
  <c r="P41" i="10"/>
  <c r="P41" i="9"/>
  <c r="H41" i="11"/>
  <c r="H41" i="10"/>
  <c r="H41" i="9"/>
  <c r="AB40" i="11"/>
  <c r="AB40" i="10"/>
  <c r="AB40" i="9"/>
  <c r="T40" i="11"/>
  <c r="T40" i="10"/>
  <c r="T40" i="9"/>
  <c r="L40" i="11"/>
  <c r="L40" i="10"/>
  <c r="L40" i="9"/>
  <c r="D40" i="11"/>
  <c r="D40" i="10"/>
  <c r="D40" i="9"/>
  <c r="AF39" i="11"/>
  <c r="AF39" i="10"/>
  <c r="AF39" i="9"/>
  <c r="X39" i="11"/>
  <c r="X39" i="10"/>
  <c r="X39" i="9"/>
  <c r="P39" i="11"/>
  <c r="P39" i="10"/>
  <c r="P39" i="9"/>
  <c r="H39" i="11"/>
  <c r="H39" i="10"/>
  <c r="H39" i="9"/>
  <c r="AB38" i="11"/>
  <c r="AB38" i="9"/>
  <c r="AB38" i="10"/>
  <c r="T38" i="11"/>
  <c r="T38" i="10"/>
  <c r="T38" i="9"/>
  <c r="L38" i="11"/>
  <c r="L38" i="10"/>
  <c r="L38" i="9"/>
  <c r="D38" i="11"/>
  <c r="D38" i="10"/>
  <c r="D38" i="9"/>
  <c r="AF37" i="11"/>
  <c r="AF37" i="9"/>
  <c r="AF37" i="10"/>
  <c r="X37" i="11"/>
  <c r="X37" i="10"/>
  <c r="X37" i="9"/>
  <c r="P37" i="11"/>
  <c r="P37" i="10"/>
  <c r="P37" i="9"/>
  <c r="H37" i="11"/>
  <c r="H37" i="10"/>
  <c r="H37" i="9"/>
  <c r="AB36" i="11"/>
  <c r="AB36" i="10"/>
  <c r="AB36" i="9"/>
  <c r="T36" i="11"/>
  <c r="T36" i="10"/>
  <c r="T36" i="9"/>
  <c r="L36" i="11"/>
  <c r="L36" i="10"/>
  <c r="L36" i="9"/>
  <c r="D36" i="11"/>
  <c r="D36" i="10"/>
  <c r="D36" i="9"/>
  <c r="AF35" i="11"/>
  <c r="AF35" i="10"/>
  <c r="AF35" i="9"/>
  <c r="X35" i="11"/>
  <c r="X35" i="10"/>
  <c r="X35" i="9"/>
  <c r="P35" i="11"/>
  <c r="P35" i="10"/>
  <c r="P35" i="9"/>
  <c r="H35" i="11"/>
  <c r="H35" i="10"/>
  <c r="H35" i="9"/>
  <c r="AB34" i="11"/>
  <c r="AB34" i="10"/>
  <c r="AB34" i="9"/>
  <c r="T34" i="11"/>
  <c r="T34" i="10"/>
  <c r="T34" i="9"/>
  <c r="L34" i="11"/>
  <c r="L34" i="10"/>
  <c r="L34" i="9"/>
  <c r="D34" i="11"/>
  <c r="D34" i="10"/>
  <c r="D34" i="9"/>
  <c r="AF33" i="11"/>
  <c r="AF33" i="10"/>
  <c r="AF33" i="9"/>
  <c r="X33" i="11"/>
  <c r="X33" i="10"/>
  <c r="X33" i="9"/>
  <c r="P33" i="11"/>
  <c r="P33" i="10"/>
  <c r="P33" i="9"/>
  <c r="H33" i="11"/>
  <c r="H33" i="10"/>
  <c r="H33" i="9"/>
  <c r="AB32" i="11"/>
  <c r="AB32" i="10"/>
  <c r="AB32" i="9"/>
  <c r="T32" i="11"/>
  <c r="T32" i="10"/>
  <c r="T32" i="9"/>
  <c r="L32" i="11"/>
  <c r="L32" i="9"/>
  <c r="L32" i="10"/>
  <c r="D32" i="11"/>
  <c r="D32" i="9"/>
  <c r="D32" i="10"/>
  <c r="AF31" i="11"/>
  <c r="AF31" i="9"/>
  <c r="AF31" i="10"/>
  <c r="X31" i="11"/>
  <c r="X31" i="9"/>
  <c r="X31" i="10"/>
  <c r="P31" i="11"/>
  <c r="P31" i="9"/>
  <c r="P31" i="10"/>
  <c r="H31" i="11"/>
  <c r="H31" i="9"/>
  <c r="H31" i="10"/>
  <c r="AB30" i="11"/>
  <c r="AB30" i="9"/>
  <c r="AB30" i="10"/>
  <c r="T30" i="11"/>
  <c r="T30" i="9"/>
  <c r="T30" i="10"/>
  <c r="L30" i="11"/>
  <c r="L30" i="9"/>
  <c r="L30" i="10"/>
  <c r="D30" i="11"/>
  <c r="D30" i="9"/>
  <c r="D30" i="10"/>
  <c r="X29" i="11"/>
  <c r="X29" i="9"/>
  <c r="X29" i="10"/>
  <c r="P29" i="11"/>
  <c r="P29" i="9"/>
  <c r="P29" i="10"/>
  <c r="H29" i="11"/>
  <c r="H29" i="9"/>
  <c r="H29" i="10"/>
  <c r="AB28" i="11"/>
  <c r="AB28" i="10"/>
  <c r="AB28" i="9"/>
  <c r="T28" i="11"/>
  <c r="T28" i="10"/>
  <c r="T28" i="9"/>
  <c r="L28" i="11"/>
  <c r="L28" i="10"/>
  <c r="L28" i="9"/>
  <c r="D28" i="11"/>
  <c r="D28" i="10"/>
  <c r="D28" i="9"/>
  <c r="AF27" i="11"/>
  <c r="AF27" i="10"/>
  <c r="AF27" i="9"/>
  <c r="X27" i="11"/>
  <c r="X27" i="9"/>
  <c r="X27" i="10"/>
  <c r="P27" i="11"/>
  <c r="P27" i="9"/>
  <c r="P27" i="10"/>
  <c r="H27" i="11"/>
  <c r="H27" i="9"/>
  <c r="H27" i="10"/>
  <c r="AB26" i="11"/>
  <c r="AB26" i="9"/>
  <c r="AB26" i="10"/>
  <c r="T26" i="11"/>
  <c r="T26" i="9"/>
  <c r="T26" i="10"/>
  <c r="L26" i="11"/>
  <c r="L26" i="9"/>
  <c r="L26" i="10"/>
  <c r="D26" i="11"/>
  <c r="D26" i="9"/>
  <c r="D26" i="10"/>
  <c r="AF25" i="11"/>
  <c r="AF25" i="9"/>
  <c r="AF25" i="10"/>
  <c r="X25" i="11"/>
  <c r="X25" i="9"/>
  <c r="X25" i="10"/>
  <c r="P25" i="11"/>
  <c r="P25" i="9"/>
  <c r="P25" i="10"/>
  <c r="H25" i="11"/>
  <c r="H25" i="9"/>
  <c r="H25" i="10"/>
  <c r="AB24" i="11"/>
  <c r="AB24" i="10"/>
  <c r="AB24" i="9"/>
  <c r="T24" i="11"/>
  <c r="T24" i="10"/>
  <c r="T24" i="9"/>
  <c r="L24" i="11"/>
  <c r="L24" i="10"/>
  <c r="L24" i="9"/>
  <c r="D24" i="11"/>
  <c r="D24" i="10"/>
  <c r="D24" i="9"/>
  <c r="AF23" i="11"/>
  <c r="AF23" i="10"/>
  <c r="AF23" i="9"/>
  <c r="X23" i="11"/>
  <c r="X23" i="10"/>
  <c r="X23" i="9"/>
  <c r="P23" i="11"/>
  <c r="P23" i="10"/>
  <c r="P23" i="9"/>
  <c r="H23" i="11"/>
  <c r="H23" i="10"/>
  <c r="H23" i="9"/>
  <c r="AB22" i="11"/>
  <c r="AB22" i="9"/>
  <c r="AB22" i="10"/>
  <c r="T22" i="11"/>
  <c r="T22" i="9"/>
  <c r="T22" i="10"/>
  <c r="L22" i="11"/>
  <c r="L22" i="9"/>
  <c r="L22" i="10"/>
  <c r="D22" i="11"/>
  <c r="D22" i="9"/>
  <c r="D22" i="10"/>
  <c r="AF21" i="11"/>
  <c r="AF21" i="9"/>
  <c r="AF21" i="10"/>
  <c r="X21" i="11"/>
  <c r="X21" i="10"/>
  <c r="X21" i="9"/>
  <c r="P21" i="11"/>
  <c r="P21" i="10"/>
  <c r="P21" i="9"/>
  <c r="H21" i="11"/>
  <c r="H21" i="10"/>
  <c r="H21" i="9"/>
  <c r="AB20" i="11"/>
  <c r="AB20" i="9"/>
  <c r="AB20" i="10"/>
  <c r="T20" i="11"/>
  <c r="T20" i="9"/>
  <c r="T20" i="10"/>
  <c r="L20" i="11"/>
  <c r="L20" i="9"/>
  <c r="L20" i="10"/>
  <c r="D20" i="11"/>
  <c r="D20" i="9"/>
  <c r="D20" i="10"/>
  <c r="AF19" i="11"/>
  <c r="AF19" i="9"/>
  <c r="AF19" i="10"/>
  <c r="X19" i="11"/>
  <c r="X19" i="9"/>
  <c r="X19" i="10"/>
  <c r="P19" i="11"/>
  <c r="P19" i="9"/>
  <c r="P19" i="10"/>
  <c r="H19" i="11"/>
  <c r="H19" i="9"/>
  <c r="H19" i="10"/>
  <c r="AB18" i="11"/>
  <c r="AB18" i="9"/>
  <c r="AB18" i="10"/>
  <c r="T18" i="11"/>
  <c r="T18" i="9"/>
  <c r="T18" i="10"/>
  <c r="L18" i="11"/>
  <c r="L18" i="9"/>
  <c r="L18" i="10"/>
  <c r="D18" i="11"/>
  <c r="D18" i="9"/>
  <c r="D18" i="10"/>
  <c r="AF17" i="11"/>
  <c r="AF17" i="9"/>
  <c r="AF17" i="10"/>
  <c r="X17" i="11"/>
  <c r="X17" i="10"/>
  <c r="X17" i="9"/>
  <c r="P17" i="11"/>
  <c r="P17" i="10"/>
  <c r="P17" i="9"/>
  <c r="H17" i="11"/>
  <c r="H17" i="10"/>
  <c r="H17" i="9"/>
  <c r="AB16" i="11"/>
  <c r="AB16" i="10"/>
  <c r="AB16" i="9"/>
  <c r="T16" i="11"/>
  <c r="T16" i="10"/>
  <c r="T16" i="9"/>
  <c r="L16" i="11"/>
  <c r="L16" i="10"/>
  <c r="L16" i="9"/>
  <c r="D16" i="11"/>
  <c r="D16" i="10"/>
  <c r="D16" i="9"/>
  <c r="X15" i="11"/>
  <c r="X15" i="10"/>
  <c r="X15" i="9"/>
  <c r="P15" i="11"/>
  <c r="P15" i="10"/>
  <c r="P15" i="9"/>
  <c r="H15" i="11"/>
  <c r="H15" i="10"/>
  <c r="H15" i="9"/>
  <c r="AB14" i="11"/>
  <c r="AB14" i="10"/>
  <c r="AB14" i="9"/>
  <c r="T14" i="11"/>
  <c r="T14" i="10"/>
  <c r="T14" i="9"/>
  <c r="L14" i="11"/>
  <c r="L14" i="10"/>
  <c r="L14" i="9"/>
  <c r="D14" i="11"/>
  <c r="D14" i="10"/>
  <c r="D14" i="9"/>
  <c r="X13" i="11"/>
  <c r="X13" i="10"/>
  <c r="X13" i="9"/>
  <c r="P13" i="11"/>
  <c r="P13" i="10"/>
  <c r="P13" i="9"/>
  <c r="H13" i="11"/>
  <c r="H13" i="10"/>
  <c r="H13" i="9"/>
  <c r="AB12" i="11"/>
  <c r="AB12" i="9"/>
  <c r="AB12" i="10"/>
  <c r="T12" i="11"/>
  <c r="T12" i="9"/>
  <c r="T12" i="10"/>
  <c r="L12" i="11"/>
  <c r="L12" i="9"/>
  <c r="L12" i="10"/>
  <c r="D12" i="11"/>
  <c r="D12" i="9"/>
  <c r="D12" i="10"/>
  <c r="X11" i="11"/>
  <c r="X11" i="9"/>
  <c r="X11" i="10"/>
  <c r="P11" i="11"/>
  <c r="P11" i="9"/>
  <c r="P11" i="10"/>
  <c r="H11" i="11"/>
  <c r="H11" i="9"/>
  <c r="H11" i="10"/>
  <c r="AB10" i="11"/>
  <c r="AB10" i="10"/>
  <c r="AB10" i="9"/>
  <c r="T10" i="11"/>
  <c r="T10" i="10"/>
  <c r="T10" i="9"/>
  <c r="L10" i="11"/>
  <c r="L10" i="10"/>
  <c r="L10" i="9"/>
  <c r="D10" i="11"/>
  <c r="D10" i="10"/>
  <c r="D10" i="9"/>
  <c r="AF9" i="11"/>
  <c r="AF9" i="10"/>
  <c r="AF9" i="9"/>
  <c r="X9" i="11"/>
  <c r="X9" i="10"/>
  <c r="X9" i="9"/>
  <c r="P9" i="11"/>
  <c r="P9" i="10"/>
  <c r="P9" i="9"/>
  <c r="H9" i="11"/>
  <c r="H9" i="10"/>
  <c r="H9" i="9"/>
  <c r="AB8" i="11"/>
  <c r="AB8" i="9"/>
  <c r="AB8" i="10"/>
  <c r="T8" i="11"/>
  <c r="T8" i="9"/>
  <c r="T8" i="10"/>
  <c r="L8" i="11"/>
  <c r="L8" i="9"/>
  <c r="L8" i="10"/>
  <c r="D8" i="11"/>
  <c r="D8" i="9"/>
  <c r="D8" i="10"/>
  <c r="AF7" i="11"/>
  <c r="AF7" i="9"/>
  <c r="AF7" i="10"/>
  <c r="X7" i="11"/>
  <c r="X7" i="10"/>
  <c r="X7" i="9"/>
  <c r="P7" i="11"/>
  <c r="P7" i="10"/>
  <c r="P7" i="9"/>
  <c r="H7" i="11"/>
  <c r="H7" i="10"/>
  <c r="H7" i="9"/>
  <c r="AB6" i="11"/>
  <c r="AB6" i="9"/>
  <c r="AB6" i="10"/>
  <c r="T6" i="11"/>
  <c r="T6" i="9"/>
  <c r="T6" i="10"/>
  <c r="L6" i="11"/>
  <c r="L6" i="9"/>
  <c r="L6" i="10"/>
  <c r="D6" i="11"/>
  <c r="D6" i="9"/>
  <c r="D6" i="10"/>
  <c r="AF5" i="11"/>
  <c r="AF5" i="10"/>
  <c r="AF5" i="9"/>
  <c r="X5" i="11"/>
  <c r="X5" i="10"/>
  <c r="X5" i="9"/>
  <c r="P5" i="11"/>
  <c r="P5" i="10"/>
  <c r="P5" i="9"/>
  <c r="H5" i="11"/>
  <c r="H5" i="10"/>
  <c r="H5" i="9"/>
  <c r="AB4" i="11"/>
  <c r="AB4" i="9"/>
  <c r="AB4" i="10"/>
  <c r="T4" i="11"/>
  <c r="T4" i="9"/>
  <c r="T4" i="10"/>
  <c r="L4" i="11"/>
  <c r="L4" i="9"/>
  <c r="L4" i="10"/>
  <c r="D4" i="11"/>
  <c r="D4" i="9"/>
  <c r="D4" i="10"/>
  <c r="X3" i="11"/>
  <c r="X3" i="9"/>
  <c r="X3" i="10"/>
  <c r="P3" i="11"/>
  <c r="P3" i="9"/>
  <c r="P3" i="10"/>
  <c r="H3" i="11"/>
  <c r="H3" i="9"/>
  <c r="H3" i="10"/>
  <c r="R54" i="11"/>
  <c r="R54" i="10"/>
  <c r="R54" i="9"/>
  <c r="E2" i="11"/>
  <c r="E2" i="10"/>
  <c r="E2" i="9"/>
  <c r="AB2" i="9"/>
  <c r="T2" i="9"/>
  <c r="L2" i="9"/>
  <c r="I2" i="10"/>
  <c r="Q2" i="10"/>
  <c r="Y2" i="10"/>
  <c r="AG2" i="10"/>
  <c r="L2" i="11"/>
  <c r="A8" i="14" s="1"/>
  <c r="T2" i="11"/>
  <c r="A16" i="14" s="1"/>
  <c r="AB2" i="11"/>
  <c r="A24" i="14" s="1"/>
  <c r="AJ1" i="2"/>
  <c r="AA2" i="9"/>
  <c r="S2" i="9"/>
  <c r="K2" i="9"/>
  <c r="J2" i="10"/>
  <c r="R2" i="10"/>
  <c r="Z2" i="10"/>
  <c r="M2" i="11"/>
  <c r="A9" i="14" s="1"/>
  <c r="U2" i="11"/>
  <c r="A17" i="14" s="1"/>
  <c r="AC2" i="11"/>
  <c r="A25" i="14" s="1"/>
  <c r="AG2" i="9"/>
  <c r="Y2" i="9"/>
  <c r="Q2" i="9"/>
  <c r="I2" i="9"/>
  <c r="O2" i="11"/>
  <c r="A11" i="14" s="1"/>
  <c r="W2" i="11"/>
  <c r="A19" i="14" s="1"/>
  <c r="AE2" i="11"/>
  <c r="A27" i="14" s="1"/>
  <c r="AF2" i="9"/>
  <c r="X2" i="9"/>
  <c r="P2" i="9"/>
  <c r="H2" i="9"/>
  <c r="M2" i="10"/>
  <c r="U2" i="10"/>
  <c r="AC2" i="10"/>
  <c r="H2" i="11"/>
  <c r="A4" i="14" s="1"/>
  <c r="P2" i="11"/>
  <c r="A12" i="14" s="1"/>
  <c r="X2" i="11"/>
  <c r="A20" i="14" s="1"/>
  <c r="AF2" i="11"/>
  <c r="A28" i="14" s="1"/>
  <c r="AE2" i="9"/>
  <c r="W2" i="9"/>
  <c r="O2" i="9"/>
  <c r="N2" i="10"/>
  <c r="V2" i="10"/>
  <c r="AD2" i="10"/>
  <c r="G2" i="9"/>
  <c r="G2" i="11"/>
  <c r="A3" i="14" s="1"/>
  <c r="F2" i="9"/>
  <c r="F2" i="11"/>
  <c r="A2" i="14" s="1"/>
  <c r="M143" i="2"/>
  <c r="M102" i="2"/>
  <c r="M57" i="2"/>
  <c r="AG203" i="11"/>
  <c r="AG203" i="10"/>
  <c r="AG304" i="9"/>
  <c r="AG292" i="11"/>
  <c r="AG292" i="10"/>
  <c r="AG284" i="10"/>
  <c r="AG284" i="11"/>
  <c r="AG68" i="9"/>
  <c r="AG68" i="10"/>
  <c r="AG346" i="10"/>
  <c r="AG346" i="11"/>
  <c r="AG276" i="11"/>
  <c r="AG133" i="10"/>
  <c r="AG129" i="9"/>
  <c r="AG129" i="11"/>
  <c r="AG293" i="9"/>
  <c r="AG293" i="11"/>
  <c r="AG245" i="9"/>
  <c r="AG245" i="10"/>
  <c r="AG181" i="9"/>
  <c r="AG181" i="10"/>
  <c r="AG165" i="11"/>
  <c r="AG165" i="9"/>
  <c r="AG351" i="9"/>
  <c r="AG358" i="9"/>
  <c r="AG358" i="10"/>
  <c r="AG357" i="9"/>
  <c r="AG357" i="10"/>
  <c r="AG347" i="9"/>
  <c r="AG347" i="11"/>
  <c r="AG345" i="10"/>
  <c r="AG344" i="11"/>
  <c r="AG344" i="9"/>
  <c r="AG343" i="10"/>
  <c r="AG343" i="9"/>
  <c r="AG334" i="11"/>
  <c r="AG334" i="10"/>
  <c r="AG333" i="9"/>
  <c r="AG333" i="10"/>
  <c r="AG331" i="10"/>
  <c r="AG331" i="11"/>
  <c r="AG318" i="10"/>
  <c r="AG318" i="9"/>
  <c r="AG317" i="11"/>
  <c r="AG317" i="10"/>
  <c r="AG303" i="10"/>
  <c r="AG303" i="11"/>
  <c r="AG302" i="9"/>
  <c r="AG302" i="10"/>
  <c r="AG301" i="11"/>
  <c r="AG301" i="9"/>
  <c r="AG269" i="9"/>
  <c r="AG269" i="10"/>
  <c r="AG278" i="10"/>
  <c r="AG278" i="11"/>
  <c r="AG277" i="10"/>
  <c r="AG277" i="9"/>
  <c r="AG275" i="10"/>
  <c r="AG275" i="9"/>
  <c r="AG268" i="10"/>
  <c r="AG268" i="11"/>
  <c r="AG250" i="9"/>
  <c r="AG250" i="11"/>
  <c r="AG249" i="9"/>
  <c r="AG249" i="10"/>
  <c r="AG248" i="10"/>
  <c r="AG248" i="11"/>
  <c r="AG247" i="10"/>
  <c r="AG247" i="9"/>
  <c r="AG236" i="11"/>
  <c r="AG236" i="9"/>
  <c r="AG228" i="9"/>
  <c r="AG228" i="11"/>
  <c r="AG226" i="9"/>
  <c r="AG226" i="10"/>
  <c r="AG222" i="10"/>
  <c r="AG222" i="11"/>
  <c r="M206" i="2"/>
  <c r="AG204" i="11"/>
  <c r="AG204" i="9"/>
  <c r="AG192" i="9"/>
  <c r="AG192" i="11"/>
  <c r="AG191" i="11"/>
  <c r="AG190" i="10"/>
  <c r="AG190" i="9"/>
  <c r="AG189" i="11"/>
  <c r="AG189" i="9"/>
  <c r="AG186" i="9"/>
  <c r="AG186" i="11"/>
  <c r="F185" i="9"/>
  <c r="F185" i="10"/>
  <c r="AG185" i="10"/>
  <c r="AG185" i="9"/>
  <c r="AG172" i="9"/>
  <c r="AG172" i="11"/>
  <c r="AG171" i="10"/>
  <c r="AG169" i="9"/>
  <c r="AG169" i="10"/>
  <c r="AG5" i="10"/>
  <c r="AG5" i="9"/>
  <c r="AG3" i="9"/>
  <c r="AG3" i="10"/>
  <c r="AG149" i="9"/>
  <c r="AG149" i="10"/>
  <c r="AG148" i="11"/>
  <c r="AG148" i="9"/>
  <c r="AG147" i="10"/>
  <c r="AG147" i="9"/>
  <c r="AG139" i="11"/>
  <c r="AG139" i="10"/>
  <c r="AG138" i="9"/>
  <c r="AG138" i="10"/>
  <c r="AG136" i="10"/>
  <c r="AG136" i="9"/>
  <c r="AG128" i="9"/>
  <c r="AG128" i="11"/>
  <c r="AG127" i="9"/>
  <c r="AG127" i="10"/>
  <c r="AG134" i="10"/>
  <c r="AG134" i="11"/>
  <c r="M134" i="2"/>
  <c r="AG131" i="9"/>
  <c r="AG131" i="10"/>
  <c r="AG119" i="9"/>
  <c r="AG119" i="11"/>
  <c r="AG118" i="11"/>
  <c r="AG118" i="9"/>
  <c r="AG114" i="9"/>
  <c r="AG114" i="10"/>
  <c r="AG113" i="10"/>
  <c r="AG113" i="11"/>
  <c r="AG103" i="9"/>
  <c r="AG103" i="11"/>
  <c r="AG102" i="10"/>
  <c r="AG102" i="11"/>
  <c r="AG100" i="11"/>
  <c r="AG99" i="11"/>
  <c r="AG98" i="9"/>
  <c r="AG90" i="10"/>
  <c r="AG90" i="11"/>
  <c r="AG86" i="10"/>
  <c r="AG86" i="9"/>
  <c r="AG29" i="9"/>
  <c r="AG29" i="10"/>
  <c r="AG78" i="9"/>
  <c r="AG78" i="10"/>
  <c r="AG61" i="9"/>
  <c r="AG58" i="9"/>
  <c r="AG16" i="11"/>
  <c r="AG16" i="9"/>
  <c r="AG15" i="9"/>
  <c r="AG15" i="10"/>
  <c r="AG13" i="10"/>
  <c r="AG13" i="11"/>
  <c r="AO1" i="2"/>
  <c r="AG11" i="9"/>
  <c r="AG11" i="11"/>
  <c r="AF183" i="9"/>
  <c r="AF183" i="11"/>
  <c r="M185" i="2"/>
  <c r="AF203" i="11"/>
  <c r="AF203" i="9"/>
  <c r="AF304" i="9"/>
  <c r="M306" i="2"/>
  <c r="AF304" i="11"/>
  <c r="M294" i="2"/>
  <c r="AF292" i="9"/>
  <c r="AF292" i="10"/>
  <c r="M286" i="2"/>
  <c r="AF284" i="9"/>
  <c r="AF284" i="10"/>
  <c r="AF131" i="9"/>
  <c r="AF131" i="11"/>
  <c r="M133" i="2"/>
  <c r="M70" i="2"/>
  <c r="AF68" i="9"/>
  <c r="AF68" i="10"/>
  <c r="M352" i="2"/>
  <c r="AF350" i="10"/>
  <c r="AF350" i="11"/>
  <c r="AF276" i="10"/>
  <c r="AF276" i="9"/>
  <c r="AF133" i="11"/>
  <c r="AF133" i="9"/>
  <c r="AF129" i="9"/>
  <c r="AF129" i="10"/>
  <c r="AF293" i="9"/>
  <c r="AF293" i="10"/>
  <c r="AF245" i="10"/>
  <c r="AF181" i="11"/>
  <c r="AF165" i="9"/>
  <c r="AF165" i="10"/>
  <c r="AF351" i="9"/>
  <c r="AF351" i="10"/>
  <c r="AF204" i="10"/>
  <c r="AF204" i="9"/>
  <c r="M198" i="2"/>
  <c r="AF196" i="11"/>
  <c r="AF196" i="9"/>
  <c r="M197" i="2"/>
  <c r="AF195" i="11"/>
  <c r="AF195" i="9"/>
  <c r="AF199" i="10"/>
  <c r="AF199" i="11"/>
  <c r="M201" i="2"/>
  <c r="AF200" i="9"/>
  <c r="M202" i="2"/>
  <c r="AF200" i="10"/>
  <c r="AF365" i="10"/>
  <c r="AF365" i="9"/>
  <c r="AF358" i="11"/>
  <c r="AF358" i="10"/>
  <c r="AF357" i="10"/>
  <c r="AF357" i="11"/>
  <c r="AF347" i="11"/>
  <c r="M349" i="2"/>
  <c r="AF347" i="9"/>
  <c r="AF345" i="10"/>
  <c r="AF345" i="9"/>
  <c r="AF344" i="10"/>
  <c r="AF344" i="9"/>
  <c r="AF343" i="10"/>
  <c r="AF343" i="11"/>
  <c r="AF334" i="10"/>
  <c r="AF334" i="11"/>
  <c r="AF333" i="10"/>
  <c r="AF333" i="11"/>
  <c r="M333" i="2"/>
  <c r="AF331" i="11"/>
  <c r="AF331" i="10"/>
  <c r="AF318" i="10"/>
  <c r="AF317" i="9"/>
  <c r="AF317" i="10"/>
  <c r="AF303" i="11"/>
  <c r="AF303" i="9"/>
  <c r="AF302" i="11"/>
  <c r="AF302" i="9"/>
  <c r="M303" i="2"/>
  <c r="AF301" i="10"/>
  <c r="AF300" i="9"/>
  <c r="AF300" i="10"/>
  <c r="AF270" i="11"/>
  <c r="AF270" i="10"/>
  <c r="AF269" i="9"/>
  <c r="AF269" i="11"/>
  <c r="AF278" i="10"/>
  <c r="AF277" i="10"/>
  <c r="AF277" i="9"/>
  <c r="M279" i="2"/>
  <c r="AF275" i="11"/>
  <c r="AF275" i="9"/>
  <c r="AF268" i="10"/>
  <c r="AF268" i="9"/>
  <c r="AF257" i="10"/>
  <c r="AF257" i="11"/>
  <c r="AF250" i="9"/>
  <c r="AF250" i="10"/>
  <c r="M251" i="2"/>
  <c r="AF249" i="10"/>
  <c r="AF249" i="9"/>
  <c r="AF248" i="10"/>
  <c r="AF248" i="9"/>
  <c r="M250" i="2"/>
  <c r="AF247" i="10"/>
  <c r="AF247" i="11"/>
  <c r="AF236" i="9"/>
  <c r="AF236" i="10"/>
  <c r="AF228" i="10"/>
  <c r="AF228" i="9"/>
  <c r="AF226" i="11"/>
  <c r="AF226" i="9"/>
  <c r="AF222" i="9"/>
  <c r="AF222" i="10"/>
  <c r="AF192" i="10"/>
  <c r="AF192" i="9"/>
  <c r="AF191" i="9"/>
  <c r="AF191" i="11"/>
  <c r="AF190" i="9"/>
  <c r="AF190" i="11"/>
  <c r="AF189" i="9"/>
  <c r="AF189" i="10"/>
  <c r="AF186" i="9"/>
  <c r="AF186" i="10"/>
  <c r="AF185" i="10"/>
  <c r="AF185" i="9"/>
  <c r="AF172" i="10"/>
  <c r="AF172" i="9"/>
  <c r="AF171" i="9"/>
  <c r="AF171" i="10"/>
  <c r="AF169" i="9"/>
  <c r="AF169" i="10"/>
  <c r="AF6" i="10"/>
  <c r="AF6" i="11"/>
  <c r="AF3" i="11"/>
  <c r="AF3" i="10"/>
  <c r="AF166" i="9"/>
  <c r="M168" i="2"/>
  <c r="AF164" i="9"/>
  <c r="AF164" i="10"/>
  <c r="AF149" i="11"/>
  <c r="AF149" i="9"/>
  <c r="AF148" i="9"/>
  <c r="AF148" i="10"/>
  <c r="AF147" i="9"/>
  <c r="AF147" i="11"/>
  <c r="AF139" i="11"/>
  <c r="AF139" i="9"/>
  <c r="AF138" i="9"/>
  <c r="AF138" i="11"/>
  <c r="AF137" i="9"/>
  <c r="AF137" i="10"/>
  <c r="AF136" i="9"/>
  <c r="AF136" i="10"/>
  <c r="AF128" i="11"/>
  <c r="AF128" i="9"/>
  <c r="AF127" i="11"/>
  <c r="AF134" i="9"/>
  <c r="AF134" i="10"/>
  <c r="AF121" i="10"/>
  <c r="AF121" i="9"/>
  <c r="M123" i="2"/>
  <c r="M122" i="2"/>
  <c r="AF120" i="10"/>
  <c r="AF120" i="9"/>
  <c r="AF119" i="11"/>
  <c r="AF119" i="10"/>
  <c r="M121" i="2"/>
  <c r="AF118" i="10"/>
  <c r="AF118" i="11"/>
  <c r="AF114" i="10"/>
  <c r="AF114" i="11"/>
  <c r="AF113" i="10"/>
  <c r="AF113" i="11"/>
  <c r="AF107" i="11"/>
  <c r="AF107" i="10"/>
  <c r="AF106" i="10"/>
  <c r="AF106" i="11"/>
  <c r="AF105" i="10"/>
  <c r="AF105" i="9"/>
  <c r="M107" i="2"/>
  <c r="M106" i="2"/>
  <c r="AF104" i="9"/>
  <c r="AF103" i="11"/>
  <c r="AF103" i="10"/>
  <c r="AF102" i="10"/>
  <c r="AF102" i="11"/>
  <c r="AF98" i="10"/>
  <c r="AF98" i="11"/>
  <c r="AF90" i="9"/>
  <c r="AF90" i="11"/>
  <c r="AF89" i="11"/>
  <c r="AF86" i="10"/>
  <c r="AF86" i="11"/>
  <c r="AF29" i="9"/>
  <c r="AF29" i="10"/>
  <c r="AF78" i="9"/>
  <c r="AF78" i="11"/>
  <c r="AF66" i="11"/>
  <c r="AF66" i="9"/>
  <c r="AF63" i="9"/>
  <c r="AF63" i="10"/>
  <c r="AF61" i="10"/>
  <c r="AF61" i="11"/>
  <c r="AF58" i="9"/>
  <c r="AF58" i="11"/>
  <c r="AF16" i="9"/>
  <c r="AF16" i="10"/>
  <c r="AF15" i="9"/>
  <c r="AF15" i="10"/>
  <c r="M15" i="2"/>
  <c r="AF13" i="10"/>
  <c r="AF13" i="9"/>
  <c r="AF12" i="11"/>
  <c r="AN1" i="2"/>
  <c r="AF12" i="10"/>
  <c r="AF11" i="9"/>
  <c r="AF11" i="10"/>
  <c r="AE366" i="11"/>
  <c r="AE364" i="10"/>
  <c r="AE364" i="11"/>
  <c r="AE362" i="11"/>
  <c r="AE362" i="10"/>
  <c r="AE360" i="11"/>
  <c r="AE360" i="10"/>
  <c r="AE358" i="11"/>
  <c r="AE358" i="10"/>
  <c r="AE356" i="11"/>
  <c r="AE356" i="10"/>
  <c r="AE354" i="11"/>
  <c r="AE354" i="10"/>
  <c r="AE352" i="11"/>
  <c r="AE352" i="10"/>
  <c r="AE350" i="11"/>
  <c r="AE350" i="10"/>
  <c r="AE348" i="11"/>
  <c r="AE348" i="10"/>
  <c r="AE346" i="11"/>
  <c r="AE346" i="10"/>
  <c r="AE344" i="11"/>
  <c r="AE344" i="10"/>
  <c r="AE342" i="11"/>
  <c r="AE342" i="10"/>
  <c r="AE340" i="11"/>
  <c r="AE340" i="10"/>
  <c r="AE338" i="11"/>
  <c r="AE338" i="10"/>
  <c r="AE336" i="11"/>
  <c r="AE336" i="10"/>
  <c r="AE334" i="11"/>
  <c r="AE334" i="10"/>
  <c r="AE332" i="11"/>
  <c r="AE332" i="10"/>
  <c r="AE330" i="11"/>
  <c r="AE330" i="10"/>
  <c r="AE328" i="11"/>
  <c r="AE328" i="10"/>
  <c r="AE326" i="11"/>
  <c r="AE326" i="10"/>
  <c r="AE324" i="11"/>
  <c r="AE324" i="10"/>
  <c r="AE322" i="11"/>
  <c r="AE322" i="10"/>
  <c r="AE320" i="11"/>
  <c r="AE320" i="10"/>
  <c r="AE318" i="10"/>
  <c r="AE318" i="11"/>
  <c r="AE358" i="9"/>
  <c r="AE342" i="9"/>
  <c r="AE326" i="9"/>
  <c r="M23" i="2"/>
  <c r="M37" i="2"/>
  <c r="AE360" i="9"/>
  <c r="AE344" i="9"/>
  <c r="AE328" i="9"/>
  <c r="M16" i="2"/>
  <c r="M27" i="2"/>
  <c r="M38" i="2"/>
  <c r="M45" i="2"/>
  <c r="AE362" i="9"/>
  <c r="AE346" i="9"/>
  <c r="AE330" i="9"/>
  <c r="M35" i="2"/>
  <c r="AE53" i="10"/>
  <c r="AE53" i="11"/>
  <c r="AE53" i="9"/>
  <c r="AE51" i="11"/>
  <c r="AE51" i="10"/>
  <c r="AE51" i="9"/>
  <c r="AE49" i="11"/>
  <c r="AE49" i="10"/>
  <c r="AE49" i="9"/>
  <c r="AE47" i="11"/>
  <c r="AE47" i="10"/>
  <c r="AE47" i="9"/>
  <c r="AE45" i="11"/>
  <c r="AE45" i="10"/>
  <c r="AE45" i="9"/>
  <c r="AE43" i="11"/>
  <c r="AE43" i="10"/>
  <c r="AE43" i="9"/>
  <c r="AE41" i="11"/>
  <c r="AE41" i="10"/>
  <c r="AE41" i="9"/>
  <c r="AE39" i="11"/>
  <c r="AE39" i="10"/>
  <c r="AE39" i="9"/>
  <c r="AE37" i="11"/>
  <c r="AE37" i="10"/>
  <c r="AE37" i="9"/>
  <c r="AE35" i="11"/>
  <c r="AE35" i="10"/>
  <c r="AE35" i="9"/>
  <c r="AE33" i="11"/>
  <c r="AE33" i="10"/>
  <c r="AE33" i="9"/>
  <c r="AE31" i="11"/>
  <c r="AE31" i="10"/>
  <c r="AE31" i="9"/>
  <c r="AE29" i="11"/>
  <c r="AE29" i="10"/>
  <c r="AE29" i="9"/>
  <c r="AE27" i="11"/>
  <c r="AE27" i="10"/>
  <c r="AE27" i="9"/>
  <c r="AE25" i="11"/>
  <c r="AE25" i="10"/>
  <c r="AE25" i="9"/>
  <c r="AE23" i="11"/>
  <c r="AE23" i="10"/>
  <c r="AE23" i="9"/>
  <c r="AE21" i="11"/>
  <c r="AE21" i="10"/>
  <c r="AE21" i="9"/>
  <c r="AE19" i="11"/>
  <c r="AE19" i="10"/>
  <c r="AE19" i="9"/>
  <c r="AE17" i="11"/>
  <c r="AE17" i="10"/>
  <c r="AE17" i="9"/>
  <c r="AE15" i="11"/>
  <c r="AE15" i="10"/>
  <c r="AE15" i="9"/>
  <c r="AE13" i="11"/>
  <c r="AE13" i="10"/>
  <c r="AE13" i="9"/>
  <c r="AE11" i="11"/>
  <c r="AE11" i="10"/>
  <c r="AE11" i="9"/>
  <c r="AE9" i="11"/>
  <c r="AE9" i="10"/>
  <c r="AE9" i="9"/>
  <c r="AE7" i="11"/>
  <c r="AE7" i="10"/>
  <c r="AE7" i="9"/>
  <c r="AE5" i="11"/>
  <c r="AE5" i="10"/>
  <c r="AE5" i="9"/>
  <c r="AE3" i="11"/>
  <c r="AE3" i="10"/>
  <c r="AE3" i="9"/>
  <c r="AE364" i="9"/>
  <c r="AE348" i="9"/>
  <c r="AE332" i="9"/>
  <c r="AE365" i="11"/>
  <c r="AE365" i="10"/>
  <c r="AE365" i="9"/>
  <c r="AE363" i="11"/>
  <c r="AE363" i="10"/>
  <c r="AE363" i="9"/>
  <c r="AE361" i="11"/>
  <c r="AE361" i="10"/>
  <c r="AE361" i="9"/>
  <c r="AE359" i="11"/>
  <c r="AE359" i="10"/>
  <c r="AE359" i="9"/>
  <c r="AE357" i="11"/>
  <c r="AE357" i="10"/>
  <c r="AE357" i="9"/>
  <c r="AE355" i="11"/>
  <c r="AE355" i="9"/>
  <c r="AE355" i="10"/>
  <c r="AE353" i="11"/>
  <c r="AE353" i="10"/>
  <c r="AE353" i="9"/>
  <c r="AE351" i="11"/>
  <c r="AE351" i="10"/>
  <c r="AE351" i="9"/>
  <c r="AE349" i="11"/>
  <c r="AE349" i="10"/>
  <c r="AE349" i="9"/>
  <c r="AE347" i="11"/>
  <c r="AE347" i="10"/>
  <c r="AE347" i="9"/>
  <c r="AE345" i="11"/>
  <c r="AE345" i="10"/>
  <c r="AE345" i="9"/>
  <c r="AE343" i="11"/>
  <c r="AE343" i="10"/>
  <c r="AE343" i="9"/>
  <c r="AE341" i="11"/>
  <c r="AE341" i="10"/>
  <c r="AE341" i="9"/>
  <c r="AE339" i="11"/>
  <c r="AE339" i="9"/>
  <c r="AE339" i="10"/>
  <c r="AE337" i="11"/>
  <c r="AE337" i="9"/>
  <c r="AE337" i="10"/>
  <c r="AE335" i="11"/>
  <c r="AE335" i="10"/>
  <c r="AE335" i="9"/>
  <c r="AE333" i="11"/>
  <c r="AE333" i="10"/>
  <c r="AE333" i="9"/>
  <c r="AE331" i="11"/>
  <c r="AE331" i="10"/>
  <c r="AE331" i="9"/>
  <c r="AE329" i="11"/>
  <c r="AE329" i="10"/>
  <c r="AE329" i="9"/>
  <c r="AE327" i="11"/>
  <c r="AE327" i="10"/>
  <c r="AE327" i="9"/>
  <c r="AE325" i="11"/>
  <c r="AE325" i="10"/>
  <c r="AE325" i="9"/>
  <c r="AE323" i="11"/>
  <c r="AE323" i="9"/>
  <c r="AE321" i="11"/>
  <c r="AE321" i="9"/>
  <c r="AE321" i="10"/>
  <c r="AE319" i="11"/>
  <c r="AE319" i="10"/>
  <c r="AE319" i="9"/>
  <c r="AE317" i="11"/>
  <c r="AE317" i="10"/>
  <c r="AE317" i="9"/>
  <c r="AE315" i="11"/>
  <c r="AE315" i="10"/>
  <c r="AE315" i="9"/>
  <c r="AE313" i="11"/>
  <c r="AE313" i="10"/>
  <c r="AE313" i="9"/>
  <c r="AE311" i="11"/>
  <c r="AE311" i="10"/>
  <c r="AE311" i="9"/>
  <c r="AE309" i="11"/>
  <c r="AE309" i="10"/>
  <c r="AE309" i="9"/>
  <c r="AE307" i="11"/>
  <c r="AE307" i="10"/>
  <c r="AE307" i="9"/>
  <c r="AE305" i="11"/>
  <c r="AE305" i="10"/>
  <c r="AE305" i="9"/>
  <c r="AE303" i="11"/>
  <c r="AE303" i="10"/>
  <c r="AE303" i="9"/>
  <c r="AE301" i="11"/>
  <c r="AE301" i="10"/>
  <c r="AE301" i="9"/>
  <c r="AE299" i="11"/>
  <c r="AE299" i="10"/>
  <c r="AE299" i="9"/>
  <c r="AE297" i="11"/>
  <c r="AE297" i="10"/>
  <c r="AE297" i="9"/>
  <c r="AE295" i="11"/>
  <c r="AE295" i="10"/>
  <c r="AE295" i="9"/>
  <c r="AE293" i="11"/>
  <c r="AE293" i="10"/>
  <c r="AE293" i="9"/>
  <c r="AE291" i="11"/>
  <c r="AE291" i="9"/>
  <c r="AE291" i="10"/>
  <c r="AE289" i="11"/>
  <c r="AE289" i="10"/>
  <c r="AE289" i="9"/>
  <c r="AE287" i="11"/>
  <c r="AE287" i="10"/>
  <c r="AE287" i="9"/>
  <c r="AE285" i="11"/>
  <c r="AE285" i="10"/>
  <c r="AE285" i="9"/>
  <c r="AE283" i="11"/>
  <c r="AE283" i="10"/>
  <c r="AE283" i="9"/>
  <c r="AE281" i="11"/>
  <c r="AE281" i="10"/>
  <c r="AE281" i="9"/>
  <c r="AE279" i="11"/>
  <c r="AE279" i="10"/>
  <c r="AE279" i="9"/>
  <c r="AE277" i="11"/>
  <c r="AE277" i="10"/>
  <c r="AE277" i="9"/>
  <c r="AE275" i="11"/>
  <c r="AE275" i="9"/>
  <c r="AE275" i="10"/>
  <c r="AE273" i="11"/>
  <c r="AE273" i="9"/>
  <c r="AE273" i="10"/>
  <c r="AE271" i="11"/>
  <c r="AE271" i="10"/>
  <c r="AE271" i="9"/>
  <c r="AE269" i="11"/>
  <c r="AE269" i="10"/>
  <c r="AE269" i="9"/>
  <c r="AE267" i="11"/>
  <c r="AE267" i="10"/>
  <c r="AE267" i="9"/>
  <c r="AE265" i="11"/>
  <c r="AE265" i="10"/>
  <c r="AE265" i="9"/>
  <c r="AE263" i="11"/>
  <c r="AE263" i="10"/>
  <c r="AE263" i="9"/>
  <c r="AE261" i="11"/>
  <c r="AE261" i="10"/>
  <c r="AE261" i="9"/>
  <c r="AE259" i="11"/>
  <c r="AE259" i="9"/>
  <c r="AE257" i="11"/>
  <c r="AE257" i="9"/>
  <c r="AE257" i="10"/>
  <c r="AE255" i="11"/>
  <c r="AE255" i="10"/>
  <c r="AE255" i="9"/>
  <c r="AE253" i="11"/>
  <c r="AE253" i="10"/>
  <c r="AE253" i="9"/>
  <c r="AE251" i="11"/>
  <c r="AE251" i="10"/>
  <c r="AE251" i="9"/>
  <c r="AE249" i="11"/>
  <c r="AE249" i="10"/>
  <c r="AE249" i="9"/>
  <c r="AE247" i="11"/>
  <c r="AE247" i="10"/>
  <c r="AE247" i="9"/>
  <c r="AE245" i="11"/>
  <c r="AE245" i="10"/>
  <c r="AE245" i="9"/>
  <c r="AE243" i="11"/>
  <c r="AE243" i="10"/>
  <c r="AE243" i="9"/>
  <c r="AE241" i="11"/>
  <c r="AE241" i="10"/>
  <c r="AE241" i="9"/>
  <c r="AE239" i="11"/>
  <c r="AE239" i="10"/>
  <c r="AE239" i="9"/>
  <c r="AE237" i="11"/>
  <c r="AE237" i="10"/>
  <c r="AE237" i="9"/>
  <c r="AE235" i="11"/>
  <c r="AE235" i="10"/>
  <c r="AE235" i="9"/>
  <c r="AE233" i="11"/>
  <c r="AE233" i="10"/>
  <c r="AE233" i="9"/>
  <c r="AE231" i="11"/>
  <c r="AE231" i="10"/>
  <c r="AE231" i="9"/>
  <c r="AE229" i="11"/>
  <c r="AE229" i="10"/>
  <c r="AE229" i="9"/>
  <c r="AE227" i="11"/>
  <c r="AE227" i="9"/>
  <c r="AE227" i="10"/>
  <c r="AE225" i="11"/>
  <c r="AE225" i="10"/>
  <c r="AE225" i="9"/>
  <c r="AE223" i="11"/>
  <c r="AE223" i="10"/>
  <c r="AE223" i="9"/>
  <c r="AE221" i="11"/>
  <c r="AE221" i="10"/>
  <c r="AE221" i="9"/>
  <c r="AE219" i="11"/>
  <c r="AE219" i="10"/>
  <c r="AE219" i="9"/>
  <c r="AE217" i="11"/>
  <c r="AE217" i="10"/>
  <c r="AE217" i="9"/>
  <c r="AE215" i="11"/>
  <c r="AE215" i="10"/>
  <c r="AE215" i="9"/>
  <c r="AE213" i="11"/>
  <c r="AE213" i="10"/>
  <c r="AE213" i="9"/>
  <c r="AE211" i="11"/>
  <c r="AE211" i="9"/>
  <c r="AE211" i="10"/>
  <c r="AE209" i="11"/>
  <c r="AE209" i="9"/>
  <c r="AE209" i="10"/>
  <c r="AE207" i="11"/>
  <c r="AE207" i="10"/>
  <c r="AE207" i="9"/>
  <c r="AE205" i="11"/>
  <c r="AE205" i="10"/>
  <c r="AE205" i="9"/>
  <c r="AE203" i="11"/>
  <c r="AE203" i="10"/>
  <c r="AE203" i="9"/>
  <c r="AE201" i="11"/>
  <c r="AE201" i="10"/>
  <c r="AE201" i="9"/>
  <c r="AE199" i="11"/>
  <c r="AE199" i="10"/>
  <c r="AE199" i="9"/>
  <c r="AE197" i="11"/>
  <c r="AE197" i="10"/>
  <c r="AE197" i="9"/>
  <c r="AE195" i="11"/>
  <c r="AE195" i="9"/>
  <c r="AE193" i="11"/>
  <c r="AE193" i="9"/>
  <c r="AE193" i="10"/>
  <c r="AE191" i="11"/>
  <c r="AE191" i="10"/>
  <c r="AE191" i="9"/>
  <c r="AE189" i="11"/>
  <c r="AE189" i="10"/>
  <c r="AE189" i="9"/>
  <c r="AE187" i="11"/>
  <c r="AE187" i="10"/>
  <c r="AE187" i="9"/>
  <c r="AE185" i="11"/>
  <c r="AE185" i="10"/>
  <c r="AE185" i="9"/>
  <c r="AE183" i="11"/>
  <c r="AE183" i="10"/>
  <c r="AE183" i="9"/>
  <c r="AE181" i="10"/>
  <c r="AE181" i="11"/>
  <c r="AE181" i="9"/>
  <c r="AE179" i="11"/>
  <c r="AE179" i="10"/>
  <c r="AE179" i="9"/>
  <c r="AE177" i="11"/>
  <c r="AE177" i="10"/>
  <c r="AE177" i="9"/>
  <c r="AE175" i="11"/>
  <c r="AE175" i="10"/>
  <c r="AE175" i="9"/>
  <c r="AE173" i="11"/>
  <c r="AE173" i="10"/>
  <c r="AE173" i="9"/>
  <c r="AE171" i="11"/>
  <c r="AE171" i="10"/>
  <c r="AE171" i="9"/>
  <c r="AE169" i="11"/>
  <c r="AE169" i="10"/>
  <c r="AE169" i="9"/>
  <c r="AE167" i="11"/>
  <c r="AE167" i="10"/>
  <c r="AE167" i="9"/>
  <c r="AE165" i="10"/>
  <c r="AE165" i="11"/>
  <c r="AE165" i="9"/>
  <c r="AE163" i="11"/>
  <c r="AE163" i="9"/>
  <c r="AE163" i="10"/>
  <c r="AE161" i="11"/>
  <c r="AE161" i="10"/>
  <c r="AE161" i="9"/>
  <c r="AE159" i="11"/>
  <c r="AE159" i="10"/>
  <c r="AE159" i="9"/>
  <c r="AE157" i="11"/>
  <c r="AE157" i="10"/>
  <c r="AE157" i="9"/>
  <c r="AE155" i="11"/>
  <c r="AE155" i="10"/>
  <c r="AE155" i="9"/>
  <c r="AE153" i="11"/>
  <c r="AE153" i="10"/>
  <c r="AE153" i="9"/>
  <c r="AE151" i="11"/>
  <c r="AE151" i="10"/>
  <c r="AE151" i="9"/>
  <c r="AE149" i="10"/>
  <c r="AE149" i="11"/>
  <c r="AE149" i="9"/>
  <c r="AE147" i="11"/>
  <c r="AE147" i="9"/>
  <c r="AE147" i="10"/>
  <c r="AE145" i="11"/>
  <c r="AE145" i="9"/>
  <c r="AE145" i="10"/>
  <c r="AE143" i="11"/>
  <c r="AE143" i="10"/>
  <c r="AE143" i="9"/>
  <c r="AE141" i="11"/>
  <c r="AE141" i="10"/>
  <c r="AE141" i="9"/>
  <c r="AE139" i="11"/>
  <c r="AE139" i="10"/>
  <c r="AE139" i="9"/>
  <c r="AE137" i="11"/>
  <c r="AE137" i="10"/>
  <c r="AE137" i="9"/>
  <c r="AE135" i="11"/>
  <c r="AE135" i="10"/>
  <c r="AE135" i="9"/>
  <c r="AE133" i="10"/>
  <c r="AE133" i="9"/>
  <c r="AE133" i="11"/>
  <c r="AE131" i="11"/>
  <c r="AE131" i="9"/>
  <c r="AE129" i="11"/>
  <c r="AE129" i="9"/>
  <c r="AE129" i="10"/>
  <c r="AE127" i="11"/>
  <c r="AE127" i="10"/>
  <c r="AE127" i="9"/>
  <c r="AE125" i="11"/>
  <c r="AE125" i="10"/>
  <c r="AE125" i="9"/>
  <c r="AE123" i="11"/>
  <c r="AE123" i="10"/>
  <c r="AE123" i="9"/>
  <c r="AE121" i="11"/>
  <c r="AE121" i="10"/>
  <c r="AE121" i="9"/>
  <c r="AE119" i="11"/>
  <c r="AE119" i="10"/>
  <c r="AE119" i="9"/>
  <c r="AE117" i="10"/>
  <c r="AE117" i="11"/>
  <c r="AE117" i="9"/>
  <c r="AE115" i="11"/>
  <c r="AE115" i="9"/>
  <c r="AE115" i="10"/>
  <c r="AE113" i="11"/>
  <c r="AE113" i="9"/>
  <c r="AE113" i="10"/>
  <c r="AE111" i="11"/>
  <c r="AE111" i="10"/>
  <c r="AE111" i="9"/>
  <c r="AE109" i="11"/>
  <c r="AE109" i="10"/>
  <c r="AE109" i="9"/>
  <c r="AE107" i="11"/>
  <c r="AE107" i="10"/>
  <c r="AE107" i="9"/>
  <c r="AE105" i="11"/>
  <c r="AE105" i="10"/>
  <c r="AE105" i="9"/>
  <c r="AE103" i="11"/>
  <c r="AE103" i="10"/>
  <c r="AE103" i="9"/>
  <c r="AE101" i="10"/>
  <c r="AE101" i="11"/>
  <c r="AE101" i="9"/>
  <c r="AE99" i="11"/>
  <c r="AE99" i="9"/>
  <c r="AE99" i="10"/>
  <c r="AE97" i="11"/>
  <c r="AE97" i="9"/>
  <c r="AE97" i="10"/>
  <c r="AE95" i="11"/>
  <c r="AE95" i="10"/>
  <c r="AE95" i="9"/>
  <c r="AE93" i="11"/>
  <c r="AE93" i="10"/>
  <c r="AE93" i="9"/>
  <c r="AE91" i="11"/>
  <c r="AE91" i="10"/>
  <c r="AE91" i="9"/>
  <c r="AE89" i="11"/>
  <c r="AE89" i="10"/>
  <c r="AE89" i="9"/>
  <c r="AE87" i="11"/>
  <c r="AE87" i="10"/>
  <c r="AE87" i="9"/>
  <c r="AE85" i="10"/>
  <c r="AE85" i="11"/>
  <c r="AE85" i="9"/>
  <c r="AE83" i="11"/>
  <c r="AE83" i="9"/>
  <c r="AE83" i="10"/>
  <c r="AE81" i="11"/>
  <c r="AE81" i="9"/>
  <c r="AE81" i="10"/>
  <c r="AE79" i="11"/>
  <c r="AE79" i="10"/>
  <c r="AE79" i="9"/>
  <c r="AE77" i="11"/>
  <c r="AE77" i="10"/>
  <c r="AE77" i="9"/>
  <c r="AE75" i="11"/>
  <c r="AE75" i="10"/>
  <c r="AE75" i="9"/>
  <c r="AE73" i="11"/>
  <c r="AE73" i="10"/>
  <c r="AE73" i="9"/>
  <c r="AE71" i="11"/>
  <c r="AE71" i="10"/>
  <c r="AE71" i="9"/>
  <c r="AE69" i="10"/>
  <c r="AE69" i="9"/>
  <c r="AE69" i="11"/>
  <c r="AE67" i="9"/>
  <c r="AE67" i="11"/>
  <c r="AE65" i="11"/>
  <c r="AE65" i="9"/>
  <c r="AE65" i="10"/>
  <c r="AE63" i="11"/>
  <c r="AE63" i="10"/>
  <c r="AE63" i="9"/>
  <c r="AE61" i="11"/>
  <c r="AE61" i="10"/>
  <c r="AE61" i="9"/>
  <c r="AE59" i="11"/>
  <c r="AE59" i="10"/>
  <c r="AE59" i="9"/>
  <c r="AE57" i="11"/>
  <c r="AE57" i="10"/>
  <c r="AE57" i="9"/>
  <c r="AE55" i="11"/>
  <c r="AE55" i="10"/>
  <c r="AE55" i="9"/>
  <c r="AE366" i="9"/>
  <c r="AE350" i="9"/>
  <c r="AE334" i="9"/>
  <c r="AE318" i="9"/>
  <c r="AE259" i="10"/>
  <c r="M284" i="2"/>
  <c r="M220" i="2"/>
  <c r="M196" i="2"/>
  <c r="M172" i="2"/>
  <c r="M164" i="2"/>
  <c r="M148" i="2"/>
  <c r="M108" i="2"/>
  <c r="M100" i="2"/>
  <c r="M76" i="2"/>
  <c r="AE352" i="9"/>
  <c r="AE336" i="9"/>
  <c r="AE320" i="9"/>
  <c r="AE323" i="10"/>
  <c r="M13" i="2"/>
  <c r="M364" i="2"/>
  <c r="M356" i="2"/>
  <c r="M340" i="2"/>
  <c r="M316" i="2"/>
  <c r="M292" i="2"/>
  <c r="M244" i="2"/>
  <c r="M212" i="2"/>
  <c r="M18" i="2"/>
  <c r="M21" i="2"/>
  <c r="M25" i="2"/>
  <c r="M33" i="2"/>
  <c r="M40" i="2"/>
  <c r="AE354" i="9"/>
  <c r="AE338" i="9"/>
  <c r="AE322" i="9"/>
  <c r="AE52" i="11"/>
  <c r="AE52" i="9"/>
  <c r="AE52" i="10"/>
  <c r="AE50" i="11"/>
  <c r="AE50" i="9"/>
  <c r="AE50" i="10"/>
  <c r="AE48" i="11"/>
  <c r="AE48" i="9"/>
  <c r="AE48" i="10"/>
  <c r="AE46" i="11"/>
  <c r="AE46" i="9"/>
  <c r="AE46" i="10"/>
  <c r="AE44" i="11"/>
  <c r="AE44" i="9"/>
  <c r="AE44" i="10"/>
  <c r="AE42" i="11"/>
  <c r="AE42" i="9"/>
  <c r="AE42" i="10"/>
  <c r="AE40" i="11"/>
  <c r="AE40" i="9"/>
  <c r="AE40" i="10"/>
  <c r="AE38" i="11"/>
  <c r="AE38" i="9"/>
  <c r="AE38" i="10"/>
  <c r="AE36" i="11"/>
  <c r="AE36" i="9"/>
  <c r="AE36" i="10"/>
  <c r="AE34" i="11"/>
  <c r="AE34" i="9"/>
  <c r="AE34" i="10"/>
  <c r="AE32" i="11"/>
  <c r="AE32" i="9"/>
  <c r="AE32" i="10"/>
  <c r="AE30" i="11"/>
  <c r="AE30" i="9"/>
  <c r="AE30" i="10"/>
  <c r="AE28" i="11"/>
  <c r="AE28" i="9"/>
  <c r="AE28" i="10"/>
  <c r="AE26" i="11"/>
  <c r="AE26" i="9"/>
  <c r="AE26" i="10"/>
  <c r="AE24" i="11"/>
  <c r="AE24" i="9"/>
  <c r="AE24" i="10"/>
  <c r="AE22" i="11"/>
  <c r="AE22" i="9"/>
  <c r="AE22" i="10"/>
  <c r="AE20" i="11"/>
  <c r="AE20" i="9"/>
  <c r="AE20" i="10"/>
  <c r="AE18" i="11"/>
  <c r="AE18" i="9"/>
  <c r="AE18" i="10"/>
  <c r="AE16" i="11"/>
  <c r="AE16" i="9"/>
  <c r="AE16" i="10"/>
  <c r="AE14" i="11"/>
  <c r="AE14" i="9"/>
  <c r="AE14" i="10"/>
  <c r="AE12" i="11"/>
  <c r="AE12" i="9"/>
  <c r="AE12" i="10"/>
  <c r="AE10" i="11"/>
  <c r="AE10" i="9"/>
  <c r="AE10" i="10"/>
  <c r="AE8" i="11"/>
  <c r="AE8" i="9"/>
  <c r="AE8" i="10"/>
  <c r="AE6" i="11"/>
  <c r="AE6" i="9"/>
  <c r="AE6" i="10"/>
  <c r="AE4" i="9"/>
  <c r="AE4" i="10"/>
  <c r="AE4" i="11"/>
  <c r="AE316" i="10"/>
  <c r="AE316" i="11"/>
  <c r="AE314" i="11"/>
  <c r="AE314" i="10"/>
  <c r="AE312" i="11"/>
  <c r="AE312" i="10"/>
  <c r="AE310" i="11"/>
  <c r="AE310" i="10"/>
  <c r="AE308" i="11"/>
  <c r="AE308" i="10"/>
  <c r="AE306" i="11"/>
  <c r="AE306" i="10"/>
  <c r="AE304" i="11"/>
  <c r="AE304" i="10"/>
  <c r="AE302" i="10"/>
  <c r="AE302" i="11"/>
  <c r="AE300" i="10"/>
  <c r="AE300" i="11"/>
  <c r="AE298" i="11"/>
  <c r="AE298" i="10"/>
  <c r="AE296" i="11"/>
  <c r="AE296" i="10"/>
  <c r="AE294" i="11"/>
  <c r="AE294" i="10"/>
  <c r="AE292" i="11"/>
  <c r="AE292" i="10"/>
  <c r="AE290" i="11"/>
  <c r="AE290" i="10"/>
  <c r="AE288" i="11"/>
  <c r="AE288" i="10"/>
  <c r="AE286" i="11"/>
  <c r="AE286" i="10"/>
  <c r="AE284" i="11"/>
  <c r="AE284" i="10"/>
  <c r="AE282" i="11"/>
  <c r="AE282" i="10"/>
  <c r="AE280" i="11"/>
  <c r="AE280" i="10"/>
  <c r="AE278" i="11"/>
  <c r="AE278" i="10"/>
  <c r="AE276" i="11"/>
  <c r="AE276" i="10"/>
  <c r="AE274" i="11"/>
  <c r="AE274" i="10"/>
  <c r="AE272" i="11"/>
  <c r="AE272" i="10"/>
  <c r="AE270" i="11"/>
  <c r="AE270" i="10"/>
  <c r="AE268" i="11"/>
  <c r="AE268" i="10"/>
  <c r="AE266" i="11"/>
  <c r="AE266" i="10"/>
  <c r="AE264" i="11"/>
  <c r="AE264" i="10"/>
  <c r="AE262" i="11"/>
  <c r="AE262" i="10"/>
  <c r="AE260" i="11"/>
  <c r="AE260" i="10"/>
  <c r="AE258" i="11"/>
  <c r="AE258" i="10"/>
  <c r="AE256" i="11"/>
  <c r="AE256" i="10"/>
  <c r="AE254" i="10"/>
  <c r="AE254" i="11"/>
  <c r="AE252" i="10"/>
  <c r="AE252" i="11"/>
  <c r="AE250" i="11"/>
  <c r="AE250" i="10"/>
  <c r="AE248" i="11"/>
  <c r="AE248" i="10"/>
  <c r="AE246" i="11"/>
  <c r="AE246" i="10"/>
  <c r="AE244" i="11"/>
  <c r="AE244" i="10"/>
  <c r="AE242" i="11"/>
  <c r="AE242" i="10"/>
  <c r="AE240" i="11"/>
  <c r="AE240" i="10"/>
  <c r="AE238" i="10"/>
  <c r="AE238" i="11"/>
  <c r="AE236" i="10"/>
  <c r="AE236" i="11"/>
  <c r="AE234" i="11"/>
  <c r="AE234" i="10"/>
  <c r="AE232" i="11"/>
  <c r="AE232" i="10"/>
  <c r="AE230" i="11"/>
  <c r="AE230" i="10"/>
  <c r="AE228" i="11"/>
  <c r="AE228" i="10"/>
  <c r="AE226" i="11"/>
  <c r="AE226" i="10"/>
  <c r="AE224" i="11"/>
  <c r="AE224" i="10"/>
  <c r="AE222" i="11"/>
  <c r="AE222" i="10"/>
  <c r="AE220" i="11"/>
  <c r="AE220" i="10"/>
  <c r="AE218" i="11"/>
  <c r="AE218" i="10"/>
  <c r="AE216" i="11"/>
  <c r="AE216" i="10"/>
  <c r="AE214" i="11"/>
  <c r="AE214" i="10"/>
  <c r="AE212" i="11"/>
  <c r="AE212" i="10"/>
  <c r="AE210" i="11"/>
  <c r="AE210" i="10"/>
  <c r="AE208" i="11"/>
  <c r="AE208" i="10"/>
  <c r="AE206" i="11"/>
  <c r="AE206" i="10"/>
  <c r="AE204" i="11"/>
  <c r="AE204" i="10"/>
  <c r="AE202" i="11"/>
  <c r="AE202" i="10"/>
  <c r="AE200" i="11"/>
  <c r="AE200" i="10"/>
  <c r="AE198" i="11"/>
  <c r="AE198" i="10"/>
  <c r="AE196" i="11"/>
  <c r="AE196" i="10"/>
  <c r="AE194" i="11"/>
  <c r="AE194" i="10"/>
  <c r="AE192" i="11"/>
  <c r="AE192" i="10"/>
  <c r="AE190" i="11"/>
  <c r="AE190" i="10"/>
  <c r="AE188" i="11"/>
  <c r="AE188" i="10"/>
  <c r="AE186" i="11"/>
  <c r="AE186" i="10"/>
  <c r="AE184" i="11"/>
  <c r="AE184" i="10"/>
  <c r="AE182" i="11"/>
  <c r="AE182" i="10"/>
  <c r="AE180" i="11"/>
  <c r="AE180" i="10"/>
  <c r="AE178" i="11"/>
  <c r="AE178" i="10"/>
  <c r="AE176" i="11"/>
  <c r="AE176" i="10"/>
  <c r="AE174" i="11"/>
  <c r="AE174" i="10"/>
  <c r="AE172" i="11"/>
  <c r="AE172" i="10"/>
  <c r="AE170" i="11"/>
  <c r="AE170" i="10"/>
  <c r="AE168" i="11"/>
  <c r="AE168" i="10"/>
  <c r="AE166" i="11"/>
  <c r="AE166" i="10"/>
  <c r="AE164" i="11"/>
  <c r="AE164" i="10"/>
  <c r="AE162" i="11"/>
  <c r="AE162" i="10"/>
  <c r="AE160" i="11"/>
  <c r="AE160" i="10"/>
  <c r="AE158" i="11"/>
  <c r="AE158" i="10"/>
  <c r="AE156" i="11"/>
  <c r="AE156" i="10"/>
  <c r="AE154" i="11"/>
  <c r="AE154" i="10"/>
  <c r="AE152" i="11"/>
  <c r="AE152" i="10"/>
  <c r="AE150" i="11"/>
  <c r="AE150" i="10"/>
  <c r="AE148" i="11"/>
  <c r="AE148" i="10"/>
  <c r="AE146" i="11"/>
  <c r="AE146" i="10"/>
  <c r="AE144" i="11"/>
  <c r="AE144" i="10"/>
  <c r="AE142" i="11"/>
  <c r="AE142" i="10"/>
  <c r="AE140" i="11"/>
  <c r="AE140" i="10"/>
  <c r="AE138" i="11"/>
  <c r="AE138" i="10"/>
  <c r="AE136" i="11"/>
  <c r="AE136" i="10"/>
  <c r="AE134" i="11"/>
  <c r="AE134" i="10"/>
  <c r="AE132" i="11"/>
  <c r="AE132" i="10"/>
  <c r="AE130" i="11"/>
  <c r="AE130" i="10"/>
  <c r="AE128" i="11"/>
  <c r="AE128" i="10"/>
  <c r="AE126" i="11"/>
  <c r="AE126" i="10"/>
  <c r="AE124" i="11"/>
  <c r="AE124" i="10"/>
  <c r="AE124" i="9"/>
  <c r="AE122" i="11"/>
  <c r="AE122" i="10"/>
  <c r="AE122" i="9"/>
  <c r="AE120" i="11"/>
  <c r="AE120" i="10"/>
  <c r="AE120" i="9"/>
  <c r="AE118" i="11"/>
  <c r="AE118" i="10"/>
  <c r="AE118" i="9"/>
  <c r="AE116" i="11"/>
  <c r="AE116" i="10"/>
  <c r="AE116" i="9"/>
  <c r="AE114" i="11"/>
  <c r="AE114" i="10"/>
  <c r="AE114" i="9"/>
  <c r="AE112" i="11"/>
  <c r="AE112" i="10"/>
  <c r="AE112" i="9"/>
  <c r="AE110" i="11"/>
  <c r="AE110" i="10"/>
  <c r="AE110" i="9"/>
  <c r="AE108" i="11"/>
  <c r="AE108" i="10"/>
  <c r="AE108" i="9"/>
  <c r="AE106" i="11"/>
  <c r="AE106" i="10"/>
  <c r="AE106" i="9"/>
  <c r="AE104" i="11"/>
  <c r="AE104" i="10"/>
  <c r="AE104" i="9"/>
  <c r="AE102" i="11"/>
  <c r="AE102" i="10"/>
  <c r="AE102" i="9"/>
  <c r="AE100" i="11"/>
  <c r="AE100" i="10"/>
  <c r="AE100" i="9"/>
  <c r="AE98" i="11"/>
  <c r="AE98" i="10"/>
  <c r="AE98" i="9"/>
  <c r="AE96" i="11"/>
  <c r="AE96" i="10"/>
  <c r="AE96" i="9"/>
  <c r="AE94" i="11"/>
  <c r="AE94" i="10"/>
  <c r="AE94" i="9"/>
  <c r="AE92" i="11"/>
  <c r="AE92" i="10"/>
  <c r="AE92" i="9"/>
  <c r="AE90" i="11"/>
  <c r="AE90" i="10"/>
  <c r="AE90" i="9"/>
  <c r="AE88" i="11"/>
  <c r="AE88" i="10"/>
  <c r="AE88" i="9"/>
  <c r="AE86" i="11"/>
  <c r="AE86" i="10"/>
  <c r="AE86" i="9"/>
  <c r="AE84" i="11"/>
  <c r="AE84" i="10"/>
  <c r="AE84" i="9"/>
  <c r="AE82" i="11"/>
  <c r="AE82" i="10"/>
  <c r="AE82" i="9"/>
  <c r="AE80" i="11"/>
  <c r="AE80" i="10"/>
  <c r="AE80" i="9"/>
  <c r="AE78" i="11"/>
  <c r="AE78" i="10"/>
  <c r="AE78" i="9"/>
  <c r="AE76" i="11"/>
  <c r="AE76" i="10"/>
  <c r="AE76" i="9"/>
  <c r="AE74" i="11"/>
  <c r="AE74" i="10"/>
  <c r="AE74" i="9"/>
  <c r="AE72" i="11"/>
  <c r="AE72" i="10"/>
  <c r="AE72" i="9"/>
  <c r="AE70" i="11"/>
  <c r="AE70" i="10"/>
  <c r="AE70" i="9"/>
  <c r="AE68" i="11"/>
  <c r="AE68" i="10"/>
  <c r="AE68" i="9"/>
  <c r="AE66" i="11"/>
  <c r="AE66" i="10"/>
  <c r="AE66" i="9"/>
  <c r="AE64" i="11"/>
  <c r="AE64" i="10"/>
  <c r="AE64" i="9"/>
  <c r="AE62" i="11"/>
  <c r="AE62" i="10"/>
  <c r="AE62" i="9"/>
  <c r="AE60" i="11"/>
  <c r="AE60" i="10"/>
  <c r="AE60" i="9"/>
  <c r="AE58" i="11"/>
  <c r="AE58" i="10"/>
  <c r="AE58" i="9"/>
  <c r="AE56" i="11"/>
  <c r="AE56" i="10"/>
  <c r="AE56" i="9"/>
  <c r="AE54" i="11"/>
  <c r="AE54" i="10"/>
  <c r="AE54" i="9"/>
  <c r="AM1" i="2"/>
  <c r="T1" i="2"/>
  <c r="M205" i="2"/>
  <c r="M348" i="2"/>
  <c r="M278" i="2"/>
  <c r="M135" i="2"/>
  <c r="M131" i="2"/>
  <c r="M295" i="2"/>
  <c r="M247" i="2"/>
  <c r="M228" i="2"/>
  <c r="M183" i="2"/>
  <c r="M167" i="2"/>
  <c r="M353" i="2"/>
  <c r="M204" i="2"/>
  <c r="M367" i="2"/>
  <c r="M360" i="2"/>
  <c r="M359" i="2"/>
  <c r="M347" i="2"/>
  <c r="M346" i="2"/>
  <c r="M345" i="2"/>
  <c r="M341" i="2"/>
  <c r="M336" i="2"/>
  <c r="M335" i="2"/>
  <c r="M320" i="2"/>
  <c r="M319" i="2"/>
  <c r="M305" i="2"/>
  <c r="M304" i="2"/>
  <c r="M302" i="2"/>
  <c r="M272" i="2"/>
  <c r="M280" i="2"/>
  <c r="M277" i="2"/>
  <c r="M270" i="2"/>
  <c r="M252" i="2"/>
  <c r="M238" i="2"/>
  <c r="M230" i="2"/>
  <c r="M224" i="2"/>
  <c r="M194" i="2"/>
  <c r="M193" i="2"/>
  <c r="M192" i="2"/>
  <c r="M191" i="2"/>
  <c r="M188" i="2"/>
  <c r="M174" i="2"/>
  <c r="M173" i="2"/>
  <c r="M171" i="2"/>
  <c r="M24" i="2"/>
  <c r="M166" i="2"/>
  <c r="M151" i="2"/>
  <c r="M150" i="2"/>
  <c r="M149" i="2"/>
  <c r="M141" i="2"/>
  <c r="M140" i="2"/>
  <c r="M139" i="2"/>
  <c r="M138" i="2"/>
  <c r="M130" i="2"/>
  <c r="M129" i="2"/>
  <c r="M136" i="2"/>
  <c r="M120" i="2"/>
  <c r="M116" i="2"/>
  <c r="M115" i="2"/>
  <c r="M105" i="2"/>
  <c r="M104" i="2"/>
  <c r="M101" i="2"/>
  <c r="M92" i="2"/>
  <c r="M91" i="2"/>
  <c r="M88" i="2"/>
  <c r="M80" i="2"/>
  <c r="M68" i="2"/>
  <c r="M65" i="2"/>
  <c r="M63" i="2"/>
  <c r="M60" i="2"/>
  <c r="M10" i="2"/>
  <c r="M14" i="2"/>
  <c r="M271" i="2"/>
  <c r="M8" i="2"/>
  <c r="M7" i="2"/>
  <c r="M5" i="2"/>
  <c r="M31" i="2"/>
  <c r="M17" i="2"/>
  <c r="M249" i="2"/>
  <c r="AH1" i="2"/>
  <c r="M9" i="2"/>
  <c r="N1" i="2"/>
  <c r="V1" i="2"/>
  <c r="AD1" i="2"/>
  <c r="AL1" i="2"/>
  <c r="O1" i="11" l="1"/>
  <c r="AB1" i="10"/>
  <c r="AD1" i="10"/>
  <c r="AC1" i="10"/>
  <c r="AA1" i="10"/>
  <c r="K1" i="10"/>
  <c r="AG1" i="11"/>
  <c r="Z1" i="10"/>
  <c r="X1" i="10"/>
  <c r="Y1" i="10"/>
  <c r="W1" i="10"/>
  <c r="V1" i="10"/>
  <c r="U1" i="10"/>
  <c r="T1" i="10"/>
  <c r="R1" i="11"/>
  <c r="R1" i="10"/>
  <c r="Q1" i="10"/>
  <c r="S1" i="10"/>
  <c r="P1" i="10"/>
  <c r="J1" i="10"/>
  <c r="O1" i="10"/>
  <c r="N1" i="10"/>
  <c r="M1" i="10"/>
  <c r="L1" i="10"/>
  <c r="P1" i="11"/>
  <c r="AB1" i="11"/>
  <c r="V1" i="11"/>
  <c r="G1" i="11"/>
  <c r="B3" i="14" s="1"/>
  <c r="Q1" i="11"/>
  <c r="K1" i="11"/>
  <c r="AA1" i="11"/>
  <c r="L1" i="11"/>
  <c r="AC1" i="11"/>
  <c r="F1" i="11"/>
  <c r="B2" i="14" s="1"/>
  <c r="U1" i="11"/>
  <c r="AE1" i="11"/>
  <c r="AF1" i="11"/>
  <c r="X1" i="11"/>
  <c r="AD1" i="11"/>
  <c r="Y1" i="11"/>
  <c r="Z1" i="11"/>
  <c r="S1" i="11"/>
  <c r="M1" i="11"/>
  <c r="H1" i="11"/>
  <c r="T1" i="11"/>
  <c r="N1" i="11"/>
  <c r="I1" i="11"/>
  <c r="J1" i="11"/>
  <c r="W1" i="11"/>
  <c r="F1" i="10"/>
  <c r="C2" i="14" s="1"/>
  <c r="AE1" i="10"/>
  <c r="AF1" i="10"/>
  <c r="AG1" i="10"/>
  <c r="I1" i="10"/>
  <c r="H1" i="10"/>
  <c r="G1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<sst xmlns="http://schemas.openxmlformats.org/spreadsheetml/2006/main" count="3081" uniqueCount="1325">
  <si>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</si>
  <si>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</si>
  <si>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</si>
  <si>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</si>
  <si>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</si>
  <si>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</si>
  <si>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</si>
  <si>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</si>
  <si>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</si>
  <si>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</si>
  <si>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</si>
  <si>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</si>
  <si>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</si>
  <si>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</si>
  <si>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</si>
  <si>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</si>
  <si>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</si>
  <si>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</si>
  <si>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</si>
  <si>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</si>
  <si>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</si>
  <si>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</si>
  <si>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</si>
  <si>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</si>
  <si>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</si>
  <si>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</si>
  <si>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</si>
  <si>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</si>
  <si>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</si>
  <si>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</si>
  <si>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</si>
  <si>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</si>
  <si>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</si>
  <si>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</si>
  <si>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</si>
  <si>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</si>
  <si>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</si>
  <si>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</si>
  <si>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</si>
  <si>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</si>
  <si>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</si>
  <si>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</si>
  <si>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</si>
  <si>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</si>
  <si>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</si>
  <si>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</si>
  <si>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</si>
  <si>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</si>
  <si>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</si>
  <si>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</si>
  <si>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</si>
  <si>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</si>
  <si>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</si>
  <si>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</si>
  <si>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</si>
  <si>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</si>
  <si>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</si>
  <si>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</si>
  <si>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</si>
  <si>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</si>
  <si>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</si>
  <si>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</si>
  <si>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</si>
  <si>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</si>
  <si>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</si>
  <si>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</si>
  <si>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</si>
  <si>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</si>
  <si>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</si>
  <si>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</si>
  <si>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</si>
  <si>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</si>
  <si>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</si>
  <si>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</si>
  <si>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</si>
  <si>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</si>
  <si>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</si>
  <si>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</si>
  <si>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</si>
  <si>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</si>
  <si>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</si>
  <si>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</si>
  <si>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</si>
  <si>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</si>
  <si>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</si>
  <si>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</si>
  <si>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</si>
  <si>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</si>
  <si>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</si>
  <si>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</si>
  <si>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</si>
  <si>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</si>
  <si>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</si>
  <si>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</si>
  <si>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</si>
  <si>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</si>
  <si>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</si>
  <si>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</si>
  <si>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</si>
  <si>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</si>
  <si>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</si>
  <si>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</si>
  <si>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</si>
  <si>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</si>
  <si>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</si>
  <si>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</si>
  <si>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</si>
  <si>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</si>
  <si>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</si>
  <si>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</si>
  <si>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</si>
  <si>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</si>
  <si>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</si>
  <si>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</si>
  <si>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</si>
  <si>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</si>
  <si>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</si>
  <si>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</si>
  <si>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</si>
  <si>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</si>
  <si>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</si>
  <si>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</si>
  <si>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</si>
  <si>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</si>
  <si>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</si>
  <si>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</si>
  <si>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</si>
  <si>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</si>
  <si>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</si>
  <si>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</si>
  <si>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</si>
  <si>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</si>
  <si>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</si>
  <si>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</si>
  <si>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</si>
  <si>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</si>
  <si>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</si>
  <si>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</si>
  <si>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</si>
  <si>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</si>
  <si>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</si>
  <si>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</si>
  <si>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</si>
  <si>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</si>
  <si>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</si>
  <si>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</si>
  <si>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</si>
  <si>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</si>
  <si>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</si>
  <si>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</si>
  <si>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</si>
  <si>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</si>
  <si>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</si>
  <si>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</si>
  <si>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</si>
  <si>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</si>
  <si>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</si>
  <si>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</si>
  <si>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</si>
  <si>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</si>
  <si>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</si>
  <si>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</si>
  <si>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</si>
  <si>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</si>
  <si>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</si>
  <si>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</si>
  <si>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</si>
  <si>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</si>
  <si>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</si>
  <si>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</si>
  <si>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</si>
  <si>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</si>
  <si>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</si>
  <si>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</si>
  <si>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</si>
  <si>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</si>
  <si>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</si>
  <si>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</si>
  <si>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</si>
  <si>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</si>
  <si>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</si>
  <si>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</si>
  <si>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</si>
  <si>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</si>
  <si>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</si>
  <si>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</si>
  <si>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</si>
  <si>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</si>
  <si>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</si>
  <si>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</si>
  <si>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</si>
  <si>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</si>
  <si>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</si>
  <si>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</si>
  <si>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</si>
  <si>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</si>
  <si>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</si>
  <si>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</si>
  <si>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</si>
  <si>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</si>
  <si>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</si>
  <si>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</si>
  <si>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</si>
  <si>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</si>
  <si>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</si>
  <si>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</si>
  <si>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</si>
  <si>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</si>
  <si>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</si>
  <si>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</si>
  <si>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</si>
  <si>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</si>
  <si>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</si>
  <si>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</si>
  <si>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</si>
  <si>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</si>
  <si>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</si>
  <si>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</si>
  <si>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</si>
  <si>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</si>
  <si>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</si>
  <si>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</si>
  <si>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</si>
  <si>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</si>
  <si>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</si>
  <si>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</si>
  <si>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</si>
  <si>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</si>
  <si>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</si>
  <si>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</si>
  <si>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</si>
  <si>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</si>
  <si>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</si>
  <si>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</si>
  <si>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</si>
  <si>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</si>
  <si>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</si>
  <si>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</si>
  <si>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</si>
  <si>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</si>
  <si>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</si>
  <si>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</si>
  <si>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</si>
  <si>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</si>
  <si>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</si>
  <si>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</si>
  <si>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</si>
  <si>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</si>
  <si>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</si>
  <si>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</si>
  <si>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</si>
  <si>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</si>
  <si>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</si>
  <si>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</si>
  <si>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</si>
  <si>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</si>
  <si>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</si>
  <si>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</si>
  <si>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</si>
  <si>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</si>
  <si>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</si>
  <si>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</si>
  <si>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</si>
  <si>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</si>
  <si>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</si>
  <si>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</si>
  <si>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</si>
  <si>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</si>
  <si>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</si>
  <si>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</si>
  <si>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</si>
  <si>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</si>
  <si>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</si>
  <si>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</si>
  <si>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</si>
  <si>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</si>
  <si>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</si>
  <si>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</si>
  <si>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</si>
  <si>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</si>
  <si>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</si>
  <si>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</si>
  <si>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</si>
  <si>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</si>
  <si>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</si>
  <si>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</si>
  <si>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</si>
  <si>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</si>
  <si>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</si>
  <si>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</si>
  <si>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</si>
  <si>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</si>
  <si>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</si>
  <si>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</si>
  <si>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</si>
  <si>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</si>
  <si>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</si>
  <si>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</si>
  <si>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</si>
  <si>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</si>
  <si>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</si>
  <si>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</si>
  <si>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</si>
  <si>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</si>
  <si>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</si>
  <si>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</si>
  <si>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</si>
  <si>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</si>
  <si>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</si>
  <si>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</si>
  <si>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</si>
  <si>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</si>
  <si>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</si>
  <si>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</si>
  <si>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</si>
  <si>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</si>
  <si>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</si>
  <si>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</si>
  <si>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</si>
  <si>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</si>
  <si>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</si>
  <si>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</si>
  <si>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</si>
  <si>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</si>
  <si>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</si>
  <si>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</si>
  <si>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</si>
  <si>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</si>
  <si>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</si>
  <si>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</si>
  <si>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</si>
  <si>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</si>
  <si>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</si>
  <si>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</si>
  <si>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</si>
  <si>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</si>
  <si>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</si>
  <si>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</si>
  <si>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</si>
  <si>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</si>
  <si>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</si>
  <si>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</si>
  <si>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</si>
  <si>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</si>
  <si>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</si>
  <si>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</si>
  <si>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</si>
  <si>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</si>
  <si>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</si>
  <si>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</si>
  <si>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</si>
  <si>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</si>
  <si>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</si>
  <si>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</si>
  <si>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</si>
  <si>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</si>
  <si>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</si>
  <si>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</si>
  <si>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</si>
  <si>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</si>
  <si>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</si>
  <si>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</si>
  <si>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</si>
  <si>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</si>
  <si>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</si>
  <si>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</si>
  <si>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</si>
  <si>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</si>
  <si>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</si>
  <si>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</si>
  <si>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</si>
  <si>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</si>
  <si>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</si>
  <si>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</si>
  <si>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</si>
  <si>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</si>
  <si>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</si>
  <si>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</si>
  <si>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</si>
  <si>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</si>
  <si>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</si>
  <si>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</si>
  <si>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</si>
  <si>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</si>
  <si>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</si>
  <si>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</si>
  <si>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</si>
  <si>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</si>
  <si>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</si>
  <si>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</si>
  <si>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</si>
  <si>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</si>
  <si>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</si>
  <si>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</si>
  <si>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</si>
  <si>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</si>
  <si>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MaipÃº y Posadas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</si>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</sst>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</cellXfs>
  <cellStyles count="2">
    <cellStyle name="Normal" xfId="0" builtinId="0"/>
    <cellStyle name="Porcentaje" xfId="1" builtinId="5"/>
  </cellStyles>
  <dxfs count="87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62</c:v>
                </c:pt>
                <c:pt idx="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4"/>
  <sheetViews>
    <sheetView tabSelected="1" workbookViewId="0">
      <pane xSplit="13" ySplit="4" topLeftCell="S191" activePane="bottomRight" state="frozen"/>
      <selection pane="topRight" activeCell="M1" sqref="M1"/>
      <selection pane="bottomLeft" activeCell="A5" sqref="A5"/>
      <selection pane="bottomRight" activeCell="T197" sqref="T197"/>
    </sheetView>
  </sheetViews>
  <sheetFormatPr baseColWidth="10" defaultRowHeight="15" x14ac:dyDescent="0.25"/>
  <cols>
    <col min="1" max="1" width="16.7109375" hidden="1" customWidth="1"/>
    <col min="2" max="2" width="38.140625" style="46" bestFit="1" customWidth="1"/>
    <col min="3" max="3" width="33.28515625" customWidth="1"/>
    <col min="4" max="4" width="15.7109375" style="23" customWidth="1"/>
    <col min="5" max="5" width="17.42578125" style="24" customWidth="1"/>
    <col min="6" max="9" width="6.28515625" style="24" hidden="1" customWidth="1"/>
    <col min="10" max="10" width="13.7109375" style="24" customWidth="1"/>
    <col min="11" max="11" width="14.7109375" customWidth="1"/>
    <col min="12" max="12" width="6.7109375" customWidth="1"/>
    <col min="13" max="13" width="11.5703125" style="5"/>
    <col min="14" max="44" width="8.7109375" style="22" customWidth="1"/>
  </cols>
  <sheetData>
    <row r="1" spans="1:44" s="5" customFormat="1" ht="27.75" customHeight="1" thickTop="1" x14ac:dyDescent="0.25">
      <c r="A1" s="1" t="s">
        <v>0</v>
      </c>
      <c r="B1" s="43">
        <f>COUNTA(B5:B525)</f>
        <v>366</v>
      </c>
      <c r="C1" s="2" t="s">
        <v>1</v>
      </c>
      <c r="D1" s="34"/>
      <c r="E1" s="35"/>
      <c r="F1" s="35"/>
      <c r="G1" s="35"/>
      <c r="H1" s="35"/>
      <c r="I1" s="35"/>
      <c r="J1" s="35"/>
      <c r="K1" s="36"/>
      <c r="L1" s="36"/>
      <c r="M1" s="2"/>
      <c r="N1" s="4">
        <f t="shared" ref="N1:AO1" si="0">(N3)/(N2+N3)</f>
        <v>0.17032967032967034</v>
      </c>
      <c r="O1" s="4">
        <f t="shared" si="0"/>
        <v>0.21978021978021978</v>
      </c>
      <c r="P1" s="4">
        <f t="shared" si="0"/>
        <v>0.21153846153846154</v>
      </c>
      <c r="Q1" s="4">
        <f t="shared" si="0"/>
        <v>0.19230769230769232</v>
      </c>
      <c r="R1" s="4">
        <f t="shared" si="0"/>
        <v>0.19230769230769232</v>
      </c>
      <c r="S1" s="4">
        <f t="shared" si="0"/>
        <v>0.18956043956043955</v>
      </c>
      <c r="T1" s="4">
        <f t="shared" si="0"/>
        <v>0.19559228650137742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>(AB3)/(AB2+AB3)</f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ref="AP1:AR1" si="1">(AP3)/(AP2+AP3)</f>
        <v>0</v>
      </c>
      <c r="AQ1" s="4">
        <f t="shared" si="1"/>
        <v>0</v>
      </c>
      <c r="AR1" s="4">
        <f t="shared" si="1"/>
        <v>0</v>
      </c>
    </row>
    <row r="2" spans="1:44" s="11" customFormat="1" x14ac:dyDescent="0.25">
      <c r="A2" s="6"/>
      <c r="B2" s="44"/>
      <c r="C2" s="7" t="s">
        <v>5</v>
      </c>
      <c r="D2" s="40"/>
      <c r="E2" s="41"/>
      <c r="F2" s="41"/>
      <c r="G2" s="41"/>
      <c r="H2" s="41"/>
      <c r="I2" s="41"/>
      <c r="J2" s="41"/>
      <c r="K2" s="42"/>
      <c r="L2" s="42"/>
      <c r="M2" s="52"/>
      <c r="N2" s="10">
        <f>COUNTIF(N5:N368, "")</f>
        <v>302</v>
      </c>
      <c r="O2" s="10">
        <f>COUNTIF(O5:O368, "")</f>
        <v>284</v>
      </c>
      <c r="P2" s="10">
        <f t="shared" ref="P2:AO2" si="2">COUNTIF(P5:P368, "")</f>
        <v>287</v>
      </c>
      <c r="Q2" s="10">
        <f t="shared" si="2"/>
        <v>294</v>
      </c>
      <c r="R2" s="10">
        <f t="shared" si="2"/>
        <v>294</v>
      </c>
      <c r="S2" s="10">
        <f t="shared" si="2"/>
        <v>295</v>
      </c>
      <c r="T2" s="10">
        <f t="shared" si="2"/>
        <v>292</v>
      </c>
      <c r="U2" s="10">
        <f t="shared" si="2"/>
        <v>364</v>
      </c>
      <c r="V2" s="10">
        <f t="shared" si="2"/>
        <v>364</v>
      </c>
      <c r="W2" s="10">
        <f t="shared" si="2"/>
        <v>364</v>
      </c>
      <c r="X2" s="10">
        <f t="shared" si="2"/>
        <v>364</v>
      </c>
      <c r="Y2" s="10">
        <f t="shared" si="2"/>
        <v>364</v>
      </c>
      <c r="Z2" s="10">
        <f t="shared" si="2"/>
        <v>364</v>
      </c>
      <c r="AA2" s="10">
        <f t="shared" si="2"/>
        <v>364</v>
      </c>
      <c r="AB2" s="10">
        <f t="shared" si="2"/>
        <v>364</v>
      </c>
      <c r="AC2" s="10">
        <f t="shared" si="2"/>
        <v>364</v>
      </c>
      <c r="AD2" s="10">
        <f t="shared" si="2"/>
        <v>364</v>
      </c>
      <c r="AE2" s="10">
        <f t="shared" si="2"/>
        <v>364</v>
      </c>
      <c r="AF2" s="10">
        <f t="shared" si="2"/>
        <v>364</v>
      </c>
      <c r="AG2" s="10">
        <f t="shared" si="2"/>
        <v>364</v>
      </c>
      <c r="AH2" s="10">
        <f t="shared" si="2"/>
        <v>364</v>
      </c>
      <c r="AI2" s="10">
        <f t="shared" si="2"/>
        <v>364</v>
      </c>
      <c r="AJ2" s="10">
        <f t="shared" si="2"/>
        <v>364</v>
      </c>
      <c r="AK2" s="10">
        <f t="shared" si="2"/>
        <v>364</v>
      </c>
      <c r="AL2" s="10">
        <f t="shared" si="2"/>
        <v>364</v>
      </c>
      <c r="AM2" s="10">
        <f t="shared" si="2"/>
        <v>364</v>
      </c>
      <c r="AN2" s="10">
        <f t="shared" si="2"/>
        <v>364</v>
      </c>
      <c r="AO2" s="10">
        <f t="shared" si="2"/>
        <v>364</v>
      </c>
      <c r="AP2" s="10">
        <f t="shared" ref="AP2:AR2" si="3">COUNTIF(AP5:AP368, "")</f>
        <v>364</v>
      </c>
      <c r="AQ2" s="10">
        <f t="shared" si="3"/>
        <v>364</v>
      </c>
      <c r="AR2" s="10">
        <f t="shared" si="3"/>
        <v>364</v>
      </c>
    </row>
    <row r="3" spans="1:44" s="11" customFormat="1" ht="15.75" thickBot="1" x14ac:dyDescent="0.3">
      <c r="A3" s="12"/>
      <c r="B3" s="45"/>
      <c r="C3" s="13" t="s">
        <v>6</v>
      </c>
      <c r="D3" s="37"/>
      <c r="E3" s="38"/>
      <c r="F3" s="38"/>
      <c r="G3" s="38"/>
      <c r="H3" s="38"/>
      <c r="I3" s="38"/>
      <c r="J3" s="38"/>
      <c r="K3" s="39"/>
      <c r="L3" s="39"/>
      <c r="M3" s="53"/>
      <c r="N3" s="14">
        <f>COUNTIF(N4:N445, "apagado")</f>
        <v>62</v>
      </c>
      <c r="O3" s="14">
        <f t="shared" ref="O3:AO3" si="4">COUNTIF(O4:O445, "apagado")</f>
        <v>80</v>
      </c>
      <c r="P3" s="14">
        <f t="shared" si="4"/>
        <v>77</v>
      </c>
      <c r="Q3" s="14">
        <f t="shared" si="4"/>
        <v>70</v>
      </c>
      <c r="R3" s="14">
        <f t="shared" si="4"/>
        <v>70</v>
      </c>
      <c r="S3" s="14">
        <f t="shared" si="4"/>
        <v>69</v>
      </c>
      <c r="T3" s="14">
        <f t="shared" si="4"/>
        <v>71</v>
      </c>
      <c r="U3" s="14">
        <f t="shared" si="4"/>
        <v>0</v>
      </c>
      <c r="V3" s="14">
        <f t="shared" si="4"/>
        <v>0</v>
      </c>
      <c r="W3" s="14">
        <f t="shared" si="4"/>
        <v>0</v>
      </c>
      <c r="X3" s="14">
        <f t="shared" si="4"/>
        <v>0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ref="AP3:AR3" si="5">COUNTIF(AP4:AP445, "apagado")</f>
        <v>0</v>
      </c>
      <c r="AQ3" s="14">
        <f t="shared" si="5"/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s="46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/>
      <c r="K4" s="33" t="s">
        <v>2</v>
      </c>
      <c r="L4" s="33" t="s">
        <v>3</v>
      </c>
      <c r="M4" s="3" t="s">
        <v>4</v>
      </c>
      <c r="N4" s="15">
        <v>44621</v>
      </c>
      <c r="O4" s="15">
        <v>44622</v>
      </c>
      <c r="P4" s="15">
        <v>44623</v>
      </c>
      <c r="Q4" s="15">
        <v>44624</v>
      </c>
      <c r="R4" s="15">
        <v>44625</v>
      </c>
      <c r="S4" s="15">
        <v>44626</v>
      </c>
      <c r="T4" s="15">
        <v>44627</v>
      </c>
      <c r="U4" s="15">
        <v>44628</v>
      </c>
      <c r="V4" s="15">
        <v>44629</v>
      </c>
      <c r="W4" s="15">
        <v>44630</v>
      </c>
      <c r="X4" s="15">
        <v>44631</v>
      </c>
      <c r="Y4" s="15">
        <v>44632</v>
      </c>
      <c r="Z4" s="15">
        <v>44633</v>
      </c>
      <c r="AA4" s="15">
        <v>44634</v>
      </c>
      <c r="AB4" s="15">
        <v>44635</v>
      </c>
      <c r="AC4" s="15">
        <v>44636</v>
      </c>
      <c r="AD4" s="15">
        <v>44637</v>
      </c>
      <c r="AE4" s="15">
        <v>44638</v>
      </c>
      <c r="AF4" s="15">
        <v>44639</v>
      </c>
      <c r="AG4" s="15">
        <v>44640</v>
      </c>
      <c r="AH4" s="15">
        <v>44641</v>
      </c>
      <c r="AI4" s="15">
        <v>44642</v>
      </c>
      <c r="AJ4" s="15">
        <v>44643</v>
      </c>
      <c r="AK4" s="15">
        <v>44644</v>
      </c>
      <c r="AL4" s="15">
        <v>44645</v>
      </c>
      <c r="AM4" s="15">
        <v>44646</v>
      </c>
      <c r="AN4" s="15">
        <v>44647</v>
      </c>
      <c r="AO4" s="15">
        <v>44648</v>
      </c>
      <c r="AP4" s="15">
        <v>44649</v>
      </c>
      <c r="AQ4" s="15">
        <v>44650</v>
      </c>
      <c r="AR4" s="15">
        <v>44651</v>
      </c>
    </row>
    <row r="5" spans="1:44" ht="16.5" thickTop="1" thickBot="1" x14ac:dyDescent="0.3">
      <c r="A5" t="s">
        <v>16</v>
      </c>
      <c r="B5" s="47" t="s">
        <v>17</v>
      </c>
      <c r="C5" t="s">
        <v>18</v>
      </c>
      <c r="D5" t="s">
        <v>19</v>
      </c>
      <c r="E5" t="s">
        <v>36</v>
      </c>
      <c r="F5" t="s">
        <v>21</v>
      </c>
      <c r="G5"/>
      <c r="H5" s="16">
        <v>-348296270000</v>
      </c>
      <c r="I5" s="16">
        <v>-582165860000</v>
      </c>
      <c r="J5" s="16" t="s">
        <v>1112</v>
      </c>
      <c r="K5" s="17">
        <f t="shared" ref="K5:K68" si="6">COUNTIF(N5:AO5,"")</f>
        <v>21</v>
      </c>
      <c r="L5" s="17">
        <f t="shared" ref="L5:L68" si="7">COUNTIF(N5:AO5,"APAGADO")</f>
        <v>7</v>
      </c>
      <c r="M5" s="18">
        <f t="shared" ref="M5:M68" si="8">(K5)/(L5+K5)</f>
        <v>0.75</v>
      </c>
      <c r="N5" s="30" t="s">
        <v>942</v>
      </c>
      <c r="O5" s="19" t="s">
        <v>942</v>
      </c>
      <c r="P5" s="19" t="s">
        <v>942</v>
      </c>
      <c r="Q5" s="19" t="s">
        <v>942</v>
      </c>
      <c r="R5" s="30" t="s">
        <v>942</v>
      </c>
      <c r="S5" s="30" t="s">
        <v>942</v>
      </c>
      <c r="T5" s="19" t="s">
        <v>942</v>
      </c>
      <c r="U5" s="19"/>
      <c r="V5" s="19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19"/>
      <c r="AI5" s="28"/>
      <c r="AJ5" s="19"/>
      <c r="AK5" s="19"/>
      <c r="AL5" s="19"/>
      <c r="AM5" s="30"/>
      <c r="AN5" s="19"/>
      <c r="AO5" s="19"/>
      <c r="AP5" s="30"/>
      <c r="AQ5" s="30"/>
      <c r="AR5" s="30"/>
    </row>
    <row r="6" spans="1:44" ht="15.75" thickBot="1" x14ac:dyDescent="0.3">
      <c r="A6" t="s">
        <v>22</v>
      </c>
      <c r="B6" s="47" t="s">
        <v>23</v>
      </c>
      <c r="C6" t="s">
        <v>925</v>
      </c>
      <c r="D6" t="s">
        <v>24</v>
      </c>
      <c r="E6" t="s">
        <v>25</v>
      </c>
      <c r="F6" t="s">
        <v>26</v>
      </c>
      <c r="G6"/>
      <c r="H6" s="16">
        <v>-348239900000</v>
      </c>
      <c r="I6" s="16">
        <v>-582772350000</v>
      </c>
      <c r="J6" s="16" t="s">
        <v>1113</v>
      </c>
      <c r="K6" s="17">
        <f t="shared" si="6"/>
        <v>28</v>
      </c>
      <c r="L6" s="17">
        <f t="shared" si="7"/>
        <v>0</v>
      </c>
      <c r="M6" s="18">
        <f t="shared" si="8"/>
        <v>1</v>
      </c>
      <c r="N6" s="28"/>
      <c r="O6" s="8"/>
      <c r="P6" s="8"/>
      <c r="Q6" s="8"/>
      <c r="R6" s="28"/>
      <c r="S6" s="28"/>
      <c r="T6" s="8"/>
      <c r="U6" s="8"/>
      <c r="V6" s="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8"/>
      <c r="AI6" s="8"/>
      <c r="AJ6" s="8"/>
      <c r="AK6" s="8"/>
      <c r="AL6" s="8"/>
      <c r="AM6" s="28"/>
      <c r="AN6" s="8"/>
      <c r="AO6" s="8"/>
      <c r="AP6" s="28"/>
      <c r="AQ6" s="28"/>
      <c r="AR6" s="28"/>
    </row>
    <row r="7" spans="1:44" ht="15.75" thickBot="1" x14ac:dyDescent="0.3">
      <c r="B7" s="47" t="s">
        <v>27</v>
      </c>
      <c r="C7" t="s">
        <v>28</v>
      </c>
      <c r="D7" t="s">
        <v>24</v>
      </c>
      <c r="E7" t="s">
        <v>25</v>
      </c>
      <c r="F7"/>
      <c r="G7"/>
      <c r="H7" s="16">
        <v>-348218190000</v>
      </c>
      <c r="I7" s="16">
        <v>-582771380000</v>
      </c>
      <c r="J7" s="16" t="s">
        <v>1060</v>
      </c>
      <c r="K7" s="17">
        <f t="shared" si="6"/>
        <v>28</v>
      </c>
      <c r="L7" s="17">
        <f t="shared" si="7"/>
        <v>0</v>
      </c>
      <c r="M7" s="18">
        <f t="shared" si="8"/>
        <v>1</v>
      </c>
      <c r="N7" s="28"/>
      <c r="O7" s="8"/>
      <c r="P7" s="8"/>
      <c r="Q7" s="8"/>
      <c r="R7" s="28"/>
      <c r="S7" s="28"/>
      <c r="T7" s="8"/>
      <c r="U7" s="8"/>
      <c r="V7" s="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8"/>
      <c r="AI7" s="8"/>
      <c r="AJ7" s="8"/>
      <c r="AK7" s="8"/>
      <c r="AL7" s="8"/>
      <c r="AM7" s="28"/>
      <c r="AN7" s="8"/>
      <c r="AO7" s="8"/>
      <c r="AP7" s="28"/>
      <c r="AQ7" s="28"/>
      <c r="AR7" s="28"/>
    </row>
    <row r="8" spans="1:44" ht="15.75" thickBot="1" x14ac:dyDescent="0.3">
      <c r="A8" t="s">
        <v>22</v>
      </c>
      <c r="B8" s="47" t="s">
        <v>29</v>
      </c>
      <c r="C8" t="s">
        <v>916</v>
      </c>
      <c r="D8" t="s">
        <v>19</v>
      </c>
      <c r="E8" t="s">
        <v>948</v>
      </c>
      <c r="F8"/>
      <c r="G8" t="s">
        <v>30</v>
      </c>
      <c r="H8" s="16">
        <v>-348230700000</v>
      </c>
      <c r="I8" s="16">
        <v>-582702540000</v>
      </c>
      <c r="J8" s="16" t="s">
        <v>1114</v>
      </c>
      <c r="K8" s="17">
        <f t="shared" si="6"/>
        <v>28</v>
      </c>
      <c r="L8" s="17">
        <f t="shared" si="7"/>
        <v>0</v>
      </c>
      <c r="M8" s="18">
        <f t="shared" si="8"/>
        <v>1</v>
      </c>
      <c r="N8" s="28"/>
      <c r="O8" s="8"/>
      <c r="P8" s="8"/>
      <c r="Q8" s="8"/>
      <c r="R8" s="28"/>
      <c r="S8" s="28"/>
      <c r="T8" s="8"/>
      <c r="U8" s="8"/>
      <c r="V8" s="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8"/>
      <c r="AI8" s="8"/>
      <c r="AJ8" s="8"/>
      <c r="AK8" s="8"/>
      <c r="AL8" s="8"/>
      <c r="AM8" s="28"/>
      <c r="AN8" s="8"/>
      <c r="AO8" s="8"/>
      <c r="AP8" s="28"/>
      <c r="AQ8" s="28"/>
      <c r="AR8" s="28"/>
    </row>
    <row r="9" spans="1:44" ht="15.75" thickBot="1" x14ac:dyDescent="0.3">
      <c r="B9" s="47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16">
        <v>-348252070000</v>
      </c>
      <c r="I9" s="16">
        <v>-582711820000</v>
      </c>
      <c r="J9" s="16" t="s">
        <v>1115</v>
      </c>
      <c r="K9" s="17">
        <f t="shared" si="6"/>
        <v>28</v>
      </c>
      <c r="L9" s="17">
        <f t="shared" si="7"/>
        <v>0</v>
      </c>
      <c r="M9" s="18">
        <f t="shared" si="8"/>
        <v>1</v>
      </c>
      <c r="N9" s="28"/>
      <c r="O9" s="8"/>
      <c r="P9" s="8"/>
      <c r="Q9" s="8"/>
      <c r="R9" s="28"/>
      <c r="S9" s="28"/>
      <c r="T9" s="8"/>
      <c r="U9" s="8"/>
      <c r="V9" s="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8"/>
      <c r="AI9" s="8"/>
      <c r="AJ9" s="8"/>
      <c r="AK9" s="8"/>
      <c r="AL9" s="8"/>
      <c r="AM9" s="28"/>
      <c r="AN9" s="8"/>
      <c r="AO9" s="8"/>
      <c r="AP9" s="28"/>
      <c r="AQ9" s="28"/>
      <c r="AR9" s="28"/>
    </row>
    <row r="10" spans="1:44" ht="15.75" thickBot="1" x14ac:dyDescent="0.3">
      <c r="A10" t="s">
        <v>34</v>
      </c>
      <c r="B10" s="46" t="s">
        <v>953</v>
      </c>
      <c r="C10" t="s">
        <v>35</v>
      </c>
      <c r="D10" t="s">
        <v>24</v>
      </c>
      <c r="E10" t="s">
        <v>948</v>
      </c>
      <c r="F10"/>
      <c r="G10" t="s">
        <v>37</v>
      </c>
      <c r="H10" s="16">
        <v>-347738090000</v>
      </c>
      <c r="I10" s="16">
        <v>-582721410000</v>
      </c>
      <c r="J10" s="16" t="s">
        <v>954</v>
      </c>
      <c r="K10" s="17">
        <f t="shared" si="6"/>
        <v>28</v>
      </c>
      <c r="L10" s="17">
        <f t="shared" si="7"/>
        <v>0</v>
      </c>
      <c r="M10" s="18">
        <f t="shared" si="8"/>
        <v>1</v>
      </c>
      <c r="N10" s="28"/>
      <c r="O10" s="8"/>
      <c r="P10" s="8"/>
      <c r="Q10" s="8"/>
      <c r="R10" s="28"/>
      <c r="S10" s="28"/>
      <c r="T10" s="8"/>
      <c r="U10" s="8"/>
      <c r="V10" s="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8"/>
      <c r="AI10" s="28"/>
      <c r="AJ10" s="8"/>
      <c r="AK10" s="8"/>
      <c r="AL10" s="8"/>
      <c r="AM10" s="28"/>
      <c r="AN10" s="8"/>
      <c r="AO10" s="8"/>
      <c r="AP10" s="28"/>
      <c r="AQ10" s="28"/>
      <c r="AR10" s="28"/>
    </row>
    <row r="11" spans="1:44" ht="15.75" thickBot="1" x14ac:dyDescent="0.3">
      <c r="A11" t="s">
        <v>34</v>
      </c>
      <c r="B11" s="46" t="s">
        <v>38</v>
      </c>
      <c r="C11" t="s">
        <v>39</v>
      </c>
      <c r="D11" t="s">
        <v>24</v>
      </c>
      <c r="E11" t="s">
        <v>36</v>
      </c>
      <c r="F11" t="s">
        <v>40</v>
      </c>
      <c r="G11"/>
      <c r="H11" s="16">
        <v>-347769580000</v>
      </c>
      <c r="I11" s="16">
        <v>-582650900000</v>
      </c>
      <c r="J11" s="16" t="s">
        <v>947</v>
      </c>
      <c r="K11" s="17">
        <f t="shared" si="6"/>
        <v>28</v>
      </c>
      <c r="L11" s="17">
        <f t="shared" si="7"/>
        <v>0</v>
      </c>
      <c r="M11" s="18">
        <f t="shared" si="8"/>
        <v>1</v>
      </c>
      <c r="N11" s="28"/>
      <c r="O11" s="8"/>
      <c r="P11" s="8"/>
      <c r="Q11" s="8"/>
      <c r="R11" s="28"/>
      <c r="S11" s="28"/>
      <c r="T11" s="8"/>
      <c r="U11" s="8"/>
      <c r="V11" s="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8"/>
      <c r="AI11" s="8"/>
      <c r="AJ11" s="8"/>
      <c r="AK11" s="8"/>
      <c r="AL11" s="8"/>
      <c r="AM11" s="28"/>
      <c r="AN11" s="8"/>
      <c r="AO11" s="8"/>
      <c r="AP11" s="28"/>
      <c r="AQ11" s="28"/>
      <c r="AR11" s="28"/>
    </row>
    <row r="12" spans="1:44" ht="15.75" thickBot="1" x14ac:dyDescent="0.3">
      <c r="A12" t="s">
        <v>34</v>
      </c>
      <c r="B12" s="46" t="s">
        <v>41</v>
      </c>
      <c r="C12" t="s">
        <v>42</v>
      </c>
      <c r="D12" t="s">
        <v>24</v>
      </c>
      <c r="E12" t="s">
        <v>948</v>
      </c>
      <c r="F12" t="s">
        <v>43</v>
      </c>
      <c r="G12"/>
      <c r="H12" s="16">
        <v>-347718470000</v>
      </c>
      <c r="I12" s="16">
        <v>-582688560000</v>
      </c>
      <c r="J12" s="16" t="s">
        <v>949</v>
      </c>
      <c r="K12" s="17">
        <f t="shared" si="6"/>
        <v>28</v>
      </c>
      <c r="L12" s="17">
        <f t="shared" si="7"/>
        <v>0</v>
      </c>
      <c r="M12" s="18">
        <f t="shared" si="8"/>
        <v>1</v>
      </c>
      <c r="N12" s="28"/>
      <c r="O12" s="8"/>
      <c r="P12" s="8"/>
      <c r="Q12" s="8"/>
      <c r="R12" s="28"/>
      <c r="S12" s="28"/>
      <c r="T12" s="8"/>
      <c r="U12" s="8"/>
      <c r="V12" s="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8"/>
      <c r="AI12" s="8"/>
      <c r="AJ12" s="8"/>
      <c r="AK12" s="8"/>
      <c r="AL12" s="8"/>
      <c r="AM12" s="28"/>
      <c r="AN12" s="8"/>
      <c r="AO12" s="8"/>
      <c r="AP12" s="28"/>
      <c r="AQ12" s="28"/>
      <c r="AR12" s="28"/>
    </row>
    <row r="13" spans="1:44" ht="15.75" thickBot="1" x14ac:dyDescent="0.3">
      <c r="A13" t="s">
        <v>34</v>
      </c>
      <c r="B13" s="46" t="s">
        <v>44</v>
      </c>
      <c r="C13" t="s">
        <v>45</v>
      </c>
      <c r="D13" t="s">
        <v>24</v>
      </c>
      <c r="E13" t="s">
        <v>36</v>
      </c>
      <c r="F13" t="s">
        <v>46</v>
      </c>
      <c r="G13"/>
      <c r="H13" s="16">
        <v>-347726570000</v>
      </c>
      <c r="I13" s="16">
        <v>-582730620000</v>
      </c>
      <c r="J13" s="16" t="s">
        <v>950</v>
      </c>
      <c r="K13" s="17">
        <f t="shared" si="6"/>
        <v>28</v>
      </c>
      <c r="L13" s="17">
        <f t="shared" si="7"/>
        <v>0</v>
      </c>
      <c r="M13" s="18">
        <f t="shared" si="8"/>
        <v>1</v>
      </c>
      <c r="N13" s="28"/>
      <c r="O13" s="8"/>
      <c r="P13" s="8"/>
      <c r="Q13" s="8"/>
      <c r="R13" s="28"/>
      <c r="S13" s="28"/>
      <c r="T13" s="8"/>
      <c r="U13" s="8"/>
      <c r="V13" s="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8"/>
      <c r="AI13" s="8"/>
      <c r="AJ13" s="8"/>
      <c r="AK13" s="8"/>
      <c r="AL13" s="8"/>
      <c r="AM13" s="28"/>
      <c r="AN13" s="8"/>
      <c r="AO13" s="8"/>
      <c r="AP13" s="28"/>
      <c r="AQ13" s="28"/>
      <c r="AR13" s="28"/>
    </row>
    <row r="14" spans="1:44" ht="15.75" thickBot="1" x14ac:dyDescent="0.3">
      <c r="B14" s="46" t="s">
        <v>47</v>
      </c>
      <c r="C14" t="s">
        <v>48</v>
      </c>
      <c r="D14" t="s">
        <v>24</v>
      </c>
      <c r="E14" t="s">
        <v>36</v>
      </c>
      <c r="F14" t="s">
        <v>49</v>
      </c>
      <c r="G14"/>
      <c r="H14" s="16">
        <v>-347705420000</v>
      </c>
      <c r="I14" s="16">
        <v>-582748000000</v>
      </c>
      <c r="J14" s="16" t="s">
        <v>951</v>
      </c>
      <c r="K14" s="17">
        <f t="shared" si="6"/>
        <v>27</v>
      </c>
      <c r="L14" s="17">
        <f t="shared" si="7"/>
        <v>1</v>
      </c>
      <c r="M14" s="18">
        <f t="shared" si="8"/>
        <v>0.9642857142857143</v>
      </c>
      <c r="N14" s="28" t="s">
        <v>942</v>
      </c>
      <c r="O14" s="8"/>
      <c r="P14" s="8"/>
      <c r="Q14" s="8"/>
      <c r="R14" s="28"/>
      <c r="S14" s="28"/>
      <c r="T14" s="8"/>
      <c r="U14" s="8"/>
      <c r="V14" s="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8"/>
      <c r="AI14" s="28"/>
      <c r="AJ14" s="8"/>
      <c r="AK14" s="8"/>
      <c r="AL14" s="8"/>
      <c r="AM14" s="28"/>
      <c r="AN14" s="8"/>
      <c r="AO14" s="8"/>
      <c r="AP14" s="28"/>
      <c r="AQ14" s="28"/>
      <c r="AR14" s="28"/>
    </row>
    <row r="15" spans="1:44" ht="15.75" thickBot="1" x14ac:dyDescent="0.3">
      <c r="A15" t="s">
        <v>34</v>
      </c>
      <c r="B15" s="46" t="s">
        <v>50</v>
      </c>
      <c r="C15" t="s">
        <v>51</v>
      </c>
      <c r="D15" t="s">
        <v>24</v>
      </c>
      <c r="E15" t="s">
        <v>948</v>
      </c>
      <c r="F15" t="s">
        <v>52</v>
      </c>
      <c r="G15"/>
      <c r="H15" s="16">
        <v>-347708370000</v>
      </c>
      <c r="I15" s="16">
        <v>-582698000000</v>
      </c>
      <c r="J15" s="16" t="s">
        <v>952</v>
      </c>
      <c r="K15" s="17">
        <f t="shared" si="6"/>
        <v>28</v>
      </c>
      <c r="L15" s="17">
        <f t="shared" si="7"/>
        <v>0</v>
      </c>
      <c r="M15" s="18">
        <f t="shared" si="8"/>
        <v>1</v>
      </c>
      <c r="N15" s="28"/>
      <c r="O15" s="8"/>
      <c r="P15" s="8"/>
      <c r="Q15" s="8"/>
      <c r="R15" s="28"/>
      <c r="S15" s="28"/>
      <c r="T15" s="8"/>
      <c r="U15" s="8"/>
      <c r="V15" s="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8"/>
      <c r="AI15" s="8"/>
      <c r="AJ15" s="8"/>
      <c r="AK15" s="8"/>
      <c r="AL15" s="8"/>
      <c r="AM15" s="28"/>
      <c r="AN15" s="8"/>
      <c r="AO15" s="8"/>
      <c r="AP15" s="28"/>
      <c r="AQ15" s="28"/>
      <c r="AR15" s="28"/>
    </row>
    <row r="16" spans="1:44" ht="15.75" thickBot="1" x14ac:dyDescent="0.3">
      <c r="A16" t="s">
        <v>34</v>
      </c>
      <c r="B16" s="46" t="s">
        <v>53</v>
      </c>
      <c r="C16" t="s">
        <v>54</v>
      </c>
      <c r="D16" t="s">
        <v>19</v>
      </c>
      <c r="E16" t="s">
        <v>948</v>
      </c>
      <c r="F16"/>
      <c r="G16" t="s">
        <v>55</v>
      </c>
      <c r="H16" s="16">
        <v>-347737570000</v>
      </c>
      <c r="I16" s="16">
        <v>-582676650000</v>
      </c>
      <c r="J16" s="16" t="s">
        <v>956</v>
      </c>
      <c r="K16" s="17">
        <f t="shared" si="6"/>
        <v>28</v>
      </c>
      <c r="L16" s="17">
        <f t="shared" si="7"/>
        <v>0</v>
      </c>
      <c r="M16" s="18">
        <f t="shared" si="8"/>
        <v>1</v>
      </c>
      <c r="N16" s="28"/>
      <c r="O16" s="8"/>
      <c r="P16" s="8"/>
      <c r="Q16" s="8"/>
      <c r="R16" s="28"/>
      <c r="S16" s="28"/>
      <c r="T16" s="8"/>
      <c r="U16" s="8"/>
      <c r="V16" s="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8"/>
      <c r="AI16" s="8"/>
      <c r="AJ16" s="8"/>
      <c r="AK16" s="8"/>
      <c r="AL16" s="8"/>
      <c r="AM16" s="28"/>
      <c r="AN16" s="8"/>
      <c r="AO16" s="8"/>
      <c r="AP16" s="28"/>
      <c r="AQ16" s="28"/>
      <c r="AR16" s="28"/>
    </row>
    <row r="17" spans="1:44" ht="15.75" thickBot="1" x14ac:dyDescent="0.3">
      <c r="A17" t="s">
        <v>34</v>
      </c>
      <c r="B17" s="46" t="s">
        <v>56</v>
      </c>
      <c r="C17" t="s">
        <v>57</v>
      </c>
      <c r="D17" t="s">
        <v>19</v>
      </c>
      <c r="E17" t="s">
        <v>36</v>
      </c>
      <c r="F17"/>
      <c r="G17" t="s">
        <v>58</v>
      </c>
      <c r="H17" s="16">
        <v>-347749440000</v>
      </c>
      <c r="I17" s="16">
        <v>-582711610000</v>
      </c>
      <c r="J17" s="16" t="s">
        <v>957</v>
      </c>
      <c r="K17" s="17">
        <f t="shared" si="6"/>
        <v>28</v>
      </c>
      <c r="L17" s="17">
        <f t="shared" si="7"/>
        <v>0</v>
      </c>
      <c r="M17" s="18">
        <f t="shared" si="8"/>
        <v>1</v>
      </c>
      <c r="N17" s="28"/>
      <c r="O17" s="8"/>
      <c r="P17" s="8"/>
      <c r="Q17" s="8"/>
      <c r="R17" s="28"/>
      <c r="S17" s="28"/>
      <c r="T17" s="8"/>
      <c r="U17" s="8"/>
      <c r="V17" s="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8"/>
      <c r="AI17" s="28"/>
      <c r="AJ17" s="8"/>
      <c r="AK17" s="8"/>
      <c r="AL17" s="8"/>
      <c r="AM17" s="28"/>
      <c r="AN17" s="8"/>
      <c r="AO17" s="8"/>
      <c r="AP17" s="28"/>
      <c r="AQ17" s="28"/>
      <c r="AR17" s="28"/>
    </row>
    <row r="18" spans="1:44" ht="15.75" thickBot="1" x14ac:dyDescent="0.3">
      <c r="A18" t="s">
        <v>34</v>
      </c>
      <c r="B18" s="46" t="s">
        <v>59</v>
      </c>
      <c r="C18" t="s">
        <v>60</v>
      </c>
      <c r="D18" t="s">
        <v>19</v>
      </c>
      <c r="E18" t="s">
        <v>36</v>
      </c>
      <c r="F18"/>
      <c r="G18" t="s">
        <v>61</v>
      </c>
      <c r="H18" s="16">
        <v>-347743740000</v>
      </c>
      <c r="I18" s="16">
        <v>-582715650000</v>
      </c>
      <c r="J18" s="16" t="s">
        <v>958</v>
      </c>
      <c r="K18" s="17">
        <f t="shared" si="6"/>
        <v>28</v>
      </c>
      <c r="L18" s="17">
        <f t="shared" si="7"/>
        <v>0</v>
      </c>
      <c r="M18" s="18">
        <f t="shared" si="8"/>
        <v>1</v>
      </c>
      <c r="N18" s="28"/>
      <c r="O18" s="8"/>
      <c r="P18" s="8"/>
      <c r="Q18" s="8"/>
      <c r="R18" s="28"/>
      <c r="S18" s="28"/>
      <c r="T18" s="8"/>
      <c r="U18" s="8"/>
      <c r="V18" s="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8"/>
      <c r="AI18" s="28"/>
      <c r="AJ18" s="8"/>
      <c r="AK18" s="8"/>
      <c r="AL18" s="8"/>
      <c r="AM18" s="28"/>
      <c r="AN18" s="8"/>
      <c r="AO18" s="8"/>
      <c r="AP18" s="28"/>
      <c r="AQ18" s="28"/>
      <c r="AR18" s="28"/>
    </row>
    <row r="19" spans="1:44" ht="15.75" thickBot="1" x14ac:dyDescent="0.3">
      <c r="A19" t="s">
        <v>62</v>
      </c>
      <c r="B19" s="46" t="s">
        <v>63</v>
      </c>
      <c r="C19" t="s">
        <v>64</v>
      </c>
      <c r="D19" t="s">
        <v>24</v>
      </c>
      <c r="E19" t="s">
        <v>36</v>
      </c>
      <c r="F19" t="s">
        <v>65</v>
      </c>
      <c r="G19"/>
      <c r="H19" s="16">
        <v>-347979380000</v>
      </c>
      <c r="I19" s="16">
        <v>-583160950000</v>
      </c>
      <c r="J19" s="16" t="s">
        <v>961</v>
      </c>
      <c r="K19" s="17">
        <f t="shared" si="6"/>
        <v>22</v>
      </c>
      <c r="L19" s="17">
        <f t="shared" si="7"/>
        <v>6</v>
      </c>
      <c r="M19" s="18">
        <f t="shared" si="8"/>
        <v>0.7857142857142857</v>
      </c>
      <c r="N19" s="28"/>
      <c r="O19" s="8" t="s">
        <v>942</v>
      </c>
      <c r="P19" s="8" t="s">
        <v>942</v>
      </c>
      <c r="Q19" s="8" t="s">
        <v>942</v>
      </c>
      <c r="R19" s="28" t="s">
        <v>942</v>
      </c>
      <c r="S19" s="28" t="s">
        <v>942</v>
      </c>
      <c r="T19" s="8" t="s">
        <v>942</v>
      </c>
      <c r="U19" s="8"/>
      <c r="V19" s="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8"/>
      <c r="AI19" s="8"/>
      <c r="AJ19" s="8"/>
      <c r="AK19" s="8"/>
      <c r="AL19" s="8"/>
      <c r="AM19" s="28"/>
      <c r="AN19" s="8"/>
      <c r="AO19" s="8"/>
      <c r="AP19" s="28"/>
      <c r="AQ19" s="28"/>
      <c r="AR19" s="28"/>
    </row>
    <row r="20" spans="1:44" ht="15.75" thickBot="1" x14ac:dyDescent="0.3">
      <c r="A20" t="s">
        <v>34</v>
      </c>
      <c r="B20" s="46" t="s">
        <v>959</v>
      </c>
      <c r="C20" t="s">
        <v>66</v>
      </c>
      <c r="D20" t="s">
        <v>19</v>
      </c>
      <c r="E20" t="s">
        <v>948</v>
      </c>
      <c r="F20"/>
      <c r="G20" t="s">
        <v>67</v>
      </c>
      <c r="H20" s="16">
        <v>-347689160000</v>
      </c>
      <c r="I20" s="16">
        <v>-582717100000</v>
      </c>
      <c r="J20" s="16" t="s">
        <v>960</v>
      </c>
      <c r="K20" s="17">
        <f t="shared" si="6"/>
        <v>28</v>
      </c>
      <c r="L20" s="17">
        <f t="shared" si="7"/>
        <v>0</v>
      </c>
      <c r="M20" s="18">
        <f t="shared" si="8"/>
        <v>1</v>
      </c>
      <c r="N20" s="28"/>
      <c r="O20" s="8"/>
      <c r="P20" s="8"/>
      <c r="Q20" s="8"/>
      <c r="R20" s="28"/>
      <c r="S20" s="28"/>
      <c r="T20" s="8"/>
      <c r="U20" s="8"/>
      <c r="V20" s="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8"/>
      <c r="AI20" s="8"/>
      <c r="AJ20" s="8"/>
      <c r="AK20" s="8"/>
      <c r="AL20" s="8"/>
      <c r="AM20" s="28"/>
      <c r="AN20" s="8"/>
      <c r="AO20" s="8"/>
      <c r="AP20" s="28"/>
      <c r="AQ20" s="28"/>
      <c r="AR20" s="28"/>
    </row>
    <row r="21" spans="1:44" ht="15.75" thickBot="1" x14ac:dyDescent="0.3">
      <c r="A21" t="s">
        <v>68</v>
      </c>
      <c r="B21" s="46" t="s">
        <v>69</v>
      </c>
      <c r="C21" t="s">
        <v>70</v>
      </c>
      <c r="D21" t="s">
        <v>19</v>
      </c>
      <c r="E21" t="s">
        <v>36</v>
      </c>
      <c r="F21" t="s">
        <v>65</v>
      </c>
      <c r="G21" t="s">
        <v>71</v>
      </c>
      <c r="H21" s="16">
        <v>-347918370000</v>
      </c>
      <c r="I21" s="16">
        <v>-582786080000</v>
      </c>
      <c r="J21" s="16" t="s">
        <v>962</v>
      </c>
      <c r="K21" s="17">
        <f t="shared" si="6"/>
        <v>28</v>
      </c>
      <c r="L21" s="17">
        <f t="shared" si="7"/>
        <v>0</v>
      </c>
      <c r="M21" s="18">
        <f t="shared" si="8"/>
        <v>1</v>
      </c>
      <c r="N21" s="28"/>
      <c r="O21" s="8"/>
      <c r="P21" s="8"/>
      <c r="Q21" s="8"/>
      <c r="R21" s="28"/>
      <c r="S21" s="28"/>
      <c r="T21" s="8"/>
      <c r="U21" s="8"/>
      <c r="V21" s="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8"/>
      <c r="AI21" s="8"/>
      <c r="AJ21" s="8"/>
      <c r="AK21" s="8"/>
      <c r="AL21" s="8"/>
      <c r="AM21" s="28"/>
      <c r="AN21" s="8"/>
      <c r="AO21" s="8"/>
      <c r="AP21" s="28"/>
      <c r="AQ21" s="28"/>
      <c r="AR21" s="28"/>
    </row>
    <row r="22" spans="1:44" ht="15.75" thickBot="1" x14ac:dyDescent="0.3">
      <c r="B22" s="46" t="s">
        <v>1012</v>
      </c>
      <c r="C22" t="s">
        <v>72</v>
      </c>
      <c r="D22" t="s">
        <v>73</v>
      </c>
      <c r="E22" t="s">
        <v>36</v>
      </c>
      <c r="F22" t="s">
        <v>74</v>
      </c>
      <c r="G22"/>
      <c r="H22" s="16">
        <v>-347987830000</v>
      </c>
      <c r="I22" s="16">
        <v>-582840920000</v>
      </c>
      <c r="J22" s="16" t="s">
        <v>1013</v>
      </c>
      <c r="K22" s="17">
        <f t="shared" si="6"/>
        <v>28</v>
      </c>
      <c r="L22" s="17">
        <f t="shared" si="7"/>
        <v>0</v>
      </c>
      <c r="M22" s="18">
        <f t="shared" si="8"/>
        <v>1</v>
      </c>
      <c r="N22" s="28"/>
      <c r="O22" s="8"/>
      <c r="P22" s="8"/>
      <c r="Q22" s="8"/>
      <c r="R22" s="28"/>
      <c r="S22" s="28"/>
      <c r="T22" s="8"/>
      <c r="U22" s="8"/>
      <c r="V22" s="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8"/>
      <c r="AI22" s="8"/>
      <c r="AJ22" s="8"/>
      <c r="AK22" s="8"/>
      <c r="AL22" s="8"/>
      <c r="AM22" s="28"/>
      <c r="AN22" s="8"/>
      <c r="AO22" s="8"/>
      <c r="AP22" s="28"/>
      <c r="AQ22" s="28"/>
      <c r="AR22" s="28"/>
    </row>
    <row r="23" spans="1:44" ht="15.75" thickBot="1" x14ac:dyDescent="0.3">
      <c r="B23" s="46" t="s">
        <v>1015</v>
      </c>
      <c r="C23" t="s">
        <v>75</v>
      </c>
      <c r="D23" t="s">
        <v>24</v>
      </c>
      <c r="E23" t="s">
        <v>25</v>
      </c>
      <c r="F23"/>
      <c r="G23"/>
      <c r="H23" s="16">
        <v>-348013650000</v>
      </c>
      <c r="I23" s="16">
        <v>-582715700000</v>
      </c>
      <c r="J23" s="16" t="s">
        <v>1016</v>
      </c>
      <c r="K23" s="17">
        <f t="shared" si="6"/>
        <v>28</v>
      </c>
      <c r="L23" s="17">
        <f t="shared" si="7"/>
        <v>0</v>
      </c>
      <c r="M23" s="18">
        <f t="shared" si="8"/>
        <v>1</v>
      </c>
      <c r="N23" s="28"/>
      <c r="O23" s="8"/>
      <c r="P23" s="8"/>
      <c r="Q23" s="8"/>
      <c r="R23" s="28"/>
      <c r="S23" s="28"/>
      <c r="T23" s="8"/>
      <c r="U23" s="8"/>
      <c r="V23" s="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8"/>
      <c r="AI23" s="8"/>
      <c r="AJ23" s="8"/>
      <c r="AK23" s="8"/>
      <c r="AL23" s="8"/>
      <c r="AM23" s="28"/>
      <c r="AN23" s="8"/>
      <c r="AO23" s="8"/>
      <c r="AP23" s="28"/>
      <c r="AQ23" s="28"/>
      <c r="AR23" s="28"/>
    </row>
    <row r="24" spans="1:44" ht="15.75" thickBot="1" x14ac:dyDescent="0.3">
      <c r="B24" s="46" t="s">
        <v>76</v>
      </c>
      <c r="C24" t="s">
        <v>77</v>
      </c>
      <c r="D24" t="s">
        <v>24</v>
      </c>
      <c r="E24" t="s">
        <v>25</v>
      </c>
      <c r="F24"/>
      <c r="G24"/>
      <c r="H24" s="16">
        <v>-348013470000</v>
      </c>
      <c r="I24" s="16">
        <v>-582698540000</v>
      </c>
      <c r="J24" s="16" t="s">
        <v>1017</v>
      </c>
      <c r="K24" s="17">
        <f t="shared" si="6"/>
        <v>24</v>
      </c>
      <c r="L24" s="17">
        <f t="shared" si="7"/>
        <v>4</v>
      </c>
      <c r="M24" s="18">
        <f t="shared" si="8"/>
        <v>0.8571428571428571</v>
      </c>
      <c r="N24" s="28"/>
      <c r="O24" s="8"/>
      <c r="P24" s="8"/>
      <c r="Q24" s="8" t="s">
        <v>942</v>
      </c>
      <c r="R24" s="28" t="s">
        <v>942</v>
      </c>
      <c r="S24" s="28" t="s">
        <v>942</v>
      </c>
      <c r="T24" s="8" t="s">
        <v>942</v>
      </c>
      <c r="U24" s="8"/>
      <c r="V24" s="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8"/>
      <c r="AI24" s="8"/>
      <c r="AJ24" s="8"/>
      <c r="AK24" s="8"/>
      <c r="AL24" s="8"/>
      <c r="AM24" s="28"/>
      <c r="AN24" s="8"/>
      <c r="AO24" s="8"/>
      <c r="AP24" s="28"/>
      <c r="AQ24" s="28"/>
      <c r="AR24" s="28"/>
    </row>
    <row r="25" spans="1:44" ht="15.75" thickBot="1" x14ac:dyDescent="0.3">
      <c r="B25" s="46" t="s">
        <v>78</v>
      </c>
      <c r="C25" t="s">
        <v>79</v>
      </c>
      <c r="D25" t="s">
        <v>24</v>
      </c>
      <c r="E25" t="s">
        <v>25</v>
      </c>
      <c r="F25"/>
      <c r="G25"/>
      <c r="H25" s="16">
        <v>-348019110000</v>
      </c>
      <c r="I25" s="16">
        <v>-582819990000</v>
      </c>
      <c r="J25" s="16" t="s">
        <v>1018</v>
      </c>
      <c r="K25" s="17">
        <f t="shared" si="6"/>
        <v>28</v>
      </c>
      <c r="L25" s="17">
        <f t="shared" si="7"/>
        <v>0</v>
      </c>
      <c r="M25" s="18">
        <f t="shared" si="8"/>
        <v>1</v>
      </c>
      <c r="N25" s="28"/>
      <c r="O25" s="8"/>
      <c r="P25" s="8"/>
      <c r="Q25" s="8"/>
      <c r="R25" s="28"/>
      <c r="S25" s="28"/>
      <c r="T25" s="8"/>
      <c r="U25" s="8"/>
      <c r="V25" s="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8"/>
      <c r="AI25" s="8"/>
      <c r="AJ25" s="8"/>
      <c r="AK25" s="8"/>
      <c r="AL25" s="8"/>
      <c r="AM25" s="28"/>
      <c r="AN25" s="8"/>
      <c r="AO25" s="8"/>
      <c r="AP25" s="28"/>
      <c r="AQ25" s="28"/>
      <c r="AR25" s="28"/>
    </row>
    <row r="26" spans="1:44" ht="15.75" thickBot="1" x14ac:dyDescent="0.3">
      <c r="A26" t="s">
        <v>80</v>
      </c>
      <c r="B26" s="46" t="s">
        <v>81</v>
      </c>
      <c r="C26" t="s">
        <v>82</v>
      </c>
      <c r="D26" t="s">
        <v>19</v>
      </c>
      <c r="E26" t="s">
        <v>25</v>
      </c>
      <c r="F26" t="s">
        <v>83</v>
      </c>
      <c r="G26"/>
      <c r="H26" s="16">
        <v>-348073990000</v>
      </c>
      <c r="I26" s="16">
        <v>-582850080000</v>
      </c>
      <c r="J26" s="16" t="s">
        <v>1019</v>
      </c>
      <c r="K26" s="17">
        <f t="shared" si="6"/>
        <v>28</v>
      </c>
      <c r="L26" s="17">
        <f t="shared" si="7"/>
        <v>0</v>
      </c>
      <c r="M26" s="18">
        <f t="shared" si="8"/>
        <v>1</v>
      </c>
      <c r="N26" s="28"/>
      <c r="O26" s="8"/>
      <c r="P26" s="8"/>
      <c r="Q26" s="8"/>
      <c r="R26" s="28"/>
      <c r="S26" s="28"/>
      <c r="T26" s="8"/>
      <c r="U26" s="8"/>
      <c r="V26" s="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8"/>
      <c r="AI26" s="8"/>
      <c r="AJ26" s="8"/>
      <c r="AK26" s="8"/>
      <c r="AL26" s="8"/>
      <c r="AM26" s="28"/>
      <c r="AN26" s="8"/>
      <c r="AO26" s="8"/>
      <c r="AP26" s="28"/>
      <c r="AQ26" s="28"/>
      <c r="AR26" s="28"/>
    </row>
    <row r="27" spans="1:44" ht="15.75" thickBot="1" x14ac:dyDescent="0.3">
      <c r="B27" s="46" t="s">
        <v>84</v>
      </c>
      <c r="C27" t="s">
        <v>85</v>
      </c>
      <c r="D27" t="s">
        <v>19</v>
      </c>
      <c r="E27" t="s">
        <v>25</v>
      </c>
      <c r="F27"/>
      <c r="G27"/>
      <c r="H27" s="16">
        <v>-348007360000</v>
      </c>
      <c r="I27" s="16">
        <v>-582804240000</v>
      </c>
      <c r="J27" s="16" t="s">
        <v>1020</v>
      </c>
      <c r="K27" s="17">
        <f t="shared" si="6"/>
        <v>28</v>
      </c>
      <c r="L27" s="17">
        <f t="shared" si="7"/>
        <v>0</v>
      </c>
      <c r="M27" s="18">
        <f t="shared" si="8"/>
        <v>1</v>
      </c>
      <c r="N27" s="28"/>
      <c r="O27" s="8"/>
      <c r="P27" s="8"/>
      <c r="Q27" s="8"/>
      <c r="R27" s="28"/>
      <c r="S27" s="28"/>
      <c r="T27" s="8"/>
      <c r="U27" s="8"/>
      <c r="V27" s="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8"/>
      <c r="AI27" s="8"/>
      <c r="AJ27" s="8"/>
      <c r="AK27" s="8"/>
      <c r="AL27" s="8"/>
      <c r="AM27" s="28"/>
      <c r="AN27" s="8"/>
      <c r="AO27" s="8"/>
      <c r="AP27" s="28"/>
      <c r="AQ27" s="28"/>
      <c r="AR27" s="28"/>
    </row>
    <row r="28" spans="1:44" ht="15.75" thickBot="1" x14ac:dyDescent="0.3">
      <c r="B28" s="46" t="s">
        <v>86</v>
      </c>
      <c r="C28" t="s">
        <v>87</v>
      </c>
      <c r="D28" t="s">
        <v>19</v>
      </c>
      <c r="E28" t="s">
        <v>36</v>
      </c>
      <c r="F28"/>
      <c r="G28" t="s">
        <v>88</v>
      </c>
      <c r="H28" s="16">
        <v>-348103030000</v>
      </c>
      <c r="I28" s="16">
        <v>-582835720000</v>
      </c>
      <c r="J28" s="16" t="s">
        <v>1021</v>
      </c>
      <c r="K28" s="17">
        <f t="shared" si="6"/>
        <v>28</v>
      </c>
      <c r="L28" s="17">
        <f t="shared" si="7"/>
        <v>0</v>
      </c>
      <c r="M28" s="18">
        <f t="shared" si="8"/>
        <v>1</v>
      </c>
      <c r="N28" s="28"/>
      <c r="O28" s="8"/>
      <c r="P28" s="8"/>
      <c r="Q28" s="8"/>
      <c r="R28" s="28"/>
      <c r="S28" s="28"/>
      <c r="T28" s="8"/>
      <c r="U28" s="8"/>
      <c r="V28" s="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8"/>
      <c r="AI28" s="8"/>
      <c r="AJ28" s="8"/>
      <c r="AK28" s="8"/>
      <c r="AL28" s="8"/>
      <c r="AM28" s="28"/>
      <c r="AN28" s="8"/>
      <c r="AO28" s="8"/>
      <c r="AP28" s="28"/>
      <c r="AQ28" s="28"/>
      <c r="AR28" s="28"/>
    </row>
    <row r="29" spans="1:44" ht="15.75" thickBot="1" x14ac:dyDescent="0.3">
      <c r="B29" s="46" t="s">
        <v>89</v>
      </c>
      <c r="C29" t="s">
        <v>90</v>
      </c>
      <c r="D29" t="s">
        <v>19</v>
      </c>
      <c r="E29" t="s">
        <v>25</v>
      </c>
      <c r="F29"/>
      <c r="G29" t="s">
        <v>91</v>
      </c>
      <c r="H29" s="16">
        <v>-348039300000</v>
      </c>
      <c r="I29" s="16">
        <v>-582819780000</v>
      </c>
      <c r="J29" s="16" t="s">
        <v>1022</v>
      </c>
      <c r="K29" s="17">
        <f t="shared" si="6"/>
        <v>28</v>
      </c>
      <c r="L29" s="17">
        <f t="shared" si="7"/>
        <v>0</v>
      </c>
      <c r="M29" s="18">
        <f t="shared" si="8"/>
        <v>1</v>
      </c>
      <c r="N29" s="28"/>
      <c r="O29" s="8"/>
      <c r="P29" s="8"/>
      <c r="Q29" s="8"/>
      <c r="R29" s="28"/>
      <c r="S29" s="28"/>
      <c r="T29" s="8"/>
      <c r="U29" s="8"/>
      <c r="V29" s="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8"/>
      <c r="AI29" s="8"/>
      <c r="AJ29" s="8"/>
      <c r="AK29" s="8"/>
      <c r="AL29" s="8"/>
      <c r="AM29" s="28"/>
      <c r="AN29" s="8"/>
      <c r="AO29" s="8"/>
      <c r="AP29" s="28"/>
      <c r="AQ29" s="28"/>
      <c r="AR29" s="28"/>
    </row>
    <row r="30" spans="1:44" ht="15.75" thickBot="1" x14ac:dyDescent="0.3">
      <c r="A30" t="s">
        <v>80</v>
      </c>
      <c r="B30" s="46" t="s">
        <v>92</v>
      </c>
      <c r="C30" t="s">
        <v>93</v>
      </c>
      <c r="D30" t="s">
        <v>19</v>
      </c>
      <c r="E30" t="s">
        <v>948</v>
      </c>
      <c r="F30"/>
      <c r="G30" t="s">
        <v>94</v>
      </c>
      <c r="H30" s="16">
        <v>-347999170000</v>
      </c>
      <c r="I30" s="16">
        <v>-582863530000</v>
      </c>
      <c r="J30" s="16" t="s">
        <v>1023</v>
      </c>
      <c r="K30" s="17">
        <f t="shared" si="6"/>
        <v>28</v>
      </c>
      <c r="L30" s="17">
        <f t="shared" si="7"/>
        <v>0</v>
      </c>
      <c r="M30" s="18">
        <f t="shared" si="8"/>
        <v>1</v>
      </c>
      <c r="N30" s="28"/>
      <c r="O30" s="8"/>
      <c r="P30" s="8"/>
      <c r="Q30" s="8"/>
      <c r="R30" s="28"/>
      <c r="S30" s="28"/>
      <c r="T30" s="8"/>
      <c r="U30" s="8"/>
      <c r="V30" s="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8"/>
      <c r="AI30" s="8"/>
      <c r="AJ30" s="8"/>
      <c r="AK30" s="8"/>
      <c r="AL30" s="8"/>
      <c r="AM30" s="28"/>
      <c r="AN30" s="8"/>
      <c r="AO30" s="8"/>
      <c r="AP30" s="28"/>
      <c r="AQ30" s="28"/>
      <c r="AR30" s="28"/>
    </row>
    <row r="31" spans="1:44" ht="15.75" thickBot="1" x14ac:dyDescent="0.3">
      <c r="A31" t="s">
        <v>80</v>
      </c>
      <c r="B31" s="46" t="s">
        <v>95</v>
      </c>
      <c r="C31" t="s">
        <v>96</v>
      </c>
      <c r="D31" t="s">
        <v>19</v>
      </c>
      <c r="E31" t="s">
        <v>25</v>
      </c>
      <c r="F31"/>
      <c r="G31" t="s">
        <v>97</v>
      </c>
      <c r="H31" s="16">
        <v>-348040550000</v>
      </c>
      <c r="I31" s="16">
        <v>-582819380000</v>
      </c>
      <c r="J31" s="16" t="s">
        <v>1024</v>
      </c>
      <c r="K31" s="17">
        <f t="shared" si="6"/>
        <v>28</v>
      </c>
      <c r="L31" s="17">
        <f t="shared" si="7"/>
        <v>0</v>
      </c>
      <c r="M31" s="18">
        <f t="shared" si="8"/>
        <v>1</v>
      </c>
      <c r="N31" s="28"/>
      <c r="O31" s="8"/>
      <c r="P31" s="8"/>
      <c r="Q31" s="8"/>
      <c r="R31" s="28"/>
      <c r="S31" s="28"/>
      <c r="T31" s="8"/>
      <c r="U31" s="8"/>
      <c r="V31" s="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8"/>
      <c r="AI31" s="8"/>
      <c r="AJ31" s="8"/>
      <c r="AK31" s="8"/>
      <c r="AL31" s="8"/>
      <c r="AM31" s="28"/>
      <c r="AN31" s="8"/>
      <c r="AO31" s="8"/>
      <c r="AP31" s="28"/>
      <c r="AQ31" s="28"/>
      <c r="AR31" s="28"/>
    </row>
    <row r="32" spans="1:44" ht="15.75" thickBot="1" x14ac:dyDescent="0.3">
      <c r="A32" t="s">
        <v>80</v>
      </c>
      <c r="B32" s="46" t="s">
        <v>98</v>
      </c>
      <c r="C32" t="s">
        <v>924</v>
      </c>
      <c r="D32" t="s">
        <v>19</v>
      </c>
      <c r="E32" t="s">
        <v>948</v>
      </c>
      <c r="F32"/>
      <c r="G32" t="s">
        <v>99</v>
      </c>
      <c r="H32" s="16">
        <v>-348038200000</v>
      </c>
      <c r="I32" s="16">
        <v>-582766160000</v>
      </c>
      <c r="J32" s="16" t="s">
        <v>1025</v>
      </c>
      <c r="K32" s="17">
        <f t="shared" si="6"/>
        <v>28</v>
      </c>
      <c r="L32" s="17">
        <f t="shared" si="7"/>
        <v>0</v>
      </c>
      <c r="M32" s="18">
        <f t="shared" si="8"/>
        <v>1</v>
      </c>
      <c r="N32" s="28"/>
      <c r="O32" s="8"/>
      <c r="P32" s="8"/>
      <c r="Q32" s="8"/>
      <c r="R32" s="28"/>
      <c r="S32" s="28"/>
      <c r="T32" s="8"/>
      <c r="U32" s="8"/>
      <c r="V32" s="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8"/>
      <c r="AI32" s="8"/>
      <c r="AJ32" s="8"/>
      <c r="AK32" s="8"/>
      <c r="AL32" s="8"/>
      <c r="AM32" s="28"/>
      <c r="AN32" s="8"/>
      <c r="AO32" s="8"/>
      <c r="AP32" s="28"/>
      <c r="AQ32" s="28"/>
      <c r="AR32" s="28"/>
    </row>
    <row r="33" spans="1:44" ht="15.75" thickBot="1" x14ac:dyDescent="0.3">
      <c r="A33" t="s">
        <v>80</v>
      </c>
      <c r="B33" s="46" t="s">
        <v>100</v>
      </c>
      <c r="C33" t="s">
        <v>101</v>
      </c>
      <c r="D33" t="s">
        <v>19</v>
      </c>
      <c r="E33" t="s">
        <v>36</v>
      </c>
      <c r="F33"/>
      <c r="G33" t="s">
        <v>102</v>
      </c>
      <c r="H33" s="16">
        <v>-348017700000</v>
      </c>
      <c r="I33" s="16">
        <v>-582785020000</v>
      </c>
      <c r="J33" s="16" t="s">
        <v>1026</v>
      </c>
      <c r="K33" s="17">
        <f t="shared" si="6"/>
        <v>28</v>
      </c>
      <c r="L33" s="17">
        <f t="shared" si="7"/>
        <v>0</v>
      </c>
      <c r="M33" s="18">
        <f t="shared" si="8"/>
        <v>1</v>
      </c>
      <c r="N33" s="28"/>
      <c r="O33" s="8"/>
      <c r="P33" s="8"/>
      <c r="Q33" s="8"/>
      <c r="R33" s="28"/>
      <c r="S33" s="28"/>
      <c r="T33" s="8"/>
      <c r="U33" s="8"/>
      <c r="V33" s="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8"/>
      <c r="AI33" s="8"/>
      <c r="AJ33" s="8"/>
      <c r="AK33" s="8"/>
      <c r="AL33" s="8"/>
      <c r="AM33" s="28"/>
      <c r="AN33" s="8"/>
      <c r="AO33" s="8"/>
      <c r="AP33" s="28"/>
      <c r="AQ33" s="28"/>
      <c r="AR33" s="28"/>
    </row>
    <row r="34" spans="1:44" ht="15.75" thickBot="1" x14ac:dyDescent="0.3">
      <c r="A34" t="s">
        <v>80</v>
      </c>
      <c r="B34" s="46" t="s">
        <v>103</v>
      </c>
      <c r="C34" t="s">
        <v>104</v>
      </c>
      <c r="D34" t="s">
        <v>24</v>
      </c>
      <c r="E34" t="s">
        <v>36</v>
      </c>
      <c r="F34"/>
      <c r="G34" t="s">
        <v>105</v>
      </c>
      <c r="H34" s="16">
        <v>-348091950000</v>
      </c>
      <c r="I34" s="16">
        <v>-582800930000</v>
      </c>
      <c r="J34" s="16" t="s">
        <v>1036</v>
      </c>
      <c r="K34" s="17">
        <f t="shared" si="6"/>
        <v>28</v>
      </c>
      <c r="L34" s="17">
        <f t="shared" si="7"/>
        <v>0</v>
      </c>
      <c r="M34" s="18">
        <f t="shared" si="8"/>
        <v>1</v>
      </c>
      <c r="N34" s="28"/>
      <c r="O34" s="8"/>
      <c r="P34" s="8"/>
      <c r="Q34" s="8"/>
      <c r="R34" s="28"/>
      <c r="S34" s="28"/>
      <c r="T34" s="8"/>
      <c r="U34" s="8"/>
      <c r="V34" s="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8"/>
      <c r="AI34" s="8"/>
      <c r="AJ34" s="8"/>
      <c r="AK34" s="8"/>
      <c r="AL34" s="8"/>
      <c r="AM34" s="28"/>
      <c r="AN34" s="8"/>
      <c r="AO34" s="8"/>
      <c r="AP34" s="28"/>
      <c r="AQ34" s="28"/>
      <c r="AR34" s="28"/>
    </row>
    <row r="35" spans="1:44" ht="15.75" thickBot="1" x14ac:dyDescent="0.3">
      <c r="A35" t="s">
        <v>80</v>
      </c>
      <c r="B35" s="46" t="s">
        <v>106</v>
      </c>
      <c r="C35" t="s">
        <v>107</v>
      </c>
      <c r="D35" t="s">
        <v>24</v>
      </c>
      <c r="E35" t="s">
        <v>36</v>
      </c>
      <c r="F35"/>
      <c r="G35" t="s">
        <v>105</v>
      </c>
      <c r="H35" s="16">
        <v>-348103130000</v>
      </c>
      <c r="I35" s="16">
        <v>-582818230000</v>
      </c>
      <c r="J35" s="16" t="s">
        <v>1037</v>
      </c>
      <c r="K35" s="17">
        <f t="shared" si="6"/>
        <v>28</v>
      </c>
      <c r="L35" s="17">
        <f t="shared" si="7"/>
        <v>0</v>
      </c>
      <c r="M35" s="18">
        <f t="shared" si="8"/>
        <v>1</v>
      </c>
      <c r="N35" s="28"/>
      <c r="O35" s="8"/>
      <c r="P35" s="8"/>
      <c r="Q35" s="8"/>
      <c r="R35" s="28"/>
      <c r="S35" s="28"/>
      <c r="T35" s="8"/>
      <c r="U35" s="8"/>
      <c r="V35" s="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8"/>
      <c r="AI35" s="8"/>
      <c r="AJ35" s="8"/>
      <c r="AK35" s="8"/>
      <c r="AL35" s="8"/>
      <c r="AM35" s="28"/>
      <c r="AN35" s="8"/>
      <c r="AO35" s="8"/>
      <c r="AP35" s="28"/>
      <c r="AQ35" s="28"/>
      <c r="AR35" s="28"/>
    </row>
    <row r="36" spans="1:44" ht="15.75" thickBot="1" x14ac:dyDescent="0.3">
      <c r="A36" t="s">
        <v>80</v>
      </c>
      <c r="B36" s="46" t="s">
        <v>108</v>
      </c>
      <c r="C36" t="s">
        <v>109</v>
      </c>
      <c r="D36" t="s">
        <v>24</v>
      </c>
      <c r="E36" t="s">
        <v>36</v>
      </c>
      <c r="F36"/>
      <c r="G36" t="s">
        <v>110</v>
      </c>
      <c r="H36" s="16">
        <v>-348102250000</v>
      </c>
      <c r="I36" s="16">
        <v>-582800780000</v>
      </c>
      <c r="J36" s="16" t="s">
        <v>1038</v>
      </c>
      <c r="K36" s="17">
        <f t="shared" si="6"/>
        <v>28</v>
      </c>
      <c r="L36" s="17">
        <f t="shared" si="7"/>
        <v>0</v>
      </c>
      <c r="M36" s="18">
        <f t="shared" si="8"/>
        <v>1</v>
      </c>
      <c r="N36" s="28"/>
      <c r="O36" s="8"/>
      <c r="P36" s="8"/>
      <c r="Q36" s="8"/>
      <c r="R36" s="28"/>
      <c r="S36" s="28"/>
      <c r="T36" s="8"/>
      <c r="U36" s="8"/>
      <c r="V36" s="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8"/>
      <c r="AI36" s="8"/>
      <c r="AJ36" s="8"/>
      <c r="AK36" s="8"/>
      <c r="AL36" s="8"/>
      <c r="AM36" s="28"/>
      <c r="AN36" s="8"/>
      <c r="AO36" s="8"/>
      <c r="AP36" s="28"/>
      <c r="AQ36" s="28"/>
      <c r="AR36" s="28"/>
    </row>
    <row r="37" spans="1:44" ht="15.75" thickBot="1" x14ac:dyDescent="0.3">
      <c r="A37" t="s">
        <v>80</v>
      </c>
      <c r="B37" s="46" t="s">
        <v>111</v>
      </c>
      <c r="C37" t="s">
        <v>112</v>
      </c>
      <c r="D37" t="s">
        <v>113</v>
      </c>
      <c r="E37" t="s">
        <v>36</v>
      </c>
      <c r="F37" t="s">
        <v>114</v>
      </c>
      <c r="G37"/>
      <c r="H37" s="16">
        <v>-348028100000</v>
      </c>
      <c r="I37" s="16">
        <v>-582782860000</v>
      </c>
      <c r="J37" s="16" t="s">
        <v>963</v>
      </c>
      <c r="K37" s="17">
        <f t="shared" si="6"/>
        <v>21</v>
      </c>
      <c r="L37" s="17">
        <f t="shared" si="7"/>
        <v>7</v>
      </c>
      <c r="M37" s="18">
        <f t="shared" si="8"/>
        <v>0.75</v>
      </c>
      <c r="N37" s="28" t="s">
        <v>942</v>
      </c>
      <c r="O37" s="8" t="s">
        <v>942</v>
      </c>
      <c r="P37" s="8" t="s">
        <v>942</v>
      </c>
      <c r="Q37" s="8" t="s">
        <v>942</v>
      </c>
      <c r="R37" s="28" t="s">
        <v>942</v>
      </c>
      <c r="S37" s="28" t="s">
        <v>942</v>
      </c>
      <c r="T37" s="8" t="s">
        <v>942</v>
      </c>
      <c r="U37" s="8"/>
      <c r="V37" s="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8"/>
      <c r="AI37" s="28"/>
      <c r="AJ37" s="8"/>
      <c r="AK37" s="8"/>
      <c r="AL37" s="8"/>
      <c r="AM37" s="28"/>
      <c r="AN37" s="8"/>
      <c r="AO37" s="8"/>
      <c r="AP37" s="28"/>
      <c r="AQ37" s="28"/>
      <c r="AR37" s="28"/>
    </row>
    <row r="38" spans="1:44" ht="15.75" thickBot="1" x14ac:dyDescent="0.3">
      <c r="A38" t="s">
        <v>80</v>
      </c>
      <c r="B38" s="46" t="s">
        <v>115</v>
      </c>
      <c r="C38" t="s">
        <v>116</v>
      </c>
      <c r="D38" t="s">
        <v>113</v>
      </c>
      <c r="E38" t="s">
        <v>36</v>
      </c>
      <c r="F38" t="s">
        <v>117</v>
      </c>
      <c r="G38"/>
      <c r="H38" s="16">
        <v>-348006070000</v>
      </c>
      <c r="I38" s="16">
        <v>-582784580000</v>
      </c>
      <c r="J38" s="16" t="s">
        <v>955</v>
      </c>
      <c r="K38" s="17">
        <f t="shared" si="6"/>
        <v>27</v>
      </c>
      <c r="L38" s="17">
        <f t="shared" si="7"/>
        <v>0</v>
      </c>
      <c r="M38" s="18">
        <f t="shared" si="8"/>
        <v>1</v>
      </c>
      <c r="N38" s="28"/>
      <c r="O38" s="8"/>
      <c r="P38" s="8"/>
      <c r="Q38" s="8"/>
      <c r="R38" s="28"/>
      <c r="S38" s="28"/>
      <c r="T38" s="8" t="s">
        <v>943</v>
      </c>
      <c r="U38" s="8"/>
      <c r="V38" s="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8"/>
      <c r="AI38" s="8"/>
      <c r="AJ38" s="8"/>
      <c r="AK38" s="8"/>
      <c r="AL38" s="8"/>
      <c r="AM38" s="28"/>
      <c r="AN38" s="8"/>
      <c r="AO38" s="8"/>
      <c r="AP38" s="28"/>
      <c r="AQ38" s="28"/>
      <c r="AR38" s="28"/>
    </row>
    <row r="39" spans="1:44" ht="15.75" thickBot="1" x14ac:dyDescent="0.3">
      <c r="A39" t="s">
        <v>80</v>
      </c>
      <c r="B39" s="46" t="s">
        <v>118</v>
      </c>
      <c r="C39" t="s">
        <v>119</v>
      </c>
      <c r="D39" t="s">
        <v>24</v>
      </c>
      <c r="E39" t="s">
        <v>36</v>
      </c>
      <c r="F39" t="s">
        <v>114</v>
      </c>
      <c r="G39" t="s">
        <v>120</v>
      </c>
      <c r="H39" s="16">
        <v>-348080340000</v>
      </c>
      <c r="I39" s="16">
        <v>-582780930000</v>
      </c>
      <c r="J39" s="16" t="s">
        <v>964</v>
      </c>
      <c r="K39" s="17">
        <f t="shared" si="6"/>
        <v>28</v>
      </c>
      <c r="L39" s="17">
        <f t="shared" si="7"/>
        <v>0</v>
      </c>
      <c r="M39" s="18">
        <f t="shared" si="8"/>
        <v>1</v>
      </c>
      <c r="N39" s="28"/>
      <c r="O39" s="8"/>
      <c r="P39" s="8"/>
      <c r="Q39" s="8"/>
      <c r="R39" s="28"/>
      <c r="S39" s="28"/>
      <c r="T39" s="8"/>
      <c r="U39" s="8"/>
      <c r="V39" s="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8"/>
      <c r="AI39" s="8"/>
      <c r="AJ39" s="8"/>
      <c r="AK39" s="8"/>
      <c r="AL39" s="8"/>
      <c r="AM39" s="28"/>
      <c r="AN39" s="8"/>
      <c r="AO39" s="8"/>
      <c r="AP39" s="28"/>
      <c r="AQ39" s="28"/>
      <c r="AR39" s="28"/>
    </row>
    <row r="40" spans="1:44" ht="15.75" thickBot="1" x14ac:dyDescent="0.3">
      <c r="A40" t="s">
        <v>80</v>
      </c>
      <c r="B40" s="46" t="s">
        <v>121</v>
      </c>
      <c r="C40" t="s">
        <v>122</v>
      </c>
      <c r="D40" t="s">
        <v>24</v>
      </c>
      <c r="E40" t="s">
        <v>36</v>
      </c>
      <c r="F40" t="s">
        <v>123</v>
      </c>
      <c r="G40"/>
      <c r="H40" s="16">
        <v>-348049240000</v>
      </c>
      <c r="I40" s="16">
        <v>-582781680000</v>
      </c>
      <c r="J40" s="16" t="s">
        <v>965</v>
      </c>
      <c r="K40" s="17">
        <f t="shared" si="6"/>
        <v>28</v>
      </c>
      <c r="L40" s="17">
        <f t="shared" si="7"/>
        <v>0</v>
      </c>
      <c r="M40" s="18">
        <f t="shared" si="8"/>
        <v>1</v>
      </c>
      <c r="N40" s="28"/>
      <c r="O40" s="8"/>
      <c r="P40" s="8"/>
      <c r="Q40" s="8"/>
      <c r="R40" s="28"/>
      <c r="S40" s="28"/>
      <c r="T40" s="8"/>
      <c r="U40" s="8"/>
      <c r="V40" s="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8"/>
      <c r="AI40" s="8"/>
      <c r="AJ40" s="8"/>
      <c r="AK40" s="8"/>
      <c r="AL40" s="8"/>
      <c r="AM40" s="28"/>
      <c r="AN40" s="8"/>
      <c r="AO40" s="8"/>
      <c r="AP40" s="28"/>
      <c r="AQ40" s="28"/>
      <c r="AR40" s="28"/>
    </row>
    <row r="41" spans="1:44" ht="15.75" thickBot="1" x14ac:dyDescent="0.3">
      <c r="A41" t="s">
        <v>80</v>
      </c>
      <c r="B41" s="46" t="s">
        <v>124</v>
      </c>
      <c r="C41" t="s">
        <v>946</v>
      </c>
      <c r="D41" t="s">
        <v>19</v>
      </c>
      <c r="E41" t="s">
        <v>36</v>
      </c>
      <c r="F41" t="s">
        <v>125</v>
      </c>
      <c r="G41" t="s">
        <v>126</v>
      </c>
      <c r="H41" s="16">
        <v>-348100680000</v>
      </c>
      <c r="I41" s="16">
        <v>-582769560000</v>
      </c>
      <c r="J41" s="16" t="s">
        <v>966</v>
      </c>
      <c r="K41" s="17">
        <f t="shared" si="6"/>
        <v>22</v>
      </c>
      <c r="L41" s="17">
        <f t="shared" si="7"/>
        <v>6</v>
      </c>
      <c r="M41" s="18">
        <f t="shared" si="8"/>
        <v>0.7857142857142857</v>
      </c>
      <c r="N41" s="28"/>
      <c r="O41" s="8" t="s">
        <v>942</v>
      </c>
      <c r="P41" s="8" t="s">
        <v>942</v>
      </c>
      <c r="Q41" s="8" t="s">
        <v>942</v>
      </c>
      <c r="R41" s="28" t="s">
        <v>942</v>
      </c>
      <c r="S41" s="28" t="s">
        <v>942</v>
      </c>
      <c r="T41" s="8" t="s">
        <v>942</v>
      </c>
      <c r="U41" s="8"/>
      <c r="V41" s="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8"/>
      <c r="AI41" s="8"/>
      <c r="AJ41" s="8"/>
      <c r="AK41" s="8"/>
      <c r="AL41" s="8"/>
      <c r="AM41" s="28"/>
      <c r="AN41" s="8"/>
      <c r="AO41" s="8"/>
      <c r="AP41" s="28"/>
      <c r="AQ41" s="28"/>
      <c r="AR41" s="28"/>
    </row>
    <row r="42" spans="1:44" ht="15.75" thickBot="1" x14ac:dyDescent="0.3">
      <c r="A42" t="s">
        <v>80</v>
      </c>
      <c r="B42" s="46" t="s">
        <v>127</v>
      </c>
      <c r="C42" t="s">
        <v>128</v>
      </c>
      <c r="D42" t="s">
        <v>113</v>
      </c>
      <c r="E42" t="s">
        <v>36</v>
      </c>
      <c r="F42" t="s">
        <v>129</v>
      </c>
      <c r="G42"/>
      <c r="H42" s="16">
        <v>-348057170000</v>
      </c>
      <c r="I42" s="16">
        <v>-582748750000</v>
      </c>
      <c r="J42" s="16" t="s">
        <v>967</v>
      </c>
      <c r="K42" s="17">
        <f t="shared" si="6"/>
        <v>28</v>
      </c>
      <c r="L42" s="17">
        <f t="shared" si="7"/>
        <v>0</v>
      </c>
      <c r="M42" s="18">
        <f t="shared" si="8"/>
        <v>1</v>
      </c>
      <c r="N42" s="28"/>
      <c r="O42" s="8"/>
      <c r="P42" s="8"/>
      <c r="Q42" s="8"/>
      <c r="R42" s="28"/>
      <c r="S42" s="28"/>
      <c r="T42" s="8"/>
      <c r="U42" s="8"/>
      <c r="V42" s="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8"/>
      <c r="AI42" s="8"/>
      <c r="AJ42" s="8"/>
      <c r="AK42" s="8"/>
      <c r="AL42" s="8"/>
      <c r="AM42" s="28"/>
      <c r="AN42" s="8"/>
      <c r="AO42" s="8"/>
      <c r="AP42" s="28"/>
      <c r="AQ42" s="28"/>
      <c r="AR42" s="28"/>
    </row>
    <row r="43" spans="1:44" ht="15.75" thickBot="1" x14ac:dyDescent="0.3">
      <c r="A43" t="s">
        <v>80</v>
      </c>
      <c r="B43" s="46" t="s">
        <v>130</v>
      </c>
      <c r="C43" t="s">
        <v>945</v>
      </c>
      <c r="D43" t="s">
        <v>19</v>
      </c>
      <c r="E43" t="s">
        <v>36</v>
      </c>
      <c r="F43" t="s">
        <v>131</v>
      </c>
      <c r="G43" t="s">
        <v>132</v>
      </c>
      <c r="H43" s="16">
        <v>-347959820000</v>
      </c>
      <c r="I43" s="16">
        <v>-582787950000</v>
      </c>
      <c r="J43" s="16" t="s">
        <v>968</v>
      </c>
      <c r="K43" s="17">
        <f t="shared" si="6"/>
        <v>28</v>
      </c>
      <c r="L43" s="17">
        <f t="shared" si="7"/>
        <v>0</v>
      </c>
      <c r="M43" s="18">
        <f t="shared" si="8"/>
        <v>1</v>
      </c>
      <c r="N43" s="28"/>
      <c r="O43" s="8"/>
      <c r="P43" s="8"/>
      <c r="Q43" s="8"/>
      <c r="R43" s="28"/>
      <c r="S43" s="28"/>
      <c r="T43" s="8"/>
      <c r="U43" s="8"/>
      <c r="V43" s="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8"/>
      <c r="AI43" s="8"/>
      <c r="AJ43" s="8"/>
      <c r="AK43" s="8"/>
      <c r="AL43" s="8"/>
      <c r="AM43" s="28"/>
      <c r="AN43" s="8"/>
      <c r="AO43" s="8"/>
      <c r="AP43" s="28"/>
      <c r="AQ43" s="28"/>
      <c r="AR43" s="28"/>
    </row>
    <row r="44" spans="1:44" ht="15.75" thickBot="1" x14ac:dyDescent="0.3">
      <c r="A44" t="s">
        <v>80</v>
      </c>
      <c r="B44" s="46" t="s">
        <v>133</v>
      </c>
      <c r="C44" t="s">
        <v>944</v>
      </c>
      <c r="D44" t="s">
        <v>24</v>
      </c>
      <c r="E44" t="s">
        <v>36</v>
      </c>
      <c r="F44" t="s">
        <v>134</v>
      </c>
      <c r="G44"/>
      <c r="H44" s="16">
        <v>-348108520000</v>
      </c>
      <c r="I44" s="16">
        <v>-582778140000</v>
      </c>
      <c r="J44" s="16" t="s">
        <v>969</v>
      </c>
      <c r="K44" s="17">
        <f t="shared" si="6"/>
        <v>21</v>
      </c>
      <c r="L44" s="17">
        <f t="shared" si="7"/>
        <v>7</v>
      </c>
      <c r="M44" s="18">
        <f t="shared" si="8"/>
        <v>0.75</v>
      </c>
      <c r="N44" s="28" t="s">
        <v>942</v>
      </c>
      <c r="O44" s="8" t="s">
        <v>942</v>
      </c>
      <c r="P44" s="8" t="s">
        <v>942</v>
      </c>
      <c r="Q44" s="8" t="s">
        <v>942</v>
      </c>
      <c r="R44" s="28" t="s">
        <v>942</v>
      </c>
      <c r="S44" s="28" t="s">
        <v>942</v>
      </c>
      <c r="T44" s="8" t="s">
        <v>942</v>
      </c>
      <c r="U44" s="8"/>
      <c r="V44" s="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8"/>
      <c r="AI44" s="28"/>
      <c r="AJ44" s="8"/>
      <c r="AK44" s="8"/>
      <c r="AL44" s="8"/>
      <c r="AM44" s="28"/>
      <c r="AN44" s="8"/>
      <c r="AO44" s="8"/>
      <c r="AP44" s="28"/>
      <c r="AQ44" s="28"/>
      <c r="AR44" s="28"/>
    </row>
    <row r="45" spans="1:44" ht="15.75" thickBot="1" x14ac:dyDescent="0.3">
      <c r="A45" t="s">
        <v>80</v>
      </c>
      <c r="B45" s="46" t="s">
        <v>135</v>
      </c>
      <c r="C45" t="s">
        <v>136</v>
      </c>
      <c r="D45" t="s">
        <v>24</v>
      </c>
      <c r="E45" t="s">
        <v>36</v>
      </c>
      <c r="F45" t="s">
        <v>137</v>
      </c>
      <c r="G45"/>
      <c r="H45" s="16">
        <v>-348039640000</v>
      </c>
      <c r="I45" s="16">
        <v>-582803250000</v>
      </c>
      <c r="J45" s="16" t="s">
        <v>970</v>
      </c>
      <c r="K45" s="17">
        <f t="shared" si="6"/>
        <v>28</v>
      </c>
      <c r="L45" s="17">
        <f t="shared" si="7"/>
        <v>0</v>
      </c>
      <c r="M45" s="18">
        <f t="shared" si="8"/>
        <v>1</v>
      </c>
      <c r="N45" s="28"/>
      <c r="O45" s="8"/>
      <c r="P45" s="8"/>
      <c r="Q45" s="8"/>
      <c r="R45" s="28"/>
      <c r="S45" s="28"/>
      <c r="T45" s="8"/>
      <c r="U45" s="8"/>
      <c r="V45" s="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8"/>
      <c r="AI45" s="8"/>
      <c r="AJ45" s="8"/>
      <c r="AK45" s="8"/>
      <c r="AL45" s="8"/>
      <c r="AM45" s="28"/>
      <c r="AN45" s="8"/>
      <c r="AO45" s="8"/>
      <c r="AP45" s="28"/>
      <c r="AQ45" s="28"/>
      <c r="AR45" s="28"/>
    </row>
    <row r="46" spans="1:44" ht="15.75" thickBot="1" x14ac:dyDescent="0.3">
      <c r="A46" t="s">
        <v>80</v>
      </c>
      <c r="B46" s="46" t="s">
        <v>138</v>
      </c>
      <c r="C46" t="s">
        <v>139</v>
      </c>
      <c r="D46" t="s">
        <v>24</v>
      </c>
      <c r="E46" t="s">
        <v>36</v>
      </c>
      <c r="F46" t="s">
        <v>140</v>
      </c>
      <c r="G46"/>
      <c r="H46" s="16">
        <v>-348107030000</v>
      </c>
      <c r="I46" s="16">
        <v>-582745850000</v>
      </c>
      <c r="J46" s="16" t="s">
        <v>971</v>
      </c>
      <c r="K46" s="17">
        <f t="shared" si="6"/>
        <v>28</v>
      </c>
      <c r="L46" s="17">
        <f t="shared" si="7"/>
        <v>0</v>
      </c>
      <c r="M46" s="18">
        <f t="shared" si="8"/>
        <v>1</v>
      </c>
      <c r="N46" s="28"/>
      <c r="O46" s="8"/>
      <c r="P46" s="8"/>
      <c r="Q46" s="8"/>
      <c r="R46" s="28"/>
      <c r="S46" s="28"/>
      <c r="T46" s="8"/>
      <c r="U46" s="8"/>
      <c r="V46" s="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8"/>
      <c r="AI46" s="8"/>
      <c r="AJ46" s="8"/>
      <c r="AK46" s="8"/>
      <c r="AL46" s="8"/>
      <c r="AM46" s="28"/>
      <c r="AN46" s="8"/>
      <c r="AO46" s="8"/>
      <c r="AP46" s="28"/>
      <c r="AQ46" s="28"/>
      <c r="AR46" s="28"/>
    </row>
    <row r="47" spans="1:44" ht="15.75" thickBot="1" x14ac:dyDescent="0.3">
      <c r="A47" t="s">
        <v>80</v>
      </c>
      <c r="B47" s="46" t="s">
        <v>141</v>
      </c>
      <c r="C47" t="s">
        <v>142</v>
      </c>
      <c r="D47" t="s">
        <v>24</v>
      </c>
      <c r="E47" t="s">
        <v>36</v>
      </c>
      <c r="F47" t="s">
        <v>143</v>
      </c>
      <c r="G47" t="s">
        <v>144</v>
      </c>
      <c r="H47" s="16">
        <v>-348099320000</v>
      </c>
      <c r="I47" s="16">
        <v>-582745900000</v>
      </c>
      <c r="J47" s="16" t="s">
        <v>972</v>
      </c>
      <c r="K47" s="17">
        <f t="shared" si="6"/>
        <v>28</v>
      </c>
      <c r="L47" s="17">
        <f t="shared" si="7"/>
        <v>0</v>
      </c>
      <c r="M47" s="18">
        <f t="shared" si="8"/>
        <v>1</v>
      </c>
      <c r="N47" s="28"/>
      <c r="O47" s="8"/>
      <c r="P47" s="8"/>
      <c r="Q47" s="8"/>
      <c r="R47" s="28"/>
      <c r="S47" s="28"/>
      <c r="T47" s="8"/>
      <c r="U47" s="8"/>
      <c r="V47" s="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8"/>
      <c r="AI47" s="8"/>
      <c r="AJ47" s="8"/>
      <c r="AK47" s="8"/>
      <c r="AL47" s="8"/>
      <c r="AM47" s="28"/>
      <c r="AN47" s="8"/>
      <c r="AO47" s="8"/>
      <c r="AP47" s="28"/>
      <c r="AQ47" s="28"/>
      <c r="AR47" s="28"/>
    </row>
    <row r="48" spans="1:44" ht="15.75" thickBot="1" x14ac:dyDescent="0.3">
      <c r="A48" t="s">
        <v>80</v>
      </c>
      <c r="B48" s="46" t="s">
        <v>145</v>
      </c>
      <c r="C48" t="s">
        <v>146</v>
      </c>
      <c r="D48" t="s">
        <v>24</v>
      </c>
      <c r="E48" t="s">
        <v>36</v>
      </c>
      <c r="F48" t="s">
        <v>147</v>
      </c>
      <c r="G48"/>
      <c r="H48" s="16">
        <v>-348088700000</v>
      </c>
      <c r="I48" s="16">
        <v>-582747030000</v>
      </c>
      <c r="J48" s="16" t="s">
        <v>973</v>
      </c>
      <c r="K48" s="17">
        <f t="shared" si="6"/>
        <v>28</v>
      </c>
      <c r="L48" s="17">
        <f t="shared" si="7"/>
        <v>0</v>
      </c>
      <c r="M48" s="18">
        <f t="shared" si="8"/>
        <v>1</v>
      </c>
      <c r="N48" s="28"/>
      <c r="O48" s="8"/>
      <c r="P48" s="8"/>
      <c r="Q48" s="8"/>
      <c r="R48" s="28"/>
      <c r="S48" s="28"/>
      <c r="T48" s="8"/>
      <c r="U48" s="8"/>
      <c r="V48" s="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8"/>
      <c r="AI48" s="8"/>
      <c r="AJ48" s="8"/>
      <c r="AK48" s="8"/>
      <c r="AL48" s="8"/>
      <c r="AM48" s="28"/>
      <c r="AN48" s="8"/>
      <c r="AO48" s="8"/>
      <c r="AP48" s="28"/>
      <c r="AQ48" s="28"/>
      <c r="AR48" s="28"/>
    </row>
    <row r="49" spans="1:44" ht="15.75" thickBot="1" x14ac:dyDescent="0.3">
      <c r="A49" t="s">
        <v>80</v>
      </c>
      <c r="B49" s="46" t="s">
        <v>148</v>
      </c>
      <c r="C49" t="s">
        <v>149</v>
      </c>
      <c r="D49" t="s">
        <v>19</v>
      </c>
      <c r="E49" t="s">
        <v>36</v>
      </c>
      <c r="F49" t="s">
        <v>137</v>
      </c>
      <c r="G49"/>
      <c r="H49" s="16">
        <v>-348050030000</v>
      </c>
      <c r="I49" s="16">
        <v>-582802180000</v>
      </c>
      <c r="J49" s="16" t="s">
        <v>974</v>
      </c>
      <c r="K49" s="17">
        <f t="shared" si="6"/>
        <v>28</v>
      </c>
      <c r="L49" s="17">
        <f t="shared" si="7"/>
        <v>0</v>
      </c>
      <c r="M49" s="18">
        <f t="shared" si="8"/>
        <v>1</v>
      </c>
      <c r="N49" s="28"/>
      <c r="O49" s="8"/>
      <c r="P49" s="8"/>
      <c r="Q49" s="8"/>
      <c r="R49" s="28"/>
      <c r="S49" s="28"/>
      <c r="T49" s="8"/>
      <c r="U49" s="8"/>
      <c r="V49" s="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8"/>
      <c r="AI49" s="8"/>
      <c r="AJ49" s="8"/>
      <c r="AK49" s="8"/>
      <c r="AL49" s="8"/>
      <c r="AM49" s="28"/>
      <c r="AN49" s="8"/>
      <c r="AO49" s="8"/>
      <c r="AP49" s="28"/>
      <c r="AQ49" s="28"/>
      <c r="AR49" s="28"/>
    </row>
    <row r="50" spans="1:44" ht="15.75" thickBot="1" x14ac:dyDescent="0.3">
      <c r="A50" t="s">
        <v>80</v>
      </c>
      <c r="B50" s="46" t="s">
        <v>150</v>
      </c>
      <c r="C50" t="s">
        <v>151</v>
      </c>
      <c r="D50" t="s">
        <v>24</v>
      </c>
      <c r="E50" t="s">
        <v>36</v>
      </c>
      <c r="F50" t="s">
        <v>152</v>
      </c>
      <c r="G50"/>
      <c r="H50" s="16">
        <v>-348105840000</v>
      </c>
      <c r="I50" s="16">
        <v>-582705460000</v>
      </c>
      <c r="J50" s="16" t="s">
        <v>975</v>
      </c>
      <c r="K50" s="17">
        <f t="shared" si="6"/>
        <v>28</v>
      </c>
      <c r="L50" s="17">
        <f t="shared" si="7"/>
        <v>0</v>
      </c>
      <c r="M50" s="18">
        <f t="shared" si="8"/>
        <v>1</v>
      </c>
      <c r="N50" s="28"/>
      <c r="O50" s="8"/>
      <c r="P50" s="8"/>
      <c r="Q50" s="8"/>
      <c r="R50" s="28"/>
      <c r="S50" s="28"/>
      <c r="T50" s="8"/>
      <c r="U50" s="8"/>
      <c r="V50" s="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8"/>
      <c r="AI50" s="8"/>
      <c r="AJ50" s="8"/>
      <c r="AK50" s="8"/>
      <c r="AL50" s="8"/>
      <c r="AM50" s="28"/>
      <c r="AN50" s="8"/>
      <c r="AO50" s="8"/>
      <c r="AP50" s="28"/>
      <c r="AQ50" s="28"/>
      <c r="AR50" s="28"/>
    </row>
    <row r="51" spans="1:44" ht="15.75" thickBot="1" x14ac:dyDescent="0.3">
      <c r="A51" t="s">
        <v>80</v>
      </c>
      <c r="B51" s="46" t="s">
        <v>153</v>
      </c>
      <c r="C51" t="s">
        <v>154</v>
      </c>
      <c r="D51" t="s">
        <v>24</v>
      </c>
      <c r="E51" t="s">
        <v>36</v>
      </c>
      <c r="F51" t="s">
        <v>155</v>
      </c>
      <c r="G51"/>
      <c r="H51" s="16">
        <v>-348056730000</v>
      </c>
      <c r="I51" s="16">
        <v>-582731900000</v>
      </c>
      <c r="J51" s="16" t="s">
        <v>976</v>
      </c>
      <c r="K51" s="17">
        <f t="shared" si="6"/>
        <v>28</v>
      </c>
      <c r="L51" s="17">
        <f t="shared" si="7"/>
        <v>0</v>
      </c>
      <c r="M51" s="18">
        <f t="shared" si="8"/>
        <v>1</v>
      </c>
      <c r="N51" s="28"/>
      <c r="O51" s="8"/>
      <c r="P51" s="8"/>
      <c r="Q51" s="8"/>
      <c r="R51" s="28"/>
      <c r="S51" s="28"/>
      <c r="T51" s="8"/>
      <c r="U51" s="8"/>
      <c r="V51" s="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8"/>
      <c r="AI51" s="8"/>
      <c r="AJ51" s="8"/>
      <c r="AK51" s="8"/>
      <c r="AL51" s="8"/>
      <c r="AM51" s="28"/>
      <c r="AN51" s="8"/>
      <c r="AO51" s="8"/>
      <c r="AP51" s="28"/>
      <c r="AQ51" s="28"/>
      <c r="AR51" s="28"/>
    </row>
    <row r="52" spans="1:44" ht="15.75" thickBot="1" x14ac:dyDescent="0.3">
      <c r="A52" t="s">
        <v>80</v>
      </c>
      <c r="B52" s="46" t="s">
        <v>156</v>
      </c>
      <c r="C52" t="s">
        <v>157</v>
      </c>
      <c r="D52" t="s">
        <v>113</v>
      </c>
      <c r="E52" t="s">
        <v>36</v>
      </c>
      <c r="F52" t="s">
        <v>158</v>
      </c>
      <c r="G52" t="s">
        <v>159</v>
      </c>
      <c r="H52" s="16">
        <v>-348100860000</v>
      </c>
      <c r="I52" s="16">
        <v>-582782440000</v>
      </c>
      <c r="J52" s="16" t="s">
        <v>977</v>
      </c>
      <c r="K52" s="17">
        <f t="shared" si="6"/>
        <v>21</v>
      </c>
      <c r="L52" s="17">
        <f t="shared" si="7"/>
        <v>7</v>
      </c>
      <c r="M52" s="18">
        <f t="shared" si="8"/>
        <v>0.75</v>
      </c>
      <c r="N52" s="28" t="s">
        <v>942</v>
      </c>
      <c r="O52" s="8" t="s">
        <v>942</v>
      </c>
      <c r="P52" s="8" t="s">
        <v>942</v>
      </c>
      <c r="Q52" s="8" t="s">
        <v>942</v>
      </c>
      <c r="R52" s="28" t="s">
        <v>942</v>
      </c>
      <c r="S52" s="28" t="s">
        <v>942</v>
      </c>
      <c r="T52" s="8" t="s">
        <v>942</v>
      </c>
      <c r="U52" s="8"/>
      <c r="V52" s="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8"/>
      <c r="AI52" s="8"/>
      <c r="AJ52" s="8"/>
      <c r="AK52" s="8"/>
      <c r="AL52" s="8"/>
      <c r="AM52" s="28"/>
      <c r="AN52" s="8"/>
      <c r="AO52" s="8"/>
      <c r="AP52" s="28"/>
      <c r="AQ52" s="28"/>
      <c r="AR52" s="28"/>
    </row>
    <row r="53" spans="1:44" ht="15.75" thickBot="1" x14ac:dyDescent="0.3">
      <c r="B53" s="46" t="s">
        <v>160</v>
      </c>
      <c r="C53" t="s">
        <v>161</v>
      </c>
      <c r="D53" t="s">
        <v>24</v>
      </c>
      <c r="E53" t="s">
        <v>948</v>
      </c>
      <c r="F53" t="s">
        <v>162</v>
      </c>
      <c r="G53" t="s">
        <v>163</v>
      </c>
      <c r="H53" s="16">
        <v>-348090820000</v>
      </c>
      <c r="I53" s="16">
        <v>-582779860000</v>
      </c>
      <c r="J53" s="16" t="s">
        <v>978</v>
      </c>
      <c r="K53" s="17">
        <f t="shared" si="6"/>
        <v>28</v>
      </c>
      <c r="L53" s="17">
        <f t="shared" si="7"/>
        <v>0</v>
      </c>
      <c r="M53" s="18">
        <f t="shared" si="8"/>
        <v>1</v>
      </c>
      <c r="N53" s="28"/>
      <c r="O53" s="8"/>
      <c r="P53" s="8"/>
      <c r="Q53" s="8"/>
      <c r="R53" s="28"/>
      <c r="S53" s="28"/>
      <c r="T53" s="8"/>
      <c r="U53" s="8"/>
      <c r="V53" s="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8"/>
      <c r="AI53" s="8"/>
      <c r="AJ53" s="8"/>
      <c r="AK53" s="8"/>
      <c r="AL53" s="8"/>
      <c r="AM53" s="28"/>
      <c r="AN53" s="8"/>
      <c r="AO53" s="8"/>
      <c r="AP53" s="28"/>
      <c r="AQ53" s="28"/>
      <c r="AR53" s="28"/>
    </row>
    <row r="54" spans="1:44" ht="15.75" thickBot="1" x14ac:dyDescent="0.3">
      <c r="A54" t="s">
        <v>80</v>
      </c>
      <c r="B54" s="46" t="s">
        <v>164</v>
      </c>
      <c r="C54" t="s">
        <v>165</v>
      </c>
      <c r="D54" t="s">
        <v>113</v>
      </c>
      <c r="E54" t="s">
        <v>36</v>
      </c>
      <c r="F54" t="s">
        <v>166</v>
      </c>
      <c r="G54" t="s">
        <v>163</v>
      </c>
      <c r="H54" s="16">
        <v>-348083950000</v>
      </c>
      <c r="I54" s="16">
        <v>-582747030000</v>
      </c>
      <c r="J54" s="16" t="s">
        <v>979</v>
      </c>
      <c r="K54" s="17">
        <f t="shared" si="6"/>
        <v>21</v>
      </c>
      <c r="L54" s="17">
        <f t="shared" si="7"/>
        <v>7</v>
      </c>
      <c r="M54" s="18">
        <f t="shared" si="8"/>
        <v>0.75</v>
      </c>
      <c r="N54" s="28" t="s">
        <v>942</v>
      </c>
      <c r="O54" s="8" t="s">
        <v>942</v>
      </c>
      <c r="P54" s="8" t="s">
        <v>942</v>
      </c>
      <c r="Q54" s="8" t="s">
        <v>942</v>
      </c>
      <c r="R54" s="28" t="s">
        <v>942</v>
      </c>
      <c r="S54" s="28" t="s">
        <v>942</v>
      </c>
      <c r="T54" s="8" t="s">
        <v>942</v>
      </c>
      <c r="U54" s="8"/>
      <c r="V54" s="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8"/>
      <c r="AI54" s="28"/>
      <c r="AJ54" s="8"/>
      <c r="AK54" s="8"/>
      <c r="AL54" s="8"/>
      <c r="AM54" s="28"/>
      <c r="AN54" s="8"/>
      <c r="AO54" s="8"/>
      <c r="AP54" s="28"/>
      <c r="AQ54" s="28"/>
      <c r="AR54" s="28"/>
    </row>
    <row r="55" spans="1:44" ht="15.75" thickBot="1" x14ac:dyDescent="0.3">
      <c r="A55" t="s">
        <v>80</v>
      </c>
      <c r="B55" s="46" t="s">
        <v>167</v>
      </c>
      <c r="C55" t="s">
        <v>136</v>
      </c>
      <c r="D55" t="s">
        <v>113</v>
      </c>
      <c r="E55" t="s">
        <v>36</v>
      </c>
      <c r="F55" t="s">
        <v>129</v>
      </c>
      <c r="G55"/>
      <c r="H55" s="16">
        <v>-348039460000</v>
      </c>
      <c r="I55" s="16">
        <v>-582803360000</v>
      </c>
      <c r="J55" s="16" t="s">
        <v>980</v>
      </c>
      <c r="K55" s="17">
        <f t="shared" si="6"/>
        <v>28</v>
      </c>
      <c r="L55" s="17">
        <f t="shared" si="7"/>
        <v>0</v>
      </c>
      <c r="M55" s="18">
        <f t="shared" si="8"/>
        <v>1</v>
      </c>
      <c r="N55" s="28"/>
      <c r="O55" s="8"/>
      <c r="P55" s="8"/>
      <c r="Q55" s="8"/>
      <c r="R55" s="28"/>
      <c r="S55" s="28"/>
      <c r="T55" s="8"/>
      <c r="U55" s="8"/>
      <c r="V55" s="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8"/>
      <c r="AI55" s="8"/>
      <c r="AJ55" s="8"/>
      <c r="AK55" s="8"/>
      <c r="AL55" s="8"/>
      <c r="AM55" s="28"/>
      <c r="AN55" s="8"/>
      <c r="AO55" s="8"/>
      <c r="AP55" s="28"/>
      <c r="AQ55" s="28"/>
      <c r="AR55" s="28"/>
    </row>
    <row r="56" spans="1:44" ht="15.75" thickBot="1" x14ac:dyDescent="0.3">
      <c r="A56" t="s">
        <v>168</v>
      </c>
      <c r="B56" s="46" t="s">
        <v>169</v>
      </c>
      <c r="C56" t="s">
        <v>170</v>
      </c>
      <c r="D56" t="s">
        <v>24</v>
      </c>
      <c r="E56" t="s">
        <v>36</v>
      </c>
      <c r="F56" t="s">
        <v>171</v>
      </c>
      <c r="G56"/>
      <c r="H56" s="16">
        <v>-347986060000</v>
      </c>
      <c r="I56" s="16">
        <v>-582839810000</v>
      </c>
      <c r="J56" s="16" t="s">
        <v>981</v>
      </c>
      <c r="K56" s="17">
        <f t="shared" si="6"/>
        <v>28</v>
      </c>
      <c r="L56" s="17">
        <f t="shared" si="7"/>
        <v>0</v>
      </c>
      <c r="M56" s="18">
        <f t="shared" si="8"/>
        <v>1</v>
      </c>
      <c r="N56" s="28"/>
      <c r="O56" s="8"/>
      <c r="P56" s="8"/>
      <c r="Q56" s="8"/>
      <c r="R56" s="28"/>
      <c r="S56" s="28"/>
      <c r="T56" s="8"/>
      <c r="U56" s="8"/>
      <c r="V56" s="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8"/>
      <c r="AI56" s="8"/>
      <c r="AJ56" s="8"/>
      <c r="AK56" s="8"/>
      <c r="AL56" s="8"/>
      <c r="AM56" s="28"/>
      <c r="AN56" s="8"/>
      <c r="AO56" s="8"/>
      <c r="AP56" s="28"/>
      <c r="AQ56" s="28"/>
      <c r="AR56" s="28"/>
    </row>
    <row r="57" spans="1:44" ht="15.75" thickBot="1" x14ac:dyDescent="0.3">
      <c r="A57" t="s">
        <v>80</v>
      </c>
      <c r="B57" s="46" t="s">
        <v>172</v>
      </c>
      <c r="C57" t="s">
        <v>173</v>
      </c>
      <c r="D57" t="s">
        <v>113</v>
      </c>
      <c r="E57" t="s">
        <v>25</v>
      </c>
      <c r="F57" t="s">
        <v>131</v>
      </c>
      <c r="G57"/>
      <c r="H57" s="16">
        <v>-348021710000</v>
      </c>
      <c r="I57" s="16">
        <v>-582868960000</v>
      </c>
      <c r="J57" s="16" t="s">
        <v>982</v>
      </c>
      <c r="K57" s="17">
        <f t="shared" si="6"/>
        <v>28</v>
      </c>
      <c r="L57" s="17">
        <f t="shared" si="7"/>
        <v>0</v>
      </c>
      <c r="M57" s="18">
        <f t="shared" si="8"/>
        <v>1</v>
      </c>
      <c r="N57" s="28"/>
      <c r="O57" s="8"/>
      <c r="P57" s="8"/>
      <c r="Q57" s="8"/>
      <c r="R57" s="28"/>
      <c r="S57" s="28"/>
      <c r="T57" s="8"/>
      <c r="U57" s="8"/>
      <c r="V57" s="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8"/>
      <c r="AI57" s="8"/>
      <c r="AJ57" s="8"/>
      <c r="AK57" s="8"/>
      <c r="AL57" s="8"/>
      <c r="AM57" s="28"/>
      <c r="AN57" s="8"/>
      <c r="AO57" s="8"/>
      <c r="AP57" s="28"/>
      <c r="AQ57" s="28"/>
      <c r="AR57" s="28"/>
    </row>
    <row r="58" spans="1:44" ht="15.75" thickBot="1" x14ac:dyDescent="0.3">
      <c r="A58" t="s">
        <v>80</v>
      </c>
      <c r="B58" s="46" t="s">
        <v>174</v>
      </c>
      <c r="C58" t="s">
        <v>175</v>
      </c>
      <c r="D58" t="s">
        <v>24</v>
      </c>
      <c r="E58" t="s">
        <v>25</v>
      </c>
      <c r="F58" t="s">
        <v>176</v>
      </c>
      <c r="G58"/>
      <c r="H58" s="16">
        <v>-348040780000</v>
      </c>
      <c r="I58" s="16">
        <v>-582835220000</v>
      </c>
      <c r="J58" s="16" t="s">
        <v>983</v>
      </c>
      <c r="K58" s="17">
        <f t="shared" si="6"/>
        <v>28</v>
      </c>
      <c r="L58" s="17">
        <f t="shared" si="7"/>
        <v>0</v>
      </c>
      <c r="M58" s="18">
        <f t="shared" si="8"/>
        <v>1</v>
      </c>
      <c r="N58" s="28"/>
      <c r="O58" s="8"/>
      <c r="P58" s="8"/>
      <c r="Q58" s="8"/>
      <c r="R58" s="28"/>
      <c r="S58" s="28"/>
      <c r="T58" s="8"/>
      <c r="U58" s="8"/>
      <c r="V58" s="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8"/>
      <c r="AI58" s="8"/>
      <c r="AJ58" s="8"/>
      <c r="AK58" s="8"/>
      <c r="AL58" s="8"/>
      <c r="AM58" s="28"/>
      <c r="AN58" s="8"/>
      <c r="AO58" s="8"/>
      <c r="AP58" s="28"/>
      <c r="AQ58" s="28"/>
      <c r="AR58" s="28"/>
    </row>
    <row r="59" spans="1:44" ht="15.75" thickBot="1" x14ac:dyDescent="0.3">
      <c r="A59" t="s">
        <v>80</v>
      </c>
      <c r="B59" s="46" t="s">
        <v>177</v>
      </c>
      <c r="C59" t="s">
        <v>178</v>
      </c>
      <c r="D59" t="s">
        <v>24</v>
      </c>
      <c r="E59" t="s">
        <v>36</v>
      </c>
      <c r="F59" t="s">
        <v>179</v>
      </c>
      <c r="G59"/>
      <c r="H59" s="16">
        <v>-348078180000</v>
      </c>
      <c r="I59" s="16">
        <v>-582747270000</v>
      </c>
      <c r="J59" s="16" t="s">
        <v>984</v>
      </c>
      <c r="K59" s="17">
        <f t="shared" si="6"/>
        <v>28</v>
      </c>
      <c r="L59" s="17">
        <f t="shared" si="7"/>
        <v>0</v>
      </c>
      <c r="M59" s="18">
        <f t="shared" si="8"/>
        <v>1</v>
      </c>
      <c r="N59" s="28"/>
      <c r="O59" s="8"/>
      <c r="P59" s="8"/>
      <c r="Q59" s="8"/>
      <c r="R59" s="28"/>
      <c r="S59" s="28"/>
      <c r="T59" s="8"/>
      <c r="U59" s="8"/>
      <c r="V59" s="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8"/>
      <c r="AI59" s="8"/>
      <c r="AJ59" s="8"/>
      <c r="AK59" s="8"/>
      <c r="AL59" s="8"/>
      <c r="AM59" s="28"/>
      <c r="AN59" s="8"/>
      <c r="AO59" s="8"/>
      <c r="AP59" s="28"/>
      <c r="AQ59" s="28"/>
      <c r="AR59" s="28"/>
    </row>
    <row r="60" spans="1:44" ht="15.75" thickBot="1" x14ac:dyDescent="0.3">
      <c r="A60" t="s">
        <v>80</v>
      </c>
      <c r="B60" s="46" t="s">
        <v>180</v>
      </c>
      <c r="C60" t="s">
        <v>920</v>
      </c>
      <c r="D60" t="s">
        <v>24</v>
      </c>
      <c r="E60" t="s">
        <v>36</v>
      </c>
      <c r="F60" t="s">
        <v>181</v>
      </c>
      <c r="G60"/>
      <c r="H60" s="16">
        <v>-348079190000</v>
      </c>
      <c r="I60" s="16">
        <v>-582764410000</v>
      </c>
      <c r="J60" s="16" t="s">
        <v>985</v>
      </c>
      <c r="K60" s="17">
        <f t="shared" si="6"/>
        <v>21</v>
      </c>
      <c r="L60" s="17">
        <f t="shared" si="7"/>
        <v>7</v>
      </c>
      <c r="M60" s="18">
        <f t="shared" si="8"/>
        <v>0.75</v>
      </c>
      <c r="N60" s="28" t="s">
        <v>942</v>
      </c>
      <c r="O60" s="8" t="s">
        <v>942</v>
      </c>
      <c r="P60" s="8" t="s">
        <v>942</v>
      </c>
      <c r="Q60" s="8" t="s">
        <v>942</v>
      </c>
      <c r="R60" s="28" t="s">
        <v>942</v>
      </c>
      <c r="S60" s="28" t="s">
        <v>942</v>
      </c>
      <c r="T60" s="8" t="s">
        <v>942</v>
      </c>
      <c r="U60" s="8"/>
      <c r="V60" s="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8"/>
      <c r="AI60" s="28"/>
      <c r="AJ60" s="8"/>
      <c r="AK60" s="8"/>
      <c r="AL60" s="8"/>
      <c r="AM60" s="28"/>
      <c r="AN60" s="8"/>
      <c r="AO60" s="8"/>
      <c r="AP60" s="28"/>
      <c r="AQ60" s="28"/>
      <c r="AR60" s="28"/>
    </row>
    <row r="61" spans="1:44" ht="15.75" thickBot="1" x14ac:dyDescent="0.3">
      <c r="A61" t="s">
        <v>80</v>
      </c>
      <c r="B61" s="46" t="s">
        <v>182</v>
      </c>
      <c r="C61" t="s">
        <v>183</v>
      </c>
      <c r="D61" t="s">
        <v>24</v>
      </c>
      <c r="E61" t="s">
        <v>36</v>
      </c>
      <c r="F61" t="s">
        <v>65</v>
      </c>
      <c r="G61" t="s">
        <v>184</v>
      </c>
      <c r="H61" s="16">
        <v>-348027470000</v>
      </c>
      <c r="I61" s="16">
        <v>-582782920000</v>
      </c>
      <c r="J61" s="16" t="s">
        <v>986</v>
      </c>
      <c r="K61" s="17">
        <f t="shared" si="6"/>
        <v>28</v>
      </c>
      <c r="L61" s="17">
        <f t="shared" si="7"/>
        <v>0</v>
      </c>
      <c r="M61" s="18">
        <f t="shared" si="8"/>
        <v>1</v>
      </c>
      <c r="N61" s="28"/>
      <c r="O61" s="8"/>
      <c r="P61" s="8"/>
      <c r="Q61" s="8"/>
      <c r="R61" s="28"/>
      <c r="S61" s="28"/>
      <c r="T61" s="8"/>
      <c r="U61" s="8"/>
      <c r="V61" s="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8"/>
      <c r="AI61" s="8"/>
      <c r="AJ61" s="8"/>
      <c r="AK61" s="8"/>
      <c r="AL61" s="8"/>
      <c r="AM61" s="28"/>
      <c r="AN61" s="8"/>
      <c r="AO61" s="8"/>
      <c r="AP61" s="28"/>
      <c r="AQ61" s="28"/>
      <c r="AR61" s="28"/>
    </row>
    <row r="62" spans="1:44" ht="15.75" thickBot="1" x14ac:dyDescent="0.3">
      <c r="A62" t="s">
        <v>80</v>
      </c>
      <c r="B62" s="46" t="s">
        <v>185</v>
      </c>
      <c r="C62" t="s">
        <v>918</v>
      </c>
      <c r="D62" t="s">
        <v>24</v>
      </c>
      <c r="E62" t="s">
        <v>36</v>
      </c>
      <c r="F62" t="s">
        <v>186</v>
      </c>
      <c r="G62"/>
      <c r="H62" s="16">
        <v>-348089580000</v>
      </c>
      <c r="I62" s="16">
        <v>-582763340000</v>
      </c>
      <c r="J62" s="16" t="s">
        <v>987</v>
      </c>
      <c r="K62" s="17">
        <f t="shared" si="6"/>
        <v>28</v>
      </c>
      <c r="L62" s="17">
        <f t="shared" si="7"/>
        <v>0</v>
      </c>
      <c r="M62" s="18">
        <f t="shared" si="8"/>
        <v>1</v>
      </c>
      <c r="N62" s="28"/>
      <c r="O62" s="8"/>
      <c r="P62" s="8"/>
      <c r="Q62" s="8"/>
      <c r="R62" s="28"/>
      <c r="S62" s="28"/>
      <c r="T62" s="8"/>
      <c r="U62" s="8"/>
      <c r="V62" s="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8"/>
      <c r="AI62" s="8"/>
      <c r="AJ62" s="8"/>
      <c r="AK62" s="8"/>
      <c r="AL62" s="8"/>
      <c r="AM62" s="28"/>
      <c r="AN62" s="8"/>
      <c r="AO62" s="8"/>
      <c r="AP62" s="28"/>
      <c r="AQ62" s="28"/>
      <c r="AR62" s="28"/>
    </row>
    <row r="63" spans="1:44" ht="15.75" thickBot="1" x14ac:dyDescent="0.3">
      <c r="A63" t="s">
        <v>80</v>
      </c>
      <c r="B63" s="46" t="s">
        <v>187</v>
      </c>
      <c r="C63" t="s">
        <v>917</v>
      </c>
      <c r="D63" t="s">
        <v>24</v>
      </c>
      <c r="E63" t="s">
        <v>36</v>
      </c>
      <c r="F63" t="s">
        <v>65</v>
      </c>
      <c r="G63"/>
      <c r="H63" s="16">
        <v>-348068620000</v>
      </c>
      <c r="I63" s="16">
        <v>-582765270000</v>
      </c>
      <c r="J63" s="16" t="s">
        <v>988</v>
      </c>
      <c r="K63" s="17">
        <f t="shared" si="6"/>
        <v>21</v>
      </c>
      <c r="L63" s="17">
        <f t="shared" si="7"/>
        <v>7</v>
      </c>
      <c r="M63" s="18">
        <f t="shared" si="8"/>
        <v>0.75</v>
      </c>
      <c r="N63" s="28" t="s">
        <v>942</v>
      </c>
      <c r="O63" s="8" t="s">
        <v>942</v>
      </c>
      <c r="P63" s="8" t="s">
        <v>942</v>
      </c>
      <c r="Q63" s="8" t="s">
        <v>942</v>
      </c>
      <c r="R63" s="28" t="s">
        <v>942</v>
      </c>
      <c r="S63" s="28" t="s">
        <v>942</v>
      </c>
      <c r="T63" s="8" t="s">
        <v>942</v>
      </c>
      <c r="U63" s="8"/>
      <c r="V63" s="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8"/>
      <c r="AI63" s="28"/>
      <c r="AJ63" s="8"/>
      <c r="AK63" s="8"/>
      <c r="AL63" s="8"/>
      <c r="AM63" s="28"/>
      <c r="AN63" s="8"/>
      <c r="AO63" s="8"/>
      <c r="AP63" s="28"/>
      <c r="AQ63" s="28"/>
      <c r="AR63" s="28"/>
    </row>
    <row r="64" spans="1:44" ht="15.75" thickBot="1" x14ac:dyDescent="0.3">
      <c r="A64" t="s">
        <v>80</v>
      </c>
      <c r="B64" s="46" t="s">
        <v>188</v>
      </c>
      <c r="C64" t="s">
        <v>189</v>
      </c>
      <c r="D64" t="s">
        <v>24</v>
      </c>
      <c r="E64" t="s">
        <v>36</v>
      </c>
      <c r="F64" t="s">
        <v>186</v>
      </c>
      <c r="G64"/>
      <c r="H64" s="16">
        <v>-348087820000</v>
      </c>
      <c r="I64" s="16">
        <v>-582729860000</v>
      </c>
      <c r="J64" s="16" t="s">
        <v>989</v>
      </c>
      <c r="K64" s="17">
        <f t="shared" si="6"/>
        <v>28</v>
      </c>
      <c r="L64" s="17">
        <f t="shared" si="7"/>
        <v>0</v>
      </c>
      <c r="M64" s="18">
        <f t="shared" si="8"/>
        <v>1</v>
      </c>
      <c r="N64" s="28"/>
      <c r="O64" s="8"/>
      <c r="P64" s="8"/>
      <c r="Q64" s="8"/>
      <c r="R64" s="28"/>
      <c r="S64" s="28"/>
      <c r="T64" s="8"/>
      <c r="U64" s="8"/>
      <c r="V64" s="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8"/>
      <c r="AI64" s="8"/>
      <c r="AJ64" s="8"/>
      <c r="AK64" s="8"/>
      <c r="AL64" s="8"/>
      <c r="AM64" s="28"/>
      <c r="AN64" s="8"/>
      <c r="AO64" s="8"/>
      <c r="AP64" s="28"/>
      <c r="AQ64" s="28"/>
      <c r="AR64" s="28"/>
    </row>
    <row r="65" spans="1:44" ht="15.75" thickBot="1" x14ac:dyDescent="0.3">
      <c r="A65" t="s">
        <v>80</v>
      </c>
      <c r="B65" s="46" t="s">
        <v>190</v>
      </c>
      <c r="C65" t="s">
        <v>191</v>
      </c>
      <c r="D65" t="s">
        <v>24</v>
      </c>
      <c r="E65" t="s">
        <v>36</v>
      </c>
      <c r="F65" t="s">
        <v>186</v>
      </c>
      <c r="G65"/>
      <c r="H65" s="16">
        <v>-348066860000</v>
      </c>
      <c r="I65" s="16">
        <v>-582731470000</v>
      </c>
      <c r="J65" s="16" t="s">
        <v>990</v>
      </c>
      <c r="K65" s="17">
        <f t="shared" si="6"/>
        <v>21</v>
      </c>
      <c r="L65" s="17">
        <f t="shared" si="7"/>
        <v>7</v>
      </c>
      <c r="M65" s="18">
        <f t="shared" si="8"/>
        <v>0.75</v>
      </c>
      <c r="N65" s="28" t="s">
        <v>942</v>
      </c>
      <c r="O65" s="8" t="s">
        <v>942</v>
      </c>
      <c r="P65" s="8" t="s">
        <v>942</v>
      </c>
      <c r="Q65" s="8" t="s">
        <v>942</v>
      </c>
      <c r="R65" s="28" t="s">
        <v>942</v>
      </c>
      <c r="S65" s="28" t="s">
        <v>942</v>
      </c>
      <c r="T65" s="8" t="s">
        <v>942</v>
      </c>
      <c r="U65" s="8"/>
      <c r="V65" s="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8"/>
      <c r="AI65" s="28"/>
      <c r="AJ65" s="8"/>
      <c r="AK65" s="8"/>
      <c r="AL65" s="8"/>
      <c r="AM65" s="28"/>
      <c r="AN65" s="8"/>
      <c r="AO65" s="8"/>
      <c r="AP65" s="28"/>
      <c r="AQ65" s="28"/>
      <c r="AR65" s="28"/>
    </row>
    <row r="66" spans="1:44" ht="15.75" thickBot="1" x14ac:dyDescent="0.3">
      <c r="A66" t="s">
        <v>80</v>
      </c>
      <c r="B66" s="46" t="s">
        <v>192</v>
      </c>
      <c r="C66" t="s">
        <v>193</v>
      </c>
      <c r="D66" t="s">
        <v>24</v>
      </c>
      <c r="E66" t="s">
        <v>36</v>
      </c>
      <c r="F66" t="s">
        <v>194</v>
      </c>
      <c r="G66"/>
      <c r="H66" s="16">
        <v>-348086060000</v>
      </c>
      <c r="I66" s="16">
        <v>-582700470000</v>
      </c>
      <c r="J66" s="16" t="s">
        <v>991</v>
      </c>
      <c r="K66" s="17">
        <f t="shared" si="6"/>
        <v>28</v>
      </c>
      <c r="L66" s="17">
        <f t="shared" si="7"/>
        <v>0</v>
      </c>
      <c r="M66" s="18">
        <f t="shared" si="8"/>
        <v>1</v>
      </c>
      <c r="N66" s="28"/>
      <c r="O66" s="8"/>
      <c r="P66" s="8"/>
      <c r="Q66" s="8"/>
      <c r="R66" s="28"/>
      <c r="S66" s="28"/>
      <c r="T66" s="8"/>
      <c r="U66" s="8"/>
      <c r="V66" s="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8"/>
      <c r="AI66" s="8"/>
      <c r="AJ66" s="8"/>
      <c r="AK66" s="8"/>
      <c r="AL66" s="8"/>
      <c r="AM66" s="28"/>
      <c r="AN66" s="8"/>
      <c r="AO66" s="8"/>
      <c r="AP66" s="28"/>
      <c r="AQ66" s="28"/>
      <c r="AR66" s="28"/>
    </row>
    <row r="67" spans="1:44" ht="15.75" thickBot="1" x14ac:dyDescent="0.3">
      <c r="A67" t="s">
        <v>80</v>
      </c>
      <c r="B67" s="46" t="s">
        <v>195</v>
      </c>
      <c r="C67" t="s">
        <v>196</v>
      </c>
      <c r="D67" t="s">
        <v>24</v>
      </c>
      <c r="E67" t="s">
        <v>36</v>
      </c>
      <c r="F67" t="s">
        <v>197</v>
      </c>
      <c r="G67"/>
      <c r="H67" s="16">
        <v>-348088130000</v>
      </c>
      <c r="I67" s="16">
        <v>-582738390000</v>
      </c>
      <c r="J67" s="16" t="s">
        <v>992</v>
      </c>
      <c r="K67" s="17">
        <f t="shared" si="6"/>
        <v>28</v>
      </c>
      <c r="L67" s="17">
        <f t="shared" si="7"/>
        <v>0</v>
      </c>
      <c r="M67" s="18">
        <f t="shared" si="8"/>
        <v>1</v>
      </c>
      <c r="N67" s="28"/>
      <c r="O67" s="8"/>
      <c r="P67" s="8"/>
      <c r="Q67" s="8"/>
      <c r="R67" s="28"/>
      <c r="S67" s="28"/>
      <c r="T67" s="8"/>
      <c r="U67" s="8"/>
      <c r="V67" s="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8"/>
      <c r="AI67" s="8"/>
      <c r="AJ67" s="8"/>
      <c r="AK67" s="8"/>
      <c r="AL67" s="8"/>
      <c r="AM67" s="28"/>
      <c r="AN67" s="8"/>
      <c r="AO67" s="8"/>
      <c r="AP67" s="28"/>
      <c r="AQ67" s="28"/>
      <c r="AR67" s="28"/>
    </row>
    <row r="68" spans="1:44" ht="15.75" thickBot="1" x14ac:dyDescent="0.3">
      <c r="A68" t="s">
        <v>80</v>
      </c>
      <c r="B68" s="46" t="s">
        <v>198</v>
      </c>
      <c r="C68" t="s">
        <v>919</v>
      </c>
      <c r="D68" t="s">
        <v>24</v>
      </c>
      <c r="E68" t="s">
        <v>36</v>
      </c>
      <c r="F68" t="s">
        <v>65</v>
      </c>
      <c r="G68"/>
      <c r="H68" s="16">
        <v>-348058930000</v>
      </c>
      <c r="I68" s="16">
        <v>-582764630000</v>
      </c>
      <c r="J68" s="16" t="s">
        <v>993</v>
      </c>
      <c r="K68" s="17">
        <f t="shared" si="6"/>
        <v>21</v>
      </c>
      <c r="L68" s="17">
        <f t="shared" si="7"/>
        <v>7</v>
      </c>
      <c r="M68" s="18">
        <f t="shared" si="8"/>
        <v>0.75</v>
      </c>
      <c r="N68" s="28" t="s">
        <v>942</v>
      </c>
      <c r="O68" s="8" t="s">
        <v>942</v>
      </c>
      <c r="P68" s="8" t="s">
        <v>942</v>
      </c>
      <c r="Q68" s="8" t="s">
        <v>942</v>
      </c>
      <c r="R68" s="28" t="s">
        <v>942</v>
      </c>
      <c r="S68" s="28" t="s">
        <v>942</v>
      </c>
      <c r="T68" s="8" t="s">
        <v>942</v>
      </c>
      <c r="U68" s="8"/>
      <c r="V68" s="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8"/>
      <c r="AI68" s="28"/>
      <c r="AJ68" s="8"/>
      <c r="AK68" s="8"/>
      <c r="AL68" s="8"/>
      <c r="AM68" s="28"/>
      <c r="AN68" s="8"/>
      <c r="AO68" s="8"/>
      <c r="AP68" s="28"/>
      <c r="AQ68" s="28"/>
      <c r="AR68" s="28"/>
    </row>
    <row r="69" spans="1:44" ht="15.75" thickBot="1" x14ac:dyDescent="0.3">
      <c r="A69" t="s">
        <v>80</v>
      </c>
      <c r="B69" s="46" t="s">
        <v>199</v>
      </c>
      <c r="C69" t="s">
        <v>200</v>
      </c>
      <c r="D69" t="s">
        <v>24</v>
      </c>
      <c r="E69" t="s">
        <v>36</v>
      </c>
      <c r="F69" t="s">
        <v>114</v>
      </c>
      <c r="G69"/>
      <c r="H69" s="16">
        <v>-348107110000</v>
      </c>
      <c r="I69" s="16">
        <v>-582728250000</v>
      </c>
      <c r="J69" s="16" t="s">
        <v>994</v>
      </c>
      <c r="K69" s="17">
        <f t="shared" ref="K69:K132" si="9">COUNTIF(N69:AO69,"")</f>
        <v>28</v>
      </c>
      <c r="L69" s="17">
        <f t="shared" ref="L69:L132" si="10">COUNTIF(N69:AO69,"APAGADO")</f>
        <v>0</v>
      </c>
      <c r="M69" s="18">
        <f t="shared" ref="M69:M132" si="11">(K69)/(L69+K69)</f>
        <v>1</v>
      </c>
      <c r="N69" s="28"/>
      <c r="O69" s="8"/>
      <c r="P69" s="8"/>
      <c r="Q69" s="8"/>
      <c r="R69" s="28"/>
      <c r="S69" s="28"/>
      <c r="T69" s="8"/>
      <c r="U69" s="8"/>
      <c r="V69" s="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8"/>
      <c r="AI69" s="8"/>
      <c r="AJ69" s="8"/>
      <c r="AK69" s="8"/>
      <c r="AL69" s="8"/>
      <c r="AM69" s="28"/>
      <c r="AN69" s="8"/>
      <c r="AO69" s="8"/>
      <c r="AP69" s="28"/>
      <c r="AQ69" s="28"/>
      <c r="AR69" s="28"/>
    </row>
    <row r="70" spans="1:44" ht="15.75" thickBot="1" x14ac:dyDescent="0.3">
      <c r="A70" t="s">
        <v>80</v>
      </c>
      <c r="B70" s="46" t="s">
        <v>201</v>
      </c>
      <c r="C70" t="s">
        <v>921</v>
      </c>
      <c r="D70" t="s">
        <v>24</v>
      </c>
      <c r="E70" t="s">
        <v>36</v>
      </c>
      <c r="F70" t="s">
        <v>114</v>
      </c>
      <c r="G70"/>
      <c r="H70" s="16">
        <v>-348108080000</v>
      </c>
      <c r="I70" s="16">
        <v>-582762270000</v>
      </c>
      <c r="J70" s="16" t="s">
        <v>995</v>
      </c>
      <c r="K70" s="17">
        <f t="shared" si="9"/>
        <v>21</v>
      </c>
      <c r="L70" s="17">
        <f t="shared" si="10"/>
        <v>7</v>
      </c>
      <c r="M70" s="18">
        <f t="shared" si="11"/>
        <v>0.75</v>
      </c>
      <c r="N70" s="28" t="s">
        <v>942</v>
      </c>
      <c r="O70" s="8" t="s">
        <v>942</v>
      </c>
      <c r="P70" s="8" t="s">
        <v>942</v>
      </c>
      <c r="Q70" s="8" t="s">
        <v>942</v>
      </c>
      <c r="R70" s="28" t="s">
        <v>942</v>
      </c>
      <c r="S70" s="28" t="s">
        <v>942</v>
      </c>
      <c r="T70" s="8" t="s">
        <v>942</v>
      </c>
      <c r="U70" s="8"/>
      <c r="V70" s="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8"/>
      <c r="AI70" s="28"/>
      <c r="AJ70" s="8"/>
      <c r="AK70" s="8"/>
      <c r="AL70" s="8"/>
      <c r="AM70" s="28"/>
      <c r="AN70" s="8"/>
      <c r="AO70" s="8"/>
      <c r="AP70" s="28"/>
      <c r="AQ70" s="28"/>
      <c r="AR70" s="28"/>
    </row>
    <row r="71" spans="1:44" ht="15.75" thickBot="1" x14ac:dyDescent="0.3">
      <c r="A71" t="s">
        <v>80</v>
      </c>
      <c r="B71" s="46" t="s">
        <v>202</v>
      </c>
      <c r="C71" t="s">
        <v>922</v>
      </c>
      <c r="D71" t="s">
        <v>24</v>
      </c>
      <c r="E71" t="s">
        <v>36</v>
      </c>
      <c r="F71" t="s">
        <v>162</v>
      </c>
      <c r="G71"/>
      <c r="H71" s="16">
        <v>-347995320000</v>
      </c>
      <c r="I71" s="16">
        <v>-582767420000</v>
      </c>
      <c r="J71" s="16" t="s">
        <v>996</v>
      </c>
      <c r="K71" s="17">
        <f t="shared" si="9"/>
        <v>28</v>
      </c>
      <c r="L71" s="17">
        <f t="shared" si="10"/>
        <v>0</v>
      </c>
      <c r="M71" s="18">
        <f t="shared" si="11"/>
        <v>1</v>
      </c>
      <c r="N71" s="28"/>
      <c r="O71" s="8"/>
      <c r="P71" s="8"/>
      <c r="Q71" s="8"/>
      <c r="R71" s="28"/>
      <c r="S71" s="28"/>
      <c r="T71" s="8"/>
      <c r="U71" s="8"/>
      <c r="V71" s="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8"/>
      <c r="AI71" s="8"/>
      <c r="AJ71" s="8"/>
      <c r="AK71" s="8"/>
      <c r="AL71" s="8"/>
      <c r="AM71" s="28"/>
      <c r="AN71" s="8"/>
      <c r="AO71" s="8"/>
      <c r="AP71" s="28"/>
      <c r="AQ71" s="28"/>
      <c r="AR71" s="28"/>
    </row>
    <row r="72" spans="1:44" ht="15.75" thickBot="1" x14ac:dyDescent="0.3">
      <c r="A72" t="s">
        <v>80</v>
      </c>
      <c r="B72" s="46" t="s">
        <v>203</v>
      </c>
      <c r="C72" t="s">
        <v>923</v>
      </c>
      <c r="D72" t="s">
        <v>24</v>
      </c>
      <c r="E72" t="s">
        <v>36</v>
      </c>
      <c r="F72" t="s">
        <v>162</v>
      </c>
      <c r="G72"/>
      <c r="H72" s="16">
        <v>-348027390000</v>
      </c>
      <c r="I72" s="16">
        <v>-582766340000</v>
      </c>
      <c r="J72" s="16" t="s">
        <v>997</v>
      </c>
      <c r="K72" s="17">
        <f t="shared" si="9"/>
        <v>28</v>
      </c>
      <c r="L72" s="17">
        <f t="shared" si="10"/>
        <v>0</v>
      </c>
      <c r="M72" s="18">
        <f t="shared" si="11"/>
        <v>1</v>
      </c>
      <c r="N72" s="28"/>
      <c r="O72" s="8"/>
      <c r="P72" s="8"/>
      <c r="Q72" s="8"/>
      <c r="R72" s="28"/>
      <c r="S72" s="28"/>
      <c r="T72" s="8"/>
      <c r="U72" s="8"/>
      <c r="V72" s="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8"/>
      <c r="AI72" s="8"/>
      <c r="AJ72" s="8"/>
      <c r="AK72" s="8"/>
      <c r="AL72" s="8"/>
      <c r="AM72" s="28"/>
      <c r="AN72" s="8"/>
      <c r="AO72" s="8"/>
      <c r="AP72" s="28"/>
      <c r="AQ72" s="28"/>
      <c r="AR72" s="28"/>
    </row>
    <row r="73" spans="1:44" ht="15.75" thickBot="1" x14ac:dyDescent="0.3">
      <c r="A73" t="s">
        <v>80</v>
      </c>
      <c r="B73" s="46" t="s">
        <v>204</v>
      </c>
      <c r="C73" t="s">
        <v>205</v>
      </c>
      <c r="D73" t="s">
        <v>24</v>
      </c>
      <c r="E73" t="s">
        <v>36</v>
      </c>
      <c r="F73" t="s">
        <v>131</v>
      </c>
      <c r="G73"/>
      <c r="H73" s="16">
        <v>-347974350000</v>
      </c>
      <c r="I73" s="16">
        <v>-582751320000</v>
      </c>
      <c r="J73" s="16" t="s">
        <v>998</v>
      </c>
      <c r="K73" s="17">
        <f t="shared" si="9"/>
        <v>28</v>
      </c>
      <c r="L73" s="17">
        <f t="shared" si="10"/>
        <v>0</v>
      </c>
      <c r="M73" s="18">
        <f t="shared" si="11"/>
        <v>1</v>
      </c>
      <c r="N73" s="28"/>
      <c r="O73" s="8"/>
      <c r="P73" s="8"/>
      <c r="Q73" s="8"/>
      <c r="R73" s="28"/>
      <c r="S73" s="28"/>
      <c r="T73" s="8"/>
      <c r="U73" s="8"/>
      <c r="V73" s="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8"/>
      <c r="AI73" s="8"/>
      <c r="AJ73" s="8"/>
      <c r="AK73" s="8"/>
      <c r="AL73" s="8"/>
      <c r="AM73" s="28"/>
      <c r="AN73" s="8"/>
      <c r="AO73" s="8"/>
      <c r="AP73" s="28"/>
      <c r="AQ73" s="28"/>
      <c r="AR73" s="28"/>
    </row>
    <row r="74" spans="1:44" ht="15.75" thickBot="1" x14ac:dyDescent="0.3">
      <c r="A74" t="s">
        <v>80</v>
      </c>
      <c r="B74" s="46" t="s">
        <v>206</v>
      </c>
      <c r="C74" t="s">
        <v>207</v>
      </c>
      <c r="D74" t="s">
        <v>24</v>
      </c>
      <c r="E74" t="s">
        <v>36</v>
      </c>
      <c r="F74" t="s">
        <v>162</v>
      </c>
      <c r="G74"/>
      <c r="H74" s="16">
        <v>-348004490000</v>
      </c>
      <c r="I74" s="16">
        <v>-582742520000</v>
      </c>
      <c r="J74" s="16" t="s">
        <v>999</v>
      </c>
      <c r="K74" s="17">
        <f t="shared" si="9"/>
        <v>28</v>
      </c>
      <c r="L74" s="17">
        <f t="shared" si="10"/>
        <v>0</v>
      </c>
      <c r="M74" s="18">
        <f t="shared" si="11"/>
        <v>1</v>
      </c>
      <c r="N74" s="28"/>
      <c r="O74" s="8"/>
      <c r="P74" s="8"/>
      <c r="Q74" s="8"/>
      <c r="R74" s="28"/>
      <c r="S74" s="28"/>
      <c r="T74" s="8"/>
      <c r="U74" s="8"/>
      <c r="V74" s="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8"/>
      <c r="AI74" s="8"/>
      <c r="AJ74" s="8"/>
      <c r="AK74" s="8"/>
      <c r="AL74" s="8"/>
      <c r="AM74" s="28"/>
      <c r="AN74" s="8"/>
      <c r="AO74" s="8"/>
      <c r="AP74" s="28"/>
      <c r="AQ74" s="28"/>
      <c r="AR74" s="28"/>
    </row>
    <row r="75" spans="1:44" ht="15.75" thickBot="1" x14ac:dyDescent="0.3">
      <c r="A75" t="s">
        <v>80</v>
      </c>
      <c r="B75" s="46" t="s">
        <v>208</v>
      </c>
      <c r="C75" t="s">
        <v>209</v>
      </c>
      <c r="D75" t="s">
        <v>24</v>
      </c>
      <c r="E75" t="s">
        <v>36</v>
      </c>
      <c r="F75" t="s">
        <v>210</v>
      </c>
      <c r="G75"/>
      <c r="H75" s="16">
        <v>-348038310000</v>
      </c>
      <c r="I75" s="16">
        <v>-582781900000</v>
      </c>
      <c r="J75" s="16" t="s">
        <v>1000</v>
      </c>
      <c r="K75" s="17">
        <f t="shared" si="9"/>
        <v>28</v>
      </c>
      <c r="L75" s="17">
        <f t="shared" si="10"/>
        <v>0</v>
      </c>
      <c r="M75" s="18">
        <f t="shared" si="11"/>
        <v>1</v>
      </c>
      <c r="N75" s="28"/>
      <c r="O75" s="8"/>
      <c r="P75" s="8"/>
      <c r="Q75" s="8"/>
      <c r="R75" s="28"/>
      <c r="S75" s="28"/>
      <c r="T75" s="8"/>
      <c r="U75" s="8"/>
      <c r="V75" s="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8"/>
      <c r="AI75" s="8"/>
      <c r="AJ75" s="8"/>
      <c r="AK75" s="8"/>
      <c r="AL75" s="8"/>
      <c r="AM75" s="28"/>
      <c r="AN75" s="8"/>
      <c r="AO75" s="8"/>
      <c r="AP75" s="28"/>
      <c r="AQ75" s="28"/>
      <c r="AR75" s="28"/>
    </row>
    <row r="76" spans="1:44" ht="15.75" thickBot="1" x14ac:dyDescent="0.3">
      <c r="A76" t="s">
        <v>80</v>
      </c>
      <c r="B76" s="46" t="s">
        <v>211</v>
      </c>
      <c r="C76" t="s">
        <v>212</v>
      </c>
      <c r="D76" t="s">
        <v>24</v>
      </c>
      <c r="E76" t="s">
        <v>36</v>
      </c>
      <c r="F76" t="s">
        <v>114</v>
      </c>
      <c r="G76"/>
      <c r="H76" s="16">
        <v>-348046950000</v>
      </c>
      <c r="I76" s="16">
        <v>-582749390000</v>
      </c>
      <c r="J76" s="16" t="s">
        <v>1001</v>
      </c>
      <c r="K76" s="17">
        <f t="shared" si="9"/>
        <v>28</v>
      </c>
      <c r="L76" s="17">
        <f t="shared" si="10"/>
        <v>0</v>
      </c>
      <c r="M76" s="18">
        <f t="shared" si="11"/>
        <v>1</v>
      </c>
      <c r="N76" s="28"/>
      <c r="O76" s="8"/>
      <c r="P76" s="8"/>
      <c r="Q76" s="8"/>
      <c r="R76" s="28"/>
      <c r="S76" s="28"/>
      <c r="T76" s="8"/>
      <c r="U76" s="8"/>
      <c r="V76" s="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8"/>
      <c r="AI76" s="8"/>
      <c r="AJ76" s="8"/>
      <c r="AK76" s="8"/>
      <c r="AL76" s="8"/>
      <c r="AM76" s="28"/>
      <c r="AN76" s="8"/>
      <c r="AO76" s="8"/>
      <c r="AP76" s="28"/>
      <c r="AQ76" s="28"/>
      <c r="AR76" s="28"/>
    </row>
    <row r="77" spans="1:44" ht="15.75" thickBot="1" x14ac:dyDescent="0.3">
      <c r="A77" t="s">
        <v>80</v>
      </c>
      <c r="B77" s="46" t="s">
        <v>213</v>
      </c>
      <c r="C77" t="s">
        <v>214</v>
      </c>
      <c r="D77" t="s">
        <v>24</v>
      </c>
      <c r="E77" t="s">
        <v>36</v>
      </c>
      <c r="F77" t="s">
        <v>215</v>
      </c>
      <c r="G77"/>
      <c r="H77" s="16">
        <v>-348045710000</v>
      </c>
      <c r="I77" s="16">
        <v>-582732760000</v>
      </c>
      <c r="J77" s="16" t="s">
        <v>1002</v>
      </c>
      <c r="K77" s="17">
        <f t="shared" si="9"/>
        <v>28</v>
      </c>
      <c r="L77" s="17">
        <f t="shared" si="10"/>
        <v>0</v>
      </c>
      <c r="M77" s="18">
        <f t="shared" si="11"/>
        <v>1</v>
      </c>
      <c r="N77" s="28"/>
      <c r="O77" s="8"/>
      <c r="P77" s="8"/>
      <c r="Q77" s="8"/>
      <c r="R77" s="28"/>
      <c r="S77" s="28"/>
      <c r="T77" s="8"/>
      <c r="U77" s="8"/>
      <c r="V77" s="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8"/>
      <c r="AI77" s="8"/>
      <c r="AJ77" s="8"/>
      <c r="AK77" s="8"/>
      <c r="AL77" s="8"/>
      <c r="AM77" s="28"/>
      <c r="AN77" s="8"/>
      <c r="AO77" s="8"/>
      <c r="AP77" s="28"/>
      <c r="AQ77" s="28"/>
      <c r="AR77" s="28"/>
    </row>
    <row r="78" spans="1:44" ht="15.75" thickBot="1" x14ac:dyDescent="0.3">
      <c r="A78" t="s">
        <v>80</v>
      </c>
      <c r="B78" s="46" t="s">
        <v>216</v>
      </c>
      <c r="C78" t="s">
        <v>217</v>
      </c>
      <c r="D78" t="s">
        <v>24</v>
      </c>
      <c r="E78" t="s">
        <v>36</v>
      </c>
      <c r="F78" t="s">
        <v>162</v>
      </c>
      <c r="G78"/>
      <c r="H78" s="16">
        <v>-348034610000</v>
      </c>
      <c r="I78" s="16">
        <v>-582706900000</v>
      </c>
      <c r="J78" s="16" t="s">
        <v>1003</v>
      </c>
      <c r="K78" s="17">
        <f t="shared" si="9"/>
        <v>28</v>
      </c>
      <c r="L78" s="17">
        <f t="shared" si="10"/>
        <v>0</v>
      </c>
      <c r="M78" s="18">
        <f t="shared" si="11"/>
        <v>1</v>
      </c>
      <c r="N78" s="28"/>
      <c r="O78" s="8"/>
      <c r="P78" s="8"/>
      <c r="Q78" s="8"/>
      <c r="R78" s="28"/>
      <c r="S78" s="28"/>
      <c r="T78" s="8"/>
      <c r="U78" s="8"/>
      <c r="V78" s="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8"/>
      <c r="AI78" s="8"/>
      <c r="AJ78" s="8"/>
      <c r="AK78" s="8"/>
      <c r="AL78" s="8"/>
      <c r="AM78" s="28"/>
      <c r="AN78" s="8"/>
      <c r="AO78" s="8"/>
      <c r="AP78" s="28"/>
      <c r="AQ78" s="28"/>
      <c r="AR78" s="28"/>
    </row>
    <row r="79" spans="1:44" ht="15.75" thickBot="1" x14ac:dyDescent="0.3">
      <c r="A79" t="s">
        <v>80</v>
      </c>
      <c r="B79" s="46" t="s">
        <v>218</v>
      </c>
      <c r="C79" t="s">
        <v>219</v>
      </c>
      <c r="D79" t="s">
        <v>24</v>
      </c>
      <c r="E79" t="s">
        <v>36</v>
      </c>
      <c r="F79" t="s">
        <v>186</v>
      </c>
      <c r="G79" t="s">
        <v>220</v>
      </c>
      <c r="H79" s="16">
        <v>-348076770000</v>
      </c>
      <c r="I79" s="16">
        <v>-582730080000</v>
      </c>
      <c r="J79" s="16" t="s">
        <v>1004</v>
      </c>
      <c r="K79" s="17">
        <f t="shared" si="9"/>
        <v>28</v>
      </c>
      <c r="L79" s="17">
        <f t="shared" si="10"/>
        <v>0</v>
      </c>
      <c r="M79" s="18">
        <f t="shared" si="11"/>
        <v>1</v>
      </c>
      <c r="N79" s="28"/>
      <c r="O79" s="8"/>
      <c r="P79" s="8"/>
      <c r="Q79" s="8"/>
      <c r="R79" s="28"/>
      <c r="S79" s="28"/>
      <c r="T79" s="8"/>
      <c r="U79" s="8"/>
      <c r="V79" s="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8"/>
      <c r="AI79" s="8"/>
      <c r="AJ79" s="8"/>
      <c r="AK79" s="8"/>
      <c r="AL79" s="8"/>
      <c r="AM79" s="28"/>
      <c r="AN79" s="8"/>
      <c r="AO79" s="8"/>
      <c r="AP79" s="28"/>
      <c r="AQ79" s="28"/>
      <c r="AR79" s="28"/>
    </row>
    <row r="80" spans="1:44" ht="15.75" thickBot="1" x14ac:dyDescent="0.3">
      <c r="A80" t="s">
        <v>80</v>
      </c>
      <c r="B80" s="46" t="s">
        <v>221</v>
      </c>
      <c r="C80" t="s">
        <v>222</v>
      </c>
      <c r="D80" t="s">
        <v>24</v>
      </c>
      <c r="E80" t="s">
        <v>36</v>
      </c>
      <c r="F80" t="s">
        <v>186</v>
      </c>
      <c r="G80"/>
      <c r="H80" s="16">
        <v>-348087290000</v>
      </c>
      <c r="I80" s="16">
        <v>-582714950000</v>
      </c>
      <c r="J80" s="16" t="s">
        <v>1005</v>
      </c>
      <c r="K80" s="17">
        <f t="shared" si="9"/>
        <v>21</v>
      </c>
      <c r="L80" s="17">
        <f t="shared" si="10"/>
        <v>7</v>
      </c>
      <c r="M80" s="18">
        <f t="shared" si="11"/>
        <v>0.75</v>
      </c>
      <c r="N80" s="28" t="s">
        <v>942</v>
      </c>
      <c r="O80" s="8" t="s">
        <v>942</v>
      </c>
      <c r="P80" s="8" t="s">
        <v>942</v>
      </c>
      <c r="Q80" s="8" t="s">
        <v>942</v>
      </c>
      <c r="R80" s="28" t="s">
        <v>942</v>
      </c>
      <c r="S80" s="28" t="s">
        <v>942</v>
      </c>
      <c r="T80" s="8" t="s">
        <v>942</v>
      </c>
      <c r="U80" s="8"/>
      <c r="V80" s="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8"/>
      <c r="AI80" s="28"/>
      <c r="AJ80" s="8"/>
      <c r="AK80" s="8"/>
      <c r="AL80" s="8"/>
      <c r="AM80" s="28"/>
      <c r="AN80" s="8"/>
      <c r="AO80" s="8"/>
      <c r="AP80" s="28"/>
      <c r="AQ80" s="28"/>
      <c r="AR80" s="28"/>
    </row>
    <row r="81" spans="1:44" ht="15.75" thickBot="1" x14ac:dyDescent="0.3">
      <c r="A81" t="s">
        <v>80</v>
      </c>
      <c r="B81" s="46" t="s">
        <v>223</v>
      </c>
      <c r="C81" t="s">
        <v>87</v>
      </c>
      <c r="D81" t="s">
        <v>113</v>
      </c>
      <c r="E81" t="s">
        <v>36</v>
      </c>
      <c r="F81"/>
      <c r="G81" t="s">
        <v>224</v>
      </c>
      <c r="H81" s="16">
        <v>-348102990000</v>
      </c>
      <c r="I81" s="16">
        <v>-582835440000</v>
      </c>
      <c r="J81" s="16" t="s">
        <v>1006</v>
      </c>
      <c r="K81" s="17">
        <f t="shared" si="9"/>
        <v>28</v>
      </c>
      <c r="L81" s="17">
        <f t="shared" si="10"/>
        <v>0</v>
      </c>
      <c r="M81" s="18">
        <f t="shared" si="11"/>
        <v>1</v>
      </c>
      <c r="N81" s="28"/>
      <c r="O81" s="8"/>
      <c r="P81" s="8"/>
      <c r="Q81" s="8"/>
      <c r="R81" s="28"/>
      <c r="S81" s="28"/>
      <c r="T81" s="8"/>
      <c r="U81" s="8"/>
      <c r="V81" s="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8"/>
      <c r="AI81" s="8"/>
      <c r="AJ81" s="8"/>
      <c r="AK81" s="8"/>
      <c r="AL81" s="8"/>
      <c r="AM81" s="28"/>
      <c r="AN81" s="8"/>
      <c r="AO81" s="8"/>
      <c r="AP81" s="28"/>
      <c r="AQ81" s="28"/>
      <c r="AR81" s="28"/>
    </row>
    <row r="82" spans="1:44" ht="15.75" thickBot="1" x14ac:dyDescent="0.3">
      <c r="A82" t="s">
        <v>80</v>
      </c>
      <c r="B82" s="46" t="s">
        <v>225</v>
      </c>
      <c r="C82" t="s">
        <v>87</v>
      </c>
      <c r="D82" t="s">
        <v>113</v>
      </c>
      <c r="E82" t="s">
        <v>36</v>
      </c>
      <c r="F82"/>
      <c r="G82" t="s">
        <v>224</v>
      </c>
      <c r="H82" s="16">
        <v>-348102840000</v>
      </c>
      <c r="I82" s="16">
        <v>-582835020000</v>
      </c>
      <c r="J82" s="16" t="s">
        <v>1007</v>
      </c>
      <c r="K82" s="17">
        <f t="shared" si="9"/>
        <v>28</v>
      </c>
      <c r="L82" s="17">
        <f t="shared" si="10"/>
        <v>0</v>
      </c>
      <c r="M82" s="18">
        <f t="shared" si="11"/>
        <v>1</v>
      </c>
      <c r="N82" s="28"/>
      <c r="O82" s="8"/>
      <c r="P82" s="8"/>
      <c r="Q82" s="8"/>
      <c r="R82" s="28"/>
      <c r="S82" s="28"/>
      <c r="T82" s="8"/>
      <c r="U82" s="8"/>
      <c r="V82" s="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8"/>
      <c r="AI82" s="8"/>
      <c r="AJ82" s="8"/>
      <c r="AK82" s="8"/>
      <c r="AL82" s="8"/>
      <c r="AM82" s="28"/>
      <c r="AN82" s="8"/>
      <c r="AO82" s="8"/>
      <c r="AP82" s="28"/>
      <c r="AQ82" s="28"/>
      <c r="AR82" s="28"/>
    </row>
    <row r="83" spans="1:44" ht="15.75" thickBot="1" x14ac:dyDescent="0.3">
      <c r="A83" t="s">
        <v>80</v>
      </c>
      <c r="B83" s="46" t="s">
        <v>226</v>
      </c>
      <c r="C83" t="s">
        <v>227</v>
      </c>
      <c r="D83" t="s">
        <v>24</v>
      </c>
      <c r="E83" t="s">
        <v>36</v>
      </c>
      <c r="F83" t="s">
        <v>162</v>
      </c>
      <c r="G83"/>
      <c r="H83" s="16">
        <v>-348076280000</v>
      </c>
      <c r="I83" s="16">
        <v>-582715700000</v>
      </c>
      <c r="J83" s="16" t="s">
        <v>1008</v>
      </c>
      <c r="K83" s="17">
        <f t="shared" si="9"/>
        <v>28</v>
      </c>
      <c r="L83" s="17">
        <f t="shared" si="10"/>
        <v>0</v>
      </c>
      <c r="M83" s="18">
        <f t="shared" si="11"/>
        <v>1</v>
      </c>
      <c r="N83" s="28"/>
      <c r="O83" s="8"/>
      <c r="P83" s="8"/>
      <c r="Q83" s="8"/>
      <c r="R83" s="28"/>
      <c r="S83" s="28"/>
      <c r="T83" s="8"/>
      <c r="U83" s="8"/>
      <c r="V83" s="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8"/>
      <c r="AI83" s="8"/>
      <c r="AJ83" s="8"/>
      <c r="AK83" s="8"/>
      <c r="AL83" s="8"/>
      <c r="AM83" s="28"/>
      <c r="AN83" s="8"/>
      <c r="AO83" s="8"/>
      <c r="AP83" s="28"/>
      <c r="AQ83" s="28"/>
      <c r="AR83" s="28"/>
    </row>
    <row r="84" spans="1:44" ht="15.75" thickBot="1" x14ac:dyDescent="0.3">
      <c r="A84" t="s">
        <v>80</v>
      </c>
      <c r="B84" s="46" t="s">
        <v>228</v>
      </c>
      <c r="C84" t="s">
        <v>229</v>
      </c>
      <c r="D84" t="s">
        <v>24</v>
      </c>
      <c r="E84" t="s">
        <v>25</v>
      </c>
      <c r="F84" t="s">
        <v>230</v>
      </c>
      <c r="G84" t="s">
        <v>231</v>
      </c>
      <c r="H84" s="16">
        <v>-348082910000</v>
      </c>
      <c r="I84" s="16">
        <v>-582832080000</v>
      </c>
      <c r="J84" s="16" t="s">
        <v>1009</v>
      </c>
      <c r="K84" s="17">
        <f t="shared" si="9"/>
        <v>28</v>
      </c>
      <c r="L84" s="17">
        <f t="shared" si="10"/>
        <v>0</v>
      </c>
      <c r="M84" s="18">
        <f t="shared" si="11"/>
        <v>1</v>
      </c>
      <c r="N84" s="28"/>
      <c r="O84" s="8"/>
      <c r="P84" s="8"/>
      <c r="Q84" s="8"/>
      <c r="R84" s="28"/>
      <c r="S84" s="28"/>
      <c r="T84" s="8"/>
      <c r="U84" s="8"/>
      <c r="V84" s="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8"/>
      <c r="AI84" s="8"/>
      <c r="AJ84" s="8"/>
      <c r="AK84" s="8"/>
      <c r="AL84" s="8"/>
      <c r="AM84" s="28"/>
      <c r="AN84" s="8"/>
      <c r="AO84" s="8"/>
      <c r="AP84" s="28"/>
      <c r="AQ84" s="28"/>
      <c r="AR84" s="28"/>
    </row>
    <row r="85" spans="1:44" ht="15.75" thickBot="1" x14ac:dyDescent="0.3">
      <c r="A85" t="s">
        <v>80</v>
      </c>
      <c r="B85" s="46" t="s">
        <v>232</v>
      </c>
      <c r="C85" t="s">
        <v>233</v>
      </c>
      <c r="D85" t="s">
        <v>24</v>
      </c>
      <c r="E85" t="s">
        <v>25</v>
      </c>
      <c r="F85" t="s">
        <v>234</v>
      </c>
      <c r="G85"/>
      <c r="H85" s="16">
        <v>-347975480000</v>
      </c>
      <c r="I85" s="16">
        <v>-582789940000</v>
      </c>
      <c r="J85" s="16" t="s">
        <v>1010</v>
      </c>
      <c r="K85" s="17">
        <f t="shared" si="9"/>
        <v>28</v>
      </c>
      <c r="L85" s="17">
        <f t="shared" si="10"/>
        <v>0</v>
      </c>
      <c r="M85" s="18">
        <f t="shared" si="11"/>
        <v>1</v>
      </c>
      <c r="N85" s="28"/>
      <c r="O85" s="8"/>
      <c r="P85" s="8"/>
      <c r="Q85" s="8"/>
      <c r="R85" s="28"/>
      <c r="S85" s="28"/>
      <c r="T85" s="8"/>
      <c r="U85" s="8"/>
      <c r="V85" s="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8"/>
      <c r="AI85" s="8"/>
      <c r="AJ85" s="8"/>
      <c r="AK85" s="8"/>
      <c r="AL85" s="8"/>
      <c r="AM85" s="28"/>
      <c r="AN85" s="8"/>
      <c r="AO85" s="8"/>
      <c r="AP85" s="28"/>
      <c r="AQ85" s="28"/>
      <c r="AR85" s="28"/>
    </row>
    <row r="86" spans="1:44" ht="15.75" thickBot="1" x14ac:dyDescent="0.3">
      <c r="A86" t="s">
        <v>80</v>
      </c>
      <c r="B86" s="46" t="s">
        <v>235</v>
      </c>
      <c r="C86" t="s">
        <v>236</v>
      </c>
      <c r="D86" t="s">
        <v>24</v>
      </c>
      <c r="E86" t="s">
        <v>25</v>
      </c>
      <c r="F86" t="s">
        <v>237</v>
      </c>
      <c r="G86" t="s">
        <v>238</v>
      </c>
      <c r="H86" s="16">
        <v>-348070120000</v>
      </c>
      <c r="I86" s="16">
        <v>-582783830000</v>
      </c>
      <c r="J86" s="16" t="s">
        <v>1011</v>
      </c>
      <c r="K86" s="17">
        <f t="shared" si="9"/>
        <v>27</v>
      </c>
      <c r="L86" s="17">
        <f t="shared" si="10"/>
        <v>1</v>
      </c>
      <c r="M86" s="18">
        <f t="shared" si="11"/>
        <v>0.9642857142857143</v>
      </c>
      <c r="N86" s="28" t="s">
        <v>942</v>
      </c>
      <c r="O86" s="8"/>
      <c r="P86" s="8"/>
      <c r="Q86" s="8"/>
      <c r="R86" s="28"/>
      <c r="S86" s="28"/>
      <c r="T86" s="8"/>
      <c r="U86" s="8"/>
      <c r="V86" s="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8"/>
      <c r="AI86" s="8"/>
      <c r="AJ86" s="8"/>
      <c r="AK86" s="8"/>
      <c r="AL86" s="8"/>
      <c r="AM86" s="28"/>
      <c r="AN86" s="8"/>
      <c r="AO86" s="8"/>
      <c r="AP86" s="28"/>
      <c r="AQ86" s="28"/>
      <c r="AR86" s="28"/>
    </row>
    <row r="87" spans="1:44" ht="15.75" thickBot="1" x14ac:dyDescent="0.3">
      <c r="B87" s="46" t="s">
        <v>239</v>
      </c>
      <c r="C87" t="s">
        <v>240</v>
      </c>
      <c r="D87" t="s">
        <v>19</v>
      </c>
      <c r="E87" t="s">
        <v>25</v>
      </c>
      <c r="F87"/>
      <c r="G87" t="s">
        <v>241</v>
      </c>
      <c r="H87" s="16">
        <v>-348006380000</v>
      </c>
      <c r="I87" s="16">
        <v>-582785240000</v>
      </c>
      <c r="J87" s="16" t="s">
        <v>1014</v>
      </c>
      <c r="K87" s="17">
        <f t="shared" si="9"/>
        <v>28</v>
      </c>
      <c r="L87" s="17">
        <f t="shared" si="10"/>
        <v>0</v>
      </c>
      <c r="M87" s="18">
        <f t="shared" si="11"/>
        <v>1</v>
      </c>
      <c r="N87" s="28"/>
      <c r="O87" s="8"/>
      <c r="P87" s="8"/>
      <c r="Q87" s="8"/>
      <c r="R87" s="28"/>
      <c r="S87" s="28"/>
      <c r="T87" s="8"/>
      <c r="U87" s="8"/>
      <c r="V87" s="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8"/>
      <c r="AI87" s="8"/>
      <c r="AJ87" s="8"/>
      <c r="AK87" s="8"/>
      <c r="AL87" s="8"/>
      <c r="AM87" s="28"/>
      <c r="AN87" s="8"/>
      <c r="AO87" s="8"/>
      <c r="AP87" s="28"/>
      <c r="AQ87" s="28"/>
      <c r="AR87" s="28"/>
    </row>
    <row r="88" spans="1:44" ht="15.75" thickBot="1" x14ac:dyDescent="0.3">
      <c r="A88" t="s">
        <v>80</v>
      </c>
      <c r="B88" s="46" t="s">
        <v>242</v>
      </c>
      <c r="C88" t="s">
        <v>243</v>
      </c>
      <c r="D88" t="s">
        <v>73</v>
      </c>
      <c r="E88" t="s">
        <v>36</v>
      </c>
      <c r="F88"/>
      <c r="G88" t="s">
        <v>224</v>
      </c>
      <c r="H88" s="16">
        <v>-348100370000</v>
      </c>
      <c r="I88" s="16">
        <v>-582778830000</v>
      </c>
      <c r="J88" s="16" t="s">
        <v>1027</v>
      </c>
      <c r="K88" s="17">
        <f t="shared" si="9"/>
        <v>21</v>
      </c>
      <c r="L88" s="17">
        <f t="shared" si="10"/>
        <v>7</v>
      </c>
      <c r="M88" s="18">
        <f t="shared" si="11"/>
        <v>0.75</v>
      </c>
      <c r="N88" s="28" t="s">
        <v>942</v>
      </c>
      <c r="O88" s="8" t="s">
        <v>942</v>
      </c>
      <c r="P88" s="8" t="s">
        <v>942</v>
      </c>
      <c r="Q88" s="8" t="s">
        <v>942</v>
      </c>
      <c r="R88" s="28" t="s">
        <v>942</v>
      </c>
      <c r="S88" s="28" t="s">
        <v>942</v>
      </c>
      <c r="T88" s="8" t="s">
        <v>942</v>
      </c>
      <c r="U88" s="8"/>
      <c r="V88" s="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8"/>
      <c r="AI88" s="28"/>
      <c r="AJ88" s="8"/>
      <c r="AK88" s="8"/>
      <c r="AL88" s="8"/>
      <c r="AM88" s="28"/>
      <c r="AN88" s="8"/>
      <c r="AO88" s="8"/>
      <c r="AP88" s="28"/>
      <c r="AQ88" s="28"/>
      <c r="AR88" s="28"/>
    </row>
    <row r="89" spans="1:44" ht="15.75" thickBot="1" x14ac:dyDescent="0.3">
      <c r="A89" t="s">
        <v>80</v>
      </c>
      <c r="B89" s="46" t="s">
        <v>244</v>
      </c>
      <c r="C89" t="s">
        <v>245</v>
      </c>
      <c r="D89" t="s">
        <v>73</v>
      </c>
      <c r="E89" t="s">
        <v>36</v>
      </c>
      <c r="F89"/>
      <c r="G89" t="s">
        <v>224</v>
      </c>
      <c r="H89" s="16">
        <v>-348107920000</v>
      </c>
      <c r="I89" s="16">
        <v>-582777490000</v>
      </c>
      <c r="J89" s="16" t="s">
        <v>1028</v>
      </c>
      <c r="K89" s="17">
        <f t="shared" si="9"/>
        <v>22</v>
      </c>
      <c r="L89" s="17">
        <f t="shared" si="10"/>
        <v>6</v>
      </c>
      <c r="M89" s="18">
        <f t="shared" si="11"/>
        <v>0.7857142857142857</v>
      </c>
      <c r="N89" s="28"/>
      <c r="O89" s="8" t="s">
        <v>942</v>
      </c>
      <c r="P89" s="8" t="s">
        <v>942</v>
      </c>
      <c r="Q89" s="8" t="s">
        <v>942</v>
      </c>
      <c r="R89" s="28" t="s">
        <v>942</v>
      </c>
      <c r="S89" s="28" t="s">
        <v>942</v>
      </c>
      <c r="T89" s="8" t="s">
        <v>942</v>
      </c>
      <c r="U89" s="8"/>
      <c r="V89" s="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8"/>
      <c r="AI89" s="8"/>
      <c r="AJ89" s="8"/>
      <c r="AK89" s="8"/>
      <c r="AL89" s="8"/>
      <c r="AM89" s="28"/>
      <c r="AN89" s="8"/>
      <c r="AO89" s="8"/>
      <c r="AP89" s="28"/>
      <c r="AQ89" s="28"/>
      <c r="AR89" s="28"/>
    </row>
    <row r="90" spans="1:44" ht="15.75" thickBot="1" x14ac:dyDescent="0.3">
      <c r="A90" t="s">
        <v>80</v>
      </c>
      <c r="B90" s="46" t="s">
        <v>246</v>
      </c>
      <c r="C90" t="s">
        <v>245</v>
      </c>
      <c r="D90" t="s">
        <v>73</v>
      </c>
      <c r="E90" t="s">
        <v>36</v>
      </c>
      <c r="F90"/>
      <c r="G90" t="s">
        <v>224</v>
      </c>
      <c r="H90" s="16">
        <v>-348109620000</v>
      </c>
      <c r="I90" s="16">
        <v>-582777260000</v>
      </c>
      <c r="J90" s="16" t="s">
        <v>1029</v>
      </c>
      <c r="K90" s="17">
        <f t="shared" si="9"/>
        <v>21</v>
      </c>
      <c r="L90" s="17">
        <f t="shared" si="10"/>
        <v>7</v>
      </c>
      <c r="M90" s="18">
        <f t="shared" si="11"/>
        <v>0.75</v>
      </c>
      <c r="N90" s="28" t="s">
        <v>942</v>
      </c>
      <c r="O90" s="8" t="s">
        <v>942</v>
      </c>
      <c r="P90" s="8" t="s">
        <v>942</v>
      </c>
      <c r="Q90" s="8" t="s">
        <v>942</v>
      </c>
      <c r="R90" s="28" t="s">
        <v>942</v>
      </c>
      <c r="S90" s="28" t="s">
        <v>942</v>
      </c>
      <c r="T90" s="8" t="s">
        <v>942</v>
      </c>
      <c r="U90" s="8"/>
      <c r="V90" s="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8"/>
      <c r="AI90" s="28"/>
      <c r="AJ90" s="8"/>
      <c r="AK90" s="8"/>
      <c r="AL90" s="8"/>
      <c r="AM90" s="28"/>
      <c r="AN90" s="8"/>
      <c r="AO90" s="8"/>
      <c r="AP90" s="28"/>
      <c r="AQ90" s="28"/>
      <c r="AR90" s="28"/>
    </row>
    <row r="91" spans="1:44" ht="13.9" customHeight="1" thickBot="1" x14ac:dyDescent="0.3">
      <c r="A91" t="s">
        <v>80</v>
      </c>
      <c r="B91" s="46" t="s">
        <v>247</v>
      </c>
      <c r="C91" t="s">
        <v>248</v>
      </c>
      <c r="D91" t="s">
        <v>113</v>
      </c>
      <c r="E91" t="s">
        <v>36</v>
      </c>
      <c r="F91"/>
      <c r="G91" t="s">
        <v>249</v>
      </c>
      <c r="H91" s="16">
        <v>-348024610000</v>
      </c>
      <c r="I91" s="16">
        <v>-582715570000</v>
      </c>
      <c r="J91" s="16" t="s">
        <v>1033</v>
      </c>
      <c r="K91" s="17">
        <f t="shared" si="9"/>
        <v>21</v>
      </c>
      <c r="L91" s="17">
        <f t="shared" si="10"/>
        <v>7</v>
      </c>
      <c r="M91" s="18">
        <f t="shared" si="11"/>
        <v>0.75</v>
      </c>
      <c r="N91" s="28" t="s">
        <v>942</v>
      </c>
      <c r="O91" s="8" t="s">
        <v>942</v>
      </c>
      <c r="P91" s="8" t="s">
        <v>942</v>
      </c>
      <c r="Q91" s="8" t="s">
        <v>942</v>
      </c>
      <c r="R91" s="28" t="s">
        <v>942</v>
      </c>
      <c r="S91" s="28" t="s">
        <v>942</v>
      </c>
      <c r="T91" s="8" t="s">
        <v>942</v>
      </c>
      <c r="U91" s="8"/>
      <c r="V91" s="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8"/>
      <c r="AI91" s="28"/>
      <c r="AJ91" s="8"/>
      <c r="AK91" s="8"/>
      <c r="AL91" s="8"/>
      <c r="AM91" s="28"/>
      <c r="AN91" s="8"/>
      <c r="AO91" s="8"/>
      <c r="AP91" s="28"/>
      <c r="AQ91" s="28"/>
      <c r="AR91" s="28"/>
    </row>
    <row r="92" spans="1:44" ht="15.75" thickBot="1" x14ac:dyDescent="0.3">
      <c r="A92" t="s">
        <v>80</v>
      </c>
      <c r="B92" s="46" t="s">
        <v>250</v>
      </c>
      <c r="C92" t="s">
        <v>248</v>
      </c>
      <c r="D92" t="s">
        <v>113</v>
      </c>
      <c r="E92" t="s">
        <v>36</v>
      </c>
      <c r="F92"/>
      <c r="G92" t="s">
        <v>249</v>
      </c>
      <c r="H92" s="16">
        <v>-348024610000</v>
      </c>
      <c r="I92" s="16">
        <v>-582715570000</v>
      </c>
      <c r="J92" s="16" t="s">
        <v>1034</v>
      </c>
      <c r="K92" s="17">
        <f t="shared" si="9"/>
        <v>21</v>
      </c>
      <c r="L92" s="17">
        <f t="shared" si="10"/>
        <v>7</v>
      </c>
      <c r="M92" s="18">
        <f t="shared" si="11"/>
        <v>0.75</v>
      </c>
      <c r="N92" s="28" t="s">
        <v>942</v>
      </c>
      <c r="O92" s="8" t="s">
        <v>942</v>
      </c>
      <c r="P92" s="8" t="s">
        <v>942</v>
      </c>
      <c r="Q92" s="8" t="s">
        <v>942</v>
      </c>
      <c r="R92" s="28" t="s">
        <v>942</v>
      </c>
      <c r="S92" s="28" t="s">
        <v>942</v>
      </c>
      <c r="T92" s="8" t="s">
        <v>942</v>
      </c>
      <c r="U92" s="8"/>
      <c r="V92" s="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8"/>
      <c r="AI92" s="28"/>
      <c r="AJ92" s="8"/>
      <c r="AK92" s="8"/>
      <c r="AL92" s="8"/>
      <c r="AM92" s="28"/>
      <c r="AN92" s="8"/>
      <c r="AO92" s="8"/>
      <c r="AP92" s="28"/>
      <c r="AQ92" s="28"/>
      <c r="AR92" s="28"/>
    </row>
    <row r="93" spans="1:44" ht="15.75" thickBot="1" x14ac:dyDescent="0.3">
      <c r="A93" t="s">
        <v>80</v>
      </c>
      <c r="B93" s="46" t="s">
        <v>251</v>
      </c>
      <c r="C93" t="s">
        <v>252</v>
      </c>
      <c r="D93" t="s">
        <v>19</v>
      </c>
      <c r="E93" t="s">
        <v>36</v>
      </c>
      <c r="F93"/>
      <c r="G93" t="s">
        <v>253</v>
      </c>
      <c r="H93" s="16">
        <v>-348093230000</v>
      </c>
      <c r="I93" s="16">
        <v>-582817790000</v>
      </c>
      <c r="J93" s="16" t="s">
        <v>1035</v>
      </c>
      <c r="K93" s="17">
        <f t="shared" si="9"/>
        <v>28</v>
      </c>
      <c r="L93" s="17">
        <f t="shared" si="10"/>
        <v>0</v>
      </c>
      <c r="M93" s="18">
        <f t="shared" si="11"/>
        <v>1</v>
      </c>
      <c r="N93" s="28"/>
      <c r="O93" s="8"/>
      <c r="P93" s="8"/>
      <c r="Q93" s="8"/>
      <c r="R93" s="28"/>
      <c r="S93" s="28"/>
      <c r="T93" s="8"/>
      <c r="U93" s="8"/>
      <c r="V93" s="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8"/>
      <c r="AI93" s="8"/>
      <c r="AJ93" s="8"/>
      <c r="AK93" s="8"/>
      <c r="AL93" s="8"/>
      <c r="AM93" s="28"/>
      <c r="AN93" s="8"/>
      <c r="AO93" s="8"/>
      <c r="AP93" s="28"/>
      <c r="AQ93" s="28"/>
      <c r="AR93" s="28"/>
    </row>
    <row r="94" spans="1:44" ht="15.75" thickBot="1" x14ac:dyDescent="0.3">
      <c r="A94" t="s">
        <v>80</v>
      </c>
      <c r="B94" s="46" t="s">
        <v>254</v>
      </c>
      <c r="C94" t="s">
        <v>255</v>
      </c>
      <c r="D94" t="s">
        <v>19</v>
      </c>
      <c r="E94" t="s">
        <v>36</v>
      </c>
      <c r="F94"/>
      <c r="G94" t="s">
        <v>256</v>
      </c>
      <c r="H94" s="16">
        <v>-347987330000</v>
      </c>
      <c r="I94" s="16">
        <v>-582822490000</v>
      </c>
      <c r="J94" s="16" t="s">
        <v>1039</v>
      </c>
      <c r="K94" s="17">
        <f t="shared" si="9"/>
        <v>28</v>
      </c>
      <c r="L94" s="17">
        <f t="shared" si="10"/>
        <v>0</v>
      </c>
      <c r="M94" s="18">
        <f t="shared" si="11"/>
        <v>1</v>
      </c>
      <c r="N94" s="28"/>
      <c r="O94" s="8"/>
      <c r="P94" s="8"/>
      <c r="Q94" s="8"/>
      <c r="R94" s="28"/>
      <c r="S94" s="28"/>
      <c r="T94" s="8"/>
      <c r="U94" s="8"/>
      <c r="V94" s="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8"/>
      <c r="AI94" s="8"/>
      <c r="AJ94" s="8"/>
      <c r="AK94" s="8"/>
      <c r="AL94" s="8"/>
      <c r="AM94" s="28"/>
      <c r="AN94" s="8"/>
      <c r="AO94" s="8"/>
      <c r="AP94" s="28"/>
      <c r="AQ94" s="28"/>
      <c r="AR94" s="28"/>
    </row>
    <row r="95" spans="1:44" ht="15.75" thickBot="1" x14ac:dyDescent="0.3">
      <c r="A95" t="s">
        <v>80</v>
      </c>
      <c r="B95" s="46" t="s">
        <v>257</v>
      </c>
      <c r="C95" t="s">
        <v>258</v>
      </c>
      <c r="D95" t="s">
        <v>24</v>
      </c>
      <c r="E95" t="s">
        <v>36</v>
      </c>
      <c r="F95"/>
      <c r="G95"/>
      <c r="H95" s="16">
        <v>-348051750000</v>
      </c>
      <c r="I95" s="16">
        <v>-582833410000</v>
      </c>
      <c r="J95" s="16" t="s">
        <v>1040</v>
      </c>
      <c r="K95" s="17">
        <f t="shared" si="9"/>
        <v>28</v>
      </c>
      <c r="L95" s="17">
        <f t="shared" si="10"/>
        <v>0</v>
      </c>
      <c r="M95" s="18">
        <f t="shared" si="11"/>
        <v>1</v>
      </c>
      <c r="N95" s="28"/>
      <c r="O95" s="8"/>
      <c r="P95" s="8"/>
      <c r="Q95" s="8"/>
      <c r="R95" s="28"/>
      <c r="S95" s="28"/>
      <c r="T95" s="8"/>
      <c r="U95" s="8"/>
      <c r="V95" s="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8"/>
      <c r="AI95" s="8"/>
      <c r="AJ95" s="8"/>
      <c r="AK95" s="8"/>
      <c r="AL95" s="8"/>
      <c r="AM95" s="28"/>
      <c r="AN95" s="8"/>
      <c r="AO95" s="8"/>
      <c r="AP95" s="28"/>
      <c r="AQ95" s="28"/>
      <c r="AR95" s="28"/>
    </row>
    <row r="96" spans="1:44" ht="15.75" thickBot="1" x14ac:dyDescent="0.3">
      <c r="A96" t="s">
        <v>259</v>
      </c>
      <c r="B96" s="46" t="s">
        <v>260</v>
      </c>
      <c r="C96" t="s">
        <v>261</v>
      </c>
      <c r="D96" t="s">
        <v>24</v>
      </c>
      <c r="E96" t="s">
        <v>25</v>
      </c>
      <c r="F96" t="s">
        <v>162</v>
      </c>
      <c r="G96"/>
      <c r="H96" s="16">
        <v>-348055400000</v>
      </c>
      <c r="I96" s="16">
        <v>-582972760000</v>
      </c>
      <c r="J96" s="16" t="s">
        <v>1041</v>
      </c>
      <c r="K96" s="17">
        <f t="shared" si="9"/>
        <v>28</v>
      </c>
      <c r="L96" s="17">
        <f t="shared" si="10"/>
        <v>0</v>
      </c>
      <c r="M96" s="18">
        <f t="shared" si="11"/>
        <v>1</v>
      </c>
      <c r="N96" s="28"/>
      <c r="O96" s="8"/>
      <c r="P96" s="8"/>
      <c r="Q96" s="8"/>
      <c r="R96" s="28"/>
      <c r="S96" s="28"/>
      <c r="T96" s="8"/>
      <c r="U96" s="8"/>
      <c r="V96" s="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8"/>
      <c r="AI96" s="8"/>
      <c r="AJ96" s="8"/>
      <c r="AK96" s="8"/>
      <c r="AL96" s="8"/>
      <c r="AM96" s="28"/>
      <c r="AN96" s="8"/>
      <c r="AO96" s="8"/>
      <c r="AP96" s="28"/>
      <c r="AQ96" s="28"/>
      <c r="AR96" s="28"/>
    </row>
    <row r="97" spans="1:44" ht="15.75" thickBot="1" x14ac:dyDescent="0.3">
      <c r="A97" t="s">
        <v>262</v>
      </c>
      <c r="B97" s="46" t="s">
        <v>263</v>
      </c>
      <c r="C97" t="s">
        <v>264</v>
      </c>
      <c r="D97" t="s">
        <v>24</v>
      </c>
      <c r="E97" t="s">
        <v>25</v>
      </c>
      <c r="F97" t="s">
        <v>186</v>
      </c>
      <c r="G97" t="s">
        <v>265</v>
      </c>
      <c r="H97" s="16">
        <v>-348032560000</v>
      </c>
      <c r="I97" s="16">
        <v>-582926760000</v>
      </c>
      <c r="J97" s="16" t="s">
        <v>1042</v>
      </c>
      <c r="K97" s="17">
        <f t="shared" si="9"/>
        <v>27</v>
      </c>
      <c r="L97" s="17">
        <f t="shared" si="10"/>
        <v>1</v>
      </c>
      <c r="M97" s="18">
        <f t="shared" si="11"/>
        <v>0.9642857142857143</v>
      </c>
      <c r="N97" s="28"/>
      <c r="O97" s="8"/>
      <c r="P97" s="8"/>
      <c r="Q97" s="8"/>
      <c r="R97" s="28"/>
      <c r="S97" s="28"/>
      <c r="T97" s="8" t="s">
        <v>942</v>
      </c>
      <c r="U97" s="8"/>
      <c r="V97" s="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8"/>
      <c r="AI97" s="8"/>
      <c r="AJ97" s="8"/>
      <c r="AK97" s="8"/>
      <c r="AL97" s="8"/>
      <c r="AM97" s="28"/>
      <c r="AN97" s="8"/>
      <c r="AO97" s="8"/>
      <c r="AP97" s="28"/>
      <c r="AQ97" s="28"/>
      <c r="AR97" s="28"/>
    </row>
    <row r="98" spans="1:44" ht="15.75" thickBot="1" x14ac:dyDescent="0.3">
      <c r="A98" t="s">
        <v>262</v>
      </c>
      <c r="B98" s="46" t="s">
        <v>266</v>
      </c>
      <c r="C98" t="s">
        <v>267</v>
      </c>
      <c r="D98" t="s">
        <v>19</v>
      </c>
      <c r="E98" t="s">
        <v>36</v>
      </c>
      <c r="F98"/>
      <c r="G98" t="s">
        <v>268</v>
      </c>
      <c r="H98" s="16">
        <v>-348083930000</v>
      </c>
      <c r="I98" s="16">
        <v>-582918310000</v>
      </c>
      <c r="J98" s="16" t="s">
        <v>1043</v>
      </c>
      <c r="K98" s="17">
        <f t="shared" si="9"/>
        <v>28</v>
      </c>
      <c r="L98" s="17">
        <f t="shared" si="10"/>
        <v>0</v>
      </c>
      <c r="M98" s="18">
        <f t="shared" si="11"/>
        <v>1</v>
      </c>
      <c r="N98" s="28"/>
      <c r="O98" s="8"/>
      <c r="P98" s="8"/>
      <c r="Q98" s="8"/>
      <c r="R98" s="28"/>
      <c r="S98" s="28"/>
      <c r="T98" s="8"/>
      <c r="U98" s="8"/>
      <c r="V98" s="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8"/>
      <c r="AI98" s="8"/>
      <c r="AJ98" s="8"/>
      <c r="AK98" s="8"/>
      <c r="AL98" s="8"/>
      <c r="AM98" s="28"/>
      <c r="AN98" s="8"/>
      <c r="AO98" s="8"/>
      <c r="AP98" s="28"/>
      <c r="AQ98" s="28"/>
      <c r="AR98" s="28"/>
    </row>
    <row r="99" spans="1:44" ht="15.75" thickBot="1" x14ac:dyDescent="0.3">
      <c r="A99" t="s">
        <v>262</v>
      </c>
      <c r="B99" s="46" t="s">
        <v>269</v>
      </c>
      <c r="C99" t="s">
        <v>270</v>
      </c>
      <c r="D99" t="s">
        <v>19</v>
      </c>
      <c r="E99" t="s">
        <v>36</v>
      </c>
      <c r="F99"/>
      <c r="G99" t="s">
        <v>271</v>
      </c>
      <c r="H99" s="16">
        <v>-348019100000</v>
      </c>
      <c r="I99" s="16">
        <v>-582901420000</v>
      </c>
      <c r="J99" s="16" t="s">
        <v>1044</v>
      </c>
      <c r="K99" s="17">
        <f t="shared" si="9"/>
        <v>28</v>
      </c>
      <c r="L99" s="17">
        <f t="shared" si="10"/>
        <v>0</v>
      </c>
      <c r="M99" s="18">
        <f t="shared" si="11"/>
        <v>1</v>
      </c>
      <c r="N99" s="28"/>
      <c r="O99" s="8"/>
      <c r="P99" s="8"/>
      <c r="Q99" s="8"/>
      <c r="R99" s="28"/>
      <c r="S99" s="28"/>
      <c r="T99" s="8"/>
      <c r="U99" s="8"/>
      <c r="V99" s="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8"/>
      <c r="AI99" s="8"/>
      <c r="AJ99" s="8"/>
      <c r="AK99" s="8"/>
      <c r="AL99" s="8"/>
      <c r="AM99" s="28"/>
      <c r="AN99" s="8"/>
      <c r="AO99" s="8"/>
      <c r="AP99" s="28"/>
      <c r="AQ99" s="28"/>
      <c r="AR99" s="28"/>
    </row>
    <row r="100" spans="1:44" ht="15.75" thickBot="1" x14ac:dyDescent="0.3">
      <c r="A100" t="s">
        <v>272</v>
      </c>
      <c r="B100" s="46" t="s">
        <v>273</v>
      </c>
      <c r="C100" t="s">
        <v>274</v>
      </c>
      <c r="D100" t="s">
        <v>24</v>
      </c>
      <c r="E100" t="s">
        <v>25</v>
      </c>
      <c r="F100" t="s">
        <v>162</v>
      </c>
      <c r="G100"/>
      <c r="H100" s="16">
        <v>-348419680000</v>
      </c>
      <c r="I100" s="16">
        <v>-582787590000</v>
      </c>
      <c r="J100" s="16" t="s">
        <v>1045</v>
      </c>
      <c r="K100" s="17">
        <f t="shared" si="9"/>
        <v>28</v>
      </c>
      <c r="L100" s="17">
        <f t="shared" si="10"/>
        <v>0</v>
      </c>
      <c r="M100" s="18">
        <f t="shared" si="11"/>
        <v>1</v>
      </c>
      <c r="N100" s="28"/>
      <c r="O100" s="8"/>
      <c r="P100" s="8"/>
      <c r="Q100" s="8"/>
      <c r="R100" s="28"/>
      <c r="S100" s="28"/>
      <c r="T100" s="8"/>
      <c r="U100" s="8"/>
      <c r="V100" s="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8"/>
      <c r="AI100" s="8"/>
      <c r="AJ100" s="8"/>
      <c r="AK100" s="8"/>
      <c r="AL100" s="8"/>
      <c r="AM100" s="28"/>
      <c r="AN100" s="8"/>
      <c r="AO100" s="8"/>
      <c r="AP100" s="28"/>
      <c r="AQ100" s="28"/>
      <c r="AR100" s="28"/>
    </row>
    <row r="101" spans="1:44" ht="15.75" thickBot="1" x14ac:dyDescent="0.3">
      <c r="A101" t="s">
        <v>275</v>
      </c>
      <c r="B101" s="46" t="s">
        <v>276</v>
      </c>
      <c r="C101" t="s">
        <v>277</v>
      </c>
      <c r="D101" t="s">
        <v>24</v>
      </c>
      <c r="E101" t="s">
        <v>25</v>
      </c>
      <c r="F101" t="s">
        <v>278</v>
      </c>
      <c r="G101"/>
      <c r="H101" s="16">
        <v>-348439980000</v>
      </c>
      <c r="I101" s="16">
        <v>-582786670000</v>
      </c>
      <c r="J101" s="16" t="s">
        <v>1046</v>
      </c>
      <c r="K101" s="17">
        <f t="shared" si="9"/>
        <v>28</v>
      </c>
      <c r="L101" s="17">
        <f t="shared" si="10"/>
        <v>0</v>
      </c>
      <c r="M101" s="18">
        <f t="shared" si="11"/>
        <v>1</v>
      </c>
      <c r="N101" s="28"/>
      <c r="O101" s="8"/>
      <c r="P101" s="8"/>
      <c r="Q101" s="8"/>
      <c r="R101" s="28"/>
      <c r="S101" s="28"/>
      <c r="T101" s="8"/>
      <c r="U101" s="8"/>
      <c r="V101" s="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8"/>
      <c r="AI101" s="8"/>
      <c r="AJ101" s="8"/>
      <c r="AK101" s="8"/>
      <c r="AL101" s="8"/>
      <c r="AM101" s="28"/>
      <c r="AN101" s="8"/>
      <c r="AO101" s="8"/>
      <c r="AP101" s="28"/>
      <c r="AQ101" s="28"/>
      <c r="AR101" s="28"/>
    </row>
    <row r="102" spans="1:44" ht="15.75" thickBot="1" x14ac:dyDescent="0.3">
      <c r="A102" t="s">
        <v>275</v>
      </c>
      <c r="B102" s="46" t="s">
        <v>279</v>
      </c>
      <c r="C102" t="s">
        <v>280</v>
      </c>
      <c r="D102" t="s">
        <v>19</v>
      </c>
      <c r="E102" t="s">
        <v>25</v>
      </c>
      <c r="F102"/>
      <c r="G102" t="s">
        <v>281</v>
      </c>
      <c r="H102" s="16">
        <v>-348376190000</v>
      </c>
      <c r="I102" s="16">
        <v>-582703080000</v>
      </c>
      <c r="J102" s="16" t="s">
        <v>1047</v>
      </c>
      <c r="K102" s="17">
        <f t="shared" si="9"/>
        <v>27</v>
      </c>
      <c r="L102" s="17">
        <f t="shared" si="10"/>
        <v>1</v>
      </c>
      <c r="M102" s="18">
        <f t="shared" si="11"/>
        <v>0.9642857142857143</v>
      </c>
      <c r="N102" s="28"/>
      <c r="O102" s="8"/>
      <c r="P102" s="8"/>
      <c r="Q102" s="8"/>
      <c r="R102" s="28"/>
      <c r="S102" s="28"/>
      <c r="T102" s="8" t="s">
        <v>942</v>
      </c>
      <c r="U102" s="8"/>
      <c r="V102" s="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8"/>
      <c r="AI102" s="8"/>
      <c r="AJ102" s="8"/>
      <c r="AK102" s="8"/>
      <c r="AL102" s="8"/>
      <c r="AM102" s="28"/>
      <c r="AN102" s="8"/>
      <c r="AO102" s="8"/>
      <c r="AP102" s="28"/>
      <c r="AQ102" s="28"/>
      <c r="AR102" s="28"/>
    </row>
    <row r="103" spans="1:44" ht="15.75" thickBot="1" x14ac:dyDescent="0.3">
      <c r="B103" s="46" t="s">
        <v>282</v>
      </c>
      <c r="C103" t="s">
        <v>283</v>
      </c>
      <c r="D103" t="s">
        <v>24</v>
      </c>
      <c r="E103" t="s">
        <v>25</v>
      </c>
      <c r="F103" t="s">
        <v>114</v>
      </c>
      <c r="G103"/>
      <c r="H103" s="16">
        <v>-347933300000</v>
      </c>
      <c r="I103" s="16">
        <v>-583098510000</v>
      </c>
      <c r="J103" s="16" t="s">
        <v>1048</v>
      </c>
      <c r="K103" s="17">
        <f t="shared" si="9"/>
        <v>28</v>
      </c>
      <c r="L103" s="17">
        <f t="shared" si="10"/>
        <v>0</v>
      </c>
      <c r="M103" s="18">
        <f t="shared" si="11"/>
        <v>1</v>
      </c>
      <c r="N103" s="28"/>
      <c r="O103" s="8"/>
      <c r="P103" s="8"/>
      <c r="Q103" s="8"/>
      <c r="R103" s="28"/>
      <c r="S103" s="28"/>
      <c r="T103" s="8"/>
      <c r="U103" s="8"/>
      <c r="V103" s="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8"/>
      <c r="AI103" s="8"/>
      <c r="AJ103" s="8"/>
      <c r="AK103" s="8"/>
      <c r="AL103" s="8"/>
      <c r="AM103" s="28"/>
      <c r="AN103" s="8"/>
      <c r="AO103" s="8"/>
      <c r="AP103" s="28"/>
      <c r="AQ103" s="28"/>
      <c r="AR103" s="28"/>
    </row>
    <row r="104" spans="1:44" ht="15.75" thickBot="1" x14ac:dyDescent="0.3">
      <c r="A104" t="s">
        <v>284</v>
      </c>
      <c r="B104" s="46" t="s">
        <v>285</v>
      </c>
      <c r="C104" t="s">
        <v>286</v>
      </c>
      <c r="D104" t="s">
        <v>113</v>
      </c>
      <c r="E104" t="s">
        <v>948</v>
      </c>
      <c r="F104"/>
      <c r="G104" t="s">
        <v>287</v>
      </c>
      <c r="H104" s="16">
        <v>-347971580000</v>
      </c>
      <c r="I104" s="16">
        <v>-583070820000</v>
      </c>
      <c r="J104" s="16" t="s">
        <v>1049</v>
      </c>
      <c r="K104" s="17">
        <f t="shared" si="9"/>
        <v>28</v>
      </c>
      <c r="L104" s="17">
        <f t="shared" si="10"/>
        <v>0</v>
      </c>
      <c r="M104" s="18">
        <f t="shared" si="11"/>
        <v>1</v>
      </c>
      <c r="N104" s="28"/>
      <c r="O104" s="8"/>
      <c r="P104" s="8"/>
      <c r="Q104" s="8"/>
      <c r="R104" s="28"/>
      <c r="S104" s="28"/>
      <c r="T104" s="8"/>
      <c r="U104" s="8"/>
      <c r="V104" s="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8"/>
      <c r="AI104" s="8"/>
      <c r="AJ104" s="8"/>
      <c r="AK104" s="8"/>
      <c r="AL104" s="8"/>
      <c r="AM104" s="28"/>
      <c r="AN104" s="8"/>
      <c r="AO104" s="8"/>
      <c r="AP104" s="28"/>
      <c r="AQ104" s="28"/>
      <c r="AR104" s="28"/>
    </row>
    <row r="105" spans="1:44" ht="15.75" thickBot="1" x14ac:dyDescent="0.3">
      <c r="A105" t="s">
        <v>284</v>
      </c>
      <c r="B105" s="46" t="s">
        <v>288</v>
      </c>
      <c r="C105" t="s">
        <v>286</v>
      </c>
      <c r="D105" t="s">
        <v>113</v>
      </c>
      <c r="E105" t="s">
        <v>948</v>
      </c>
      <c r="F105"/>
      <c r="G105" t="s">
        <v>289</v>
      </c>
      <c r="H105" s="16">
        <v>-347971580000</v>
      </c>
      <c r="I105" s="16">
        <v>-583070820000</v>
      </c>
      <c r="J105" s="16" t="s">
        <v>1050</v>
      </c>
      <c r="K105" s="17">
        <f t="shared" si="9"/>
        <v>28</v>
      </c>
      <c r="L105" s="17">
        <f t="shared" si="10"/>
        <v>0</v>
      </c>
      <c r="M105" s="18">
        <f t="shared" si="11"/>
        <v>1</v>
      </c>
      <c r="N105" s="28"/>
      <c r="O105" s="8"/>
      <c r="P105" s="8"/>
      <c r="Q105" s="8"/>
      <c r="R105" s="28"/>
      <c r="S105" s="28"/>
      <c r="T105" s="8"/>
      <c r="U105" s="8"/>
      <c r="V105" s="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8"/>
      <c r="AI105" s="8"/>
      <c r="AJ105" s="8"/>
      <c r="AK105" s="8"/>
      <c r="AL105" s="8"/>
      <c r="AM105" s="28"/>
      <c r="AN105" s="8"/>
      <c r="AO105" s="8"/>
      <c r="AP105" s="28"/>
      <c r="AQ105" s="28"/>
      <c r="AR105" s="28"/>
    </row>
    <row r="106" spans="1:44" ht="15.75" thickBot="1" x14ac:dyDescent="0.3">
      <c r="A106" t="s">
        <v>290</v>
      </c>
      <c r="B106" s="46" t="s">
        <v>291</v>
      </c>
      <c r="C106" t="s">
        <v>292</v>
      </c>
      <c r="D106" t="s">
        <v>19</v>
      </c>
      <c r="E106" t="s">
        <v>36</v>
      </c>
      <c r="F106"/>
      <c r="G106" t="s">
        <v>293</v>
      </c>
      <c r="H106" s="16">
        <v>-348640160000</v>
      </c>
      <c r="I106" s="16">
        <v>-581864200000</v>
      </c>
      <c r="J106" s="16" t="s">
        <v>1051</v>
      </c>
      <c r="K106" s="17">
        <f t="shared" si="9"/>
        <v>26</v>
      </c>
      <c r="L106" s="17">
        <f t="shared" si="10"/>
        <v>2</v>
      </c>
      <c r="M106" s="18">
        <f t="shared" si="11"/>
        <v>0.9285714285714286</v>
      </c>
      <c r="N106" s="28"/>
      <c r="O106" s="8" t="s">
        <v>942</v>
      </c>
      <c r="P106" s="8" t="s">
        <v>942</v>
      </c>
      <c r="Q106" s="8"/>
      <c r="R106" s="28"/>
      <c r="S106" s="28"/>
      <c r="T106" s="8"/>
      <c r="U106" s="8"/>
      <c r="V106" s="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8"/>
      <c r="AI106" s="8"/>
      <c r="AJ106" s="8"/>
      <c r="AK106" s="8"/>
      <c r="AL106" s="8"/>
      <c r="AM106" s="28"/>
      <c r="AN106" s="8"/>
      <c r="AO106" s="8"/>
      <c r="AP106" s="28"/>
      <c r="AQ106" s="28"/>
      <c r="AR106" s="28"/>
    </row>
    <row r="107" spans="1:44" ht="15.75" thickBot="1" x14ac:dyDescent="0.3">
      <c r="A107" t="s">
        <v>290</v>
      </c>
      <c r="B107" s="46" t="s">
        <v>294</v>
      </c>
      <c r="C107" t="s">
        <v>295</v>
      </c>
      <c r="D107" t="s">
        <v>19</v>
      </c>
      <c r="E107" t="s">
        <v>36</v>
      </c>
      <c r="F107"/>
      <c r="G107" t="s">
        <v>293</v>
      </c>
      <c r="H107" s="16">
        <v>-348649110000</v>
      </c>
      <c r="I107" s="16">
        <v>-581897790000</v>
      </c>
      <c r="J107" s="16" t="s">
        <v>1052</v>
      </c>
      <c r="K107" s="17">
        <f t="shared" si="9"/>
        <v>26</v>
      </c>
      <c r="L107" s="17">
        <f t="shared" si="10"/>
        <v>2</v>
      </c>
      <c r="M107" s="18">
        <f t="shared" si="11"/>
        <v>0.9285714285714286</v>
      </c>
      <c r="N107" s="28"/>
      <c r="O107" s="8" t="s">
        <v>942</v>
      </c>
      <c r="P107" s="8" t="s">
        <v>942</v>
      </c>
      <c r="Q107" s="8"/>
      <c r="R107" s="28"/>
      <c r="S107" s="28"/>
      <c r="T107" s="8"/>
      <c r="U107" s="8"/>
      <c r="V107" s="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8"/>
      <c r="AI107" s="8"/>
      <c r="AJ107" s="8"/>
      <c r="AK107" s="8"/>
      <c r="AL107" s="8"/>
      <c r="AM107" s="28"/>
      <c r="AN107" s="8"/>
      <c r="AO107" s="8"/>
      <c r="AP107" s="28"/>
      <c r="AQ107" s="28"/>
      <c r="AR107" s="28"/>
    </row>
    <row r="108" spans="1:44" ht="15.75" thickBot="1" x14ac:dyDescent="0.3">
      <c r="A108" t="s">
        <v>290</v>
      </c>
      <c r="B108" s="46" t="s">
        <v>296</v>
      </c>
      <c r="C108" t="s">
        <v>297</v>
      </c>
      <c r="D108" t="s">
        <v>24</v>
      </c>
      <c r="E108" t="s">
        <v>36</v>
      </c>
      <c r="F108"/>
      <c r="G108" t="s">
        <v>298</v>
      </c>
      <c r="H108" s="16">
        <v>-348627750000</v>
      </c>
      <c r="I108" s="16">
        <v>-581816550000</v>
      </c>
      <c r="J108" s="16" t="s">
        <v>1053</v>
      </c>
      <c r="K108" s="17">
        <f t="shared" si="9"/>
        <v>26</v>
      </c>
      <c r="L108" s="17">
        <f t="shared" si="10"/>
        <v>2</v>
      </c>
      <c r="M108" s="18">
        <f t="shared" si="11"/>
        <v>0.9285714285714286</v>
      </c>
      <c r="N108" s="28"/>
      <c r="O108" s="8" t="s">
        <v>942</v>
      </c>
      <c r="P108" s="8" t="s">
        <v>942</v>
      </c>
      <c r="Q108" s="8"/>
      <c r="R108" s="28"/>
      <c r="S108" s="28"/>
      <c r="T108" s="8"/>
      <c r="U108" s="8"/>
      <c r="V108" s="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8"/>
      <c r="AI108" s="8"/>
      <c r="AJ108" s="8"/>
      <c r="AK108" s="8"/>
      <c r="AL108" s="8"/>
      <c r="AM108" s="28"/>
      <c r="AN108" s="8"/>
      <c r="AO108" s="8"/>
      <c r="AP108" s="28"/>
      <c r="AQ108" s="28"/>
      <c r="AR108" s="28"/>
    </row>
    <row r="109" spans="1:44" ht="15.75" thickBot="1" x14ac:dyDescent="0.3">
      <c r="A109" t="s">
        <v>290</v>
      </c>
      <c r="B109" s="46" t="s">
        <v>299</v>
      </c>
      <c r="C109" t="s">
        <v>300</v>
      </c>
      <c r="D109" t="s">
        <v>19</v>
      </c>
      <c r="E109" t="s">
        <v>36</v>
      </c>
      <c r="F109"/>
      <c r="G109" t="s">
        <v>301</v>
      </c>
      <c r="H109" s="16">
        <v>-348644840000</v>
      </c>
      <c r="I109" s="16">
        <v>-581880940000</v>
      </c>
      <c r="J109" s="16" t="s">
        <v>1054</v>
      </c>
      <c r="K109" s="17">
        <f t="shared" si="9"/>
        <v>26</v>
      </c>
      <c r="L109" s="17">
        <f t="shared" si="10"/>
        <v>2</v>
      </c>
      <c r="M109" s="18">
        <f t="shared" si="11"/>
        <v>0.9285714285714286</v>
      </c>
      <c r="N109" s="28"/>
      <c r="O109" s="8" t="s">
        <v>942</v>
      </c>
      <c r="P109" s="8" t="s">
        <v>942</v>
      </c>
      <c r="Q109" s="8"/>
      <c r="R109" s="28"/>
      <c r="S109" s="28"/>
      <c r="T109" s="8"/>
      <c r="U109" s="8"/>
      <c r="V109" s="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8"/>
      <c r="AI109" s="8"/>
      <c r="AJ109" s="8"/>
      <c r="AK109" s="8"/>
      <c r="AL109" s="8"/>
      <c r="AM109" s="28"/>
      <c r="AN109" s="8"/>
      <c r="AO109" s="8"/>
      <c r="AP109" s="28"/>
      <c r="AQ109" s="28"/>
      <c r="AR109" s="28"/>
    </row>
    <row r="110" spans="1:44" ht="15.75" thickBot="1" x14ac:dyDescent="0.3">
      <c r="A110" t="s">
        <v>302</v>
      </c>
      <c r="B110" s="46" t="s">
        <v>303</v>
      </c>
      <c r="C110" t="s">
        <v>304</v>
      </c>
      <c r="D110" t="s">
        <v>19</v>
      </c>
      <c r="E110" t="s">
        <v>948</v>
      </c>
      <c r="F110"/>
      <c r="G110" t="s">
        <v>305</v>
      </c>
      <c r="H110" s="16">
        <v>-348185740000</v>
      </c>
      <c r="I110" s="16">
        <v>-582866380000</v>
      </c>
      <c r="J110" s="16" t="s">
        <v>1061</v>
      </c>
      <c r="K110" s="17">
        <f t="shared" si="9"/>
        <v>28</v>
      </c>
      <c r="L110" s="17">
        <f t="shared" si="10"/>
        <v>0</v>
      </c>
      <c r="M110" s="18">
        <f t="shared" si="11"/>
        <v>1</v>
      </c>
      <c r="N110" s="28"/>
      <c r="O110" s="8"/>
      <c r="P110" s="8"/>
      <c r="Q110" s="8"/>
      <c r="R110" s="28"/>
      <c r="S110" s="28"/>
      <c r="T110" s="8"/>
      <c r="U110" s="8"/>
      <c r="V110" s="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8"/>
      <c r="AI110" s="8"/>
      <c r="AJ110" s="8"/>
      <c r="AK110" s="8"/>
      <c r="AL110" s="8"/>
      <c r="AM110" s="28"/>
      <c r="AN110" s="8"/>
      <c r="AO110" s="8"/>
      <c r="AP110" s="28"/>
      <c r="AQ110" s="28"/>
      <c r="AR110" s="28"/>
    </row>
    <row r="111" spans="1:44" ht="15.75" thickBot="1" x14ac:dyDescent="0.3">
      <c r="A111" t="s">
        <v>302</v>
      </c>
      <c r="B111" s="46" t="s">
        <v>306</v>
      </c>
      <c r="C111" t="s">
        <v>307</v>
      </c>
      <c r="D111" t="s">
        <v>73</v>
      </c>
      <c r="E111" t="s">
        <v>25</v>
      </c>
      <c r="F111"/>
      <c r="G111" t="s">
        <v>308</v>
      </c>
      <c r="H111" s="16">
        <v>-348166000000</v>
      </c>
      <c r="I111" s="16">
        <v>-582800440000</v>
      </c>
      <c r="J111" s="16" t="s">
        <v>1062</v>
      </c>
      <c r="K111" s="17">
        <f t="shared" si="9"/>
        <v>28</v>
      </c>
      <c r="L111" s="17">
        <f t="shared" si="10"/>
        <v>0</v>
      </c>
      <c r="M111" s="18">
        <f t="shared" si="11"/>
        <v>1</v>
      </c>
      <c r="N111" s="28"/>
      <c r="O111" s="8"/>
      <c r="P111" s="8"/>
      <c r="Q111" s="8"/>
      <c r="R111" s="28"/>
      <c r="S111" s="28"/>
      <c r="T111" s="8"/>
      <c r="U111" s="8"/>
      <c r="V111" s="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8"/>
      <c r="AI111" s="8"/>
      <c r="AJ111" s="8"/>
      <c r="AK111" s="8"/>
      <c r="AL111" s="8"/>
      <c r="AM111" s="28"/>
      <c r="AN111" s="8"/>
      <c r="AO111" s="8"/>
      <c r="AP111" s="28"/>
      <c r="AQ111" s="28"/>
      <c r="AR111" s="28"/>
    </row>
    <row r="112" spans="1:44" ht="15.75" thickBot="1" x14ac:dyDescent="0.3">
      <c r="A112" t="s">
        <v>302</v>
      </c>
      <c r="B112" s="46" t="s">
        <v>309</v>
      </c>
      <c r="C112" t="s">
        <v>310</v>
      </c>
      <c r="D112" t="s">
        <v>24</v>
      </c>
      <c r="E112" t="s">
        <v>25</v>
      </c>
      <c r="F112" t="s">
        <v>114</v>
      </c>
      <c r="G112"/>
      <c r="H112" s="16">
        <v>-348120060000</v>
      </c>
      <c r="I112" s="16">
        <v>-582823850000</v>
      </c>
      <c r="J112" s="16" t="s">
        <v>1055</v>
      </c>
      <c r="K112" s="17">
        <f t="shared" si="9"/>
        <v>27</v>
      </c>
      <c r="L112" s="17">
        <f t="shared" si="10"/>
        <v>1</v>
      </c>
      <c r="M112" s="18">
        <f t="shared" si="11"/>
        <v>0.9642857142857143</v>
      </c>
      <c r="N112" s="28"/>
      <c r="O112" s="8"/>
      <c r="P112" s="8"/>
      <c r="Q112" s="8"/>
      <c r="R112" s="28" t="s">
        <v>942</v>
      </c>
      <c r="S112" s="28"/>
      <c r="T112" s="8"/>
      <c r="U112" s="8"/>
      <c r="V112" s="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8"/>
      <c r="AI112" s="8"/>
      <c r="AJ112" s="8"/>
      <c r="AK112" s="8"/>
      <c r="AL112" s="8"/>
      <c r="AM112" s="28"/>
      <c r="AN112" s="8"/>
      <c r="AO112" s="8"/>
      <c r="AP112" s="28"/>
      <c r="AQ112" s="28"/>
      <c r="AR112" s="28"/>
    </row>
    <row r="113" spans="1:44" ht="15.75" thickBot="1" x14ac:dyDescent="0.3">
      <c r="A113" t="s">
        <v>311</v>
      </c>
      <c r="B113" s="46" t="s">
        <v>312</v>
      </c>
      <c r="C113" t="s">
        <v>313</v>
      </c>
      <c r="D113" t="s">
        <v>24</v>
      </c>
      <c r="E113" t="s">
        <v>948</v>
      </c>
      <c r="F113" t="s">
        <v>152</v>
      </c>
      <c r="G113"/>
      <c r="H113" s="16">
        <v>-348125000000</v>
      </c>
      <c r="I113" s="16">
        <v>-582916650000</v>
      </c>
      <c r="J113" s="16" t="s">
        <v>1056</v>
      </c>
      <c r="K113" s="17">
        <f t="shared" si="9"/>
        <v>28</v>
      </c>
      <c r="L113" s="17">
        <f t="shared" si="10"/>
        <v>0</v>
      </c>
      <c r="M113" s="18">
        <f t="shared" si="11"/>
        <v>1</v>
      </c>
      <c r="N113" s="28"/>
      <c r="O113" s="8"/>
      <c r="P113" s="8"/>
      <c r="Q113" s="8"/>
      <c r="R113" s="28"/>
      <c r="S113" s="28"/>
      <c r="T113" s="8"/>
      <c r="U113" s="8"/>
      <c r="V113" s="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8"/>
      <c r="AI113" s="8"/>
      <c r="AJ113" s="8"/>
      <c r="AK113" s="8"/>
      <c r="AL113" s="8"/>
      <c r="AM113" s="28"/>
      <c r="AN113" s="8"/>
      <c r="AO113" s="8"/>
      <c r="AP113" s="28"/>
      <c r="AQ113" s="28"/>
      <c r="AR113" s="28"/>
    </row>
    <row r="114" spans="1:44" ht="15.75" thickBot="1" x14ac:dyDescent="0.3">
      <c r="A114" t="s">
        <v>314</v>
      </c>
      <c r="B114" s="46" t="s">
        <v>315</v>
      </c>
      <c r="C114" t="s">
        <v>316</v>
      </c>
      <c r="D114" t="s">
        <v>19</v>
      </c>
      <c r="E114" t="s">
        <v>948</v>
      </c>
      <c r="F114" t="s">
        <v>317</v>
      </c>
      <c r="G114"/>
      <c r="H114" s="16">
        <v>-348215020000</v>
      </c>
      <c r="I114" s="16">
        <v>-582844880000</v>
      </c>
      <c r="J114" s="16" t="s">
        <v>1057</v>
      </c>
      <c r="K114" s="17">
        <f t="shared" si="9"/>
        <v>28</v>
      </c>
      <c r="L114" s="17">
        <f t="shared" si="10"/>
        <v>0</v>
      </c>
      <c r="M114" s="18">
        <f t="shared" si="11"/>
        <v>1</v>
      </c>
      <c r="N114" s="28"/>
      <c r="O114" s="8"/>
      <c r="P114" s="8"/>
      <c r="Q114" s="8"/>
      <c r="R114" s="28"/>
      <c r="S114" s="28"/>
      <c r="T114" s="8"/>
      <c r="U114" s="8"/>
      <c r="V114" s="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8"/>
      <c r="AI114" s="8"/>
      <c r="AJ114" s="8"/>
      <c r="AK114" s="8"/>
      <c r="AL114" s="8"/>
      <c r="AM114" s="28"/>
      <c r="AN114" s="8"/>
      <c r="AO114" s="8"/>
      <c r="AP114" s="28"/>
      <c r="AQ114" s="28"/>
      <c r="AR114" s="28"/>
    </row>
    <row r="115" spans="1:44" ht="15.75" thickBot="1" x14ac:dyDescent="0.3">
      <c r="A115" t="s">
        <v>302</v>
      </c>
      <c r="B115" s="46" t="s">
        <v>318</v>
      </c>
      <c r="C115" t="s">
        <v>319</v>
      </c>
      <c r="D115" t="s">
        <v>24</v>
      </c>
      <c r="E115" t="s">
        <v>36</v>
      </c>
      <c r="F115" t="s">
        <v>162</v>
      </c>
      <c r="G115"/>
      <c r="H115" s="16">
        <v>-348128700000</v>
      </c>
      <c r="I115" s="16">
        <v>-582840370000</v>
      </c>
      <c r="J115" s="16" t="s">
        <v>1058</v>
      </c>
      <c r="K115" s="17">
        <f t="shared" si="9"/>
        <v>21</v>
      </c>
      <c r="L115" s="17">
        <f t="shared" si="10"/>
        <v>7</v>
      </c>
      <c r="M115" s="18">
        <f t="shared" si="11"/>
        <v>0.75</v>
      </c>
      <c r="N115" s="28" t="s">
        <v>942</v>
      </c>
      <c r="O115" s="8" t="s">
        <v>942</v>
      </c>
      <c r="P115" s="8" t="s">
        <v>942</v>
      </c>
      <c r="Q115" s="8" t="s">
        <v>942</v>
      </c>
      <c r="R115" s="28" t="s">
        <v>942</v>
      </c>
      <c r="S115" s="28" t="s">
        <v>942</v>
      </c>
      <c r="T115" s="8" t="s">
        <v>942</v>
      </c>
      <c r="U115" s="8"/>
      <c r="V115" s="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8"/>
      <c r="AI115" s="28"/>
      <c r="AJ115" s="8"/>
      <c r="AK115" s="8"/>
      <c r="AL115" s="8"/>
      <c r="AM115" s="28"/>
      <c r="AN115" s="8"/>
      <c r="AO115" s="8"/>
      <c r="AP115" s="28"/>
      <c r="AQ115" s="28"/>
      <c r="AR115" s="28"/>
    </row>
    <row r="116" spans="1:44" ht="15.75" thickBot="1" x14ac:dyDescent="0.3">
      <c r="A116" t="s">
        <v>302</v>
      </c>
      <c r="B116" s="46" t="s">
        <v>320</v>
      </c>
      <c r="C116" t="s">
        <v>321</v>
      </c>
      <c r="D116" t="s">
        <v>24</v>
      </c>
      <c r="E116" t="s">
        <v>36</v>
      </c>
      <c r="F116" t="s">
        <v>322</v>
      </c>
      <c r="G116"/>
      <c r="H116" s="16">
        <v>-348143510000</v>
      </c>
      <c r="I116" s="16">
        <v>-582840870000</v>
      </c>
      <c r="J116" s="16" t="s">
        <v>1059</v>
      </c>
      <c r="K116" s="17">
        <f t="shared" si="9"/>
        <v>21</v>
      </c>
      <c r="L116" s="17">
        <f t="shared" si="10"/>
        <v>7</v>
      </c>
      <c r="M116" s="18">
        <f t="shared" si="11"/>
        <v>0.75</v>
      </c>
      <c r="N116" s="28" t="s">
        <v>942</v>
      </c>
      <c r="O116" s="8" t="s">
        <v>942</v>
      </c>
      <c r="P116" s="8" t="s">
        <v>942</v>
      </c>
      <c r="Q116" s="8" t="s">
        <v>942</v>
      </c>
      <c r="R116" s="28" t="s">
        <v>942</v>
      </c>
      <c r="S116" s="28" t="s">
        <v>942</v>
      </c>
      <c r="T116" s="8" t="s">
        <v>942</v>
      </c>
      <c r="U116" s="8"/>
      <c r="V116" s="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8"/>
      <c r="AI116" s="28"/>
      <c r="AJ116" s="8"/>
      <c r="AK116" s="8"/>
      <c r="AL116" s="8"/>
      <c r="AM116" s="28"/>
      <c r="AN116" s="8"/>
      <c r="AO116" s="8"/>
      <c r="AP116" s="28"/>
      <c r="AQ116" s="28"/>
      <c r="AR116" s="28"/>
    </row>
    <row r="117" spans="1:44" ht="15.75" thickBot="1" x14ac:dyDescent="0.3">
      <c r="A117" t="s">
        <v>302</v>
      </c>
      <c r="B117" s="46" t="s">
        <v>323</v>
      </c>
      <c r="C117" t="s">
        <v>324</v>
      </c>
      <c r="D117" t="s">
        <v>24</v>
      </c>
      <c r="E117" t="s">
        <v>25</v>
      </c>
      <c r="F117" t="s">
        <v>325</v>
      </c>
      <c r="G117"/>
      <c r="H117" s="16">
        <v>-348122180000</v>
      </c>
      <c r="I117" s="16">
        <v>-582880340000</v>
      </c>
      <c r="J117" s="16" t="s">
        <v>1060</v>
      </c>
      <c r="K117" s="17">
        <f t="shared" si="9"/>
        <v>28</v>
      </c>
      <c r="L117" s="17">
        <f t="shared" si="10"/>
        <v>0</v>
      </c>
      <c r="M117" s="18">
        <f t="shared" si="11"/>
        <v>1</v>
      </c>
      <c r="N117" s="28"/>
      <c r="O117" s="8"/>
      <c r="P117" s="8"/>
      <c r="Q117" s="8"/>
      <c r="R117" s="28"/>
      <c r="S117" s="28"/>
      <c r="T117" s="8"/>
      <c r="U117" s="8"/>
      <c r="V117" s="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8"/>
      <c r="AI117" s="8"/>
      <c r="AJ117" s="8"/>
      <c r="AK117" s="8"/>
      <c r="AL117" s="8"/>
      <c r="AM117" s="28"/>
      <c r="AN117" s="8"/>
      <c r="AO117" s="8"/>
      <c r="AP117" s="28"/>
      <c r="AQ117" s="28"/>
      <c r="AR117" s="28"/>
    </row>
    <row r="118" spans="1:44" ht="15.75" thickBot="1" x14ac:dyDescent="0.3">
      <c r="A118" t="s">
        <v>302</v>
      </c>
      <c r="B118" s="46" t="s">
        <v>326</v>
      </c>
      <c r="C118" t="s">
        <v>327</v>
      </c>
      <c r="D118" t="s">
        <v>113</v>
      </c>
      <c r="E118" t="s">
        <v>36</v>
      </c>
      <c r="F118"/>
      <c r="G118" t="s">
        <v>328</v>
      </c>
      <c r="H118" s="16">
        <v>-348119540000</v>
      </c>
      <c r="I118" s="16">
        <v>-582824360000</v>
      </c>
      <c r="J118" s="16" t="s">
        <v>1063</v>
      </c>
      <c r="K118" s="17">
        <f t="shared" si="9"/>
        <v>28</v>
      </c>
      <c r="L118" s="17">
        <f t="shared" si="10"/>
        <v>0</v>
      </c>
      <c r="M118" s="18">
        <f t="shared" si="11"/>
        <v>1</v>
      </c>
      <c r="N118" s="28"/>
      <c r="O118" s="8"/>
      <c r="P118" s="8"/>
      <c r="Q118" s="8"/>
      <c r="R118" s="28"/>
      <c r="S118" s="28"/>
      <c r="T118" s="8"/>
      <c r="U118" s="8"/>
      <c r="V118" s="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8"/>
      <c r="AI118" s="8"/>
      <c r="AJ118" s="8"/>
      <c r="AK118" s="8"/>
      <c r="AL118" s="8"/>
      <c r="AM118" s="28"/>
      <c r="AN118" s="8"/>
      <c r="AO118" s="8"/>
      <c r="AP118" s="28"/>
      <c r="AQ118" s="28"/>
      <c r="AR118" s="28"/>
    </row>
    <row r="119" spans="1:44" ht="15.75" thickBot="1" x14ac:dyDescent="0.3">
      <c r="A119" t="s">
        <v>302</v>
      </c>
      <c r="B119" s="46" t="s">
        <v>329</v>
      </c>
      <c r="C119" t="s">
        <v>327</v>
      </c>
      <c r="D119" t="s">
        <v>113</v>
      </c>
      <c r="E119" t="s">
        <v>36</v>
      </c>
      <c r="F119"/>
      <c r="G119" t="s">
        <v>330</v>
      </c>
      <c r="H119" s="16">
        <v>-348119550000</v>
      </c>
      <c r="I119" s="16">
        <v>-582824410000</v>
      </c>
      <c r="J119" s="16" t="s">
        <v>1064</v>
      </c>
      <c r="K119" s="17">
        <f t="shared" si="9"/>
        <v>28</v>
      </c>
      <c r="L119" s="17">
        <f t="shared" si="10"/>
        <v>0</v>
      </c>
      <c r="M119" s="18">
        <f t="shared" si="11"/>
        <v>1</v>
      </c>
      <c r="N119" s="28"/>
      <c r="O119" s="8"/>
      <c r="P119" s="8"/>
      <c r="Q119" s="8"/>
      <c r="R119" s="28"/>
      <c r="S119" s="28"/>
      <c r="T119" s="8"/>
      <c r="U119" s="8"/>
      <c r="V119" s="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8"/>
      <c r="AI119" s="8"/>
      <c r="AJ119" s="8"/>
      <c r="AK119" s="8"/>
      <c r="AL119" s="8"/>
      <c r="AM119" s="28"/>
      <c r="AN119" s="8"/>
      <c r="AO119" s="8"/>
      <c r="AP119" s="28"/>
      <c r="AQ119" s="28"/>
      <c r="AR119" s="28"/>
    </row>
    <row r="120" spans="1:44" ht="15.75" thickBot="1" x14ac:dyDescent="0.3">
      <c r="A120" t="s">
        <v>302</v>
      </c>
      <c r="B120" s="46" t="s">
        <v>331</v>
      </c>
      <c r="C120" t="s">
        <v>332</v>
      </c>
      <c r="D120" t="s">
        <v>113</v>
      </c>
      <c r="E120" t="s">
        <v>36</v>
      </c>
      <c r="F120"/>
      <c r="G120" t="s">
        <v>249</v>
      </c>
      <c r="H120" s="16">
        <v>-348203540000</v>
      </c>
      <c r="I120" s="16">
        <v>-582852520000</v>
      </c>
      <c r="J120" s="16" t="s">
        <v>1031</v>
      </c>
      <c r="K120" s="17">
        <f t="shared" si="9"/>
        <v>21</v>
      </c>
      <c r="L120" s="17">
        <f t="shared" si="10"/>
        <v>7</v>
      </c>
      <c r="M120" s="18">
        <f t="shared" si="11"/>
        <v>0.75</v>
      </c>
      <c r="N120" s="28" t="s">
        <v>942</v>
      </c>
      <c r="O120" s="8" t="s">
        <v>942</v>
      </c>
      <c r="P120" s="8" t="s">
        <v>942</v>
      </c>
      <c r="Q120" s="8" t="s">
        <v>942</v>
      </c>
      <c r="R120" s="28" t="s">
        <v>942</v>
      </c>
      <c r="S120" s="28" t="s">
        <v>942</v>
      </c>
      <c r="T120" s="8" t="s">
        <v>942</v>
      </c>
      <c r="U120" s="8"/>
      <c r="V120" s="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8"/>
      <c r="AI120" s="28"/>
      <c r="AJ120" s="8"/>
      <c r="AK120" s="8"/>
      <c r="AL120" s="8"/>
      <c r="AM120" s="28"/>
      <c r="AN120" s="8"/>
      <c r="AO120" s="8"/>
      <c r="AP120" s="28"/>
      <c r="AQ120" s="28"/>
      <c r="AR120" s="28"/>
    </row>
    <row r="121" spans="1:44" ht="15.75" thickBot="1" x14ac:dyDescent="0.3">
      <c r="A121" t="s">
        <v>302</v>
      </c>
      <c r="B121" s="46" t="s">
        <v>333</v>
      </c>
      <c r="C121" t="s">
        <v>332</v>
      </c>
      <c r="D121" t="s">
        <v>113</v>
      </c>
      <c r="E121" t="s">
        <v>36</v>
      </c>
      <c r="F121"/>
      <c r="G121" t="s">
        <v>249</v>
      </c>
      <c r="H121" s="16">
        <v>-348203540000</v>
      </c>
      <c r="I121" s="16">
        <v>-582852520000</v>
      </c>
      <c r="J121" s="16" t="s">
        <v>1032</v>
      </c>
      <c r="K121" s="17">
        <f t="shared" si="9"/>
        <v>21</v>
      </c>
      <c r="L121" s="17">
        <f t="shared" si="10"/>
        <v>7</v>
      </c>
      <c r="M121" s="18">
        <f t="shared" si="11"/>
        <v>0.75</v>
      </c>
      <c r="N121" s="28" t="s">
        <v>942</v>
      </c>
      <c r="O121" s="8" t="s">
        <v>942</v>
      </c>
      <c r="P121" s="8" t="s">
        <v>942</v>
      </c>
      <c r="Q121" s="8" t="s">
        <v>942</v>
      </c>
      <c r="R121" s="28" t="s">
        <v>942</v>
      </c>
      <c r="S121" s="28" t="s">
        <v>942</v>
      </c>
      <c r="T121" s="8" t="s">
        <v>942</v>
      </c>
      <c r="U121" s="8"/>
      <c r="V121" s="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8"/>
      <c r="AI121" s="28"/>
      <c r="AJ121" s="8"/>
      <c r="AK121" s="8"/>
      <c r="AL121" s="8"/>
      <c r="AM121" s="28"/>
      <c r="AN121" s="8"/>
      <c r="AO121" s="8"/>
      <c r="AP121" s="28"/>
      <c r="AQ121" s="28"/>
      <c r="AR121" s="28"/>
    </row>
    <row r="122" spans="1:44" ht="15.75" thickBot="1" x14ac:dyDescent="0.3">
      <c r="A122" t="s">
        <v>334</v>
      </c>
      <c r="B122" s="46" t="s">
        <v>335</v>
      </c>
      <c r="C122" t="s">
        <v>336</v>
      </c>
      <c r="D122" t="s">
        <v>19</v>
      </c>
      <c r="E122" t="s">
        <v>36</v>
      </c>
      <c r="F122"/>
      <c r="G122" t="s">
        <v>293</v>
      </c>
      <c r="H122" s="16">
        <v>-348663680000</v>
      </c>
      <c r="I122" s="16">
        <v>-581917520000</v>
      </c>
      <c r="J122" s="16" t="s">
        <v>1066</v>
      </c>
      <c r="K122" s="17">
        <f t="shared" si="9"/>
        <v>25</v>
      </c>
      <c r="L122" s="17">
        <f t="shared" si="10"/>
        <v>3</v>
      </c>
      <c r="M122" s="18">
        <f t="shared" si="11"/>
        <v>0.8928571428571429</v>
      </c>
      <c r="N122" s="28"/>
      <c r="O122" s="8" t="s">
        <v>942</v>
      </c>
      <c r="P122" s="8" t="s">
        <v>942</v>
      </c>
      <c r="Q122" s="8"/>
      <c r="R122" s="28"/>
      <c r="S122" s="28"/>
      <c r="T122" s="8" t="s">
        <v>942</v>
      </c>
      <c r="U122" s="8"/>
      <c r="V122" s="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8"/>
      <c r="AI122" s="8"/>
      <c r="AJ122" s="8"/>
      <c r="AK122" s="8"/>
      <c r="AL122" s="8"/>
      <c r="AM122" s="28"/>
      <c r="AN122" s="8"/>
      <c r="AO122" s="8"/>
      <c r="AP122" s="28"/>
      <c r="AQ122" s="28"/>
      <c r="AR122" s="28"/>
    </row>
    <row r="123" spans="1:44" ht="15.75" thickBot="1" x14ac:dyDescent="0.3">
      <c r="A123" t="s">
        <v>334</v>
      </c>
      <c r="B123" s="46" t="s">
        <v>337</v>
      </c>
      <c r="C123" t="s">
        <v>338</v>
      </c>
      <c r="D123" t="s">
        <v>19</v>
      </c>
      <c r="E123" t="s">
        <v>36</v>
      </c>
      <c r="F123"/>
      <c r="G123" t="s">
        <v>293</v>
      </c>
      <c r="H123" s="16">
        <v>-348677360000</v>
      </c>
      <c r="I123" s="16">
        <v>-581899690000</v>
      </c>
      <c r="J123" s="16" t="s">
        <v>1067</v>
      </c>
      <c r="K123" s="17">
        <f t="shared" si="9"/>
        <v>25</v>
      </c>
      <c r="L123" s="17">
        <f t="shared" si="10"/>
        <v>3</v>
      </c>
      <c r="M123" s="18">
        <f t="shared" si="11"/>
        <v>0.8928571428571429</v>
      </c>
      <c r="N123" s="28"/>
      <c r="O123" s="8" t="s">
        <v>942</v>
      </c>
      <c r="P123" s="8" t="s">
        <v>942</v>
      </c>
      <c r="Q123" s="8"/>
      <c r="R123" s="28"/>
      <c r="S123" s="28"/>
      <c r="T123" s="8" t="s">
        <v>942</v>
      </c>
      <c r="U123" s="8"/>
      <c r="V123" s="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8"/>
      <c r="AI123" s="8"/>
      <c r="AJ123" s="8"/>
      <c r="AK123" s="8"/>
      <c r="AL123" s="8"/>
      <c r="AM123" s="28"/>
      <c r="AN123" s="8"/>
      <c r="AO123" s="8"/>
      <c r="AP123" s="28"/>
      <c r="AQ123" s="28"/>
      <c r="AR123" s="28"/>
    </row>
    <row r="124" spans="1:44" ht="15.75" thickBot="1" x14ac:dyDescent="0.3">
      <c r="A124" t="s">
        <v>339</v>
      </c>
      <c r="B124" s="46" t="s">
        <v>340</v>
      </c>
      <c r="C124" t="s">
        <v>341</v>
      </c>
      <c r="D124" t="s">
        <v>19</v>
      </c>
      <c r="E124" t="s">
        <v>36</v>
      </c>
      <c r="F124"/>
      <c r="G124" t="s">
        <v>342</v>
      </c>
      <c r="H124" s="16">
        <v>-348252070000</v>
      </c>
      <c r="I124" s="16">
        <v>-582467880000</v>
      </c>
      <c r="J124" s="16" t="s">
        <v>1068</v>
      </c>
      <c r="K124" s="17">
        <f t="shared" si="9"/>
        <v>28</v>
      </c>
      <c r="L124" s="17">
        <f t="shared" si="10"/>
        <v>0</v>
      </c>
      <c r="M124" s="18">
        <f t="shared" si="11"/>
        <v>1</v>
      </c>
      <c r="N124" s="28"/>
      <c r="O124" s="8"/>
      <c r="P124" s="8"/>
      <c r="Q124" s="8"/>
      <c r="R124" s="28"/>
      <c r="S124" s="28"/>
      <c r="T124" s="8"/>
      <c r="U124" s="8"/>
      <c r="V124" s="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8"/>
      <c r="AI124" s="8"/>
      <c r="AJ124" s="8"/>
      <c r="AK124" s="8"/>
      <c r="AL124" s="8"/>
      <c r="AM124" s="28"/>
      <c r="AN124" s="8"/>
      <c r="AO124" s="8"/>
      <c r="AP124" s="28"/>
      <c r="AQ124" s="28"/>
      <c r="AR124" s="28"/>
    </row>
    <row r="125" spans="1:44" ht="15.75" thickBot="1" x14ac:dyDescent="0.3">
      <c r="A125" t="s">
        <v>343</v>
      </c>
      <c r="B125" s="46" t="s">
        <v>344</v>
      </c>
      <c r="C125" t="s">
        <v>345</v>
      </c>
      <c r="D125" t="s">
        <v>19</v>
      </c>
      <c r="E125" t="s">
        <v>25</v>
      </c>
      <c r="F125"/>
      <c r="G125" t="s">
        <v>346</v>
      </c>
      <c r="H125" s="16">
        <v>-348066790000</v>
      </c>
      <c r="I125" s="16">
        <v>-583015690000</v>
      </c>
      <c r="J125" s="16" t="s">
        <v>1075</v>
      </c>
      <c r="K125" s="17">
        <f t="shared" si="9"/>
        <v>28</v>
      </c>
      <c r="L125" s="17">
        <f t="shared" si="10"/>
        <v>0</v>
      </c>
      <c r="M125" s="18">
        <f t="shared" si="11"/>
        <v>1</v>
      </c>
      <c r="N125" s="28"/>
      <c r="O125" s="8"/>
      <c r="P125" s="8"/>
      <c r="Q125" s="8"/>
      <c r="R125" s="28"/>
      <c r="S125" s="28"/>
      <c r="T125" s="8"/>
      <c r="U125" s="8"/>
      <c r="V125" s="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8"/>
      <c r="AI125" s="8"/>
      <c r="AJ125" s="8"/>
      <c r="AK125" s="8"/>
      <c r="AL125" s="8"/>
      <c r="AM125" s="28"/>
      <c r="AN125" s="8"/>
      <c r="AO125" s="8"/>
      <c r="AP125" s="28"/>
      <c r="AQ125" s="28"/>
      <c r="AR125" s="28"/>
    </row>
    <row r="126" spans="1:44" ht="15.75" thickBot="1" x14ac:dyDescent="0.3">
      <c r="A126" t="s">
        <v>343</v>
      </c>
      <c r="B126" s="46" t="s">
        <v>347</v>
      </c>
      <c r="C126" t="s">
        <v>348</v>
      </c>
      <c r="D126" t="s">
        <v>19</v>
      </c>
      <c r="E126" t="s">
        <v>25</v>
      </c>
      <c r="F126"/>
      <c r="G126" t="s">
        <v>349</v>
      </c>
      <c r="H126" s="16">
        <v>-348074220000</v>
      </c>
      <c r="I126" s="16">
        <v>-582975280000</v>
      </c>
      <c r="J126" s="16" t="s">
        <v>1076</v>
      </c>
      <c r="K126" s="17">
        <f t="shared" si="9"/>
        <v>28</v>
      </c>
      <c r="L126" s="17">
        <f t="shared" si="10"/>
        <v>0</v>
      </c>
      <c r="M126" s="18">
        <f t="shared" si="11"/>
        <v>1</v>
      </c>
      <c r="N126" s="28"/>
      <c r="O126" s="8"/>
      <c r="P126" s="8"/>
      <c r="Q126" s="8"/>
      <c r="R126" s="28"/>
      <c r="S126" s="28"/>
      <c r="T126" s="8"/>
      <c r="U126" s="8"/>
      <c r="V126" s="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8"/>
      <c r="AI126" s="8"/>
      <c r="AJ126" s="8"/>
      <c r="AK126" s="8"/>
      <c r="AL126" s="8"/>
      <c r="AM126" s="28"/>
      <c r="AN126" s="8"/>
      <c r="AO126" s="8"/>
      <c r="AP126" s="28"/>
      <c r="AQ126" s="28"/>
      <c r="AR126" s="28"/>
    </row>
    <row r="127" spans="1:44" ht="15.75" thickBot="1" x14ac:dyDescent="0.3">
      <c r="A127" t="s">
        <v>343</v>
      </c>
      <c r="B127" s="46" t="s">
        <v>350</v>
      </c>
      <c r="C127" t="s">
        <v>351</v>
      </c>
      <c r="D127" t="s">
        <v>19</v>
      </c>
      <c r="E127" t="s">
        <v>25</v>
      </c>
      <c r="F127"/>
      <c r="G127" t="s">
        <v>352</v>
      </c>
      <c r="H127" s="16">
        <v>-348076100000</v>
      </c>
      <c r="I127" s="16">
        <v>-582957320000</v>
      </c>
      <c r="J127" s="16" t="s">
        <v>1077</v>
      </c>
      <c r="K127" s="17">
        <f t="shared" si="9"/>
        <v>28</v>
      </c>
      <c r="L127" s="17">
        <f t="shared" si="10"/>
        <v>0</v>
      </c>
      <c r="M127" s="18">
        <f t="shared" si="11"/>
        <v>1</v>
      </c>
      <c r="N127" s="28"/>
      <c r="O127" s="8"/>
      <c r="P127" s="8"/>
      <c r="Q127" s="8"/>
      <c r="R127" s="28"/>
      <c r="S127" s="28"/>
      <c r="T127" s="8"/>
      <c r="U127" s="8"/>
      <c r="V127" s="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8"/>
      <c r="AI127" s="8"/>
      <c r="AJ127" s="8"/>
      <c r="AK127" s="8"/>
      <c r="AL127" s="8"/>
      <c r="AM127" s="28"/>
      <c r="AN127" s="8"/>
      <c r="AO127" s="8"/>
      <c r="AP127" s="28"/>
      <c r="AQ127" s="28"/>
      <c r="AR127" s="28"/>
    </row>
    <row r="128" spans="1:44" ht="15.75" thickBot="1" x14ac:dyDescent="0.3">
      <c r="A128" t="s">
        <v>343</v>
      </c>
      <c r="B128" s="46" t="s">
        <v>353</v>
      </c>
      <c r="C128" t="s">
        <v>354</v>
      </c>
      <c r="D128" t="s">
        <v>19</v>
      </c>
      <c r="E128" t="s">
        <v>25</v>
      </c>
      <c r="F128"/>
      <c r="G128" t="s">
        <v>355</v>
      </c>
      <c r="H128" s="16">
        <v>-348075900000</v>
      </c>
      <c r="I128" s="16">
        <v>-582968630000</v>
      </c>
      <c r="J128" s="16" t="s">
        <v>1078</v>
      </c>
      <c r="K128" s="17">
        <f t="shared" si="9"/>
        <v>28</v>
      </c>
      <c r="L128" s="17">
        <f t="shared" si="10"/>
        <v>0</v>
      </c>
      <c r="M128" s="18">
        <f t="shared" si="11"/>
        <v>1</v>
      </c>
      <c r="N128" s="28"/>
      <c r="O128" s="8"/>
      <c r="P128" s="8"/>
      <c r="Q128" s="8"/>
      <c r="R128" s="28"/>
      <c r="S128" s="28"/>
      <c r="T128" s="8"/>
      <c r="U128" s="8"/>
      <c r="V128" s="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8"/>
      <c r="AI128" s="8"/>
      <c r="AJ128" s="8"/>
      <c r="AK128" s="8"/>
      <c r="AL128" s="8"/>
      <c r="AM128" s="28"/>
      <c r="AN128" s="8"/>
      <c r="AO128" s="8"/>
      <c r="AP128" s="28"/>
      <c r="AQ128" s="28"/>
      <c r="AR128" s="28"/>
    </row>
    <row r="129" spans="1:44" ht="15.75" thickBot="1" x14ac:dyDescent="0.3">
      <c r="A129" t="s">
        <v>343</v>
      </c>
      <c r="B129" s="46" t="s">
        <v>356</v>
      </c>
      <c r="C129" t="s">
        <v>357</v>
      </c>
      <c r="D129" t="s">
        <v>113</v>
      </c>
      <c r="E129" t="s">
        <v>948</v>
      </c>
      <c r="F129"/>
      <c r="G129" t="s">
        <v>298</v>
      </c>
      <c r="H129" s="16">
        <v>-348034360000</v>
      </c>
      <c r="I129" s="16">
        <v>-583009630000</v>
      </c>
      <c r="J129" s="16" t="s">
        <v>1080</v>
      </c>
      <c r="K129" s="17">
        <f t="shared" si="9"/>
        <v>27</v>
      </c>
      <c r="L129" s="17">
        <f t="shared" si="10"/>
        <v>1</v>
      </c>
      <c r="M129" s="18">
        <f t="shared" si="11"/>
        <v>0.9642857142857143</v>
      </c>
      <c r="N129" s="28"/>
      <c r="O129" s="8"/>
      <c r="P129" s="8"/>
      <c r="Q129" s="8"/>
      <c r="R129" s="28" t="s">
        <v>942</v>
      </c>
      <c r="S129" s="28"/>
      <c r="T129" s="8"/>
      <c r="U129" s="8"/>
      <c r="V129" s="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8"/>
      <c r="AI129" s="8"/>
      <c r="AJ129" s="8"/>
      <c r="AK129" s="8"/>
      <c r="AL129" s="8"/>
      <c r="AM129" s="28"/>
      <c r="AN129" s="8"/>
      <c r="AO129" s="8"/>
      <c r="AP129" s="28"/>
      <c r="AQ129" s="28"/>
      <c r="AR129" s="28"/>
    </row>
    <row r="130" spans="1:44" ht="15.75" thickBot="1" x14ac:dyDescent="0.3">
      <c r="A130" t="s">
        <v>343</v>
      </c>
      <c r="B130" s="46" t="s">
        <v>358</v>
      </c>
      <c r="C130" t="s">
        <v>357</v>
      </c>
      <c r="D130" t="s">
        <v>113</v>
      </c>
      <c r="E130" t="s">
        <v>948</v>
      </c>
      <c r="F130"/>
      <c r="G130" t="s">
        <v>298</v>
      </c>
      <c r="H130" s="16">
        <v>-348034540000</v>
      </c>
      <c r="I130" s="16">
        <v>-583010170000</v>
      </c>
      <c r="J130" s="16" t="s">
        <v>1081</v>
      </c>
      <c r="K130" s="17">
        <f t="shared" si="9"/>
        <v>28</v>
      </c>
      <c r="L130" s="17">
        <f t="shared" si="10"/>
        <v>0</v>
      </c>
      <c r="M130" s="18">
        <f t="shared" si="11"/>
        <v>1</v>
      </c>
      <c r="N130" s="28"/>
      <c r="O130" s="8"/>
      <c r="P130" s="8"/>
      <c r="Q130" s="8"/>
      <c r="R130" s="28"/>
      <c r="S130" s="28"/>
      <c r="T130" s="8"/>
      <c r="U130" s="8"/>
      <c r="V130" s="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8"/>
      <c r="AI130" s="8"/>
      <c r="AJ130" s="8"/>
      <c r="AK130" s="8"/>
      <c r="AL130" s="8"/>
      <c r="AM130" s="28"/>
      <c r="AN130" s="8"/>
      <c r="AO130" s="8"/>
      <c r="AP130" s="28"/>
      <c r="AQ130" s="28"/>
      <c r="AR130" s="28"/>
    </row>
    <row r="131" spans="1:44" ht="15.75" thickBot="1" x14ac:dyDescent="0.3">
      <c r="A131" t="s">
        <v>359</v>
      </c>
      <c r="B131" s="46" t="s">
        <v>360</v>
      </c>
      <c r="C131" t="s">
        <v>361</v>
      </c>
      <c r="D131" t="s">
        <v>19</v>
      </c>
      <c r="E131" t="s">
        <v>25</v>
      </c>
      <c r="F131" t="s">
        <v>362</v>
      </c>
      <c r="G131"/>
      <c r="H131" s="16">
        <v>-348074000000</v>
      </c>
      <c r="I131" s="16">
        <v>-583095340000</v>
      </c>
      <c r="J131" s="16" t="s">
        <v>1069</v>
      </c>
      <c r="K131" s="17">
        <f t="shared" si="9"/>
        <v>28</v>
      </c>
      <c r="L131" s="17">
        <f t="shared" si="10"/>
        <v>0</v>
      </c>
      <c r="M131" s="18">
        <f t="shared" si="11"/>
        <v>1</v>
      </c>
      <c r="N131" s="28"/>
      <c r="O131" s="8"/>
      <c r="P131" s="8"/>
      <c r="Q131" s="8"/>
      <c r="R131" s="28"/>
      <c r="S131" s="28"/>
      <c r="T131" s="8"/>
      <c r="U131" s="8"/>
      <c r="V131" s="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8"/>
      <c r="AI131" s="8"/>
      <c r="AJ131" s="8"/>
      <c r="AK131" s="8"/>
      <c r="AL131" s="8"/>
      <c r="AM131" s="28"/>
      <c r="AN131" s="8"/>
      <c r="AO131" s="8"/>
      <c r="AP131" s="28"/>
      <c r="AQ131" s="28"/>
      <c r="AR131" s="28"/>
    </row>
    <row r="132" spans="1:44" ht="15.75" thickBot="1" x14ac:dyDescent="0.3">
      <c r="A132" t="s">
        <v>262</v>
      </c>
      <c r="B132" s="46" t="s">
        <v>363</v>
      </c>
      <c r="C132" t="s">
        <v>364</v>
      </c>
      <c r="D132" t="s">
        <v>24</v>
      </c>
      <c r="E132" t="s">
        <v>25</v>
      </c>
      <c r="F132" t="s">
        <v>365</v>
      </c>
      <c r="G132"/>
      <c r="H132" s="16">
        <v>-348084650000</v>
      </c>
      <c r="I132" s="16">
        <v>-582948520000</v>
      </c>
      <c r="J132" s="16" t="s">
        <v>1070</v>
      </c>
      <c r="K132" s="17">
        <f t="shared" si="9"/>
        <v>28</v>
      </c>
      <c r="L132" s="17">
        <f t="shared" si="10"/>
        <v>0</v>
      </c>
      <c r="M132" s="18">
        <f t="shared" si="11"/>
        <v>1</v>
      </c>
      <c r="N132" s="28"/>
      <c r="O132" s="8"/>
      <c r="P132" s="8"/>
      <c r="Q132" s="8"/>
      <c r="R132" s="28"/>
      <c r="S132" s="28"/>
      <c r="T132" s="8"/>
      <c r="U132" s="8"/>
      <c r="V132" s="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8"/>
      <c r="AI132" s="8"/>
      <c r="AJ132" s="8"/>
      <c r="AK132" s="8"/>
      <c r="AL132" s="8"/>
      <c r="AM132" s="28"/>
      <c r="AN132" s="8"/>
      <c r="AO132" s="8"/>
      <c r="AP132" s="28"/>
      <c r="AQ132" s="28"/>
      <c r="AR132" s="28"/>
    </row>
    <row r="133" spans="1:44" ht="15.75" thickBot="1" x14ac:dyDescent="0.3">
      <c r="A133" t="s">
        <v>343</v>
      </c>
      <c r="B133" s="46" t="s">
        <v>366</v>
      </c>
      <c r="C133" t="s">
        <v>367</v>
      </c>
      <c r="D133" t="s">
        <v>24</v>
      </c>
      <c r="E133" t="s">
        <v>25</v>
      </c>
      <c r="F133" t="s">
        <v>368</v>
      </c>
      <c r="G133"/>
      <c r="H133" s="16">
        <v>-348022280000</v>
      </c>
      <c r="I133" s="16">
        <v>-583005700000</v>
      </c>
      <c r="J133" s="16" t="s">
        <v>1071</v>
      </c>
      <c r="K133" s="17">
        <f t="shared" ref="K133:K196" si="12">COUNTIF(N133:AO133,"")</f>
        <v>21</v>
      </c>
      <c r="L133" s="17">
        <f t="shared" ref="L133:L196" si="13">COUNTIF(N133:AO133,"APAGADO")</f>
        <v>7</v>
      </c>
      <c r="M133" s="18">
        <f t="shared" ref="M133:M196" si="14">(K133)/(L133+K133)</f>
        <v>0.75</v>
      </c>
      <c r="N133" s="28" t="s">
        <v>942</v>
      </c>
      <c r="O133" s="8" t="s">
        <v>942</v>
      </c>
      <c r="P133" s="8" t="s">
        <v>942</v>
      </c>
      <c r="Q133" s="8" t="s">
        <v>942</v>
      </c>
      <c r="R133" s="28" t="s">
        <v>942</v>
      </c>
      <c r="S133" s="28" t="s">
        <v>942</v>
      </c>
      <c r="T133" s="8" t="s">
        <v>942</v>
      </c>
      <c r="U133" s="8"/>
      <c r="V133" s="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8"/>
      <c r="AI133" s="28"/>
      <c r="AJ133" s="8"/>
      <c r="AK133" s="8"/>
      <c r="AL133" s="8"/>
      <c r="AM133" s="28"/>
      <c r="AN133" s="8"/>
      <c r="AO133" s="8"/>
      <c r="AP133" s="28"/>
      <c r="AQ133" s="28"/>
      <c r="AR133" s="28"/>
    </row>
    <row r="134" spans="1:44" ht="15.75" thickBot="1" x14ac:dyDescent="0.3">
      <c r="A134" t="s">
        <v>343</v>
      </c>
      <c r="B134" s="46" t="s">
        <v>369</v>
      </c>
      <c r="C134" t="s">
        <v>370</v>
      </c>
      <c r="D134" t="s">
        <v>24</v>
      </c>
      <c r="E134" t="s">
        <v>25</v>
      </c>
      <c r="F134" t="s">
        <v>371</v>
      </c>
      <c r="G134"/>
      <c r="H134" s="16">
        <v>-348079900000</v>
      </c>
      <c r="I134" s="16">
        <v>-583023830000</v>
      </c>
      <c r="J134" s="16" t="s">
        <v>1072</v>
      </c>
      <c r="K134" s="17">
        <f t="shared" si="12"/>
        <v>27</v>
      </c>
      <c r="L134" s="17">
        <f t="shared" si="13"/>
        <v>1</v>
      </c>
      <c r="M134" s="18">
        <f t="shared" si="14"/>
        <v>0.9642857142857143</v>
      </c>
      <c r="N134" s="28"/>
      <c r="O134" s="8"/>
      <c r="P134" s="8"/>
      <c r="Q134" s="8"/>
      <c r="R134" s="28" t="s">
        <v>942</v>
      </c>
      <c r="S134" s="28"/>
      <c r="T134" s="8"/>
      <c r="U134" s="8"/>
      <c r="V134" s="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8"/>
      <c r="AI134" s="8"/>
      <c r="AJ134" s="8"/>
      <c r="AK134" s="8"/>
      <c r="AL134" s="8"/>
      <c r="AM134" s="28"/>
      <c r="AN134" s="8"/>
      <c r="AO134" s="8"/>
      <c r="AP134" s="28"/>
      <c r="AQ134" s="28"/>
      <c r="AR134" s="28"/>
    </row>
    <row r="135" spans="1:44" ht="15.75" thickBot="1" x14ac:dyDescent="0.3">
      <c r="A135" t="s">
        <v>343</v>
      </c>
      <c r="B135" s="46" t="s">
        <v>372</v>
      </c>
      <c r="C135" t="s">
        <v>373</v>
      </c>
      <c r="D135" t="s">
        <v>24</v>
      </c>
      <c r="E135" t="s">
        <v>25</v>
      </c>
      <c r="F135" t="s">
        <v>362</v>
      </c>
      <c r="G135"/>
      <c r="H135" s="16">
        <v>-348085620000</v>
      </c>
      <c r="I135" s="16">
        <v>-582997660000</v>
      </c>
      <c r="J135" s="16" t="s">
        <v>1073</v>
      </c>
      <c r="K135" s="17">
        <f t="shared" si="12"/>
        <v>28</v>
      </c>
      <c r="L135" s="17">
        <f t="shared" si="13"/>
        <v>0</v>
      </c>
      <c r="M135" s="18">
        <f t="shared" si="14"/>
        <v>1</v>
      </c>
      <c r="N135" s="28"/>
      <c r="O135" s="8"/>
      <c r="P135" s="8"/>
      <c r="Q135" s="8"/>
      <c r="R135" s="28"/>
      <c r="S135" s="28"/>
      <c r="T135" s="8"/>
      <c r="U135" s="8"/>
      <c r="V135" s="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8"/>
      <c r="AI135" s="8"/>
      <c r="AJ135" s="8"/>
      <c r="AK135" s="8"/>
      <c r="AL135" s="8"/>
      <c r="AM135" s="28"/>
      <c r="AN135" s="8"/>
      <c r="AO135" s="8"/>
      <c r="AP135" s="28"/>
      <c r="AQ135" s="28"/>
      <c r="AR135" s="28"/>
    </row>
    <row r="136" spans="1:44" ht="15.75" thickBot="1" x14ac:dyDescent="0.3">
      <c r="A136" t="s">
        <v>343</v>
      </c>
      <c r="B136" s="46" t="s">
        <v>374</v>
      </c>
      <c r="C136" t="s">
        <v>375</v>
      </c>
      <c r="D136" t="s">
        <v>19</v>
      </c>
      <c r="E136" t="s">
        <v>25</v>
      </c>
      <c r="F136" t="s">
        <v>376</v>
      </c>
      <c r="G136"/>
      <c r="H136" s="16">
        <v>-348070910000</v>
      </c>
      <c r="I136" s="16">
        <v>-583063750000</v>
      </c>
      <c r="J136" s="16" t="s">
        <v>1074</v>
      </c>
      <c r="K136" s="17">
        <f t="shared" si="12"/>
        <v>27</v>
      </c>
      <c r="L136" s="17">
        <f t="shared" si="13"/>
        <v>1</v>
      </c>
      <c r="M136" s="18">
        <f t="shared" si="14"/>
        <v>0.9642857142857143</v>
      </c>
      <c r="N136" s="28" t="s">
        <v>942</v>
      </c>
      <c r="O136" s="8"/>
      <c r="P136" s="8"/>
      <c r="Q136" s="8"/>
      <c r="R136" s="28"/>
      <c r="S136" s="28"/>
      <c r="T136" s="8"/>
      <c r="U136" s="8"/>
      <c r="V136" s="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8"/>
      <c r="AI136" s="8"/>
      <c r="AJ136" s="8"/>
      <c r="AK136" s="8"/>
      <c r="AL136" s="8"/>
      <c r="AM136" s="28"/>
      <c r="AN136" s="8"/>
      <c r="AO136" s="8"/>
      <c r="AP136" s="28"/>
      <c r="AQ136" s="28"/>
      <c r="AR136" s="28"/>
    </row>
    <row r="137" spans="1:44" ht="15.75" thickBot="1" x14ac:dyDescent="0.3">
      <c r="A137" t="s">
        <v>343</v>
      </c>
      <c r="B137" s="46" t="s">
        <v>377</v>
      </c>
      <c r="C137" t="s">
        <v>378</v>
      </c>
      <c r="D137" t="s">
        <v>19</v>
      </c>
      <c r="E137" t="s">
        <v>36</v>
      </c>
      <c r="F137"/>
      <c r="G137" t="s">
        <v>268</v>
      </c>
      <c r="H137" s="16">
        <v>-348083080000</v>
      </c>
      <c r="I137" s="16">
        <v>-582951030000</v>
      </c>
      <c r="J137" s="16" t="s">
        <v>1079</v>
      </c>
      <c r="K137" s="17">
        <f t="shared" si="12"/>
        <v>24</v>
      </c>
      <c r="L137" s="17">
        <f t="shared" si="13"/>
        <v>4</v>
      </c>
      <c r="M137" s="18">
        <f t="shared" si="14"/>
        <v>0.8571428571428571</v>
      </c>
      <c r="N137" s="28" t="s">
        <v>942</v>
      </c>
      <c r="O137" s="8" t="s">
        <v>942</v>
      </c>
      <c r="P137" s="8" t="s">
        <v>942</v>
      </c>
      <c r="Q137" s="8" t="s">
        <v>942</v>
      </c>
      <c r="R137" s="28"/>
      <c r="S137" s="28"/>
      <c r="T137" s="8"/>
      <c r="U137" s="8"/>
      <c r="V137" s="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8"/>
      <c r="AI137" s="28"/>
      <c r="AJ137" s="8"/>
      <c r="AK137" s="8"/>
      <c r="AL137" s="8"/>
      <c r="AM137" s="28"/>
      <c r="AN137" s="8"/>
      <c r="AO137" s="8"/>
      <c r="AP137" s="28"/>
      <c r="AQ137" s="28"/>
      <c r="AR137" s="28"/>
    </row>
    <row r="138" spans="1:44" ht="15.75" thickBot="1" x14ac:dyDescent="0.3">
      <c r="A138" t="s">
        <v>343</v>
      </c>
      <c r="B138" s="46" t="s">
        <v>379</v>
      </c>
      <c r="C138" t="s">
        <v>380</v>
      </c>
      <c r="D138" t="s">
        <v>113</v>
      </c>
      <c r="E138" t="s">
        <v>948</v>
      </c>
      <c r="F138"/>
      <c r="G138" t="s">
        <v>381</v>
      </c>
      <c r="H138" s="16">
        <v>-348053300000</v>
      </c>
      <c r="I138" s="16">
        <v>-583014930000</v>
      </c>
      <c r="J138" s="16" t="s">
        <v>1082</v>
      </c>
      <c r="K138" s="17">
        <f t="shared" si="12"/>
        <v>28</v>
      </c>
      <c r="L138" s="17">
        <f t="shared" si="13"/>
        <v>0</v>
      </c>
      <c r="M138" s="18">
        <f t="shared" si="14"/>
        <v>1</v>
      </c>
      <c r="N138" s="28"/>
      <c r="O138" s="8"/>
      <c r="P138" s="8"/>
      <c r="Q138" s="8"/>
      <c r="R138" s="28"/>
      <c r="S138" s="28"/>
      <c r="T138" s="8"/>
      <c r="U138" s="8"/>
      <c r="V138" s="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8"/>
      <c r="AI138" s="8"/>
      <c r="AJ138" s="8"/>
      <c r="AK138" s="8"/>
      <c r="AL138" s="8"/>
      <c r="AM138" s="28"/>
      <c r="AN138" s="8"/>
      <c r="AO138" s="8"/>
      <c r="AP138" s="28"/>
      <c r="AQ138" s="28"/>
      <c r="AR138" s="28"/>
    </row>
    <row r="139" spans="1:44" ht="15.75" thickBot="1" x14ac:dyDescent="0.3">
      <c r="A139" t="s">
        <v>343</v>
      </c>
      <c r="B139" s="46" t="s">
        <v>382</v>
      </c>
      <c r="C139" t="s">
        <v>380</v>
      </c>
      <c r="D139" t="s">
        <v>113</v>
      </c>
      <c r="E139" t="s">
        <v>948</v>
      </c>
      <c r="F139"/>
      <c r="G139" t="s">
        <v>383</v>
      </c>
      <c r="H139" s="16">
        <v>-348053300000</v>
      </c>
      <c r="I139" s="16">
        <v>-583014930000</v>
      </c>
      <c r="J139" s="16" t="s">
        <v>1083</v>
      </c>
      <c r="K139" s="17">
        <f t="shared" si="12"/>
        <v>28</v>
      </c>
      <c r="L139" s="17">
        <f t="shared" si="13"/>
        <v>0</v>
      </c>
      <c r="M139" s="18">
        <f t="shared" si="14"/>
        <v>1</v>
      </c>
      <c r="N139" s="28"/>
      <c r="O139" s="8"/>
      <c r="P139" s="8"/>
      <c r="Q139" s="8"/>
      <c r="R139" s="28"/>
      <c r="S139" s="28"/>
      <c r="T139" s="8"/>
      <c r="U139" s="8"/>
      <c r="V139" s="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8"/>
      <c r="AI139" s="8"/>
      <c r="AJ139" s="8"/>
      <c r="AK139" s="8"/>
      <c r="AL139" s="8"/>
      <c r="AM139" s="28"/>
      <c r="AN139" s="8"/>
      <c r="AO139" s="8"/>
      <c r="AP139" s="28"/>
      <c r="AQ139" s="28"/>
      <c r="AR139" s="28"/>
    </row>
    <row r="140" spans="1:44" ht="15.75" thickBot="1" x14ac:dyDescent="0.3">
      <c r="A140" t="s">
        <v>343</v>
      </c>
      <c r="B140" s="46" t="s">
        <v>384</v>
      </c>
      <c r="C140" t="s">
        <v>385</v>
      </c>
      <c r="D140" t="s">
        <v>113</v>
      </c>
      <c r="E140" t="s">
        <v>948</v>
      </c>
      <c r="F140"/>
      <c r="G140" t="s">
        <v>386</v>
      </c>
      <c r="H140" s="16">
        <v>-348051560000</v>
      </c>
      <c r="I140" s="16">
        <v>-583023560000</v>
      </c>
      <c r="J140" s="16" t="s">
        <v>1084</v>
      </c>
      <c r="K140" s="17">
        <f t="shared" si="12"/>
        <v>28</v>
      </c>
      <c r="L140" s="17">
        <f t="shared" si="13"/>
        <v>0</v>
      </c>
      <c r="M140" s="18">
        <f t="shared" si="14"/>
        <v>1</v>
      </c>
      <c r="N140" s="28"/>
      <c r="O140" s="8"/>
      <c r="P140" s="8"/>
      <c r="Q140" s="8"/>
      <c r="R140" s="28"/>
      <c r="S140" s="28"/>
      <c r="T140" s="8"/>
      <c r="U140" s="8"/>
      <c r="V140" s="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8"/>
      <c r="AI140" s="8"/>
      <c r="AJ140" s="8"/>
      <c r="AK140" s="8"/>
      <c r="AL140" s="8"/>
      <c r="AM140" s="28"/>
      <c r="AN140" s="8"/>
      <c r="AO140" s="8"/>
      <c r="AP140" s="28"/>
      <c r="AQ140" s="28"/>
      <c r="AR140" s="28"/>
    </row>
    <row r="141" spans="1:44" ht="15.75" thickBot="1" x14ac:dyDescent="0.3">
      <c r="A141" t="s">
        <v>343</v>
      </c>
      <c r="B141" s="46" t="s">
        <v>387</v>
      </c>
      <c r="C141" t="s">
        <v>385</v>
      </c>
      <c r="D141" t="s">
        <v>113</v>
      </c>
      <c r="E141" t="s">
        <v>948</v>
      </c>
      <c r="F141"/>
      <c r="G141" t="s">
        <v>386</v>
      </c>
      <c r="H141" s="16">
        <v>-348051560000</v>
      </c>
      <c r="I141" s="16">
        <v>-583023560000</v>
      </c>
      <c r="J141" s="16" t="s">
        <v>1085</v>
      </c>
      <c r="K141" s="17">
        <f t="shared" si="12"/>
        <v>27</v>
      </c>
      <c r="L141" s="17">
        <f t="shared" si="13"/>
        <v>1</v>
      </c>
      <c r="M141" s="18">
        <f t="shared" si="14"/>
        <v>0.9642857142857143</v>
      </c>
      <c r="N141" s="28"/>
      <c r="O141" s="8"/>
      <c r="P141" s="8"/>
      <c r="Q141" s="8"/>
      <c r="R141" s="28" t="s">
        <v>942</v>
      </c>
      <c r="S141" s="28"/>
      <c r="T141" s="8"/>
      <c r="U141" s="8"/>
      <c r="V141" s="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8"/>
      <c r="AI141" s="8"/>
      <c r="AJ141" s="8"/>
      <c r="AK141" s="8"/>
      <c r="AL141" s="8"/>
      <c r="AM141" s="28"/>
      <c r="AN141" s="8"/>
      <c r="AO141" s="8"/>
      <c r="AP141" s="28"/>
      <c r="AQ141" s="28"/>
      <c r="AR141" s="28"/>
    </row>
    <row r="142" spans="1:44" ht="15.75" thickBot="1" x14ac:dyDescent="0.3">
      <c r="A142" t="s">
        <v>168</v>
      </c>
      <c r="B142" s="46" t="s">
        <v>388</v>
      </c>
      <c r="C142" t="s">
        <v>389</v>
      </c>
      <c r="D142" t="s">
        <v>19</v>
      </c>
      <c r="E142" t="s">
        <v>948</v>
      </c>
      <c r="F142"/>
      <c r="G142" t="s">
        <v>390</v>
      </c>
      <c r="H142" s="16">
        <v>-347976230000</v>
      </c>
      <c r="I142" s="16">
        <v>-582821290000</v>
      </c>
      <c r="J142" s="16" t="s">
        <v>1086</v>
      </c>
      <c r="K142" s="17">
        <f t="shared" si="12"/>
        <v>28</v>
      </c>
      <c r="L142" s="17">
        <f t="shared" si="13"/>
        <v>0</v>
      </c>
      <c r="M142" s="18">
        <f t="shared" si="14"/>
        <v>1</v>
      </c>
      <c r="N142" s="28"/>
      <c r="O142" s="8"/>
      <c r="P142" s="8"/>
      <c r="Q142" s="8"/>
      <c r="R142" s="28"/>
      <c r="S142" s="28"/>
      <c r="T142" s="8"/>
      <c r="U142" s="8"/>
      <c r="V142" s="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8"/>
      <c r="AI142" s="8"/>
      <c r="AJ142" s="8"/>
      <c r="AK142" s="8"/>
      <c r="AL142" s="8"/>
      <c r="AM142" s="28"/>
      <c r="AN142" s="8"/>
      <c r="AO142" s="8"/>
      <c r="AP142" s="28"/>
      <c r="AQ142" s="28"/>
      <c r="AR142" s="28"/>
    </row>
    <row r="143" spans="1:44" ht="15.75" thickBot="1" x14ac:dyDescent="0.3">
      <c r="A143" t="s">
        <v>168</v>
      </c>
      <c r="B143" s="46" t="s">
        <v>391</v>
      </c>
      <c r="C143" t="s">
        <v>392</v>
      </c>
      <c r="D143" t="s">
        <v>19</v>
      </c>
      <c r="E143" t="s">
        <v>948</v>
      </c>
      <c r="F143"/>
      <c r="G143" t="s">
        <v>390</v>
      </c>
      <c r="H143" s="16">
        <v>-347960180000</v>
      </c>
      <c r="I143" s="16">
        <v>-582861620000</v>
      </c>
      <c r="J143" s="16" t="s">
        <v>1087</v>
      </c>
      <c r="K143" s="17">
        <f t="shared" si="12"/>
        <v>28</v>
      </c>
      <c r="L143" s="17">
        <f t="shared" si="13"/>
        <v>0</v>
      </c>
      <c r="M143" s="18">
        <f t="shared" si="14"/>
        <v>1</v>
      </c>
      <c r="N143" s="28"/>
      <c r="O143" s="8"/>
      <c r="P143" s="8"/>
      <c r="Q143" s="8"/>
      <c r="R143" s="28"/>
      <c r="S143" s="28"/>
      <c r="T143" s="8"/>
      <c r="U143" s="8"/>
      <c r="V143" s="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8"/>
      <c r="AI143" s="8"/>
      <c r="AJ143" s="8"/>
      <c r="AK143" s="8"/>
      <c r="AL143" s="8"/>
      <c r="AM143" s="28"/>
      <c r="AN143" s="8"/>
      <c r="AO143" s="8"/>
      <c r="AP143" s="28"/>
      <c r="AQ143" s="28"/>
      <c r="AR143" s="28"/>
    </row>
    <row r="144" spans="1:44" ht="15.75" thickBot="1" x14ac:dyDescent="0.3">
      <c r="A144" t="s">
        <v>168</v>
      </c>
      <c r="B144" s="46" t="s">
        <v>393</v>
      </c>
      <c r="C144" t="s">
        <v>394</v>
      </c>
      <c r="D144" t="s">
        <v>19</v>
      </c>
      <c r="E144" t="s">
        <v>948</v>
      </c>
      <c r="F144"/>
      <c r="G144" t="s">
        <v>390</v>
      </c>
      <c r="H144" s="16">
        <v>-347947670000</v>
      </c>
      <c r="I144" s="16">
        <v>-582871810000</v>
      </c>
      <c r="J144" s="16" t="s">
        <v>1088</v>
      </c>
      <c r="K144" s="17">
        <f t="shared" si="12"/>
        <v>28</v>
      </c>
      <c r="L144" s="17">
        <f t="shared" si="13"/>
        <v>0</v>
      </c>
      <c r="M144" s="18">
        <f t="shared" si="14"/>
        <v>1</v>
      </c>
      <c r="N144" s="28"/>
      <c r="O144" s="8"/>
      <c r="P144" s="8"/>
      <c r="Q144" s="8"/>
      <c r="R144" s="28"/>
      <c r="S144" s="28"/>
      <c r="T144" s="8"/>
      <c r="U144" s="8"/>
      <c r="V144" s="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8"/>
      <c r="AI144" s="8"/>
      <c r="AJ144" s="8"/>
      <c r="AK144" s="8"/>
      <c r="AL144" s="8"/>
      <c r="AM144" s="28"/>
      <c r="AN144" s="8"/>
      <c r="AO144" s="8"/>
      <c r="AP144" s="28"/>
      <c r="AQ144" s="28"/>
      <c r="AR144" s="28"/>
    </row>
    <row r="145" spans="1:44" ht="15.75" thickBot="1" x14ac:dyDescent="0.3">
      <c r="A145" t="s">
        <v>262</v>
      </c>
      <c r="B145" s="46" t="s">
        <v>395</v>
      </c>
      <c r="C145" t="s">
        <v>396</v>
      </c>
      <c r="D145" t="s">
        <v>24</v>
      </c>
      <c r="E145" t="s">
        <v>25</v>
      </c>
      <c r="F145" t="s">
        <v>365</v>
      </c>
      <c r="G145"/>
      <c r="H145" s="16">
        <v>-348070980000</v>
      </c>
      <c r="I145" s="16">
        <v>-582892260000</v>
      </c>
      <c r="J145" s="16" t="s">
        <v>1089</v>
      </c>
      <c r="K145" s="17">
        <f t="shared" si="12"/>
        <v>28</v>
      </c>
      <c r="L145" s="17">
        <f t="shared" si="13"/>
        <v>0</v>
      </c>
      <c r="M145" s="18">
        <f t="shared" si="14"/>
        <v>1</v>
      </c>
      <c r="N145" s="28"/>
      <c r="O145" s="8"/>
      <c r="P145" s="8"/>
      <c r="Q145" s="8"/>
      <c r="R145" s="28"/>
      <c r="S145" s="28"/>
      <c r="T145" s="8"/>
      <c r="U145" s="8"/>
      <c r="V145" s="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8"/>
      <c r="AI145" s="8"/>
      <c r="AJ145" s="8"/>
      <c r="AK145" s="8"/>
      <c r="AL145" s="8"/>
      <c r="AM145" s="28"/>
      <c r="AN145" s="8"/>
      <c r="AO145" s="8"/>
      <c r="AP145" s="28"/>
      <c r="AQ145" s="28"/>
      <c r="AR145" s="28"/>
    </row>
    <row r="146" spans="1:44" ht="15.75" thickBot="1" x14ac:dyDescent="0.3">
      <c r="B146" s="46" t="s">
        <v>397</v>
      </c>
      <c r="C146" t="s">
        <v>398</v>
      </c>
      <c r="D146" t="s">
        <v>24</v>
      </c>
      <c r="E146" t="s">
        <v>25</v>
      </c>
      <c r="F146" t="s">
        <v>399</v>
      </c>
      <c r="G146" t="s">
        <v>400</v>
      </c>
      <c r="H146" s="16">
        <v>-348065100000</v>
      </c>
      <c r="I146" s="16">
        <v>-582865850000</v>
      </c>
      <c r="J146" s="16" t="s">
        <v>1090</v>
      </c>
      <c r="K146" s="17">
        <f t="shared" si="12"/>
        <v>25</v>
      </c>
      <c r="L146" s="17">
        <f t="shared" si="13"/>
        <v>3</v>
      </c>
      <c r="M146" s="18">
        <f t="shared" si="14"/>
        <v>0.8928571428571429</v>
      </c>
      <c r="N146" s="28"/>
      <c r="O146" s="8"/>
      <c r="P146" s="8"/>
      <c r="Q146" s="8" t="s">
        <v>942</v>
      </c>
      <c r="R146" s="28" t="s">
        <v>942</v>
      </c>
      <c r="S146" s="28" t="s">
        <v>942</v>
      </c>
      <c r="T146" s="8"/>
      <c r="U146" s="8"/>
      <c r="V146" s="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8"/>
      <c r="AI146" s="8"/>
      <c r="AJ146" s="8"/>
      <c r="AK146" s="8"/>
      <c r="AL146" s="8"/>
      <c r="AM146" s="28"/>
      <c r="AN146" s="8"/>
      <c r="AO146" s="8"/>
      <c r="AP146" s="28"/>
      <c r="AQ146" s="28"/>
      <c r="AR146" s="28"/>
    </row>
    <row r="147" spans="1:44" ht="15.75" thickBot="1" x14ac:dyDescent="0.3">
      <c r="A147" t="s">
        <v>401</v>
      </c>
      <c r="B147" s="46" t="s">
        <v>402</v>
      </c>
      <c r="C147" t="s">
        <v>403</v>
      </c>
      <c r="D147" t="s">
        <v>113</v>
      </c>
      <c r="E147" t="s">
        <v>36</v>
      </c>
      <c r="F147"/>
      <c r="G147" t="s">
        <v>249</v>
      </c>
      <c r="H147" s="16">
        <v>-348071440000</v>
      </c>
      <c r="I147" s="16">
        <v>-582892140000</v>
      </c>
      <c r="J147" s="16" t="s">
        <v>1091</v>
      </c>
      <c r="K147" s="17">
        <f t="shared" si="12"/>
        <v>28</v>
      </c>
      <c r="L147" s="17">
        <f t="shared" si="13"/>
        <v>0</v>
      </c>
      <c r="M147" s="18">
        <f t="shared" si="14"/>
        <v>1</v>
      </c>
      <c r="N147" s="28"/>
      <c r="O147" s="8"/>
      <c r="P147" s="8"/>
      <c r="Q147" s="8"/>
      <c r="R147" s="28"/>
      <c r="S147" s="28"/>
      <c r="T147" s="8"/>
      <c r="U147" s="8"/>
      <c r="V147" s="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8"/>
      <c r="AI147" s="8"/>
      <c r="AJ147" s="8"/>
      <c r="AK147" s="8"/>
      <c r="AL147" s="8"/>
      <c r="AM147" s="28"/>
      <c r="AN147" s="8"/>
      <c r="AO147" s="8"/>
      <c r="AP147" s="28"/>
      <c r="AQ147" s="28"/>
      <c r="AR147" s="28"/>
    </row>
    <row r="148" spans="1:44" ht="15.75" thickBot="1" x14ac:dyDescent="0.3">
      <c r="A148" t="s">
        <v>401</v>
      </c>
      <c r="B148" s="46" t="s">
        <v>404</v>
      </c>
      <c r="C148" t="s">
        <v>403</v>
      </c>
      <c r="D148" t="s">
        <v>73</v>
      </c>
      <c r="E148" t="s">
        <v>36</v>
      </c>
      <c r="F148"/>
      <c r="G148" t="s">
        <v>224</v>
      </c>
      <c r="H148" s="16">
        <v>-348070260000</v>
      </c>
      <c r="I148" s="16">
        <v>-582887990000</v>
      </c>
      <c r="J148" s="16" t="s">
        <v>1065</v>
      </c>
      <c r="K148" s="17">
        <f t="shared" si="12"/>
        <v>28</v>
      </c>
      <c r="L148" s="17">
        <f t="shared" si="13"/>
        <v>0</v>
      </c>
      <c r="M148" s="18">
        <f t="shared" si="14"/>
        <v>1</v>
      </c>
      <c r="N148" s="28"/>
      <c r="O148" s="8"/>
      <c r="P148" s="8"/>
      <c r="Q148" s="8"/>
      <c r="R148" s="28"/>
      <c r="S148" s="28"/>
      <c r="T148" s="8"/>
      <c r="U148" s="8"/>
      <c r="V148" s="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8"/>
      <c r="AI148" s="8"/>
      <c r="AJ148" s="8"/>
      <c r="AK148" s="8"/>
      <c r="AL148" s="8"/>
      <c r="AM148" s="28"/>
      <c r="AN148" s="8"/>
      <c r="AO148" s="8"/>
      <c r="AP148" s="28"/>
      <c r="AQ148" s="28"/>
      <c r="AR148" s="28"/>
    </row>
    <row r="149" spans="1:44" ht="15.75" thickBot="1" x14ac:dyDescent="0.3">
      <c r="A149" t="s">
        <v>405</v>
      </c>
      <c r="B149" s="46" t="s">
        <v>406</v>
      </c>
      <c r="C149" t="s">
        <v>407</v>
      </c>
      <c r="D149" t="s">
        <v>19</v>
      </c>
      <c r="E149" t="s">
        <v>36</v>
      </c>
      <c r="F149"/>
      <c r="G149" t="s">
        <v>249</v>
      </c>
      <c r="H149" s="16">
        <v>-348519500000</v>
      </c>
      <c r="I149" s="16">
        <v>-582783830000</v>
      </c>
      <c r="J149" s="16" t="s">
        <v>1092</v>
      </c>
      <c r="K149" s="17">
        <f t="shared" si="12"/>
        <v>26</v>
      </c>
      <c r="L149" s="17">
        <f t="shared" si="13"/>
        <v>2</v>
      </c>
      <c r="M149" s="18">
        <f t="shared" si="14"/>
        <v>0.9285714285714286</v>
      </c>
      <c r="N149" s="28" t="s">
        <v>942</v>
      </c>
      <c r="O149" s="8" t="s">
        <v>942</v>
      </c>
      <c r="P149" s="8"/>
      <c r="Q149" s="8"/>
      <c r="R149" s="28"/>
      <c r="S149" s="28"/>
      <c r="T149" s="8"/>
      <c r="U149" s="8"/>
      <c r="V149" s="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8"/>
      <c r="AI149" s="28"/>
      <c r="AJ149" s="8"/>
      <c r="AK149" s="8"/>
      <c r="AL149" s="8"/>
      <c r="AM149" s="28"/>
      <c r="AN149" s="8"/>
      <c r="AO149" s="8"/>
      <c r="AP149" s="28"/>
      <c r="AQ149" s="28"/>
      <c r="AR149" s="28"/>
    </row>
    <row r="150" spans="1:44" ht="15.75" thickBot="1" x14ac:dyDescent="0.3">
      <c r="A150" t="s">
        <v>405</v>
      </c>
      <c r="B150" s="46" t="s">
        <v>408</v>
      </c>
      <c r="C150" t="s">
        <v>409</v>
      </c>
      <c r="D150" t="s">
        <v>113</v>
      </c>
      <c r="E150" t="s">
        <v>36</v>
      </c>
      <c r="F150"/>
      <c r="G150" t="s">
        <v>330</v>
      </c>
      <c r="H150" s="16">
        <v>-348525210000</v>
      </c>
      <c r="I150" s="16">
        <v>-582783180000</v>
      </c>
      <c r="J150" s="16" t="s">
        <v>1093</v>
      </c>
      <c r="K150" s="17">
        <f t="shared" si="12"/>
        <v>26</v>
      </c>
      <c r="L150" s="17">
        <f t="shared" si="13"/>
        <v>2</v>
      </c>
      <c r="M150" s="18">
        <f t="shared" si="14"/>
        <v>0.9285714285714286</v>
      </c>
      <c r="N150" s="28" t="s">
        <v>942</v>
      </c>
      <c r="O150" s="8" t="s">
        <v>942</v>
      </c>
      <c r="P150" s="8"/>
      <c r="Q150" s="8"/>
      <c r="R150" s="28"/>
      <c r="S150" s="28"/>
      <c r="T150" s="8"/>
      <c r="U150" s="8"/>
      <c r="V150" s="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8"/>
      <c r="AI150" s="28"/>
      <c r="AJ150" s="8"/>
      <c r="AK150" s="8"/>
      <c r="AL150" s="8"/>
      <c r="AM150" s="28"/>
      <c r="AN150" s="8"/>
      <c r="AO150" s="8"/>
      <c r="AP150" s="28"/>
      <c r="AQ150" s="28"/>
      <c r="AR150" s="28"/>
    </row>
    <row r="151" spans="1:44" ht="15.75" thickBot="1" x14ac:dyDescent="0.3">
      <c r="A151" t="s">
        <v>405</v>
      </c>
      <c r="B151" s="46" t="s">
        <v>410</v>
      </c>
      <c r="C151" t="s">
        <v>409</v>
      </c>
      <c r="D151" t="s">
        <v>113</v>
      </c>
      <c r="E151" t="s">
        <v>36</v>
      </c>
      <c r="F151"/>
      <c r="G151" t="s">
        <v>330</v>
      </c>
      <c r="H151" s="16">
        <v>-348525370000</v>
      </c>
      <c r="I151" s="16">
        <v>-582783380000</v>
      </c>
      <c r="J151" s="16" t="s">
        <v>1094</v>
      </c>
      <c r="K151" s="17">
        <f t="shared" si="12"/>
        <v>26</v>
      </c>
      <c r="L151" s="17">
        <f t="shared" si="13"/>
        <v>2</v>
      </c>
      <c r="M151" s="18">
        <f t="shared" si="14"/>
        <v>0.9285714285714286</v>
      </c>
      <c r="N151" s="28" t="s">
        <v>942</v>
      </c>
      <c r="O151" s="8" t="s">
        <v>942</v>
      </c>
      <c r="P151" s="8"/>
      <c r="Q151" s="8"/>
      <c r="R151" s="28"/>
      <c r="S151" s="28"/>
      <c r="T151" s="8"/>
      <c r="U151" s="8"/>
      <c r="V151" s="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8"/>
      <c r="AI151" s="28"/>
      <c r="AJ151" s="8"/>
      <c r="AK151" s="8"/>
      <c r="AL151" s="8"/>
      <c r="AM151" s="28"/>
      <c r="AN151" s="8"/>
      <c r="AO151" s="8"/>
      <c r="AP151" s="28"/>
      <c r="AQ151" s="28"/>
      <c r="AR151" s="28"/>
    </row>
    <row r="152" spans="1:44" ht="15.75" thickBot="1" x14ac:dyDescent="0.3">
      <c r="B152" s="46" t="s">
        <v>411</v>
      </c>
      <c r="C152" t="s">
        <v>412</v>
      </c>
      <c r="D152" t="s">
        <v>73</v>
      </c>
      <c r="E152" t="s">
        <v>36</v>
      </c>
      <c r="F152" t="s">
        <v>186</v>
      </c>
      <c r="G152" t="s">
        <v>413</v>
      </c>
      <c r="H152" s="16">
        <v>-347838400000</v>
      </c>
      <c r="I152" s="16">
        <v>-582682780000</v>
      </c>
      <c r="J152" s="16" t="s">
        <v>1095</v>
      </c>
      <c r="K152" s="17">
        <f t="shared" si="12"/>
        <v>28</v>
      </c>
      <c r="L152" s="17">
        <f t="shared" si="13"/>
        <v>0</v>
      </c>
      <c r="M152" s="18">
        <f t="shared" si="14"/>
        <v>1</v>
      </c>
      <c r="N152" s="28"/>
      <c r="O152" s="8"/>
      <c r="P152" s="8"/>
      <c r="Q152" s="8"/>
      <c r="R152" s="28"/>
      <c r="S152" s="28"/>
      <c r="T152" s="8"/>
      <c r="U152" s="8"/>
      <c r="V152" s="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8"/>
      <c r="AI152" s="8"/>
      <c r="AJ152" s="8"/>
      <c r="AK152" s="8"/>
      <c r="AL152" s="8"/>
      <c r="AM152" s="28"/>
      <c r="AN152" s="8"/>
      <c r="AO152" s="8"/>
      <c r="AP152" s="28"/>
      <c r="AQ152" s="28"/>
      <c r="AR152" s="28"/>
    </row>
    <row r="153" spans="1:44" ht="15.75" thickBot="1" x14ac:dyDescent="0.3">
      <c r="A153" t="s">
        <v>414</v>
      </c>
      <c r="B153" s="46" t="s">
        <v>415</v>
      </c>
      <c r="C153" t="s">
        <v>416</v>
      </c>
      <c r="D153" t="s">
        <v>24</v>
      </c>
      <c r="E153" t="s">
        <v>36</v>
      </c>
      <c r="F153" t="s">
        <v>186</v>
      </c>
      <c r="G153"/>
      <c r="H153" s="16">
        <v>-347869330000</v>
      </c>
      <c r="I153" s="16">
        <v>-582738880000</v>
      </c>
      <c r="J153" s="16" t="s">
        <v>1096</v>
      </c>
      <c r="K153" s="17">
        <f t="shared" si="12"/>
        <v>28</v>
      </c>
      <c r="L153" s="17">
        <f t="shared" si="13"/>
        <v>0</v>
      </c>
      <c r="M153" s="18">
        <f t="shared" si="14"/>
        <v>1</v>
      </c>
      <c r="N153" s="28"/>
      <c r="O153" s="8"/>
      <c r="P153" s="8"/>
      <c r="Q153" s="8"/>
      <c r="R153" s="28"/>
      <c r="S153" s="28"/>
      <c r="T153" s="8"/>
      <c r="U153" s="8"/>
      <c r="V153" s="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8"/>
      <c r="AI153" s="8"/>
      <c r="AJ153" s="8"/>
      <c r="AK153" s="8"/>
      <c r="AL153" s="8"/>
      <c r="AM153" s="28"/>
      <c r="AN153" s="8"/>
      <c r="AO153" s="8"/>
      <c r="AP153" s="28"/>
      <c r="AQ153" s="28"/>
      <c r="AR153" s="28"/>
    </row>
    <row r="154" spans="1:44" ht="15.75" thickBot="1" x14ac:dyDescent="0.3">
      <c r="A154" t="s">
        <v>417</v>
      </c>
      <c r="B154" s="46" t="s">
        <v>418</v>
      </c>
      <c r="C154" t="s">
        <v>419</v>
      </c>
      <c r="D154" t="s">
        <v>113</v>
      </c>
      <c r="E154" t="s">
        <v>36</v>
      </c>
      <c r="F154" t="s">
        <v>186</v>
      </c>
      <c r="G154"/>
      <c r="H154" s="16">
        <v>-347836020000</v>
      </c>
      <c r="I154" s="16">
        <v>-582678150000</v>
      </c>
      <c r="J154" s="16" t="s">
        <v>1097</v>
      </c>
      <c r="K154" s="17">
        <f t="shared" si="12"/>
        <v>28</v>
      </c>
      <c r="L154" s="17">
        <f t="shared" si="13"/>
        <v>0</v>
      </c>
      <c r="M154" s="18">
        <f t="shared" si="14"/>
        <v>1</v>
      </c>
      <c r="N154" s="28"/>
      <c r="O154" s="8"/>
      <c r="P154" s="8"/>
      <c r="Q154" s="8"/>
      <c r="R154" s="28"/>
      <c r="S154" s="28"/>
      <c r="T154" s="8"/>
      <c r="U154" s="8"/>
      <c r="V154" s="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8"/>
      <c r="AI154" s="8"/>
      <c r="AJ154" s="8"/>
      <c r="AK154" s="8"/>
      <c r="AL154" s="8"/>
      <c r="AM154" s="28"/>
      <c r="AN154" s="8"/>
      <c r="AO154" s="8"/>
      <c r="AP154" s="28"/>
      <c r="AQ154" s="28"/>
      <c r="AR154" s="28"/>
    </row>
    <row r="155" spans="1:44" ht="15.75" thickBot="1" x14ac:dyDescent="0.3">
      <c r="A155" t="s">
        <v>417</v>
      </c>
      <c r="B155" s="46" t="s">
        <v>420</v>
      </c>
      <c r="C155" t="s">
        <v>421</v>
      </c>
      <c r="D155" t="s">
        <v>73</v>
      </c>
      <c r="E155" t="s">
        <v>36</v>
      </c>
      <c r="F155" t="s">
        <v>186</v>
      </c>
      <c r="G155" t="s">
        <v>422</v>
      </c>
      <c r="H155" s="16">
        <v>-347831840000</v>
      </c>
      <c r="I155" s="16">
        <v>-582670320000</v>
      </c>
      <c r="J155" s="16" t="s">
        <v>1098</v>
      </c>
      <c r="K155" s="17">
        <f t="shared" si="12"/>
        <v>28</v>
      </c>
      <c r="L155" s="17">
        <f t="shared" si="13"/>
        <v>0</v>
      </c>
      <c r="M155" s="18">
        <f t="shared" si="14"/>
        <v>1</v>
      </c>
      <c r="N155" s="28"/>
      <c r="O155" s="8"/>
      <c r="P155" s="8"/>
      <c r="Q155" s="8"/>
      <c r="R155" s="28"/>
      <c r="S155" s="28"/>
      <c r="T155" s="8"/>
      <c r="U155" s="8"/>
      <c r="V155" s="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8"/>
      <c r="AI155" s="8"/>
      <c r="AJ155" s="8"/>
      <c r="AK155" s="8"/>
      <c r="AL155" s="8"/>
      <c r="AM155" s="28"/>
      <c r="AN155" s="8"/>
      <c r="AO155" s="8"/>
      <c r="AP155" s="28"/>
      <c r="AQ155" s="28"/>
      <c r="AR155" s="28"/>
    </row>
    <row r="156" spans="1:44" ht="15.75" thickBot="1" x14ac:dyDescent="0.3">
      <c r="A156" t="s">
        <v>417</v>
      </c>
      <c r="B156" s="46" t="s">
        <v>423</v>
      </c>
      <c r="C156" t="s">
        <v>424</v>
      </c>
      <c r="D156" t="s">
        <v>113</v>
      </c>
      <c r="E156" t="s">
        <v>36</v>
      </c>
      <c r="F156" t="s">
        <v>125</v>
      </c>
      <c r="G156"/>
      <c r="H156" s="16">
        <v>-347779450000</v>
      </c>
      <c r="I156" s="16">
        <v>-582643280000</v>
      </c>
      <c r="J156" s="16" t="s">
        <v>1099</v>
      </c>
      <c r="K156" s="17">
        <f t="shared" si="12"/>
        <v>22</v>
      </c>
      <c r="L156" s="17">
        <f t="shared" si="13"/>
        <v>6</v>
      </c>
      <c r="M156" s="18">
        <f t="shared" si="14"/>
        <v>0.7857142857142857</v>
      </c>
      <c r="N156" s="28"/>
      <c r="O156" s="8" t="s">
        <v>942</v>
      </c>
      <c r="P156" s="8" t="s">
        <v>942</v>
      </c>
      <c r="Q156" s="8" t="s">
        <v>942</v>
      </c>
      <c r="R156" s="28" t="s">
        <v>942</v>
      </c>
      <c r="S156" s="28" t="s">
        <v>942</v>
      </c>
      <c r="T156" s="8" t="s">
        <v>942</v>
      </c>
      <c r="U156" s="8"/>
      <c r="V156" s="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8"/>
      <c r="AI156" s="8"/>
      <c r="AJ156" s="8"/>
      <c r="AK156" s="8"/>
      <c r="AL156" s="8"/>
      <c r="AM156" s="28"/>
      <c r="AN156" s="8"/>
      <c r="AO156" s="8"/>
      <c r="AP156" s="28"/>
      <c r="AQ156" s="28"/>
      <c r="AR156" s="28"/>
    </row>
    <row r="157" spans="1:44" ht="15.75" thickBot="1" x14ac:dyDescent="0.3">
      <c r="A157" t="s">
        <v>414</v>
      </c>
      <c r="B157" s="46" t="s">
        <v>425</v>
      </c>
      <c r="C157" t="s">
        <v>426</v>
      </c>
      <c r="D157" t="s">
        <v>24</v>
      </c>
      <c r="E157" t="s">
        <v>36</v>
      </c>
      <c r="F157" t="s">
        <v>427</v>
      </c>
      <c r="G157"/>
      <c r="H157" s="16">
        <v>-347807820000</v>
      </c>
      <c r="I157" s="16">
        <v>-582625370000</v>
      </c>
      <c r="J157" s="16" t="s">
        <v>1100</v>
      </c>
      <c r="K157" s="17">
        <f t="shared" si="12"/>
        <v>28</v>
      </c>
      <c r="L157" s="17">
        <f t="shared" si="13"/>
        <v>0</v>
      </c>
      <c r="M157" s="18">
        <f t="shared" si="14"/>
        <v>1</v>
      </c>
      <c r="N157" s="28"/>
      <c r="O157" s="8"/>
      <c r="P157" s="8"/>
      <c r="Q157" s="8"/>
      <c r="R157" s="28"/>
      <c r="S157" s="28"/>
      <c r="T157" s="8"/>
      <c r="U157" s="8"/>
      <c r="V157" s="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8"/>
      <c r="AI157" s="8"/>
      <c r="AJ157" s="8"/>
      <c r="AK157" s="8"/>
      <c r="AL157" s="8"/>
      <c r="AM157" s="28"/>
      <c r="AN157" s="8"/>
      <c r="AO157" s="8"/>
      <c r="AP157" s="28"/>
      <c r="AQ157" s="28"/>
      <c r="AR157" s="28"/>
    </row>
    <row r="158" spans="1:44" ht="15.75" thickBot="1" x14ac:dyDescent="0.3">
      <c r="A158" t="s">
        <v>417</v>
      </c>
      <c r="B158" s="46" t="s">
        <v>428</v>
      </c>
      <c r="C158" t="s">
        <v>429</v>
      </c>
      <c r="D158" t="s">
        <v>24</v>
      </c>
      <c r="E158" t="s">
        <v>36</v>
      </c>
      <c r="F158" t="s">
        <v>186</v>
      </c>
      <c r="G158"/>
      <c r="H158" s="16">
        <v>-347816280000</v>
      </c>
      <c r="I158" s="16">
        <v>-582641460000</v>
      </c>
      <c r="J158" s="16" t="s">
        <v>1101</v>
      </c>
      <c r="K158" s="17">
        <f t="shared" si="12"/>
        <v>28</v>
      </c>
      <c r="L158" s="17">
        <f t="shared" si="13"/>
        <v>0</v>
      </c>
      <c r="M158" s="18">
        <f t="shared" si="14"/>
        <v>1</v>
      </c>
      <c r="N158" s="28"/>
      <c r="O158" s="8"/>
      <c r="P158" s="8"/>
      <c r="Q158" s="8"/>
      <c r="R158" s="28"/>
      <c r="S158" s="28"/>
      <c r="T158" s="8"/>
      <c r="U158" s="8"/>
      <c r="V158" s="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8"/>
      <c r="AI158" s="8"/>
      <c r="AJ158" s="8"/>
      <c r="AK158" s="8"/>
      <c r="AL158" s="8"/>
      <c r="AM158" s="28"/>
      <c r="AN158" s="8"/>
      <c r="AO158" s="8"/>
      <c r="AP158" s="28"/>
      <c r="AQ158" s="28"/>
      <c r="AR158" s="28"/>
    </row>
    <row r="159" spans="1:44" ht="15.75" thickBot="1" x14ac:dyDescent="0.3">
      <c r="A159" t="s">
        <v>417</v>
      </c>
      <c r="B159" s="46" t="s">
        <v>430</v>
      </c>
      <c r="C159" t="s">
        <v>431</v>
      </c>
      <c r="D159" t="s">
        <v>24</v>
      </c>
      <c r="E159" t="s">
        <v>36</v>
      </c>
      <c r="F159" t="s">
        <v>186</v>
      </c>
      <c r="G159"/>
      <c r="H159" s="16">
        <v>-347799500000</v>
      </c>
      <c r="I159" s="16">
        <v>-582656480000</v>
      </c>
      <c r="J159" s="16" t="s">
        <v>1102</v>
      </c>
      <c r="K159" s="17">
        <f t="shared" si="12"/>
        <v>21</v>
      </c>
      <c r="L159" s="17">
        <f t="shared" si="13"/>
        <v>7</v>
      </c>
      <c r="M159" s="18">
        <f t="shared" si="14"/>
        <v>0.75</v>
      </c>
      <c r="N159" s="28" t="s">
        <v>942</v>
      </c>
      <c r="O159" s="8" t="s">
        <v>942</v>
      </c>
      <c r="P159" s="8" t="s">
        <v>942</v>
      </c>
      <c r="Q159" s="8" t="s">
        <v>942</v>
      </c>
      <c r="R159" s="28" t="s">
        <v>942</v>
      </c>
      <c r="S159" s="28" t="s">
        <v>942</v>
      </c>
      <c r="T159" s="8" t="s">
        <v>942</v>
      </c>
      <c r="U159" s="8"/>
      <c r="V159" s="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8"/>
      <c r="AI159" s="28"/>
      <c r="AJ159" s="8"/>
      <c r="AK159" s="8"/>
      <c r="AL159" s="8"/>
      <c r="AM159" s="28"/>
      <c r="AN159" s="8"/>
      <c r="AO159" s="8"/>
      <c r="AP159" s="28"/>
      <c r="AQ159" s="28"/>
      <c r="AR159" s="28"/>
    </row>
    <row r="160" spans="1:44" ht="15.75" thickBot="1" x14ac:dyDescent="0.3">
      <c r="B160" s="46" t="s">
        <v>432</v>
      </c>
      <c r="C160" t="s">
        <v>433</v>
      </c>
      <c r="D160" t="s">
        <v>24</v>
      </c>
      <c r="E160" t="s">
        <v>36</v>
      </c>
      <c r="F160" t="s">
        <v>186</v>
      </c>
      <c r="G160"/>
      <c r="H160" s="16">
        <v>-347811260000</v>
      </c>
      <c r="I160" s="16">
        <v>-582702510000</v>
      </c>
      <c r="J160" s="16" t="s">
        <v>1103</v>
      </c>
      <c r="K160" s="17">
        <f t="shared" si="12"/>
        <v>22</v>
      </c>
      <c r="L160" s="17">
        <f t="shared" si="13"/>
        <v>6</v>
      </c>
      <c r="M160" s="18">
        <f t="shared" si="14"/>
        <v>0.7857142857142857</v>
      </c>
      <c r="N160" s="28"/>
      <c r="O160" s="8" t="s">
        <v>942</v>
      </c>
      <c r="P160" s="8" t="s">
        <v>942</v>
      </c>
      <c r="Q160" s="8" t="s">
        <v>942</v>
      </c>
      <c r="R160" s="28" t="s">
        <v>942</v>
      </c>
      <c r="S160" s="28" t="s">
        <v>942</v>
      </c>
      <c r="T160" s="8" t="s">
        <v>942</v>
      </c>
      <c r="U160" s="8"/>
      <c r="V160" s="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8"/>
      <c r="AI160" s="8"/>
      <c r="AJ160" s="8"/>
      <c r="AK160" s="8"/>
      <c r="AL160" s="8"/>
      <c r="AM160" s="28"/>
      <c r="AN160" s="8"/>
      <c r="AO160" s="8"/>
      <c r="AP160" s="28"/>
      <c r="AQ160" s="28"/>
      <c r="AR160" s="28"/>
    </row>
    <row r="161" spans="1:44" ht="15.75" thickBot="1" x14ac:dyDescent="0.3">
      <c r="A161" t="s">
        <v>417</v>
      </c>
      <c r="B161" s="46" t="s">
        <v>434</v>
      </c>
      <c r="C161" t="s">
        <v>435</v>
      </c>
      <c r="D161" t="s">
        <v>24</v>
      </c>
      <c r="E161" t="s">
        <v>36</v>
      </c>
      <c r="F161" t="s">
        <v>186</v>
      </c>
      <c r="G161"/>
      <c r="H161" s="16">
        <v>-347801920000</v>
      </c>
      <c r="I161" s="16">
        <v>-582637810000</v>
      </c>
      <c r="J161" s="16" t="s">
        <v>1104</v>
      </c>
      <c r="K161" s="17">
        <f t="shared" si="12"/>
        <v>28</v>
      </c>
      <c r="L161" s="17">
        <f t="shared" si="13"/>
        <v>0</v>
      </c>
      <c r="M161" s="18">
        <f t="shared" si="14"/>
        <v>1</v>
      </c>
      <c r="N161" s="28"/>
      <c r="O161" s="8"/>
      <c r="P161" s="8"/>
      <c r="Q161" s="8"/>
      <c r="R161" s="28"/>
      <c r="S161" s="28"/>
      <c r="T161" s="8"/>
      <c r="U161" s="8"/>
      <c r="V161" s="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8"/>
      <c r="AI161" s="8"/>
      <c r="AJ161" s="8"/>
      <c r="AK161" s="8"/>
      <c r="AL161" s="8"/>
      <c r="AM161" s="28"/>
      <c r="AN161" s="8"/>
      <c r="AO161" s="8"/>
      <c r="AP161" s="28"/>
      <c r="AQ161" s="28"/>
      <c r="AR161" s="28"/>
    </row>
    <row r="162" spans="1:44" ht="15.75" thickBot="1" x14ac:dyDescent="0.3">
      <c r="A162" t="s">
        <v>417</v>
      </c>
      <c r="B162" s="46" t="s">
        <v>436</v>
      </c>
      <c r="C162" t="s">
        <v>437</v>
      </c>
      <c r="D162" t="s">
        <v>24</v>
      </c>
      <c r="E162" t="s">
        <v>36</v>
      </c>
      <c r="F162" t="s">
        <v>438</v>
      </c>
      <c r="G162"/>
      <c r="H162" s="16">
        <v>-347837870000</v>
      </c>
      <c r="I162" s="16">
        <v>-582681690000</v>
      </c>
      <c r="J162" s="16" t="s">
        <v>1105</v>
      </c>
      <c r="K162" s="17">
        <f t="shared" si="12"/>
        <v>28</v>
      </c>
      <c r="L162" s="17">
        <f t="shared" si="13"/>
        <v>0</v>
      </c>
      <c r="M162" s="18">
        <f t="shared" si="14"/>
        <v>1</v>
      </c>
      <c r="N162" s="28"/>
      <c r="O162" s="8"/>
      <c r="P162" s="8"/>
      <c r="Q162" s="8"/>
      <c r="R162" s="28"/>
      <c r="S162" s="28"/>
      <c r="T162" s="8"/>
      <c r="U162" s="8"/>
      <c r="V162" s="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8"/>
      <c r="AI162" s="8"/>
      <c r="AJ162" s="8"/>
      <c r="AK162" s="8"/>
      <c r="AL162" s="8"/>
      <c r="AM162" s="28"/>
      <c r="AN162" s="8"/>
      <c r="AO162" s="8"/>
      <c r="AP162" s="28"/>
      <c r="AQ162" s="28"/>
      <c r="AR162" s="28"/>
    </row>
    <row r="163" spans="1:44" ht="15.75" thickBot="1" x14ac:dyDescent="0.3">
      <c r="A163" t="s">
        <v>417</v>
      </c>
      <c r="B163" s="46" t="s">
        <v>439</v>
      </c>
      <c r="C163" t="s">
        <v>440</v>
      </c>
      <c r="D163" t="s">
        <v>113</v>
      </c>
      <c r="E163" t="s">
        <v>36</v>
      </c>
      <c r="F163"/>
      <c r="G163" t="s">
        <v>441</v>
      </c>
      <c r="H163" s="16">
        <v>-347808370000</v>
      </c>
      <c r="I163" s="16">
        <v>-582696060000</v>
      </c>
      <c r="J163" s="16" t="s">
        <v>1106</v>
      </c>
      <c r="K163" s="17">
        <f t="shared" si="12"/>
        <v>22</v>
      </c>
      <c r="L163" s="17">
        <f t="shared" si="13"/>
        <v>6</v>
      </c>
      <c r="M163" s="18">
        <f t="shared" si="14"/>
        <v>0.7857142857142857</v>
      </c>
      <c r="N163" s="28"/>
      <c r="O163" s="8" t="s">
        <v>942</v>
      </c>
      <c r="P163" s="8" t="s">
        <v>942</v>
      </c>
      <c r="Q163" s="8" t="s">
        <v>942</v>
      </c>
      <c r="R163" s="28" t="s">
        <v>942</v>
      </c>
      <c r="S163" s="28" t="s">
        <v>942</v>
      </c>
      <c r="T163" s="8" t="s">
        <v>942</v>
      </c>
      <c r="U163" s="8"/>
      <c r="V163" s="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8"/>
      <c r="AI163" s="8"/>
      <c r="AJ163" s="8"/>
      <c r="AK163" s="8"/>
      <c r="AL163" s="8"/>
      <c r="AM163" s="28"/>
      <c r="AN163" s="8"/>
      <c r="AO163" s="8"/>
      <c r="AP163" s="28"/>
      <c r="AQ163" s="28"/>
      <c r="AR163" s="28"/>
    </row>
    <row r="164" spans="1:44" ht="15.75" thickBot="1" x14ac:dyDescent="0.3">
      <c r="A164" t="s">
        <v>417</v>
      </c>
      <c r="B164" s="46" t="s">
        <v>442</v>
      </c>
      <c r="C164" t="s">
        <v>440</v>
      </c>
      <c r="D164" t="s">
        <v>113</v>
      </c>
      <c r="E164" t="s">
        <v>36</v>
      </c>
      <c r="F164"/>
      <c r="G164" t="s">
        <v>441</v>
      </c>
      <c r="H164" s="16">
        <v>-347808450000</v>
      </c>
      <c r="I164" s="16">
        <v>-582696230000</v>
      </c>
      <c r="J164" s="16" t="s">
        <v>1107</v>
      </c>
      <c r="K164" s="17">
        <f t="shared" si="12"/>
        <v>22</v>
      </c>
      <c r="L164" s="17">
        <f t="shared" si="13"/>
        <v>6</v>
      </c>
      <c r="M164" s="18">
        <f t="shared" si="14"/>
        <v>0.7857142857142857</v>
      </c>
      <c r="N164" s="28"/>
      <c r="O164" s="8" t="s">
        <v>942</v>
      </c>
      <c r="P164" s="8" t="s">
        <v>942</v>
      </c>
      <c r="Q164" s="8" t="s">
        <v>942</v>
      </c>
      <c r="R164" s="28" t="s">
        <v>942</v>
      </c>
      <c r="S164" s="28" t="s">
        <v>942</v>
      </c>
      <c r="T164" s="8" t="s">
        <v>942</v>
      </c>
      <c r="U164" s="8"/>
      <c r="V164" s="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8"/>
      <c r="AI164" s="8"/>
      <c r="AJ164" s="8"/>
      <c r="AK164" s="8"/>
      <c r="AL164" s="8"/>
      <c r="AM164" s="28"/>
      <c r="AN164" s="8"/>
      <c r="AO164" s="8"/>
      <c r="AP164" s="28"/>
      <c r="AQ164" s="28"/>
      <c r="AR164" s="28"/>
    </row>
    <row r="165" spans="1:44" ht="15.75" thickBot="1" x14ac:dyDescent="0.3">
      <c r="A165" t="s">
        <v>417</v>
      </c>
      <c r="B165" s="46" t="s">
        <v>443</v>
      </c>
      <c r="C165" t="s">
        <v>444</v>
      </c>
      <c r="D165" t="s">
        <v>19</v>
      </c>
      <c r="E165" t="s">
        <v>36</v>
      </c>
      <c r="F165"/>
      <c r="G165" t="s">
        <v>249</v>
      </c>
      <c r="H165" s="16">
        <v>-347812080000</v>
      </c>
      <c r="I165" s="16">
        <v>-582633880000</v>
      </c>
      <c r="J165" s="16" t="s">
        <v>1108</v>
      </c>
      <c r="K165" s="17">
        <f t="shared" si="12"/>
        <v>28</v>
      </c>
      <c r="L165" s="17">
        <f t="shared" si="13"/>
        <v>0</v>
      </c>
      <c r="M165" s="18">
        <f t="shared" si="14"/>
        <v>1</v>
      </c>
      <c r="N165" s="28"/>
      <c r="O165" s="8"/>
      <c r="P165" s="8"/>
      <c r="Q165" s="8"/>
      <c r="R165" s="28"/>
      <c r="S165" s="28"/>
      <c r="T165" s="8"/>
      <c r="U165" s="8"/>
      <c r="V165" s="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8"/>
      <c r="AI165" s="8"/>
      <c r="AJ165" s="8"/>
      <c r="AK165" s="8"/>
      <c r="AL165" s="8"/>
      <c r="AM165" s="28"/>
      <c r="AN165" s="8"/>
      <c r="AO165" s="8"/>
      <c r="AP165" s="28"/>
      <c r="AQ165" s="28"/>
      <c r="AR165" s="28"/>
    </row>
    <row r="166" spans="1:44" ht="15.75" thickBot="1" x14ac:dyDescent="0.3">
      <c r="A166" t="s">
        <v>359</v>
      </c>
      <c r="B166" s="46" t="s">
        <v>445</v>
      </c>
      <c r="C166" t="s">
        <v>446</v>
      </c>
      <c r="D166" t="s">
        <v>19</v>
      </c>
      <c r="E166" t="s">
        <v>25</v>
      </c>
      <c r="F166"/>
      <c r="G166" t="s">
        <v>447</v>
      </c>
      <c r="H166" s="16">
        <v>-348079950000</v>
      </c>
      <c r="I166" s="16">
        <v>-583078510000</v>
      </c>
      <c r="J166" s="16" t="s">
        <v>1110</v>
      </c>
      <c r="K166" s="17">
        <f t="shared" si="12"/>
        <v>25</v>
      </c>
      <c r="L166" s="17">
        <f t="shared" si="13"/>
        <v>3</v>
      </c>
      <c r="M166" s="18">
        <f t="shared" si="14"/>
        <v>0.8928571428571429</v>
      </c>
      <c r="N166" s="28"/>
      <c r="O166" s="8"/>
      <c r="P166" s="8"/>
      <c r="Q166" s="8"/>
      <c r="R166" s="28" t="s">
        <v>942</v>
      </c>
      <c r="S166" s="28" t="s">
        <v>942</v>
      </c>
      <c r="T166" s="8" t="s">
        <v>942</v>
      </c>
      <c r="U166" s="8"/>
      <c r="V166" s="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8"/>
      <c r="AI166" s="8"/>
      <c r="AJ166" s="8"/>
      <c r="AK166" s="8"/>
      <c r="AL166" s="8"/>
      <c r="AM166" s="28"/>
      <c r="AN166" s="8"/>
      <c r="AO166" s="8"/>
      <c r="AP166" s="28"/>
      <c r="AQ166" s="28"/>
      <c r="AR166" s="28"/>
    </row>
    <row r="167" spans="1:44" ht="15.75" thickBot="1" x14ac:dyDescent="0.3">
      <c r="A167" t="s">
        <v>448</v>
      </c>
      <c r="B167" s="46" t="s">
        <v>449</v>
      </c>
      <c r="C167" t="s">
        <v>936</v>
      </c>
      <c r="D167" t="s">
        <v>24</v>
      </c>
      <c r="E167" t="s">
        <v>25</v>
      </c>
      <c r="F167" t="s">
        <v>162</v>
      </c>
      <c r="G167"/>
      <c r="H167" s="16">
        <v>-348097650000</v>
      </c>
      <c r="I167" s="16">
        <v>-583197750000</v>
      </c>
      <c r="J167" s="16" t="s">
        <v>1109</v>
      </c>
      <c r="K167" s="17">
        <f t="shared" si="12"/>
        <v>28</v>
      </c>
      <c r="L167" s="17">
        <f t="shared" si="13"/>
        <v>0</v>
      </c>
      <c r="M167" s="18">
        <f t="shared" si="14"/>
        <v>1</v>
      </c>
      <c r="N167" s="28"/>
      <c r="O167" s="8"/>
      <c r="P167" s="8"/>
      <c r="Q167" s="8"/>
      <c r="R167" s="28"/>
      <c r="S167" s="28"/>
      <c r="T167" s="8"/>
      <c r="U167" s="8"/>
      <c r="V167" s="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8"/>
      <c r="AI167" s="8"/>
      <c r="AJ167" s="8"/>
      <c r="AK167" s="8"/>
      <c r="AL167" s="8"/>
      <c r="AM167" s="28"/>
      <c r="AN167" s="8"/>
      <c r="AO167" s="8"/>
      <c r="AP167" s="28"/>
      <c r="AQ167" s="28"/>
      <c r="AR167" s="28"/>
    </row>
    <row r="168" spans="1:44" ht="15.75" thickBot="1" x14ac:dyDescent="0.3">
      <c r="A168" t="s">
        <v>448</v>
      </c>
      <c r="B168" s="46" t="s">
        <v>450</v>
      </c>
      <c r="C168" t="s">
        <v>451</v>
      </c>
      <c r="D168" t="s">
        <v>19</v>
      </c>
      <c r="E168" t="s">
        <v>36</v>
      </c>
      <c r="F168"/>
      <c r="G168" t="s">
        <v>452</v>
      </c>
      <c r="H168" s="16">
        <v>-348065880000</v>
      </c>
      <c r="I168" s="16">
        <v>-583140610000</v>
      </c>
      <c r="J168" s="16" t="s">
        <v>1111</v>
      </c>
      <c r="K168" s="17">
        <f t="shared" si="12"/>
        <v>28</v>
      </c>
      <c r="L168" s="17">
        <f t="shared" si="13"/>
        <v>0</v>
      </c>
      <c r="M168" s="18">
        <f t="shared" si="14"/>
        <v>1</v>
      </c>
      <c r="N168" s="28"/>
      <c r="O168" s="8"/>
      <c r="P168" s="8"/>
      <c r="Q168" s="8"/>
      <c r="R168" s="28"/>
      <c r="S168" s="28"/>
      <c r="T168" s="8"/>
      <c r="U168" s="8"/>
      <c r="V168" s="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8"/>
      <c r="AI168" s="8"/>
      <c r="AJ168" s="8"/>
      <c r="AK168" s="8"/>
      <c r="AL168" s="8"/>
      <c r="AM168" s="28"/>
      <c r="AN168" s="8"/>
      <c r="AO168" s="8"/>
      <c r="AP168" s="28"/>
      <c r="AQ168" s="28"/>
      <c r="AR168" s="28"/>
    </row>
    <row r="169" spans="1:44" ht="15.75" thickBot="1" x14ac:dyDescent="0.3">
      <c r="A169" t="s">
        <v>453</v>
      </c>
      <c r="B169" s="46" t="s">
        <v>454</v>
      </c>
      <c r="C169" t="s">
        <v>455</v>
      </c>
      <c r="D169" t="s">
        <v>113</v>
      </c>
      <c r="E169" t="s">
        <v>36</v>
      </c>
      <c r="F169" t="s">
        <v>186</v>
      </c>
      <c r="G169" t="s">
        <v>456</v>
      </c>
      <c r="H169" s="16">
        <v>-347782860000</v>
      </c>
      <c r="I169" s="16">
        <v>-582672650000</v>
      </c>
      <c r="J169" s="16" t="s">
        <v>1116</v>
      </c>
      <c r="K169" s="17">
        <f t="shared" si="12"/>
        <v>22</v>
      </c>
      <c r="L169" s="17">
        <f t="shared" si="13"/>
        <v>6</v>
      </c>
      <c r="M169" s="18">
        <f t="shared" si="14"/>
        <v>0.7857142857142857</v>
      </c>
      <c r="N169" s="28"/>
      <c r="O169" s="8" t="s">
        <v>942</v>
      </c>
      <c r="P169" s="8" t="s">
        <v>942</v>
      </c>
      <c r="Q169" s="8" t="s">
        <v>942</v>
      </c>
      <c r="R169" s="28" t="s">
        <v>942</v>
      </c>
      <c r="S169" s="28" t="s">
        <v>942</v>
      </c>
      <c r="T169" s="8" t="s">
        <v>942</v>
      </c>
      <c r="U169" s="8"/>
      <c r="V169" s="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8"/>
      <c r="AI169" s="28"/>
      <c r="AJ169" s="8"/>
      <c r="AK169" s="8"/>
      <c r="AL169" s="8"/>
      <c r="AM169" s="28"/>
      <c r="AN169" s="8"/>
      <c r="AO169" s="8"/>
      <c r="AP169" s="28"/>
      <c r="AQ169" s="28"/>
      <c r="AR169" s="28"/>
    </row>
    <row r="170" spans="1:44" ht="15.75" thickBot="1" x14ac:dyDescent="0.3">
      <c r="A170" t="s">
        <v>417</v>
      </c>
      <c r="B170" s="46" t="s">
        <v>457</v>
      </c>
      <c r="C170" t="s">
        <v>458</v>
      </c>
      <c r="D170" t="s">
        <v>113</v>
      </c>
      <c r="E170" t="s">
        <v>36</v>
      </c>
      <c r="F170" t="s">
        <v>125</v>
      </c>
      <c r="G170"/>
      <c r="H170" s="16">
        <v>-347796720000</v>
      </c>
      <c r="I170" s="16">
        <v>-582627730000</v>
      </c>
      <c r="J170" s="16" t="s">
        <v>1117</v>
      </c>
      <c r="K170" s="17">
        <f t="shared" si="12"/>
        <v>28</v>
      </c>
      <c r="L170" s="17">
        <f t="shared" si="13"/>
        <v>0</v>
      </c>
      <c r="M170" s="18">
        <f t="shared" si="14"/>
        <v>1</v>
      </c>
      <c r="N170" s="28"/>
      <c r="O170" s="8"/>
      <c r="P170" s="8"/>
      <c r="Q170" s="8"/>
      <c r="R170" s="28"/>
      <c r="S170" s="28"/>
      <c r="T170" s="8"/>
      <c r="U170" s="8"/>
      <c r="V170" s="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8"/>
      <c r="AI170" s="8"/>
      <c r="AJ170" s="8"/>
      <c r="AK170" s="8"/>
      <c r="AL170" s="8"/>
      <c r="AM170" s="28"/>
      <c r="AN170" s="8"/>
      <c r="AO170" s="8"/>
      <c r="AP170" s="28"/>
      <c r="AQ170" s="28"/>
      <c r="AR170" s="28"/>
    </row>
    <row r="171" spans="1:44" ht="15.75" thickBot="1" x14ac:dyDescent="0.3">
      <c r="A171" t="s">
        <v>459</v>
      </c>
      <c r="B171" s="46" t="s">
        <v>460</v>
      </c>
      <c r="C171" t="s">
        <v>461</v>
      </c>
      <c r="D171" t="s">
        <v>24</v>
      </c>
      <c r="E171" t="s">
        <v>36</v>
      </c>
      <c r="F171" t="s">
        <v>462</v>
      </c>
      <c r="G171"/>
      <c r="H171" s="16">
        <v>-347760150000</v>
      </c>
      <c r="I171" s="16">
        <v>-582715170000</v>
      </c>
      <c r="J171" s="16" t="s">
        <v>1118</v>
      </c>
      <c r="K171" s="17">
        <f t="shared" si="12"/>
        <v>21</v>
      </c>
      <c r="L171" s="17">
        <f t="shared" si="13"/>
        <v>7</v>
      </c>
      <c r="M171" s="18">
        <f t="shared" si="14"/>
        <v>0.75</v>
      </c>
      <c r="N171" s="28" t="s">
        <v>942</v>
      </c>
      <c r="O171" s="8" t="s">
        <v>942</v>
      </c>
      <c r="P171" s="8" t="s">
        <v>942</v>
      </c>
      <c r="Q171" s="8" t="s">
        <v>942</v>
      </c>
      <c r="R171" s="28" t="s">
        <v>942</v>
      </c>
      <c r="S171" s="28" t="s">
        <v>942</v>
      </c>
      <c r="T171" s="8" t="s">
        <v>942</v>
      </c>
      <c r="U171" s="8"/>
      <c r="V171" s="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8"/>
      <c r="AI171" s="28"/>
      <c r="AJ171" s="8"/>
      <c r="AK171" s="8"/>
      <c r="AL171" s="8"/>
      <c r="AM171" s="28"/>
      <c r="AN171" s="8"/>
      <c r="AO171" s="8"/>
      <c r="AP171" s="28"/>
      <c r="AQ171" s="28"/>
      <c r="AR171" s="28"/>
    </row>
    <row r="172" spans="1:44" ht="15.75" thickBot="1" x14ac:dyDescent="0.3">
      <c r="A172" t="s">
        <v>453</v>
      </c>
      <c r="B172" s="46" t="s">
        <v>463</v>
      </c>
      <c r="C172" t="s">
        <v>464</v>
      </c>
      <c r="D172" t="s">
        <v>24</v>
      </c>
      <c r="E172" t="s">
        <v>36</v>
      </c>
      <c r="F172" t="s">
        <v>465</v>
      </c>
      <c r="G172"/>
      <c r="H172" s="16">
        <v>-347796570000</v>
      </c>
      <c r="I172" s="16">
        <v>-582627950000</v>
      </c>
      <c r="J172" s="16" t="s">
        <v>1119</v>
      </c>
      <c r="K172" s="17">
        <f t="shared" si="12"/>
        <v>28</v>
      </c>
      <c r="L172" s="17">
        <f t="shared" si="13"/>
        <v>0</v>
      </c>
      <c r="M172" s="18">
        <f t="shared" si="14"/>
        <v>1</v>
      </c>
      <c r="N172" s="28"/>
      <c r="O172" s="8"/>
      <c r="P172" s="8"/>
      <c r="Q172" s="8"/>
      <c r="R172" s="28"/>
      <c r="S172" s="28"/>
      <c r="T172" s="8"/>
      <c r="U172" s="8"/>
      <c r="V172" s="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8"/>
      <c r="AI172" s="8"/>
      <c r="AJ172" s="8"/>
      <c r="AK172" s="8"/>
      <c r="AL172" s="8"/>
      <c r="AM172" s="28"/>
      <c r="AN172" s="8"/>
      <c r="AO172" s="8"/>
      <c r="AP172" s="28"/>
      <c r="AQ172" s="28"/>
      <c r="AR172" s="28"/>
    </row>
    <row r="173" spans="1:44" ht="15.75" thickBot="1" x14ac:dyDescent="0.3">
      <c r="B173" s="46" t="s">
        <v>466</v>
      </c>
      <c r="C173" t="s">
        <v>467</v>
      </c>
      <c r="D173" t="s">
        <v>24</v>
      </c>
      <c r="E173" t="s">
        <v>36</v>
      </c>
      <c r="F173" t="s">
        <v>468</v>
      </c>
      <c r="G173"/>
      <c r="H173" s="16">
        <v>-347771820000</v>
      </c>
      <c r="I173" s="16">
        <v>-582693640000</v>
      </c>
      <c r="J173" s="16" t="s">
        <v>1120</v>
      </c>
      <c r="K173" s="17">
        <f t="shared" si="12"/>
        <v>28</v>
      </c>
      <c r="L173" s="17">
        <f t="shared" si="13"/>
        <v>0</v>
      </c>
      <c r="M173" s="18">
        <f t="shared" si="14"/>
        <v>1</v>
      </c>
      <c r="N173" s="28"/>
      <c r="O173" s="8"/>
      <c r="P173" s="8"/>
      <c r="Q173" s="8"/>
      <c r="R173" s="28"/>
      <c r="S173" s="28"/>
      <c r="T173" s="8"/>
      <c r="U173" s="8"/>
      <c r="V173" s="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8"/>
      <c r="AI173" s="28"/>
      <c r="AJ173" s="8"/>
      <c r="AK173" s="8"/>
      <c r="AL173" s="8"/>
      <c r="AM173" s="28"/>
      <c r="AN173" s="8"/>
      <c r="AO173" s="8"/>
      <c r="AP173" s="28"/>
      <c r="AQ173" s="28"/>
      <c r="AR173" s="28"/>
    </row>
    <row r="174" spans="1:44" ht="15.75" thickBot="1" x14ac:dyDescent="0.3">
      <c r="A174" t="s">
        <v>459</v>
      </c>
      <c r="B174" s="46" t="s">
        <v>469</v>
      </c>
      <c r="C174" t="s">
        <v>470</v>
      </c>
      <c r="D174" t="s">
        <v>19</v>
      </c>
      <c r="E174" t="s">
        <v>36</v>
      </c>
      <c r="F174" t="s">
        <v>471</v>
      </c>
      <c r="G174"/>
      <c r="H174" s="16">
        <v>-347739010000</v>
      </c>
      <c r="I174" s="16">
        <v>-582753360000</v>
      </c>
      <c r="J174" s="16" t="s">
        <v>1121</v>
      </c>
      <c r="K174" s="17">
        <f t="shared" si="12"/>
        <v>22</v>
      </c>
      <c r="L174" s="17">
        <f t="shared" si="13"/>
        <v>6</v>
      </c>
      <c r="M174" s="18">
        <f t="shared" si="14"/>
        <v>0.7857142857142857</v>
      </c>
      <c r="N174" s="28" t="s">
        <v>942</v>
      </c>
      <c r="O174" s="8" t="s">
        <v>942</v>
      </c>
      <c r="P174" s="8" t="s">
        <v>942</v>
      </c>
      <c r="Q174" s="8" t="s">
        <v>942</v>
      </c>
      <c r="R174" s="28"/>
      <c r="S174" s="28" t="s">
        <v>942</v>
      </c>
      <c r="T174" s="8" t="s">
        <v>942</v>
      </c>
      <c r="U174" s="8"/>
      <c r="V174" s="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8"/>
      <c r="AI174" s="28"/>
      <c r="AJ174" s="8"/>
      <c r="AK174" s="8"/>
      <c r="AL174" s="8"/>
      <c r="AM174" s="28"/>
      <c r="AN174" s="8"/>
      <c r="AO174" s="8"/>
      <c r="AP174" s="28"/>
      <c r="AQ174" s="28"/>
      <c r="AR174" s="28"/>
    </row>
    <row r="175" spans="1:44" ht="15.75" thickBot="1" x14ac:dyDescent="0.3">
      <c r="A175" t="s">
        <v>472</v>
      </c>
      <c r="B175" s="46" t="s">
        <v>473</v>
      </c>
      <c r="C175" t="s">
        <v>474</v>
      </c>
      <c r="D175" t="s">
        <v>113</v>
      </c>
      <c r="E175" t="s">
        <v>36</v>
      </c>
      <c r="F175"/>
      <c r="G175"/>
      <c r="H175" s="16">
        <v>-347901980000</v>
      </c>
      <c r="I175" s="16">
        <v>-582786030000</v>
      </c>
      <c r="J175" s="16" t="s">
        <v>1122</v>
      </c>
      <c r="K175" s="17">
        <f t="shared" si="12"/>
        <v>28</v>
      </c>
      <c r="L175" s="17">
        <f t="shared" si="13"/>
        <v>0</v>
      </c>
      <c r="M175" s="18">
        <f t="shared" si="14"/>
        <v>1</v>
      </c>
      <c r="N175" s="28"/>
      <c r="O175" s="8"/>
      <c r="P175" s="8"/>
      <c r="Q175" s="8"/>
      <c r="R175" s="28"/>
      <c r="S175" s="28"/>
      <c r="T175" s="8"/>
      <c r="U175" s="8"/>
      <c r="V175" s="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8"/>
      <c r="AI175" s="8"/>
      <c r="AJ175" s="8"/>
      <c r="AK175" s="8"/>
      <c r="AL175" s="8"/>
      <c r="AM175" s="28"/>
      <c r="AN175" s="8"/>
      <c r="AO175" s="8"/>
      <c r="AP175" s="28"/>
      <c r="AQ175" s="28"/>
      <c r="AR175" s="28"/>
    </row>
    <row r="176" spans="1:44" ht="15.75" thickBot="1" x14ac:dyDescent="0.3">
      <c r="A176" t="s">
        <v>472</v>
      </c>
      <c r="B176" s="46" t="s">
        <v>475</v>
      </c>
      <c r="C176" t="s">
        <v>476</v>
      </c>
      <c r="D176" t="s">
        <v>24</v>
      </c>
      <c r="E176" t="s">
        <v>25</v>
      </c>
      <c r="F176" t="s">
        <v>477</v>
      </c>
      <c r="G176"/>
      <c r="H176" s="16">
        <v>-347941910000</v>
      </c>
      <c r="I176" s="16">
        <v>-582702320000</v>
      </c>
      <c r="J176" s="16" t="s">
        <v>1123</v>
      </c>
      <c r="K176" s="17">
        <f t="shared" si="12"/>
        <v>28</v>
      </c>
      <c r="L176" s="17">
        <f t="shared" si="13"/>
        <v>0</v>
      </c>
      <c r="M176" s="18">
        <f t="shared" si="14"/>
        <v>1</v>
      </c>
      <c r="N176" s="28"/>
      <c r="O176" s="8"/>
      <c r="P176" s="8"/>
      <c r="Q176" s="8"/>
      <c r="R176" s="28"/>
      <c r="S176" s="28"/>
      <c r="T176" s="8"/>
      <c r="U176" s="8"/>
      <c r="V176" s="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8"/>
      <c r="AI176" s="8"/>
      <c r="AJ176" s="8"/>
      <c r="AK176" s="8"/>
      <c r="AL176" s="8"/>
      <c r="AM176" s="28"/>
      <c r="AN176" s="8"/>
      <c r="AO176" s="8"/>
      <c r="AP176" s="28"/>
      <c r="AQ176" s="28"/>
      <c r="AR176" s="28"/>
    </row>
    <row r="177" spans="1:44" ht="15.75" thickBot="1" x14ac:dyDescent="0.3">
      <c r="A177" t="s">
        <v>472</v>
      </c>
      <c r="B177" s="46" t="s">
        <v>478</v>
      </c>
      <c r="C177" t="s">
        <v>479</v>
      </c>
      <c r="D177" t="s">
        <v>24</v>
      </c>
      <c r="E177" t="s">
        <v>25</v>
      </c>
      <c r="F177" t="s">
        <v>368</v>
      </c>
      <c r="G177"/>
      <c r="H177" s="16">
        <v>-347965760000</v>
      </c>
      <c r="I177" s="16">
        <v>-582746550000</v>
      </c>
      <c r="J177" s="16" t="s">
        <v>1124</v>
      </c>
      <c r="K177" s="17">
        <f t="shared" si="12"/>
        <v>28</v>
      </c>
      <c r="L177" s="17">
        <f t="shared" si="13"/>
        <v>0</v>
      </c>
      <c r="M177" s="18">
        <f t="shared" si="14"/>
        <v>1</v>
      </c>
      <c r="N177" s="28"/>
      <c r="O177" s="8"/>
      <c r="P177" s="8"/>
      <c r="Q177" s="8"/>
      <c r="R177" s="28"/>
      <c r="S177" s="28"/>
      <c r="T177" s="8"/>
      <c r="U177" s="8"/>
      <c r="V177" s="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8"/>
      <c r="AI177" s="8"/>
      <c r="AJ177" s="8"/>
      <c r="AK177" s="8"/>
      <c r="AL177" s="8"/>
      <c r="AM177" s="28"/>
      <c r="AN177" s="8"/>
      <c r="AO177" s="8"/>
      <c r="AP177" s="28"/>
      <c r="AQ177" s="28"/>
      <c r="AR177" s="28"/>
    </row>
    <row r="178" spans="1:44" ht="15.75" thickBot="1" x14ac:dyDescent="0.3">
      <c r="A178" t="s">
        <v>472</v>
      </c>
      <c r="B178" s="46" t="s">
        <v>480</v>
      </c>
      <c r="C178" t="s">
        <v>481</v>
      </c>
      <c r="D178" t="s">
        <v>24</v>
      </c>
      <c r="E178" t="s">
        <v>25</v>
      </c>
      <c r="F178" t="s">
        <v>482</v>
      </c>
      <c r="G178"/>
      <c r="H178" s="16">
        <v>-347889160000</v>
      </c>
      <c r="I178" s="16">
        <v>-582775030000</v>
      </c>
      <c r="J178" s="16" t="s">
        <v>1125</v>
      </c>
      <c r="K178" s="17">
        <f t="shared" si="12"/>
        <v>28</v>
      </c>
      <c r="L178" s="17">
        <f t="shared" si="13"/>
        <v>0</v>
      </c>
      <c r="M178" s="18">
        <f t="shared" si="14"/>
        <v>1</v>
      </c>
      <c r="N178" s="28"/>
      <c r="O178" s="8"/>
      <c r="P178" s="8"/>
      <c r="Q178" s="8"/>
      <c r="R178" s="28"/>
      <c r="S178" s="28"/>
      <c r="T178" s="8"/>
      <c r="U178" s="8"/>
      <c r="V178" s="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8"/>
      <c r="AI178" s="8"/>
      <c r="AJ178" s="8"/>
      <c r="AK178" s="8"/>
      <c r="AL178" s="8"/>
      <c r="AM178" s="28"/>
      <c r="AN178" s="8"/>
      <c r="AO178" s="8"/>
      <c r="AP178" s="28"/>
      <c r="AQ178" s="28"/>
      <c r="AR178" s="28"/>
    </row>
    <row r="179" spans="1:44" ht="15.75" thickBot="1" x14ac:dyDescent="0.3">
      <c r="A179" t="s">
        <v>483</v>
      </c>
      <c r="B179" s="46" t="s">
        <v>484</v>
      </c>
      <c r="C179" t="s">
        <v>485</v>
      </c>
      <c r="D179" t="s">
        <v>19</v>
      </c>
      <c r="E179" t="s">
        <v>25</v>
      </c>
      <c r="F179"/>
      <c r="G179" s="20">
        <v>43768</v>
      </c>
      <c r="H179" s="16">
        <v>-348094380000</v>
      </c>
      <c r="I179" s="16">
        <v>-582624760000</v>
      </c>
      <c r="J179" s="16" t="s">
        <v>1133</v>
      </c>
      <c r="K179" s="17">
        <f t="shared" si="12"/>
        <v>28</v>
      </c>
      <c r="L179" s="17">
        <f t="shared" si="13"/>
        <v>0</v>
      </c>
      <c r="M179" s="18">
        <f t="shared" si="14"/>
        <v>1</v>
      </c>
      <c r="N179" s="28"/>
      <c r="O179" s="8"/>
      <c r="P179" s="8"/>
      <c r="Q179" s="8"/>
      <c r="R179" s="28"/>
      <c r="S179" s="28"/>
      <c r="T179" s="8"/>
      <c r="U179" s="8"/>
      <c r="V179" s="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8"/>
      <c r="AI179" s="8"/>
      <c r="AJ179" s="8"/>
      <c r="AK179" s="8"/>
      <c r="AL179" s="8"/>
      <c r="AM179" s="28"/>
      <c r="AN179" s="8"/>
      <c r="AO179" s="8"/>
      <c r="AP179" s="28"/>
      <c r="AQ179" s="28"/>
      <c r="AR179" s="28"/>
    </row>
    <row r="180" spans="1:44" ht="15.75" thickBot="1" x14ac:dyDescent="0.3">
      <c r="A180" t="s">
        <v>483</v>
      </c>
      <c r="B180" s="46" t="s">
        <v>486</v>
      </c>
      <c r="C180" t="s">
        <v>487</v>
      </c>
      <c r="D180" t="s">
        <v>24</v>
      </c>
      <c r="E180" t="s">
        <v>36</v>
      </c>
      <c r="F180" t="s">
        <v>488</v>
      </c>
      <c r="G180"/>
      <c r="H180" s="16">
        <v>-348072540000</v>
      </c>
      <c r="I180" s="16">
        <v>-582665870000</v>
      </c>
      <c r="J180" s="16" t="s">
        <v>1126</v>
      </c>
      <c r="K180" s="17">
        <f t="shared" si="12"/>
        <v>26</v>
      </c>
      <c r="L180" s="17">
        <f t="shared" si="13"/>
        <v>2</v>
      </c>
      <c r="M180" s="18">
        <f t="shared" si="14"/>
        <v>0.9285714285714286</v>
      </c>
      <c r="N180" s="28" t="s">
        <v>942</v>
      </c>
      <c r="O180" s="8"/>
      <c r="P180" s="8"/>
      <c r="Q180" s="8" t="s">
        <v>942</v>
      </c>
      <c r="R180" s="28"/>
      <c r="S180" s="28"/>
      <c r="T180" s="8"/>
      <c r="U180" s="8"/>
      <c r="V180" s="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8"/>
      <c r="AI180" s="8"/>
      <c r="AJ180" s="8"/>
      <c r="AK180" s="8"/>
      <c r="AL180" s="8"/>
      <c r="AM180" s="28"/>
      <c r="AN180" s="8"/>
      <c r="AO180" s="8"/>
      <c r="AP180" s="28"/>
      <c r="AQ180" s="28"/>
      <c r="AR180" s="28"/>
    </row>
    <row r="181" spans="1:44" ht="15.75" thickBot="1" x14ac:dyDescent="0.3">
      <c r="B181" s="46" t="s">
        <v>489</v>
      </c>
      <c r="C181" t="s">
        <v>490</v>
      </c>
      <c r="D181" t="s">
        <v>24</v>
      </c>
      <c r="E181" t="s">
        <v>25</v>
      </c>
      <c r="F181" t="s">
        <v>162</v>
      </c>
      <c r="G181" t="s">
        <v>491</v>
      </c>
      <c r="H181" s="16">
        <v>-348093100000</v>
      </c>
      <c r="I181" s="16">
        <v>-582605600000</v>
      </c>
      <c r="J181" s="16" t="s">
        <v>1127</v>
      </c>
      <c r="K181" s="17">
        <f t="shared" si="12"/>
        <v>28</v>
      </c>
      <c r="L181" s="17">
        <f t="shared" si="13"/>
        <v>0</v>
      </c>
      <c r="M181" s="18">
        <f t="shared" si="14"/>
        <v>1</v>
      </c>
      <c r="N181" s="28"/>
      <c r="O181" s="8"/>
      <c r="P181" s="8"/>
      <c r="Q181" s="8"/>
      <c r="R181" s="28"/>
      <c r="S181" s="28"/>
      <c r="T181" s="8"/>
      <c r="U181" s="8"/>
      <c r="V181" s="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8"/>
      <c r="AI181" s="8"/>
      <c r="AJ181" s="8"/>
      <c r="AK181" s="8"/>
      <c r="AL181" s="8"/>
      <c r="AM181" s="28"/>
      <c r="AN181" s="8"/>
      <c r="AO181" s="8"/>
      <c r="AP181" s="28"/>
      <c r="AQ181" s="28"/>
      <c r="AR181" s="28"/>
    </row>
    <row r="182" spans="1:44" ht="15.75" thickBot="1" x14ac:dyDescent="0.3">
      <c r="A182" t="s">
        <v>483</v>
      </c>
      <c r="B182" s="46" t="s">
        <v>492</v>
      </c>
      <c r="C182" t="s">
        <v>493</v>
      </c>
      <c r="D182" t="s">
        <v>24</v>
      </c>
      <c r="E182" t="s">
        <v>948</v>
      </c>
      <c r="F182" t="s">
        <v>494</v>
      </c>
      <c r="G182" t="s">
        <v>495</v>
      </c>
      <c r="H182" s="16">
        <v>-348062580000</v>
      </c>
      <c r="I182" s="16">
        <v>-582667320000</v>
      </c>
      <c r="J182" s="16" t="s">
        <v>1128</v>
      </c>
      <c r="K182" s="17">
        <f t="shared" si="12"/>
        <v>28</v>
      </c>
      <c r="L182" s="17">
        <f t="shared" si="13"/>
        <v>0</v>
      </c>
      <c r="M182" s="18">
        <f t="shared" si="14"/>
        <v>1</v>
      </c>
      <c r="N182" s="28"/>
      <c r="O182" s="8"/>
      <c r="P182" s="8"/>
      <c r="Q182" s="8"/>
      <c r="R182" s="28"/>
      <c r="S182" s="28"/>
      <c r="T182" s="8"/>
      <c r="U182" s="8"/>
      <c r="V182" s="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8"/>
      <c r="AI182" s="8"/>
      <c r="AJ182" s="8"/>
      <c r="AK182" s="8"/>
      <c r="AL182" s="8"/>
      <c r="AM182" s="28"/>
      <c r="AN182" s="8"/>
      <c r="AO182" s="8"/>
      <c r="AP182" s="28"/>
      <c r="AQ182" s="28"/>
      <c r="AR182" s="28"/>
    </row>
    <row r="183" spans="1:44" ht="15.75" thickBot="1" x14ac:dyDescent="0.3">
      <c r="A183" t="s">
        <v>483</v>
      </c>
      <c r="B183" s="46" t="s">
        <v>496</v>
      </c>
      <c r="C183" t="s">
        <v>497</v>
      </c>
      <c r="D183" t="s">
        <v>24</v>
      </c>
      <c r="E183" t="s">
        <v>25</v>
      </c>
      <c r="F183" t="s">
        <v>162</v>
      </c>
      <c r="G183"/>
      <c r="H183" s="16">
        <v>-348035500000</v>
      </c>
      <c r="I183" s="16">
        <v>-582648750000</v>
      </c>
      <c r="J183" s="16" t="s">
        <v>1129</v>
      </c>
      <c r="K183" s="17">
        <f t="shared" si="12"/>
        <v>28</v>
      </c>
      <c r="L183" s="17">
        <f t="shared" si="13"/>
        <v>0</v>
      </c>
      <c r="M183" s="18">
        <f t="shared" si="14"/>
        <v>1</v>
      </c>
      <c r="N183" s="28"/>
      <c r="O183" s="8"/>
      <c r="P183" s="8"/>
      <c r="Q183" s="8"/>
      <c r="R183" s="28"/>
      <c r="S183" s="28"/>
      <c r="T183" s="8"/>
      <c r="U183" s="8"/>
      <c r="V183" s="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8"/>
      <c r="AI183" s="8"/>
      <c r="AJ183" s="8"/>
      <c r="AK183" s="8"/>
      <c r="AL183" s="8"/>
      <c r="AM183" s="28"/>
      <c r="AN183" s="8"/>
      <c r="AO183" s="8"/>
      <c r="AP183" s="28"/>
      <c r="AQ183" s="28"/>
      <c r="AR183" s="28"/>
    </row>
    <row r="184" spans="1:44" ht="15.75" thickBot="1" x14ac:dyDescent="0.3">
      <c r="A184" t="s">
        <v>498</v>
      </c>
      <c r="B184" s="46" t="s">
        <v>499</v>
      </c>
      <c r="C184" t="s">
        <v>500</v>
      </c>
      <c r="D184" t="s">
        <v>24</v>
      </c>
      <c r="E184" t="s">
        <v>25</v>
      </c>
      <c r="F184" t="s">
        <v>494</v>
      </c>
      <c r="G184"/>
      <c r="H184" s="16">
        <v>-348026160000</v>
      </c>
      <c r="I184" s="16">
        <v>-582654650000</v>
      </c>
      <c r="J184" s="16" t="s">
        <v>1130</v>
      </c>
      <c r="K184" s="17">
        <f t="shared" si="12"/>
        <v>28</v>
      </c>
      <c r="L184" s="17">
        <f t="shared" si="13"/>
        <v>0</v>
      </c>
      <c r="M184" s="18">
        <f t="shared" si="14"/>
        <v>1</v>
      </c>
      <c r="N184" s="28"/>
      <c r="O184" s="8"/>
      <c r="P184" s="8"/>
      <c r="Q184" s="8"/>
      <c r="R184" s="28"/>
      <c r="S184" s="28"/>
      <c r="T184" s="8"/>
      <c r="U184" s="8"/>
      <c r="V184" s="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8"/>
      <c r="AI184" s="8"/>
      <c r="AJ184" s="8"/>
      <c r="AK184" s="8"/>
      <c r="AL184" s="8"/>
      <c r="AM184" s="28"/>
      <c r="AN184" s="8"/>
      <c r="AO184" s="8"/>
      <c r="AP184" s="28"/>
      <c r="AQ184" s="28"/>
      <c r="AR184" s="28"/>
    </row>
    <row r="185" spans="1:44" ht="15.75" thickBot="1" x14ac:dyDescent="0.3">
      <c r="A185" t="s">
        <v>80</v>
      </c>
      <c r="B185" s="46" t="s">
        <v>501</v>
      </c>
      <c r="C185" t="s">
        <v>502</v>
      </c>
      <c r="D185" t="s">
        <v>24</v>
      </c>
      <c r="E185" t="s">
        <v>36</v>
      </c>
      <c r="F185" t="s">
        <v>186</v>
      </c>
      <c r="G185"/>
      <c r="H185" s="16">
        <v>-348074170000</v>
      </c>
      <c r="I185" s="16">
        <v>-582683730000</v>
      </c>
      <c r="J185" s="16" t="s">
        <v>1131</v>
      </c>
      <c r="K185" s="17">
        <f t="shared" si="12"/>
        <v>28</v>
      </c>
      <c r="L185" s="17">
        <f t="shared" si="13"/>
        <v>0</v>
      </c>
      <c r="M185" s="18">
        <f t="shared" si="14"/>
        <v>1</v>
      </c>
      <c r="N185" s="28"/>
      <c r="O185" s="8"/>
      <c r="P185" s="8"/>
      <c r="Q185" s="8"/>
      <c r="R185" s="28"/>
      <c r="S185" s="28"/>
      <c r="T185" s="8"/>
      <c r="U185" s="8"/>
      <c r="V185" s="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8"/>
      <c r="AI185" s="8"/>
      <c r="AJ185" s="8"/>
      <c r="AK185" s="8"/>
      <c r="AL185" s="8"/>
      <c r="AM185" s="28"/>
      <c r="AN185" s="8"/>
      <c r="AO185" s="8"/>
      <c r="AP185" s="28"/>
      <c r="AQ185" s="28"/>
      <c r="AR185" s="28"/>
    </row>
    <row r="186" spans="1:44" ht="15.75" thickBot="1" x14ac:dyDescent="0.3">
      <c r="A186" t="s">
        <v>483</v>
      </c>
      <c r="B186" s="46" t="s">
        <v>503</v>
      </c>
      <c r="C186" t="s">
        <v>504</v>
      </c>
      <c r="D186" t="s">
        <v>24</v>
      </c>
      <c r="E186" t="s">
        <v>36</v>
      </c>
      <c r="F186" t="s">
        <v>505</v>
      </c>
      <c r="G186"/>
      <c r="H186" s="16">
        <v>-348107680000</v>
      </c>
      <c r="I186" s="16">
        <v>-582663690000</v>
      </c>
      <c r="J186" s="16" t="s">
        <v>1132</v>
      </c>
      <c r="K186" s="17">
        <f t="shared" si="12"/>
        <v>28</v>
      </c>
      <c r="L186" s="17">
        <f t="shared" si="13"/>
        <v>0</v>
      </c>
      <c r="M186" s="18">
        <f t="shared" si="14"/>
        <v>1</v>
      </c>
      <c r="N186" s="28"/>
      <c r="O186" s="8"/>
      <c r="P186" s="8"/>
      <c r="Q186" s="8"/>
      <c r="R186" s="28"/>
      <c r="S186" s="28"/>
      <c r="T186" s="8"/>
      <c r="U186" s="8"/>
      <c r="V186" s="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8"/>
      <c r="AI186" s="8"/>
      <c r="AJ186" s="8"/>
      <c r="AK186" s="8"/>
      <c r="AL186" s="8"/>
      <c r="AM186" s="28"/>
      <c r="AN186" s="8"/>
      <c r="AO186" s="8"/>
      <c r="AP186" s="28"/>
      <c r="AQ186" s="28"/>
      <c r="AR186" s="28"/>
    </row>
    <row r="187" spans="1:44" ht="15.75" thickBot="1" x14ac:dyDescent="0.3">
      <c r="B187" s="46" t="s">
        <v>506</v>
      </c>
      <c r="C187" t="s">
        <v>507</v>
      </c>
      <c r="D187" t="s">
        <v>19</v>
      </c>
      <c r="E187" t="s">
        <v>36</v>
      </c>
      <c r="F187"/>
      <c r="G187" t="s">
        <v>508</v>
      </c>
      <c r="H187" s="16">
        <v>-348042930000</v>
      </c>
      <c r="I187" s="16">
        <v>-582667740000</v>
      </c>
      <c r="J187" s="16" t="s">
        <v>1134</v>
      </c>
      <c r="K187" s="17">
        <f t="shared" si="12"/>
        <v>28</v>
      </c>
      <c r="L187" s="17">
        <f t="shared" si="13"/>
        <v>0</v>
      </c>
      <c r="M187" s="18">
        <f t="shared" si="14"/>
        <v>1</v>
      </c>
      <c r="N187" s="28"/>
      <c r="O187" s="8"/>
      <c r="P187" s="8"/>
      <c r="Q187" s="8"/>
      <c r="R187" s="28"/>
      <c r="S187" s="28"/>
      <c r="T187" s="8"/>
      <c r="U187" s="8"/>
      <c r="V187" s="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8"/>
      <c r="AI187" s="8"/>
      <c r="AJ187" s="8"/>
      <c r="AK187" s="8"/>
      <c r="AL187" s="8"/>
      <c r="AM187" s="28"/>
      <c r="AN187" s="8"/>
      <c r="AO187" s="8"/>
      <c r="AP187" s="28"/>
      <c r="AQ187" s="28"/>
      <c r="AR187" s="28"/>
    </row>
    <row r="188" spans="1:44" ht="15.75" thickBot="1" x14ac:dyDescent="0.3">
      <c r="B188" s="46" t="s">
        <v>509</v>
      </c>
      <c r="C188" t="s">
        <v>510</v>
      </c>
      <c r="D188" t="s">
        <v>19</v>
      </c>
      <c r="E188" t="s">
        <v>36</v>
      </c>
      <c r="F188"/>
      <c r="G188"/>
      <c r="H188" s="16">
        <v>-348481080000</v>
      </c>
      <c r="I188" s="16">
        <v>-582908230000</v>
      </c>
      <c r="J188" s="16" t="s">
        <v>1135</v>
      </c>
      <c r="K188" s="17">
        <f t="shared" si="12"/>
        <v>28</v>
      </c>
      <c r="L188" s="17">
        <f t="shared" si="13"/>
        <v>0</v>
      </c>
      <c r="M188" s="18">
        <f t="shared" si="14"/>
        <v>1</v>
      </c>
      <c r="N188" s="28"/>
      <c r="O188" s="8"/>
      <c r="P188" s="8"/>
      <c r="Q188" s="8"/>
      <c r="R188" s="28"/>
      <c r="S188" s="28"/>
      <c r="T188" s="8"/>
      <c r="U188" s="8"/>
      <c r="V188" s="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8"/>
      <c r="AI188" s="8"/>
      <c r="AJ188" s="8"/>
      <c r="AK188" s="8"/>
      <c r="AL188" s="8"/>
      <c r="AM188" s="28"/>
      <c r="AN188" s="8"/>
      <c r="AO188" s="8"/>
      <c r="AP188" s="28"/>
      <c r="AQ188" s="28"/>
      <c r="AR188" s="28"/>
    </row>
    <row r="189" spans="1:44" ht="15.75" thickBot="1" x14ac:dyDescent="0.3">
      <c r="A189" t="s">
        <v>511</v>
      </c>
      <c r="B189" s="46" t="s">
        <v>512</v>
      </c>
      <c r="C189" t="s">
        <v>513</v>
      </c>
      <c r="D189" t="s">
        <v>113</v>
      </c>
      <c r="E189" t="s">
        <v>36</v>
      </c>
      <c r="F189"/>
      <c r="G189" t="s">
        <v>514</v>
      </c>
      <c r="H189" s="16">
        <v>-348434280000</v>
      </c>
      <c r="I189" s="16">
        <v>-582840340000</v>
      </c>
      <c r="J189" s="16" t="s">
        <v>1136</v>
      </c>
      <c r="K189" s="17">
        <f t="shared" si="12"/>
        <v>28</v>
      </c>
      <c r="L189" s="17">
        <f t="shared" si="13"/>
        <v>0</v>
      </c>
      <c r="M189" s="18">
        <f t="shared" si="14"/>
        <v>1</v>
      </c>
      <c r="N189" s="28"/>
      <c r="O189" s="8"/>
      <c r="P189" s="8"/>
      <c r="Q189" s="8"/>
      <c r="R189" s="28"/>
      <c r="S189" s="28"/>
      <c r="T189" s="8"/>
      <c r="U189" s="8"/>
      <c r="V189" s="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8"/>
      <c r="AI189" s="8"/>
      <c r="AJ189" s="8"/>
      <c r="AK189" s="8"/>
      <c r="AL189" s="8"/>
      <c r="AM189" s="28"/>
      <c r="AN189" s="8"/>
      <c r="AO189" s="8"/>
      <c r="AP189" s="28"/>
      <c r="AQ189" s="28"/>
      <c r="AR189" s="28"/>
    </row>
    <row r="190" spans="1:44" ht="15.75" thickBot="1" x14ac:dyDescent="0.3">
      <c r="A190" t="s">
        <v>511</v>
      </c>
      <c r="B190" s="46" t="s">
        <v>515</v>
      </c>
      <c r="C190" t="s">
        <v>513</v>
      </c>
      <c r="D190" t="s">
        <v>113</v>
      </c>
      <c r="E190" t="s">
        <v>36</v>
      </c>
      <c r="F190"/>
      <c r="G190" t="s">
        <v>514</v>
      </c>
      <c r="H190" s="16">
        <v>-348434120000</v>
      </c>
      <c r="I190" s="16">
        <v>-582840350000</v>
      </c>
      <c r="J190" s="16" t="s">
        <v>1137</v>
      </c>
      <c r="K190" s="17">
        <f t="shared" si="12"/>
        <v>28</v>
      </c>
      <c r="L190" s="17">
        <f t="shared" si="13"/>
        <v>0</v>
      </c>
      <c r="M190" s="18">
        <f t="shared" si="14"/>
        <v>1</v>
      </c>
      <c r="N190" s="28"/>
      <c r="O190" s="8"/>
      <c r="P190" s="8"/>
      <c r="Q190" s="8"/>
      <c r="R190" s="28"/>
      <c r="S190" s="28"/>
      <c r="T190" s="8"/>
      <c r="U190" s="8"/>
      <c r="V190" s="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8"/>
      <c r="AI190" s="8"/>
      <c r="AJ190" s="8"/>
      <c r="AK190" s="8"/>
      <c r="AL190" s="8"/>
      <c r="AM190" s="28"/>
      <c r="AN190" s="8"/>
      <c r="AO190" s="8"/>
      <c r="AP190" s="28"/>
      <c r="AQ190" s="28"/>
      <c r="AR190" s="28"/>
    </row>
    <row r="191" spans="1:44" ht="15.75" thickBot="1" x14ac:dyDescent="0.3">
      <c r="A191" t="s">
        <v>511</v>
      </c>
      <c r="B191" s="46" t="s">
        <v>516</v>
      </c>
      <c r="C191" t="s">
        <v>517</v>
      </c>
      <c r="D191" t="s">
        <v>113</v>
      </c>
      <c r="E191" t="s">
        <v>36</v>
      </c>
      <c r="F191"/>
      <c r="G191" t="s">
        <v>518</v>
      </c>
      <c r="H191" s="16">
        <v>-348403890000</v>
      </c>
      <c r="I191" s="16">
        <v>-582866050000</v>
      </c>
      <c r="J191" s="16" t="s">
        <v>1138</v>
      </c>
      <c r="K191" s="17">
        <f t="shared" si="12"/>
        <v>21</v>
      </c>
      <c r="L191" s="17">
        <f t="shared" si="13"/>
        <v>7</v>
      </c>
      <c r="M191" s="18">
        <f t="shared" si="14"/>
        <v>0.75</v>
      </c>
      <c r="N191" s="28" t="s">
        <v>942</v>
      </c>
      <c r="O191" s="8" t="s">
        <v>942</v>
      </c>
      <c r="P191" s="8" t="s">
        <v>942</v>
      </c>
      <c r="Q191" s="8" t="s">
        <v>942</v>
      </c>
      <c r="R191" s="28" t="s">
        <v>942</v>
      </c>
      <c r="S191" s="28" t="s">
        <v>942</v>
      </c>
      <c r="T191" s="8" t="s">
        <v>942</v>
      </c>
      <c r="U191" s="8"/>
      <c r="V191" s="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8"/>
      <c r="AI191" s="28"/>
      <c r="AJ191" s="8"/>
      <c r="AK191" s="8"/>
      <c r="AL191" s="8"/>
      <c r="AM191" s="28"/>
      <c r="AN191" s="8"/>
      <c r="AO191" s="8"/>
      <c r="AP191" s="28"/>
      <c r="AQ191" s="28"/>
      <c r="AR191" s="28"/>
    </row>
    <row r="192" spans="1:44" ht="15.75" thickBot="1" x14ac:dyDescent="0.3">
      <c r="A192" t="s">
        <v>511</v>
      </c>
      <c r="B192" s="46" t="s">
        <v>519</v>
      </c>
      <c r="C192" t="s">
        <v>517</v>
      </c>
      <c r="D192" t="s">
        <v>113</v>
      </c>
      <c r="E192" t="s">
        <v>36</v>
      </c>
      <c r="F192"/>
      <c r="G192" t="s">
        <v>518</v>
      </c>
      <c r="H192" s="16">
        <v>-348403890000</v>
      </c>
      <c r="I192" s="16">
        <v>-582866050000</v>
      </c>
      <c r="J192" s="16" t="s">
        <v>1139</v>
      </c>
      <c r="K192" s="17">
        <f t="shared" si="12"/>
        <v>21</v>
      </c>
      <c r="L192" s="17">
        <f t="shared" si="13"/>
        <v>7</v>
      </c>
      <c r="M192" s="18">
        <f t="shared" si="14"/>
        <v>0.75</v>
      </c>
      <c r="N192" s="28" t="s">
        <v>942</v>
      </c>
      <c r="O192" s="8" t="s">
        <v>942</v>
      </c>
      <c r="P192" s="8" t="s">
        <v>942</v>
      </c>
      <c r="Q192" s="8" t="s">
        <v>942</v>
      </c>
      <c r="R192" s="28" t="s">
        <v>942</v>
      </c>
      <c r="S192" s="28" t="s">
        <v>942</v>
      </c>
      <c r="T192" s="8" t="s">
        <v>942</v>
      </c>
      <c r="U192" s="8"/>
      <c r="V192" s="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8"/>
      <c r="AI192" s="28"/>
      <c r="AJ192" s="8"/>
      <c r="AK192" s="8"/>
      <c r="AL192" s="8"/>
      <c r="AM192" s="28"/>
      <c r="AN192" s="8"/>
      <c r="AO192" s="8"/>
      <c r="AP192" s="28"/>
      <c r="AQ192" s="28"/>
      <c r="AR192" s="28"/>
    </row>
    <row r="193" spans="1:44" ht="15.75" thickBot="1" x14ac:dyDescent="0.3">
      <c r="A193" t="s">
        <v>414</v>
      </c>
      <c r="B193" s="46" t="s">
        <v>520</v>
      </c>
      <c r="C193" t="s">
        <v>521</v>
      </c>
      <c r="D193" t="s">
        <v>113</v>
      </c>
      <c r="E193" t="s">
        <v>36</v>
      </c>
      <c r="F193"/>
      <c r="G193" t="s">
        <v>249</v>
      </c>
      <c r="H193" s="16">
        <v>-347887260000</v>
      </c>
      <c r="I193" s="16">
        <v>-582696950000</v>
      </c>
      <c r="J193" s="16" t="s">
        <v>1140</v>
      </c>
      <c r="K193" s="17">
        <f t="shared" si="12"/>
        <v>21</v>
      </c>
      <c r="L193" s="17">
        <f t="shared" si="13"/>
        <v>7</v>
      </c>
      <c r="M193" s="18">
        <f t="shared" si="14"/>
        <v>0.75</v>
      </c>
      <c r="N193" s="28" t="s">
        <v>942</v>
      </c>
      <c r="O193" s="8" t="s">
        <v>942</v>
      </c>
      <c r="P193" s="8" t="s">
        <v>942</v>
      </c>
      <c r="Q193" s="8" t="s">
        <v>942</v>
      </c>
      <c r="R193" s="28" t="s">
        <v>942</v>
      </c>
      <c r="S193" s="28" t="s">
        <v>942</v>
      </c>
      <c r="T193" s="8" t="s">
        <v>942</v>
      </c>
      <c r="U193" s="8"/>
      <c r="V193" s="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8"/>
      <c r="AI193" s="28"/>
      <c r="AJ193" s="8"/>
      <c r="AK193" s="8"/>
      <c r="AL193" s="8"/>
      <c r="AM193" s="28"/>
      <c r="AN193" s="8"/>
      <c r="AO193" s="8"/>
      <c r="AP193" s="28"/>
      <c r="AQ193" s="28"/>
      <c r="AR193" s="28"/>
    </row>
    <row r="194" spans="1:44" ht="15.75" thickBot="1" x14ac:dyDescent="0.3">
      <c r="A194" t="s">
        <v>414</v>
      </c>
      <c r="B194" s="46" t="s">
        <v>522</v>
      </c>
      <c r="C194" t="s">
        <v>521</v>
      </c>
      <c r="D194" t="s">
        <v>113</v>
      </c>
      <c r="E194" t="s">
        <v>36</v>
      </c>
      <c r="F194"/>
      <c r="G194" t="s">
        <v>249</v>
      </c>
      <c r="H194" s="16">
        <v>-347887260000</v>
      </c>
      <c r="I194" s="16">
        <v>-582696950000</v>
      </c>
      <c r="J194" s="16" t="s">
        <v>1141</v>
      </c>
      <c r="K194" s="17">
        <f t="shared" si="12"/>
        <v>21</v>
      </c>
      <c r="L194" s="17">
        <f t="shared" si="13"/>
        <v>7</v>
      </c>
      <c r="M194" s="18">
        <f t="shared" si="14"/>
        <v>0.75</v>
      </c>
      <c r="N194" s="28" t="s">
        <v>942</v>
      </c>
      <c r="O194" s="8" t="s">
        <v>942</v>
      </c>
      <c r="P194" s="8" t="s">
        <v>942</v>
      </c>
      <c r="Q194" s="8" t="s">
        <v>942</v>
      </c>
      <c r="R194" s="28" t="s">
        <v>942</v>
      </c>
      <c r="S194" s="28" t="s">
        <v>942</v>
      </c>
      <c r="T194" s="8" t="s">
        <v>942</v>
      </c>
      <c r="U194" s="8"/>
      <c r="V194" s="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8"/>
      <c r="AI194" s="28"/>
      <c r="AJ194" s="8"/>
      <c r="AK194" s="8"/>
      <c r="AL194" s="8"/>
      <c r="AM194" s="28"/>
      <c r="AN194" s="8"/>
      <c r="AO194" s="8"/>
      <c r="AP194" s="28"/>
      <c r="AQ194" s="28"/>
      <c r="AR194" s="28"/>
    </row>
    <row r="195" spans="1:44" ht="15.75" thickBot="1" x14ac:dyDescent="0.3">
      <c r="A195" t="s">
        <v>62</v>
      </c>
      <c r="B195" s="46" t="s">
        <v>523</v>
      </c>
      <c r="C195" t="s">
        <v>524</v>
      </c>
      <c r="D195" t="s">
        <v>19</v>
      </c>
      <c r="E195" t="s">
        <v>36</v>
      </c>
      <c r="F195"/>
      <c r="G195" t="s">
        <v>525</v>
      </c>
      <c r="H195" s="16">
        <v>-347980180000</v>
      </c>
      <c r="I195" s="16">
        <v>-583162160000</v>
      </c>
      <c r="J195" s="16" t="s">
        <v>1142</v>
      </c>
      <c r="K195" s="17">
        <f t="shared" si="12"/>
        <v>22</v>
      </c>
      <c r="L195" s="17">
        <f t="shared" si="13"/>
        <v>6</v>
      </c>
      <c r="M195" s="18">
        <f t="shared" si="14"/>
        <v>0.7857142857142857</v>
      </c>
      <c r="N195" s="28"/>
      <c r="O195" s="8" t="s">
        <v>942</v>
      </c>
      <c r="P195" s="8" t="s">
        <v>942</v>
      </c>
      <c r="Q195" s="8" t="s">
        <v>942</v>
      </c>
      <c r="R195" s="28" t="s">
        <v>942</v>
      </c>
      <c r="S195" s="28" t="s">
        <v>942</v>
      </c>
      <c r="T195" s="8" t="s">
        <v>942</v>
      </c>
      <c r="U195" s="8"/>
      <c r="V195" s="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8"/>
      <c r="AI195" s="8"/>
      <c r="AJ195" s="8"/>
      <c r="AK195" s="8"/>
      <c r="AL195" s="8"/>
      <c r="AM195" s="28"/>
      <c r="AN195" s="8"/>
      <c r="AO195" s="8"/>
      <c r="AP195" s="28"/>
      <c r="AQ195" s="28"/>
      <c r="AR195" s="28"/>
    </row>
    <row r="196" spans="1:44" ht="15.75" thickBot="1" x14ac:dyDescent="0.3">
      <c r="A196" t="s">
        <v>62</v>
      </c>
      <c r="B196" s="46" t="s">
        <v>526</v>
      </c>
      <c r="C196" t="s">
        <v>524</v>
      </c>
      <c r="D196" t="s">
        <v>113</v>
      </c>
      <c r="E196" t="s">
        <v>36</v>
      </c>
      <c r="F196"/>
      <c r="G196" t="s">
        <v>525</v>
      </c>
      <c r="H196" s="16">
        <v>-347980200000</v>
      </c>
      <c r="I196" s="16">
        <v>-583162180000</v>
      </c>
      <c r="J196" s="16" t="s">
        <v>1143</v>
      </c>
      <c r="K196" s="17">
        <f t="shared" si="12"/>
        <v>22</v>
      </c>
      <c r="L196" s="17">
        <f t="shared" si="13"/>
        <v>6</v>
      </c>
      <c r="M196" s="18">
        <f t="shared" si="14"/>
        <v>0.7857142857142857</v>
      </c>
      <c r="N196" s="28"/>
      <c r="O196" s="8" t="s">
        <v>942</v>
      </c>
      <c r="P196" s="8" t="s">
        <v>942</v>
      </c>
      <c r="Q196" s="8" t="s">
        <v>942</v>
      </c>
      <c r="R196" s="28" t="s">
        <v>942</v>
      </c>
      <c r="S196" s="28" t="s">
        <v>942</v>
      </c>
      <c r="T196" s="8" t="s">
        <v>942</v>
      </c>
      <c r="U196" s="8"/>
      <c r="V196" s="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8"/>
      <c r="AI196" s="8"/>
      <c r="AJ196" s="8"/>
      <c r="AK196" s="8"/>
      <c r="AL196" s="8"/>
      <c r="AM196" s="28"/>
      <c r="AN196" s="8"/>
      <c r="AO196" s="8"/>
      <c r="AP196" s="28"/>
      <c r="AQ196" s="28"/>
      <c r="AR196" s="28"/>
    </row>
    <row r="197" spans="1:44" ht="15.75" thickBot="1" x14ac:dyDescent="0.3">
      <c r="A197" t="s">
        <v>290</v>
      </c>
      <c r="B197" s="46" t="s">
        <v>527</v>
      </c>
      <c r="C197" t="s">
        <v>528</v>
      </c>
      <c r="D197" t="s">
        <v>19</v>
      </c>
      <c r="E197" t="s">
        <v>36</v>
      </c>
      <c r="F197"/>
      <c r="G197" t="s">
        <v>529</v>
      </c>
      <c r="H197" s="16">
        <v>-348657160000</v>
      </c>
      <c r="I197" s="16">
        <v>-581910020000</v>
      </c>
      <c r="J197" s="16" t="s">
        <v>1144</v>
      </c>
      <c r="K197" s="17">
        <f t="shared" ref="K197:K260" si="15">COUNTIF(N197:AO197,"")</f>
        <v>22</v>
      </c>
      <c r="L197" s="17">
        <f t="shared" ref="L197:L260" si="16">COUNTIF(N197:AO197,"APAGADO")</f>
        <v>6</v>
      </c>
      <c r="M197" s="18">
        <f t="shared" ref="M197:M260" si="17">(K197)/(L197+K197)</f>
        <v>0.7857142857142857</v>
      </c>
      <c r="N197" s="28" t="s">
        <v>942</v>
      </c>
      <c r="O197" s="8" t="s">
        <v>942</v>
      </c>
      <c r="P197" s="8" t="s">
        <v>942</v>
      </c>
      <c r="Q197" s="8" t="s">
        <v>942</v>
      </c>
      <c r="R197" s="28" t="s">
        <v>942</v>
      </c>
      <c r="S197" s="28" t="s">
        <v>942</v>
      </c>
      <c r="T197" s="8"/>
      <c r="U197" s="8"/>
      <c r="V197" s="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8"/>
      <c r="AI197" s="28"/>
      <c r="AJ197" s="8"/>
      <c r="AK197" s="8"/>
      <c r="AL197" s="8"/>
      <c r="AM197" s="28"/>
      <c r="AN197" s="8"/>
      <c r="AO197" s="8"/>
      <c r="AP197" s="28"/>
      <c r="AQ197" s="28"/>
      <c r="AR197" s="28"/>
    </row>
    <row r="198" spans="1:44" ht="15.75" thickBot="1" x14ac:dyDescent="0.3">
      <c r="A198" t="s">
        <v>290</v>
      </c>
      <c r="B198" s="46" t="s">
        <v>530</v>
      </c>
      <c r="C198" t="s">
        <v>528</v>
      </c>
      <c r="D198" t="s">
        <v>113</v>
      </c>
      <c r="E198" t="s">
        <v>36</v>
      </c>
      <c r="F198"/>
      <c r="G198" t="s">
        <v>531</v>
      </c>
      <c r="H198" s="16">
        <v>-348657160000</v>
      </c>
      <c r="I198" s="16">
        <v>-581910020000</v>
      </c>
      <c r="J198" s="16" t="s">
        <v>1145</v>
      </c>
      <c r="K198" s="17">
        <f t="shared" si="15"/>
        <v>26</v>
      </c>
      <c r="L198" s="17">
        <f t="shared" si="16"/>
        <v>2</v>
      </c>
      <c r="M198" s="18">
        <f t="shared" si="17"/>
        <v>0.9285714285714286</v>
      </c>
      <c r="N198" s="28"/>
      <c r="O198" s="8" t="s">
        <v>942</v>
      </c>
      <c r="P198" s="8" t="s">
        <v>942</v>
      </c>
      <c r="Q198" s="8"/>
      <c r="R198" s="28"/>
      <c r="S198" s="28"/>
      <c r="T198" s="8"/>
      <c r="U198" s="8"/>
      <c r="V198" s="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8"/>
      <c r="AI198" s="8"/>
      <c r="AJ198" s="8"/>
      <c r="AK198" s="8"/>
      <c r="AL198" s="8"/>
      <c r="AM198" s="28"/>
      <c r="AN198" s="8"/>
      <c r="AO198" s="8"/>
      <c r="AP198" s="28"/>
      <c r="AQ198" s="28"/>
      <c r="AR198" s="28"/>
    </row>
    <row r="199" spans="1:44" ht="15.75" thickBot="1" x14ac:dyDescent="0.3">
      <c r="A199" t="s">
        <v>334</v>
      </c>
      <c r="B199" s="46" t="s">
        <v>532</v>
      </c>
      <c r="C199" t="s">
        <v>533</v>
      </c>
      <c r="D199" t="s">
        <v>19</v>
      </c>
      <c r="E199" t="s">
        <v>36</v>
      </c>
      <c r="F199"/>
      <c r="G199" t="s">
        <v>529</v>
      </c>
      <c r="H199" s="16">
        <v>-348711900000</v>
      </c>
      <c r="I199" s="16">
        <v>-581914850000</v>
      </c>
      <c r="J199" s="16" t="s">
        <v>1146</v>
      </c>
      <c r="K199" s="17">
        <f t="shared" si="15"/>
        <v>27</v>
      </c>
      <c r="L199" s="17">
        <f t="shared" si="16"/>
        <v>1</v>
      </c>
      <c r="M199" s="18">
        <f t="shared" si="17"/>
        <v>0.9642857142857143</v>
      </c>
      <c r="N199" s="28"/>
      <c r="O199" s="8"/>
      <c r="P199" s="8"/>
      <c r="Q199" s="8"/>
      <c r="R199" s="28"/>
      <c r="S199" s="28"/>
      <c r="T199" s="8" t="s">
        <v>942</v>
      </c>
      <c r="U199" s="8"/>
      <c r="V199" s="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8"/>
      <c r="AI199" s="8"/>
      <c r="AJ199" s="8"/>
      <c r="AK199" s="8"/>
      <c r="AL199" s="8"/>
      <c r="AM199" s="28"/>
      <c r="AN199" s="8"/>
      <c r="AO199" s="8"/>
      <c r="AP199" s="28"/>
      <c r="AQ199" s="28"/>
      <c r="AR199" s="28"/>
    </row>
    <row r="200" spans="1:44" ht="15.75" thickBot="1" x14ac:dyDescent="0.3">
      <c r="A200" t="s">
        <v>334</v>
      </c>
      <c r="B200" s="46" t="s">
        <v>534</v>
      </c>
      <c r="C200" t="s">
        <v>533</v>
      </c>
      <c r="D200" t="s">
        <v>113</v>
      </c>
      <c r="E200" t="s">
        <v>36</v>
      </c>
      <c r="F200"/>
      <c r="G200" t="s">
        <v>531</v>
      </c>
      <c r="H200" s="16">
        <v>-348711900000</v>
      </c>
      <c r="I200" s="16">
        <v>-581914850000</v>
      </c>
      <c r="J200" s="16" t="s">
        <v>1147</v>
      </c>
      <c r="K200" s="17">
        <f t="shared" si="15"/>
        <v>27</v>
      </c>
      <c r="L200" s="17">
        <f t="shared" si="16"/>
        <v>1</v>
      </c>
      <c r="M200" s="18">
        <f t="shared" si="17"/>
        <v>0.9642857142857143</v>
      </c>
      <c r="N200" s="28"/>
      <c r="O200" s="8"/>
      <c r="P200" s="8"/>
      <c r="Q200" s="8"/>
      <c r="R200" s="28"/>
      <c r="S200" s="28"/>
      <c r="T200" s="8" t="s">
        <v>942</v>
      </c>
      <c r="U200" s="8"/>
      <c r="V200" s="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8"/>
      <c r="AI200" s="8"/>
      <c r="AJ200" s="8"/>
      <c r="AK200" s="8"/>
      <c r="AL200" s="8"/>
      <c r="AM200" s="28"/>
      <c r="AN200" s="8"/>
      <c r="AO200" s="8"/>
      <c r="AP200" s="28"/>
      <c r="AQ200" s="28"/>
      <c r="AR200" s="28"/>
    </row>
    <row r="201" spans="1:44" ht="15.75" thickBot="1" x14ac:dyDescent="0.3">
      <c r="A201" t="s">
        <v>359</v>
      </c>
      <c r="B201" s="46" t="s">
        <v>1157</v>
      </c>
      <c r="C201" t="s">
        <v>535</v>
      </c>
      <c r="D201" t="s">
        <v>24</v>
      </c>
      <c r="E201" t="s">
        <v>36</v>
      </c>
      <c r="F201"/>
      <c r="G201" t="s">
        <v>298</v>
      </c>
      <c r="H201" s="16">
        <v>-348096600000</v>
      </c>
      <c r="I201" s="16">
        <v>-583016800000</v>
      </c>
      <c r="J201" s="16" t="s">
        <v>1158</v>
      </c>
      <c r="K201" s="17">
        <f t="shared" si="15"/>
        <v>28</v>
      </c>
      <c r="L201" s="17">
        <f t="shared" si="16"/>
        <v>0</v>
      </c>
      <c r="M201" s="18">
        <f t="shared" si="17"/>
        <v>1</v>
      </c>
      <c r="N201" s="28"/>
      <c r="O201" s="8"/>
      <c r="P201" s="8"/>
      <c r="Q201" s="8"/>
      <c r="R201" s="28"/>
      <c r="S201" s="28"/>
      <c r="T201" s="8"/>
      <c r="U201" s="8"/>
      <c r="V201" s="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8"/>
      <c r="AI201" s="8"/>
      <c r="AJ201" s="8"/>
      <c r="AK201" s="8"/>
      <c r="AL201" s="8"/>
      <c r="AM201" s="28"/>
      <c r="AN201" s="8"/>
      <c r="AO201" s="8"/>
      <c r="AP201" s="28"/>
      <c r="AQ201" s="28"/>
      <c r="AR201" s="28"/>
    </row>
    <row r="202" spans="1:44" ht="15.75" thickBot="1" x14ac:dyDescent="0.3">
      <c r="A202" t="s">
        <v>359</v>
      </c>
      <c r="B202" s="46" t="s">
        <v>536</v>
      </c>
      <c r="C202" t="s">
        <v>535</v>
      </c>
      <c r="D202" t="s">
        <v>113</v>
      </c>
      <c r="E202" t="s">
        <v>36</v>
      </c>
      <c r="F202"/>
      <c r="G202" t="s">
        <v>537</v>
      </c>
      <c r="H202" s="16">
        <v>-348095830000</v>
      </c>
      <c r="I202" s="16">
        <v>-583017120000</v>
      </c>
      <c r="J202" s="16" t="s">
        <v>1148</v>
      </c>
      <c r="K202" s="17">
        <f t="shared" si="15"/>
        <v>28</v>
      </c>
      <c r="L202" s="17">
        <f t="shared" si="16"/>
        <v>0</v>
      </c>
      <c r="M202" s="18">
        <f t="shared" si="17"/>
        <v>1</v>
      </c>
      <c r="N202" s="28"/>
      <c r="O202" s="8"/>
      <c r="P202" s="8"/>
      <c r="Q202" s="8"/>
      <c r="R202" s="28"/>
      <c r="S202" s="28"/>
      <c r="T202" s="8"/>
      <c r="U202" s="8"/>
      <c r="V202" s="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8"/>
      <c r="AI202" s="8"/>
      <c r="AJ202" s="8"/>
      <c r="AK202" s="8"/>
      <c r="AL202" s="8"/>
      <c r="AM202" s="28"/>
      <c r="AN202" s="8"/>
      <c r="AO202" s="8"/>
      <c r="AP202" s="28"/>
      <c r="AQ202" s="28"/>
      <c r="AR202" s="28"/>
    </row>
    <row r="203" spans="1:44" ht="15.75" thickBot="1" x14ac:dyDescent="0.3">
      <c r="A203" t="s">
        <v>448</v>
      </c>
      <c r="B203" s="46" t="s">
        <v>538</v>
      </c>
      <c r="C203" t="s">
        <v>539</v>
      </c>
      <c r="D203" t="s">
        <v>113</v>
      </c>
      <c r="E203" t="s">
        <v>36</v>
      </c>
      <c r="F203"/>
      <c r="G203" t="s">
        <v>540</v>
      </c>
      <c r="H203" s="16">
        <v>-348071780000</v>
      </c>
      <c r="I203" s="16">
        <v>-583115710000</v>
      </c>
      <c r="J203" s="16" t="s">
        <v>1149</v>
      </c>
      <c r="K203" s="17">
        <f t="shared" si="15"/>
        <v>28</v>
      </c>
      <c r="L203" s="17">
        <f t="shared" si="16"/>
        <v>0</v>
      </c>
      <c r="M203" s="18">
        <f t="shared" si="17"/>
        <v>1</v>
      </c>
      <c r="N203" s="28"/>
      <c r="O203" s="8"/>
      <c r="P203" s="8"/>
      <c r="Q203" s="8"/>
      <c r="R203" s="28"/>
      <c r="S203" s="28"/>
      <c r="T203" s="8"/>
      <c r="U203" s="8"/>
      <c r="V203" s="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8"/>
      <c r="AI203" s="8"/>
      <c r="AJ203" s="8"/>
      <c r="AK203" s="8"/>
      <c r="AL203" s="8"/>
      <c r="AM203" s="28"/>
      <c r="AN203" s="8"/>
      <c r="AO203" s="8"/>
      <c r="AP203" s="28"/>
      <c r="AQ203" s="28"/>
      <c r="AR203" s="28"/>
    </row>
    <row r="204" spans="1:44" ht="15.75" thickBot="1" x14ac:dyDescent="0.3">
      <c r="A204" t="s">
        <v>541</v>
      </c>
      <c r="B204" s="46" t="s">
        <v>542</v>
      </c>
      <c r="C204" t="s">
        <v>543</v>
      </c>
      <c r="D204" t="s">
        <v>19</v>
      </c>
      <c r="E204" t="s">
        <v>36</v>
      </c>
      <c r="F204"/>
      <c r="G204" t="s">
        <v>537</v>
      </c>
      <c r="H204" s="16">
        <v>-348476780000</v>
      </c>
      <c r="I204" s="16">
        <v>-582894530000</v>
      </c>
      <c r="J204" s="16" t="s">
        <v>1151</v>
      </c>
      <c r="K204" s="17">
        <f t="shared" si="15"/>
        <v>25</v>
      </c>
      <c r="L204" s="17">
        <f t="shared" si="16"/>
        <v>3</v>
      </c>
      <c r="M204" s="18">
        <f t="shared" si="17"/>
        <v>0.8928571428571429</v>
      </c>
      <c r="N204" s="28" t="s">
        <v>942</v>
      </c>
      <c r="O204" s="8"/>
      <c r="P204" s="8"/>
      <c r="Q204" s="8"/>
      <c r="R204" s="28"/>
      <c r="S204" s="28" t="s">
        <v>942</v>
      </c>
      <c r="T204" s="8" t="s">
        <v>942</v>
      </c>
      <c r="U204" s="8"/>
      <c r="V204" s="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8"/>
      <c r="AI204" s="28"/>
      <c r="AJ204" s="8"/>
      <c r="AK204" s="8"/>
      <c r="AL204" s="8"/>
      <c r="AM204" s="28"/>
      <c r="AN204" s="8"/>
      <c r="AO204" s="8"/>
      <c r="AP204" s="28"/>
      <c r="AQ204" s="28"/>
      <c r="AR204" s="28"/>
    </row>
    <row r="205" spans="1:44" ht="15.75" thickBot="1" x14ac:dyDescent="0.3">
      <c r="A205" t="s">
        <v>541</v>
      </c>
      <c r="B205" s="46" t="s">
        <v>544</v>
      </c>
      <c r="C205" t="s">
        <v>543</v>
      </c>
      <c r="D205" t="s">
        <v>113</v>
      </c>
      <c r="E205" t="s">
        <v>36</v>
      </c>
      <c r="F205"/>
      <c r="G205" t="s">
        <v>537</v>
      </c>
      <c r="H205" s="16">
        <v>-348477280000</v>
      </c>
      <c r="I205" s="16">
        <v>-582894670000</v>
      </c>
      <c r="J205" s="16" t="s">
        <v>1152</v>
      </c>
      <c r="K205" s="17">
        <f t="shared" si="15"/>
        <v>26</v>
      </c>
      <c r="L205" s="17">
        <f t="shared" si="16"/>
        <v>2</v>
      </c>
      <c r="M205" s="18">
        <f t="shared" si="17"/>
        <v>0.9285714285714286</v>
      </c>
      <c r="N205" s="28"/>
      <c r="O205" s="8"/>
      <c r="P205" s="8"/>
      <c r="Q205" s="8"/>
      <c r="R205" s="28"/>
      <c r="S205" s="28" t="s">
        <v>942</v>
      </c>
      <c r="T205" s="8" t="s">
        <v>942</v>
      </c>
      <c r="U205" s="8"/>
      <c r="V205" s="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8"/>
      <c r="AI205" s="8"/>
      <c r="AJ205" s="8"/>
      <c r="AK205" s="8"/>
      <c r="AL205" s="8"/>
      <c r="AM205" s="28"/>
      <c r="AN205" s="8"/>
      <c r="AO205" s="8"/>
      <c r="AP205" s="28"/>
      <c r="AQ205" s="28"/>
      <c r="AR205" s="28"/>
    </row>
    <row r="206" spans="1:44" ht="15.75" thickBot="1" x14ac:dyDescent="0.3">
      <c r="A206" t="s">
        <v>545</v>
      </c>
      <c r="B206" s="46" t="s">
        <v>546</v>
      </c>
      <c r="C206" t="s">
        <v>547</v>
      </c>
      <c r="D206" t="s">
        <v>19</v>
      </c>
      <c r="E206" t="s">
        <v>36</v>
      </c>
      <c r="F206"/>
      <c r="G206" t="s">
        <v>537</v>
      </c>
      <c r="H206" s="16">
        <v>-348676700000</v>
      </c>
      <c r="I206" s="16">
        <v>-582754020000</v>
      </c>
      <c r="J206" s="16" t="s">
        <v>1159</v>
      </c>
      <c r="K206" s="17">
        <f t="shared" si="15"/>
        <v>21</v>
      </c>
      <c r="L206" s="17">
        <f t="shared" si="16"/>
        <v>7</v>
      </c>
      <c r="M206" s="18">
        <f t="shared" si="17"/>
        <v>0.75</v>
      </c>
      <c r="N206" s="28" t="s">
        <v>942</v>
      </c>
      <c r="O206" s="8" t="s">
        <v>942</v>
      </c>
      <c r="P206" s="8" t="s">
        <v>942</v>
      </c>
      <c r="Q206" s="8" t="s">
        <v>942</v>
      </c>
      <c r="R206" s="28" t="s">
        <v>942</v>
      </c>
      <c r="S206" s="28" t="s">
        <v>942</v>
      </c>
      <c r="T206" s="8" t="s">
        <v>942</v>
      </c>
      <c r="U206" s="8"/>
      <c r="V206" s="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8"/>
      <c r="AI206" s="28"/>
      <c r="AJ206" s="8"/>
      <c r="AK206" s="8"/>
      <c r="AL206" s="8"/>
      <c r="AM206" s="28"/>
      <c r="AN206" s="8"/>
      <c r="AO206" s="8"/>
      <c r="AP206" s="28"/>
      <c r="AQ206" s="28"/>
      <c r="AR206" s="28"/>
    </row>
    <row r="207" spans="1:44" ht="15.75" thickBot="1" x14ac:dyDescent="0.3">
      <c r="A207" t="s">
        <v>311</v>
      </c>
      <c r="B207" s="46" t="s">
        <v>548</v>
      </c>
      <c r="C207" t="s">
        <v>549</v>
      </c>
      <c r="D207" t="s">
        <v>19</v>
      </c>
      <c r="E207" t="s">
        <v>948</v>
      </c>
      <c r="F207"/>
      <c r="G207" t="s">
        <v>550</v>
      </c>
      <c r="H207" s="16">
        <v>-348181990000</v>
      </c>
      <c r="I207" s="16">
        <v>-583002490000</v>
      </c>
      <c r="J207" s="16" t="s">
        <v>1153</v>
      </c>
      <c r="K207" s="17">
        <f t="shared" si="15"/>
        <v>26</v>
      </c>
      <c r="L207" s="17">
        <f t="shared" si="16"/>
        <v>2</v>
      </c>
      <c r="M207" s="18">
        <f t="shared" si="17"/>
        <v>0.9285714285714286</v>
      </c>
      <c r="N207" s="28"/>
      <c r="O207" s="8" t="s">
        <v>942</v>
      </c>
      <c r="P207" s="8" t="s">
        <v>942</v>
      </c>
      <c r="Q207" s="8"/>
      <c r="R207" s="28"/>
      <c r="S207" s="28"/>
      <c r="T207" s="8"/>
      <c r="U207" s="8"/>
      <c r="V207" s="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8"/>
      <c r="AI207" s="8"/>
      <c r="AJ207" s="8"/>
      <c r="AK207" s="8"/>
      <c r="AL207" s="8"/>
      <c r="AM207" s="28"/>
      <c r="AN207" s="8"/>
      <c r="AO207" s="8"/>
      <c r="AP207" s="28"/>
      <c r="AQ207" s="28"/>
      <c r="AR207" s="28"/>
    </row>
    <row r="208" spans="1:44" ht="15.75" thickBot="1" x14ac:dyDescent="0.3">
      <c r="A208" t="s">
        <v>311</v>
      </c>
      <c r="B208" s="46" t="s">
        <v>551</v>
      </c>
      <c r="C208" t="s">
        <v>549</v>
      </c>
      <c r="D208" t="s">
        <v>113</v>
      </c>
      <c r="E208" t="s">
        <v>948</v>
      </c>
      <c r="F208"/>
      <c r="G208" t="s">
        <v>550</v>
      </c>
      <c r="H208" s="16">
        <v>-348181940000</v>
      </c>
      <c r="I208" s="16">
        <v>-583002740000</v>
      </c>
      <c r="J208" s="16" t="s">
        <v>1154</v>
      </c>
      <c r="K208" s="17">
        <f t="shared" si="15"/>
        <v>26</v>
      </c>
      <c r="L208" s="17">
        <f t="shared" si="16"/>
        <v>2</v>
      </c>
      <c r="M208" s="18">
        <f t="shared" si="17"/>
        <v>0.9285714285714286</v>
      </c>
      <c r="N208" s="28"/>
      <c r="O208" s="8" t="s">
        <v>942</v>
      </c>
      <c r="P208" s="8" t="s">
        <v>942</v>
      </c>
      <c r="Q208" s="8"/>
      <c r="R208" s="28"/>
      <c r="S208" s="28"/>
      <c r="T208" s="8"/>
      <c r="U208" s="8"/>
      <c r="V208" s="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8"/>
      <c r="AI208" s="8"/>
      <c r="AJ208" s="8"/>
      <c r="AK208" s="8"/>
      <c r="AL208" s="8"/>
      <c r="AM208" s="28"/>
      <c r="AN208" s="8"/>
      <c r="AO208" s="8"/>
      <c r="AP208" s="28"/>
      <c r="AQ208" s="28"/>
      <c r="AR208" s="28"/>
    </row>
    <row r="209" spans="1:44" ht="15.75" thickBot="1" x14ac:dyDescent="0.3">
      <c r="A209" t="s">
        <v>552</v>
      </c>
      <c r="B209" s="46" t="s">
        <v>553</v>
      </c>
      <c r="C209" t="s">
        <v>554</v>
      </c>
      <c r="D209" t="s">
        <v>19</v>
      </c>
      <c r="E209" t="s">
        <v>36</v>
      </c>
      <c r="F209"/>
      <c r="G209" t="s">
        <v>342</v>
      </c>
      <c r="H209" s="16">
        <v>-348181790000</v>
      </c>
      <c r="I209" s="16">
        <v>-582067620000</v>
      </c>
      <c r="J209" s="16" t="s">
        <v>1160</v>
      </c>
      <c r="K209" s="17">
        <f t="shared" si="15"/>
        <v>28</v>
      </c>
      <c r="L209" s="17">
        <f t="shared" si="16"/>
        <v>0</v>
      </c>
      <c r="M209" s="18">
        <f t="shared" si="17"/>
        <v>1</v>
      </c>
      <c r="N209" s="28"/>
      <c r="O209" s="8"/>
      <c r="P209" s="8"/>
      <c r="Q209" s="8"/>
      <c r="R209" s="28"/>
      <c r="S209" s="28"/>
      <c r="T209" s="8"/>
      <c r="U209" s="8"/>
      <c r="V209" s="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8"/>
      <c r="AI209" s="8"/>
      <c r="AJ209" s="8"/>
      <c r="AK209" s="8"/>
      <c r="AL209" s="8"/>
      <c r="AM209" s="28"/>
      <c r="AN209" s="8"/>
      <c r="AO209" s="8"/>
      <c r="AP209" s="28"/>
      <c r="AQ209" s="28"/>
      <c r="AR209" s="28"/>
    </row>
    <row r="210" spans="1:44" ht="15.75" thickBot="1" x14ac:dyDescent="0.3">
      <c r="A210" t="s">
        <v>552</v>
      </c>
      <c r="B210" s="46" t="s">
        <v>555</v>
      </c>
      <c r="C210" t="s">
        <v>554</v>
      </c>
      <c r="D210" t="s">
        <v>113</v>
      </c>
      <c r="E210" t="s">
        <v>36</v>
      </c>
      <c r="F210"/>
      <c r="G210" s="20">
        <v>44421</v>
      </c>
      <c r="H210" s="16">
        <v>-348181180000</v>
      </c>
      <c r="I210" s="16">
        <v>-582066990000</v>
      </c>
      <c r="J210" s="16" t="s">
        <v>1161</v>
      </c>
      <c r="K210" s="17">
        <f t="shared" si="15"/>
        <v>28</v>
      </c>
      <c r="L210" s="17">
        <f t="shared" si="16"/>
        <v>0</v>
      </c>
      <c r="M210" s="18">
        <f t="shared" si="17"/>
        <v>1</v>
      </c>
      <c r="N210" s="28"/>
      <c r="O210" s="8"/>
      <c r="P210" s="8"/>
      <c r="Q210" s="8"/>
      <c r="R210" s="28"/>
      <c r="S210" s="28"/>
      <c r="T210" s="8"/>
      <c r="U210" s="8"/>
      <c r="V210" s="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8"/>
      <c r="AI210" s="8"/>
      <c r="AJ210" s="8"/>
      <c r="AK210" s="8"/>
      <c r="AL210" s="8"/>
      <c r="AM210" s="28"/>
      <c r="AN210" s="8"/>
      <c r="AO210" s="8"/>
      <c r="AP210" s="28"/>
      <c r="AQ210" s="28"/>
      <c r="AR210" s="28"/>
    </row>
    <row r="211" spans="1:44" ht="15.75" thickBot="1" x14ac:dyDescent="0.3">
      <c r="A211" t="s">
        <v>541</v>
      </c>
      <c r="B211" s="46" t="s">
        <v>556</v>
      </c>
      <c r="C211" t="s">
        <v>557</v>
      </c>
      <c r="D211" t="s">
        <v>19</v>
      </c>
      <c r="E211" t="s">
        <v>36</v>
      </c>
      <c r="F211"/>
      <c r="G211" t="s">
        <v>537</v>
      </c>
      <c r="H211" s="16">
        <v>-348315930000</v>
      </c>
      <c r="I211" s="16">
        <v>-582907280000</v>
      </c>
      <c r="J211" s="16" t="s">
        <v>1156</v>
      </c>
      <c r="K211" s="17">
        <f t="shared" si="15"/>
        <v>28</v>
      </c>
      <c r="L211" s="17">
        <f t="shared" si="16"/>
        <v>0</v>
      </c>
      <c r="M211" s="18">
        <f t="shared" si="17"/>
        <v>1</v>
      </c>
      <c r="N211" s="28"/>
      <c r="O211" s="8"/>
      <c r="P211" s="8"/>
      <c r="Q211" s="8"/>
      <c r="R211" s="28"/>
      <c r="S211" s="28"/>
      <c r="T211" s="8"/>
      <c r="U211" s="8"/>
      <c r="V211" s="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8"/>
      <c r="AI211" s="8"/>
      <c r="AJ211" s="8"/>
      <c r="AK211" s="8"/>
      <c r="AL211" s="8"/>
      <c r="AM211" s="28"/>
      <c r="AN211" s="8"/>
      <c r="AO211" s="8"/>
      <c r="AP211" s="28"/>
      <c r="AQ211" s="28"/>
      <c r="AR211" s="28"/>
    </row>
    <row r="212" spans="1:44" ht="15.75" thickBot="1" x14ac:dyDescent="0.3">
      <c r="A212" t="s">
        <v>541</v>
      </c>
      <c r="B212" s="46" t="s">
        <v>558</v>
      </c>
      <c r="C212" t="s">
        <v>557</v>
      </c>
      <c r="D212" t="s">
        <v>113</v>
      </c>
      <c r="E212" t="s">
        <v>36</v>
      </c>
      <c r="F212"/>
      <c r="G212" t="s">
        <v>537</v>
      </c>
      <c r="H212" s="16">
        <v>-348315930000</v>
      </c>
      <c r="I212" s="16">
        <v>-582907280000</v>
      </c>
      <c r="J212" s="16" t="s">
        <v>1155</v>
      </c>
      <c r="K212" s="17">
        <f t="shared" si="15"/>
        <v>28</v>
      </c>
      <c r="L212" s="17">
        <f t="shared" si="16"/>
        <v>0</v>
      </c>
      <c r="M212" s="18">
        <f t="shared" si="17"/>
        <v>1</v>
      </c>
      <c r="N212" s="28"/>
      <c r="O212" s="8"/>
      <c r="P212" s="8"/>
      <c r="Q212" s="8"/>
      <c r="R212" s="28"/>
      <c r="S212" s="28"/>
      <c r="T212" s="8"/>
      <c r="U212" s="8"/>
      <c r="V212" s="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8"/>
      <c r="AI212" s="8"/>
      <c r="AJ212" s="8"/>
      <c r="AK212" s="8"/>
      <c r="AL212" s="8"/>
      <c r="AM212" s="28"/>
      <c r="AN212" s="8"/>
      <c r="AO212" s="8"/>
      <c r="AP212" s="28"/>
      <c r="AQ212" s="28"/>
      <c r="AR212" s="28"/>
    </row>
    <row r="213" spans="1:44" ht="15.75" thickBot="1" x14ac:dyDescent="0.3">
      <c r="A213" t="s">
        <v>448</v>
      </c>
      <c r="B213" s="46" t="s">
        <v>559</v>
      </c>
      <c r="C213" t="s">
        <v>539</v>
      </c>
      <c r="D213" t="s">
        <v>19</v>
      </c>
      <c r="E213" t="s">
        <v>36</v>
      </c>
      <c r="F213"/>
      <c r="G213" t="s">
        <v>537</v>
      </c>
      <c r="H213" s="16">
        <v>-348071730000</v>
      </c>
      <c r="I213" s="16">
        <v>-583116710000</v>
      </c>
      <c r="J213" s="16" t="s">
        <v>1150</v>
      </c>
      <c r="K213" s="17">
        <f t="shared" si="15"/>
        <v>28</v>
      </c>
      <c r="L213" s="17">
        <f t="shared" si="16"/>
        <v>0</v>
      </c>
      <c r="M213" s="18">
        <f t="shared" si="17"/>
        <v>1</v>
      </c>
      <c r="N213" s="28"/>
      <c r="O213" s="8"/>
      <c r="P213" s="8"/>
      <c r="Q213" s="8"/>
      <c r="R213" s="28"/>
      <c r="S213" s="28"/>
      <c r="T213" s="8"/>
      <c r="U213" s="8"/>
      <c r="V213" s="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8"/>
      <c r="AI213" s="8"/>
      <c r="AJ213" s="8"/>
      <c r="AK213" s="8"/>
      <c r="AL213" s="8"/>
      <c r="AM213" s="28"/>
      <c r="AN213" s="8"/>
      <c r="AO213" s="8"/>
      <c r="AP213" s="28"/>
      <c r="AQ213" s="28"/>
      <c r="AR213" s="28"/>
    </row>
    <row r="214" spans="1:44" ht="15.75" thickBot="1" x14ac:dyDescent="0.3">
      <c r="A214" t="s">
        <v>560</v>
      </c>
      <c r="B214" s="46" t="s">
        <v>561</v>
      </c>
      <c r="C214" t="s">
        <v>562</v>
      </c>
      <c r="D214" t="s">
        <v>19</v>
      </c>
      <c r="E214" t="s">
        <v>36</v>
      </c>
      <c r="F214"/>
      <c r="G214" t="s">
        <v>563</v>
      </c>
      <c r="H214" s="16">
        <v>-348307510000</v>
      </c>
      <c r="I214" s="16">
        <v>-582304880000</v>
      </c>
      <c r="J214" s="16" t="s">
        <v>1162</v>
      </c>
      <c r="K214" s="17">
        <f t="shared" si="15"/>
        <v>28</v>
      </c>
      <c r="L214" s="17">
        <f t="shared" si="16"/>
        <v>0</v>
      </c>
      <c r="M214" s="18">
        <f t="shared" si="17"/>
        <v>1</v>
      </c>
      <c r="N214" s="28"/>
      <c r="O214" s="8"/>
      <c r="P214" s="8"/>
      <c r="Q214" s="8"/>
      <c r="R214" s="28"/>
      <c r="S214" s="28"/>
      <c r="T214" s="8"/>
      <c r="U214" s="8"/>
      <c r="V214" s="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8"/>
      <c r="AI214" s="8"/>
      <c r="AJ214" s="8"/>
      <c r="AK214" s="8"/>
      <c r="AL214" s="8"/>
      <c r="AM214" s="28"/>
      <c r="AN214" s="8"/>
      <c r="AO214" s="8"/>
      <c r="AP214" s="28"/>
      <c r="AQ214" s="28"/>
      <c r="AR214" s="28"/>
    </row>
    <row r="215" spans="1:44" ht="15.75" thickBot="1" x14ac:dyDescent="0.3">
      <c r="A215" t="s">
        <v>560</v>
      </c>
      <c r="B215" s="46" t="s">
        <v>564</v>
      </c>
      <c r="C215" t="s">
        <v>565</v>
      </c>
      <c r="D215" t="s">
        <v>19</v>
      </c>
      <c r="E215" t="s">
        <v>36</v>
      </c>
      <c r="F215"/>
      <c r="G215" t="s">
        <v>342</v>
      </c>
      <c r="H215" s="16">
        <v>-348296530000</v>
      </c>
      <c r="I215" s="16">
        <v>-582293330000</v>
      </c>
      <c r="J215" s="16" t="s">
        <v>1163</v>
      </c>
      <c r="K215" s="17">
        <f t="shared" si="15"/>
        <v>28</v>
      </c>
      <c r="L215" s="17">
        <f t="shared" si="16"/>
        <v>0</v>
      </c>
      <c r="M215" s="18">
        <f t="shared" si="17"/>
        <v>1</v>
      </c>
      <c r="N215" s="28"/>
      <c r="O215" s="8"/>
      <c r="P215" s="8"/>
      <c r="Q215" s="8"/>
      <c r="R215" s="28"/>
      <c r="S215" s="28"/>
      <c r="T215" s="8"/>
      <c r="U215" s="8"/>
      <c r="V215" s="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8"/>
      <c r="AI215" s="8"/>
      <c r="AJ215" s="8"/>
      <c r="AK215" s="8"/>
      <c r="AL215" s="8"/>
      <c r="AM215" s="28"/>
      <c r="AN215" s="8"/>
      <c r="AO215" s="8"/>
      <c r="AP215" s="28"/>
      <c r="AQ215" s="28"/>
      <c r="AR215" s="28"/>
    </row>
    <row r="216" spans="1:44" ht="15.75" thickBot="1" x14ac:dyDescent="0.3">
      <c r="A216" t="s">
        <v>560</v>
      </c>
      <c r="B216" s="46" t="s">
        <v>566</v>
      </c>
      <c r="C216" t="s">
        <v>567</v>
      </c>
      <c r="D216" t="s">
        <v>113</v>
      </c>
      <c r="E216" t="s">
        <v>36</v>
      </c>
      <c r="F216"/>
      <c r="G216" t="s">
        <v>568</v>
      </c>
      <c r="H216" s="16">
        <v>-348304210000</v>
      </c>
      <c r="I216" s="16">
        <v>-582269250000</v>
      </c>
      <c r="J216" s="16" t="s">
        <v>1164</v>
      </c>
      <c r="K216" s="17">
        <f t="shared" si="15"/>
        <v>28</v>
      </c>
      <c r="L216" s="17">
        <f t="shared" si="16"/>
        <v>0</v>
      </c>
      <c r="M216" s="18">
        <f t="shared" si="17"/>
        <v>1</v>
      </c>
      <c r="N216" s="28"/>
      <c r="O216" s="8"/>
      <c r="P216" s="8"/>
      <c r="Q216" s="8"/>
      <c r="R216" s="28"/>
      <c r="S216" s="28"/>
      <c r="T216" s="8"/>
      <c r="U216" s="8"/>
      <c r="V216" s="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8"/>
      <c r="AI216" s="8"/>
      <c r="AJ216" s="8"/>
      <c r="AK216" s="8"/>
      <c r="AL216" s="8"/>
      <c r="AM216" s="28"/>
      <c r="AN216" s="8"/>
      <c r="AO216" s="8"/>
      <c r="AP216" s="28"/>
      <c r="AQ216" s="28"/>
      <c r="AR216" s="28"/>
    </row>
    <row r="217" spans="1:44" ht="15.75" thickBot="1" x14ac:dyDescent="0.3">
      <c r="A217" t="s">
        <v>560</v>
      </c>
      <c r="B217" s="46" t="s">
        <v>569</v>
      </c>
      <c r="C217" t="s">
        <v>567</v>
      </c>
      <c r="D217" t="s">
        <v>113</v>
      </c>
      <c r="E217" t="s">
        <v>36</v>
      </c>
      <c r="F217"/>
      <c r="G217" t="s">
        <v>568</v>
      </c>
      <c r="H217" s="16">
        <v>-348304120000</v>
      </c>
      <c r="I217" s="16">
        <v>-582269240000</v>
      </c>
      <c r="J217" s="16" t="s">
        <v>1165</v>
      </c>
      <c r="K217" s="17">
        <f t="shared" si="15"/>
        <v>28</v>
      </c>
      <c r="L217" s="17">
        <f t="shared" si="16"/>
        <v>0</v>
      </c>
      <c r="M217" s="18">
        <f t="shared" si="17"/>
        <v>1</v>
      </c>
      <c r="N217" s="28"/>
      <c r="O217" s="8"/>
      <c r="P217" s="8"/>
      <c r="Q217" s="8"/>
      <c r="R217" s="28"/>
      <c r="S217" s="28"/>
      <c r="T217" s="8"/>
      <c r="U217" s="8"/>
      <c r="V217" s="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8"/>
      <c r="AI217" s="8"/>
      <c r="AJ217" s="8"/>
      <c r="AK217" s="8"/>
      <c r="AL217" s="8"/>
      <c r="AM217" s="28"/>
      <c r="AN217" s="8"/>
      <c r="AO217" s="8"/>
      <c r="AP217" s="28"/>
      <c r="AQ217" s="28"/>
      <c r="AR217" s="28"/>
    </row>
    <row r="218" spans="1:44" ht="15.75" thickBot="1" x14ac:dyDescent="0.3">
      <c r="A218" t="s">
        <v>560</v>
      </c>
      <c r="B218" s="46" t="s">
        <v>570</v>
      </c>
      <c r="C218" t="s">
        <v>571</v>
      </c>
      <c r="D218" t="s">
        <v>113</v>
      </c>
      <c r="E218" t="s">
        <v>36</v>
      </c>
      <c r="F218"/>
      <c r="G218" t="s">
        <v>249</v>
      </c>
      <c r="H218" s="16">
        <v>-348327470000</v>
      </c>
      <c r="I218" s="16">
        <v>-582277380000</v>
      </c>
      <c r="J218" s="16" t="s">
        <v>1166</v>
      </c>
      <c r="K218" s="17">
        <f t="shared" si="15"/>
        <v>28</v>
      </c>
      <c r="L218" s="17">
        <f t="shared" si="16"/>
        <v>0</v>
      </c>
      <c r="M218" s="18">
        <f t="shared" si="17"/>
        <v>1</v>
      </c>
      <c r="N218" s="28"/>
      <c r="O218" s="8"/>
      <c r="P218" s="8"/>
      <c r="Q218" s="8"/>
      <c r="R218" s="28"/>
      <c r="S218" s="28"/>
      <c r="T218" s="8"/>
      <c r="U218" s="8"/>
      <c r="V218" s="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8"/>
      <c r="AI218" s="8"/>
      <c r="AJ218" s="8"/>
      <c r="AK218" s="8"/>
      <c r="AL218" s="8"/>
      <c r="AM218" s="28"/>
      <c r="AN218" s="8"/>
      <c r="AO218" s="8"/>
      <c r="AP218" s="28"/>
      <c r="AQ218" s="28"/>
      <c r="AR218" s="28"/>
    </row>
    <row r="219" spans="1:44" ht="15.75" thickBot="1" x14ac:dyDescent="0.3">
      <c r="A219" t="s">
        <v>560</v>
      </c>
      <c r="B219" s="46" t="s">
        <v>572</v>
      </c>
      <c r="C219" t="s">
        <v>571</v>
      </c>
      <c r="D219" t="s">
        <v>73</v>
      </c>
      <c r="E219" t="s">
        <v>36</v>
      </c>
      <c r="F219"/>
      <c r="G219" t="s">
        <v>573</v>
      </c>
      <c r="H219" s="16">
        <v>-348327560000</v>
      </c>
      <c r="I219" s="16">
        <v>-582277570000</v>
      </c>
      <c r="J219" s="16" t="s">
        <v>1167</v>
      </c>
      <c r="K219" s="17">
        <f t="shared" si="15"/>
        <v>28</v>
      </c>
      <c r="L219" s="17">
        <f t="shared" si="16"/>
        <v>0</v>
      </c>
      <c r="M219" s="18">
        <f t="shared" si="17"/>
        <v>1</v>
      </c>
      <c r="N219" s="28"/>
      <c r="O219" s="8"/>
      <c r="P219" s="8"/>
      <c r="Q219" s="8"/>
      <c r="R219" s="28"/>
      <c r="S219" s="28"/>
      <c r="T219" s="8"/>
      <c r="U219" s="8"/>
      <c r="V219" s="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8"/>
      <c r="AI219" s="8"/>
      <c r="AJ219" s="8"/>
      <c r="AK219" s="8"/>
      <c r="AL219" s="8"/>
      <c r="AM219" s="28"/>
      <c r="AN219" s="8"/>
      <c r="AO219" s="8"/>
      <c r="AP219" s="28"/>
      <c r="AQ219" s="28"/>
      <c r="AR219" s="28"/>
    </row>
    <row r="220" spans="1:44" ht="15.75" thickBot="1" x14ac:dyDescent="0.3">
      <c r="A220" t="s">
        <v>574</v>
      </c>
      <c r="B220" s="46" t="s">
        <v>575</v>
      </c>
      <c r="C220" t="s">
        <v>576</v>
      </c>
      <c r="D220" t="s">
        <v>19</v>
      </c>
      <c r="E220" t="s">
        <v>36</v>
      </c>
      <c r="F220"/>
      <c r="G220" t="s">
        <v>342</v>
      </c>
      <c r="H220" s="16">
        <v>-348284690000</v>
      </c>
      <c r="I220" s="16">
        <v>-582281770000</v>
      </c>
      <c r="J220" s="16" t="s">
        <v>1168</v>
      </c>
      <c r="K220" s="17">
        <f t="shared" si="15"/>
        <v>28</v>
      </c>
      <c r="L220" s="17">
        <f t="shared" si="16"/>
        <v>0</v>
      </c>
      <c r="M220" s="18">
        <f t="shared" si="17"/>
        <v>1</v>
      </c>
      <c r="N220" s="28"/>
      <c r="O220" s="8"/>
      <c r="P220" s="8"/>
      <c r="Q220" s="8"/>
      <c r="R220" s="28"/>
      <c r="S220" s="28"/>
      <c r="T220" s="8"/>
      <c r="U220" s="8"/>
      <c r="V220" s="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8"/>
      <c r="AI220" s="8"/>
      <c r="AJ220" s="8"/>
      <c r="AK220" s="8"/>
      <c r="AL220" s="8"/>
      <c r="AM220" s="28"/>
      <c r="AN220" s="8"/>
      <c r="AO220" s="8"/>
      <c r="AP220" s="28"/>
      <c r="AQ220" s="28"/>
      <c r="AR220" s="28"/>
    </row>
    <row r="221" spans="1:44" ht="15.75" thickBot="1" x14ac:dyDescent="0.3">
      <c r="A221" t="s">
        <v>574</v>
      </c>
      <c r="B221" s="46" t="s">
        <v>577</v>
      </c>
      <c r="C221" t="s">
        <v>578</v>
      </c>
      <c r="D221" t="s">
        <v>19</v>
      </c>
      <c r="E221" t="s">
        <v>36</v>
      </c>
      <c r="F221"/>
      <c r="G221" t="s">
        <v>342</v>
      </c>
      <c r="H221" s="16">
        <v>-348266150000</v>
      </c>
      <c r="I221" s="16">
        <v>-582261560000</v>
      </c>
      <c r="J221" s="16" t="s">
        <v>1171</v>
      </c>
      <c r="K221" s="17">
        <f t="shared" si="15"/>
        <v>28</v>
      </c>
      <c r="L221" s="17">
        <f t="shared" si="16"/>
        <v>0</v>
      </c>
      <c r="M221" s="18">
        <f t="shared" si="17"/>
        <v>1</v>
      </c>
      <c r="N221" s="28"/>
      <c r="O221" s="8"/>
      <c r="P221" s="8"/>
      <c r="Q221" s="8"/>
      <c r="R221" s="28"/>
      <c r="S221" s="28"/>
      <c r="T221" s="8"/>
      <c r="U221" s="8"/>
      <c r="V221" s="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8"/>
      <c r="AI221" s="8"/>
      <c r="AJ221" s="8"/>
      <c r="AK221" s="8"/>
      <c r="AL221" s="8"/>
      <c r="AM221" s="28"/>
      <c r="AN221" s="8"/>
      <c r="AO221" s="8"/>
      <c r="AP221" s="28"/>
      <c r="AQ221" s="28"/>
      <c r="AR221" s="28"/>
    </row>
    <row r="222" spans="1:44" ht="15.75" thickBot="1" x14ac:dyDescent="0.3">
      <c r="A222" t="s">
        <v>574</v>
      </c>
      <c r="B222" s="46" t="s">
        <v>579</v>
      </c>
      <c r="C222" t="s">
        <v>580</v>
      </c>
      <c r="D222" t="s">
        <v>113</v>
      </c>
      <c r="E222" t="s">
        <v>36</v>
      </c>
      <c r="F222"/>
      <c r="G222" t="s">
        <v>568</v>
      </c>
      <c r="H222" s="16">
        <v>-348268070000</v>
      </c>
      <c r="I222" s="16">
        <v>-582275680000</v>
      </c>
      <c r="J222" s="16" t="s">
        <v>1169</v>
      </c>
      <c r="K222" s="17">
        <f t="shared" si="15"/>
        <v>28</v>
      </c>
      <c r="L222" s="17">
        <f t="shared" si="16"/>
        <v>0</v>
      </c>
      <c r="M222" s="18">
        <f t="shared" si="17"/>
        <v>1</v>
      </c>
      <c r="N222" s="28"/>
      <c r="O222" s="8"/>
      <c r="P222" s="8"/>
      <c r="Q222" s="8"/>
      <c r="R222" s="28"/>
      <c r="S222" s="28"/>
      <c r="T222" s="8"/>
      <c r="U222" s="8"/>
      <c r="V222" s="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8"/>
      <c r="AI222" s="8"/>
      <c r="AJ222" s="8"/>
      <c r="AK222" s="8"/>
      <c r="AL222" s="8"/>
      <c r="AM222" s="28"/>
      <c r="AN222" s="8"/>
      <c r="AO222" s="8"/>
      <c r="AP222" s="28"/>
      <c r="AQ222" s="28"/>
      <c r="AR222" s="28"/>
    </row>
    <row r="223" spans="1:44" ht="15.75" thickBot="1" x14ac:dyDescent="0.3">
      <c r="A223" t="s">
        <v>574</v>
      </c>
      <c r="B223" s="46" t="s">
        <v>581</v>
      </c>
      <c r="C223" t="s">
        <v>580</v>
      </c>
      <c r="D223" t="s">
        <v>113</v>
      </c>
      <c r="E223" t="s">
        <v>36</v>
      </c>
      <c r="F223"/>
      <c r="G223" t="s">
        <v>582</v>
      </c>
      <c r="H223" s="16">
        <v>-348268070000</v>
      </c>
      <c r="I223" s="16">
        <v>-582275680000</v>
      </c>
      <c r="J223" s="16" t="s">
        <v>1170</v>
      </c>
      <c r="K223" s="17">
        <f t="shared" si="15"/>
        <v>28</v>
      </c>
      <c r="L223" s="17">
        <f t="shared" si="16"/>
        <v>0</v>
      </c>
      <c r="M223" s="18">
        <f t="shared" si="17"/>
        <v>1</v>
      </c>
      <c r="N223" s="28"/>
      <c r="O223" s="8"/>
      <c r="P223" s="8"/>
      <c r="Q223" s="8"/>
      <c r="R223" s="28"/>
      <c r="S223" s="28"/>
      <c r="T223" s="8"/>
      <c r="U223" s="8"/>
      <c r="V223" s="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8"/>
      <c r="AI223" s="8"/>
      <c r="AJ223" s="8"/>
      <c r="AK223" s="8"/>
      <c r="AL223" s="8"/>
      <c r="AM223" s="28"/>
      <c r="AN223" s="8"/>
      <c r="AO223" s="8"/>
      <c r="AP223" s="28"/>
      <c r="AQ223" s="28"/>
      <c r="AR223" s="28"/>
    </row>
    <row r="224" spans="1:44" ht="15.75" thickBot="1" x14ac:dyDescent="0.3">
      <c r="A224" t="s">
        <v>574</v>
      </c>
      <c r="B224" s="46" t="s">
        <v>583</v>
      </c>
      <c r="C224" t="s">
        <v>584</v>
      </c>
      <c r="D224" t="s">
        <v>19</v>
      </c>
      <c r="E224" t="s">
        <v>36</v>
      </c>
      <c r="F224"/>
      <c r="G224" t="s">
        <v>585</v>
      </c>
      <c r="H224" s="16">
        <v>-348255670000</v>
      </c>
      <c r="I224" s="16">
        <v>-582250020000</v>
      </c>
      <c r="J224" s="16" t="s">
        <v>1172</v>
      </c>
      <c r="K224" s="17">
        <f t="shared" si="15"/>
        <v>21</v>
      </c>
      <c r="L224" s="17">
        <f t="shared" si="16"/>
        <v>7</v>
      </c>
      <c r="M224" s="18">
        <f t="shared" si="17"/>
        <v>0.75</v>
      </c>
      <c r="N224" s="28" t="s">
        <v>942</v>
      </c>
      <c r="O224" s="8" t="s">
        <v>942</v>
      </c>
      <c r="P224" s="8" t="s">
        <v>942</v>
      </c>
      <c r="Q224" s="8" t="s">
        <v>942</v>
      </c>
      <c r="R224" s="28" t="s">
        <v>942</v>
      </c>
      <c r="S224" s="28" t="s">
        <v>942</v>
      </c>
      <c r="T224" s="8" t="s">
        <v>942</v>
      </c>
      <c r="U224" s="8"/>
      <c r="V224" s="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8"/>
      <c r="AI224" s="28"/>
      <c r="AJ224" s="8"/>
      <c r="AK224" s="8"/>
      <c r="AL224" s="8"/>
      <c r="AM224" s="28"/>
      <c r="AN224" s="8"/>
      <c r="AO224" s="8"/>
      <c r="AP224" s="28"/>
      <c r="AQ224" s="28"/>
      <c r="AR224" s="28"/>
    </row>
    <row r="225" spans="1:44" ht="15.75" thickBot="1" x14ac:dyDescent="0.3">
      <c r="A225" t="s">
        <v>414</v>
      </c>
      <c r="B225" s="46" t="s">
        <v>586</v>
      </c>
      <c r="C225" t="s">
        <v>587</v>
      </c>
      <c r="D225" t="s">
        <v>24</v>
      </c>
      <c r="E225" t="s">
        <v>36</v>
      </c>
      <c r="F225" t="s">
        <v>588</v>
      </c>
      <c r="G225"/>
      <c r="H225" s="16">
        <v>-347820290000</v>
      </c>
      <c r="I225" s="16">
        <v>-582627140000</v>
      </c>
      <c r="J225" s="16" t="s">
        <v>1173</v>
      </c>
      <c r="K225" s="17">
        <f t="shared" si="15"/>
        <v>28</v>
      </c>
      <c r="L225" s="17">
        <f t="shared" si="16"/>
        <v>0</v>
      </c>
      <c r="M225" s="18">
        <f t="shared" si="17"/>
        <v>1</v>
      </c>
      <c r="N225" s="28"/>
      <c r="O225" s="8"/>
      <c r="P225" s="8"/>
      <c r="Q225" s="8"/>
      <c r="R225" s="28"/>
      <c r="S225" s="28"/>
      <c r="T225" s="8"/>
      <c r="U225" s="8"/>
      <c r="V225" s="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8"/>
      <c r="AI225" s="8"/>
      <c r="AJ225" s="8"/>
      <c r="AK225" s="8"/>
      <c r="AL225" s="8"/>
      <c r="AM225" s="28"/>
      <c r="AN225" s="8"/>
      <c r="AO225" s="8"/>
      <c r="AP225" s="28"/>
      <c r="AQ225" s="28"/>
      <c r="AR225" s="28"/>
    </row>
    <row r="226" spans="1:44" ht="15.75" thickBot="1" x14ac:dyDescent="0.3">
      <c r="A226" t="s">
        <v>589</v>
      </c>
      <c r="B226" s="46" t="s">
        <v>590</v>
      </c>
      <c r="C226" t="s">
        <v>591</v>
      </c>
      <c r="D226" t="s">
        <v>24</v>
      </c>
      <c r="E226" t="s">
        <v>36</v>
      </c>
      <c r="F226" t="s">
        <v>592</v>
      </c>
      <c r="G226"/>
      <c r="H226" s="16">
        <v>-347820510000</v>
      </c>
      <c r="I226" s="16">
        <v>-582792740000</v>
      </c>
      <c r="J226" s="16" t="s">
        <v>1174</v>
      </c>
      <c r="K226" s="17">
        <f t="shared" si="15"/>
        <v>28</v>
      </c>
      <c r="L226" s="17">
        <f t="shared" si="16"/>
        <v>0</v>
      </c>
      <c r="M226" s="18">
        <f t="shared" si="17"/>
        <v>1</v>
      </c>
      <c r="N226" s="28"/>
      <c r="O226" s="8"/>
      <c r="P226" s="8"/>
      <c r="Q226" s="8"/>
      <c r="R226" s="28"/>
      <c r="S226" s="28"/>
      <c r="T226" s="8"/>
      <c r="U226" s="8"/>
      <c r="V226" s="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8"/>
      <c r="AI226" s="8"/>
      <c r="AJ226" s="8"/>
      <c r="AK226" s="8"/>
      <c r="AL226" s="8"/>
      <c r="AM226" s="28"/>
      <c r="AN226" s="8"/>
      <c r="AO226" s="8"/>
      <c r="AP226" s="28"/>
      <c r="AQ226" s="28"/>
      <c r="AR226" s="28"/>
    </row>
    <row r="227" spans="1:44" ht="15.75" thickBot="1" x14ac:dyDescent="0.3">
      <c r="A227" t="s">
        <v>589</v>
      </c>
      <c r="B227" s="46" t="s">
        <v>593</v>
      </c>
      <c r="C227" t="s">
        <v>594</v>
      </c>
      <c r="D227" t="s">
        <v>24</v>
      </c>
      <c r="E227" t="s">
        <v>36</v>
      </c>
      <c r="F227" t="s">
        <v>595</v>
      </c>
      <c r="G227"/>
      <c r="H227" s="16">
        <v>-347891490000</v>
      </c>
      <c r="I227" s="16">
        <v>-582788520000</v>
      </c>
      <c r="J227" s="16" t="s">
        <v>1175</v>
      </c>
      <c r="K227" s="17">
        <f t="shared" si="15"/>
        <v>28</v>
      </c>
      <c r="L227" s="17">
        <f t="shared" si="16"/>
        <v>0</v>
      </c>
      <c r="M227" s="18">
        <f t="shared" si="17"/>
        <v>1</v>
      </c>
      <c r="N227" s="28"/>
      <c r="O227" s="8"/>
      <c r="P227" s="8"/>
      <c r="Q227" s="8"/>
      <c r="R227" s="28"/>
      <c r="S227" s="28"/>
      <c r="T227" s="8"/>
      <c r="U227" s="8"/>
      <c r="V227" s="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8"/>
      <c r="AI227" s="8"/>
      <c r="AJ227" s="8"/>
      <c r="AK227" s="8"/>
      <c r="AL227" s="8"/>
      <c r="AM227" s="28"/>
      <c r="AN227" s="8"/>
      <c r="AO227" s="8"/>
      <c r="AP227" s="28"/>
      <c r="AQ227" s="28"/>
      <c r="AR227" s="28"/>
    </row>
    <row r="228" spans="1:44" ht="15.75" thickBot="1" x14ac:dyDescent="0.3">
      <c r="A228" t="s">
        <v>596</v>
      </c>
      <c r="B228" s="46" t="s">
        <v>597</v>
      </c>
      <c r="C228" t="s">
        <v>598</v>
      </c>
      <c r="D228" t="s">
        <v>24</v>
      </c>
      <c r="E228" t="s">
        <v>25</v>
      </c>
      <c r="F228" t="s">
        <v>278</v>
      </c>
      <c r="G228"/>
      <c r="H228" s="16">
        <v>-347858230000</v>
      </c>
      <c r="I228" s="16">
        <v>-582788230000</v>
      </c>
      <c r="J228" s="16" t="s">
        <v>1176</v>
      </c>
      <c r="K228" s="17">
        <f t="shared" si="15"/>
        <v>28</v>
      </c>
      <c r="L228" s="17">
        <f t="shared" si="16"/>
        <v>0</v>
      </c>
      <c r="M228" s="18">
        <f t="shared" si="17"/>
        <v>1</v>
      </c>
      <c r="N228" s="28"/>
      <c r="O228" s="8"/>
      <c r="P228" s="8"/>
      <c r="Q228" s="8"/>
      <c r="R228" s="28"/>
      <c r="S228" s="28"/>
      <c r="T228" s="8"/>
      <c r="U228" s="8"/>
      <c r="V228" s="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8"/>
      <c r="AI228" s="8"/>
      <c r="AJ228" s="8"/>
      <c r="AK228" s="8"/>
      <c r="AL228" s="8"/>
      <c r="AM228" s="28"/>
      <c r="AN228" s="8"/>
      <c r="AO228" s="8"/>
      <c r="AP228" s="28"/>
      <c r="AQ228" s="28"/>
      <c r="AR228" s="28"/>
    </row>
    <row r="229" spans="1:44" ht="15.75" thickBot="1" x14ac:dyDescent="0.3">
      <c r="A229" t="s">
        <v>459</v>
      </c>
      <c r="B229" s="46" t="s">
        <v>599</v>
      </c>
      <c r="C229" t="s">
        <v>600</v>
      </c>
      <c r="D229" t="s">
        <v>24</v>
      </c>
      <c r="E229" t="s">
        <v>36</v>
      </c>
      <c r="F229" t="s">
        <v>601</v>
      </c>
      <c r="G229"/>
      <c r="H229" s="16">
        <v>-347803150000</v>
      </c>
      <c r="I229" s="16">
        <v>-582792150000</v>
      </c>
      <c r="J229" s="16" t="s">
        <v>1179</v>
      </c>
      <c r="K229" s="17">
        <f t="shared" si="15"/>
        <v>28</v>
      </c>
      <c r="L229" s="17">
        <f t="shared" si="16"/>
        <v>0</v>
      </c>
      <c r="M229" s="18">
        <f t="shared" si="17"/>
        <v>1</v>
      </c>
      <c r="N229" s="28"/>
      <c r="O229" s="8"/>
      <c r="P229" s="8"/>
      <c r="Q229" s="8"/>
      <c r="R229" s="28"/>
      <c r="S229" s="28"/>
      <c r="T229" s="8"/>
      <c r="U229" s="8"/>
      <c r="V229" s="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8"/>
      <c r="AI229" s="8"/>
      <c r="AJ229" s="8"/>
      <c r="AK229" s="8"/>
      <c r="AL229" s="8"/>
      <c r="AM229" s="28"/>
      <c r="AN229" s="8"/>
      <c r="AO229" s="8"/>
      <c r="AP229" s="28"/>
      <c r="AQ229" s="28"/>
      <c r="AR229" s="28"/>
    </row>
    <row r="230" spans="1:44" ht="15.75" thickBot="1" x14ac:dyDescent="0.3">
      <c r="A230" t="s">
        <v>459</v>
      </c>
      <c r="B230" s="46" t="s">
        <v>602</v>
      </c>
      <c r="C230" t="s">
        <v>603</v>
      </c>
      <c r="D230" t="s">
        <v>24</v>
      </c>
      <c r="E230" t="s">
        <v>36</v>
      </c>
      <c r="F230" t="s">
        <v>604</v>
      </c>
      <c r="G230"/>
      <c r="H230" s="16">
        <v>-347724810000</v>
      </c>
      <c r="I230" s="16">
        <v>-582779860000</v>
      </c>
      <c r="J230" s="16" t="s">
        <v>1180</v>
      </c>
      <c r="K230" s="17">
        <f t="shared" si="15"/>
        <v>27</v>
      </c>
      <c r="L230" s="17">
        <f t="shared" si="16"/>
        <v>1</v>
      </c>
      <c r="M230" s="18">
        <f t="shared" si="17"/>
        <v>0.9642857142857143</v>
      </c>
      <c r="N230" s="28" t="s">
        <v>942</v>
      </c>
      <c r="O230" s="8"/>
      <c r="P230" s="8"/>
      <c r="Q230" s="8"/>
      <c r="R230" s="28"/>
      <c r="S230" s="28"/>
      <c r="T230" s="8"/>
      <c r="U230" s="8"/>
      <c r="V230" s="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8"/>
      <c r="AI230" s="28"/>
      <c r="AJ230" s="8"/>
      <c r="AK230" s="8"/>
      <c r="AL230" s="8"/>
      <c r="AM230" s="28"/>
      <c r="AN230" s="8"/>
      <c r="AO230" s="8"/>
      <c r="AP230" s="28"/>
      <c r="AQ230" s="28"/>
      <c r="AR230" s="28"/>
    </row>
    <row r="231" spans="1:44" ht="15.75" thickBot="1" x14ac:dyDescent="0.3">
      <c r="A231" t="s">
        <v>459</v>
      </c>
      <c r="B231" s="46" t="s">
        <v>605</v>
      </c>
      <c r="C231" t="s">
        <v>606</v>
      </c>
      <c r="D231" t="s">
        <v>113</v>
      </c>
      <c r="E231" t="s">
        <v>36</v>
      </c>
      <c r="F231"/>
      <c r="G231" t="s">
        <v>249</v>
      </c>
      <c r="H231" s="16">
        <v>-347758420000</v>
      </c>
      <c r="I231" s="16">
        <v>-582787380000</v>
      </c>
      <c r="J231" s="16" t="s">
        <v>1177</v>
      </c>
      <c r="K231" s="17">
        <f t="shared" si="15"/>
        <v>28</v>
      </c>
      <c r="L231" s="17">
        <f t="shared" si="16"/>
        <v>0</v>
      </c>
      <c r="M231" s="18">
        <f t="shared" si="17"/>
        <v>1</v>
      </c>
      <c r="N231" s="28"/>
      <c r="O231" s="8"/>
      <c r="P231" s="8"/>
      <c r="Q231" s="8"/>
      <c r="R231" s="28"/>
      <c r="S231" s="28"/>
      <c r="T231" s="8"/>
      <c r="U231" s="8"/>
      <c r="V231" s="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8"/>
      <c r="AI231" s="8"/>
      <c r="AJ231" s="8"/>
      <c r="AK231" s="8"/>
      <c r="AL231" s="8"/>
      <c r="AM231" s="28"/>
      <c r="AN231" s="8"/>
      <c r="AO231" s="8"/>
      <c r="AP231" s="28"/>
      <c r="AQ231" s="28"/>
      <c r="AR231" s="28"/>
    </row>
    <row r="232" spans="1:44" ht="15.75" thickBot="1" x14ac:dyDescent="0.3">
      <c r="A232" t="s">
        <v>459</v>
      </c>
      <c r="B232" s="46" t="s">
        <v>607</v>
      </c>
      <c r="C232" t="s">
        <v>606</v>
      </c>
      <c r="D232" t="s">
        <v>113</v>
      </c>
      <c r="E232" t="s">
        <v>36</v>
      </c>
      <c r="F232"/>
      <c r="G232" t="s">
        <v>249</v>
      </c>
      <c r="H232" s="16">
        <v>-347758300000</v>
      </c>
      <c r="I232" s="16">
        <v>-582787420000</v>
      </c>
      <c r="J232" s="16" t="s">
        <v>1178</v>
      </c>
      <c r="K232" s="17">
        <f t="shared" si="15"/>
        <v>28</v>
      </c>
      <c r="L232" s="17">
        <f t="shared" si="16"/>
        <v>0</v>
      </c>
      <c r="M232" s="18">
        <f t="shared" si="17"/>
        <v>1</v>
      </c>
      <c r="N232" s="28"/>
      <c r="O232" s="8"/>
      <c r="P232" s="8"/>
      <c r="Q232" s="8"/>
      <c r="R232" s="28"/>
      <c r="S232" s="28"/>
      <c r="T232" s="8"/>
      <c r="U232" s="8"/>
      <c r="V232" s="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8"/>
      <c r="AI232" s="8"/>
      <c r="AJ232" s="8"/>
      <c r="AK232" s="8"/>
      <c r="AL232" s="8"/>
      <c r="AM232" s="28"/>
      <c r="AN232" s="8"/>
      <c r="AO232" s="8"/>
      <c r="AP232" s="28"/>
      <c r="AQ232" s="28"/>
      <c r="AR232" s="28"/>
    </row>
    <row r="233" spans="1:44" ht="15.75" thickBot="1" x14ac:dyDescent="0.3">
      <c r="A233" t="s">
        <v>589</v>
      </c>
      <c r="B233" s="46" t="s">
        <v>608</v>
      </c>
      <c r="C233" t="s">
        <v>609</v>
      </c>
      <c r="D233" t="s">
        <v>24</v>
      </c>
      <c r="E233" t="s">
        <v>25</v>
      </c>
      <c r="F233" t="s">
        <v>137</v>
      </c>
      <c r="G233"/>
      <c r="H233" s="16">
        <v>-347861220000</v>
      </c>
      <c r="I233" s="16">
        <v>-582821170000</v>
      </c>
      <c r="J233" s="16" t="s">
        <v>1182</v>
      </c>
      <c r="K233" s="17">
        <f t="shared" si="15"/>
        <v>27</v>
      </c>
      <c r="L233" s="17">
        <f t="shared" si="16"/>
        <v>1</v>
      </c>
      <c r="M233" s="18">
        <f t="shared" si="17"/>
        <v>0.9642857142857143</v>
      </c>
      <c r="N233" s="28"/>
      <c r="O233" s="8"/>
      <c r="P233" s="8" t="s">
        <v>942</v>
      </c>
      <c r="Q233" s="8"/>
      <c r="R233" s="28"/>
      <c r="S233" s="28"/>
      <c r="T233" s="8"/>
      <c r="U233" s="8"/>
      <c r="V233" s="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8"/>
      <c r="AI233" s="8"/>
      <c r="AJ233" s="8"/>
      <c r="AK233" s="8"/>
      <c r="AL233" s="8"/>
      <c r="AM233" s="28"/>
      <c r="AN233" s="8"/>
      <c r="AO233" s="8"/>
      <c r="AP233" s="28"/>
      <c r="AQ233" s="28"/>
      <c r="AR233" s="28"/>
    </row>
    <row r="234" spans="1:44" ht="15.75" thickBot="1" x14ac:dyDescent="0.3">
      <c r="B234" s="46" t="s">
        <v>610</v>
      </c>
      <c r="C234" t="s">
        <v>611</v>
      </c>
      <c r="D234" t="s">
        <v>19</v>
      </c>
      <c r="E234" t="s">
        <v>25</v>
      </c>
      <c r="F234"/>
      <c r="G234"/>
      <c r="H234" s="16">
        <v>-347918140000</v>
      </c>
      <c r="I234" s="16">
        <v>-582831130000</v>
      </c>
      <c r="J234" s="16" t="s">
        <v>1183</v>
      </c>
      <c r="K234" s="17">
        <f t="shared" si="15"/>
        <v>28</v>
      </c>
      <c r="L234" s="17">
        <f t="shared" si="16"/>
        <v>0</v>
      </c>
      <c r="M234" s="18">
        <f t="shared" si="17"/>
        <v>1</v>
      </c>
      <c r="N234" s="28"/>
      <c r="O234" s="8"/>
      <c r="P234" s="8"/>
      <c r="Q234" s="8"/>
      <c r="R234" s="28"/>
      <c r="S234" s="28"/>
      <c r="T234" s="8"/>
      <c r="U234" s="8"/>
      <c r="V234" s="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8"/>
      <c r="AI234" s="8"/>
      <c r="AJ234" s="8"/>
      <c r="AK234" s="8"/>
      <c r="AL234" s="8"/>
      <c r="AM234" s="28"/>
      <c r="AN234" s="8"/>
      <c r="AO234" s="8"/>
      <c r="AP234" s="28"/>
      <c r="AQ234" s="28"/>
      <c r="AR234" s="28"/>
    </row>
    <row r="235" spans="1:44" ht="15.75" thickBot="1" x14ac:dyDescent="0.3">
      <c r="A235" t="s">
        <v>612</v>
      </c>
      <c r="B235" s="46" t="s">
        <v>613</v>
      </c>
      <c r="C235" t="s">
        <v>614</v>
      </c>
      <c r="D235" t="s">
        <v>24</v>
      </c>
      <c r="E235" t="s">
        <v>36</v>
      </c>
      <c r="F235"/>
      <c r="G235" t="s">
        <v>615</v>
      </c>
      <c r="H235" s="16">
        <v>-347813810000</v>
      </c>
      <c r="I235" s="16">
        <v>-582945970000</v>
      </c>
      <c r="J235" s="16" t="s">
        <v>1184</v>
      </c>
      <c r="K235" s="17">
        <f t="shared" si="15"/>
        <v>28</v>
      </c>
      <c r="L235" s="17">
        <f t="shared" si="16"/>
        <v>0</v>
      </c>
      <c r="M235" s="18">
        <f t="shared" si="17"/>
        <v>1</v>
      </c>
      <c r="N235" s="28"/>
      <c r="O235" s="8"/>
      <c r="P235" s="8"/>
      <c r="Q235" s="8"/>
      <c r="R235" s="28"/>
      <c r="S235" s="28"/>
      <c r="T235" s="8"/>
      <c r="U235" s="8"/>
      <c r="V235" s="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8"/>
      <c r="AI235" s="8"/>
      <c r="AJ235" s="8"/>
      <c r="AK235" s="8"/>
      <c r="AL235" s="8"/>
      <c r="AM235" s="28"/>
      <c r="AN235" s="8"/>
      <c r="AO235" s="8"/>
      <c r="AP235" s="28"/>
      <c r="AQ235" s="28"/>
      <c r="AR235" s="28"/>
    </row>
    <row r="236" spans="1:44" ht="15.75" thickBot="1" x14ac:dyDescent="0.3">
      <c r="A236" t="s">
        <v>612</v>
      </c>
      <c r="B236" s="46" t="s">
        <v>616</v>
      </c>
      <c r="C236" t="s">
        <v>614</v>
      </c>
      <c r="D236" t="s">
        <v>113</v>
      </c>
      <c r="E236" t="s">
        <v>36</v>
      </c>
      <c r="F236"/>
      <c r="G236" t="s">
        <v>617</v>
      </c>
      <c r="H236" s="16">
        <v>-347813820000</v>
      </c>
      <c r="I236" s="16">
        <v>-582946080000</v>
      </c>
      <c r="J236" s="16" t="s">
        <v>1185</v>
      </c>
      <c r="K236" s="17">
        <f t="shared" si="15"/>
        <v>28</v>
      </c>
      <c r="L236" s="17">
        <f t="shared" si="16"/>
        <v>0</v>
      </c>
      <c r="M236" s="18">
        <f t="shared" si="17"/>
        <v>1</v>
      </c>
      <c r="N236" s="28"/>
      <c r="O236" s="8"/>
      <c r="P236" s="8"/>
      <c r="Q236" s="8"/>
      <c r="R236" s="28"/>
      <c r="S236" s="28"/>
      <c r="T236" s="8"/>
      <c r="U236" s="8"/>
      <c r="V236" s="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8"/>
      <c r="AI236" s="8"/>
      <c r="AJ236" s="8"/>
      <c r="AK236" s="8"/>
      <c r="AL236" s="8"/>
      <c r="AM236" s="28"/>
      <c r="AN236" s="8"/>
      <c r="AO236" s="8"/>
      <c r="AP236" s="28"/>
      <c r="AQ236" s="28"/>
      <c r="AR236" s="28"/>
    </row>
    <row r="237" spans="1:44" ht="15.75" thickBot="1" x14ac:dyDescent="0.3">
      <c r="A237" t="s">
        <v>612</v>
      </c>
      <c r="B237" s="46" t="s">
        <v>618</v>
      </c>
      <c r="C237" t="s">
        <v>614</v>
      </c>
      <c r="D237" t="s">
        <v>113</v>
      </c>
      <c r="E237" t="s">
        <v>36</v>
      </c>
      <c r="F237"/>
      <c r="G237" t="s">
        <v>617</v>
      </c>
      <c r="H237" s="16">
        <v>-347813760000</v>
      </c>
      <c r="I237" s="16">
        <v>-582945930000</v>
      </c>
      <c r="J237" s="16" t="s">
        <v>1186</v>
      </c>
      <c r="K237" s="17">
        <f t="shared" si="15"/>
        <v>28</v>
      </c>
      <c r="L237" s="17">
        <f t="shared" si="16"/>
        <v>0</v>
      </c>
      <c r="M237" s="18">
        <f t="shared" si="17"/>
        <v>1</v>
      </c>
      <c r="N237" s="28"/>
      <c r="O237" s="8"/>
      <c r="P237" s="8"/>
      <c r="Q237" s="8"/>
      <c r="R237" s="28"/>
      <c r="S237" s="28"/>
      <c r="T237" s="8"/>
      <c r="U237" s="8"/>
      <c r="V237" s="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8"/>
      <c r="AI237" s="8"/>
      <c r="AJ237" s="8"/>
      <c r="AK237" s="8"/>
      <c r="AL237" s="8"/>
      <c r="AM237" s="28"/>
      <c r="AN237" s="8"/>
      <c r="AO237" s="8"/>
      <c r="AP237" s="28"/>
      <c r="AQ237" s="28"/>
      <c r="AR237" s="28"/>
    </row>
    <row r="238" spans="1:44" ht="15.75" thickBot="1" x14ac:dyDescent="0.3">
      <c r="A238" t="s">
        <v>612</v>
      </c>
      <c r="B238" s="46" t="s">
        <v>619</v>
      </c>
      <c r="C238" t="s">
        <v>620</v>
      </c>
      <c r="D238" t="s">
        <v>19</v>
      </c>
      <c r="E238" t="s">
        <v>25</v>
      </c>
      <c r="F238" t="s">
        <v>186</v>
      </c>
      <c r="G238" t="s">
        <v>621</v>
      </c>
      <c r="H238" s="16">
        <v>-347871630000</v>
      </c>
      <c r="I238" s="16">
        <v>-582901360000</v>
      </c>
      <c r="J238" s="16" t="s">
        <v>1181</v>
      </c>
      <c r="K238" s="17">
        <f t="shared" si="15"/>
        <v>24</v>
      </c>
      <c r="L238" s="17">
        <f t="shared" si="16"/>
        <v>4</v>
      </c>
      <c r="M238" s="18">
        <f t="shared" si="17"/>
        <v>0.8571428571428571</v>
      </c>
      <c r="N238" s="28" t="s">
        <v>942</v>
      </c>
      <c r="O238" s="8" t="s">
        <v>942</v>
      </c>
      <c r="P238" s="8" t="s">
        <v>942</v>
      </c>
      <c r="Q238" s="8" t="s">
        <v>942</v>
      </c>
      <c r="R238" s="28"/>
      <c r="S238" s="28"/>
      <c r="T238" s="8"/>
      <c r="U238" s="8"/>
      <c r="V238" s="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8"/>
      <c r="AI238" s="28"/>
      <c r="AJ238" s="8"/>
      <c r="AK238" s="8"/>
      <c r="AL238" s="8"/>
      <c r="AM238" s="28"/>
      <c r="AN238" s="8"/>
      <c r="AO238" s="8"/>
      <c r="AP238" s="28"/>
      <c r="AQ238" s="28"/>
      <c r="AR238" s="28"/>
    </row>
    <row r="239" spans="1:44" ht="15.75" thickBot="1" x14ac:dyDescent="0.3">
      <c r="A239" t="s">
        <v>622</v>
      </c>
      <c r="B239" s="46" t="s">
        <v>623</v>
      </c>
      <c r="C239" t="s">
        <v>624</v>
      </c>
      <c r="D239" t="s">
        <v>113</v>
      </c>
      <c r="E239" t="s">
        <v>36</v>
      </c>
      <c r="F239"/>
      <c r="G239"/>
      <c r="H239" s="16">
        <v>-347797900000</v>
      </c>
      <c r="I239" s="16">
        <v>-582911520000</v>
      </c>
      <c r="J239" s="16" t="s">
        <v>1187</v>
      </c>
      <c r="K239" s="17">
        <f t="shared" si="15"/>
        <v>21</v>
      </c>
      <c r="L239" s="17">
        <f t="shared" si="16"/>
        <v>7</v>
      </c>
      <c r="M239" s="18">
        <f t="shared" si="17"/>
        <v>0.75</v>
      </c>
      <c r="N239" s="28" t="s">
        <v>942</v>
      </c>
      <c r="O239" s="8" t="s">
        <v>942</v>
      </c>
      <c r="P239" s="8" t="s">
        <v>942</v>
      </c>
      <c r="Q239" s="8" t="s">
        <v>942</v>
      </c>
      <c r="R239" s="28" t="s">
        <v>942</v>
      </c>
      <c r="S239" s="28" t="s">
        <v>942</v>
      </c>
      <c r="T239" s="8" t="s">
        <v>942</v>
      </c>
      <c r="U239" s="8"/>
      <c r="V239" s="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8"/>
      <c r="AI239" s="28"/>
      <c r="AJ239" s="8"/>
      <c r="AK239" s="8"/>
      <c r="AL239" s="8"/>
      <c r="AM239" s="28"/>
      <c r="AN239" s="8"/>
      <c r="AO239" s="8"/>
      <c r="AP239" s="28"/>
      <c r="AQ239" s="28"/>
      <c r="AR239" s="28"/>
    </row>
    <row r="240" spans="1:44" ht="15.75" thickBot="1" x14ac:dyDescent="0.3">
      <c r="A240" t="s">
        <v>622</v>
      </c>
      <c r="B240" s="46" t="s">
        <v>625</v>
      </c>
      <c r="C240" t="s">
        <v>624</v>
      </c>
      <c r="D240" t="s">
        <v>113</v>
      </c>
      <c r="E240" t="s">
        <v>36</v>
      </c>
      <c r="F240"/>
      <c r="G240"/>
      <c r="H240" s="16">
        <v>-347797200000</v>
      </c>
      <c r="I240" s="16">
        <v>-582912050000</v>
      </c>
      <c r="J240" s="16" t="s">
        <v>1188</v>
      </c>
      <c r="K240" s="17">
        <f t="shared" si="15"/>
        <v>21</v>
      </c>
      <c r="L240" s="17">
        <f t="shared" si="16"/>
        <v>7</v>
      </c>
      <c r="M240" s="18">
        <f t="shared" si="17"/>
        <v>0.75</v>
      </c>
      <c r="N240" s="28" t="s">
        <v>942</v>
      </c>
      <c r="O240" s="8" t="s">
        <v>942</v>
      </c>
      <c r="P240" s="8" t="s">
        <v>942</v>
      </c>
      <c r="Q240" s="8" t="s">
        <v>942</v>
      </c>
      <c r="R240" s="28" t="s">
        <v>942</v>
      </c>
      <c r="S240" s="28" t="s">
        <v>942</v>
      </c>
      <c r="T240" s="8" t="s">
        <v>942</v>
      </c>
      <c r="U240" s="8"/>
      <c r="V240" s="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8"/>
      <c r="AI240" s="28"/>
      <c r="AJ240" s="8"/>
      <c r="AK240" s="8"/>
      <c r="AL240" s="8"/>
      <c r="AM240" s="28"/>
      <c r="AN240" s="8"/>
      <c r="AO240" s="8"/>
      <c r="AP240" s="28"/>
      <c r="AQ240" s="28"/>
      <c r="AR240" s="28"/>
    </row>
    <row r="241" spans="1:44" ht="15.75" thickBot="1" x14ac:dyDescent="0.3">
      <c r="A241" t="s">
        <v>612</v>
      </c>
      <c r="B241" s="46" t="s">
        <v>626</v>
      </c>
      <c r="C241" t="s">
        <v>627</v>
      </c>
      <c r="D241" t="s">
        <v>113</v>
      </c>
      <c r="E241" t="s">
        <v>36</v>
      </c>
      <c r="F241" t="s">
        <v>628</v>
      </c>
      <c r="G241"/>
      <c r="H241" s="16">
        <v>-347831700000</v>
      </c>
      <c r="I241" s="16">
        <v>-582932590000</v>
      </c>
      <c r="J241" s="16" t="s">
        <v>1189</v>
      </c>
      <c r="K241" s="17">
        <f t="shared" si="15"/>
        <v>28</v>
      </c>
      <c r="L241" s="17">
        <f t="shared" si="16"/>
        <v>0</v>
      </c>
      <c r="M241" s="18">
        <f t="shared" si="17"/>
        <v>1</v>
      </c>
      <c r="N241" s="28"/>
      <c r="O241" s="8"/>
      <c r="P241" s="8"/>
      <c r="Q241" s="8"/>
      <c r="R241" s="28"/>
      <c r="S241" s="28"/>
      <c r="T241" s="8"/>
      <c r="U241" s="8"/>
      <c r="V241" s="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8"/>
      <c r="AI241" s="8"/>
      <c r="AJ241" s="8"/>
      <c r="AK241" s="8"/>
      <c r="AL241" s="8"/>
      <c r="AM241" s="28"/>
      <c r="AN241" s="8"/>
      <c r="AO241" s="8"/>
      <c r="AP241" s="28"/>
      <c r="AQ241" s="28"/>
      <c r="AR241" s="28"/>
    </row>
    <row r="242" spans="1:44" ht="15.75" thickBot="1" x14ac:dyDescent="0.3">
      <c r="A242" t="s">
        <v>612</v>
      </c>
      <c r="B242" s="46" t="s">
        <v>629</v>
      </c>
      <c r="C242" t="s">
        <v>627</v>
      </c>
      <c r="D242" t="s">
        <v>113</v>
      </c>
      <c r="E242" t="s">
        <v>36</v>
      </c>
      <c r="F242" t="s">
        <v>628</v>
      </c>
      <c r="G242"/>
      <c r="H242" s="16">
        <v>-347832580000</v>
      </c>
      <c r="I242" s="16">
        <v>-582932170000</v>
      </c>
      <c r="J242" s="16" t="s">
        <v>1190</v>
      </c>
      <c r="K242" s="17">
        <f t="shared" si="15"/>
        <v>28</v>
      </c>
      <c r="L242" s="17">
        <f t="shared" si="16"/>
        <v>0</v>
      </c>
      <c r="M242" s="18">
        <f t="shared" si="17"/>
        <v>1</v>
      </c>
      <c r="N242" s="28"/>
      <c r="O242" s="8"/>
      <c r="P242" s="8"/>
      <c r="Q242" s="8"/>
      <c r="R242" s="28"/>
      <c r="S242" s="28"/>
      <c r="T242" s="8"/>
      <c r="U242" s="8"/>
      <c r="V242" s="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8"/>
      <c r="AI242" s="8"/>
      <c r="AJ242" s="8"/>
      <c r="AK242" s="8"/>
      <c r="AL242" s="8"/>
      <c r="AM242" s="28"/>
      <c r="AN242" s="8"/>
      <c r="AO242" s="8"/>
      <c r="AP242" s="28"/>
      <c r="AQ242" s="28"/>
      <c r="AR242" s="28"/>
    </row>
    <row r="243" spans="1:44" ht="15.75" thickBot="1" x14ac:dyDescent="0.3">
      <c r="A243" t="s">
        <v>612</v>
      </c>
      <c r="B243" s="46" t="s">
        <v>630</v>
      </c>
      <c r="C243" t="s">
        <v>631</v>
      </c>
      <c r="D243" t="s">
        <v>113</v>
      </c>
      <c r="E243" t="s">
        <v>36</v>
      </c>
      <c r="F243" t="s">
        <v>632</v>
      </c>
      <c r="G243"/>
      <c r="H243" s="16">
        <v>-347819280000</v>
      </c>
      <c r="I243" s="16">
        <v>-582932800000</v>
      </c>
      <c r="J243" s="16" t="s">
        <v>1191</v>
      </c>
      <c r="K243" s="17">
        <f t="shared" si="15"/>
        <v>28</v>
      </c>
      <c r="L243" s="17">
        <f t="shared" si="16"/>
        <v>0</v>
      </c>
      <c r="M243" s="18">
        <f t="shared" si="17"/>
        <v>1</v>
      </c>
      <c r="N243" s="28"/>
      <c r="O243" s="8"/>
      <c r="P243" s="8"/>
      <c r="Q243" s="8"/>
      <c r="R243" s="28"/>
      <c r="S243" s="28"/>
      <c r="T243" s="8"/>
      <c r="U243" s="8"/>
      <c r="V243" s="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8"/>
      <c r="AI243" s="8"/>
      <c r="AJ243" s="8"/>
      <c r="AK243" s="8"/>
      <c r="AL243" s="8"/>
      <c r="AM243" s="28"/>
      <c r="AN243" s="8"/>
      <c r="AO243" s="8"/>
      <c r="AP243" s="28"/>
      <c r="AQ243" s="28"/>
      <c r="AR243" s="28"/>
    </row>
    <row r="244" spans="1:44" ht="15.75" thickBot="1" x14ac:dyDescent="0.3">
      <c r="A244" t="s">
        <v>612</v>
      </c>
      <c r="B244" s="46" t="s">
        <v>633</v>
      </c>
      <c r="C244" t="s">
        <v>631</v>
      </c>
      <c r="D244" t="s">
        <v>113</v>
      </c>
      <c r="E244" t="s">
        <v>36</v>
      </c>
      <c r="F244" t="s">
        <v>632</v>
      </c>
      <c r="G244"/>
      <c r="H244" s="16">
        <v>-347819190000</v>
      </c>
      <c r="I244" s="16">
        <v>-582932910000</v>
      </c>
      <c r="J244" s="16" t="s">
        <v>1192</v>
      </c>
      <c r="K244" s="17">
        <f t="shared" si="15"/>
        <v>28</v>
      </c>
      <c r="L244" s="17">
        <f t="shared" si="16"/>
        <v>0</v>
      </c>
      <c r="M244" s="18">
        <f t="shared" si="17"/>
        <v>1</v>
      </c>
      <c r="N244" s="28"/>
      <c r="O244" s="8"/>
      <c r="P244" s="8"/>
      <c r="Q244" s="8"/>
      <c r="R244" s="28"/>
      <c r="S244" s="28"/>
      <c r="T244" s="8"/>
      <c r="U244" s="8"/>
      <c r="V244" s="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8"/>
      <c r="AI244" s="8"/>
      <c r="AJ244" s="8"/>
      <c r="AK244" s="8"/>
      <c r="AL244" s="8"/>
      <c r="AM244" s="28"/>
      <c r="AN244" s="8"/>
      <c r="AO244" s="8"/>
      <c r="AP244" s="28"/>
      <c r="AQ244" s="28"/>
      <c r="AR244" s="28"/>
    </row>
    <row r="245" spans="1:44" ht="15.75" thickBot="1" x14ac:dyDescent="0.3">
      <c r="A245" t="s">
        <v>311</v>
      </c>
      <c r="B245" s="46" t="s">
        <v>634</v>
      </c>
      <c r="C245" t="s">
        <v>635</v>
      </c>
      <c r="D245" t="s">
        <v>19</v>
      </c>
      <c r="E245" t="s">
        <v>25</v>
      </c>
      <c r="F245"/>
      <c r="G245" t="s">
        <v>636</v>
      </c>
      <c r="H245" s="16">
        <v>-348247270000</v>
      </c>
      <c r="I245" s="16">
        <v>-582923280000</v>
      </c>
      <c r="J245" s="16" t="s">
        <v>1195</v>
      </c>
      <c r="K245" s="17">
        <f t="shared" si="15"/>
        <v>28</v>
      </c>
      <c r="L245" s="17">
        <f t="shared" si="16"/>
        <v>0</v>
      </c>
      <c r="M245" s="18">
        <f t="shared" si="17"/>
        <v>1</v>
      </c>
      <c r="N245" s="28"/>
      <c r="O245" s="8"/>
      <c r="P245" s="8"/>
      <c r="Q245" s="8"/>
      <c r="R245" s="28"/>
      <c r="S245" s="28"/>
      <c r="T245" s="8"/>
      <c r="U245" s="8"/>
      <c r="V245" s="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8"/>
      <c r="AI245" s="8"/>
      <c r="AJ245" s="8"/>
      <c r="AK245" s="8"/>
      <c r="AL245" s="8"/>
      <c r="AM245" s="28"/>
      <c r="AN245" s="8"/>
      <c r="AO245" s="8"/>
      <c r="AP245" s="28"/>
      <c r="AQ245" s="28"/>
      <c r="AR245" s="28"/>
    </row>
    <row r="246" spans="1:44" ht="15.75" thickBot="1" x14ac:dyDescent="0.3">
      <c r="A246" t="s">
        <v>311</v>
      </c>
      <c r="B246" s="46" t="s">
        <v>637</v>
      </c>
      <c r="C246" t="s">
        <v>638</v>
      </c>
      <c r="D246" t="s">
        <v>19</v>
      </c>
      <c r="E246" t="s">
        <v>25</v>
      </c>
      <c r="F246"/>
      <c r="G246" t="s">
        <v>636</v>
      </c>
      <c r="H246" s="16">
        <v>-348165060000</v>
      </c>
      <c r="I246" s="16">
        <v>-582994990000</v>
      </c>
      <c r="J246" s="16" t="s">
        <v>1197</v>
      </c>
      <c r="K246" s="17">
        <f t="shared" si="15"/>
        <v>28</v>
      </c>
      <c r="L246" s="17">
        <f t="shared" si="16"/>
        <v>0</v>
      </c>
      <c r="M246" s="18">
        <f t="shared" si="17"/>
        <v>1</v>
      </c>
      <c r="N246" s="28"/>
      <c r="O246" s="8"/>
      <c r="P246" s="8"/>
      <c r="Q246" s="8"/>
      <c r="R246" s="28"/>
      <c r="S246" s="28"/>
      <c r="T246" s="8"/>
      <c r="U246" s="8"/>
      <c r="V246" s="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8"/>
      <c r="AI246" s="8"/>
      <c r="AJ246" s="8"/>
      <c r="AK246" s="8"/>
      <c r="AL246" s="8"/>
      <c r="AM246" s="28"/>
      <c r="AN246" s="8"/>
      <c r="AO246" s="8"/>
      <c r="AP246" s="28"/>
      <c r="AQ246" s="28"/>
      <c r="AR246" s="28"/>
    </row>
    <row r="247" spans="1:44" ht="15.75" thickBot="1" x14ac:dyDescent="0.3">
      <c r="A247" t="s">
        <v>311</v>
      </c>
      <c r="B247" s="46" t="s">
        <v>639</v>
      </c>
      <c r="C247" t="s">
        <v>640</v>
      </c>
      <c r="D247" t="s">
        <v>24</v>
      </c>
      <c r="E247" t="s">
        <v>25</v>
      </c>
      <c r="F247" t="s">
        <v>166</v>
      </c>
      <c r="G247"/>
      <c r="H247" s="16">
        <v>-348184850000</v>
      </c>
      <c r="I247" s="16">
        <v>-583019920000</v>
      </c>
      <c r="J247" s="16" t="s">
        <v>1193</v>
      </c>
      <c r="K247" s="17">
        <f t="shared" si="15"/>
        <v>28</v>
      </c>
      <c r="L247" s="17">
        <f t="shared" si="16"/>
        <v>0</v>
      </c>
      <c r="M247" s="18">
        <f t="shared" si="17"/>
        <v>1</v>
      </c>
      <c r="N247" s="28"/>
      <c r="O247" s="8"/>
      <c r="P247" s="8"/>
      <c r="Q247" s="8"/>
      <c r="R247" s="28"/>
      <c r="S247" s="28"/>
      <c r="T247" s="8"/>
      <c r="U247" s="8"/>
      <c r="V247" s="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8"/>
      <c r="AI247" s="8"/>
      <c r="AJ247" s="8"/>
      <c r="AK247" s="8"/>
      <c r="AL247" s="8"/>
      <c r="AM247" s="28"/>
      <c r="AN247" s="8"/>
      <c r="AO247" s="8"/>
      <c r="AP247" s="28"/>
      <c r="AQ247" s="28"/>
      <c r="AR247" s="28"/>
    </row>
    <row r="248" spans="1:44" ht="15.75" thickBot="1" x14ac:dyDescent="0.3">
      <c r="A248" t="s">
        <v>311</v>
      </c>
      <c r="B248" s="46" t="s">
        <v>641</v>
      </c>
      <c r="C248" t="s">
        <v>642</v>
      </c>
      <c r="D248" t="s">
        <v>24</v>
      </c>
      <c r="E248" t="s">
        <v>25</v>
      </c>
      <c r="F248" t="s">
        <v>186</v>
      </c>
      <c r="G248" t="s">
        <v>643</v>
      </c>
      <c r="H248" s="16">
        <v>-348155560000</v>
      </c>
      <c r="I248" s="16">
        <v>-582959460000</v>
      </c>
      <c r="J248" s="16" t="s">
        <v>1194</v>
      </c>
      <c r="K248" s="17">
        <f t="shared" si="15"/>
        <v>27</v>
      </c>
      <c r="L248" s="17">
        <f t="shared" si="16"/>
        <v>1</v>
      </c>
      <c r="M248" s="18">
        <f t="shared" si="17"/>
        <v>0.9642857142857143</v>
      </c>
      <c r="N248" s="28"/>
      <c r="O248" s="8"/>
      <c r="P248" s="8"/>
      <c r="Q248" s="8"/>
      <c r="R248" s="28" t="s">
        <v>942</v>
      </c>
      <c r="S248" s="28"/>
      <c r="T248" s="8"/>
      <c r="U248" s="8"/>
      <c r="V248" s="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8"/>
      <c r="AI248" s="8"/>
      <c r="AJ248" s="8"/>
      <c r="AK248" s="8"/>
      <c r="AL248" s="8"/>
      <c r="AM248" s="28"/>
      <c r="AN248" s="8"/>
      <c r="AO248" s="8"/>
      <c r="AP248" s="28"/>
      <c r="AQ248" s="28"/>
      <c r="AR248" s="28"/>
    </row>
    <row r="249" spans="1:44" ht="15.75" thickBot="1" x14ac:dyDescent="0.3">
      <c r="A249" t="s">
        <v>311</v>
      </c>
      <c r="B249" s="46" t="s">
        <v>644</v>
      </c>
      <c r="C249" t="s">
        <v>645</v>
      </c>
      <c r="D249" t="s">
        <v>113</v>
      </c>
      <c r="E249" t="s">
        <v>36</v>
      </c>
      <c r="F249"/>
      <c r="G249" t="s">
        <v>525</v>
      </c>
      <c r="H249" s="16">
        <v>-348174220000</v>
      </c>
      <c r="I249" s="16">
        <v>-582945170000</v>
      </c>
      <c r="J249" s="16" t="s">
        <v>1198</v>
      </c>
      <c r="K249" s="17">
        <f t="shared" si="15"/>
        <v>21</v>
      </c>
      <c r="L249" s="17">
        <f t="shared" si="16"/>
        <v>7</v>
      </c>
      <c r="M249" s="18">
        <f t="shared" si="17"/>
        <v>0.75</v>
      </c>
      <c r="N249" s="28" t="s">
        <v>942</v>
      </c>
      <c r="O249" s="8" t="s">
        <v>942</v>
      </c>
      <c r="P249" s="8" t="s">
        <v>942</v>
      </c>
      <c r="Q249" s="8" t="s">
        <v>942</v>
      </c>
      <c r="R249" s="28" t="s">
        <v>942</v>
      </c>
      <c r="S249" s="28" t="s">
        <v>942</v>
      </c>
      <c r="T249" s="8" t="s">
        <v>942</v>
      </c>
      <c r="U249" s="8"/>
      <c r="V249" s="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5"/>
      <c r="AI249" s="28"/>
      <c r="AJ249" s="8"/>
      <c r="AK249" s="8"/>
      <c r="AL249" s="8"/>
      <c r="AM249" s="28"/>
      <c r="AN249" s="8"/>
      <c r="AO249" s="8"/>
      <c r="AP249" s="28"/>
      <c r="AQ249" s="28"/>
      <c r="AR249" s="28"/>
    </row>
    <row r="250" spans="1:44" ht="15.75" thickBot="1" x14ac:dyDescent="0.3">
      <c r="A250" t="s">
        <v>311</v>
      </c>
      <c r="B250" s="46" t="s">
        <v>646</v>
      </c>
      <c r="C250" t="s">
        <v>645</v>
      </c>
      <c r="D250" t="s">
        <v>113</v>
      </c>
      <c r="E250" t="s">
        <v>36</v>
      </c>
      <c r="F250"/>
      <c r="G250" t="s">
        <v>525</v>
      </c>
      <c r="H250" s="16">
        <v>-348174220000</v>
      </c>
      <c r="I250" s="16">
        <v>-582945170000</v>
      </c>
      <c r="J250" s="16" t="s">
        <v>1199</v>
      </c>
      <c r="K250" s="17">
        <f t="shared" si="15"/>
        <v>21</v>
      </c>
      <c r="L250" s="17">
        <f t="shared" si="16"/>
        <v>7</v>
      </c>
      <c r="M250" s="18">
        <f t="shared" si="17"/>
        <v>0.75</v>
      </c>
      <c r="N250" s="28" t="s">
        <v>942</v>
      </c>
      <c r="O250" s="8" t="s">
        <v>942</v>
      </c>
      <c r="P250" s="8" t="s">
        <v>942</v>
      </c>
      <c r="Q250" s="8" t="s">
        <v>942</v>
      </c>
      <c r="R250" s="28" t="s">
        <v>942</v>
      </c>
      <c r="S250" s="28" t="s">
        <v>942</v>
      </c>
      <c r="T250" s="8" t="s">
        <v>942</v>
      </c>
      <c r="U250" s="8"/>
      <c r="V250" s="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8"/>
      <c r="AI250" s="28"/>
      <c r="AJ250" s="8"/>
      <c r="AK250" s="8"/>
      <c r="AL250" s="8"/>
      <c r="AM250" s="28"/>
      <c r="AN250" s="8"/>
      <c r="AO250" s="8"/>
      <c r="AP250" s="28"/>
      <c r="AQ250" s="28"/>
      <c r="AR250" s="28"/>
    </row>
    <row r="251" spans="1:44" ht="15.75" thickBot="1" x14ac:dyDescent="0.3">
      <c r="A251" t="s">
        <v>311</v>
      </c>
      <c r="B251" s="46" t="s">
        <v>647</v>
      </c>
      <c r="C251" t="s">
        <v>648</v>
      </c>
      <c r="D251" t="s">
        <v>113</v>
      </c>
      <c r="E251" t="s">
        <v>36</v>
      </c>
      <c r="F251"/>
      <c r="G251" t="s">
        <v>287</v>
      </c>
      <c r="H251" s="16">
        <v>-348145600000</v>
      </c>
      <c r="I251" s="16">
        <v>-582924490000</v>
      </c>
      <c r="J251" s="16" t="s">
        <v>1200</v>
      </c>
      <c r="K251" s="17">
        <f t="shared" si="15"/>
        <v>21</v>
      </c>
      <c r="L251" s="17">
        <f t="shared" si="16"/>
        <v>7</v>
      </c>
      <c r="M251" s="18">
        <f t="shared" si="17"/>
        <v>0.75</v>
      </c>
      <c r="N251" s="28" t="s">
        <v>942</v>
      </c>
      <c r="O251" s="8" t="s">
        <v>942</v>
      </c>
      <c r="P251" s="8" t="s">
        <v>942</v>
      </c>
      <c r="Q251" s="8" t="s">
        <v>942</v>
      </c>
      <c r="R251" s="28" t="s">
        <v>942</v>
      </c>
      <c r="S251" s="28" t="s">
        <v>942</v>
      </c>
      <c r="T251" s="8" t="s">
        <v>942</v>
      </c>
      <c r="U251" s="8"/>
      <c r="V251" s="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8"/>
      <c r="AI251" s="28"/>
      <c r="AJ251" s="8"/>
      <c r="AK251" s="8"/>
      <c r="AL251" s="8"/>
      <c r="AM251" s="28"/>
      <c r="AN251" s="8"/>
      <c r="AO251" s="8"/>
      <c r="AP251" s="28"/>
      <c r="AQ251" s="28"/>
      <c r="AR251" s="28"/>
    </row>
    <row r="252" spans="1:44" ht="15.75" thickBot="1" x14ac:dyDescent="0.3">
      <c r="A252" t="s">
        <v>311</v>
      </c>
      <c r="B252" s="46" t="s">
        <v>649</v>
      </c>
      <c r="C252" t="s">
        <v>648</v>
      </c>
      <c r="D252" t="s">
        <v>113</v>
      </c>
      <c r="E252" t="s">
        <v>36</v>
      </c>
      <c r="F252"/>
      <c r="G252" t="s">
        <v>287</v>
      </c>
      <c r="H252" s="16">
        <v>-348145600000</v>
      </c>
      <c r="I252" s="16">
        <v>-582924490000</v>
      </c>
      <c r="J252" s="16" t="s">
        <v>1201</v>
      </c>
      <c r="K252" s="17">
        <f t="shared" si="15"/>
        <v>21</v>
      </c>
      <c r="L252" s="17">
        <f t="shared" si="16"/>
        <v>7</v>
      </c>
      <c r="M252" s="18">
        <f t="shared" si="17"/>
        <v>0.75</v>
      </c>
      <c r="N252" s="28" t="s">
        <v>942</v>
      </c>
      <c r="O252" s="8" t="s">
        <v>942</v>
      </c>
      <c r="P252" s="8" t="s">
        <v>942</v>
      </c>
      <c r="Q252" s="8" t="s">
        <v>942</v>
      </c>
      <c r="R252" s="28" t="s">
        <v>942</v>
      </c>
      <c r="S252" s="28" t="s">
        <v>942</v>
      </c>
      <c r="T252" s="8" t="s">
        <v>942</v>
      </c>
      <c r="U252" s="8"/>
      <c r="V252" s="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8"/>
      <c r="AI252" s="28"/>
      <c r="AJ252" s="8"/>
      <c r="AK252" s="8"/>
      <c r="AL252" s="8"/>
      <c r="AM252" s="28"/>
      <c r="AN252" s="8"/>
      <c r="AO252" s="8"/>
      <c r="AP252" s="28"/>
      <c r="AQ252" s="28"/>
      <c r="AR252" s="28"/>
    </row>
    <row r="253" spans="1:44" ht="15.75" thickBot="1" x14ac:dyDescent="0.3">
      <c r="A253" t="s">
        <v>650</v>
      </c>
      <c r="B253" s="46" t="s">
        <v>651</v>
      </c>
      <c r="C253" t="s">
        <v>652</v>
      </c>
      <c r="D253" t="s">
        <v>24</v>
      </c>
      <c r="E253" t="s">
        <v>25</v>
      </c>
      <c r="F253" t="s">
        <v>653</v>
      </c>
      <c r="G253" t="s">
        <v>654</v>
      </c>
      <c r="H253" s="16">
        <v>-348007570000</v>
      </c>
      <c r="I253" s="16">
        <v>-582391960000</v>
      </c>
      <c r="J253" s="16" t="s">
        <v>1202</v>
      </c>
      <c r="K253" s="17">
        <f t="shared" si="15"/>
        <v>28</v>
      </c>
      <c r="L253" s="17">
        <f t="shared" si="16"/>
        <v>0</v>
      </c>
      <c r="M253" s="18">
        <f t="shared" si="17"/>
        <v>1</v>
      </c>
      <c r="N253" s="28"/>
      <c r="O253" s="8"/>
      <c r="P253" s="8"/>
      <c r="Q253" s="8"/>
      <c r="R253" s="28"/>
      <c r="S253" s="28"/>
      <c r="T253" s="8"/>
      <c r="U253" s="8"/>
      <c r="V253" s="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8"/>
      <c r="AI253" s="8"/>
      <c r="AJ253" s="8"/>
      <c r="AK253" s="8"/>
      <c r="AL253" s="8"/>
      <c r="AM253" s="28"/>
      <c r="AN253" s="8"/>
      <c r="AO253" s="8"/>
      <c r="AP253" s="28"/>
      <c r="AQ253" s="28"/>
      <c r="AR253" s="28"/>
    </row>
    <row r="254" spans="1:44" ht="15.75" thickBot="1" x14ac:dyDescent="0.3">
      <c r="B254" s="46" t="s">
        <v>655</v>
      </c>
      <c r="C254" t="s">
        <v>656</v>
      </c>
      <c r="D254" t="s">
        <v>24</v>
      </c>
      <c r="E254" t="s">
        <v>25</v>
      </c>
      <c r="F254"/>
      <c r="G254"/>
      <c r="H254" s="16">
        <v>-348178990000</v>
      </c>
      <c r="I254" s="16">
        <v>-582605300000</v>
      </c>
      <c r="J254" s="16" t="s">
        <v>1205</v>
      </c>
      <c r="K254" s="17">
        <f t="shared" si="15"/>
        <v>28</v>
      </c>
      <c r="L254" s="17">
        <f t="shared" si="16"/>
        <v>0</v>
      </c>
      <c r="M254" s="18">
        <f t="shared" si="17"/>
        <v>1</v>
      </c>
      <c r="N254" s="28"/>
      <c r="O254" s="8"/>
      <c r="P254" s="8"/>
      <c r="Q254" s="8"/>
      <c r="R254" s="28"/>
      <c r="S254" s="28"/>
      <c r="T254" s="8"/>
      <c r="U254" s="8"/>
      <c r="V254" s="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8"/>
      <c r="AI254" s="8"/>
      <c r="AJ254" s="8"/>
      <c r="AK254" s="8"/>
      <c r="AL254" s="8"/>
      <c r="AM254" s="28"/>
      <c r="AN254" s="8"/>
      <c r="AO254" s="8"/>
      <c r="AP254" s="28"/>
      <c r="AQ254" s="28"/>
      <c r="AR254" s="28"/>
    </row>
    <row r="255" spans="1:44" ht="15.75" thickBot="1" x14ac:dyDescent="0.3">
      <c r="A255" t="s">
        <v>657</v>
      </c>
      <c r="B255" s="46" t="s">
        <v>658</v>
      </c>
      <c r="C255" t="s">
        <v>659</v>
      </c>
      <c r="D255" t="s">
        <v>73</v>
      </c>
      <c r="E255" t="s">
        <v>25</v>
      </c>
      <c r="F255" t="s">
        <v>660</v>
      </c>
      <c r="G255" t="s">
        <v>661</v>
      </c>
      <c r="H255" s="16">
        <v>-348119330000</v>
      </c>
      <c r="I255" s="16">
        <v>-582583640000</v>
      </c>
      <c r="J255" s="16" t="s">
        <v>1206</v>
      </c>
      <c r="K255" s="17">
        <f t="shared" si="15"/>
        <v>28</v>
      </c>
      <c r="L255" s="17">
        <f t="shared" si="16"/>
        <v>0</v>
      </c>
      <c r="M255" s="18">
        <f t="shared" si="17"/>
        <v>1</v>
      </c>
      <c r="N255" s="28"/>
      <c r="O255" s="8"/>
      <c r="P255" s="8"/>
      <c r="Q255" s="8"/>
      <c r="R255" s="28"/>
      <c r="S255" s="28"/>
      <c r="T255" s="8"/>
      <c r="U255" s="8"/>
      <c r="V255" s="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8"/>
      <c r="AI255" s="8"/>
      <c r="AJ255" s="8"/>
      <c r="AK255" s="8"/>
      <c r="AL255" s="8"/>
      <c r="AM255" s="28"/>
      <c r="AN255" s="8"/>
      <c r="AO255" s="8"/>
      <c r="AP255" s="28"/>
      <c r="AQ255" s="28"/>
      <c r="AR255" s="28"/>
    </row>
    <row r="256" spans="1:44" ht="15.75" thickBot="1" x14ac:dyDescent="0.3">
      <c r="A256" t="s">
        <v>657</v>
      </c>
      <c r="B256" s="46" t="s">
        <v>662</v>
      </c>
      <c r="C256" t="s">
        <v>663</v>
      </c>
      <c r="D256" t="s">
        <v>19</v>
      </c>
      <c r="E256" t="s">
        <v>36</v>
      </c>
      <c r="F256"/>
      <c r="G256" t="s">
        <v>342</v>
      </c>
      <c r="H256" s="16">
        <v>-348167840000</v>
      </c>
      <c r="I256" s="16">
        <v>-582534370000</v>
      </c>
      <c r="J256" s="16" t="s">
        <v>1208</v>
      </c>
      <c r="K256" s="17">
        <f t="shared" si="15"/>
        <v>28</v>
      </c>
      <c r="L256" s="17">
        <f t="shared" si="16"/>
        <v>0</v>
      </c>
      <c r="M256" s="18">
        <f t="shared" si="17"/>
        <v>1</v>
      </c>
      <c r="N256" s="28"/>
      <c r="O256" s="8"/>
      <c r="P256" s="8"/>
      <c r="Q256" s="8"/>
      <c r="R256" s="28"/>
      <c r="S256" s="28"/>
      <c r="T256" s="8"/>
      <c r="U256" s="8"/>
      <c r="V256" s="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8"/>
      <c r="AI256" s="8"/>
      <c r="AJ256" s="8"/>
      <c r="AK256" s="8"/>
      <c r="AL256" s="8"/>
      <c r="AM256" s="28"/>
      <c r="AN256" s="8"/>
      <c r="AO256" s="8"/>
      <c r="AP256" s="28"/>
      <c r="AQ256" s="28"/>
      <c r="AR256" s="28"/>
    </row>
    <row r="257" spans="1:44" ht="15.75" thickBot="1" x14ac:dyDescent="0.3">
      <c r="A257" t="s">
        <v>657</v>
      </c>
      <c r="B257" s="46" t="s">
        <v>664</v>
      </c>
      <c r="C257" t="s">
        <v>665</v>
      </c>
      <c r="D257" t="s">
        <v>19</v>
      </c>
      <c r="E257" t="s">
        <v>36</v>
      </c>
      <c r="F257"/>
      <c r="G257" t="s">
        <v>342</v>
      </c>
      <c r="H257" s="16">
        <v>-348194100000</v>
      </c>
      <c r="I257" s="16">
        <v>-582514340000</v>
      </c>
      <c r="J257" s="16" t="s">
        <v>1209</v>
      </c>
      <c r="K257" s="17">
        <f t="shared" si="15"/>
        <v>28</v>
      </c>
      <c r="L257" s="17">
        <f t="shared" si="16"/>
        <v>0</v>
      </c>
      <c r="M257" s="18">
        <f t="shared" si="17"/>
        <v>1</v>
      </c>
      <c r="N257" s="28"/>
      <c r="O257" s="8"/>
      <c r="P257" s="8"/>
      <c r="Q257" s="8"/>
      <c r="R257" s="28"/>
      <c r="S257" s="28"/>
      <c r="T257" s="8"/>
      <c r="U257" s="8"/>
      <c r="V257" s="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8"/>
      <c r="AI257" s="8"/>
      <c r="AJ257" s="8"/>
      <c r="AK257" s="8"/>
      <c r="AL257" s="8"/>
      <c r="AM257" s="28"/>
      <c r="AN257" s="8"/>
      <c r="AO257" s="8"/>
      <c r="AP257" s="28"/>
      <c r="AQ257" s="28"/>
      <c r="AR257" s="28"/>
    </row>
    <row r="258" spans="1:44" ht="15.75" thickBot="1" x14ac:dyDescent="0.3">
      <c r="A258" t="s">
        <v>657</v>
      </c>
      <c r="B258" s="46" t="s">
        <v>666</v>
      </c>
      <c r="C258" t="s">
        <v>667</v>
      </c>
      <c r="D258" t="s">
        <v>19</v>
      </c>
      <c r="E258" t="s">
        <v>25</v>
      </c>
      <c r="F258" t="s">
        <v>186</v>
      </c>
      <c r="G258"/>
      <c r="H258" s="16">
        <v>-348119410000</v>
      </c>
      <c r="I258" s="16">
        <v>-582582760000</v>
      </c>
      <c r="J258" s="16" t="s">
        <v>1203</v>
      </c>
      <c r="K258" s="17">
        <f t="shared" si="15"/>
        <v>28</v>
      </c>
      <c r="L258" s="17">
        <f t="shared" si="16"/>
        <v>0</v>
      </c>
      <c r="M258" s="18">
        <f t="shared" si="17"/>
        <v>1</v>
      </c>
      <c r="N258" s="28"/>
      <c r="O258" s="8"/>
      <c r="P258" s="8"/>
      <c r="Q258" s="8"/>
      <c r="R258" s="28"/>
      <c r="S258" s="28"/>
      <c r="T258" s="8"/>
      <c r="U258" s="8"/>
      <c r="V258" s="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8"/>
      <c r="AI258" s="8"/>
      <c r="AJ258" s="8"/>
      <c r="AK258" s="8"/>
      <c r="AL258" s="8"/>
      <c r="AM258" s="28"/>
      <c r="AN258" s="8"/>
      <c r="AO258" s="8"/>
      <c r="AP258" s="28"/>
      <c r="AQ258" s="28"/>
      <c r="AR258" s="28"/>
    </row>
    <row r="259" spans="1:44" ht="15.75" thickBot="1" x14ac:dyDescent="0.3">
      <c r="A259" t="s">
        <v>657</v>
      </c>
      <c r="B259" s="46" t="s">
        <v>668</v>
      </c>
      <c r="C259" t="s">
        <v>669</v>
      </c>
      <c r="D259" t="s">
        <v>24</v>
      </c>
      <c r="E259" t="s">
        <v>25</v>
      </c>
      <c r="F259" t="s">
        <v>186</v>
      </c>
      <c r="G259"/>
      <c r="H259" s="16">
        <v>-348150360000</v>
      </c>
      <c r="I259" s="16">
        <v>-582549730000</v>
      </c>
      <c r="J259" s="16" t="s">
        <v>1204</v>
      </c>
      <c r="K259" s="17">
        <f t="shared" si="15"/>
        <v>21</v>
      </c>
      <c r="L259" s="17">
        <f t="shared" si="16"/>
        <v>7</v>
      </c>
      <c r="M259" s="18">
        <f t="shared" si="17"/>
        <v>0.75</v>
      </c>
      <c r="N259" s="28" t="s">
        <v>942</v>
      </c>
      <c r="O259" s="8" t="s">
        <v>942</v>
      </c>
      <c r="P259" s="8" t="s">
        <v>942</v>
      </c>
      <c r="Q259" s="8" t="s">
        <v>942</v>
      </c>
      <c r="R259" s="28" t="s">
        <v>942</v>
      </c>
      <c r="S259" s="28" t="s">
        <v>942</v>
      </c>
      <c r="T259" s="8" t="s">
        <v>942</v>
      </c>
      <c r="U259" s="8"/>
      <c r="V259" s="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8"/>
      <c r="AI259" s="28"/>
      <c r="AJ259" s="8"/>
      <c r="AK259" s="8"/>
      <c r="AL259" s="8"/>
      <c r="AM259" s="28"/>
      <c r="AN259" s="8"/>
      <c r="AO259" s="8"/>
      <c r="AP259" s="28"/>
      <c r="AQ259" s="28"/>
      <c r="AR259" s="28"/>
    </row>
    <row r="260" spans="1:44" ht="15.75" thickBot="1" x14ac:dyDescent="0.3">
      <c r="A260" t="s">
        <v>657</v>
      </c>
      <c r="B260" s="46" t="s">
        <v>670</v>
      </c>
      <c r="C260" t="s">
        <v>671</v>
      </c>
      <c r="D260" t="s">
        <v>19</v>
      </c>
      <c r="E260" t="s">
        <v>948</v>
      </c>
      <c r="F260"/>
      <c r="G260" t="s">
        <v>672</v>
      </c>
      <c r="H260" s="16">
        <v>-348150250000</v>
      </c>
      <c r="I260" s="16">
        <v>-582640890000</v>
      </c>
      <c r="J260" s="16" t="s">
        <v>1207</v>
      </c>
      <c r="K260" s="17">
        <f t="shared" si="15"/>
        <v>28</v>
      </c>
      <c r="L260" s="17">
        <f t="shared" si="16"/>
        <v>0</v>
      </c>
      <c r="M260" s="18">
        <f t="shared" si="17"/>
        <v>1</v>
      </c>
      <c r="N260" s="28"/>
      <c r="O260" s="8"/>
      <c r="P260" s="8"/>
      <c r="Q260" s="8"/>
      <c r="R260" s="28"/>
      <c r="S260" s="28"/>
      <c r="T260" s="8"/>
      <c r="U260" s="8"/>
      <c r="V260" s="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8"/>
      <c r="AI260" s="8"/>
      <c r="AJ260" s="8"/>
      <c r="AK260" s="8"/>
      <c r="AL260" s="8"/>
      <c r="AM260" s="28"/>
      <c r="AN260" s="8"/>
      <c r="AO260" s="8"/>
      <c r="AP260" s="28"/>
      <c r="AQ260" s="28"/>
      <c r="AR260" s="28"/>
    </row>
    <row r="261" spans="1:44" ht="15.75" thickBot="1" x14ac:dyDescent="0.3">
      <c r="A261" t="s">
        <v>259</v>
      </c>
      <c r="B261" s="46" t="s">
        <v>673</v>
      </c>
      <c r="C261" t="s">
        <v>674</v>
      </c>
      <c r="D261" t="s">
        <v>113</v>
      </c>
      <c r="E261" t="s">
        <v>36</v>
      </c>
      <c r="F261"/>
      <c r="G261" t="s">
        <v>675</v>
      </c>
      <c r="H261" s="16">
        <v>-348003780000</v>
      </c>
      <c r="I261" s="16">
        <v>-582918660000</v>
      </c>
      <c r="J261" s="16" t="s">
        <v>1210</v>
      </c>
      <c r="K261" s="17">
        <f t="shared" ref="K261:K324" si="18">COUNTIF(N261:AO261,"")</f>
        <v>28</v>
      </c>
      <c r="L261" s="17">
        <f t="shared" ref="L261:L324" si="19">COUNTIF(N261:AO261,"APAGADO")</f>
        <v>0</v>
      </c>
      <c r="M261" s="18">
        <f t="shared" ref="M261:M324" si="20">(K261)/(L261+K261)</f>
        <v>1</v>
      </c>
      <c r="N261" s="28"/>
      <c r="O261" s="8"/>
      <c r="P261" s="8"/>
      <c r="Q261" s="8"/>
      <c r="R261" s="28"/>
      <c r="S261" s="28"/>
      <c r="T261" s="8"/>
      <c r="U261" s="8"/>
      <c r="V261" s="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8"/>
      <c r="AI261" s="8"/>
      <c r="AJ261" s="8"/>
      <c r="AK261" s="8"/>
      <c r="AL261" s="8"/>
      <c r="AM261" s="28"/>
      <c r="AN261" s="8"/>
      <c r="AO261" s="8"/>
      <c r="AP261" s="28"/>
      <c r="AQ261" s="28"/>
      <c r="AR261" s="28"/>
    </row>
    <row r="262" spans="1:44" ht="15.75" thickBot="1" x14ac:dyDescent="0.3">
      <c r="A262" t="s">
        <v>259</v>
      </c>
      <c r="B262" s="46" t="s">
        <v>676</v>
      </c>
      <c r="C262" t="s">
        <v>674</v>
      </c>
      <c r="D262" t="s">
        <v>113</v>
      </c>
      <c r="E262" t="s">
        <v>36</v>
      </c>
      <c r="F262"/>
      <c r="G262" t="s">
        <v>675</v>
      </c>
      <c r="H262" s="16">
        <v>-348003590000</v>
      </c>
      <c r="I262" s="16">
        <v>-582918370000</v>
      </c>
      <c r="J262" s="16" t="s">
        <v>1211</v>
      </c>
      <c r="K262" s="17">
        <f t="shared" si="18"/>
        <v>28</v>
      </c>
      <c r="L262" s="17">
        <f t="shared" si="19"/>
        <v>0</v>
      </c>
      <c r="M262" s="18">
        <f t="shared" si="20"/>
        <v>1</v>
      </c>
      <c r="N262" s="28"/>
      <c r="O262" s="8"/>
      <c r="P262" s="8"/>
      <c r="Q262" s="8"/>
      <c r="R262" s="28"/>
      <c r="S262" s="28"/>
      <c r="T262" s="8"/>
      <c r="U262" s="8"/>
      <c r="V262" s="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8"/>
      <c r="AI262" s="8"/>
      <c r="AJ262" s="8"/>
      <c r="AK262" s="8"/>
      <c r="AL262" s="8"/>
      <c r="AM262" s="28"/>
      <c r="AN262" s="8"/>
      <c r="AO262" s="8"/>
      <c r="AP262" s="28"/>
      <c r="AQ262" s="28"/>
      <c r="AR262" s="28"/>
    </row>
    <row r="263" spans="1:44" ht="15.75" thickBot="1" x14ac:dyDescent="0.3">
      <c r="A263" t="s">
        <v>259</v>
      </c>
      <c r="B263" s="46" t="s">
        <v>677</v>
      </c>
      <c r="C263" t="s">
        <v>678</v>
      </c>
      <c r="D263" t="s">
        <v>113</v>
      </c>
      <c r="E263" t="s">
        <v>36</v>
      </c>
      <c r="F263"/>
      <c r="G263" t="s">
        <v>271</v>
      </c>
      <c r="H263" s="16">
        <v>-348013110000</v>
      </c>
      <c r="I263" s="16">
        <v>-582936040000</v>
      </c>
      <c r="J263" s="16" t="s">
        <v>1212</v>
      </c>
      <c r="K263" s="17">
        <f t="shared" si="18"/>
        <v>22</v>
      </c>
      <c r="L263" s="17">
        <f t="shared" si="19"/>
        <v>6</v>
      </c>
      <c r="M263" s="18">
        <f t="shared" si="20"/>
        <v>0.7857142857142857</v>
      </c>
      <c r="N263" s="28"/>
      <c r="O263" s="8" t="s">
        <v>942</v>
      </c>
      <c r="P263" s="8" t="s">
        <v>942</v>
      </c>
      <c r="Q263" s="8" t="s">
        <v>942</v>
      </c>
      <c r="R263" s="28" t="s">
        <v>942</v>
      </c>
      <c r="S263" s="28" t="s">
        <v>942</v>
      </c>
      <c r="T263" s="8" t="s">
        <v>942</v>
      </c>
      <c r="U263" s="8"/>
      <c r="V263" s="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8"/>
      <c r="AI263" s="8"/>
      <c r="AJ263" s="8"/>
      <c r="AK263" s="8"/>
      <c r="AL263" s="8"/>
      <c r="AM263" s="28"/>
      <c r="AN263" s="8"/>
      <c r="AO263" s="8"/>
      <c r="AP263" s="28"/>
      <c r="AQ263" s="28"/>
      <c r="AR263" s="28"/>
    </row>
    <row r="264" spans="1:44" ht="15.75" thickBot="1" x14ac:dyDescent="0.3">
      <c r="A264" t="s">
        <v>259</v>
      </c>
      <c r="B264" s="46" t="s">
        <v>679</v>
      </c>
      <c r="C264" t="s">
        <v>678</v>
      </c>
      <c r="D264" t="s">
        <v>113</v>
      </c>
      <c r="E264" t="s">
        <v>36</v>
      </c>
      <c r="F264"/>
      <c r="G264" t="s">
        <v>675</v>
      </c>
      <c r="H264" s="16">
        <v>-348013110000</v>
      </c>
      <c r="I264" s="16">
        <v>-582936040000</v>
      </c>
      <c r="J264" s="16" t="s">
        <v>1213</v>
      </c>
      <c r="K264" s="17">
        <f t="shared" si="18"/>
        <v>22</v>
      </c>
      <c r="L264" s="17">
        <f t="shared" si="19"/>
        <v>6</v>
      </c>
      <c r="M264" s="18">
        <f t="shared" si="20"/>
        <v>0.7857142857142857</v>
      </c>
      <c r="N264" s="28"/>
      <c r="O264" s="8" t="s">
        <v>942</v>
      </c>
      <c r="P264" s="8" t="s">
        <v>942</v>
      </c>
      <c r="Q264" s="8" t="s">
        <v>942</v>
      </c>
      <c r="R264" s="28" t="s">
        <v>942</v>
      </c>
      <c r="S264" s="28" t="s">
        <v>942</v>
      </c>
      <c r="T264" s="8" t="s">
        <v>942</v>
      </c>
      <c r="U264" s="8"/>
      <c r="V264" s="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8"/>
      <c r="AI264" s="8"/>
      <c r="AJ264" s="8"/>
      <c r="AK264" s="8"/>
      <c r="AL264" s="8"/>
      <c r="AM264" s="28"/>
      <c r="AN264" s="8"/>
      <c r="AO264" s="8"/>
      <c r="AP264" s="28"/>
      <c r="AQ264" s="28"/>
      <c r="AR264" s="28"/>
    </row>
    <row r="265" spans="1:44" ht="15.75" thickBot="1" x14ac:dyDescent="0.3">
      <c r="A265" t="s">
        <v>680</v>
      </c>
      <c r="B265" s="46" t="s">
        <v>681</v>
      </c>
      <c r="C265" t="s">
        <v>682</v>
      </c>
      <c r="D265" t="s">
        <v>19</v>
      </c>
      <c r="E265" t="s">
        <v>25</v>
      </c>
      <c r="F265"/>
      <c r="G265" t="s">
        <v>636</v>
      </c>
      <c r="H265" s="16">
        <v>-348253350000</v>
      </c>
      <c r="I265" s="16">
        <v>-582845700000</v>
      </c>
      <c r="J265" s="16" t="s">
        <v>1220</v>
      </c>
      <c r="K265" s="17">
        <f t="shared" si="18"/>
        <v>28</v>
      </c>
      <c r="L265" s="17">
        <f t="shared" si="19"/>
        <v>0</v>
      </c>
      <c r="M265" s="18">
        <f t="shared" si="20"/>
        <v>1</v>
      </c>
      <c r="N265" s="28"/>
      <c r="O265" s="8"/>
      <c r="P265" s="8"/>
      <c r="Q265" s="8"/>
      <c r="R265" s="28"/>
      <c r="S265" s="28"/>
      <c r="T265" s="8"/>
      <c r="U265" s="8"/>
      <c r="V265" s="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8"/>
      <c r="AI265" s="8"/>
      <c r="AJ265" s="8"/>
      <c r="AK265" s="8"/>
      <c r="AL265" s="8"/>
      <c r="AM265" s="28"/>
      <c r="AN265" s="8"/>
      <c r="AO265" s="8"/>
      <c r="AP265" s="28"/>
      <c r="AQ265" s="28"/>
      <c r="AR265" s="28"/>
    </row>
    <row r="266" spans="1:44" ht="15.75" thickBot="1" x14ac:dyDescent="0.3">
      <c r="A266" t="s">
        <v>680</v>
      </c>
      <c r="B266" s="46" t="s">
        <v>683</v>
      </c>
      <c r="C266" t="s">
        <v>684</v>
      </c>
      <c r="D266" t="s">
        <v>24</v>
      </c>
      <c r="E266" t="s">
        <v>36</v>
      </c>
      <c r="F266" t="s">
        <v>685</v>
      </c>
      <c r="G266"/>
      <c r="H266" s="16">
        <v>-348241790000</v>
      </c>
      <c r="I266" s="16">
        <v>-582823410000</v>
      </c>
      <c r="J266" s="16" t="s">
        <v>1221</v>
      </c>
      <c r="K266" s="17">
        <f t="shared" si="18"/>
        <v>28</v>
      </c>
      <c r="L266" s="17">
        <f t="shared" si="19"/>
        <v>0</v>
      </c>
      <c r="M266" s="18">
        <f t="shared" si="20"/>
        <v>1</v>
      </c>
      <c r="N266" s="28"/>
      <c r="O266" s="8"/>
      <c r="P266" s="8"/>
      <c r="Q266" s="8"/>
      <c r="R266" s="28"/>
      <c r="S266" s="28"/>
      <c r="T266" s="8"/>
      <c r="U266" s="8"/>
      <c r="V266" s="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8"/>
      <c r="AI266" s="8"/>
      <c r="AJ266" s="8"/>
      <c r="AK266" s="8"/>
      <c r="AL266" s="8"/>
      <c r="AM266" s="28"/>
      <c r="AN266" s="8"/>
      <c r="AO266" s="8"/>
      <c r="AP266" s="28"/>
      <c r="AQ266" s="28"/>
      <c r="AR266" s="28"/>
    </row>
    <row r="267" spans="1:44" ht="15.75" thickBot="1" x14ac:dyDescent="0.3">
      <c r="A267" t="s">
        <v>680</v>
      </c>
      <c r="B267" s="46" t="s">
        <v>686</v>
      </c>
      <c r="C267" t="s">
        <v>687</v>
      </c>
      <c r="D267" t="s">
        <v>24</v>
      </c>
      <c r="E267" t="s">
        <v>36</v>
      </c>
      <c r="F267" t="s">
        <v>685</v>
      </c>
      <c r="G267"/>
      <c r="H267" s="16">
        <v>-348222800000</v>
      </c>
      <c r="I267" s="16">
        <v>-582835650000</v>
      </c>
      <c r="J267" s="16" t="s">
        <v>1222</v>
      </c>
      <c r="K267" s="17">
        <f t="shared" si="18"/>
        <v>28</v>
      </c>
      <c r="L267" s="17">
        <f t="shared" si="19"/>
        <v>0</v>
      </c>
      <c r="M267" s="18">
        <f t="shared" si="20"/>
        <v>1</v>
      </c>
      <c r="N267" s="28"/>
      <c r="O267" s="8"/>
      <c r="P267" s="8"/>
      <c r="Q267" s="8"/>
      <c r="R267" s="28"/>
      <c r="S267" s="28"/>
      <c r="T267" s="8"/>
      <c r="U267" s="8"/>
      <c r="V267" s="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8"/>
      <c r="AI267" s="8"/>
      <c r="AJ267" s="8"/>
      <c r="AK267" s="8"/>
      <c r="AL267" s="8"/>
      <c r="AM267" s="28"/>
      <c r="AN267" s="8"/>
      <c r="AO267" s="8"/>
      <c r="AP267" s="28"/>
      <c r="AQ267" s="28"/>
      <c r="AR267" s="28"/>
    </row>
    <row r="268" spans="1:44" ht="15.75" thickBot="1" x14ac:dyDescent="0.3">
      <c r="A268" t="s">
        <v>680</v>
      </c>
      <c r="B268" s="46" t="s">
        <v>688</v>
      </c>
      <c r="C268" t="s">
        <v>689</v>
      </c>
      <c r="D268" t="s">
        <v>24</v>
      </c>
      <c r="E268" t="s">
        <v>36</v>
      </c>
      <c r="F268"/>
      <c r="G268"/>
      <c r="H268" s="16">
        <v>-348233110000</v>
      </c>
      <c r="I268" s="16">
        <v>-582829730000</v>
      </c>
      <c r="J268" s="16" t="s">
        <v>1223</v>
      </c>
      <c r="K268" s="17">
        <f t="shared" si="18"/>
        <v>28</v>
      </c>
      <c r="L268" s="17">
        <f t="shared" si="19"/>
        <v>0</v>
      </c>
      <c r="M268" s="18">
        <f t="shared" si="20"/>
        <v>1</v>
      </c>
      <c r="N268" s="28"/>
      <c r="O268" s="8"/>
      <c r="P268" s="8"/>
      <c r="Q268" s="8"/>
      <c r="R268" s="28"/>
      <c r="S268" s="28"/>
      <c r="T268" s="8"/>
      <c r="U268" s="8"/>
      <c r="V268" s="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8"/>
      <c r="AI268" s="8"/>
      <c r="AJ268" s="8"/>
      <c r="AK268" s="8"/>
      <c r="AL268" s="8"/>
      <c r="AM268" s="28"/>
      <c r="AN268" s="8"/>
      <c r="AO268" s="8"/>
      <c r="AP268" s="28"/>
      <c r="AQ268" s="28"/>
      <c r="AR268" s="28"/>
    </row>
    <row r="269" spans="1:44" ht="15.75" thickBot="1" x14ac:dyDescent="0.3">
      <c r="A269" t="s">
        <v>680</v>
      </c>
      <c r="B269" s="46" t="s">
        <v>690</v>
      </c>
      <c r="C269" t="s">
        <v>691</v>
      </c>
      <c r="D269" t="s">
        <v>19</v>
      </c>
      <c r="E269" t="s">
        <v>25</v>
      </c>
      <c r="F269"/>
      <c r="G269" t="s">
        <v>692</v>
      </c>
      <c r="H269" s="16">
        <v>-348290430000</v>
      </c>
      <c r="I269" s="16">
        <v>-582797810000</v>
      </c>
      <c r="J269" s="16" t="s">
        <v>1196</v>
      </c>
      <c r="K269" s="17">
        <f t="shared" si="18"/>
        <v>28</v>
      </c>
      <c r="L269" s="17">
        <f t="shared" si="19"/>
        <v>0</v>
      </c>
      <c r="M269" s="18">
        <f t="shared" si="20"/>
        <v>1</v>
      </c>
      <c r="N269" s="28"/>
      <c r="O269" s="8"/>
      <c r="P269" s="8"/>
      <c r="Q269" s="8"/>
      <c r="R269" s="28"/>
      <c r="S269" s="28"/>
      <c r="T269" s="8"/>
      <c r="U269" s="8"/>
      <c r="V269" s="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8"/>
      <c r="AI269" s="8"/>
      <c r="AJ269" s="8"/>
      <c r="AK269" s="8"/>
      <c r="AL269" s="8"/>
      <c r="AM269" s="28"/>
      <c r="AN269" s="8"/>
      <c r="AO269" s="8"/>
      <c r="AP269" s="28"/>
      <c r="AQ269" s="28"/>
      <c r="AR269" s="28"/>
    </row>
    <row r="270" spans="1:44" ht="15.75" thickBot="1" x14ac:dyDescent="0.3">
      <c r="A270" t="s">
        <v>680</v>
      </c>
      <c r="B270" s="46" t="s">
        <v>693</v>
      </c>
      <c r="C270" t="s">
        <v>694</v>
      </c>
      <c r="D270" t="s">
        <v>19</v>
      </c>
      <c r="E270" t="s">
        <v>25</v>
      </c>
      <c r="F270"/>
      <c r="G270" t="s">
        <v>695</v>
      </c>
      <c r="H270" s="16">
        <v>-348289520000</v>
      </c>
      <c r="I270" s="16">
        <v>-582878780000</v>
      </c>
      <c r="J270" s="16" t="s">
        <v>1224</v>
      </c>
      <c r="K270" s="17">
        <f t="shared" si="18"/>
        <v>28</v>
      </c>
      <c r="L270" s="17">
        <f t="shared" si="19"/>
        <v>0</v>
      </c>
      <c r="M270" s="18">
        <f t="shared" si="20"/>
        <v>1</v>
      </c>
      <c r="N270" s="28"/>
      <c r="O270" s="8"/>
      <c r="P270" s="8"/>
      <c r="Q270" s="8"/>
      <c r="R270" s="28"/>
      <c r="S270" s="28"/>
      <c r="T270" s="8"/>
      <c r="U270" s="8"/>
      <c r="V270" s="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8"/>
      <c r="AI270" s="8"/>
      <c r="AJ270" s="8"/>
      <c r="AK270" s="8"/>
      <c r="AL270" s="8"/>
      <c r="AM270" s="28"/>
      <c r="AN270" s="8"/>
      <c r="AO270" s="8"/>
      <c r="AP270" s="28"/>
      <c r="AQ270" s="28"/>
      <c r="AR270" s="28"/>
    </row>
    <row r="271" spans="1:44" ht="15.75" thickBot="1" x14ac:dyDescent="0.3">
      <c r="A271" t="s">
        <v>680</v>
      </c>
      <c r="B271" s="46" t="s">
        <v>696</v>
      </c>
      <c r="C271" t="s">
        <v>697</v>
      </c>
      <c r="D271" t="s">
        <v>113</v>
      </c>
      <c r="E271" t="s">
        <v>36</v>
      </c>
      <c r="F271"/>
      <c r="G271" t="s">
        <v>698</v>
      </c>
      <c r="H271" s="16">
        <v>-348214110000</v>
      </c>
      <c r="I271" s="16">
        <v>-582806410000</v>
      </c>
      <c r="J271" s="16" t="s">
        <v>1228</v>
      </c>
      <c r="K271" s="17">
        <f t="shared" si="18"/>
        <v>22</v>
      </c>
      <c r="L271" s="17">
        <f t="shared" si="19"/>
        <v>6</v>
      </c>
      <c r="M271" s="18">
        <f t="shared" si="20"/>
        <v>0.7857142857142857</v>
      </c>
      <c r="N271" s="28" t="s">
        <v>942</v>
      </c>
      <c r="O271" s="8" t="s">
        <v>942</v>
      </c>
      <c r="P271" s="8" t="s">
        <v>942</v>
      </c>
      <c r="Q271" s="8" t="s">
        <v>942</v>
      </c>
      <c r="R271" s="28" t="s">
        <v>942</v>
      </c>
      <c r="S271" s="28" t="s">
        <v>942</v>
      </c>
      <c r="T271" s="8"/>
      <c r="U271" s="8"/>
      <c r="V271" s="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8"/>
      <c r="AI271" s="28"/>
      <c r="AJ271" s="8"/>
      <c r="AK271" s="8"/>
      <c r="AL271" s="8"/>
      <c r="AM271" s="28"/>
      <c r="AN271" s="8"/>
      <c r="AO271" s="8"/>
      <c r="AP271" s="28"/>
      <c r="AQ271" s="28"/>
      <c r="AR271" s="28"/>
    </row>
    <row r="272" spans="1:44" ht="15.75" thickBot="1" x14ac:dyDescent="0.3">
      <c r="A272" t="s">
        <v>680</v>
      </c>
      <c r="B272" s="46" t="s">
        <v>699</v>
      </c>
      <c r="C272" t="s">
        <v>697</v>
      </c>
      <c r="D272" t="s">
        <v>113</v>
      </c>
      <c r="E272" t="s">
        <v>36</v>
      </c>
      <c r="F272"/>
      <c r="G272" t="s">
        <v>698</v>
      </c>
      <c r="H272" s="16">
        <v>-348214480000</v>
      </c>
      <c r="I272" s="16">
        <v>-582806290000</v>
      </c>
      <c r="J272" s="16" t="s">
        <v>1229</v>
      </c>
      <c r="K272" s="17">
        <f t="shared" si="18"/>
        <v>22</v>
      </c>
      <c r="L272" s="17">
        <f t="shared" si="19"/>
        <v>6</v>
      </c>
      <c r="M272" s="18">
        <f t="shared" si="20"/>
        <v>0.7857142857142857</v>
      </c>
      <c r="N272" s="28" t="s">
        <v>942</v>
      </c>
      <c r="O272" s="8" t="s">
        <v>942</v>
      </c>
      <c r="P272" s="8" t="s">
        <v>942</v>
      </c>
      <c r="Q272" s="8" t="s">
        <v>942</v>
      </c>
      <c r="R272" s="28" t="s">
        <v>942</v>
      </c>
      <c r="S272" s="28" t="s">
        <v>942</v>
      </c>
      <c r="T272" s="8"/>
      <c r="U272" s="8"/>
      <c r="V272" s="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8"/>
      <c r="AI272" s="28"/>
      <c r="AJ272" s="8"/>
      <c r="AK272" s="8"/>
      <c r="AL272" s="8"/>
      <c r="AM272" s="28"/>
      <c r="AN272" s="8"/>
      <c r="AO272" s="8"/>
      <c r="AP272" s="28"/>
      <c r="AQ272" s="28"/>
      <c r="AR272" s="28"/>
    </row>
    <row r="273" spans="1:44" ht="15.75" thickBot="1" x14ac:dyDescent="0.3">
      <c r="A273" t="s">
        <v>680</v>
      </c>
      <c r="B273" s="46" t="s">
        <v>700</v>
      </c>
      <c r="C273" t="s">
        <v>926</v>
      </c>
      <c r="D273" t="s">
        <v>24</v>
      </c>
      <c r="E273" t="s">
        <v>25</v>
      </c>
      <c r="F273" t="s">
        <v>365</v>
      </c>
      <c r="G273"/>
      <c r="H273" s="16">
        <v>-348304140000</v>
      </c>
      <c r="I273" s="16">
        <v>-582906680000</v>
      </c>
      <c r="J273" s="16" t="s">
        <v>1216</v>
      </c>
      <c r="K273" s="17">
        <f t="shared" si="18"/>
        <v>28</v>
      </c>
      <c r="L273" s="17">
        <f t="shared" si="19"/>
        <v>0</v>
      </c>
      <c r="M273" s="18">
        <f t="shared" si="20"/>
        <v>1</v>
      </c>
      <c r="N273" s="28"/>
      <c r="O273" s="8"/>
      <c r="P273" s="8"/>
      <c r="Q273" s="8"/>
      <c r="R273" s="28"/>
      <c r="S273" s="28"/>
      <c r="T273" s="8"/>
      <c r="U273" s="8"/>
      <c r="V273" s="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8"/>
      <c r="AI273" s="8"/>
      <c r="AJ273" s="8"/>
      <c r="AK273" s="8"/>
      <c r="AL273" s="8"/>
      <c r="AM273" s="28"/>
      <c r="AN273" s="8"/>
      <c r="AO273" s="8"/>
      <c r="AP273" s="28"/>
      <c r="AQ273" s="28"/>
      <c r="AR273" s="28"/>
    </row>
    <row r="274" spans="1:44" ht="15.75" thickBot="1" x14ac:dyDescent="0.3">
      <c r="A274" t="s">
        <v>541</v>
      </c>
      <c r="B274" s="46" t="s">
        <v>701</v>
      </c>
      <c r="C274" t="s">
        <v>702</v>
      </c>
      <c r="D274" t="s">
        <v>24</v>
      </c>
      <c r="E274" t="s">
        <v>25</v>
      </c>
      <c r="F274" t="s">
        <v>162</v>
      </c>
      <c r="G274"/>
      <c r="H274" s="16">
        <v>-348364740000</v>
      </c>
      <c r="I274" s="16">
        <v>-583002200000</v>
      </c>
      <c r="J274" s="16" t="s">
        <v>1217</v>
      </c>
      <c r="K274" s="17">
        <f t="shared" si="18"/>
        <v>28</v>
      </c>
      <c r="L274" s="17">
        <f t="shared" si="19"/>
        <v>0</v>
      </c>
      <c r="M274" s="18">
        <f t="shared" si="20"/>
        <v>1</v>
      </c>
      <c r="N274" s="28"/>
      <c r="O274" s="8"/>
      <c r="P274" s="8"/>
      <c r="Q274" s="8"/>
      <c r="R274" s="28"/>
      <c r="S274" s="28"/>
      <c r="T274" s="8"/>
      <c r="U274" s="8"/>
      <c r="V274" s="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8"/>
      <c r="AI274" s="8"/>
      <c r="AJ274" s="8"/>
      <c r="AK274" s="8"/>
      <c r="AL274" s="8"/>
      <c r="AM274" s="28"/>
      <c r="AN274" s="8"/>
      <c r="AO274" s="8"/>
      <c r="AP274" s="28"/>
      <c r="AQ274" s="28"/>
      <c r="AR274" s="28"/>
    </row>
    <row r="275" spans="1:44" ht="15.75" thickBot="1" x14ac:dyDescent="0.3">
      <c r="A275" t="s">
        <v>680</v>
      </c>
      <c r="B275" s="46" t="s">
        <v>703</v>
      </c>
      <c r="C275" t="s">
        <v>704</v>
      </c>
      <c r="D275" t="s">
        <v>24</v>
      </c>
      <c r="E275" t="s">
        <v>25</v>
      </c>
      <c r="F275" t="s">
        <v>705</v>
      </c>
      <c r="G275"/>
      <c r="H275" s="16">
        <v>-348289220000</v>
      </c>
      <c r="I275" s="16">
        <v>-582776430000</v>
      </c>
      <c r="J275" s="16" t="s">
        <v>1218</v>
      </c>
      <c r="K275" s="17">
        <f t="shared" si="18"/>
        <v>28</v>
      </c>
      <c r="L275" s="17">
        <f t="shared" si="19"/>
        <v>0</v>
      </c>
      <c r="M275" s="18">
        <f t="shared" si="20"/>
        <v>1</v>
      </c>
      <c r="N275" s="28"/>
      <c r="O275" s="8"/>
      <c r="P275" s="8"/>
      <c r="Q275" s="8"/>
      <c r="R275" s="28"/>
      <c r="S275" s="28"/>
      <c r="T275" s="8"/>
      <c r="U275" s="8"/>
      <c r="V275" s="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8"/>
      <c r="AI275" s="8"/>
      <c r="AJ275" s="8"/>
      <c r="AK275" s="8"/>
      <c r="AL275" s="8"/>
      <c r="AM275" s="28"/>
      <c r="AN275" s="8"/>
      <c r="AO275" s="8"/>
      <c r="AP275" s="28"/>
      <c r="AQ275" s="28"/>
      <c r="AR275" s="28"/>
    </row>
    <row r="276" spans="1:44" ht="15.75" thickBot="1" x14ac:dyDescent="0.3">
      <c r="A276" t="s">
        <v>680</v>
      </c>
      <c r="B276" s="46" t="s">
        <v>706</v>
      </c>
      <c r="C276" t="s">
        <v>707</v>
      </c>
      <c r="D276" t="s">
        <v>24</v>
      </c>
      <c r="E276" t="s">
        <v>25</v>
      </c>
      <c r="F276" t="s">
        <v>708</v>
      </c>
      <c r="G276"/>
      <c r="H276" s="16">
        <v>-348208590000</v>
      </c>
      <c r="I276" s="16">
        <v>-582810870000</v>
      </c>
      <c r="J276" s="16" t="s">
        <v>1219</v>
      </c>
      <c r="K276" s="17">
        <f t="shared" si="18"/>
        <v>25</v>
      </c>
      <c r="L276" s="17">
        <f t="shared" si="19"/>
        <v>3</v>
      </c>
      <c r="M276" s="18">
        <f t="shared" si="20"/>
        <v>0.8928571428571429</v>
      </c>
      <c r="N276" s="28"/>
      <c r="O276" s="8" t="s">
        <v>942</v>
      </c>
      <c r="P276" s="8" t="s">
        <v>942</v>
      </c>
      <c r="Q276" s="8" t="s">
        <v>942</v>
      </c>
      <c r="R276" s="28"/>
      <c r="S276" s="28"/>
      <c r="T276" s="8"/>
      <c r="U276" s="8"/>
      <c r="V276" s="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8"/>
      <c r="AI276" s="8"/>
      <c r="AJ276" s="8"/>
      <c r="AK276" s="8"/>
      <c r="AL276" s="8"/>
      <c r="AM276" s="28"/>
      <c r="AN276" s="8"/>
      <c r="AO276" s="8"/>
      <c r="AP276" s="28"/>
      <c r="AQ276" s="28"/>
      <c r="AR276" s="28"/>
    </row>
    <row r="277" spans="1:44" ht="15.75" thickBot="1" x14ac:dyDescent="0.3">
      <c r="A277" t="s">
        <v>680</v>
      </c>
      <c r="B277" s="46" t="s">
        <v>709</v>
      </c>
      <c r="C277" t="s">
        <v>710</v>
      </c>
      <c r="D277" t="s">
        <v>19</v>
      </c>
      <c r="E277" t="s">
        <v>25</v>
      </c>
      <c r="F277"/>
      <c r="G277" t="s">
        <v>711</v>
      </c>
      <c r="H277" s="16">
        <v>-348280830000</v>
      </c>
      <c r="I277" s="16">
        <v>-582861650000</v>
      </c>
      <c r="J277" s="16" t="s">
        <v>1214</v>
      </c>
      <c r="K277" s="17">
        <f t="shared" si="18"/>
        <v>24</v>
      </c>
      <c r="L277" s="17">
        <f t="shared" si="19"/>
        <v>4</v>
      </c>
      <c r="M277" s="18">
        <f t="shared" si="20"/>
        <v>0.8571428571428571</v>
      </c>
      <c r="N277" s="28" t="s">
        <v>942</v>
      </c>
      <c r="O277" s="8" t="s">
        <v>942</v>
      </c>
      <c r="P277" s="8" t="s">
        <v>942</v>
      </c>
      <c r="Q277" s="8" t="s">
        <v>942</v>
      </c>
      <c r="R277" s="28"/>
      <c r="S277" s="28"/>
      <c r="T277" s="8"/>
      <c r="U277" s="8"/>
      <c r="V277" s="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8"/>
      <c r="AI277" s="28"/>
      <c r="AJ277" s="8"/>
      <c r="AK277" s="8"/>
      <c r="AL277" s="8"/>
      <c r="AM277" s="28"/>
      <c r="AN277" s="8"/>
      <c r="AO277" s="8"/>
      <c r="AP277" s="28"/>
      <c r="AQ277" s="28"/>
      <c r="AR277" s="28"/>
    </row>
    <row r="278" spans="1:44" ht="15.75" thickBot="1" x14ac:dyDescent="0.3">
      <c r="A278" t="s">
        <v>680</v>
      </c>
      <c r="B278" s="46" t="s">
        <v>712</v>
      </c>
      <c r="C278" t="s">
        <v>713</v>
      </c>
      <c r="D278" t="s">
        <v>19</v>
      </c>
      <c r="E278" t="s">
        <v>25</v>
      </c>
      <c r="F278"/>
      <c r="G278" t="s">
        <v>711</v>
      </c>
      <c r="H278" s="16">
        <v>-348340000000</v>
      </c>
      <c r="I278" s="16">
        <v>-582878750000</v>
      </c>
      <c r="J278" s="16" t="s">
        <v>1215</v>
      </c>
      <c r="K278" s="17">
        <f t="shared" si="18"/>
        <v>28</v>
      </c>
      <c r="L278" s="17">
        <f t="shared" si="19"/>
        <v>0</v>
      </c>
      <c r="M278" s="18">
        <f t="shared" si="20"/>
        <v>1</v>
      </c>
      <c r="N278" s="28"/>
      <c r="O278" s="8"/>
      <c r="P278" s="8"/>
      <c r="Q278" s="8"/>
      <c r="R278" s="28"/>
      <c r="S278" s="28"/>
      <c r="T278" s="8"/>
      <c r="U278" s="8"/>
      <c r="V278" s="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8"/>
      <c r="AI278" s="8"/>
      <c r="AJ278" s="8"/>
      <c r="AK278" s="8"/>
      <c r="AL278" s="8"/>
      <c r="AM278" s="28"/>
      <c r="AN278" s="8"/>
      <c r="AO278" s="8"/>
      <c r="AP278" s="28"/>
      <c r="AQ278" s="28"/>
      <c r="AR278" s="28"/>
    </row>
    <row r="279" spans="1:44" ht="15.75" thickBot="1" x14ac:dyDescent="0.3">
      <c r="A279" t="s">
        <v>541</v>
      </c>
      <c r="B279" s="46" t="s">
        <v>714</v>
      </c>
      <c r="C279" t="s">
        <v>715</v>
      </c>
      <c r="D279" t="s">
        <v>113</v>
      </c>
      <c r="E279" t="s">
        <v>20</v>
      </c>
      <c r="F279"/>
      <c r="G279" t="s">
        <v>271</v>
      </c>
      <c r="H279" s="16">
        <v>-348335600000</v>
      </c>
      <c r="I279" s="16">
        <v>-582946050000</v>
      </c>
      <c r="J279" s="16" t="s">
        <v>1225</v>
      </c>
      <c r="K279" s="17">
        <f t="shared" si="18"/>
        <v>28</v>
      </c>
      <c r="L279" s="17">
        <f t="shared" si="19"/>
        <v>0</v>
      </c>
      <c r="M279" s="18">
        <f t="shared" si="20"/>
        <v>1</v>
      </c>
      <c r="N279" s="28"/>
      <c r="O279" s="8"/>
      <c r="P279" s="8"/>
      <c r="Q279" s="8"/>
      <c r="R279" s="28"/>
      <c r="S279" s="28"/>
      <c r="T279" s="8"/>
      <c r="U279" s="8"/>
      <c r="V279" s="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8"/>
      <c r="AI279" s="8"/>
      <c r="AJ279" s="8"/>
      <c r="AK279" s="8"/>
      <c r="AL279" s="8"/>
      <c r="AM279" s="28"/>
      <c r="AN279" s="8"/>
      <c r="AO279" s="8"/>
      <c r="AP279" s="28"/>
      <c r="AQ279" s="28"/>
      <c r="AR279" s="28"/>
    </row>
    <row r="280" spans="1:44" ht="15.75" thickBot="1" x14ac:dyDescent="0.3">
      <c r="A280" t="s">
        <v>541</v>
      </c>
      <c r="B280" s="46" t="s">
        <v>716</v>
      </c>
      <c r="C280" t="s">
        <v>715</v>
      </c>
      <c r="D280" t="s">
        <v>113</v>
      </c>
      <c r="E280" t="s">
        <v>20</v>
      </c>
      <c r="F280"/>
      <c r="G280" t="s">
        <v>271</v>
      </c>
      <c r="H280" s="16">
        <v>-348335740000</v>
      </c>
      <c r="I280" s="16">
        <v>-582946270000</v>
      </c>
      <c r="J280" s="16" t="s">
        <v>1226</v>
      </c>
      <c r="K280" s="17">
        <f t="shared" si="18"/>
        <v>23</v>
      </c>
      <c r="L280" s="17">
        <f t="shared" si="19"/>
        <v>5</v>
      </c>
      <c r="M280" s="18">
        <f t="shared" si="20"/>
        <v>0.8214285714285714</v>
      </c>
      <c r="N280" s="28" t="s">
        <v>942</v>
      </c>
      <c r="O280" s="8" t="s">
        <v>942</v>
      </c>
      <c r="P280" s="8" t="s">
        <v>942</v>
      </c>
      <c r="Q280" s="8" t="s">
        <v>942</v>
      </c>
      <c r="R280" s="28"/>
      <c r="S280" s="28"/>
      <c r="T280" s="8" t="s">
        <v>942</v>
      </c>
      <c r="U280" s="8"/>
      <c r="V280" s="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8"/>
      <c r="AI280" s="28"/>
      <c r="AJ280" s="8"/>
      <c r="AK280" s="8"/>
      <c r="AL280" s="8"/>
      <c r="AM280" s="28"/>
      <c r="AN280" s="8"/>
      <c r="AO280" s="8"/>
      <c r="AP280" s="28"/>
      <c r="AQ280" s="28"/>
      <c r="AR280" s="28"/>
    </row>
    <row r="281" spans="1:44" ht="15.75" thickBot="1" x14ac:dyDescent="0.3">
      <c r="A281" t="s">
        <v>680</v>
      </c>
      <c r="B281" s="46" t="s">
        <v>717</v>
      </c>
      <c r="C281" t="s">
        <v>718</v>
      </c>
      <c r="D281" t="s">
        <v>19</v>
      </c>
      <c r="E281" t="s">
        <v>36</v>
      </c>
      <c r="F281"/>
      <c r="G281" t="s">
        <v>719</v>
      </c>
      <c r="H281" s="16">
        <v>-348275750000</v>
      </c>
      <c r="I281" s="16">
        <v>-582788330000</v>
      </c>
      <c r="J281" s="16" t="s">
        <v>1227</v>
      </c>
      <c r="K281" s="17">
        <f t="shared" si="18"/>
        <v>28</v>
      </c>
      <c r="L281" s="17">
        <f t="shared" si="19"/>
        <v>0</v>
      </c>
      <c r="M281" s="18">
        <f t="shared" si="20"/>
        <v>1</v>
      </c>
      <c r="N281" s="28"/>
      <c r="O281" s="8"/>
      <c r="P281" s="8"/>
      <c r="Q281" s="8"/>
      <c r="R281" s="28"/>
      <c r="S281" s="28"/>
      <c r="T281" s="8"/>
      <c r="U281" s="8"/>
      <c r="V281" s="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8"/>
      <c r="AI281" s="8"/>
      <c r="AJ281" s="8"/>
      <c r="AK281" s="8"/>
      <c r="AL281" s="8"/>
      <c r="AM281" s="28"/>
      <c r="AN281" s="8"/>
      <c r="AO281" s="8"/>
      <c r="AP281" s="28"/>
      <c r="AQ281" s="28"/>
      <c r="AR281" s="28"/>
    </row>
    <row r="282" spans="1:44" ht="15.75" thickBot="1" x14ac:dyDescent="0.3">
      <c r="A282" t="s">
        <v>680</v>
      </c>
      <c r="B282" s="46" t="s">
        <v>720</v>
      </c>
      <c r="C282" t="s">
        <v>721</v>
      </c>
      <c r="D282" t="s">
        <v>113</v>
      </c>
      <c r="E282" t="s">
        <v>36</v>
      </c>
      <c r="F282" t="s">
        <v>632</v>
      </c>
      <c r="G282" t="s">
        <v>722</v>
      </c>
      <c r="H282" s="16">
        <v>-348258430000</v>
      </c>
      <c r="I282" s="16">
        <v>-582890260000</v>
      </c>
      <c r="J282" s="16" t="s">
        <v>1230</v>
      </c>
      <c r="K282" s="17">
        <f t="shared" si="18"/>
        <v>28</v>
      </c>
      <c r="L282" s="17">
        <f t="shared" si="19"/>
        <v>0</v>
      </c>
      <c r="M282" s="18">
        <f t="shared" si="20"/>
        <v>1</v>
      </c>
      <c r="N282" s="28"/>
      <c r="O282" s="8"/>
      <c r="P282" s="8"/>
      <c r="Q282" s="8"/>
      <c r="R282" s="28"/>
      <c r="S282" s="28"/>
      <c r="T282" s="8"/>
      <c r="U282" s="8"/>
      <c r="V282" s="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8"/>
      <c r="AI282" s="8"/>
      <c r="AJ282" s="8"/>
      <c r="AK282" s="8"/>
      <c r="AL282" s="8"/>
      <c r="AM282" s="28"/>
      <c r="AN282" s="8"/>
      <c r="AO282" s="8"/>
      <c r="AP282" s="28"/>
      <c r="AQ282" s="28"/>
      <c r="AR282" s="28"/>
    </row>
    <row r="283" spans="1:44" ht="15.75" thickBot="1" x14ac:dyDescent="0.3">
      <c r="A283" t="s">
        <v>680</v>
      </c>
      <c r="B283" s="46" t="s">
        <v>723</v>
      </c>
      <c r="C283" t="s">
        <v>721</v>
      </c>
      <c r="D283" t="s">
        <v>113</v>
      </c>
      <c r="E283" t="s">
        <v>36</v>
      </c>
      <c r="F283" t="s">
        <v>632</v>
      </c>
      <c r="G283" t="s">
        <v>722</v>
      </c>
      <c r="H283" s="16">
        <v>-348258430000</v>
      </c>
      <c r="I283" s="16">
        <v>-582889510000</v>
      </c>
      <c r="J283" s="16" t="s">
        <v>1231</v>
      </c>
      <c r="K283" s="17">
        <f t="shared" si="18"/>
        <v>28</v>
      </c>
      <c r="L283" s="17">
        <f t="shared" si="19"/>
        <v>0</v>
      </c>
      <c r="M283" s="18">
        <f t="shared" si="20"/>
        <v>1</v>
      </c>
      <c r="N283" s="28"/>
      <c r="O283" s="8"/>
      <c r="P283" s="8"/>
      <c r="Q283" s="8"/>
      <c r="R283" s="28"/>
      <c r="S283" s="28"/>
      <c r="T283" s="8"/>
      <c r="U283" s="8"/>
      <c r="V283" s="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8"/>
      <c r="AI283" s="8"/>
      <c r="AJ283" s="8"/>
      <c r="AK283" s="8"/>
      <c r="AL283" s="8"/>
      <c r="AM283" s="28"/>
      <c r="AN283" s="8"/>
      <c r="AO283" s="8"/>
      <c r="AP283" s="28"/>
      <c r="AQ283" s="28"/>
      <c r="AR283" s="28"/>
    </row>
    <row r="284" spans="1:44" ht="15.75" thickBot="1" x14ac:dyDescent="0.3">
      <c r="A284" t="s">
        <v>552</v>
      </c>
      <c r="B284" s="46" t="s">
        <v>724</v>
      </c>
      <c r="C284" t="s">
        <v>725</v>
      </c>
      <c r="D284" t="s">
        <v>113</v>
      </c>
      <c r="E284" t="s">
        <v>36</v>
      </c>
      <c r="F284"/>
      <c r="G284" t="s">
        <v>675</v>
      </c>
      <c r="H284" s="16">
        <v>-348182670000</v>
      </c>
      <c r="I284" s="16">
        <v>-582049970000</v>
      </c>
      <c r="J284" s="16" t="s">
        <v>1232</v>
      </c>
      <c r="K284" s="17">
        <f t="shared" si="18"/>
        <v>28</v>
      </c>
      <c r="L284" s="17">
        <f t="shared" si="19"/>
        <v>0</v>
      </c>
      <c r="M284" s="18">
        <f t="shared" si="20"/>
        <v>1</v>
      </c>
      <c r="N284" s="28"/>
      <c r="O284" s="8"/>
      <c r="P284" s="8"/>
      <c r="Q284" s="8"/>
      <c r="R284" s="28"/>
      <c r="S284" s="28"/>
      <c r="T284" s="8"/>
      <c r="U284" s="8"/>
      <c r="V284" s="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8"/>
      <c r="AI284" s="8"/>
      <c r="AJ284" s="8"/>
      <c r="AK284" s="8"/>
      <c r="AL284" s="8"/>
      <c r="AM284" s="28"/>
      <c r="AN284" s="8"/>
      <c r="AO284" s="8"/>
      <c r="AP284" s="28"/>
      <c r="AQ284" s="28"/>
      <c r="AR284" s="28"/>
    </row>
    <row r="285" spans="1:44" ht="15.75" thickBot="1" x14ac:dyDescent="0.3">
      <c r="A285" t="s">
        <v>552</v>
      </c>
      <c r="B285" s="46" t="s">
        <v>726</v>
      </c>
      <c r="C285" t="s">
        <v>725</v>
      </c>
      <c r="D285" t="s">
        <v>113</v>
      </c>
      <c r="E285" t="s">
        <v>36</v>
      </c>
      <c r="F285"/>
      <c r="G285" t="s">
        <v>675</v>
      </c>
      <c r="H285" s="16">
        <v>-348182670000</v>
      </c>
      <c r="I285" s="16">
        <v>-582049970000</v>
      </c>
      <c r="J285" s="16" t="s">
        <v>1233</v>
      </c>
      <c r="K285" s="17">
        <f t="shared" si="18"/>
        <v>28</v>
      </c>
      <c r="L285" s="17">
        <f t="shared" si="19"/>
        <v>0</v>
      </c>
      <c r="M285" s="18">
        <f t="shared" si="20"/>
        <v>1</v>
      </c>
      <c r="N285" s="28"/>
      <c r="O285" s="8"/>
      <c r="P285" s="8"/>
      <c r="Q285" s="8"/>
      <c r="R285" s="28"/>
      <c r="S285" s="28"/>
      <c r="T285" s="8"/>
      <c r="U285" s="8"/>
      <c r="V285" s="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8"/>
      <c r="AI285" s="8"/>
      <c r="AJ285" s="8"/>
      <c r="AK285" s="8"/>
      <c r="AL285" s="8"/>
      <c r="AM285" s="28"/>
      <c r="AN285" s="8"/>
      <c r="AO285" s="8"/>
      <c r="AP285" s="28"/>
      <c r="AQ285" s="28"/>
      <c r="AR285" s="28"/>
    </row>
    <row r="286" spans="1:44" ht="15.75" thickBot="1" x14ac:dyDescent="0.3">
      <c r="A286" t="s">
        <v>727</v>
      </c>
      <c r="B286" s="46" t="s">
        <v>728</v>
      </c>
      <c r="C286" t="s">
        <v>729</v>
      </c>
      <c r="D286" t="s">
        <v>24</v>
      </c>
      <c r="E286" t="s">
        <v>948</v>
      </c>
      <c r="F286" t="s">
        <v>730</v>
      </c>
      <c r="G286"/>
      <c r="H286" s="16">
        <v>-347888010000</v>
      </c>
      <c r="I286" s="16">
        <v>-582597900000</v>
      </c>
      <c r="J286" s="16" t="s">
        <v>1234</v>
      </c>
      <c r="K286" s="17">
        <f t="shared" si="18"/>
        <v>28</v>
      </c>
      <c r="L286" s="17">
        <f t="shared" si="19"/>
        <v>0</v>
      </c>
      <c r="M286" s="18">
        <f t="shared" si="20"/>
        <v>1</v>
      </c>
      <c r="N286" s="28"/>
      <c r="O286" s="8"/>
      <c r="P286" s="8"/>
      <c r="Q286" s="8"/>
      <c r="R286" s="28"/>
      <c r="S286" s="28"/>
      <c r="T286" s="8"/>
      <c r="U286" s="8"/>
      <c r="V286" s="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8"/>
      <c r="AI286" s="8"/>
      <c r="AJ286" s="8"/>
      <c r="AK286" s="8"/>
      <c r="AL286" s="8"/>
      <c r="AM286" s="28"/>
      <c r="AN286" s="8"/>
      <c r="AO286" s="8"/>
      <c r="AP286" s="28"/>
      <c r="AQ286" s="28"/>
      <c r="AR286" s="28"/>
    </row>
    <row r="287" spans="1:44" ht="16.899999999999999" customHeight="1" thickBot="1" x14ac:dyDescent="0.3">
      <c r="A287" t="s">
        <v>727</v>
      </c>
      <c r="B287" s="46" t="s">
        <v>731</v>
      </c>
      <c r="C287" t="s">
        <v>732</v>
      </c>
      <c r="D287" t="s">
        <v>24</v>
      </c>
      <c r="E287" t="s">
        <v>36</v>
      </c>
      <c r="F287" t="s">
        <v>368</v>
      </c>
      <c r="G287"/>
      <c r="H287" s="16">
        <v>-347926510000</v>
      </c>
      <c r="I287" s="16">
        <v>-582499030000</v>
      </c>
      <c r="J287" s="16" t="s">
        <v>1235</v>
      </c>
      <c r="K287" s="17">
        <f t="shared" si="18"/>
        <v>28</v>
      </c>
      <c r="L287" s="17">
        <f t="shared" si="19"/>
        <v>0</v>
      </c>
      <c r="M287" s="18">
        <f t="shared" si="20"/>
        <v>1</v>
      </c>
      <c r="N287" s="28"/>
      <c r="O287" s="8"/>
      <c r="P287" s="8"/>
      <c r="Q287" s="8"/>
      <c r="R287" s="28"/>
      <c r="S287" s="28"/>
      <c r="T287" s="8"/>
      <c r="U287" s="8"/>
      <c r="V287" s="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8"/>
      <c r="AI287" s="8"/>
      <c r="AJ287" s="8"/>
      <c r="AK287" s="8"/>
      <c r="AL287" s="8"/>
      <c r="AM287" s="28"/>
      <c r="AN287" s="8"/>
      <c r="AO287" s="8"/>
      <c r="AP287" s="28"/>
      <c r="AQ287" s="28"/>
      <c r="AR287" s="28"/>
    </row>
    <row r="288" spans="1:44" ht="15.75" thickBot="1" x14ac:dyDescent="0.3">
      <c r="A288" t="s">
        <v>733</v>
      </c>
      <c r="B288" s="46" t="s">
        <v>734</v>
      </c>
      <c r="C288" t="s">
        <v>735</v>
      </c>
      <c r="D288" t="s">
        <v>24</v>
      </c>
      <c r="E288" t="s">
        <v>36</v>
      </c>
      <c r="F288" t="s">
        <v>368</v>
      </c>
      <c r="G288"/>
      <c r="H288" s="16">
        <v>-347955320000</v>
      </c>
      <c r="I288" s="16">
        <v>-582553260000</v>
      </c>
      <c r="J288" s="16" t="s">
        <v>1236</v>
      </c>
      <c r="K288" s="17">
        <f t="shared" si="18"/>
        <v>28</v>
      </c>
      <c r="L288" s="17">
        <f t="shared" si="19"/>
        <v>0</v>
      </c>
      <c r="M288" s="18">
        <f t="shared" si="20"/>
        <v>1</v>
      </c>
      <c r="N288" s="28"/>
      <c r="O288" s="8"/>
      <c r="P288" s="8"/>
      <c r="Q288" s="8"/>
      <c r="R288" s="28"/>
      <c r="S288" s="28"/>
      <c r="T288" s="8"/>
      <c r="U288" s="8"/>
      <c r="V288" s="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8"/>
      <c r="AI288" s="8"/>
      <c r="AJ288" s="8"/>
      <c r="AK288" s="8"/>
      <c r="AL288" s="8"/>
      <c r="AM288" s="28"/>
      <c r="AN288" s="8"/>
      <c r="AO288" s="8"/>
      <c r="AP288" s="28"/>
      <c r="AQ288" s="28"/>
      <c r="AR288" s="28"/>
    </row>
    <row r="289" spans="1:44" ht="15.75" thickBot="1" x14ac:dyDescent="0.3">
      <c r="A289" t="s">
        <v>727</v>
      </c>
      <c r="B289" s="46" t="s">
        <v>736</v>
      </c>
      <c r="C289" t="s">
        <v>737</v>
      </c>
      <c r="D289" t="s">
        <v>19</v>
      </c>
      <c r="E289" t="s">
        <v>36</v>
      </c>
      <c r="F289" t="s">
        <v>738</v>
      </c>
      <c r="G289" t="s">
        <v>739</v>
      </c>
      <c r="H289" s="16">
        <v>-347933300000</v>
      </c>
      <c r="I289" s="16">
        <v>-582534600000</v>
      </c>
      <c r="J289" s="16" t="s">
        <v>1237</v>
      </c>
      <c r="K289" s="17">
        <f t="shared" si="18"/>
        <v>28</v>
      </c>
      <c r="L289" s="17">
        <f t="shared" si="19"/>
        <v>0</v>
      </c>
      <c r="M289" s="18">
        <f t="shared" si="20"/>
        <v>1</v>
      </c>
      <c r="N289" s="28"/>
      <c r="O289" s="8"/>
      <c r="P289" s="8"/>
      <c r="Q289" s="8"/>
      <c r="R289" s="28"/>
      <c r="S289" s="28"/>
      <c r="T289" s="8"/>
      <c r="U289" s="8"/>
      <c r="V289" s="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8"/>
      <c r="AI289" s="8"/>
      <c r="AJ289" s="8"/>
      <c r="AK289" s="8"/>
      <c r="AL289" s="8"/>
      <c r="AM289" s="28"/>
      <c r="AN289" s="8"/>
      <c r="AO289" s="8"/>
      <c r="AP289" s="28"/>
      <c r="AQ289" s="28"/>
      <c r="AR289" s="28"/>
    </row>
    <row r="290" spans="1:44" ht="15.75" thickBot="1" x14ac:dyDescent="0.3">
      <c r="A290" t="s">
        <v>727</v>
      </c>
      <c r="B290" s="46" t="s">
        <v>740</v>
      </c>
      <c r="C290" t="s">
        <v>741</v>
      </c>
      <c r="D290" t="s">
        <v>24</v>
      </c>
      <c r="E290" t="s">
        <v>36</v>
      </c>
      <c r="F290" t="s">
        <v>368</v>
      </c>
      <c r="G290"/>
      <c r="H290" s="16">
        <v>-347941580000</v>
      </c>
      <c r="I290" s="16">
        <v>-582528380000</v>
      </c>
      <c r="J290" s="16" t="s">
        <v>1238</v>
      </c>
      <c r="K290" s="17">
        <f t="shared" si="18"/>
        <v>28</v>
      </c>
      <c r="L290" s="17">
        <f t="shared" si="19"/>
        <v>0</v>
      </c>
      <c r="M290" s="18">
        <f t="shared" si="20"/>
        <v>1</v>
      </c>
      <c r="N290" s="28"/>
      <c r="O290" s="8"/>
      <c r="P290" s="8"/>
      <c r="Q290" s="8"/>
      <c r="R290" s="28"/>
      <c r="S290" s="28"/>
      <c r="T290" s="8"/>
      <c r="U290" s="8"/>
      <c r="V290" s="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8"/>
      <c r="AI290" s="8"/>
      <c r="AJ290" s="8"/>
      <c r="AK290" s="8"/>
      <c r="AL290" s="8"/>
      <c r="AM290" s="28"/>
      <c r="AN290" s="8"/>
      <c r="AO290" s="8"/>
      <c r="AP290" s="28"/>
      <c r="AQ290" s="28"/>
      <c r="AR290" s="28"/>
    </row>
    <row r="291" spans="1:44" ht="15.75" thickBot="1" x14ac:dyDescent="0.3">
      <c r="A291" t="s">
        <v>727</v>
      </c>
      <c r="B291" s="46" t="s">
        <v>742</v>
      </c>
      <c r="C291" t="s">
        <v>743</v>
      </c>
      <c r="D291" t="s">
        <v>19</v>
      </c>
      <c r="E291" t="s">
        <v>36</v>
      </c>
      <c r="F291" t="s">
        <v>738</v>
      </c>
      <c r="G291" t="s">
        <v>744</v>
      </c>
      <c r="H291" s="16">
        <v>-347928980000</v>
      </c>
      <c r="I291" s="16">
        <v>-582523980000</v>
      </c>
      <c r="J291" s="16" t="s">
        <v>1239</v>
      </c>
      <c r="K291" s="17">
        <f t="shared" si="18"/>
        <v>28</v>
      </c>
      <c r="L291" s="17">
        <f t="shared" si="19"/>
        <v>0</v>
      </c>
      <c r="M291" s="18">
        <f t="shared" si="20"/>
        <v>1</v>
      </c>
      <c r="N291" s="28"/>
      <c r="O291" s="8"/>
      <c r="P291" s="8"/>
      <c r="Q291" s="8"/>
      <c r="R291" s="28"/>
      <c r="S291" s="28"/>
      <c r="T291" s="8"/>
      <c r="U291" s="8"/>
      <c r="V291" s="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8"/>
      <c r="AI291" s="8"/>
      <c r="AJ291" s="8"/>
      <c r="AK291" s="8"/>
      <c r="AL291" s="8"/>
      <c r="AM291" s="28"/>
      <c r="AN291" s="8"/>
      <c r="AO291" s="8"/>
      <c r="AP291" s="28"/>
      <c r="AQ291" s="28"/>
      <c r="AR291" s="28"/>
    </row>
    <row r="292" spans="1:44" ht="15.75" thickBot="1" x14ac:dyDescent="0.3">
      <c r="A292" t="s">
        <v>727</v>
      </c>
      <c r="B292" s="46" t="s">
        <v>745</v>
      </c>
      <c r="C292" t="s">
        <v>746</v>
      </c>
      <c r="D292" t="s">
        <v>24</v>
      </c>
      <c r="E292" t="s">
        <v>36</v>
      </c>
      <c r="F292" t="s">
        <v>368</v>
      </c>
      <c r="G292"/>
      <c r="H292" s="16">
        <v>-347936470000</v>
      </c>
      <c r="I292" s="16">
        <v>-582518290000</v>
      </c>
      <c r="J292" s="16" t="s">
        <v>1240</v>
      </c>
      <c r="K292" s="17">
        <f t="shared" si="18"/>
        <v>28</v>
      </c>
      <c r="L292" s="17">
        <f t="shared" si="19"/>
        <v>0</v>
      </c>
      <c r="M292" s="18">
        <f t="shared" si="20"/>
        <v>1</v>
      </c>
      <c r="N292" s="28"/>
      <c r="O292" s="8"/>
      <c r="P292" s="8"/>
      <c r="Q292" s="8"/>
      <c r="R292" s="28"/>
      <c r="S292" s="28"/>
      <c r="T292" s="8"/>
      <c r="U292" s="8"/>
      <c r="V292" s="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8"/>
      <c r="AI292" s="8"/>
      <c r="AJ292" s="8"/>
      <c r="AK292" s="8"/>
      <c r="AL292" s="8"/>
      <c r="AM292" s="28"/>
      <c r="AN292" s="8"/>
      <c r="AO292" s="8"/>
      <c r="AP292" s="28"/>
      <c r="AQ292" s="28"/>
      <c r="AR292" s="28"/>
    </row>
    <row r="293" spans="1:44" ht="15.75" thickBot="1" x14ac:dyDescent="0.3">
      <c r="A293" t="s">
        <v>727</v>
      </c>
      <c r="B293" s="46" t="s">
        <v>747</v>
      </c>
      <c r="C293" t="s">
        <v>748</v>
      </c>
      <c r="D293" t="s">
        <v>24</v>
      </c>
      <c r="E293" t="s">
        <v>948</v>
      </c>
      <c r="F293" t="s">
        <v>738</v>
      </c>
      <c r="G293"/>
      <c r="H293" s="16">
        <v>-347917260000</v>
      </c>
      <c r="I293" s="16">
        <v>-582524730000</v>
      </c>
      <c r="J293" s="16" t="s">
        <v>1241</v>
      </c>
      <c r="K293" s="17">
        <f t="shared" si="18"/>
        <v>28</v>
      </c>
      <c r="L293" s="17">
        <f t="shared" si="19"/>
        <v>0</v>
      </c>
      <c r="M293" s="18">
        <f t="shared" si="20"/>
        <v>1</v>
      </c>
      <c r="N293" s="28"/>
      <c r="O293" s="8"/>
      <c r="P293" s="8"/>
      <c r="Q293" s="8"/>
      <c r="R293" s="28"/>
      <c r="S293" s="28"/>
      <c r="T293" s="8"/>
      <c r="U293" s="8"/>
      <c r="V293" s="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8"/>
      <c r="AI293" s="8"/>
      <c r="AJ293" s="8"/>
      <c r="AK293" s="8"/>
      <c r="AL293" s="8"/>
      <c r="AM293" s="28"/>
      <c r="AN293" s="8"/>
      <c r="AO293" s="8"/>
      <c r="AP293" s="28"/>
      <c r="AQ293" s="28"/>
      <c r="AR293" s="28"/>
    </row>
    <row r="294" spans="1:44" ht="15.75" thickBot="1" x14ac:dyDescent="0.3">
      <c r="A294" t="s">
        <v>414</v>
      </c>
      <c r="B294" s="46" t="s">
        <v>749</v>
      </c>
      <c r="C294" t="s">
        <v>750</v>
      </c>
      <c r="D294" t="s">
        <v>24</v>
      </c>
      <c r="E294" t="s">
        <v>948</v>
      </c>
      <c r="F294" t="s">
        <v>162</v>
      </c>
      <c r="G294"/>
      <c r="H294" s="16">
        <v>-347867610000</v>
      </c>
      <c r="I294" s="16">
        <v>-582563190000</v>
      </c>
      <c r="J294" s="16" t="s">
        <v>1242</v>
      </c>
      <c r="K294" s="17">
        <f t="shared" si="18"/>
        <v>28</v>
      </c>
      <c r="L294" s="17">
        <f t="shared" si="19"/>
        <v>0</v>
      </c>
      <c r="M294" s="18">
        <f t="shared" si="20"/>
        <v>1</v>
      </c>
      <c r="N294" s="28"/>
      <c r="O294" s="8"/>
      <c r="P294" s="8"/>
      <c r="Q294" s="8"/>
      <c r="R294" s="28"/>
      <c r="S294" s="28"/>
      <c r="T294" s="8"/>
      <c r="U294" s="8"/>
      <c r="V294" s="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8"/>
      <c r="AI294" s="8"/>
      <c r="AJ294" s="8"/>
      <c r="AK294" s="8"/>
      <c r="AL294" s="8"/>
      <c r="AM294" s="28"/>
      <c r="AN294" s="8"/>
      <c r="AO294" s="8"/>
      <c r="AP294" s="28"/>
      <c r="AQ294" s="28"/>
      <c r="AR294" s="28"/>
    </row>
    <row r="295" spans="1:44" ht="15.75" thickBot="1" x14ac:dyDescent="0.3">
      <c r="A295" t="s">
        <v>359</v>
      </c>
      <c r="B295" s="46" t="s">
        <v>751</v>
      </c>
      <c r="C295" t="s">
        <v>752</v>
      </c>
      <c r="D295" t="s">
        <v>24</v>
      </c>
      <c r="E295" t="s">
        <v>25</v>
      </c>
      <c r="F295" t="s">
        <v>753</v>
      </c>
      <c r="G295"/>
      <c r="H295" s="16">
        <v>-348145260000</v>
      </c>
      <c r="I295" s="16">
        <v>-583009670000</v>
      </c>
      <c r="J295" s="16" t="s">
        <v>1243</v>
      </c>
      <c r="K295" s="17">
        <f t="shared" si="18"/>
        <v>27</v>
      </c>
      <c r="L295" s="17">
        <f t="shared" si="19"/>
        <v>1</v>
      </c>
      <c r="M295" s="18">
        <f t="shared" si="20"/>
        <v>0.9642857142857143</v>
      </c>
      <c r="N295" s="28"/>
      <c r="O295" s="8"/>
      <c r="P295" s="8"/>
      <c r="Q295" s="8"/>
      <c r="R295" s="28"/>
      <c r="S295" s="28" t="s">
        <v>942</v>
      </c>
      <c r="T295" s="8"/>
      <c r="U295" s="8"/>
      <c r="V295" s="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8"/>
      <c r="AI295" s="8"/>
      <c r="AJ295" s="8"/>
      <c r="AK295" s="8"/>
      <c r="AL295" s="8"/>
      <c r="AM295" s="28"/>
      <c r="AN295" s="8"/>
      <c r="AO295" s="8"/>
      <c r="AP295" s="28"/>
      <c r="AQ295" s="28"/>
      <c r="AR295" s="28"/>
    </row>
    <row r="296" spans="1:44" ht="15.75" thickBot="1" x14ac:dyDescent="0.3">
      <c r="A296" t="s">
        <v>359</v>
      </c>
      <c r="B296" s="46" t="s">
        <v>754</v>
      </c>
      <c r="C296" t="s">
        <v>755</v>
      </c>
      <c r="D296" t="s">
        <v>19</v>
      </c>
      <c r="E296" t="s">
        <v>25</v>
      </c>
      <c r="F296"/>
      <c r="G296" t="s">
        <v>33</v>
      </c>
      <c r="H296" s="16">
        <v>-348102780000</v>
      </c>
      <c r="I296" s="16">
        <v>-582968990000</v>
      </c>
      <c r="J296" s="16" t="s">
        <v>1244</v>
      </c>
      <c r="K296" s="17">
        <f t="shared" si="18"/>
        <v>28</v>
      </c>
      <c r="L296" s="17">
        <f t="shared" si="19"/>
        <v>0</v>
      </c>
      <c r="M296" s="18">
        <f t="shared" si="20"/>
        <v>1</v>
      </c>
      <c r="N296" s="28"/>
      <c r="O296" s="8"/>
      <c r="P296" s="8"/>
      <c r="Q296" s="8"/>
      <c r="R296" s="28"/>
      <c r="S296" s="28"/>
      <c r="T296" s="8"/>
      <c r="U296" s="8"/>
      <c r="V296" s="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8"/>
      <c r="AI296" s="8"/>
      <c r="AJ296" s="8"/>
      <c r="AK296" s="8"/>
      <c r="AL296" s="8"/>
      <c r="AM296" s="28"/>
      <c r="AN296" s="8"/>
      <c r="AO296" s="8"/>
      <c r="AP296" s="28"/>
      <c r="AQ296" s="28"/>
      <c r="AR296" s="28"/>
    </row>
    <row r="297" spans="1:44" ht="15.75" thickBot="1" x14ac:dyDescent="0.3">
      <c r="A297" t="s">
        <v>359</v>
      </c>
      <c r="B297" s="46" t="s">
        <v>756</v>
      </c>
      <c r="C297" t="s">
        <v>757</v>
      </c>
      <c r="D297" t="s">
        <v>113</v>
      </c>
      <c r="E297" t="s">
        <v>20</v>
      </c>
      <c r="F297"/>
      <c r="G297" t="s">
        <v>271</v>
      </c>
      <c r="H297" s="16">
        <v>-348125630000</v>
      </c>
      <c r="I297" s="16">
        <v>-582971310000</v>
      </c>
      <c r="J297" s="16" t="s">
        <v>1245</v>
      </c>
      <c r="K297" s="17">
        <f t="shared" si="18"/>
        <v>28</v>
      </c>
      <c r="L297" s="17">
        <f t="shared" si="19"/>
        <v>0</v>
      </c>
      <c r="M297" s="18">
        <f t="shared" si="20"/>
        <v>1</v>
      </c>
      <c r="N297" s="28"/>
      <c r="O297" s="8"/>
      <c r="P297" s="8"/>
      <c r="Q297" s="8"/>
      <c r="R297" s="28"/>
      <c r="S297" s="28"/>
      <c r="T297" s="8"/>
      <c r="U297" s="8"/>
      <c r="V297" s="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8"/>
      <c r="AI297" s="8"/>
      <c r="AJ297" s="8"/>
      <c r="AK297" s="8"/>
      <c r="AL297" s="8"/>
      <c r="AM297" s="28"/>
      <c r="AN297" s="8"/>
      <c r="AO297" s="8"/>
      <c r="AP297" s="28"/>
      <c r="AQ297" s="28"/>
      <c r="AR297" s="28"/>
    </row>
    <row r="298" spans="1:44" ht="15.75" thickBot="1" x14ac:dyDescent="0.3">
      <c r="A298" t="s">
        <v>359</v>
      </c>
      <c r="B298" s="46" t="s">
        <v>758</v>
      </c>
      <c r="C298" t="s">
        <v>757</v>
      </c>
      <c r="D298" t="s">
        <v>113</v>
      </c>
      <c r="E298" t="s">
        <v>20</v>
      </c>
      <c r="F298"/>
      <c r="G298" t="s">
        <v>271</v>
      </c>
      <c r="H298" s="16">
        <v>-348125630000</v>
      </c>
      <c r="I298" s="16">
        <v>-582971310000</v>
      </c>
      <c r="J298" s="16" t="s">
        <v>1246</v>
      </c>
      <c r="K298" s="17">
        <f t="shared" si="18"/>
        <v>28</v>
      </c>
      <c r="L298" s="17">
        <f t="shared" si="19"/>
        <v>0</v>
      </c>
      <c r="M298" s="18">
        <f t="shared" si="20"/>
        <v>1</v>
      </c>
      <c r="N298" s="28"/>
      <c r="O298" s="8"/>
      <c r="P298" s="8"/>
      <c r="Q298" s="8"/>
      <c r="R298" s="28"/>
      <c r="S298" s="28"/>
      <c r="T298" s="8"/>
      <c r="U298" s="8"/>
      <c r="V298" s="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8"/>
      <c r="AI298" s="8"/>
      <c r="AJ298" s="8"/>
      <c r="AK298" s="8"/>
      <c r="AL298" s="8"/>
      <c r="AM298" s="28"/>
      <c r="AN298" s="8"/>
      <c r="AO298" s="8"/>
      <c r="AP298" s="28"/>
      <c r="AQ298" s="28"/>
      <c r="AR298" s="28"/>
    </row>
    <row r="299" spans="1:44" ht="15.75" thickBot="1" x14ac:dyDescent="0.3">
      <c r="A299" t="s">
        <v>359</v>
      </c>
      <c r="B299" s="46" t="s">
        <v>759</v>
      </c>
      <c r="C299" t="s">
        <v>760</v>
      </c>
      <c r="D299" t="s">
        <v>113</v>
      </c>
      <c r="E299" t="s">
        <v>20</v>
      </c>
      <c r="F299"/>
      <c r="G299" t="s">
        <v>271</v>
      </c>
      <c r="H299" s="16">
        <v>-348125690000</v>
      </c>
      <c r="I299" s="16">
        <v>-582982090000</v>
      </c>
      <c r="J299" s="16" t="s">
        <v>1247</v>
      </c>
      <c r="K299" s="17">
        <f t="shared" si="18"/>
        <v>28</v>
      </c>
      <c r="L299" s="17">
        <f t="shared" si="19"/>
        <v>0</v>
      </c>
      <c r="M299" s="18">
        <f t="shared" si="20"/>
        <v>1</v>
      </c>
      <c r="N299" s="28"/>
      <c r="O299" s="8"/>
      <c r="P299" s="8"/>
      <c r="Q299" s="8"/>
      <c r="R299" s="28"/>
      <c r="S299" s="28"/>
      <c r="T299" s="8"/>
      <c r="U299" s="8"/>
      <c r="V299" s="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8"/>
      <c r="AI299" s="8"/>
      <c r="AJ299" s="8"/>
      <c r="AK299" s="8"/>
      <c r="AL299" s="8"/>
      <c r="AM299" s="28"/>
      <c r="AN299" s="8"/>
      <c r="AO299" s="8"/>
      <c r="AP299" s="28"/>
      <c r="AQ299" s="28"/>
      <c r="AR299" s="28"/>
    </row>
    <row r="300" spans="1:44" ht="15.75" thickBot="1" x14ac:dyDescent="0.3">
      <c r="A300" t="s">
        <v>359</v>
      </c>
      <c r="B300" s="46" t="s">
        <v>761</v>
      </c>
      <c r="C300" t="s">
        <v>760</v>
      </c>
      <c r="D300" t="s">
        <v>113</v>
      </c>
      <c r="E300" t="s">
        <v>20</v>
      </c>
      <c r="F300"/>
      <c r="G300" t="s">
        <v>271</v>
      </c>
      <c r="H300" s="16">
        <v>-348126020000</v>
      </c>
      <c r="I300" s="16">
        <v>-582981720000</v>
      </c>
      <c r="J300" s="16" t="s">
        <v>1248</v>
      </c>
      <c r="K300" s="17">
        <f t="shared" si="18"/>
        <v>28</v>
      </c>
      <c r="L300" s="17">
        <f t="shared" si="19"/>
        <v>0</v>
      </c>
      <c r="M300" s="18">
        <f t="shared" si="20"/>
        <v>1</v>
      </c>
      <c r="N300" s="28"/>
      <c r="O300" s="8"/>
      <c r="P300" s="8"/>
      <c r="Q300" s="8"/>
      <c r="R300" s="28"/>
      <c r="S300" s="28"/>
      <c r="T300" s="8"/>
      <c r="U300" s="8"/>
      <c r="V300" s="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8"/>
      <c r="AI300" s="8"/>
      <c r="AJ300" s="8"/>
      <c r="AK300" s="8"/>
      <c r="AL300" s="8"/>
      <c r="AM300" s="28"/>
      <c r="AN300" s="8"/>
      <c r="AO300" s="8"/>
      <c r="AP300" s="28"/>
      <c r="AQ300" s="28"/>
      <c r="AR300" s="28"/>
    </row>
    <row r="301" spans="1:44" ht="15.75" thickBot="1" x14ac:dyDescent="0.3">
      <c r="A301" t="s">
        <v>359</v>
      </c>
      <c r="B301" s="46" t="s">
        <v>762</v>
      </c>
      <c r="C301" t="s">
        <v>763</v>
      </c>
      <c r="D301" t="s">
        <v>19</v>
      </c>
      <c r="E301" t="s">
        <v>36</v>
      </c>
      <c r="F301"/>
      <c r="G301" t="s">
        <v>249</v>
      </c>
      <c r="H301" s="16">
        <v>-348088620000</v>
      </c>
      <c r="I301" s="16">
        <v>-583035370000</v>
      </c>
      <c r="J301" s="16" t="s">
        <v>1249</v>
      </c>
      <c r="K301" s="17">
        <f t="shared" si="18"/>
        <v>28</v>
      </c>
      <c r="L301" s="17">
        <f t="shared" si="19"/>
        <v>0</v>
      </c>
      <c r="M301" s="18">
        <f t="shared" si="20"/>
        <v>1</v>
      </c>
      <c r="N301" s="28"/>
      <c r="O301" s="8"/>
      <c r="P301" s="8"/>
      <c r="Q301" s="8"/>
      <c r="R301" s="28"/>
      <c r="S301" s="28"/>
      <c r="T301" s="8"/>
      <c r="U301" s="8"/>
      <c r="V301" s="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8"/>
      <c r="AI301" s="8"/>
      <c r="AJ301" s="8"/>
      <c r="AK301" s="8"/>
      <c r="AL301" s="8"/>
      <c r="AM301" s="28"/>
      <c r="AN301" s="8"/>
      <c r="AO301" s="8"/>
      <c r="AP301" s="28"/>
      <c r="AQ301" s="28"/>
      <c r="AR301" s="28"/>
    </row>
    <row r="302" spans="1:44" ht="15.75" thickBot="1" x14ac:dyDescent="0.3">
      <c r="A302" t="s">
        <v>359</v>
      </c>
      <c r="B302" s="46" t="s">
        <v>764</v>
      </c>
      <c r="C302" t="s">
        <v>765</v>
      </c>
      <c r="D302" t="s">
        <v>113</v>
      </c>
      <c r="E302" t="s">
        <v>36</v>
      </c>
      <c r="F302"/>
      <c r="G302" t="s">
        <v>766</v>
      </c>
      <c r="H302" s="16">
        <v>-348105760000</v>
      </c>
      <c r="I302" s="16">
        <v>-583061370000</v>
      </c>
      <c r="J302" s="16" t="s">
        <v>1250</v>
      </c>
      <c r="K302" s="17">
        <f t="shared" si="18"/>
        <v>28</v>
      </c>
      <c r="L302" s="17">
        <f t="shared" si="19"/>
        <v>0</v>
      </c>
      <c r="M302" s="18">
        <f t="shared" si="20"/>
        <v>1</v>
      </c>
      <c r="N302" s="28"/>
      <c r="O302" s="8"/>
      <c r="P302" s="8"/>
      <c r="Q302" s="8"/>
      <c r="R302" s="28"/>
      <c r="S302" s="28"/>
      <c r="T302" s="8"/>
      <c r="U302" s="8"/>
      <c r="V302" s="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8"/>
      <c r="AI302" s="8"/>
      <c r="AJ302" s="8"/>
      <c r="AK302" s="8"/>
      <c r="AL302" s="8"/>
      <c r="AM302" s="28"/>
      <c r="AN302" s="8"/>
      <c r="AO302" s="8"/>
      <c r="AP302" s="28"/>
      <c r="AQ302" s="28"/>
      <c r="AR302" s="28"/>
    </row>
    <row r="303" spans="1:44" ht="15.75" thickBot="1" x14ac:dyDescent="0.3">
      <c r="A303" t="s">
        <v>359</v>
      </c>
      <c r="B303" s="46" t="s">
        <v>767</v>
      </c>
      <c r="C303" t="s">
        <v>765</v>
      </c>
      <c r="D303" t="s">
        <v>113</v>
      </c>
      <c r="E303" t="s">
        <v>36</v>
      </c>
      <c r="F303"/>
      <c r="G303" t="s">
        <v>766</v>
      </c>
      <c r="H303" s="16">
        <v>-348105760000</v>
      </c>
      <c r="I303" s="16">
        <v>-583061370000</v>
      </c>
      <c r="J303" s="16" t="s">
        <v>1251</v>
      </c>
      <c r="K303" s="17">
        <f t="shared" si="18"/>
        <v>28</v>
      </c>
      <c r="L303" s="17">
        <f t="shared" si="19"/>
        <v>0</v>
      </c>
      <c r="M303" s="18">
        <f t="shared" si="20"/>
        <v>1</v>
      </c>
      <c r="N303" s="28"/>
      <c r="O303" s="8"/>
      <c r="P303" s="8"/>
      <c r="Q303" s="8"/>
      <c r="R303" s="28"/>
      <c r="S303" s="28"/>
      <c r="T303" s="8"/>
      <c r="U303" s="8"/>
      <c r="V303" s="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8"/>
      <c r="AI303" s="8"/>
      <c r="AJ303" s="8"/>
      <c r="AK303" s="8"/>
      <c r="AL303" s="8"/>
      <c r="AM303" s="28"/>
      <c r="AN303" s="8"/>
      <c r="AO303" s="8"/>
      <c r="AP303" s="28"/>
      <c r="AQ303" s="28"/>
      <c r="AR303" s="28"/>
    </row>
    <row r="304" spans="1:44" ht="15.75" thickBot="1" x14ac:dyDescent="0.3">
      <c r="A304" t="s">
        <v>359</v>
      </c>
      <c r="B304" s="46" t="s">
        <v>768</v>
      </c>
      <c r="C304" t="s">
        <v>769</v>
      </c>
      <c r="D304" t="s">
        <v>113</v>
      </c>
      <c r="E304" t="s">
        <v>36</v>
      </c>
      <c r="F304"/>
      <c r="G304" t="s">
        <v>770</v>
      </c>
      <c r="H304" s="16">
        <v>-348100750000</v>
      </c>
      <c r="I304" s="16">
        <v>-583065270000</v>
      </c>
      <c r="J304" s="16" t="s">
        <v>1252</v>
      </c>
      <c r="K304" s="17">
        <f t="shared" si="18"/>
        <v>28</v>
      </c>
      <c r="L304" s="17">
        <f t="shared" si="19"/>
        <v>0</v>
      </c>
      <c r="M304" s="18">
        <f t="shared" si="20"/>
        <v>1</v>
      </c>
      <c r="N304" s="28"/>
      <c r="O304" s="8"/>
      <c r="P304" s="8"/>
      <c r="Q304" s="8"/>
      <c r="R304" s="28"/>
      <c r="S304" s="28"/>
      <c r="T304" s="8"/>
      <c r="U304" s="8"/>
      <c r="V304" s="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8"/>
      <c r="AI304" s="8"/>
      <c r="AJ304" s="8"/>
      <c r="AK304" s="8"/>
      <c r="AL304" s="8"/>
      <c r="AM304" s="28"/>
      <c r="AN304" s="8"/>
      <c r="AO304" s="8"/>
      <c r="AP304" s="28"/>
      <c r="AQ304" s="28"/>
      <c r="AR304" s="28"/>
    </row>
    <row r="305" spans="1:44" ht="15.75" thickBot="1" x14ac:dyDescent="0.3">
      <c r="A305" t="s">
        <v>359</v>
      </c>
      <c r="B305" s="46" t="s">
        <v>771</v>
      </c>
      <c r="C305" t="s">
        <v>769</v>
      </c>
      <c r="D305" t="s">
        <v>113</v>
      </c>
      <c r="E305" t="s">
        <v>36</v>
      </c>
      <c r="F305"/>
      <c r="G305" t="s">
        <v>770</v>
      </c>
      <c r="H305" s="16">
        <v>-348100750000</v>
      </c>
      <c r="I305" s="16">
        <v>-583065270000</v>
      </c>
      <c r="J305" s="16" t="s">
        <v>1253</v>
      </c>
      <c r="K305" s="17">
        <f t="shared" si="18"/>
        <v>28</v>
      </c>
      <c r="L305" s="17">
        <f t="shared" si="19"/>
        <v>0</v>
      </c>
      <c r="M305" s="18">
        <f t="shared" si="20"/>
        <v>1</v>
      </c>
      <c r="N305" s="28"/>
      <c r="O305" s="8"/>
      <c r="P305" s="8"/>
      <c r="Q305" s="8"/>
      <c r="R305" s="28"/>
      <c r="S305" s="28"/>
      <c r="T305" s="8"/>
      <c r="U305" s="8"/>
      <c r="V305" s="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8"/>
      <c r="AI305" s="8"/>
      <c r="AJ305" s="8"/>
      <c r="AK305" s="8"/>
      <c r="AL305" s="8"/>
      <c r="AM305" s="28"/>
      <c r="AN305" s="8"/>
      <c r="AO305" s="8"/>
      <c r="AP305" s="28"/>
      <c r="AQ305" s="28"/>
      <c r="AR305" s="28"/>
    </row>
    <row r="306" spans="1:44" ht="15.75" thickBot="1" x14ac:dyDescent="0.3">
      <c r="B306" s="46" t="s">
        <v>772</v>
      </c>
      <c r="C306" t="s">
        <v>773</v>
      </c>
      <c r="D306" t="s">
        <v>19</v>
      </c>
      <c r="E306" t="s">
        <v>948</v>
      </c>
      <c r="F306" t="s">
        <v>186</v>
      </c>
      <c r="G306" t="s">
        <v>774</v>
      </c>
      <c r="H306" s="16">
        <v>-348153800000</v>
      </c>
      <c r="I306" s="16">
        <v>-582706170000</v>
      </c>
      <c r="J306" s="16" t="s">
        <v>1265</v>
      </c>
      <c r="K306" s="17">
        <f t="shared" si="18"/>
        <v>25</v>
      </c>
      <c r="L306" s="17">
        <f t="shared" si="19"/>
        <v>3</v>
      </c>
      <c r="M306" s="18">
        <f t="shared" si="20"/>
        <v>0.8928571428571429</v>
      </c>
      <c r="N306" s="28" t="s">
        <v>942</v>
      </c>
      <c r="O306" s="8" t="s">
        <v>942</v>
      </c>
      <c r="P306" s="8"/>
      <c r="Q306" s="8"/>
      <c r="R306" s="28" t="s">
        <v>942</v>
      </c>
      <c r="S306" s="28"/>
      <c r="T306" s="8"/>
      <c r="U306" s="8"/>
      <c r="V306" s="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8"/>
      <c r="AI306" s="28"/>
      <c r="AJ306" s="8"/>
      <c r="AK306" s="8"/>
      <c r="AL306" s="8"/>
      <c r="AM306" s="28"/>
      <c r="AN306" s="8"/>
      <c r="AO306" s="8"/>
      <c r="AP306" s="28"/>
      <c r="AQ306" s="28"/>
      <c r="AR306" s="28"/>
    </row>
    <row r="307" spans="1:44" ht="15.75" thickBot="1" x14ac:dyDescent="0.3">
      <c r="A307" t="s">
        <v>775</v>
      </c>
      <c r="B307" s="46" t="s">
        <v>776</v>
      </c>
      <c r="C307" t="s">
        <v>777</v>
      </c>
      <c r="D307" t="s">
        <v>24</v>
      </c>
      <c r="E307" t="s">
        <v>948</v>
      </c>
      <c r="F307" t="s">
        <v>186</v>
      </c>
      <c r="G307" t="s">
        <v>778</v>
      </c>
      <c r="H307" s="16">
        <v>-348171860000</v>
      </c>
      <c r="I307" s="16">
        <v>-582741990000</v>
      </c>
      <c r="J307" s="16" t="s">
        <v>1266</v>
      </c>
      <c r="K307" s="17">
        <f t="shared" si="18"/>
        <v>28</v>
      </c>
      <c r="L307" s="17">
        <f t="shared" si="19"/>
        <v>0</v>
      </c>
      <c r="M307" s="18">
        <f t="shared" si="20"/>
        <v>1</v>
      </c>
      <c r="N307" s="28"/>
      <c r="O307" s="8"/>
      <c r="P307" s="8"/>
      <c r="Q307" s="8"/>
      <c r="R307" s="28"/>
      <c r="S307" s="28"/>
      <c r="T307" s="8"/>
      <c r="U307" s="8"/>
      <c r="V307" s="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8"/>
      <c r="AI307" s="8"/>
      <c r="AJ307" s="8"/>
      <c r="AK307" s="8"/>
      <c r="AL307" s="8"/>
      <c r="AM307" s="28"/>
      <c r="AN307" s="8"/>
      <c r="AO307" s="8"/>
      <c r="AP307" s="28"/>
      <c r="AQ307" s="28"/>
      <c r="AR307" s="28"/>
    </row>
    <row r="308" spans="1:44" ht="15.75" thickBot="1" x14ac:dyDescent="0.3">
      <c r="B308" s="46" t="s">
        <v>779</v>
      </c>
      <c r="C308" t="s">
        <v>780</v>
      </c>
      <c r="D308" t="s">
        <v>19</v>
      </c>
      <c r="E308" t="s">
        <v>948</v>
      </c>
      <c r="F308" t="s">
        <v>781</v>
      </c>
      <c r="G308"/>
      <c r="H308" s="16">
        <v>-348129440000</v>
      </c>
      <c r="I308" s="16">
        <v>-582759900000</v>
      </c>
      <c r="J308" s="16" t="s">
        <v>1268</v>
      </c>
      <c r="K308" s="17">
        <f t="shared" si="18"/>
        <v>28</v>
      </c>
      <c r="L308" s="17">
        <f t="shared" si="19"/>
        <v>0</v>
      </c>
      <c r="M308" s="18">
        <f t="shared" si="20"/>
        <v>1</v>
      </c>
      <c r="N308" s="28"/>
      <c r="O308" s="8"/>
      <c r="P308" s="8"/>
      <c r="Q308" s="8"/>
      <c r="R308" s="28"/>
      <c r="S308" s="28"/>
      <c r="T308" s="8"/>
      <c r="U308" s="8"/>
      <c r="V308" s="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8"/>
      <c r="AI308" s="8"/>
      <c r="AJ308" s="8"/>
      <c r="AK308" s="8"/>
      <c r="AL308" s="8"/>
      <c r="AM308" s="28"/>
      <c r="AN308" s="8"/>
      <c r="AO308" s="8"/>
      <c r="AP308" s="28"/>
      <c r="AQ308" s="28"/>
      <c r="AR308" s="28"/>
    </row>
    <row r="309" spans="1:44" ht="15.75" thickBot="1" x14ac:dyDescent="0.3">
      <c r="A309" t="s">
        <v>782</v>
      </c>
      <c r="B309" s="46" t="s">
        <v>783</v>
      </c>
      <c r="C309" t="s">
        <v>784</v>
      </c>
      <c r="D309" t="s">
        <v>19</v>
      </c>
      <c r="E309" t="s">
        <v>948</v>
      </c>
      <c r="F309"/>
      <c r="G309" t="s">
        <v>785</v>
      </c>
      <c r="H309" s="16">
        <v>-348174960000</v>
      </c>
      <c r="I309" s="16">
        <v>-582687670000</v>
      </c>
      <c r="J309" s="16" t="s">
        <v>1269</v>
      </c>
      <c r="K309" s="17">
        <f t="shared" si="18"/>
        <v>28</v>
      </c>
      <c r="L309" s="17">
        <f t="shared" si="19"/>
        <v>0</v>
      </c>
      <c r="M309" s="18">
        <f t="shared" si="20"/>
        <v>1</v>
      </c>
      <c r="N309" s="28"/>
      <c r="O309" s="8"/>
      <c r="P309" s="8"/>
      <c r="Q309" s="8"/>
      <c r="R309" s="28"/>
      <c r="S309" s="28"/>
      <c r="T309" s="8"/>
      <c r="U309" s="8"/>
      <c r="V309" s="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8"/>
      <c r="AI309" s="8"/>
      <c r="AJ309" s="8"/>
      <c r="AK309" s="8"/>
      <c r="AL309" s="8"/>
      <c r="AM309" s="28"/>
      <c r="AN309" s="8"/>
      <c r="AO309" s="8"/>
      <c r="AP309" s="28"/>
      <c r="AQ309" s="28"/>
      <c r="AR309" s="28"/>
    </row>
    <row r="310" spans="1:44" ht="15.75" thickBot="1" x14ac:dyDescent="0.3">
      <c r="A310" t="s">
        <v>782</v>
      </c>
      <c r="B310" s="46" t="s">
        <v>786</v>
      </c>
      <c r="C310" t="s">
        <v>931</v>
      </c>
      <c r="D310" t="s">
        <v>19</v>
      </c>
      <c r="E310" t="s">
        <v>948</v>
      </c>
      <c r="F310"/>
      <c r="G310" t="s">
        <v>30</v>
      </c>
      <c r="H310" s="16">
        <v>-348206040000</v>
      </c>
      <c r="I310" s="16">
        <v>-582725050000</v>
      </c>
      <c r="J310" s="16" t="s">
        <v>1270</v>
      </c>
      <c r="K310" s="17">
        <f t="shared" si="18"/>
        <v>28</v>
      </c>
      <c r="L310" s="17">
        <f t="shared" si="19"/>
        <v>0</v>
      </c>
      <c r="M310" s="18">
        <f t="shared" si="20"/>
        <v>1</v>
      </c>
      <c r="N310" s="28"/>
      <c r="O310" s="8"/>
      <c r="P310" s="8"/>
      <c r="Q310" s="8"/>
      <c r="R310" s="28"/>
      <c r="S310" s="28"/>
      <c r="T310" s="8"/>
      <c r="U310" s="8"/>
      <c r="V310" s="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8"/>
      <c r="AI310" s="8"/>
      <c r="AJ310" s="8"/>
      <c r="AK310" s="8"/>
      <c r="AL310" s="8"/>
      <c r="AM310" s="28"/>
      <c r="AN310" s="8"/>
      <c r="AO310" s="8"/>
      <c r="AP310" s="28"/>
      <c r="AQ310" s="28"/>
      <c r="AR310" s="28"/>
    </row>
    <row r="311" spans="1:44" ht="15.75" thickBot="1" x14ac:dyDescent="0.3">
      <c r="A311" t="s">
        <v>775</v>
      </c>
      <c r="B311" s="46" t="s">
        <v>787</v>
      </c>
      <c r="C311" t="s">
        <v>788</v>
      </c>
      <c r="D311" t="s">
        <v>19</v>
      </c>
      <c r="E311" t="s">
        <v>948</v>
      </c>
      <c r="F311"/>
      <c r="G311" t="s">
        <v>695</v>
      </c>
      <c r="H311" s="16">
        <v>-348117590000</v>
      </c>
      <c r="I311" s="16">
        <v>-582727020000</v>
      </c>
      <c r="J311" s="16" t="s">
        <v>1271</v>
      </c>
      <c r="K311" s="17">
        <f t="shared" si="18"/>
        <v>28</v>
      </c>
      <c r="L311" s="17">
        <f t="shared" si="19"/>
        <v>0</v>
      </c>
      <c r="M311" s="18">
        <f t="shared" si="20"/>
        <v>1</v>
      </c>
      <c r="N311" s="28"/>
      <c r="O311" s="8"/>
      <c r="P311" s="8"/>
      <c r="Q311" s="8"/>
      <c r="R311" s="28"/>
      <c r="S311" s="28"/>
      <c r="T311" s="8"/>
      <c r="U311" s="8"/>
      <c r="V311" s="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8"/>
      <c r="AI311" s="8"/>
      <c r="AJ311" s="8"/>
      <c r="AK311" s="8"/>
      <c r="AL311" s="8"/>
      <c r="AM311" s="28"/>
      <c r="AN311" s="8"/>
      <c r="AO311" s="8"/>
      <c r="AP311" s="28"/>
      <c r="AQ311" s="28"/>
      <c r="AR311" s="28"/>
    </row>
    <row r="312" spans="1:44" ht="15.75" thickBot="1" x14ac:dyDescent="0.3">
      <c r="A312" t="s">
        <v>775</v>
      </c>
      <c r="B312" s="46" t="s">
        <v>789</v>
      </c>
      <c r="C312" t="s">
        <v>790</v>
      </c>
      <c r="D312" t="s">
        <v>19</v>
      </c>
      <c r="E312" t="s">
        <v>25</v>
      </c>
      <c r="F312"/>
      <c r="G312" t="s">
        <v>695</v>
      </c>
      <c r="H312" s="16">
        <v>-348137760000</v>
      </c>
      <c r="I312" s="16">
        <v>-582704960000</v>
      </c>
      <c r="J312" s="16" t="s">
        <v>1272</v>
      </c>
      <c r="K312" s="17">
        <f t="shared" si="18"/>
        <v>28</v>
      </c>
      <c r="L312" s="17">
        <f t="shared" si="19"/>
        <v>0</v>
      </c>
      <c r="M312" s="18">
        <f t="shared" si="20"/>
        <v>1</v>
      </c>
      <c r="N312" s="28"/>
      <c r="O312" s="8"/>
      <c r="P312" s="8"/>
      <c r="Q312" s="8"/>
      <c r="R312" s="28"/>
      <c r="S312" s="28"/>
      <c r="T312" s="8"/>
      <c r="U312" s="8"/>
      <c r="V312" s="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8"/>
      <c r="AI312" s="8"/>
      <c r="AJ312" s="8"/>
      <c r="AK312" s="8"/>
      <c r="AL312" s="8"/>
      <c r="AM312" s="28"/>
      <c r="AN312" s="8"/>
      <c r="AO312" s="8"/>
      <c r="AP312" s="28"/>
      <c r="AQ312" s="28"/>
      <c r="AR312" s="28"/>
    </row>
    <row r="313" spans="1:44" ht="15.75" thickBot="1" x14ac:dyDescent="0.3">
      <c r="A313" t="s">
        <v>782</v>
      </c>
      <c r="B313" s="46" t="s">
        <v>791</v>
      </c>
      <c r="C313" t="s">
        <v>792</v>
      </c>
      <c r="D313" t="s">
        <v>73</v>
      </c>
      <c r="E313" t="s">
        <v>25</v>
      </c>
      <c r="F313"/>
      <c r="G313" t="s">
        <v>308</v>
      </c>
      <c r="H313" s="16">
        <v>-348227100000</v>
      </c>
      <c r="I313" s="16">
        <v>-582764200000</v>
      </c>
      <c r="J313" s="16" t="s">
        <v>1273</v>
      </c>
      <c r="K313" s="17">
        <f t="shared" si="18"/>
        <v>28</v>
      </c>
      <c r="L313" s="17">
        <f t="shared" si="19"/>
        <v>0</v>
      </c>
      <c r="M313" s="18">
        <f t="shared" si="20"/>
        <v>1</v>
      </c>
      <c r="N313" s="28"/>
      <c r="O313" s="8"/>
      <c r="P313" s="8"/>
      <c r="Q313" s="8"/>
      <c r="R313" s="28"/>
      <c r="S313" s="28"/>
      <c r="T313" s="8"/>
      <c r="U313" s="8"/>
      <c r="V313" s="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8"/>
      <c r="AI313" s="8"/>
      <c r="AJ313" s="8"/>
      <c r="AK313" s="8"/>
      <c r="AL313" s="8"/>
      <c r="AM313" s="28"/>
      <c r="AN313" s="8"/>
      <c r="AO313" s="8"/>
      <c r="AP313" s="28"/>
      <c r="AQ313" s="28"/>
      <c r="AR313" s="28"/>
    </row>
    <row r="314" spans="1:44" ht="15.75" thickBot="1" x14ac:dyDescent="0.3">
      <c r="A314" t="s">
        <v>782</v>
      </c>
      <c r="B314" s="46" t="s">
        <v>793</v>
      </c>
      <c r="C314" t="s">
        <v>930</v>
      </c>
      <c r="D314" t="s">
        <v>24</v>
      </c>
      <c r="E314" t="s">
        <v>36</v>
      </c>
      <c r="F314" t="s">
        <v>794</v>
      </c>
      <c r="G314"/>
      <c r="H314" s="16">
        <v>-348197840000</v>
      </c>
      <c r="I314" s="16">
        <v>-582731040000</v>
      </c>
      <c r="J314" s="16" t="s">
        <v>1254</v>
      </c>
      <c r="K314" s="17">
        <f t="shared" si="18"/>
        <v>28</v>
      </c>
      <c r="L314" s="17">
        <f t="shared" si="19"/>
        <v>0</v>
      </c>
      <c r="M314" s="18">
        <f t="shared" si="20"/>
        <v>1</v>
      </c>
      <c r="N314" s="28"/>
      <c r="O314" s="8"/>
      <c r="P314" s="8"/>
      <c r="Q314" s="8"/>
      <c r="R314" s="28"/>
      <c r="S314" s="28"/>
      <c r="T314" s="8"/>
      <c r="U314" s="8"/>
      <c r="V314" s="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8"/>
      <c r="AI314" s="8"/>
      <c r="AJ314" s="8"/>
      <c r="AK314" s="8"/>
      <c r="AL314" s="8"/>
      <c r="AM314" s="28"/>
      <c r="AN314" s="8"/>
      <c r="AO314" s="8"/>
      <c r="AP314" s="28"/>
      <c r="AQ314" s="28"/>
      <c r="AR314" s="28"/>
    </row>
    <row r="315" spans="1:44" ht="15.75" thickBot="1" x14ac:dyDescent="0.3">
      <c r="A315" t="s">
        <v>775</v>
      </c>
      <c r="B315" s="46" t="s">
        <v>795</v>
      </c>
      <c r="C315" t="s">
        <v>929</v>
      </c>
      <c r="D315" t="s">
        <v>24</v>
      </c>
      <c r="E315" t="s">
        <v>36</v>
      </c>
      <c r="F315" t="s">
        <v>186</v>
      </c>
      <c r="G315"/>
      <c r="H315" s="16">
        <v>-348187010000</v>
      </c>
      <c r="I315" s="16">
        <v>-582769880000</v>
      </c>
      <c r="J315" s="16" t="s">
        <v>1255</v>
      </c>
      <c r="K315" s="17">
        <f t="shared" si="18"/>
        <v>28</v>
      </c>
      <c r="L315" s="17">
        <f t="shared" si="19"/>
        <v>0</v>
      </c>
      <c r="M315" s="18">
        <f t="shared" si="20"/>
        <v>1</v>
      </c>
      <c r="N315" s="28"/>
      <c r="O315" s="8"/>
      <c r="P315" s="8"/>
      <c r="Q315" s="8"/>
      <c r="R315" s="28"/>
      <c r="S315" s="28"/>
      <c r="T315" s="8"/>
      <c r="U315" s="8"/>
      <c r="V315" s="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8"/>
      <c r="AI315" s="8"/>
      <c r="AJ315" s="8"/>
      <c r="AK315" s="8"/>
      <c r="AL315" s="8"/>
      <c r="AM315" s="28"/>
      <c r="AN315" s="8"/>
      <c r="AO315" s="8"/>
      <c r="AP315" s="28"/>
      <c r="AQ315" s="28"/>
      <c r="AR315" s="28"/>
    </row>
    <row r="316" spans="1:44" ht="15.75" thickBot="1" x14ac:dyDescent="0.3">
      <c r="A316" t="s">
        <v>775</v>
      </c>
      <c r="B316" s="46" t="s">
        <v>796</v>
      </c>
      <c r="C316" t="s">
        <v>797</v>
      </c>
      <c r="D316" t="s">
        <v>24</v>
      </c>
      <c r="E316" t="s">
        <v>36</v>
      </c>
      <c r="F316" t="s">
        <v>798</v>
      </c>
      <c r="G316"/>
      <c r="H316" s="16">
        <v>-348117420000</v>
      </c>
      <c r="I316" s="16">
        <v>-582744990000</v>
      </c>
      <c r="J316" s="16" t="s">
        <v>1256</v>
      </c>
      <c r="K316" s="17">
        <f t="shared" si="18"/>
        <v>28</v>
      </c>
      <c r="L316" s="17">
        <f t="shared" si="19"/>
        <v>0</v>
      </c>
      <c r="M316" s="18">
        <f t="shared" si="20"/>
        <v>1</v>
      </c>
      <c r="N316" s="28"/>
      <c r="O316" s="8"/>
      <c r="P316" s="8"/>
      <c r="Q316" s="8"/>
      <c r="R316" s="28"/>
      <c r="S316" s="28"/>
      <c r="T316" s="8"/>
      <c r="U316" s="8"/>
      <c r="V316" s="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8"/>
      <c r="AI316" s="8"/>
      <c r="AJ316" s="8"/>
      <c r="AK316" s="8"/>
      <c r="AL316" s="8"/>
      <c r="AM316" s="28"/>
      <c r="AN316" s="8"/>
      <c r="AO316" s="8"/>
      <c r="AP316" s="28"/>
      <c r="AQ316" s="28"/>
      <c r="AR316" s="28"/>
    </row>
    <row r="317" spans="1:44" ht="15.75" thickBot="1" x14ac:dyDescent="0.3">
      <c r="A317" t="s">
        <v>775</v>
      </c>
      <c r="B317" s="46" t="s">
        <v>799</v>
      </c>
      <c r="C317" t="s">
        <v>800</v>
      </c>
      <c r="D317" t="s">
        <v>24</v>
      </c>
      <c r="E317" t="s">
        <v>36</v>
      </c>
      <c r="F317" t="s">
        <v>801</v>
      </c>
      <c r="G317"/>
      <c r="H317" s="16">
        <v>-348115920000</v>
      </c>
      <c r="I317" s="16">
        <v>-582697890000</v>
      </c>
      <c r="J317" s="16" t="s">
        <v>1257</v>
      </c>
      <c r="K317" s="17">
        <f t="shared" si="18"/>
        <v>28</v>
      </c>
      <c r="L317" s="17">
        <f t="shared" si="19"/>
        <v>0</v>
      </c>
      <c r="M317" s="18">
        <f t="shared" si="20"/>
        <v>1</v>
      </c>
      <c r="N317" s="28"/>
      <c r="O317" s="8"/>
      <c r="P317" s="8"/>
      <c r="Q317" s="8"/>
      <c r="R317" s="28"/>
      <c r="S317" s="28"/>
      <c r="T317" s="8"/>
      <c r="U317" s="8"/>
      <c r="V317" s="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8"/>
      <c r="AI317" s="8"/>
      <c r="AJ317" s="8"/>
      <c r="AK317" s="8"/>
      <c r="AL317" s="8"/>
      <c r="AM317" s="28"/>
      <c r="AN317" s="8"/>
      <c r="AO317" s="8"/>
      <c r="AP317" s="28"/>
      <c r="AQ317" s="28"/>
      <c r="AR317" s="28"/>
    </row>
    <row r="318" spans="1:44" ht="15.75" thickBot="1" x14ac:dyDescent="0.3">
      <c r="A318" t="s">
        <v>775</v>
      </c>
      <c r="B318" s="46" t="s">
        <v>802</v>
      </c>
      <c r="C318" t="s">
        <v>803</v>
      </c>
      <c r="D318" t="s">
        <v>24</v>
      </c>
      <c r="E318" t="s">
        <v>25</v>
      </c>
      <c r="F318" t="s">
        <v>804</v>
      </c>
      <c r="G318"/>
      <c r="H318" s="16">
        <v>-348115310000</v>
      </c>
      <c r="I318" s="16">
        <v>-582685340000</v>
      </c>
      <c r="J318" s="16" t="s">
        <v>1258</v>
      </c>
      <c r="K318" s="17">
        <f t="shared" si="18"/>
        <v>28</v>
      </c>
      <c r="L318" s="17">
        <f t="shared" si="19"/>
        <v>0</v>
      </c>
      <c r="M318" s="18">
        <f t="shared" si="20"/>
        <v>1</v>
      </c>
      <c r="N318" s="28"/>
      <c r="O318" s="8"/>
      <c r="P318" s="8"/>
      <c r="Q318" s="8"/>
      <c r="R318" s="28"/>
      <c r="S318" s="28"/>
      <c r="T318" s="8"/>
      <c r="U318" s="8"/>
      <c r="V318" s="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8"/>
      <c r="AI318" s="8"/>
      <c r="AJ318" s="8"/>
      <c r="AK318" s="8"/>
      <c r="AL318" s="8"/>
      <c r="AM318" s="28"/>
      <c r="AN318" s="8"/>
      <c r="AO318" s="8"/>
      <c r="AP318" s="28"/>
      <c r="AQ318" s="28"/>
      <c r="AR318" s="28"/>
    </row>
    <row r="319" spans="1:44" ht="15.75" thickBot="1" x14ac:dyDescent="0.3">
      <c r="A319" t="s">
        <v>775</v>
      </c>
      <c r="B319" s="46" t="s">
        <v>805</v>
      </c>
      <c r="C319" t="s">
        <v>927</v>
      </c>
      <c r="D319" t="s">
        <v>24</v>
      </c>
      <c r="E319" t="s">
        <v>36</v>
      </c>
      <c r="F319" t="s">
        <v>65</v>
      </c>
      <c r="G319"/>
      <c r="H319" s="16">
        <v>-348150260000</v>
      </c>
      <c r="I319" s="16">
        <v>-582775060000</v>
      </c>
      <c r="J319" s="16" t="s">
        <v>1259</v>
      </c>
      <c r="K319" s="17">
        <f t="shared" si="18"/>
        <v>21</v>
      </c>
      <c r="L319" s="17">
        <f t="shared" si="19"/>
        <v>7</v>
      </c>
      <c r="M319" s="18">
        <f t="shared" si="20"/>
        <v>0.75</v>
      </c>
      <c r="N319" s="28" t="s">
        <v>942</v>
      </c>
      <c r="O319" s="8" t="s">
        <v>942</v>
      </c>
      <c r="P319" s="8" t="s">
        <v>942</v>
      </c>
      <c r="Q319" s="8" t="s">
        <v>942</v>
      </c>
      <c r="R319" s="28" t="s">
        <v>942</v>
      </c>
      <c r="S319" s="28" t="s">
        <v>942</v>
      </c>
      <c r="T319" s="8" t="s">
        <v>942</v>
      </c>
      <c r="U319" s="8"/>
      <c r="V319" s="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8"/>
      <c r="AI319" s="28"/>
      <c r="AJ319" s="8"/>
      <c r="AK319" s="8"/>
      <c r="AL319" s="8"/>
      <c r="AM319" s="28"/>
      <c r="AN319" s="8"/>
      <c r="AO319" s="8"/>
      <c r="AP319" s="28"/>
      <c r="AQ319" s="28"/>
      <c r="AR319" s="28"/>
    </row>
    <row r="320" spans="1:44" ht="15.75" thickBot="1" x14ac:dyDescent="0.3">
      <c r="A320" t="s">
        <v>775</v>
      </c>
      <c r="B320" s="46" t="s">
        <v>806</v>
      </c>
      <c r="C320" t="s">
        <v>928</v>
      </c>
      <c r="D320" t="s">
        <v>19</v>
      </c>
      <c r="E320" t="s">
        <v>948</v>
      </c>
      <c r="F320" t="s">
        <v>807</v>
      </c>
      <c r="G320"/>
      <c r="H320" s="16">
        <v>-348119360000</v>
      </c>
      <c r="I320" s="16">
        <v>-582777500000</v>
      </c>
      <c r="J320" s="16" t="s">
        <v>1260</v>
      </c>
      <c r="K320" s="17">
        <f t="shared" si="18"/>
        <v>21</v>
      </c>
      <c r="L320" s="17">
        <f t="shared" si="19"/>
        <v>7</v>
      </c>
      <c r="M320" s="18">
        <f t="shared" si="20"/>
        <v>0.75</v>
      </c>
      <c r="N320" s="28" t="s">
        <v>942</v>
      </c>
      <c r="O320" s="8" t="s">
        <v>942</v>
      </c>
      <c r="P320" s="8" t="s">
        <v>942</v>
      </c>
      <c r="Q320" s="8" t="s">
        <v>942</v>
      </c>
      <c r="R320" s="28" t="s">
        <v>942</v>
      </c>
      <c r="S320" s="28" t="s">
        <v>942</v>
      </c>
      <c r="T320" s="8" t="s">
        <v>942</v>
      </c>
      <c r="U320" s="8"/>
      <c r="V320" s="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8"/>
      <c r="AI320" s="28"/>
      <c r="AJ320" s="8"/>
      <c r="AK320" s="8"/>
      <c r="AL320" s="8"/>
      <c r="AM320" s="28"/>
      <c r="AN320" s="8"/>
      <c r="AO320" s="8"/>
      <c r="AP320" s="28"/>
      <c r="AQ320" s="28"/>
      <c r="AR320" s="28"/>
    </row>
    <row r="321" spans="1:44" ht="15.75" thickBot="1" x14ac:dyDescent="0.3">
      <c r="A321" t="s">
        <v>782</v>
      </c>
      <c r="B321" s="46" t="s">
        <v>808</v>
      </c>
      <c r="C321" t="s">
        <v>809</v>
      </c>
      <c r="D321" t="s">
        <v>24</v>
      </c>
      <c r="E321" t="s">
        <v>36</v>
      </c>
      <c r="F321" t="s">
        <v>162</v>
      </c>
      <c r="G321"/>
      <c r="H321" s="16">
        <v>-348165160000</v>
      </c>
      <c r="I321" s="16">
        <v>-582725140000</v>
      </c>
      <c r="J321" s="16" t="s">
        <v>1261</v>
      </c>
      <c r="K321" s="17">
        <f t="shared" si="18"/>
        <v>28</v>
      </c>
      <c r="L321" s="17">
        <f t="shared" si="19"/>
        <v>0</v>
      </c>
      <c r="M321" s="18">
        <f t="shared" si="20"/>
        <v>1</v>
      </c>
      <c r="N321" s="28"/>
      <c r="O321" s="8"/>
      <c r="P321" s="8"/>
      <c r="Q321" s="8"/>
      <c r="R321" s="28"/>
      <c r="S321" s="28"/>
      <c r="T321" s="8"/>
      <c r="U321" s="8"/>
      <c r="V321" s="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8"/>
      <c r="AI321" s="8"/>
      <c r="AJ321" s="8"/>
      <c r="AK321" s="8"/>
      <c r="AL321" s="8"/>
      <c r="AM321" s="28"/>
      <c r="AN321" s="8"/>
      <c r="AO321" s="8"/>
      <c r="AP321" s="28"/>
      <c r="AQ321" s="28"/>
      <c r="AR321" s="28"/>
    </row>
    <row r="322" spans="1:44" ht="15.75" thickBot="1" x14ac:dyDescent="0.3">
      <c r="A322" t="s">
        <v>782</v>
      </c>
      <c r="B322" s="46" t="s">
        <v>810</v>
      </c>
      <c r="C322" t="s">
        <v>811</v>
      </c>
      <c r="D322" t="s">
        <v>24</v>
      </c>
      <c r="E322" t="s">
        <v>36</v>
      </c>
      <c r="F322" t="s">
        <v>162</v>
      </c>
      <c r="G322" t="s">
        <v>812</v>
      </c>
      <c r="H322" s="16">
        <v>-348159830000</v>
      </c>
      <c r="I322" s="16">
        <v>-582660100000</v>
      </c>
      <c r="J322" s="16" t="s">
        <v>1262</v>
      </c>
      <c r="K322" s="17">
        <f t="shared" si="18"/>
        <v>28</v>
      </c>
      <c r="L322" s="17">
        <f t="shared" si="19"/>
        <v>0</v>
      </c>
      <c r="M322" s="18">
        <f t="shared" si="20"/>
        <v>1</v>
      </c>
      <c r="N322" s="28"/>
      <c r="O322" s="8"/>
      <c r="P322" s="8"/>
      <c r="Q322" s="8"/>
      <c r="R322" s="28"/>
      <c r="S322" s="28"/>
      <c r="T322" s="8"/>
      <c r="U322" s="8"/>
      <c r="V322" s="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8"/>
      <c r="AI322" s="8"/>
      <c r="AJ322" s="8"/>
      <c r="AK322" s="8"/>
      <c r="AL322" s="8"/>
      <c r="AM322" s="28"/>
      <c r="AN322" s="8"/>
      <c r="AO322" s="8"/>
      <c r="AP322" s="28"/>
      <c r="AQ322" s="28"/>
      <c r="AR322" s="28"/>
    </row>
    <row r="323" spans="1:44" ht="15.75" thickBot="1" x14ac:dyDescent="0.3">
      <c r="A323" t="s">
        <v>775</v>
      </c>
      <c r="B323" s="46" t="s">
        <v>813</v>
      </c>
      <c r="C323" t="s">
        <v>814</v>
      </c>
      <c r="D323" t="s">
        <v>24</v>
      </c>
      <c r="E323" t="s">
        <v>36</v>
      </c>
      <c r="F323" t="s">
        <v>162</v>
      </c>
      <c r="G323"/>
      <c r="H323" s="16">
        <v>-348139270000</v>
      </c>
      <c r="I323" s="16">
        <v>-582743600000</v>
      </c>
      <c r="J323" s="16" t="s">
        <v>1263</v>
      </c>
      <c r="K323" s="17">
        <f t="shared" si="18"/>
        <v>28</v>
      </c>
      <c r="L323" s="17">
        <f t="shared" si="19"/>
        <v>0</v>
      </c>
      <c r="M323" s="18">
        <f t="shared" si="20"/>
        <v>1</v>
      </c>
      <c r="N323" s="28"/>
      <c r="O323" s="8"/>
      <c r="P323" s="8"/>
      <c r="Q323" s="8"/>
      <c r="R323" s="28"/>
      <c r="S323" s="28"/>
      <c r="T323" s="8"/>
      <c r="U323" s="8"/>
      <c r="V323" s="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8"/>
      <c r="AI323" s="8"/>
      <c r="AJ323" s="8"/>
      <c r="AK323" s="8"/>
      <c r="AL323" s="8"/>
      <c r="AM323" s="28"/>
      <c r="AN323" s="8"/>
      <c r="AO323" s="8"/>
      <c r="AP323" s="28"/>
      <c r="AQ323" s="28"/>
      <c r="AR323" s="28"/>
    </row>
    <row r="324" spans="1:44" ht="15.75" thickBot="1" x14ac:dyDescent="0.3">
      <c r="A324" t="s">
        <v>782</v>
      </c>
      <c r="B324" s="46" t="s">
        <v>815</v>
      </c>
      <c r="C324" t="s">
        <v>816</v>
      </c>
      <c r="D324" t="s">
        <v>24</v>
      </c>
      <c r="E324" t="s">
        <v>36</v>
      </c>
      <c r="F324" t="s">
        <v>794</v>
      </c>
      <c r="G324"/>
      <c r="H324" s="16">
        <v>-348191940000</v>
      </c>
      <c r="I324" s="16">
        <v>-582720740000</v>
      </c>
      <c r="J324" s="16" t="s">
        <v>1264</v>
      </c>
      <c r="K324" s="17">
        <f t="shared" si="18"/>
        <v>28</v>
      </c>
      <c r="L324" s="17">
        <f t="shared" si="19"/>
        <v>0</v>
      </c>
      <c r="M324" s="18">
        <f t="shared" si="20"/>
        <v>1</v>
      </c>
      <c r="N324" s="28"/>
      <c r="O324" s="8"/>
      <c r="P324" s="8"/>
      <c r="Q324" s="8"/>
      <c r="R324" s="28"/>
      <c r="S324" s="28"/>
      <c r="T324" s="8"/>
      <c r="U324" s="8"/>
      <c r="V324" s="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8"/>
      <c r="AI324" s="8"/>
      <c r="AJ324" s="8"/>
      <c r="AK324" s="8"/>
      <c r="AL324" s="8"/>
      <c r="AM324" s="28"/>
      <c r="AN324" s="8"/>
      <c r="AO324" s="8"/>
      <c r="AP324" s="28"/>
      <c r="AQ324" s="28"/>
      <c r="AR324" s="28"/>
    </row>
    <row r="325" spans="1:44" ht="15.75" thickBot="1" x14ac:dyDescent="0.3">
      <c r="B325" s="46" t="s">
        <v>817</v>
      </c>
      <c r="C325" t="s">
        <v>818</v>
      </c>
      <c r="D325" t="s">
        <v>19</v>
      </c>
      <c r="E325" t="s">
        <v>36</v>
      </c>
      <c r="F325" t="s">
        <v>819</v>
      </c>
      <c r="G325" t="s">
        <v>820</v>
      </c>
      <c r="H325" s="16">
        <v>-348187470000</v>
      </c>
      <c r="I325" s="16">
        <v>-582709000000</v>
      </c>
      <c r="J325" s="16" t="s">
        <v>1267</v>
      </c>
      <c r="K325" s="17">
        <f t="shared" ref="K325:K368" si="21">COUNTIF(N325:AO325,"")</f>
        <v>28</v>
      </c>
      <c r="L325" s="17">
        <f t="shared" ref="L325:L368" si="22">COUNTIF(N325:AO325,"APAGADO")</f>
        <v>0</v>
      </c>
      <c r="M325" s="18">
        <f t="shared" ref="M325:M368" si="23">(K325)/(L325+K325)</f>
        <v>1</v>
      </c>
      <c r="N325" s="28"/>
      <c r="O325" s="8"/>
      <c r="P325" s="8"/>
      <c r="Q325" s="8"/>
      <c r="R325" s="28"/>
      <c r="S325" s="28"/>
      <c r="T325" s="8"/>
      <c r="U325" s="8"/>
      <c r="V325" s="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8"/>
      <c r="AI325" s="8"/>
      <c r="AJ325" s="8"/>
      <c r="AK325" s="8"/>
      <c r="AL325" s="8"/>
      <c r="AM325" s="28"/>
      <c r="AN325" s="8"/>
      <c r="AO325" s="8"/>
      <c r="AP325" s="28"/>
      <c r="AQ325" s="28"/>
      <c r="AR325" s="28"/>
    </row>
    <row r="326" spans="1:44" ht="15.75" thickBot="1" x14ac:dyDescent="0.3">
      <c r="A326" t="s">
        <v>775</v>
      </c>
      <c r="B326" s="46" t="s">
        <v>821</v>
      </c>
      <c r="C326" t="s">
        <v>822</v>
      </c>
      <c r="D326" t="s">
        <v>113</v>
      </c>
      <c r="E326" t="s">
        <v>36</v>
      </c>
      <c r="F326"/>
      <c r="G326" t="s">
        <v>249</v>
      </c>
      <c r="H326" s="16">
        <v>-348138590000</v>
      </c>
      <c r="I326" s="16">
        <v>-582734640000</v>
      </c>
      <c r="J326" s="16" t="s">
        <v>1274</v>
      </c>
      <c r="K326" s="17">
        <f t="shared" si="21"/>
        <v>28</v>
      </c>
      <c r="L326" s="17">
        <f t="shared" si="22"/>
        <v>0</v>
      </c>
      <c r="M326" s="18">
        <f t="shared" si="23"/>
        <v>1</v>
      </c>
      <c r="N326" s="28"/>
      <c r="O326" s="8"/>
      <c r="P326" s="8"/>
      <c r="Q326" s="8"/>
      <c r="R326" s="28"/>
      <c r="S326" s="28"/>
      <c r="T326" s="8"/>
      <c r="U326" s="8"/>
      <c r="V326" s="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8"/>
      <c r="AI326" s="8"/>
      <c r="AJ326" s="8"/>
      <c r="AK326" s="8"/>
      <c r="AL326" s="8"/>
      <c r="AM326" s="28"/>
      <c r="AN326" s="8"/>
      <c r="AO326" s="8"/>
      <c r="AP326" s="28"/>
      <c r="AQ326" s="28"/>
      <c r="AR326" s="28"/>
    </row>
    <row r="327" spans="1:44" ht="15.75" thickBot="1" x14ac:dyDescent="0.3">
      <c r="A327" t="s">
        <v>775</v>
      </c>
      <c r="B327" s="46" t="s">
        <v>823</v>
      </c>
      <c r="C327" t="s">
        <v>822</v>
      </c>
      <c r="D327" t="s">
        <v>113</v>
      </c>
      <c r="E327" t="s">
        <v>36</v>
      </c>
      <c r="F327"/>
      <c r="G327" t="s">
        <v>249</v>
      </c>
      <c r="H327" s="16">
        <v>-348138540000</v>
      </c>
      <c r="I327" s="16">
        <v>-582734290000</v>
      </c>
      <c r="J327" s="16" t="s">
        <v>1275</v>
      </c>
      <c r="K327" s="17">
        <f t="shared" si="21"/>
        <v>28</v>
      </c>
      <c r="L327" s="17">
        <f t="shared" si="22"/>
        <v>0</v>
      </c>
      <c r="M327" s="18">
        <f t="shared" si="23"/>
        <v>1</v>
      </c>
      <c r="N327" s="28"/>
      <c r="O327" s="8"/>
      <c r="P327" s="8"/>
      <c r="Q327" s="8"/>
      <c r="R327" s="28"/>
      <c r="S327" s="28"/>
      <c r="T327" s="8"/>
      <c r="U327" s="8"/>
      <c r="V327" s="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8"/>
      <c r="AI327" s="8"/>
      <c r="AJ327" s="8"/>
      <c r="AK327" s="8"/>
      <c r="AL327" s="8"/>
      <c r="AM327" s="28"/>
      <c r="AN327" s="8"/>
      <c r="AO327" s="8"/>
      <c r="AP327" s="28"/>
      <c r="AQ327" s="28"/>
      <c r="AR327" s="28"/>
    </row>
    <row r="328" spans="1:44" ht="15.75" thickBot="1" x14ac:dyDescent="0.3">
      <c r="A328" t="s">
        <v>775</v>
      </c>
      <c r="B328" s="46" t="s">
        <v>824</v>
      </c>
      <c r="C328" t="s">
        <v>825</v>
      </c>
      <c r="D328" t="s">
        <v>113</v>
      </c>
      <c r="E328" t="s">
        <v>36</v>
      </c>
      <c r="F328"/>
      <c r="G328" t="s">
        <v>301</v>
      </c>
      <c r="H328" s="16">
        <v>-348114320000</v>
      </c>
      <c r="I328" s="16">
        <v>-582778570000</v>
      </c>
      <c r="J328" s="16" t="s">
        <v>1030</v>
      </c>
      <c r="K328" s="17">
        <f t="shared" si="21"/>
        <v>22</v>
      </c>
      <c r="L328" s="17">
        <f t="shared" si="22"/>
        <v>6</v>
      </c>
      <c r="M328" s="18">
        <f t="shared" si="23"/>
        <v>0.7857142857142857</v>
      </c>
      <c r="N328" s="28"/>
      <c r="O328" s="8" t="s">
        <v>942</v>
      </c>
      <c r="P328" s="8" t="s">
        <v>942</v>
      </c>
      <c r="Q328" s="8" t="s">
        <v>942</v>
      </c>
      <c r="R328" s="28" t="s">
        <v>942</v>
      </c>
      <c r="S328" s="28" t="s">
        <v>942</v>
      </c>
      <c r="T328" s="8" t="s">
        <v>942</v>
      </c>
      <c r="U328" s="8"/>
      <c r="V328" s="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8"/>
      <c r="AI328" s="8"/>
      <c r="AJ328" s="8"/>
      <c r="AK328" s="8"/>
      <c r="AL328" s="8"/>
      <c r="AM328" s="28"/>
      <c r="AN328" s="8"/>
      <c r="AO328" s="8"/>
      <c r="AP328" s="28"/>
      <c r="AQ328" s="28"/>
      <c r="AR328" s="28"/>
    </row>
    <row r="329" spans="1:44" ht="15.75" thickBot="1" x14ac:dyDescent="0.3">
      <c r="A329" t="s">
        <v>775</v>
      </c>
      <c r="B329" s="46" t="s">
        <v>826</v>
      </c>
      <c r="C329" t="s">
        <v>825</v>
      </c>
      <c r="D329" t="s">
        <v>113</v>
      </c>
      <c r="E329" t="s">
        <v>36</v>
      </c>
      <c r="F329"/>
      <c r="G329" t="s">
        <v>301</v>
      </c>
      <c r="H329" s="16">
        <v>-348114300000</v>
      </c>
      <c r="I329" s="16">
        <v>-582778730000</v>
      </c>
      <c r="J329" s="16" t="s">
        <v>1276</v>
      </c>
      <c r="K329" s="17">
        <f t="shared" si="21"/>
        <v>22</v>
      </c>
      <c r="L329" s="17">
        <f t="shared" si="22"/>
        <v>6</v>
      </c>
      <c r="M329" s="18">
        <f t="shared" si="23"/>
        <v>0.7857142857142857</v>
      </c>
      <c r="N329" s="28"/>
      <c r="O329" s="8" t="s">
        <v>942</v>
      </c>
      <c r="P329" s="8" t="s">
        <v>942</v>
      </c>
      <c r="Q329" s="8" t="s">
        <v>942</v>
      </c>
      <c r="R329" s="28" t="s">
        <v>942</v>
      </c>
      <c r="S329" s="28" t="s">
        <v>942</v>
      </c>
      <c r="T329" s="8" t="s">
        <v>942</v>
      </c>
      <c r="U329" s="8"/>
      <c r="V329" s="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8"/>
      <c r="AI329" s="8"/>
      <c r="AJ329" s="8"/>
      <c r="AK329" s="8"/>
      <c r="AL329" s="8"/>
      <c r="AM329" s="28"/>
      <c r="AN329" s="8"/>
      <c r="AO329" s="8"/>
      <c r="AP329" s="28"/>
      <c r="AQ329" s="28"/>
      <c r="AR329" s="28"/>
    </row>
    <row r="330" spans="1:44" ht="15.75" thickBot="1" x14ac:dyDescent="0.3">
      <c r="A330" t="s">
        <v>622</v>
      </c>
      <c r="B330" s="46" t="s">
        <v>827</v>
      </c>
      <c r="C330" t="s">
        <v>828</v>
      </c>
      <c r="D330" t="s">
        <v>24</v>
      </c>
      <c r="E330" t="s">
        <v>36</v>
      </c>
      <c r="F330" t="s">
        <v>829</v>
      </c>
      <c r="G330" t="s">
        <v>830</v>
      </c>
      <c r="H330" s="16">
        <v>-347781830000</v>
      </c>
      <c r="I330" s="16">
        <v>-582883670000</v>
      </c>
      <c r="J330" s="16" t="s">
        <v>1283</v>
      </c>
      <c r="K330" s="17">
        <f t="shared" si="21"/>
        <v>28</v>
      </c>
      <c r="L330" s="17">
        <f t="shared" si="22"/>
        <v>0</v>
      </c>
      <c r="M330" s="18">
        <f t="shared" si="23"/>
        <v>1</v>
      </c>
      <c r="N330" s="28"/>
      <c r="O330" s="8"/>
      <c r="P330" s="8"/>
      <c r="Q330" s="8"/>
      <c r="R330" s="28"/>
      <c r="S330" s="28"/>
      <c r="T330" s="8"/>
      <c r="U330" s="8"/>
      <c r="V330" s="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8"/>
      <c r="AI330" s="8"/>
      <c r="AJ330" s="8"/>
      <c r="AK330" s="8"/>
      <c r="AL330" s="8"/>
      <c r="AM330" s="28"/>
      <c r="AN330" s="8"/>
      <c r="AO330" s="8"/>
      <c r="AP330" s="28"/>
      <c r="AQ330" s="28"/>
      <c r="AR330" s="28"/>
    </row>
    <row r="331" spans="1:44" ht="15.75" thickBot="1" x14ac:dyDescent="0.3">
      <c r="A331" t="s">
        <v>622</v>
      </c>
      <c r="B331" s="46" t="s">
        <v>831</v>
      </c>
      <c r="C331" t="s">
        <v>832</v>
      </c>
      <c r="D331" t="s">
        <v>24</v>
      </c>
      <c r="E331" t="s">
        <v>36</v>
      </c>
      <c r="F331" t="s">
        <v>604</v>
      </c>
      <c r="G331"/>
      <c r="H331" s="16">
        <v>-347743850000</v>
      </c>
      <c r="I331" s="16">
        <v>-582816550000</v>
      </c>
      <c r="J331" s="16" t="s">
        <v>1279</v>
      </c>
      <c r="K331" s="17">
        <f t="shared" si="21"/>
        <v>21</v>
      </c>
      <c r="L331" s="17">
        <f t="shared" si="22"/>
        <v>7</v>
      </c>
      <c r="M331" s="18">
        <f t="shared" si="23"/>
        <v>0.75</v>
      </c>
      <c r="N331" s="28" t="s">
        <v>942</v>
      </c>
      <c r="O331" s="8" t="s">
        <v>942</v>
      </c>
      <c r="P331" s="8" t="s">
        <v>942</v>
      </c>
      <c r="Q331" s="8" t="s">
        <v>942</v>
      </c>
      <c r="R331" s="28" t="s">
        <v>942</v>
      </c>
      <c r="S331" s="28" t="s">
        <v>942</v>
      </c>
      <c r="T331" s="8" t="s">
        <v>942</v>
      </c>
      <c r="U331" s="8"/>
      <c r="V331" s="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8"/>
      <c r="AI331" s="28"/>
      <c r="AJ331" s="8"/>
      <c r="AK331" s="8"/>
      <c r="AL331" s="8"/>
      <c r="AM331" s="28"/>
      <c r="AN331" s="8"/>
      <c r="AO331" s="8"/>
      <c r="AP331" s="28"/>
      <c r="AQ331" s="28"/>
      <c r="AR331" s="28"/>
    </row>
    <row r="332" spans="1:44" ht="15.75" thickBot="1" x14ac:dyDescent="0.3">
      <c r="A332" t="s">
        <v>459</v>
      </c>
      <c r="B332" s="46" t="s">
        <v>833</v>
      </c>
      <c r="C332" t="s">
        <v>834</v>
      </c>
      <c r="D332" t="s">
        <v>24</v>
      </c>
      <c r="E332" t="s">
        <v>36</v>
      </c>
      <c r="F332" t="s">
        <v>186</v>
      </c>
      <c r="G332"/>
      <c r="H332" s="16">
        <v>-347773100000</v>
      </c>
      <c r="I332" s="16">
        <v>-582804110000</v>
      </c>
      <c r="J332" s="16" t="s">
        <v>1280</v>
      </c>
      <c r="K332" s="17">
        <f t="shared" si="21"/>
        <v>28</v>
      </c>
      <c r="L332" s="17">
        <f t="shared" si="22"/>
        <v>0</v>
      </c>
      <c r="M332" s="18">
        <f t="shared" si="23"/>
        <v>1</v>
      </c>
      <c r="N332" s="28"/>
      <c r="O332" s="8"/>
      <c r="P332" s="8"/>
      <c r="Q332" s="8"/>
      <c r="R332" s="28"/>
      <c r="S332" s="28"/>
      <c r="T332" s="8"/>
      <c r="U332" s="8"/>
      <c r="V332" s="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8"/>
      <c r="AI332" s="8"/>
      <c r="AJ332" s="8"/>
      <c r="AK332" s="8"/>
      <c r="AL332" s="8"/>
      <c r="AM332" s="28"/>
      <c r="AN332" s="8"/>
      <c r="AO332" s="8"/>
      <c r="AP332" s="28"/>
      <c r="AQ332" s="28"/>
      <c r="AR332" s="28"/>
    </row>
    <row r="333" spans="1:44" ht="15.75" thickBot="1" x14ac:dyDescent="0.3">
      <c r="A333" t="s">
        <v>622</v>
      </c>
      <c r="B333" s="46" t="s">
        <v>835</v>
      </c>
      <c r="C333" t="s">
        <v>836</v>
      </c>
      <c r="D333" t="s">
        <v>113</v>
      </c>
      <c r="E333" t="s">
        <v>36</v>
      </c>
      <c r="F333"/>
      <c r="G333" t="s">
        <v>249</v>
      </c>
      <c r="H333" s="16">
        <v>-347807260000</v>
      </c>
      <c r="I333" s="16">
        <v>-582820830000</v>
      </c>
      <c r="J333" s="16" t="s">
        <v>1277</v>
      </c>
      <c r="K333" s="17">
        <f t="shared" si="21"/>
        <v>28</v>
      </c>
      <c r="L333" s="17">
        <f t="shared" si="22"/>
        <v>0</v>
      </c>
      <c r="M333" s="18">
        <f t="shared" si="23"/>
        <v>1</v>
      </c>
      <c r="N333" s="28"/>
      <c r="O333" s="8"/>
      <c r="P333" s="8"/>
      <c r="Q333" s="8"/>
      <c r="R333" s="28"/>
      <c r="S333" s="28"/>
      <c r="T333" s="8"/>
      <c r="U333" s="8"/>
      <c r="V333" s="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8"/>
      <c r="AI333" s="8"/>
      <c r="AJ333" s="8"/>
      <c r="AK333" s="8"/>
      <c r="AL333" s="8"/>
      <c r="AM333" s="28"/>
      <c r="AN333" s="8"/>
      <c r="AO333" s="8"/>
      <c r="AP333" s="28"/>
      <c r="AQ333" s="28"/>
      <c r="AR333" s="28"/>
    </row>
    <row r="334" spans="1:44" ht="15.75" thickBot="1" x14ac:dyDescent="0.3">
      <c r="A334" t="s">
        <v>622</v>
      </c>
      <c r="B334" s="46" t="s">
        <v>837</v>
      </c>
      <c r="C334" t="s">
        <v>836</v>
      </c>
      <c r="D334" t="s">
        <v>113</v>
      </c>
      <c r="E334" t="s">
        <v>36</v>
      </c>
      <c r="F334"/>
      <c r="G334" t="s">
        <v>249</v>
      </c>
      <c r="H334" s="16">
        <v>-347807260000</v>
      </c>
      <c r="I334" s="16">
        <v>-582820830000</v>
      </c>
      <c r="J334" s="16" t="s">
        <v>1278</v>
      </c>
      <c r="K334" s="17">
        <f t="shared" si="21"/>
        <v>28</v>
      </c>
      <c r="L334" s="17">
        <f t="shared" si="22"/>
        <v>0</v>
      </c>
      <c r="M334" s="18">
        <f t="shared" si="23"/>
        <v>1</v>
      </c>
      <c r="N334" s="28"/>
      <c r="O334" s="8"/>
      <c r="P334" s="8"/>
      <c r="Q334" s="8"/>
      <c r="R334" s="28"/>
      <c r="S334" s="28"/>
      <c r="T334" s="8"/>
      <c r="U334" s="8"/>
      <c r="V334" s="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8"/>
      <c r="AI334" s="8"/>
      <c r="AJ334" s="8"/>
      <c r="AK334" s="8"/>
      <c r="AL334" s="8"/>
      <c r="AM334" s="28"/>
      <c r="AN334" s="8"/>
      <c r="AO334" s="8"/>
      <c r="AP334" s="28"/>
      <c r="AQ334" s="28"/>
      <c r="AR334" s="28"/>
    </row>
    <row r="335" spans="1:44" ht="15.75" thickBot="1" x14ac:dyDescent="0.3">
      <c r="A335" t="s">
        <v>622</v>
      </c>
      <c r="B335" s="46" t="s">
        <v>838</v>
      </c>
      <c r="C335" t="s">
        <v>839</v>
      </c>
      <c r="D335" t="s">
        <v>113</v>
      </c>
      <c r="E335" t="s">
        <v>36</v>
      </c>
      <c r="F335" t="s">
        <v>840</v>
      </c>
      <c r="G335" t="s">
        <v>830</v>
      </c>
      <c r="H335" s="16">
        <v>-347798010000</v>
      </c>
      <c r="I335" s="16">
        <v>-582870530000</v>
      </c>
      <c r="J335" s="16" t="s">
        <v>1281</v>
      </c>
      <c r="K335" s="17">
        <f t="shared" si="21"/>
        <v>28</v>
      </c>
      <c r="L335" s="17">
        <f t="shared" si="22"/>
        <v>0</v>
      </c>
      <c r="M335" s="18">
        <f t="shared" si="23"/>
        <v>1</v>
      </c>
      <c r="N335" s="28"/>
      <c r="O335" s="8"/>
      <c r="P335" s="8"/>
      <c r="Q335" s="8"/>
      <c r="R335" s="28"/>
      <c r="S335" s="28"/>
      <c r="T335" s="8"/>
      <c r="U335" s="8"/>
      <c r="V335" s="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8"/>
      <c r="AI335" s="8"/>
      <c r="AJ335" s="8"/>
      <c r="AK335" s="8"/>
      <c r="AL335" s="8"/>
      <c r="AM335" s="28"/>
      <c r="AN335" s="8"/>
      <c r="AO335" s="8"/>
      <c r="AP335" s="28"/>
      <c r="AQ335" s="28"/>
      <c r="AR335" s="28"/>
    </row>
    <row r="336" spans="1:44" ht="15.75" thickBot="1" x14ac:dyDescent="0.3">
      <c r="A336" t="s">
        <v>622</v>
      </c>
      <c r="B336" s="46" t="s">
        <v>841</v>
      </c>
      <c r="C336" t="s">
        <v>839</v>
      </c>
      <c r="D336" t="s">
        <v>113</v>
      </c>
      <c r="E336" t="s">
        <v>36</v>
      </c>
      <c r="F336" t="s">
        <v>840</v>
      </c>
      <c r="G336" t="s">
        <v>830</v>
      </c>
      <c r="H336" s="16">
        <v>-347797690000</v>
      </c>
      <c r="I336" s="16">
        <v>-582869910000</v>
      </c>
      <c r="J336" s="16" t="s">
        <v>1282</v>
      </c>
      <c r="K336" s="17">
        <f t="shared" si="21"/>
        <v>28</v>
      </c>
      <c r="L336" s="17">
        <f t="shared" si="22"/>
        <v>0</v>
      </c>
      <c r="M336" s="18">
        <f t="shared" si="23"/>
        <v>1</v>
      </c>
      <c r="N336" s="28"/>
      <c r="O336" s="8"/>
      <c r="P336" s="8"/>
      <c r="Q336" s="8"/>
      <c r="R336" s="28"/>
      <c r="S336" s="28"/>
      <c r="T336" s="8"/>
      <c r="U336" s="8"/>
      <c r="V336" s="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8"/>
      <c r="AI336" s="8"/>
      <c r="AJ336" s="8"/>
      <c r="AK336" s="8"/>
      <c r="AL336" s="8"/>
      <c r="AM336" s="28"/>
      <c r="AN336" s="8"/>
      <c r="AO336" s="8"/>
      <c r="AP336" s="28"/>
      <c r="AQ336" s="28"/>
      <c r="AR336" s="28"/>
    </row>
    <row r="337" spans="1:44" ht="15.75" thickBot="1" x14ac:dyDescent="0.3">
      <c r="A337" t="s">
        <v>622</v>
      </c>
      <c r="B337" s="46" t="s">
        <v>842</v>
      </c>
      <c r="C337" t="s">
        <v>843</v>
      </c>
      <c r="D337" t="s">
        <v>19</v>
      </c>
      <c r="E337" t="s">
        <v>36</v>
      </c>
      <c r="F337"/>
      <c r="G337" t="s">
        <v>256</v>
      </c>
      <c r="H337" s="16">
        <v>-347753360000</v>
      </c>
      <c r="I337" s="16">
        <v>-582834130000</v>
      </c>
      <c r="J337" s="16" t="s">
        <v>1284</v>
      </c>
      <c r="K337" s="17">
        <f t="shared" si="21"/>
        <v>28</v>
      </c>
      <c r="L337" s="17">
        <f t="shared" si="22"/>
        <v>0</v>
      </c>
      <c r="M337" s="18">
        <f t="shared" si="23"/>
        <v>1</v>
      </c>
      <c r="N337" s="28"/>
      <c r="O337" s="8"/>
      <c r="P337" s="8"/>
      <c r="Q337" s="8"/>
      <c r="R337" s="28"/>
      <c r="S337" s="28"/>
      <c r="T337" s="8"/>
      <c r="U337" s="8"/>
      <c r="V337" s="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8"/>
      <c r="AI337" s="8"/>
      <c r="AJ337" s="8"/>
      <c r="AK337" s="8"/>
      <c r="AL337" s="8"/>
      <c r="AM337" s="28"/>
      <c r="AN337" s="8"/>
      <c r="AO337" s="8"/>
      <c r="AP337" s="28"/>
      <c r="AQ337" s="28"/>
      <c r="AR337" s="28"/>
    </row>
    <row r="338" spans="1:44" ht="15.75" thickBot="1" x14ac:dyDescent="0.3">
      <c r="A338" t="s">
        <v>733</v>
      </c>
      <c r="B338" s="46" t="s">
        <v>844</v>
      </c>
      <c r="C338" t="s">
        <v>845</v>
      </c>
      <c r="D338" t="s">
        <v>24</v>
      </c>
      <c r="E338" t="s">
        <v>36</v>
      </c>
      <c r="F338" t="s">
        <v>368</v>
      </c>
      <c r="G338"/>
      <c r="H338" s="16">
        <v>-347957790000</v>
      </c>
      <c r="I338" s="16">
        <v>-582557990000</v>
      </c>
      <c r="J338" s="16" t="s">
        <v>1285</v>
      </c>
      <c r="K338" s="17">
        <f t="shared" si="21"/>
        <v>28</v>
      </c>
      <c r="L338" s="17">
        <f t="shared" si="22"/>
        <v>0</v>
      </c>
      <c r="M338" s="18">
        <f t="shared" si="23"/>
        <v>1</v>
      </c>
      <c r="N338" s="28"/>
      <c r="O338" s="8"/>
      <c r="P338" s="8"/>
      <c r="Q338" s="8"/>
      <c r="R338" s="28"/>
      <c r="S338" s="28"/>
      <c r="T338" s="8"/>
      <c r="U338" s="8"/>
      <c r="V338" s="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8"/>
      <c r="AI338" s="8"/>
      <c r="AJ338" s="8"/>
      <c r="AK338" s="8"/>
      <c r="AL338" s="8"/>
      <c r="AM338" s="28"/>
      <c r="AN338" s="8"/>
      <c r="AO338" s="8"/>
      <c r="AP338" s="28"/>
      <c r="AQ338" s="28"/>
      <c r="AR338" s="28"/>
    </row>
    <row r="339" spans="1:44" ht="15.75" thickBot="1" x14ac:dyDescent="0.3">
      <c r="A339" t="s">
        <v>733</v>
      </c>
      <c r="B339" s="46" t="s">
        <v>846</v>
      </c>
      <c r="C339" t="s">
        <v>847</v>
      </c>
      <c r="D339" t="s">
        <v>24</v>
      </c>
      <c r="E339" t="s">
        <v>25</v>
      </c>
      <c r="F339" t="s">
        <v>65</v>
      </c>
      <c r="G339" t="s">
        <v>848</v>
      </c>
      <c r="H339" s="16">
        <v>-347986250000</v>
      </c>
      <c r="I339" s="16">
        <v>-582551820000</v>
      </c>
      <c r="J339" s="16" t="s">
        <v>1286</v>
      </c>
      <c r="K339" s="17">
        <f t="shared" si="21"/>
        <v>28</v>
      </c>
      <c r="L339" s="17">
        <f t="shared" si="22"/>
        <v>0</v>
      </c>
      <c r="M339" s="18">
        <f t="shared" si="23"/>
        <v>1</v>
      </c>
      <c r="N339" s="28"/>
      <c r="O339" s="8"/>
      <c r="P339" s="8"/>
      <c r="Q339" s="8"/>
      <c r="R339" s="28"/>
      <c r="S339" s="28"/>
      <c r="T339" s="8"/>
      <c r="U339" s="8"/>
      <c r="V339" s="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8"/>
      <c r="AI339" s="8"/>
      <c r="AJ339" s="8"/>
      <c r="AK339" s="8"/>
      <c r="AL339" s="8"/>
      <c r="AM339" s="28"/>
      <c r="AN339" s="8"/>
      <c r="AO339" s="8"/>
      <c r="AP339" s="28"/>
      <c r="AQ339" s="28"/>
      <c r="AR339" s="28"/>
    </row>
    <row r="340" spans="1:44" ht="15.75" thickBot="1" x14ac:dyDescent="0.3">
      <c r="A340" t="s">
        <v>733</v>
      </c>
      <c r="B340" s="46" t="s">
        <v>849</v>
      </c>
      <c r="C340" t="s">
        <v>850</v>
      </c>
      <c r="D340" t="s">
        <v>24</v>
      </c>
      <c r="E340" t="s">
        <v>25</v>
      </c>
      <c r="F340" t="s">
        <v>162</v>
      </c>
      <c r="G340"/>
      <c r="H340" s="16">
        <v>-348016910000</v>
      </c>
      <c r="I340" s="16">
        <v>-582610020000</v>
      </c>
      <c r="J340" s="16" t="s">
        <v>1287</v>
      </c>
      <c r="K340" s="17">
        <f t="shared" si="21"/>
        <v>28</v>
      </c>
      <c r="L340" s="17">
        <f t="shared" si="22"/>
        <v>0</v>
      </c>
      <c r="M340" s="18">
        <f t="shared" si="23"/>
        <v>1</v>
      </c>
      <c r="N340" s="28"/>
      <c r="O340" s="8"/>
      <c r="P340" s="8"/>
      <c r="Q340" s="8"/>
      <c r="R340" s="28"/>
      <c r="S340" s="28"/>
      <c r="T340" s="8"/>
      <c r="U340" s="8"/>
      <c r="V340" s="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8"/>
      <c r="AI340" s="8"/>
      <c r="AJ340" s="8"/>
      <c r="AK340" s="8"/>
      <c r="AL340" s="8"/>
      <c r="AM340" s="28"/>
      <c r="AN340" s="8"/>
      <c r="AO340" s="8"/>
      <c r="AP340" s="28"/>
      <c r="AQ340" s="28"/>
      <c r="AR340" s="28"/>
    </row>
    <row r="341" spans="1:44" ht="15.75" thickBot="1" x14ac:dyDescent="0.3">
      <c r="A341" t="s">
        <v>733</v>
      </c>
      <c r="B341" s="46" t="s">
        <v>851</v>
      </c>
      <c r="C341" t="s">
        <v>852</v>
      </c>
      <c r="D341" t="s">
        <v>24</v>
      </c>
      <c r="E341" t="s">
        <v>948</v>
      </c>
      <c r="F341" t="s">
        <v>65</v>
      </c>
      <c r="G341"/>
      <c r="H341" s="16">
        <v>-347937530000</v>
      </c>
      <c r="I341" s="16">
        <v>-582478490000</v>
      </c>
      <c r="J341" s="16" t="s">
        <v>1288</v>
      </c>
      <c r="K341" s="17">
        <f t="shared" si="21"/>
        <v>28</v>
      </c>
      <c r="L341" s="17">
        <f t="shared" si="22"/>
        <v>0</v>
      </c>
      <c r="M341" s="18">
        <f t="shared" si="23"/>
        <v>1</v>
      </c>
      <c r="N341" s="28"/>
      <c r="O341" s="8"/>
      <c r="P341" s="8"/>
      <c r="Q341" s="8"/>
      <c r="R341" s="28"/>
      <c r="S341" s="28"/>
      <c r="T341" s="8"/>
      <c r="U341" s="8"/>
      <c r="V341" s="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8"/>
      <c r="AI341" s="8"/>
      <c r="AJ341" s="8"/>
      <c r="AK341" s="8"/>
      <c r="AL341" s="8"/>
      <c r="AM341" s="28"/>
      <c r="AN341" s="8"/>
      <c r="AO341" s="8"/>
      <c r="AP341" s="28"/>
      <c r="AQ341" s="28"/>
      <c r="AR341" s="28"/>
    </row>
    <row r="342" spans="1:44" ht="15.75" thickBot="1" x14ac:dyDescent="0.3">
      <c r="A342" t="s">
        <v>727</v>
      </c>
      <c r="B342" s="46" t="s">
        <v>853</v>
      </c>
      <c r="C342" t="s">
        <v>854</v>
      </c>
      <c r="D342" t="s">
        <v>24</v>
      </c>
      <c r="E342" t="s">
        <v>25</v>
      </c>
      <c r="F342" t="s">
        <v>855</v>
      </c>
      <c r="G342"/>
      <c r="H342" s="16">
        <v>-347994440000</v>
      </c>
      <c r="I342" s="16">
        <v>-582627080000</v>
      </c>
      <c r="J342" s="16" t="s">
        <v>1289</v>
      </c>
      <c r="K342" s="17">
        <f t="shared" si="21"/>
        <v>28</v>
      </c>
      <c r="L342" s="17">
        <f t="shared" si="22"/>
        <v>0</v>
      </c>
      <c r="M342" s="18">
        <f t="shared" si="23"/>
        <v>1</v>
      </c>
      <c r="N342" s="28"/>
      <c r="O342" s="8"/>
      <c r="P342" s="8"/>
      <c r="Q342" s="8"/>
      <c r="R342" s="28"/>
      <c r="S342" s="28"/>
      <c r="T342" s="8"/>
      <c r="U342" s="8"/>
      <c r="V342" s="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8"/>
      <c r="AI342" s="8"/>
      <c r="AJ342" s="8"/>
      <c r="AK342" s="8"/>
      <c r="AL342" s="8"/>
      <c r="AM342" s="28"/>
      <c r="AN342" s="8"/>
      <c r="AO342" s="8"/>
      <c r="AP342" s="28"/>
      <c r="AQ342" s="28"/>
      <c r="AR342" s="28"/>
    </row>
    <row r="343" spans="1:44" ht="15.75" thickBot="1" x14ac:dyDescent="0.3">
      <c r="A343" t="s">
        <v>856</v>
      </c>
      <c r="B343" s="46" t="s">
        <v>857</v>
      </c>
      <c r="C343" t="s">
        <v>858</v>
      </c>
      <c r="D343" t="s">
        <v>19</v>
      </c>
      <c r="E343" t="s">
        <v>36</v>
      </c>
      <c r="F343"/>
      <c r="G343" t="s">
        <v>342</v>
      </c>
      <c r="H343" s="16">
        <v>-348374820000</v>
      </c>
      <c r="I343" s="16">
        <v>-582378510000</v>
      </c>
      <c r="J343" s="16" t="s">
        <v>1290</v>
      </c>
      <c r="K343" s="17">
        <f t="shared" si="21"/>
        <v>28</v>
      </c>
      <c r="L343" s="17">
        <f t="shared" si="22"/>
        <v>0</v>
      </c>
      <c r="M343" s="18">
        <f t="shared" si="23"/>
        <v>1</v>
      </c>
      <c r="N343" s="28"/>
      <c r="O343" s="8"/>
      <c r="P343" s="8"/>
      <c r="Q343" s="8"/>
      <c r="R343" s="28"/>
      <c r="S343" s="28"/>
      <c r="T343" s="8"/>
      <c r="U343" s="8"/>
      <c r="V343" s="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8"/>
      <c r="AI343" s="8"/>
      <c r="AJ343" s="8"/>
      <c r="AK343" s="8"/>
      <c r="AL343" s="8"/>
      <c r="AM343" s="28"/>
      <c r="AN343" s="8"/>
      <c r="AO343" s="8"/>
      <c r="AP343" s="28"/>
      <c r="AQ343" s="28"/>
      <c r="AR343" s="28"/>
    </row>
    <row r="344" spans="1:44" ht="15.75" thickBot="1" x14ac:dyDescent="0.3">
      <c r="A344" t="s">
        <v>856</v>
      </c>
      <c r="B344" s="46" t="s">
        <v>859</v>
      </c>
      <c r="C344" t="s">
        <v>860</v>
      </c>
      <c r="D344" t="s">
        <v>19</v>
      </c>
      <c r="E344" t="s">
        <v>36</v>
      </c>
      <c r="F344"/>
      <c r="G344" t="s">
        <v>342</v>
      </c>
      <c r="H344" s="16">
        <v>-348349880000</v>
      </c>
      <c r="I344" s="16">
        <v>-582351700000</v>
      </c>
      <c r="J344" s="16" t="s">
        <v>1291</v>
      </c>
      <c r="K344" s="17">
        <f t="shared" si="21"/>
        <v>28</v>
      </c>
      <c r="L344" s="17">
        <f t="shared" si="22"/>
        <v>0</v>
      </c>
      <c r="M344" s="18">
        <f t="shared" si="23"/>
        <v>1</v>
      </c>
      <c r="N344" s="28"/>
      <c r="O344" s="8"/>
      <c r="P344" s="8"/>
      <c r="Q344" s="8"/>
      <c r="R344" s="28"/>
      <c r="S344" s="28"/>
      <c r="T344" s="8"/>
      <c r="U344" s="8"/>
      <c r="V344" s="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8"/>
      <c r="AI344" s="8"/>
      <c r="AJ344" s="8"/>
      <c r="AK344" s="8"/>
      <c r="AL344" s="8"/>
      <c r="AM344" s="28"/>
      <c r="AN344" s="8"/>
      <c r="AO344" s="8"/>
      <c r="AP344" s="28"/>
      <c r="AQ344" s="28"/>
      <c r="AR344" s="28"/>
    </row>
    <row r="345" spans="1:44" ht="15.75" thickBot="1" x14ac:dyDescent="0.3">
      <c r="A345" t="s">
        <v>856</v>
      </c>
      <c r="B345" s="46" t="s">
        <v>861</v>
      </c>
      <c r="C345" t="s">
        <v>862</v>
      </c>
      <c r="D345" t="s">
        <v>113</v>
      </c>
      <c r="E345" t="s">
        <v>36</v>
      </c>
      <c r="F345"/>
      <c r="G345" t="s">
        <v>249</v>
      </c>
      <c r="H345" s="16">
        <v>-348382350000</v>
      </c>
      <c r="I345" s="16">
        <v>-582372950000</v>
      </c>
      <c r="J345" s="16" t="s">
        <v>1292</v>
      </c>
      <c r="K345" s="17">
        <f t="shared" si="21"/>
        <v>21</v>
      </c>
      <c r="L345" s="17">
        <f t="shared" si="22"/>
        <v>7</v>
      </c>
      <c r="M345" s="18">
        <f t="shared" si="23"/>
        <v>0.75</v>
      </c>
      <c r="N345" s="28" t="s">
        <v>942</v>
      </c>
      <c r="O345" s="8" t="s">
        <v>942</v>
      </c>
      <c r="P345" s="8" t="s">
        <v>942</v>
      </c>
      <c r="Q345" s="8" t="s">
        <v>942</v>
      </c>
      <c r="R345" s="28" t="s">
        <v>942</v>
      </c>
      <c r="S345" s="28" t="s">
        <v>942</v>
      </c>
      <c r="T345" s="8" t="s">
        <v>942</v>
      </c>
      <c r="U345" s="8"/>
      <c r="V345" s="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8"/>
      <c r="AI345" s="28"/>
      <c r="AJ345" s="8"/>
      <c r="AK345" s="8"/>
      <c r="AL345" s="8"/>
      <c r="AM345" s="28"/>
      <c r="AN345" s="8"/>
      <c r="AO345" s="8"/>
      <c r="AP345" s="28"/>
      <c r="AQ345" s="28"/>
      <c r="AR345" s="28"/>
    </row>
    <row r="346" spans="1:44" ht="15.75" thickBot="1" x14ac:dyDescent="0.3">
      <c r="A346" t="s">
        <v>856</v>
      </c>
      <c r="B346" s="46" t="s">
        <v>863</v>
      </c>
      <c r="C346" t="s">
        <v>862</v>
      </c>
      <c r="D346" t="s">
        <v>113</v>
      </c>
      <c r="E346" t="s">
        <v>36</v>
      </c>
      <c r="F346"/>
      <c r="G346" t="s">
        <v>249</v>
      </c>
      <c r="H346" s="16">
        <v>-348382440000</v>
      </c>
      <c r="I346" s="16">
        <v>-582373030000</v>
      </c>
      <c r="J346" s="16" t="s">
        <v>1293</v>
      </c>
      <c r="K346" s="17">
        <f t="shared" si="21"/>
        <v>21</v>
      </c>
      <c r="L346" s="17">
        <f t="shared" si="22"/>
        <v>7</v>
      </c>
      <c r="M346" s="18">
        <f t="shared" si="23"/>
        <v>0.75</v>
      </c>
      <c r="N346" s="28" t="s">
        <v>942</v>
      </c>
      <c r="O346" s="8" t="s">
        <v>942</v>
      </c>
      <c r="P346" s="8" t="s">
        <v>942</v>
      </c>
      <c r="Q346" s="8" t="s">
        <v>942</v>
      </c>
      <c r="R346" s="28" t="s">
        <v>942</v>
      </c>
      <c r="S346" s="28" t="s">
        <v>942</v>
      </c>
      <c r="T346" s="8" t="s">
        <v>942</v>
      </c>
      <c r="U346" s="8"/>
      <c r="V346" s="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8"/>
      <c r="AI346" s="28"/>
      <c r="AJ346" s="8"/>
      <c r="AK346" s="8"/>
      <c r="AL346" s="8"/>
      <c r="AM346" s="28"/>
      <c r="AN346" s="8"/>
      <c r="AO346" s="8"/>
      <c r="AP346" s="28"/>
      <c r="AQ346" s="28"/>
      <c r="AR346" s="28"/>
    </row>
    <row r="347" spans="1:44" ht="15.75" thickBot="1" x14ac:dyDescent="0.3">
      <c r="A347" t="s">
        <v>864</v>
      </c>
      <c r="B347" s="46" t="s">
        <v>865</v>
      </c>
      <c r="C347" t="s">
        <v>866</v>
      </c>
      <c r="D347" t="s">
        <v>113</v>
      </c>
      <c r="E347" t="s">
        <v>36</v>
      </c>
      <c r="F347"/>
      <c r="G347" t="s">
        <v>867</v>
      </c>
      <c r="H347" s="16">
        <v>-348173980000</v>
      </c>
      <c r="I347" s="16">
        <v>-582515460000</v>
      </c>
      <c r="J347" s="16" t="s">
        <v>1294</v>
      </c>
      <c r="K347" s="17">
        <f t="shared" si="21"/>
        <v>21</v>
      </c>
      <c r="L347" s="17">
        <f t="shared" si="22"/>
        <v>7</v>
      </c>
      <c r="M347" s="18">
        <f t="shared" si="23"/>
        <v>0.75</v>
      </c>
      <c r="N347" s="28" t="s">
        <v>942</v>
      </c>
      <c r="O347" s="8" t="s">
        <v>942</v>
      </c>
      <c r="P347" s="8" t="s">
        <v>942</v>
      </c>
      <c r="Q347" s="8" t="s">
        <v>942</v>
      </c>
      <c r="R347" s="28" t="s">
        <v>942</v>
      </c>
      <c r="S347" s="28" t="s">
        <v>942</v>
      </c>
      <c r="T347" s="8" t="s">
        <v>942</v>
      </c>
      <c r="U347" s="8"/>
      <c r="V347" s="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8"/>
      <c r="AI347" s="28"/>
      <c r="AJ347" s="8"/>
      <c r="AK347" s="8"/>
      <c r="AL347" s="8"/>
      <c r="AM347" s="28"/>
      <c r="AN347" s="8"/>
      <c r="AO347" s="8"/>
      <c r="AP347" s="28"/>
      <c r="AQ347" s="28"/>
      <c r="AR347" s="28"/>
    </row>
    <row r="348" spans="1:44" ht="15.75" thickBot="1" x14ac:dyDescent="0.3">
      <c r="A348" t="s">
        <v>864</v>
      </c>
      <c r="B348" s="46" t="s">
        <v>868</v>
      </c>
      <c r="C348" t="s">
        <v>869</v>
      </c>
      <c r="D348" t="s">
        <v>19</v>
      </c>
      <c r="E348" t="s">
        <v>36</v>
      </c>
      <c r="F348"/>
      <c r="G348" t="s">
        <v>249</v>
      </c>
      <c r="H348" s="16">
        <v>-348108560000</v>
      </c>
      <c r="I348" s="16">
        <v>-582592810000</v>
      </c>
      <c r="J348" s="16" t="s">
        <v>1295</v>
      </c>
      <c r="K348" s="17">
        <f t="shared" si="21"/>
        <v>22</v>
      </c>
      <c r="L348" s="17">
        <f t="shared" si="22"/>
        <v>6</v>
      </c>
      <c r="M348" s="18">
        <f t="shared" si="23"/>
        <v>0.7857142857142857</v>
      </c>
      <c r="N348" s="28" t="s">
        <v>942</v>
      </c>
      <c r="O348" s="8" t="s">
        <v>942</v>
      </c>
      <c r="P348" s="8" t="s">
        <v>942</v>
      </c>
      <c r="Q348" s="8" t="s">
        <v>942</v>
      </c>
      <c r="R348" s="28"/>
      <c r="S348" s="28" t="s">
        <v>942</v>
      </c>
      <c r="T348" s="8" t="s">
        <v>942</v>
      </c>
      <c r="U348" s="8"/>
      <c r="V348" s="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8"/>
      <c r="AI348" s="28"/>
      <c r="AJ348" s="8"/>
      <c r="AK348" s="8"/>
      <c r="AL348" s="8"/>
      <c r="AM348" s="28"/>
      <c r="AN348" s="8"/>
      <c r="AO348" s="8"/>
      <c r="AP348" s="28"/>
      <c r="AQ348" s="28"/>
      <c r="AR348" s="28"/>
    </row>
    <row r="349" spans="1:44" ht="15.75" thickBot="1" x14ac:dyDescent="0.3">
      <c r="A349" t="s">
        <v>864</v>
      </c>
      <c r="B349" s="46" t="s">
        <v>870</v>
      </c>
      <c r="C349" t="s">
        <v>871</v>
      </c>
      <c r="D349" t="s">
        <v>113</v>
      </c>
      <c r="E349" t="s">
        <v>36</v>
      </c>
      <c r="F349"/>
      <c r="G349" t="s">
        <v>872</v>
      </c>
      <c r="H349" s="16">
        <v>-348173990000</v>
      </c>
      <c r="I349" s="16">
        <v>-582515250000</v>
      </c>
      <c r="J349" s="16" t="s">
        <v>1296</v>
      </c>
      <c r="K349" s="17">
        <f t="shared" si="21"/>
        <v>21</v>
      </c>
      <c r="L349" s="17">
        <f t="shared" si="22"/>
        <v>7</v>
      </c>
      <c r="M349" s="18">
        <f t="shared" si="23"/>
        <v>0.75</v>
      </c>
      <c r="N349" s="28" t="s">
        <v>942</v>
      </c>
      <c r="O349" s="8" t="s">
        <v>942</v>
      </c>
      <c r="P349" s="8" t="s">
        <v>942</v>
      </c>
      <c r="Q349" s="8" t="s">
        <v>942</v>
      </c>
      <c r="R349" s="28" t="s">
        <v>942</v>
      </c>
      <c r="S349" s="28" t="s">
        <v>942</v>
      </c>
      <c r="T349" s="8" t="s">
        <v>942</v>
      </c>
      <c r="U349" s="8"/>
      <c r="V349" s="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8"/>
      <c r="AI349" s="28"/>
      <c r="AJ349" s="8"/>
      <c r="AK349" s="8"/>
      <c r="AL349" s="8"/>
      <c r="AM349" s="28"/>
      <c r="AN349" s="8"/>
      <c r="AO349" s="8"/>
      <c r="AP349" s="28"/>
      <c r="AQ349" s="28"/>
      <c r="AR349" s="28"/>
    </row>
    <row r="350" spans="1:44" ht="15.75" thickBot="1" x14ac:dyDescent="0.3">
      <c r="A350" t="s">
        <v>864</v>
      </c>
      <c r="B350" s="46" t="s">
        <v>873</v>
      </c>
      <c r="C350" t="s">
        <v>874</v>
      </c>
      <c r="D350" t="s">
        <v>19</v>
      </c>
      <c r="E350" t="s">
        <v>36</v>
      </c>
      <c r="F350"/>
      <c r="G350" t="s">
        <v>872</v>
      </c>
      <c r="H350" s="16">
        <v>-348116860000</v>
      </c>
      <c r="I350" s="16">
        <v>-582556310000</v>
      </c>
      <c r="J350" s="16" t="s">
        <v>1297</v>
      </c>
      <c r="K350" s="17">
        <f t="shared" si="21"/>
        <v>28</v>
      </c>
      <c r="L350" s="17">
        <f t="shared" si="22"/>
        <v>0</v>
      </c>
      <c r="M350" s="18">
        <f t="shared" si="23"/>
        <v>1</v>
      </c>
      <c r="N350" s="28"/>
      <c r="O350" s="8"/>
      <c r="P350" s="8"/>
      <c r="Q350" s="8"/>
      <c r="R350" s="28"/>
      <c r="S350" s="28"/>
      <c r="T350" s="8"/>
      <c r="U350" s="8"/>
      <c r="V350" s="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8"/>
      <c r="AI350" s="8"/>
      <c r="AJ350" s="8"/>
      <c r="AK350" s="8"/>
      <c r="AL350" s="8"/>
      <c r="AM350" s="28"/>
      <c r="AN350" s="8"/>
      <c r="AO350" s="8"/>
      <c r="AP350" s="28"/>
      <c r="AQ350" s="28"/>
      <c r="AR350" s="28"/>
    </row>
    <row r="351" spans="1:44" ht="15.75" thickBot="1" x14ac:dyDescent="0.3">
      <c r="A351" t="s">
        <v>864</v>
      </c>
      <c r="B351" s="46" t="s">
        <v>875</v>
      </c>
      <c r="C351" t="s">
        <v>876</v>
      </c>
      <c r="D351" t="s">
        <v>19</v>
      </c>
      <c r="E351" t="s">
        <v>36</v>
      </c>
      <c r="F351"/>
      <c r="G351" t="s">
        <v>872</v>
      </c>
      <c r="H351" s="16">
        <v>-348113810000</v>
      </c>
      <c r="I351" s="16">
        <v>-582573240000</v>
      </c>
      <c r="J351" s="16" t="s">
        <v>1298</v>
      </c>
      <c r="K351" s="17">
        <f t="shared" si="21"/>
        <v>28</v>
      </c>
      <c r="L351" s="17">
        <f t="shared" si="22"/>
        <v>0</v>
      </c>
      <c r="M351" s="18">
        <f t="shared" si="23"/>
        <v>1</v>
      </c>
      <c r="N351" s="28"/>
      <c r="O351" s="8"/>
      <c r="P351" s="8"/>
      <c r="Q351" s="8"/>
      <c r="R351" s="28"/>
      <c r="S351" s="28"/>
      <c r="T351" s="8"/>
      <c r="U351" s="8"/>
      <c r="V351" s="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8"/>
      <c r="AI351" s="8"/>
      <c r="AJ351" s="8"/>
      <c r="AK351" s="8"/>
      <c r="AL351" s="8"/>
      <c r="AM351" s="28"/>
      <c r="AN351" s="8"/>
      <c r="AO351" s="8"/>
      <c r="AP351" s="28"/>
      <c r="AQ351" s="28"/>
      <c r="AR351" s="28"/>
    </row>
    <row r="352" spans="1:44" ht="15.75" thickBot="1" x14ac:dyDescent="0.3">
      <c r="A352" t="s">
        <v>272</v>
      </c>
      <c r="B352" s="46" t="s">
        <v>877</v>
      </c>
      <c r="C352" t="s">
        <v>932</v>
      </c>
      <c r="D352" t="s">
        <v>24</v>
      </c>
      <c r="E352" t="s">
        <v>25</v>
      </c>
      <c r="F352" t="s">
        <v>708</v>
      </c>
      <c r="G352"/>
      <c r="H352" s="16">
        <v>-348336200000</v>
      </c>
      <c r="I352" s="16">
        <v>-582709260000</v>
      </c>
      <c r="J352" s="16" t="s">
        <v>1299</v>
      </c>
      <c r="K352" s="17">
        <f t="shared" si="21"/>
        <v>28</v>
      </c>
      <c r="L352" s="17">
        <f t="shared" si="22"/>
        <v>0</v>
      </c>
      <c r="M352" s="18">
        <f t="shared" si="23"/>
        <v>1</v>
      </c>
      <c r="N352" s="28"/>
      <c r="O352" s="8"/>
      <c r="P352" s="8"/>
      <c r="Q352" s="8"/>
      <c r="R352" s="28"/>
      <c r="S352" s="28"/>
      <c r="T352" s="8"/>
      <c r="U352" s="8"/>
      <c r="V352" s="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8"/>
      <c r="AI352" s="8"/>
      <c r="AJ352" s="8"/>
      <c r="AK352" s="8"/>
      <c r="AL352" s="8"/>
      <c r="AM352" s="28"/>
      <c r="AN352" s="8"/>
      <c r="AO352" s="8"/>
      <c r="AP352" s="28"/>
      <c r="AQ352" s="28"/>
      <c r="AR352" s="28"/>
    </row>
    <row r="353" spans="1:44" ht="15.75" thickBot="1" x14ac:dyDescent="0.3">
      <c r="B353" s="46" t="s">
        <v>878</v>
      </c>
      <c r="C353" t="s">
        <v>933</v>
      </c>
      <c r="D353" t="s">
        <v>19</v>
      </c>
      <c r="E353"/>
      <c r="F353" t="s">
        <v>879</v>
      </c>
      <c r="G353" t="s">
        <v>880</v>
      </c>
      <c r="H353" s="16">
        <v>-348339360000</v>
      </c>
      <c r="I353" s="16">
        <v>-582778770000</v>
      </c>
      <c r="J353" s="16"/>
      <c r="K353" s="17">
        <f t="shared" si="21"/>
        <v>26</v>
      </c>
      <c r="L353" s="17">
        <f t="shared" si="22"/>
        <v>2</v>
      </c>
      <c r="M353" s="18">
        <f t="shared" si="23"/>
        <v>0.9285714285714286</v>
      </c>
      <c r="N353" s="28"/>
      <c r="O353" s="8"/>
      <c r="P353" s="8"/>
      <c r="Q353" s="8"/>
      <c r="R353" s="28" t="s">
        <v>942</v>
      </c>
      <c r="S353" s="28" t="s">
        <v>942</v>
      </c>
      <c r="T353" s="8"/>
      <c r="U353" s="8"/>
      <c r="V353" s="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8"/>
      <c r="AI353" s="8"/>
      <c r="AJ353" s="8"/>
      <c r="AK353" s="8"/>
      <c r="AL353" s="8"/>
      <c r="AM353" s="28"/>
      <c r="AN353" s="8"/>
      <c r="AO353" s="8"/>
      <c r="AP353" s="28"/>
      <c r="AQ353" s="28"/>
      <c r="AR353" s="28"/>
    </row>
    <row r="354" spans="1:44" ht="15.75" thickBot="1" x14ac:dyDescent="0.3">
      <c r="A354" t="s">
        <v>272</v>
      </c>
      <c r="B354" s="46" t="s">
        <v>881</v>
      </c>
      <c r="C354" t="s">
        <v>934</v>
      </c>
      <c r="D354" t="s">
        <v>113</v>
      </c>
      <c r="E354" t="s">
        <v>36</v>
      </c>
      <c r="F354"/>
      <c r="G354" t="s">
        <v>882</v>
      </c>
      <c r="H354" s="16">
        <v>-348368690000</v>
      </c>
      <c r="I354" s="16">
        <v>-582780410000</v>
      </c>
      <c r="J354" s="16" t="s">
        <v>1300</v>
      </c>
      <c r="K354" s="17">
        <f t="shared" si="21"/>
        <v>28</v>
      </c>
      <c r="L354" s="17">
        <f t="shared" si="22"/>
        <v>0</v>
      </c>
      <c r="M354" s="18">
        <f t="shared" si="23"/>
        <v>1</v>
      </c>
      <c r="N354" s="28"/>
      <c r="O354" s="8"/>
      <c r="P354" s="8"/>
      <c r="Q354" s="8"/>
      <c r="R354" s="28"/>
      <c r="S354" s="28"/>
      <c r="T354" s="8"/>
      <c r="U354" s="8"/>
      <c r="V354" s="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8"/>
      <c r="AI354" s="8"/>
      <c r="AJ354" s="8"/>
      <c r="AK354" s="8"/>
      <c r="AL354" s="8"/>
      <c r="AM354" s="28"/>
      <c r="AN354" s="8"/>
      <c r="AO354" s="8"/>
      <c r="AP354" s="28"/>
      <c r="AQ354" s="28"/>
      <c r="AR354" s="28"/>
    </row>
    <row r="355" spans="1:44" ht="15.75" thickBot="1" x14ac:dyDescent="0.3">
      <c r="A355" t="s">
        <v>272</v>
      </c>
      <c r="B355" s="46" t="s">
        <v>883</v>
      </c>
      <c r="C355" t="s">
        <v>934</v>
      </c>
      <c r="D355" t="s">
        <v>113</v>
      </c>
      <c r="E355" t="s">
        <v>36</v>
      </c>
      <c r="F355"/>
      <c r="G355" t="s">
        <v>884</v>
      </c>
      <c r="H355" s="16">
        <v>-348367000000</v>
      </c>
      <c r="I355" s="16">
        <v>-582781300000</v>
      </c>
      <c r="J355" s="16" t="s">
        <v>1301</v>
      </c>
      <c r="K355" s="17">
        <f t="shared" si="21"/>
        <v>28</v>
      </c>
      <c r="L355" s="17">
        <f t="shared" si="22"/>
        <v>0</v>
      </c>
      <c r="M355" s="18">
        <f t="shared" si="23"/>
        <v>1</v>
      </c>
      <c r="N355" s="28"/>
      <c r="O355" s="8"/>
      <c r="P355" s="8"/>
      <c r="Q355" s="8"/>
      <c r="R355" s="28"/>
      <c r="S355" s="28"/>
      <c r="T355" s="8"/>
      <c r="U355" s="8"/>
      <c r="V355" s="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8"/>
      <c r="AI355" s="8"/>
      <c r="AJ355" s="8"/>
      <c r="AK355" s="8"/>
      <c r="AL355" s="8"/>
      <c r="AM355" s="28"/>
      <c r="AN355" s="8"/>
      <c r="AO355" s="8"/>
      <c r="AP355" s="28"/>
      <c r="AQ355" s="28"/>
      <c r="AR355" s="28"/>
    </row>
    <row r="356" spans="1:44" ht="15.75" thickBot="1" x14ac:dyDescent="0.3">
      <c r="A356" t="s">
        <v>272</v>
      </c>
      <c r="B356" s="46" t="s">
        <v>885</v>
      </c>
      <c r="C356" t="s">
        <v>935</v>
      </c>
      <c r="D356" t="s">
        <v>19</v>
      </c>
      <c r="E356" t="s">
        <v>36</v>
      </c>
      <c r="F356"/>
      <c r="G356" t="s">
        <v>886</v>
      </c>
      <c r="H356" s="16">
        <v>-348375310000</v>
      </c>
      <c r="I356" s="16">
        <v>-582782110000</v>
      </c>
      <c r="J356" s="16" t="s">
        <v>1302</v>
      </c>
      <c r="K356" s="17">
        <f t="shared" si="21"/>
        <v>28</v>
      </c>
      <c r="L356" s="17">
        <f t="shared" si="22"/>
        <v>0</v>
      </c>
      <c r="M356" s="18">
        <f t="shared" si="23"/>
        <v>1</v>
      </c>
      <c r="N356" s="28"/>
      <c r="O356" s="8"/>
      <c r="P356" s="8"/>
      <c r="Q356" s="8"/>
      <c r="R356" s="28"/>
      <c r="S356" s="28"/>
      <c r="T356" s="8"/>
      <c r="U356" s="8"/>
      <c r="V356" s="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8"/>
      <c r="AI356" s="8"/>
      <c r="AJ356" s="8"/>
      <c r="AK356" s="8"/>
      <c r="AL356" s="8"/>
      <c r="AM356" s="28"/>
      <c r="AN356" s="8"/>
      <c r="AO356" s="8"/>
      <c r="AP356" s="28"/>
      <c r="AQ356" s="28"/>
      <c r="AR356" s="28"/>
    </row>
    <row r="357" spans="1:44" ht="15.75" thickBot="1" x14ac:dyDescent="0.3">
      <c r="A357" t="s">
        <v>887</v>
      </c>
      <c r="B357" s="46" t="s">
        <v>888</v>
      </c>
      <c r="C357" t="s">
        <v>889</v>
      </c>
      <c r="D357" t="s">
        <v>113</v>
      </c>
      <c r="E357" t="s">
        <v>36</v>
      </c>
      <c r="F357"/>
      <c r="G357" t="s">
        <v>890</v>
      </c>
      <c r="H357" s="16">
        <v>-348344030000</v>
      </c>
      <c r="I357" s="16">
        <v>-582802100000</v>
      </c>
      <c r="J357" s="16" t="s">
        <v>1303</v>
      </c>
      <c r="K357" s="17">
        <f t="shared" si="21"/>
        <v>28</v>
      </c>
      <c r="L357" s="17">
        <f t="shared" si="22"/>
        <v>0</v>
      </c>
      <c r="M357" s="18">
        <f t="shared" si="23"/>
        <v>1</v>
      </c>
      <c r="N357" s="28"/>
      <c r="O357" s="8"/>
      <c r="P357" s="8"/>
      <c r="Q357" s="8"/>
      <c r="R357" s="28"/>
      <c r="S357" s="28"/>
      <c r="T357" s="8"/>
      <c r="U357" s="8"/>
      <c r="V357" s="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8"/>
      <c r="AI357" s="8"/>
      <c r="AJ357" s="8"/>
      <c r="AK357" s="8"/>
      <c r="AL357" s="8"/>
      <c r="AM357" s="28"/>
      <c r="AN357" s="8"/>
      <c r="AO357" s="8"/>
      <c r="AP357" s="28"/>
      <c r="AQ357" s="28"/>
      <c r="AR357" s="28"/>
    </row>
    <row r="358" spans="1:44" ht="15.75" thickBot="1" x14ac:dyDescent="0.3">
      <c r="A358" t="s">
        <v>887</v>
      </c>
      <c r="B358" s="46" t="s">
        <v>891</v>
      </c>
      <c r="C358" t="s">
        <v>889</v>
      </c>
      <c r="D358" t="s">
        <v>113</v>
      </c>
      <c r="E358" t="s">
        <v>36</v>
      </c>
      <c r="F358"/>
      <c r="G358" t="s">
        <v>890</v>
      </c>
      <c r="H358" s="16">
        <v>-348343990000</v>
      </c>
      <c r="I358" s="16">
        <v>-582802050000</v>
      </c>
      <c r="J358" s="16" t="s">
        <v>1304</v>
      </c>
      <c r="K358" s="17">
        <f t="shared" si="21"/>
        <v>28</v>
      </c>
      <c r="L358" s="17">
        <f t="shared" si="22"/>
        <v>0</v>
      </c>
      <c r="M358" s="18">
        <f t="shared" si="23"/>
        <v>1</v>
      </c>
      <c r="N358" s="28"/>
      <c r="O358" s="8"/>
      <c r="P358" s="8"/>
      <c r="Q358" s="8"/>
      <c r="R358" s="28"/>
      <c r="S358" s="28"/>
      <c r="T358" s="8"/>
      <c r="U358" s="8"/>
      <c r="V358" s="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8"/>
      <c r="AI358" s="8"/>
      <c r="AJ358" s="8"/>
      <c r="AK358" s="8"/>
      <c r="AL358" s="8"/>
      <c r="AM358" s="28"/>
      <c r="AN358" s="8"/>
      <c r="AO358" s="8"/>
      <c r="AP358" s="28"/>
      <c r="AQ358" s="28"/>
      <c r="AR358" s="28"/>
    </row>
    <row r="359" spans="1:44" ht="15.75" thickBot="1" x14ac:dyDescent="0.3">
      <c r="A359" t="s">
        <v>887</v>
      </c>
      <c r="B359" s="46" t="s">
        <v>892</v>
      </c>
      <c r="C359" t="s">
        <v>893</v>
      </c>
      <c r="D359" t="s">
        <v>113</v>
      </c>
      <c r="E359" t="s">
        <v>36</v>
      </c>
      <c r="F359"/>
      <c r="G359" t="s">
        <v>890</v>
      </c>
      <c r="H359" s="16">
        <v>-348350290000</v>
      </c>
      <c r="I359" s="16">
        <v>-582814190000</v>
      </c>
      <c r="J359" s="16" t="s">
        <v>1305</v>
      </c>
      <c r="K359" s="17">
        <f t="shared" si="21"/>
        <v>28</v>
      </c>
      <c r="L359" s="17">
        <f t="shared" si="22"/>
        <v>0</v>
      </c>
      <c r="M359" s="18">
        <f t="shared" si="23"/>
        <v>1</v>
      </c>
      <c r="N359" s="28"/>
      <c r="O359" s="8"/>
      <c r="P359" s="8"/>
      <c r="Q359" s="8"/>
      <c r="R359" s="28"/>
      <c r="S359" s="28"/>
      <c r="T359" s="8"/>
      <c r="U359" s="8"/>
      <c r="V359" s="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8"/>
      <c r="AI359" s="8"/>
      <c r="AJ359" s="8"/>
      <c r="AK359" s="8"/>
      <c r="AL359" s="8"/>
      <c r="AM359" s="28"/>
      <c r="AN359" s="8"/>
      <c r="AO359" s="8"/>
      <c r="AP359" s="28"/>
      <c r="AQ359" s="28"/>
      <c r="AR359" s="28"/>
    </row>
    <row r="360" spans="1:44" ht="15.75" thickBot="1" x14ac:dyDescent="0.3">
      <c r="A360" t="s">
        <v>887</v>
      </c>
      <c r="B360" s="46" t="s">
        <v>894</v>
      </c>
      <c r="C360" t="s">
        <v>893</v>
      </c>
      <c r="D360" t="s">
        <v>113</v>
      </c>
      <c r="E360" t="s">
        <v>36</v>
      </c>
      <c r="F360"/>
      <c r="G360" t="s">
        <v>890</v>
      </c>
      <c r="H360" s="16">
        <v>-348350240000</v>
      </c>
      <c r="I360" s="16">
        <v>-582814080000</v>
      </c>
      <c r="J360" s="16" t="s">
        <v>1306</v>
      </c>
      <c r="K360" s="17">
        <f t="shared" si="21"/>
        <v>28</v>
      </c>
      <c r="L360" s="17">
        <f t="shared" si="22"/>
        <v>0</v>
      </c>
      <c r="M360" s="18">
        <f t="shared" si="23"/>
        <v>1</v>
      </c>
      <c r="N360" s="28"/>
      <c r="O360" s="8"/>
      <c r="P360" s="8"/>
      <c r="Q360" s="8"/>
      <c r="R360" s="28"/>
      <c r="S360" s="28"/>
      <c r="T360" s="8"/>
      <c r="U360" s="8"/>
      <c r="V360" s="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8"/>
      <c r="AI360" s="8"/>
      <c r="AJ360" s="8"/>
      <c r="AK360" s="8"/>
      <c r="AL360" s="8"/>
      <c r="AM360" s="28"/>
      <c r="AN360" s="8"/>
      <c r="AO360" s="8"/>
      <c r="AP360" s="28"/>
      <c r="AQ360" s="28"/>
      <c r="AR360" s="28"/>
    </row>
    <row r="361" spans="1:44" ht="15.75" thickBot="1" x14ac:dyDescent="0.3">
      <c r="A361" t="s">
        <v>895</v>
      </c>
      <c r="B361" s="46" t="s">
        <v>896</v>
      </c>
      <c r="C361" t="s">
        <v>897</v>
      </c>
      <c r="D361" t="s">
        <v>19</v>
      </c>
      <c r="E361" t="s">
        <v>36</v>
      </c>
      <c r="F361"/>
      <c r="G361" t="s">
        <v>342</v>
      </c>
      <c r="H361" s="16">
        <v>-348331020000</v>
      </c>
      <c r="I361" s="16">
        <v>-582411500000</v>
      </c>
      <c r="J361" s="16" t="s">
        <v>1307</v>
      </c>
      <c r="K361" s="17">
        <f t="shared" si="21"/>
        <v>28</v>
      </c>
      <c r="L361" s="17">
        <f t="shared" si="22"/>
        <v>0</v>
      </c>
      <c r="M361" s="18">
        <f t="shared" si="23"/>
        <v>1</v>
      </c>
      <c r="N361" s="28"/>
      <c r="O361" s="8"/>
      <c r="P361" s="8"/>
      <c r="Q361" s="8"/>
      <c r="R361" s="28"/>
      <c r="S361" s="28"/>
      <c r="T361" s="8"/>
      <c r="U361" s="8"/>
      <c r="V361" s="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8"/>
      <c r="AI361" s="8"/>
      <c r="AJ361" s="8"/>
      <c r="AK361" s="8"/>
      <c r="AL361" s="8"/>
      <c r="AM361" s="28"/>
      <c r="AN361" s="8"/>
      <c r="AO361" s="8"/>
      <c r="AP361" s="28"/>
      <c r="AQ361" s="28"/>
      <c r="AR361" s="28"/>
    </row>
    <row r="362" spans="1:44" ht="15.75" thickBot="1" x14ac:dyDescent="0.3">
      <c r="A362" t="s">
        <v>898</v>
      </c>
      <c r="B362" s="46" t="s">
        <v>899</v>
      </c>
      <c r="C362" t="s">
        <v>900</v>
      </c>
      <c r="D362" t="s">
        <v>19</v>
      </c>
      <c r="E362" t="s">
        <v>25</v>
      </c>
      <c r="F362"/>
      <c r="G362" t="s">
        <v>692</v>
      </c>
      <c r="H362" s="16">
        <v>-348140350000</v>
      </c>
      <c r="I362" s="16">
        <v>-582788310000</v>
      </c>
      <c r="J362" s="16" t="s">
        <v>1308</v>
      </c>
      <c r="K362" s="17">
        <f t="shared" si="21"/>
        <v>27</v>
      </c>
      <c r="L362" s="17">
        <f t="shared" si="22"/>
        <v>1</v>
      </c>
      <c r="M362" s="18">
        <f t="shared" si="23"/>
        <v>0.9642857142857143</v>
      </c>
      <c r="N362" s="28"/>
      <c r="O362" s="8"/>
      <c r="P362" s="8"/>
      <c r="Q362" s="8"/>
      <c r="R362" s="28"/>
      <c r="S362" s="28"/>
      <c r="T362" s="8" t="s">
        <v>942</v>
      </c>
      <c r="U362" s="8"/>
      <c r="V362" s="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8"/>
      <c r="AI362" s="8"/>
      <c r="AJ362" s="8"/>
      <c r="AK362" s="8"/>
      <c r="AL362" s="8"/>
      <c r="AM362" s="28"/>
      <c r="AN362" s="8"/>
      <c r="AO362" s="8"/>
      <c r="AP362" s="28"/>
      <c r="AQ362" s="28"/>
      <c r="AR362" s="28"/>
    </row>
    <row r="363" spans="1:44" ht="15.75" thickBot="1" x14ac:dyDescent="0.3">
      <c r="A363" t="s">
        <v>898</v>
      </c>
      <c r="B363" s="46" t="s">
        <v>901</v>
      </c>
      <c r="C363" t="s">
        <v>902</v>
      </c>
      <c r="D363" t="s">
        <v>19</v>
      </c>
      <c r="E363" t="s">
        <v>25</v>
      </c>
      <c r="F363"/>
      <c r="G363" t="s">
        <v>903</v>
      </c>
      <c r="H363" s="16">
        <v>-348118850000</v>
      </c>
      <c r="I363" s="16">
        <v>-582790580000</v>
      </c>
      <c r="J363" s="16" t="s">
        <v>1309</v>
      </c>
      <c r="K363" s="17">
        <f t="shared" si="21"/>
        <v>28</v>
      </c>
      <c r="L363" s="17">
        <f t="shared" si="22"/>
        <v>0</v>
      </c>
      <c r="M363" s="18">
        <f t="shared" si="23"/>
        <v>1</v>
      </c>
      <c r="N363" s="28"/>
      <c r="O363" s="8"/>
      <c r="P363" s="8"/>
      <c r="Q363" s="8"/>
      <c r="R363" s="28"/>
      <c r="S363" s="28"/>
      <c r="T363" s="8"/>
      <c r="U363" s="8"/>
      <c r="V363" s="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8"/>
      <c r="AI363" s="8"/>
      <c r="AJ363" s="8"/>
      <c r="AK363" s="8"/>
      <c r="AL363" s="8"/>
      <c r="AM363" s="28"/>
      <c r="AN363" s="8"/>
      <c r="AO363" s="8"/>
      <c r="AP363" s="28"/>
      <c r="AQ363" s="28"/>
      <c r="AR363" s="28"/>
    </row>
    <row r="364" spans="1:44" ht="15.75" thickBot="1" x14ac:dyDescent="0.3">
      <c r="A364" t="s">
        <v>898</v>
      </c>
      <c r="B364" s="46" t="s">
        <v>904</v>
      </c>
      <c r="C364" t="s">
        <v>905</v>
      </c>
      <c r="D364" t="s">
        <v>19</v>
      </c>
      <c r="E364" t="s">
        <v>25</v>
      </c>
      <c r="F364"/>
      <c r="G364" t="s">
        <v>33</v>
      </c>
      <c r="H364" s="16">
        <v>-348151300000</v>
      </c>
      <c r="I364" s="16">
        <v>-582798970000</v>
      </c>
      <c r="J364" s="16" t="s">
        <v>1310</v>
      </c>
      <c r="K364" s="17">
        <f t="shared" si="21"/>
        <v>28</v>
      </c>
      <c r="L364" s="17">
        <f t="shared" si="22"/>
        <v>0</v>
      </c>
      <c r="M364" s="18">
        <f t="shared" si="23"/>
        <v>1</v>
      </c>
      <c r="N364" s="28"/>
      <c r="O364" s="8"/>
      <c r="P364" s="8"/>
      <c r="Q364" s="8"/>
      <c r="R364" s="28"/>
      <c r="S364" s="28"/>
      <c r="T364" s="8"/>
      <c r="U364" s="8"/>
      <c r="V364" s="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8"/>
      <c r="AI364" s="8"/>
      <c r="AJ364" s="8"/>
      <c r="AK364" s="8"/>
      <c r="AL364" s="8"/>
      <c r="AM364" s="28"/>
      <c r="AN364" s="8"/>
      <c r="AO364" s="8"/>
      <c r="AP364" s="28"/>
      <c r="AQ364" s="28"/>
      <c r="AR364" s="28"/>
    </row>
    <row r="365" spans="1:44" ht="15.75" thickBot="1" x14ac:dyDescent="0.3">
      <c r="B365" s="46" t="s">
        <v>906</v>
      </c>
      <c r="C365" t="s">
        <v>907</v>
      </c>
      <c r="D365" t="s">
        <v>24</v>
      </c>
      <c r="E365" t="s">
        <v>25</v>
      </c>
      <c r="F365"/>
      <c r="G365"/>
      <c r="H365" s="16">
        <v>-348017000000</v>
      </c>
      <c r="I365" s="16">
        <v>-582624610000</v>
      </c>
      <c r="J365" s="16" t="s">
        <v>1314</v>
      </c>
      <c r="K365" s="17">
        <f t="shared" si="21"/>
        <v>28</v>
      </c>
      <c r="L365" s="17">
        <f t="shared" si="22"/>
        <v>0</v>
      </c>
      <c r="M365" s="18">
        <f t="shared" si="23"/>
        <v>1</v>
      </c>
      <c r="N365" s="28"/>
      <c r="O365" s="8"/>
      <c r="P365" s="8"/>
      <c r="Q365" s="8"/>
      <c r="R365" s="28"/>
      <c r="S365" s="28"/>
      <c r="T365" s="8"/>
      <c r="U365" s="8"/>
      <c r="V365" s="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8"/>
      <c r="AI365" s="8"/>
      <c r="AJ365" s="8"/>
      <c r="AK365" s="8"/>
      <c r="AL365" s="8"/>
      <c r="AM365" s="28"/>
      <c r="AN365" s="8"/>
      <c r="AO365" s="8"/>
      <c r="AP365" s="28"/>
      <c r="AQ365" s="28"/>
      <c r="AR365" s="28"/>
    </row>
    <row r="366" spans="1:44" ht="15.75" thickBot="1" x14ac:dyDescent="0.3">
      <c r="A366" t="s">
        <v>908</v>
      </c>
      <c r="B366" s="46" t="s">
        <v>909</v>
      </c>
      <c r="C366" t="s">
        <v>910</v>
      </c>
      <c r="D366" t="s">
        <v>24</v>
      </c>
      <c r="E366" t="s">
        <v>25</v>
      </c>
      <c r="F366" t="s">
        <v>798</v>
      </c>
      <c r="G366"/>
      <c r="H366" s="16">
        <v>-348108520000</v>
      </c>
      <c r="I366" s="16">
        <v>-582564000000</v>
      </c>
      <c r="J366" s="16" t="s">
        <v>1311</v>
      </c>
      <c r="K366" s="17">
        <f t="shared" si="21"/>
        <v>28</v>
      </c>
      <c r="L366" s="17">
        <f t="shared" si="22"/>
        <v>0</v>
      </c>
      <c r="M366" s="18">
        <f t="shared" si="23"/>
        <v>1</v>
      </c>
      <c r="N366" s="28"/>
      <c r="O366" s="8"/>
      <c r="P366" s="8"/>
      <c r="Q366" s="8"/>
      <c r="R366" s="28"/>
      <c r="S366" s="28"/>
      <c r="T366" s="8"/>
      <c r="U366" s="8"/>
      <c r="V366" s="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8"/>
      <c r="AI366" s="8"/>
      <c r="AJ366" s="8"/>
      <c r="AK366" s="8"/>
      <c r="AL366" s="8"/>
      <c r="AM366" s="28"/>
      <c r="AN366" s="8"/>
      <c r="AO366" s="8"/>
      <c r="AP366" s="28"/>
      <c r="AQ366" s="28"/>
      <c r="AR366" s="28"/>
    </row>
    <row r="367" spans="1:44" ht="15.75" thickBot="1" x14ac:dyDescent="0.3">
      <c r="A367" t="s">
        <v>483</v>
      </c>
      <c r="B367" s="46" t="s">
        <v>911</v>
      </c>
      <c r="C367" t="s">
        <v>912</v>
      </c>
      <c r="D367" t="s">
        <v>24</v>
      </c>
      <c r="E367" t="s">
        <v>25</v>
      </c>
      <c r="F367" t="s">
        <v>798</v>
      </c>
      <c r="G367"/>
      <c r="H367" s="16">
        <v>-348105440000</v>
      </c>
      <c r="I367" s="16">
        <v>-582580200000</v>
      </c>
      <c r="J367" s="16" t="s">
        <v>1312</v>
      </c>
      <c r="K367" s="17">
        <f t="shared" si="21"/>
        <v>21</v>
      </c>
      <c r="L367" s="17">
        <f t="shared" si="22"/>
        <v>7</v>
      </c>
      <c r="M367" s="18">
        <f t="shared" si="23"/>
        <v>0.75</v>
      </c>
      <c r="N367" s="28" t="s">
        <v>942</v>
      </c>
      <c r="O367" s="8" t="s">
        <v>942</v>
      </c>
      <c r="P367" s="8" t="s">
        <v>942</v>
      </c>
      <c r="Q367" s="8" t="s">
        <v>942</v>
      </c>
      <c r="R367" s="28" t="s">
        <v>942</v>
      </c>
      <c r="S367" s="28" t="s">
        <v>942</v>
      </c>
      <c r="T367" s="8" t="s">
        <v>942</v>
      </c>
      <c r="U367" s="8"/>
      <c r="V367" s="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8"/>
      <c r="AI367" s="28"/>
      <c r="AJ367" s="8"/>
      <c r="AK367" s="8"/>
      <c r="AL367" s="8"/>
      <c r="AM367" s="28"/>
      <c r="AN367" s="8"/>
      <c r="AO367" s="8"/>
      <c r="AP367" s="28"/>
      <c r="AQ367" s="28"/>
      <c r="AR367" s="28"/>
    </row>
    <row r="368" spans="1:44" ht="15.75" thickBot="1" x14ac:dyDescent="0.3">
      <c r="B368" s="46" t="s">
        <v>913</v>
      </c>
      <c r="C368" t="s">
        <v>914</v>
      </c>
      <c r="D368" t="s">
        <v>19</v>
      </c>
      <c r="E368" t="s">
        <v>25</v>
      </c>
      <c r="F368"/>
      <c r="G368" t="s">
        <v>915</v>
      </c>
      <c r="H368" s="16">
        <v>-348006770000</v>
      </c>
      <c r="I368" s="16">
        <v>-582652130000</v>
      </c>
      <c r="J368" s="16" t="s">
        <v>1313</v>
      </c>
      <c r="K368" s="17">
        <f t="shared" si="21"/>
        <v>28</v>
      </c>
      <c r="L368" s="17">
        <f t="shared" si="22"/>
        <v>0</v>
      </c>
      <c r="M368" s="18">
        <f t="shared" si="23"/>
        <v>1</v>
      </c>
      <c r="N368" s="28"/>
      <c r="O368" s="8"/>
      <c r="P368" s="8"/>
      <c r="Q368" s="8"/>
      <c r="R368" s="28"/>
      <c r="S368" s="28"/>
      <c r="T368" s="8"/>
      <c r="U368" s="8"/>
      <c r="V368" s="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</row>
    <row r="369" spans="1:44" ht="15.75" thickBot="1" x14ac:dyDescent="0.3">
      <c r="A369" t="s">
        <v>1321</v>
      </c>
      <c r="B369" s="46" t="s">
        <v>1317</v>
      </c>
      <c r="C369" t="s">
        <v>1319</v>
      </c>
      <c r="D369" s="46" t="s">
        <v>113</v>
      </c>
      <c r="E369" s="46" t="s">
        <v>36</v>
      </c>
      <c r="F369" s="9"/>
      <c r="G369" s="9" t="s">
        <v>1324</v>
      </c>
      <c r="H369" s="9"/>
      <c r="I369" s="9"/>
      <c r="J369" s="29" t="s">
        <v>1322</v>
      </c>
      <c r="K369" s="17">
        <f t="shared" ref="K369:K370" si="24">COUNTIF(N369:AO369,"")</f>
        <v>28</v>
      </c>
      <c r="L369" s="17">
        <f t="shared" ref="L369:L370" si="25">COUNTIF(N369:AO369,"APAGADO")</f>
        <v>0</v>
      </c>
      <c r="M369" s="18">
        <f t="shared" ref="M369:M370" si="26">(K369)/(L369+K369)</f>
        <v>1</v>
      </c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</row>
    <row r="370" spans="1:44" ht="15.75" thickBot="1" x14ac:dyDescent="0.3">
      <c r="A370" t="s">
        <v>1321</v>
      </c>
      <c r="B370" s="46" t="s">
        <v>1318</v>
      </c>
      <c r="C370" t="s">
        <v>1320</v>
      </c>
      <c r="D370" s="46" t="s">
        <v>113</v>
      </c>
      <c r="E370" s="46" t="s">
        <v>36</v>
      </c>
      <c r="F370" s="9" t="s">
        <v>1324</v>
      </c>
      <c r="G370" s="9"/>
      <c r="H370" s="9"/>
      <c r="I370" s="9"/>
      <c r="J370" s="29" t="s">
        <v>1323</v>
      </c>
      <c r="K370" s="17">
        <f t="shared" si="24"/>
        <v>28</v>
      </c>
      <c r="L370" s="17">
        <f t="shared" si="25"/>
        <v>0</v>
      </c>
      <c r="M370" s="18">
        <f t="shared" si="26"/>
        <v>1</v>
      </c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</row>
    <row r="371" spans="1:44" x14ac:dyDescent="0.25">
      <c r="D371" s="9"/>
      <c r="E371" s="9"/>
      <c r="F371" s="9"/>
      <c r="G371" s="9"/>
      <c r="H371" s="9"/>
      <c r="I371" s="9"/>
      <c r="J371" s="29"/>
      <c r="M371" s="21"/>
      <c r="N371" s="2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29"/>
      <c r="AB371" s="29"/>
      <c r="AC371" s="29"/>
      <c r="AD371" s="29"/>
      <c r="AE371" s="29"/>
      <c r="AF371" s="29"/>
      <c r="AG371" s="29"/>
      <c r="AH371" s="9"/>
      <c r="AI371" s="9"/>
      <c r="AJ371" s="9"/>
      <c r="AK371" s="9"/>
      <c r="AL371" s="9"/>
      <c r="AM371" s="9"/>
      <c r="AN371" s="9"/>
      <c r="AO371" s="9"/>
      <c r="AP371" s="29"/>
      <c r="AQ371" s="29"/>
      <c r="AR371" s="29"/>
    </row>
    <row r="372" spans="1:44" x14ac:dyDescent="0.25">
      <c r="D372" s="9"/>
      <c r="E372" s="9"/>
      <c r="F372" s="9"/>
      <c r="G372" s="9"/>
      <c r="H372" s="9"/>
      <c r="I372" s="9"/>
      <c r="J372" s="29"/>
      <c r="M372" s="21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29"/>
      <c r="AB372" s="29"/>
      <c r="AC372" s="29"/>
      <c r="AD372" s="29"/>
      <c r="AE372" s="29"/>
      <c r="AF372" s="29"/>
      <c r="AG372" s="29"/>
      <c r="AH372" s="9"/>
      <c r="AI372" s="9"/>
      <c r="AJ372" s="9"/>
      <c r="AK372" s="9"/>
      <c r="AL372" s="9"/>
      <c r="AM372" s="9"/>
      <c r="AN372" s="9"/>
      <c r="AO372" s="9"/>
      <c r="AP372" s="29"/>
      <c r="AQ372" s="29"/>
      <c r="AR372" s="29"/>
    </row>
    <row r="373" spans="1:44" x14ac:dyDescent="0.25">
      <c r="D373" s="9"/>
      <c r="E373" s="9"/>
      <c r="F373" s="9"/>
      <c r="G373" s="9"/>
      <c r="H373" s="9"/>
      <c r="I373" s="9"/>
      <c r="J373" s="29"/>
      <c r="M373" s="21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29"/>
      <c r="AB373" s="29"/>
      <c r="AC373" s="29"/>
      <c r="AD373" s="29"/>
      <c r="AE373" s="29"/>
      <c r="AF373" s="29"/>
      <c r="AG373" s="29"/>
      <c r="AH373" s="9"/>
      <c r="AI373" s="9"/>
      <c r="AJ373" s="9"/>
      <c r="AK373" s="9"/>
      <c r="AL373" s="9"/>
      <c r="AM373" s="9"/>
      <c r="AN373" s="9"/>
      <c r="AO373" s="9"/>
      <c r="AP373" s="29"/>
      <c r="AQ373" s="29"/>
      <c r="AR373" s="29"/>
    </row>
    <row r="374" spans="1:44" x14ac:dyDescent="0.25">
      <c r="D374" s="9"/>
      <c r="E374" s="9"/>
      <c r="F374" s="9"/>
      <c r="G374" s="9"/>
      <c r="H374" s="9"/>
      <c r="I374" s="9"/>
      <c r="J374" s="29"/>
      <c r="M374" s="21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29"/>
      <c r="AB374" s="29"/>
      <c r="AC374" s="29"/>
      <c r="AD374" s="29"/>
      <c r="AE374" s="29"/>
      <c r="AF374" s="29"/>
      <c r="AG374" s="29"/>
      <c r="AH374" s="9"/>
      <c r="AI374" s="9"/>
      <c r="AJ374" s="9"/>
      <c r="AK374" s="9"/>
      <c r="AL374" s="9"/>
      <c r="AM374" s="9"/>
      <c r="AN374" s="9"/>
      <c r="AO374" s="9"/>
      <c r="AP374" s="29"/>
      <c r="AQ374" s="29"/>
      <c r="AR374" s="29"/>
    </row>
    <row r="375" spans="1:44" x14ac:dyDescent="0.25">
      <c r="D375" s="9"/>
      <c r="E375" s="9"/>
      <c r="F375" s="9"/>
      <c r="G375" s="9"/>
      <c r="H375" s="9"/>
      <c r="I375" s="9"/>
      <c r="J375" s="29"/>
      <c r="M375" s="21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29"/>
      <c r="AB375" s="29"/>
      <c r="AC375" s="29"/>
      <c r="AD375" s="29"/>
      <c r="AE375" s="29"/>
      <c r="AF375" s="29"/>
      <c r="AG375" s="29"/>
      <c r="AH375" s="9"/>
      <c r="AI375" s="9"/>
      <c r="AJ375" s="9"/>
      <c r="AK375" s="9"/>
      <c r="AL375" s="9"/>
      <c r="AM375" s="9"/>
      <c r="AN375" s="9"/>
      <c r="AO375" s="9"/>
      <c r="AP375" s="29"/>
      <c r="AQ375" s="29"/>
      <c r="AR375" s="29"/>
    </row>
    <row r="376" spans="1:44" x14ac:dyDescent="0.25">
      <c r="D376" s="9"/>
      <c r="E376" s="9"/>
      <c r="F376" s="9"/>
      <c r="G376" s="9"/>
      <c r="H376" s="9"/>
      <c r="I376" s="9"/>
      <c r="J376" s="29"/>
      <c r="M376" s="21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29"/>
      <c r="AB376" s="29"/>
      <c r="AC376" s="29"/>
      <c r="AD376" s="29"/>
      <c r="AE376" s="29"/>
      <c r="AF376" s="29"/>
      <c r="AG376" s="29"/>
      <c r="AH376" s="9"/>
      <c r="AI376" s="9"/>
      <c r="AJ376" s="9"/>
      <c r="AK376" s="9"/>
      <c r="AL376" s="9"/>
      <c r="AM376" s="9"/>
      <c r="AN376" s="9"/>
      <c r="AO376" s="9"/>
      <c r="AP376" s="29"/>
      <c r="AQ376" s="29"/>
      <c r="AR376" s="29"/>
    </row>
    <row r="377" spans="1:44" x14ac:dyDescent="0.25">
      <c r="D377" s="9"/>
      <c r="E377" s="9"/>
      <c r="F377" s="9"/>
      <c r="G377" s="9"/>
      <c r="H377" s="9"/>
      <c r="I377" s="9"/>
      <c r="J377" s="29"/>
      <c r="M377" s="21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29"/>
      <c r="AB377" s="29"/>
      <c r="AC377" s="29"/>
      <c r="AD377" s="29"/>
      <c r="AE377" s="29"/>
      <c r="AF377" s="29"/>
      <c r="AG377" s="29"/>
      <c r="AH377" s="9"/>
      <c r="AI377" s="9"/>
      <c r="AJ377" s="9"/>
      <c r="AK377" s="9"/>
      <c r="AL377" s="9"/>
      <c r="AM377" s="9"/>
      <c r="AN377" s="9"/>
      <c r="AO377" s="9"/>
      <c r="AP377" s="29"/>
      <c r="AQ377" s="29"/>
      <c r="AR377" s="29"/>
    </row>
    <row r="378" spans="1:44" x14ac:dyDescent="0.25">
      <c r="D378" s="9"/>
      <c r="E378" s="9"/>
      <c r="F378" s="9"/>
      <c r="G378" s="9"/>
      <c r="H378" s="9"/>
      <c r="I378" s="9"/>
      <c r="J378" s="29"/>
      <c r="M378" s="21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29"/>
      <c r="AB378" s="29"/>
      <c r="AC378" s="29"/>
      <c r="AD378" s="29"/>
      <c r="AE378" s="29"/>
      <c r="AF378" s="29"/>
      <c r="AG378" s="29"/>
      <c r="AH378" s="9"/>
      <c r="AI378" s="9"/>
      <c r="AJ378" s="9"/>
      <c r="AK378" s="9"/>
      <c r="AL378" s="9"/>
      <c r="AM378" s="9"/>
      <c r="AN378" s="9"/>
      <c r="AO378" s="9"/>
      <c r="AP378" s="29"/>
      <c r="AQ378" s="29"/>
      <c r="AR378" s="29"/>
    </row>
    <row r="379" spans="1:44" x14ac:dyDescent="0.25">
      <c r="D379" s="9"/>
      <c r="E379" s="9"/>
      <c r="F379" s="9"/>
      <c r="G379" s="9"/>
      <c r="H379" s="9"/>
      <c r="I379" s="9"/>
      <c r="J379" s="29"/>
      <c r="M379" s="21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29"/>
      <c r="AB379" s="29"/>
      <c r="AC379" s="29"/>
      <c r="AD379" s="29"/>
      <c r="AE379" s="29"/>
      <c r="AF379" s="29"/>
      <c r="AG379" s="29"/>
      <c r="AH379" s="9"/>
      <c r="AI379" s="9"/>
      <c r="AJ379" s="9"/>
      <c r="AK379" s="9"/>
      <c r="AL379" s="9"/>
      <c r="AM379" s="9"/>
      <c r="AN379" s="9"/>
      <c r="AO379" s="9"/>
      <c r="AP379" s="29"/>
      <c r="AQ379" s="29"/>
      <c r="AR379" s="29"/>
    </row>
    <row r="380" spans="1:44" x14ac:dyDescent="0.25">
      <c r="D380" s="9"/>
      <c r="E380" s="9"/>
      <c r="F380" s="9"/>
      <c r="G380" s="9"/>
      <c r="H380" s="9"/>
      <c r="I380" s="9"/>
      <c r="J380" s="29"/>
      <c r="M380" s="21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29"/>
      <c r="AB380" s="29"/>
      <c r="AC380" s="29"/>
      <c r="AD380" s="29"/>
      <c r="AE380" s="29"/>
      <c r="AF380" s="29"/>
      <c r="AG380" s="29"/>
      <c r="AH380" s="9"/>
      <c r="AI380" s="9"/>
      <c r="AJ380" s="9"/>
      <c r="AK380" s="9"/>
      <c r="AL380" s="9"/>
      <c r="AM380" s="9"/>
      <c r="AN380" s="9"/>
      <c r="AO380" s="9"/>
      <c r="AP380" s="29"/>
      <c r="AQ380" s="29"/>
      <c r="AR380" s="29"/>
    </row>
    <row r="381" spans="1:44" x14ac:dyDescent="0.25">
      <c r="D381" s="9"/>
      <c r="E381" s="9"/>
      <c r="F381" s="9"/>
      <c r="G381" s="9"/>
      <c r="H381" s="9"/>
      <c r="I381" s="9"/>
      <c r="J381" s="29"/>
      <c r="M381" s="21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29"/>
      <c r="AB381" s="29"/>
      <c r="AC381" s="29"/>
      <c r="AD381" s="29"/>
      <c r="AE381" s="29"/>
      <c r="AF381" s="29"/>
      <c r="AG381" s="29"/>
      <c r="AH381" s="9"/>
      <c r="AI381" s="9"/>
      <c r="AJ381" s="9"/>
      <c r="AK381" s="9"/>
      <c r="AL381" s="9"/>
      <c r="AM381" s="9"/>
      <c r="AN381" s="9"/>
      <c r="AO381" s="9"/>
      <c r="AP381" s="29"/>
      <c r="AQ381" s="29"/>
      <c r="AR381" s="29"/>
    </row>
    <row r="382" spans="1:44" x14ac:dyDescent="0.25">
      <c r="D382" s="9"/>
      <c r="E382" s="9"/>
      <c r="F382" s="9"/>
      <c r="G382" s="9"/>
      <c r="H382" s="9"/>
      <c r="I382" s="9"/>
      <c r="J382" s="29"/>
      <c r="M382" s="21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29"/>
      <c r="AB382" s="29"/>
      <c r="AC382" s="29"/>
      <c r="AD382" s="29"/>
      <c r="AE382" s="29"/>
      <c r="AF382" s="29"/>
      <c r="AG382" s="29"/>
      <c r="AH382" s="9"/>
      <c r="AI382" s="9"/>
      <c r="AJ382" s="9"/>
      <c r="AK382" s="9"/>
      <c r="AL382" s="9"/>
      <c r="AM382" s="9"/>
      <c r="AN382" s="9"/>
      <c r="AO382" s="9"/>
      <c r="AP382" s="29"/>
      <c r="AQ382" s="29"/>
      <c r="AR382" s="29"/>
    </row>
    <row r="383" spans="1:44" x14ac:dyDescent="0.25">
      <c r="D383" s="9"/>
      <c r="E383" s="9"/>
      <c r="F383" s="9"/>
      <c r="G383" s="9"/>
      <c r="H383" s="9"/>
      <c r="I383" s="9"/>
      <c r="J383" s="29"/>
      <c r="M383" s="21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29"/>
      <c r="AB383" s="29"/>
      <c r="AC383" s="29"/>
      <c r="AD383" s="29"/>
      <c r="AE383" s="29"/>
      <c r="AF383" s="29"/>
      <c r="AG383" s="29"/>
      <c r="AH383" s="9"/>
      <c r="AI383" s="9"/>
      <c r="AJ383" s="9"/>
      <c r="AK383" s="9"/>
      <c r="AL383" s="9"/>
      <c r="AM383" s="9"/>
      <c r="AN383" s="9"/>
      <c r="AO383" s="9"/>
      <c r="AP383" s="29"/>
      <c r="AQ383" s="29"/>
      <c r="AR383" s="29"/>
    </row>
    <row r="384" spans="1:44" x14ac:dyDescent="0.25">
      <c r="D384" s="9"/>
      <c r="E384" s="9"/>
      <c r="F384" s="9"/>
      <c r="G384" s="9"/>
      <c r="H384" s="9"/>
      <c r="I384" s="9"/>
      <c r="J384" s="29"/>
      <c r="M384" s="21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29"/>
      <c r="AB384" s="29"/>
      <c r="AC384" s="29"/>
      <c r="AD384" s="29"/>
      <c r="AE384" s="29"/>
      <c r="AF384" s="29"/>
      <c r="AG384" s="29"/>
      <c r="AH384" s="9"/>
      <c r="AI384" s="9"/>
      <c r="AJ384" s="9"/>
      <c r="AK384" s="9"/>
      <c r="AL384" s="9"/>
      <c r="AM384" s="9"/>
      <c r="AN384" s="9"/>
      <c r="AO384" s="9"/>
      <c r="AP384" s="29"/>
      <c r="AQ384" s="29"/>
      <c r="AR384" s="29"/>
    </row>
    <row r="385" spans="4:44" x14ac:dyDescent="0.25">
      <c r="D385" s="9"/>
      <c r="E385" s="9"/>
      <c r="F385" s="9"/>
      <c r="G385" s="9"/>
      <c r="H385" s="9"/>
      <c r="I385" s="9"/>
      <c r="J385" s="29"/>
      <c r="M385" s="21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29"/>
      <c r="AB385" s="29"/>
      <c r="AC385" s="29"/>
      <c r="AD385" s="29"/>
      <c r="AE385" s="29"/>
      <c r="AF385" s="29"/>
      <c r="AG385" s="29"/>
      <c r="AH385" s="9"/>
      <c r="AI385" s="9"/>
      <c r="AJ385" s="9"/>
      <c r="AK385" s="9"/>
      <c r="AL385" s="9"/>
      <c r="AM385" s="9"/>
      <c r="AN385" s="9"/>
      <c r="AO385" s="9"/>
      <c r="AP385" s="29"/>
      <c r="AQ385" s="29"/>
      <c r="AR385" s="29"/>
    </row>
    <row r="386" spans="4:44" x14ac:dyDescent="0.25">
      <c r="D386" s="9"/>
      <c r="E386" s="9"/>
      <c r="F386" s="9"/>
      <c r="G386" s="9"/>
      <c r="H386" s="9"/>
      <c r="I386" s="9"/>
      <c r="J386" s="29"/>
      <c r="M386" s="21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29"/>
      <c r="AB386" s="29"/>
      <c r="AC386" s="29"/>
      <c r="AD386" s="29"/>
      <c r="AE386" s="29"/>
      <c r="AF386" s="29"/>
      <c r="AG386" s="29"/>
      <c r="AH386" s="9"/>
      <c r="AI386" s="9"/>
      <c r="AJ386" s="9"/>
      <c r="AK386" s="9"/>
      <c r="AL386" s="9"/>
      <c r="AM386" s="9"/>
      <c r="AN386" s="9"/>
      <c r="AO386" s="9"/>
      <c r="AP386" s="29"/>
      <c r="AQ386" s="29"/>
      <c r="AR386" s="29"/>
    </row>
    <row r="387" spans="4:44" x14ac:dyDescent="0.25">
      <c r="D387" s="9"/>
      <c r="E387" s="9"/>
      <c r="F387" s="9"/>
      <c r="G387" s="9"/>
      <c r="H387" s="9"/>
      <c r="I387" s="9"/>
      <c r="J387" s="29"/>
      <c r="M387" s="21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29"/>
      <c r="AB387" s="29"/>
      <c r="AC387" s="29"/>
      <c r="AD387" s="29"/>
      <c r="AE387" s="29"/>
      <c r="AF387" s="29"/>
      <c r="AG387" s="29"/>
      <c r="AH387" s="9"/>
      <c r="AI387" s="9"/>
      <c r="AJ387" s="9"/>
      <c r="AK387" s="9"/>
      <c r="AL387" s="9"/>
      <c r="AM387" s="9"/>
      <c r="AN387" s="9"/>
      <c r="AO387" s="9"/>
      <c r="AP387" s="29"/>
      <c r="AQ387" s="29"/>
      <c r="AR387" s="29"/>
    </row>
    <row r="388" spans="4:44" x14ac:dyDescent="0.25">
      <c r="D388" s="9"/>
      <c r="E388" s="9"/>
      <c r="F388" s="9"/>
      <c r="G388" s="9"/>
      <c r="H388" s="9"/>
      <c r="I388" s="9"/>
      <c r="J388" s="29"/>
      <c r="M388" s="21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29"/>
      <c r="AB388" s="29"/>
      <c r="AC388" s="29"/>
      <c r="AD388" s="29"/>
      <c r="AE388" s="29"/>
      <c r="AF388" s="29"/>
      <c r="AG388" s="29"/>
      <c r="AH388" s="9"/>
      <c r="AI388" s="9"/>
      <c r="AJ388" s="9"/>
      <c r="AK388" s="9"/>
      <c r="AL388" s="9"/>
      <c r="AM388" s="9"/>
      <c r="AN388" s="9"/>
      <c r="AO388" s="9"/>
      <c r="AP388" s="29"/>
      <c r="AQ388" s="29"/>
      <c r="AR388" s="29"/>
    </row>
    <row r="389" spans="4:44" x14ac:dyDescent="0.25">
      <c r="D389" s="9"/>
      <c r="E389" s="9"/>
      <c r="F389" s="9"/>
      <c r="G389" s="9"/>
      <c r="H389" s="9"/>
      <c r="I389" s="9"/>
      <c r="J389" s="29"/>
      <c r="M389" s="21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29"/>
      <c r="AB389" s="29"/>
      <c r="AC389" s="29"/>
      <c r="AD389" s="29"/>
      <c r="AE389" s="29"/>
      <c r="AF389" s="29"/>
      <c r="AG389" s="29"/>
      <c r="AH389" s="9"/>
      <c r="AI389" s="9"/>
      <c r="AJ389" s="9"/>
      <c r="AK389" s="9"/>
      <c r="AL389" s="9"/>
      <c r="AM389" s="9"/>
      <c r="AN389" s="9"/>
      <c r="AO389" s="9"/>
      <c r="AP389" s="29"/>
      <c r="AQ389" s="29"/>
      <c r="AR389" s="29"/>
    </row>
    <row r="390" spans="4:44" x14ac:dyDescent="0.25">
      <c r="D390" s="9"/>
      <c r="E390" s="9"/>
      <c r="F390" s="9"/>
      <c r="G390" s="9"/>
      <c r="H390" s="9"/>
      <c r="I390" s="9"/>
      <c r="J390" s="29"/>
      <c r="M390" s="21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29"/>
      <c r="AB390" s="29"/>
      <c r="AC390" s="29"/>
      <c r="AD390" s="29"/>
      <c r="AE390" s="29"/>
      <c r="AF390" s="29"/>
      <c r="AG390" s="29"/>
      <c r="AH390" s="9"/>
      <c r="AI390" s="9"/>
      <c r="AJ390" s="9"/>
      <c r="AK390" s="9"/>
      <c r="AL390" s="9"/>
      <c r="AM390" s="9"/>
      <c r="AN390" s="9"/>
      <c r="AO390" s="9"/>
      <c r="AP390" s="29"/>
      <c r="AQ390" s="29"/>
      <c r="AR390" s="29"/>
    </row>
    <row r="391" spans="4:44" x14ac:dyDescent="0.25">
      <c r="D391" s="9"/>
      <c r="E391" s="9"/>
      <c r="F391" s="9"/>
      <c r="G391" s="9"/>
      <c r="H391" s="9"/>
      <c r="I391" s="9"/>
      <c r="J391" s="29"/>
      <c r="M391" s="21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29"/>
      <c r="AB391" s="29"/>
      <c r="AC391" s="29"/>
      <c r="AD391" s="29"/>
      <c r="AE391" s="29"/>
      <c r="AF391" s="29"/>
      <c r="AG391" s="29"/>
      <c r="AH391" s="9"/>
      <c r="AI391" s="9"/>
      <c r="AJ391" s="9"/>
      <c r="AK391" s="9"/>
      <c r="AL391" s="9"/>
      <c r="AM391" s="9"/>
      <c r="AN391" s="9"/>
      <c r="AO391" s="9"/>
      <c r="AP391" s="29"/>
      <c r="AQ391" s="29"/>
      <c r="AR391" s="29"/>
    </row>
    <row r="392" spans="4:44" x14ac:dyDescent="0.25">
      <c r="D392" s="9"/>
      <c r="E392" s="9"/>
      <c r="F392" s="9"/>
      <c r="G392" s="9"/>
      <c r="H392" s="9"/>
      <c r="I392" s="9"/>
      <c r="J392" s="29"/>
      <c r="M392" s="21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29"/>
      <c r="AB392" s="29"/>
      <c r="AC392" s="29"/>
      <c r="AD392" s="29"/>
      <c r="AE392" s="29"/>
      <c r="AF392" s="29"/>
      <c r="AG392" s="29"/>
      <c r="AH392" s="9"/>
      <c r="AI392" s="9"/>
      <c r="AJ392" s="9"/>
      <c r="AK392" s="9"/>
      <c r="AL392" s="9"/>
      <c r="AM392" s="9"/>
      <c r="AN392" s="9"/>
      <c r="AO392" s="9"/>
      <c r="AP392" s="29"/>
      <c r="AQ392" s="29"/>
      <c r="AR392" s="29"/>
    </row>
    <row r="393" spans="4:44" x14ac:dyDescent="0.25">
      <c r="D393" s="9"/>
      <c r="E393" s="9"/>
      <c r="F393" s="9"/>
      <c r="G393" s="9"/>
      <c r="H393" s="9"/>
      <c r="I393" s="9"/>
      <c r="J393" s="29"/>
      <c r="M393" s="21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29"/>
      <c r="AB393" s="29"/>
      <c r="AC393" s="29"/>
      <c r="AD393" s="29"/>
      <c r="AE393" s="29"/>
      <c r="AF393" s="29"/>
      <c r="AG393" s="29"/>
      <c r="AH393" s="9"/>
      <c r="AI393" s="9"/>
      <c r="AJ393" s="9"/>
      <c r="AK393" s="9"/>
      <c r="AL393" s="9"/>
      <c r="AM393" s="9"/>
      <c r="AN393" s="9"/>
      <c r="AO393" s="9"/>
      <c r="AP393" s="29"/>
      <c r="AQ393" s="29"/>
      <c r="AR393" s="29"/>
    </row>
    <row r="394" spans="4:44" x14ac:dyDescent="0.25">
      <c r="D394" s="9"/>
      <c r="E394" s="9"/>
      <c r="F394" s="9"/>
      <c r="G394" s="9"/>
      <c r="H394" s="9"/>
      <c r="I394" s="9"/>
      <c r="J394" s="29"/>
      <c r="M394" s="21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29"/>
      <c r="AB394" s="29"/>
      <c r="AC394" s="29"/>
      <c r="AD394" s="29"/>
      <c r="AE394" s="29"/>
      <c r="AF394" s="29"/>
      <c r="AG394" s="29"/>
      <c r="AH394" s="9"/>
      <c r="AI394" s="9"/>
      <c r="AJ394" s="9"/>
      <c r="AK394" s="9"/>
      <c r="AL394" s="9"/>
      <c r="AM394" s="9"/>
      <c r="AN394" s="9"/>
      <c r="AO394" s="9"/>
      <c r="AP394" s="29"/>
      <c r="AQ394" s="29"/>
      <c r="AR394" s="29"/>
    </row>
    <row r="395" spans="4:44" x14ac:dyDescent="0.25">
      <c r="D395" s="9"/>
      <c r="E395" s="9"/>
      <c r="F395" s="9"/>
      <c r="G395" s="9"/>
      <c r="H395" s="9"/>
      <c r="I395" s="9"/>
      <c r="J395" s="29"/>
      <c r="M395" s="21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29"/>
      <c r="AB395" s="29"/>
      <c r="AC395" s="29"/>
      <c r="AD395" s="29"/>
      <c r="AE395" s="29"/>
      <c r="AF395" s="29"/>
      <c r="AG395" s="29"/>
      <c r="AH395" s="9"/>
      <c r="AI395" s="9"/>
      <c r="AJ395" s="9"/>
      <c r="AK395" s="9"/>
      <c r="AL395" s="9"/>
      <c r="AM395" s="9"/>
      <c r="AN395" s="9"/>
      <c r="AO395" s="9"/>
      <c r="AP395" s="29"/>
      <c r="AQ395" s="29"/>
      <c r="AR395" s="29"/>
    </row>
    <row r="396" spans="4:44" x14ac:dyDescent="0.25">
      <c r="D396" s="9"/>
      <c r="E396" s="9"/>
      <c r="F396" s="9"/>
      <c r="G396" s="9"/>
      <c r="H396" s="9"/>
      <c r="I396" s="9"/>
      <c r="J396" s="29"/>
      <c r="M396" s="21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29"/>
      <c r="AB396" s="29"/>
      <c r="AC396" s="29"/>
      <c r="AD396" s="29"/>
      <c r="AE396" s="29"/>
      <c r="AF396" s="29"/>
      <c r="AG396" s="29"/>
      <c r="AH396" s="9"/>
      <c r="AI396" s="9"/>
      <c r="AJ396" s="9"/>
      <c r="AK396" s="9"/>
      <c r="AL396" s="9"/>
      <c r="AM396" s="9"/>
      <c r="AN396" s="9"/>
      <c r="AO396" s="9"/>
      <c r="AP396" s="29"/>
      <c r="AQ396" s="29"/>
      <c r="AR396" s="29"/>
    </row>
    <row r="397" spans="4:44" x14ac:dyDescent="0.25">
      <c r="D397" s="9"/>
      <c r="E397" s="9"/>
      <c r="F397" s="9"/>
      <c r="G397" s="9"/>
      <c r="H397" s="9"/>
      <c r="I397" s="9"/>
      <c r="J397" s="29"/>
      <c r="M397" s="21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29"/>
      <c r="AB397" s="29"/>
      <c r="AC397" s="29"/>
      <c r="AD397" s="29"/>
      <c r="AE397" s="29"/>
      <c r="AF397" s="29"/>
      <c r="AG397" s="29"/>
      <c r="AH397" s="9"/>
      <c r="AI397" s="9"/>
      <c r="AJ397" s="9"/>
      <c r="AK397" s="9"/>
      <c r="AL397" s="9"/>
      <c r="AM397" s="9"/>
      <c r="AN397" s="9"/>
      <c r="AO397" s="9"/>
      <c r="AP397" s="29"/>
      <c r="AQ397" s="29"/>
      <c r="AR397" s="29"/>
    </row>
    <row r="398" spans="4:44" x14ac:dyDescent="0.25">
      <c r="D398" s="9"/>
      <c r="E398" s="9"/>
      <c r="F398" s="9"/>
      <c r="G398" s="9"/>
      <c r="H398" s="9"/>
      <c r="I398" s="9"/>
      <c r="J398" s="29"/>
      <c r="M398" s="21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29"/>
      <c r="AB398" s="29"/>
      <c r="AC398" s="29"/>
      <c r="AD398" s="29"/>
      <c r="AE398" s="29"/>
      <c r="AF398" s="29"/>
      <c r="AG398" s="29"/>
      <c r="AH398" s="9"/>
      <c r="AI398" s="9"/>
      <c r="AJ398" s="9"/>
      <c r="AK398" s="9"/>
      <c r="AL398" s="9"/>
      <c r="AM398" s="9"/>
      <c r="AN398" s="9"/>
      <c r="AO398" s="9"/>
      <c r="AP398" s="29"/>
      <c r="AQ398" s="29"/>
      <c r="AR398" s="29"/>
    </row>
    <row r="399" spans="4:44" x14ac:dyDescent="0.25">
      <c r="D399" s="9"/>
      <c r="E399" s="9"/>
      <c r="F399" s="9"/>
      <c r="G399" s="9"/>
      <c r="H399" s="9"/>
      <c r="I399" s="9"/>
      <c r="J399" s="29"/>
      <c r="M399" s="21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29"/>
      <c r="AB399" s="29"/>
      <c r="AC399" s="29"/>
      <c r="AD399" s="29"/>
      <c r="AE399" s="29"/>
      <c r="AF399" s="29"/>
      <c r="AG399" s="29"/>
      <c r="AH399" s="9"/>
      <c r="AI399" s="9"/>
      <c r="AJ399" s="9"/>
      <c r="AK399" s="9"/>
      <c r="AL399" s="9"/>
      <c r="AM399" s="9"/>
      <c r="AN399" s="9"/>
      <c r="AO399" s="9"/>
      <c r="AP399" s="29"/>
      <c r="AQ399" s="29"/>
      <c r="AR399" s="29"/>
    </row>
    <row r="400" spans="4:44" x14ac:dyDescent="0.25">
      <c r="D400" s="9"/>
      <c r="E400" s="9"/>
      <c r="F400" s="9"/>
      <c r="G400" s="9"/>
      <c r="H400" s="9"/>
      <c r="I400" s="9"/>
      <c r="J400" s="29"/>
      <c r="M400" s="21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29"/>
      <c r="AB400" s="29"/>
      <c r="AC400" s="29"/>
      <c r="AD400" s="29"/>
      <c r="AE400" s="29"/>
      <c r="AF400" s="29"/>
      <c r="AG400" s="29"/>
      <c r="AH400" s="9"/>
      <c r="AI400" s="9"/>
      <c r="AJ400" s="9"/>
      <c r="AK400" s="9"/>
      <c r="AL400" s="9"/>
      <c r="AM400" s="9"/>
      <c r="AN400" s="9"/>
      <c r="AO400" s="9"/>
      <c r="AP400" s="29"/>
      <c r="AQ400" s="29"/>
      <c r="AR400" s="29"/>
    </row>
    <row r="401" spans="4:44" x14ac:dyDescent="0.25">
      <c r="D401" s="9"/>
      <c r="E401" s="9"/>
      <c r="F401" s="9"/>
      <c r="G401" s="9"/>
      <c r="H401" s="9"/>
      <c r="I401" s="9"/>
      <c r="J401" s="29"/>
      <c r="M401" s="21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29"/>
      <c r="AB401" s="29"/>
      <c r="AC401" s="29"/>
      <c r="AD401" s="29"/>
      <c r="AE401" s="29"/>
      <c r="AF401" s="29"/>
      <c r="AG401" s="29"/>
      <c r="AH401" s="9"/>
      <c r="AI401" s="9"/>
      <c r="AJ401" s="9"/>
      <c r="AK401" s="9"/>
      <c r="AL401" s="9"/>
      <c r="AM401" s="9"/>
      <c r="AN401" s="9"/>
      <c r="AO401" s="9"/>
      <c r="AP401" s="29"/>
      <c r="AQ401" s="29"/>
      <c r="AR401" s="29"/>
    </row>
    <row r="402" spans="4:44" x14ac:dyDescent="0.25">
      <c r="D402" s="9"/>
      <c r="E402" s="9"/>
      <c r="F402" s="9"/>
      <c r="G402" s="9"/>
      <c r="H402" s="9"/>
      <c r="I402" s="9"/>
      <c r="J402" s="29"/>
      <c r="M402" s="21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29"/>
      <c r="AB402" s="29"/>
      <c r="AC402" s="29"/>
      <c r="AD402" s="29"/>
      <c r="AE402" s="29"/>
      <c r="AF402" s="29"/>
      <c r="AG402" s="29"/>
      <c r="AH402" s="9"/>
      <c r="AI402" s="9"/>
      <c r="AJ402" s="9"/>
      <c r="AK402" s="9"/>
      <c r="AL402" s="9"/>
      <c r="AM402" s="9"/>
      <c r="AN402" s="9"/>
      <c r="AO402" s="9"/>
      <c r="AP402" s="29"/>
      <c r="AQ402" s="29"/>
      <c r="AR402" s="29"/>
    </row>
    <row r="403" spans="4:44" x14ac:dyDescent="0.25">
      <c r="D403" s="9"/>
      <c r="E403" s="9"/>
      <c r="F403" s="9"/>
      <c r="G403" s="9"/>
      <c r="H403" s="9"/>
      <c r="I403" s="9"/>
      <c r="J403" s="29"/>
      <c r="M403" s="21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29"/>
      <c r="AB403" s="29"/>
      <c r="AC403" s="29"/>
      <c r="AD403" s="29"/>
      <c r="AE403" s="29"/>
      <c r="AF403" s="29"/>
      <c r="AG403" s="29"/>
      <c r="AH403" s="9"/>
      <c r="AI403" s="9"/>
      <c r="AJ403" s="9"/>
      <c r="AK403" s="9"/>
      <c r="AL403" s="9"/>
      <c r="AM403" s="9"/>
      <c r="AN403" s="9"/>
      <c r="AO403" s="9"/>
      <c r="AP403" s="29"/>
      <c r="AQ403" s="29"/>
      <c r="AR403" s="29"/>
    </row>
    <row r="404" spans="4:44" x14ac:dyDescent="0.25">
      <c r="D404" s="9"/>
      <c r="E404" s="9"/>
      <c r="F404" s="9"/>
      <c r="G404" s="9"/>
      <c r="H404" s="9"/>
      <c r="I404" s="9"/>
      <c r="J404" s="29"/>
      <c r="M404" s="21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29"/>
      <c r="AB404" s="29"/>
      <c r="AC404" s="29"/>
      <c r="AD404" s="29"/>
      <c r="AE404" s="29"/>
      <c r="AF404" s="29"/>
      <c r="AG404" s="29"/>
      <c r="AH404" s="9"/>
      <c r="AI404" s="9"/>
      <c r="AJ404" s="9"/>
      <c r="AK404" s="9"/>
      <c r="AL404" s="9"/>
      <c r="AM404" s="9"/>
      <c r="AN404" s="9"/>
      <c r="AO404" s="9"/>
      <c r="AP404" s="29"/>
      <c r="AQ404" s="29"/>
      <c r="AR404" s="29"/>
    </row>
    <row r="405" spans="4:44" x14ac:dyDescent="0.25">
      <c r="D405" s="9"/>
      <c r="E405" s="9"/>
      <c r="F405" s="9"/>
      <c r="G405" s="9"/>
      <c r="H405" s="9"/>
      <c r="I405" s="9"/>
      <c r="J405" s="29"/>
      <c r="M405" s="21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29"/>
      <c r="AB405" s="29"/>
      <c r="AC405" s="29"/>
      <c r="AD405" s="29"/>
      <c r="AE405" s="29"/>
      <c r="AF405" s="29"/>
      <c r="AG405" s="29"/>
      <c r="AH405" s="9"/>
      <c r="AI405" s="9"/>
      <c r="AJ405" s="9"/>
      <c r="AK405" s="9"/>
      <c r="AL405" s="9"/>
      <c r="AM405" s="9"/>
      <c r="AN405" s="9"/>
      <c r="AO405" s="9"/>
      <c r="AP405" s="29"/>
      <c r="AQ405" s="29"/>
      <c r="AR405" s="29"/>
    </row>
    <row r="406" spans="4:44" x14ac:dyDescent="0.25">
      <c r="D406" s="9"/>
      <c r="E406" s="9"/>
      <c r="F406" s="9"/>
      <c r="G406" s="9"/>
      <c r="H406" s="9"/>
      <c r="I406" s="9"/>
      <c r="J406" s="29"/>
      <c r="M406" s="21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29"/>
      <c r="AB406" s="29"/>
      <c r="AC406" s="29"/>
      <c r="AD406" s="29"/>
      <c r="AE406" s="29"/>
      <c r="AF406" s="29"/>
      <c r="AG406" s="29"/>
      <c r="AH406" s="9"/>
      <c r="AI406" s="9"/>
      <c r="AJ406" s="9"/>
      <c r="AK406" s="9"/>
      <c r="AL406" s="9"/>
      <c r="AM406" s="9"/>
      <c r="AN406" s="9"/>
      <c r="AO406" s="9"/>
      <c r="AP406" s="29"/>
      <c r="AQ406" s="29"/>
      <c r="AR406" s="29"/>
    </row>
    <row r="407" spans="4:44" x14ac:dyDescent="0.25">
      <c r="D407" s="9"/>
      <c r="E407" s="9"/>
      <c r="F407" s="9"/>
      <c r="G407" s="9"/>
      <c r="H407" s="9"/>
      <c r="I407" s="9"/>
      <c r="J407" s="29"/>
      <c r="M407" s="21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29"/>
      <c r="AB407" s="29"/>
      <c r="AC407" s="29"/>
      <c r="AD407" s="29"/>
      <c r="AE407" s="29"/>
      <c r="AF407" s="29"/>
      <c r="AG407" s="29"/>
      <c r="AH407" s="9"/>
      <c r="AI407" s="9"/>
      <c r="AJ407" s="9"/>
      <c r="AK407" s="9"/>
      <c r="AL407" s="9"/>
      <c r="AM407" s="9"/>
      <c r="AN407" s="9"/>
      <c r="AO407" s="9"/>
      <c r="AP407" s="29"/>
      <c r="AQ407" s="29"/>
      <c r="AR407" s="29"/>
    </row>
    <row r="408" spans="4:44" x14ac:dyDescent="0.25">
      <c r="D408" s="9"/>
      <c r="E408" s="9"/>
      <c r="F408" s="9"/>
      <c r="G408" s="9"/>
      <c r="H408" s="9"/>
      <c r="I408" s="9"/>
      <c r="J408" s="29"/>
      <c r="M408" s="21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29"/>
      <c r="AB408" s="29"/>
      <c r="AC408" s="29"/>
      <c r="AD408" s="29"/>
      <c r="AE408" s="29"/>
      <c r="AF408" s="29"/>
      <c r="AG408" s="29"/>
      <c r="AH408" s="9"/>
      <c r="AI408" s="9"/>
      <c r="AJ408" s="9"/>
      <c r="AK408" s="9"/>
      <c r="AL408" s="9"/>
      <c r="AM408" s="9"/>
      <c r="AN408" s="9"/>
      <c r="AO408" s="9"/>
      <c r="AP408" s="29"/>
      <c r="AQ408" s="29"/>
      <c r="AR408" s="29"/>
    </row>
    <row r="409" spans="4:44" x14ac:dyDescent="0.25">
      <c r="D409" s="9"/>
      <c r="E409" s="9"/>
      <c r="F409" s="9"/>
      <c r="G409" s="9"/>
      <c r="H409" s="9"/>
      <c r="I409" s="9"/>
      <c r="J409" s="29"/>
      <c r="M409" s="21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29"/>
      <c r="AB409" s="29"/>
      <c r="AC409" s="29"/>
      <c r="AD409" s="29"/>
      <c r="AE409" s="29"/>
      <c r="AF409" s="29"/>
      <c r="AG409" s="29"/>
      <c r="AH409" s="9"/>
      <c r="AI409" s="9"/>
      <c r="AJ409" s="9"/>
      <c r="AK409" s="9"/>
      <c r="AL409" s="9"/>
      <c r="AM409" s="9"/>
      <c r="AN409" s="9"/>
      <c r="AO409" s="9"/>
      <c r="AP409" s="29"/>
      <c r="AQ409" s="29"/>
      <c r="AR409" s="29"/>
    </row>
    <row r="410" spans="4:44" x14ac:dyDescent="0.25">
      <c r="D410" s="9"/>
      <c r="E410" s="9"/>
      <c r="F410" s="9"/>
      <c r="G410" s="9"/>
      <c r="H410" s="9"/>
      <c r="I410" s="9"/>
      <c r="J410" s="29"/>
      <c r="M410" s="21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29"/>
      <c r="AB410" s="29"/>
      <c r="AC410" s="29"/>
      <c r="AD410" s="29"/>
      <c r="AE410" s="29"/>
      <c r="AF410" s="29"/>
      <c r="AG410" s="29"/>
      <c r="AH410" s="9"/>
      <c r="AI410" s="9"/>
      <c r="AJ410" s="9"/>
      <c r="AK410" s="9"/>
      <c r="AL410" s="9"/>
      <c r="AM410" s="9"/>
      <c r="AN410" s="9"/>
      <c r="AO410" s="9"/>
      <c r="AP410" s="29"/>
      <c r="AQ410" s="29"/>
      <c r="AR410" s="29"/>
    </row>
    <row r="411" spans="4:44" x14ac:dyDescent="0.25">
      <c r="D411" s="9"/>
      <c r="E411" s="9"/>
      <c r="F411" s="9"/>
      <c r="G411" s="9"/>
      <c r="H411" s="9"/>
      <c r="I411" s="9"/>
      <c r="J411" s="29"/>
      <c r="M411" s="21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29"/>
      <c r="AB411" s="29"/>
      <c r="AC411" s="29"/>
      <c r="AD411" s="29"/>
      <c r="AE411" s="29"/>
      <c r="AF411" s="29"/>
      <c r="AG411" s="29"/>
      <c r="AH411" s="9"/>
      <c r="AI411" s="9"/>
      <c r="AJ411" s="9"/>
      <c r="AK411" s="9"/>
      <c r="AL411" s="9"/>
      <c r="AM411" s="9"/>
      <c r="AN411" s="9"/>
      <c r="AO411" s="9"/>
      <c r="AP411" s="29"/>
      <c r="AQ411" s="29"/>
      <c r="AR411" s="29"/>
    </row>
    <row r="412" spans="4:44" x14ac:dyDescent="0.25">
      <c r="D412" s="9"/>
      <c r="E412" s="9"/>
      <c r="F412" s="9"/>
      <c r="G412" s="9"/>
      <c r="H412" s="9"/>
      <c r="I412" s="9"/>
      <c r="J412" s="29"/>
      <c r="M412" s="21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29"/>
      <c r="AB412" s="29"/>
      <c r="AC412" s="29"/>
      <c r="AD412" s="29"/>
      <c r="AE412" s="29"/>
      <c r="AF412" s="29"/>
      <c r="AG412" s="29"/>
      <c r="AH412" s="9"/>
      <c r="AI412" s="9"/>
      <c r="AJ412" s="9"/>
      <c r="AK412" s="9"/>
      <c r="AL412" s="9"/>
      <c r="AM412" s="9"/>
      <c r="AN412" s="9"/>
      <c r="AO412" s="9"/>
      <c r="AP412" s="29"/>
      <c r="AQ412" s="29"/>
      <c r="AR412" s="29"/>
    </row>
    <row r="413" spans="4:44" x14ac:dyDescent="0.25">
      <c r="D413" s="9"/>
      <c r="E413" s="9"/>
      <c r="F413" s="9"/>
      <c r="G413" s="9"/>
      <c r="H413" s="9"/>
      <c r="I413" s="9"/>
      <c r="J413" s="29"/>
      <c r="M413" s="21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29"/>
      <c r="AB413" s="29"/>
      <c r="AC413" s="29"/>
      <c r="AD413" s="29"/>
      <c r="AE413" s="29"/>
      <c r="AF413" s="29"/>
      <c r="AG413" s="29"/>
      <c r="AH413" s="9"/>
      <c r="AI413" s="9"/>
      <c r="AJ413" s="9"/>
      <c r="AK413" s="9"/>
      <c r="AL413" s="9"/>
      <c r="AM413" s="9"/>
      <c r="AN413" s="9"/>
      <c r="AO413" s="9"/>
      <c r="AP413" s="29"/>
      <c r="AQ413" s="29"/>
      <c r="AR413" s="29"/>
    </row>
    <row r="414" spans="4:44" x14ac:dyDescent="0.25">
      <c r="D414" s="9"/>
      <c r="E414" s="9"/>
      <c r="F414" s="9"/>
      <c r="G414" s="9"/>
      <c r="H414" s="9"/>
      <c r="I414" s="9"/>
      <c r="J414" s="29"/>
      <c r="M414" s="21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29"/>
      <c r="AB414" s="29"/>
      <c r="AC414" s="29"/>
      <c r="AD414" s="29"/>
      <c r="AE414" s="29"/>
      <c r="AF414" s="29"/>
      <c r="AG414" s="29"/>
      <c r="AH414" s="9"/>
      <c r="AI414" s="9"/>
      <c r="AJ414" s="9"/>
      <c r="AK414" s="9"/>
      <c r="AL414" s="9"/>
      <c r="AM414" s="9"/>
      <c r="AN414" s="9"/>
      <c r="AO414" s="9"/>
      <c r="AP414" s="29"/>
      <c r="AQ414" s="29"/>
      <c r="AR414" s="29"/>
    </row>
    <row r="415" spans="4:44" x14ac:dyDescent="0.25">
      <c r="D415" s="9"/>
      <c r="E415" s="9"/>
      <c r="F415" s="9"/>
      <c r="G415" s="9"/>
      <c r="H415" s="9"/>
      <c r="I415" s="9"/>
      <c r="J415" s="29"/>
      <c r="M415" s="21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29"/>
      <c r="AB415" s="29"/>
      <c r="AC415" s="29"/>
      <c r="AD415" s="29"/>
      <c r="AE415" s="29"/>
      <c r="AF415" s="29"/>
      <c r="AG415" s="29"/>
      <c r="AH415" s="9"/>
      <c r="AI415" s="9"/>
      <c r="AJ415" s="9"/>
      <c r="AK415" s="9"/>
      <c r="AL415" s="9"/>
      <c r="AM415" s="9"/>
      <c r="AN415" s="9"/>
      <c r="AO415" s="9"/>
      <c r="AP415" s="29"/>
      <c r="AQ415" s="29"/>
      <c r="AR415" s="29"/>
    </row>
    <row r="416" spans="4:44" x14ac:dyDescent="0.25">
      <c r="D416" s="9"/>
      <c r="E416" s="9"/>
      <c r="F416" s="9"/>
      <c r="G416" s="9"/>
      <c r="H416" s="9"/>
      <c r="I416" s="9"/>
      <c r="J416" s="29"/>
      <c r="M416" s="21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29"/>
      <c r="AB416" s="29"/>
      <c r="AC416" s="29"/>
      <c r="AD416" s="29"/>
      <c r="AE416" s="29"/>
      <c r="AF416" s="29"/>
      <c r="AG416" s="29"/>
      <c r="AH416" s="9"/>
      <c r="AI416" s="9"/>
      <c r="AJ416" s="9"/>
      <c r="AK416" s="9"/>
      <c r="AL416" s="9"/>
      <c r="AM416" s="9"/>
      <c r="AN416" s="9"/>
      <c r="AO416" s="9"/>
      <c r="AP416" s="29"/>
      <c r="AQ416" s="29"/>
      <c r="AR416" s="29"/>
    </row>
    <row r="417" spans="4:44" x14ac:dyDescent="0.25">
      <c r="D417" s="9"/>
      <c r="E417" s="9"/>
      <c r="F417" s="9"/>
      <c r="G417" s="9"/>
      <c r="H417" s="9"/>
      <c r="I417" s="9"/>
      <c r="J417" s="29"/>
      <c r="M417" s="21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29"/>
      <c r="AB417" s="29"/>
      <c r="AC417" s="29"/>
      <c r="AD417" s="29"/>
      <c r="AE417" s="29"/>
      <c r="AF417" s="29"/>
      <c r="AG417" s="29"/>
      <c r="AH417" s="9"/>
      <c r="AI417" s="9"/>
      <c r="AJ417" s="9"/>
      <c r="AK417" s="9"/>
      <c r="AL417" s="9"/>
      <c r="AM417" s="9"/>
      <c r="AN417" s="9"/>
      <c r="AO417" s="9"/>
      <c r="AP417" s="29"/>
      <c r="AQ417" s="29"/>
      <c r="AR417" s="29"/>
    </row>
    <row r="418" spans="4:44" x14ac:dyDescent="0.25">
      <c r="D418" s="9"/>
      <c r="E418" s="9"/>
      <c r="F418" s="9"/>
      <c r="G418" s="9"/>
      <c r="H418" s="9"/>
      <c r="I418" s="9"/>
      <c r="J418" s="29"/>
      <c r="M418" s="21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29"/>
      <c r="AB418" s="29"/>
      <c r="AC418" s="29"/>
      <c r="AD418" s="29"/>
      <c r="AE418" s="29"/>
      <c r="AF418" s="29"/>
      <c r="AG418" s="29"/>
      <c r="AH418" s="9"/>
      <c r="AI418" s="9"/>
      <c r="AJ418" s="9"/>
      <c r="AK418" s="9"/>
      <c r="AL418" s="9"/>
      <c r="AM418" s="9"/>
      <c r="AN418" s="9"/>
      <c r="AO418" s="9"/>
      <c r="AP418" s="29"/>
      <c r="AQ418" s="29"/>
      <c r="AR418" s="29"/>
    </row>
    <row r="419" spans="4:44" x14ac:dyDescent="0.25">
      <c r="D419" s="9"/>
      <c r="E419" s="9"/>
      <c r="F419" s="9"/>
      <c r="G419" s="9"/>
      <c r="H419" s="9"/>
      <c r="I419" s="9"/>
      <c r="J419" s="29"/>
      <c r="M419" s="21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29"/>
      <c r="AB419" s="29"/>
      <c r="AC419" s="29"/>
      <c r="AD419" s="29"/>
      <c r="AE419" s="29"/>
      <c r="AF419" s="29"/>
      <c r="AG419" s="29"/>
      <c r="AH419" s="9"/>
      <c r="AI419" s="9"/>
      <c r="AJ419" s="9"/>
      <c r="AK419" s="9"/>
      <c r="AL419" s="9"/>
      <c r="AM419" s="9"/>
      <c r="AN419" s="9"/>
      <c r="AO419" s="9"/>
      <c r="AP419" s="29"/>
      <c r="AQ419" s="29"/>
      <c r="AR419" s="29"/>
    </row>
    <row r="420" spans="4:44" x14ac:dyDescent="0.25">
      <c r="D420" s="9"/>
      <c r="E420" s="9"/>
      <c r="F420" s="9"/>
      <c r="G420" s="9"/>
      <c r="H420" s="9"/>
      <c r="I420" s="9"/>
      <c r="J420" s="29"/>
      <c r="M420" s="21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29"/>
      <c r="AB420" s="29"/>
      <c r="AC420" s="29"/>
      <c r="AD420" s="29"/>
      <c r="AE420" s="29"/>
      <c r="AF420" s="29"/>
      <c r="AG420" s="29"/>
      <c r="AH420" s="9"/>
      <c r="AI420" s="9"/>
      <c r="AJ420" s="9"/>
      <c r="AK420" s="9"/>
      <c r="AL420" s="9"/>
      <c r="AM420" s="9"/>
      <c r="AN420" s="9"/>
      <c r="AO420" s="9"/>
      <c r="AP420" s="29"/>
      <c r="AQ420" s="29"/>
      <c r="AR420" s="29"/>
    </row>
    <row r="421" spans="4:44" x14ac:dyDescent="0.25">
      <c r="D421" s="9"/>
      <c r="E421" s="9"/>
      <c r="F421" s="9"/>
      <c r="G421" s="9"/>
      <c r="H421" s="9"/>
      <c r="I421" s="9"/>
      <c r="J421" s="29"/>
      <c r="M421" s="21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29"/>
      <c r="AB421" s="29"/>
      <c r="AC421" s="29"/>
      <c r="AD421" s="29"/>
      <c r="AE421" s="29"/>
      <c r="AF421" s="29"/>
      <c r="AG421" s="29"/>
      <c r="AH421" s="9"/>
      <c r="AI421" s="9"/>
      <c r="AJ421" s="9"/>
      <c r="AK421" s="9"/>
      <c r="AL421" s="9"/>
      <c r="AM421" s="9"/>
      <c r="AN421" s="9"/>
      <c r="AO421" s="9"/>
      <c r="AP421" s="29"/>
      <c r="AQ421" s="29"/>
      <c r="AR421" s="29"/>
    </row>
    <row r="422" spans="4:44" x14ac:dyDescent="0.25">
      <c r="D422" s="9"/>
      <c r="E422" s="9"/>
      <c r="F422" s="9"/>
      <c r="G422" s="9"/>
      <c r="H422" s="9"/>
      <c r="I422" s="9"/>
      <c r="J422" s="29"/>
      <c r="M422" s="21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29"/>
      <c r="AB422" s="29"/>
      <c r="AC422" s="29"/>
      <c r="AD422" s="29"/>
      <c r="AE422" s="29"/>
      <c r="AF422" s="29"/>
      <c r="AG422" s="29"/>
      <c r="AH422" s="9"/>
      <c r="AI422" s="9"/>
      <c r="AJ422" s="9"/>
      <c r="AK422" s="9"/>
      <c r="AL422" s="9"/>
      <c r="AM422" s="9"/>
      <c r="AN422" s="9"/>
      <c r="AO422" s="9"/>
      <c r="AP422" s="29"/>
      <c r="AQ422" s="29"/>
      <c r="AR422" s="29"/>
    </row>
    <row r="423" spans="4:44" x14ac:dyDescent="0.25">
      <c r="D423" s="9"/>
      <c r="E423" s="9"/>
      <c r="F423" s="9"/>
      <c r="G423" s="9"/>
      <c r="H423" s="9"/>
      <c r="I423" s="9"/>
      <c r="J423" s="29"/>
      <c r="M423" s="21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29"/>
      <c r="AB423" s="29"/>
      <c r="AC423" s="29"/>
      <c r="AD423" s="29"/>
      <c r="AE423" s="29"/>
      <c r="AF423" s="29"/>
      <c r="AG423" s="29"/>
      <c r="AH423" s="9"/>
      <c r="AI423" s="9"/>
      <c r="AJ423" s="9"/>
      <c r="AK423" s="9"/>
      <c r="AL423" s="9"/>
      <c r="AM423" s="9"/>
      <c r="AN423" s="9"/>
      <c r="AO423" s="9"/>
      <c r="AP423" s="29"/>
      <c r="AQ423" s="29"/>
      <c r="AR423" s="29"/>
    </row>
    <row r="424" spans="4:44" x14ac:dyDescent="0.25">
      <c r="D424" s="9"/>
      <c r="E424" s="9"/>
      <c r="F424" s="9"/>
      <c r="G424" s="9"/>
      <c r="H424" s="9"/>
      <c r="I424" s="9"/>
      <c r="J424" s="29"/>
      <c r="M424" s="21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29"/>
      <c r="AB424" s="29"/>
      <c r="AC424" s="29"/>
      <c r="AD424" s="29"/>
      <c r="AE424" s="29"/>
      <c r="AF424" s="29"/>
      <c r="AG424" s="29"/>
      <c r="AH424" s="9"/>
      <c r="AI424" s="9"/>
      <c r="AJ424" s="9"/>
      <c r="AK424" s="9"/>
      <c r="AL424" s="9"/>
      <c r="AM424" s="9"/>
      <c r="AN424" s="9"/>
      <c r="AO424" s="9"/>
      <c r="AP424" s="29"/>
      <c r="AQ424" s="29"/>
      <c r="AR424" s="29"/>
    </row>
    <row r="425" spans="4:44" x14ac:dyDescent="0.25">
      <c r="D425" s="9"/>
      <c r="E425" s="9"/>
      <c r="F425" s="9"/>
      <c r="G425" s="9"/>
      <c r="H425" s="9"/>
      <c r="I425" s="9"/>
      <c r="J425" s="29"/>
      <c r="M425" s="21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29"/>
      <c r="AB425" s="29"/>
      <c r="AC425" s="29"/>
      <c r="AD425" s="29"/>
      <c r="AE425" s="29"/>
      <c r="AF425" s="29"/>
      <c r="AG425" s="29"/>
      <c r="AH425" s="9"/>
      <c r="AI425" s="9"/>
      <c r="AJ425" s="9"/>
      <c r="AK425" s="9"/>
      <c r="AL425" s="9"/>
      <c r="AM425" s="9"/>
      <c r="AN425" s="9"/>
      <c r="AO425" s="9"/>
      <c r="AP425" s="29"/>
      <c r="AQ425" s="29"/>
      <c r="AR425" s="29"/>
    </row>
    <row r="426" spans="4:44" x14ac:dyDescent="0.25">
      <c r="D426" s="9"/>
      <c r="E426" s="9"/>
      <c r="F426" s="9"/>
      <c r="G426" s="9"/>
      <c r="H426" s="9"/>
      <c r="I426" s="9"/>
      <c r="J426" s="29"/>
      <c r="M426" s="21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29"/>
      <c r="AB426" s="29"/>
      <c r="AC426" s="29"/>
      <c r="AD426" s="29"/>
      <c r="AE426" s="29"/>
      <c r="AF426" s="29"/>
      <c r="AG426" s="29"/>
      <c r="AH426" s="9"/>
      <c r="AI426" s="9"/>
      <c r="AJ426" s="9"/>
      <c r="AK426" s="9"/>
      <c r="AL426" s="9"/>
      <c r="AM426" s="9"/>
      <c r="AN426" s="9"/>
      <c r="AO426" s="9"/>
      <c r="AP426" s="29"/>
      <c r="AQ426" s="29"/>
      <c r="AR426" s="29"/>
    </row>
    <row r="427" spans="4:44" x14ac:dyDescent="0.25">
      <c r="D427" s="9"/>
      <c r="E427" s="9"/>
      <c r="F427" s="9"/>
      <c r="G427" s="9"/>
      <c r="H427" s="9"/>
      <c r="I427" s="9"/>
      <c r="J427" s="29"/>
      <c r="M427" s="21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29"/>
      <c r="AB427" s="29"/>
      <c r="AC427" s="29"/>
      <c r="AD427" s="29"/>
      <c r="AE427" s="29"/>
      <c r="AF427" s="29"/>
      <c r="AG427" s="29"/>
      <c r="AH427" s="9"/>
      <c r="AI427" s="9"/>
      <c r="AJ427" s="9"/>
      <c r="AK427" s="9"/>
      <c r="AL427" s="9"/>
      <c r="AM427" s="9"/>
      <c r="AN427" s="9"/>
      <c r="AO427" s="9"/>
      <c r="AP427" s="29"/>
      <c r="AQ427" s="29"/>
      <c r="AR427" s="29"/>
    </row>
    <row r="428" spans="4:44" x14ac:dyDescent="0.25">
      <c r="D428" s="9"/>
      <c r="E428" s="9"/>
      <c r="F428" s="9"/>
      <c r="G428" s="9"/>
      <c r="H428" s="9"/>
      <c r="I428" s="9"/>
      <c r="J428" s="29"/>
      <c r="M428" s="21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29"/>
      <c r="AB428" s="29"/>
      <c r="AC428" s="29"/>
      <c r="AD428" s="29"/>
      <c r="AE428" s="29"/>
      <c r="AF428" s="29"/>
      <c r="AG428" s="29"/>
      <c r="AH428" s="9"/>
      <c r="AI428" s="9"/>
      <c r="AJ428" s="9"/>
      <c r="AK428" s="9"/>
      <c r="AL428" s="9"/>
      <c r="AM428" s="9"/>
      <c r="AN428" s="9"/>
      <c r="AO428" s="9"/>
      <c r="AP428" s="29"/>
      <c r="AQ428" s="29"/>
      <c r="AR428" s="29"/>
    </row>
    <row r="429" spans="4:44" x14ac:dyDescent="0.25">
      <c r="D429" s="9"/>
      <c r="E429" s="9"/>
      <c r="F429" s="9"/>
      <c r="G429" s="9"/>
      <c r="H429" s="9"/>
      <c r="I429" s="9"/>
      <c r="J429" s="29"/>
      <c r="M429" s="21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29"/>
      <c r="AB429" s="29"/>
      <c r="AC429" s="29"/>
      <c r="AD429" s="29"/>
      <c r="AE429" s="29"/>
      <c r="AF429" s="29"/>
      <c r="AG429" s="29"/>
      <c r="AH429" s="9"/>
      <c r="AI429" s="9"/>
      <c r="AJ429" s="9"/>
      <c r="AK429" s="9"/>
      <c r="AL429" s="9"/>
      <c r="AM429" s="9"/>
      <c r="AN429" s="9"/>
      <c r="AO429" s="9"/>
      <c r="AP429" s="29"/>
      <c r="AQ429" s="29"/>
      <c r="AR429" s="29"/>
    </row>
    <row r="430" spans="4:44" x14ac:dyDescent="0.25">
      <c r="D430" s="9"/>
      <c r="E430" s="9"/>
      <c r="F430" s="9"/>
      <c r="G430" s="9"/>
      <c r="H430" s="9"/>
      <c r="I430" s="9"/>
      <c r="J430" s="29"/>
      <c r="M430" s="21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29"/>
      <c r="AB430" s="29"/>
      <c r="AC430" s="29"/>
      <c r="AD430" s="29"/>
      <c r="AE430" s="29"/>
      <c r="AF430" s="29"/>
      <c r="AG430" s="29"/>
      <c r="AH430" s="9"/>
      <c r="AI430" s="9"/>
      <c r="AJ430" s="9"/>
      <c r="AK430" s="9"/>
      <c r="AL430" s="9"/>
      <c r="AM430" s="9"/>
      <c r="AN430" s="9"/>
      <c r="AO430" s="9"/>
      <c r="AP430" s="29"/>
      <c r="AQ430" s="29"/>
      <c r="AR430" s="29"/>
    </row>
    <row r="431" spans="4:44" x14ac:dyDescent="0.25">
      <c r="D431" s="9"/>
      <c r="E431" s="9"/>
      <c r="F431" s="9"/>
      <c r="G431" s="9"/>
      <c r="H431" s="9"/>
      <c r="I431" s="9"/>
      <c r="J431" s="29"/>
      <c r="M431" s="21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29"/>
      <c r="AB431" s="29"/>
      <c r="AC431" s="29"/>
      <c r="AD431" s="29"/>
      <c r="AE431" s="29"/>
      <c r="AF431" s="29"/>
      <c r="AG431" s="29"/>
      <c r="AH431" s="9"/>
      <c r="AI431" s="9"/>
      <c r="AJ431" s="9"/>
      <c r="AK431" s="9"/>
      <c r="AL431" s="9"/>
      <c r="AM431" s="9"/>
      <c r="AN431" s="9"/>
      <c r="AO431" s="9"/>
      <c r="AP431" s="29"/>
      <c r="AQ431" s="29"/>
      <c r="AR431" s="29"/>
    </row>
    <row r="432" spans="4:44" x14ac:dyDescent="0.25">
      <c r="D432" s="9"/>
      <c r="E432" s="9"/>
      <c r="F432" s="9"/>
      <c r="G432" s="9"/>
      <c r="H432" s="9"/>
      <c r="I432" s="9"/>
      <c r="J432" s="29"/>
      <c r="M432" s="21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29"/>
      <c r="AB432" s="29"/>
      <c r="AC432" s="29"/>
      <c r="AD432" s="29"/>
      <c r="AE432" s="29"/>
      <c r="AF432" s="29"/>
      <c r="AG432" s="29"/>
      <c r="AH432" s="9"/>
      <c r="AI432" s="9"/>
      <c r="AJ432" s="9"/>
      <c r="AK432" s="9"/>
      <c r="AL432" s="9"/>
      <c r="AM432" s="9"/>
      <c r="AN432" s="9"/>
      <c r="AO432" s="9"/>
      <c r="AP432" s="29"/>
      <c r="AQ432" s="29"/>
      <c r="AR432" s="29"/>
    </row>
    <row r="433" spans="4:44" x14ac:dyDescent="0.25">
      <c r="D433" s="9"/>
      <c r="E433" s="9"/>
      <c r="F433" s="9"/>
      <c r="G433" s="9"/>
      <c r="H433" s="9"/>
      <c r="I433" s="9"/>
      <c r="J433" s="29"/>
      <c r="M433" s="21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29"/>
      <c r="AB433" s="29"/>
      <c r="AC433" s="29"/>
      <c r="AD433" s="29"/>
      <c r="AE433" s="29"/>
      <c r="AF433" s="29"/>
      <c r="AG433" s="29"/>
      <c r="AH433" s="9"/>
      <c r="AI433" s="9"/>
      <c r="AJ433" s="9"/>
      <c r="AK433" s="9"/>
      <c r="AL433" s="9"/>
      <c r="AM433" s="9"/>
      <c r="AN433" s="9"/>
      <c r="AO433" s="9"/>
      <c r="AP433" s="29"/>
      <c r="AQ433" s="29"/>
      <c r="AR433" s="29"/>
    </row>
    <row r="434" spans="4:44" x14ac:dyDescent="0.25">
      <c r="D434" s="9"/>
      <c r="E434" s="9"/>
      <c r="F434" s="9"/>
      <c r="G434" s="9"/>
      <c r="H434" s="9"/>
      <c r="I434" s="9"/>
      <c r="J434" s="29"/>
      <c r="M434" s="21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29"/>
      <c r="AB434" s="29"/>
      <c r="AC434" s="29"/>
      <c r="AD434" s="29"/>
      <c r="AE434" s="29"/>
      <c r="AF434" s="29"/>
      <c r="AG434" s="29"/>
      <c r="AH434" s="9"/>
      <c r="AI434" s="9"/>
      <c r="AJ434" s="9"/>
      <c r="AK434" s="9"/>
      <c r="AL434" s="9"/>
      <c r="AM434" s="9"/>
      <c r="AN434" s="9"/>
      <c r="AO434" s="9"/>
      <c r="AP434" s="29"/>
      <c r="AQ434" s="29"/>
      <c r="AR434" s="29"/>
    </row>
    <row r="435" spans="4:44" x14ac:dyDescent="0.25">
      <c r="D435" s="9"/>
      <c r="E435" s="9"/>
      <c r="F435" s="9"/>
      <c r="G435" s="9"/>
      <c r="H435" s="9"/>
      <c r="I435" s="9"/>
      <c r="J435" s="29"/>
      <c r="M435" s="21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29"/>
      <c r="AB435" s="29"/>
      <c r="AC435" s="29"/>
      <c r="AD435" s="29"/>
      <c r="AE435" s="29"/>
      <c r="AF435" s="29"/>
      <c r="AG435" s="29"/>
      <c r="AH435" s="9"/>
      <c r="AI435" s="9"/>
      <c r="AJ435" s="9"/>
      <c r="AK435" s="9"/>
      <c r="AL435" s="9"/>
      <c r="AM435" s="9"/>
      <c r="AN435" s="9"/>
      <c r="AO435" s="9"/>
      <c r="AP435" s="29"/>
      <c r="AQ435" s="29"/>
      <c r="AR435" s="29"/>
    </row>
    <row r="436" spans="4:44" x14ac:dyDescent="0.25">
      <c r="D436" s="9"/>
      <c r="E436" s="9"/>
      <c r="F436" s="9"/>
      <c r="G436" s="9"/>
      <c r="H436" s="9"/>
      <c r="I436" s="9"/>
      <c r="J436" s="29"/>
      <c r="M436" s="21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29"/>
      <c r="AB436" s="29"/>
      <c r="AC436" s="29"/>
      <c r="AD436" s="29"/>
      <c r="AE436" s="29"/>
      <c r="AF436" s="29"/>
      <c r="AG436" s="29"/>
      <c r="AH436" s="9"/>
      <c r="AI436" s="9"/>
      <c r="AJ436" s="9"/>
      <c r="AK436" s="9"/>
      <c r="AL436" s="9"/>
      <c r="AM436" s="9"/>
      <c r="AN436" s="9"/>
      <c r="AO436" s="9"/>
      <c r="AP436" s="29"/>
      <c r="AQ436" s="29"/>
      <c r="AR436" s="29"/>
    </row>
    <row r="437" spans="4:44" x14ac:dyDescent="0.25">
      <c r="D437" s="9"/>
      <c r="E437" s="9"/>
      <c r="F437" s="9"/>
      <c r="G437" s="9"/>
      <c r="H437" s="9"/>
      <c r="I437" s="9"/>
      <c r="J437" s="29"/>
      <c r="M437" s="21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29"/>
      <c r="AB437" s="29"/>
      <c r="AC437" s="29"/>
      <c r="AD437" s="29"/>
      <c r="AE437" s="29"/>
      <c r="AF437" s="29"/>
      <c r="AG437" s="29"/>
      <c r="AH437" s="9"/>
      <c r="AI437" s="9"/>
      <c r="AJ437" s="9"/>
      <c r="AK437" s="9"/>
      <c r="AL437" s="9"/>
      <c r="AM437" s="9"/>
      <c r="AN437" s="9"/>
      <c r="AO437" s="9"/>
      <c r="AP437" s="29"/>
      <c r="AQ437" s="29"/>
      <c r="AR437" s="29"/>
    </row>
    <row r="438" spans="4:44" x14ac:dyDescent="0.25">
      <c r="D438" s="9"/>
      <c r="E438" s="9"/>
      <c r="F438" s="9"/>
      <c r="G438" s="9"/>
      <c r="H438" s="9"/>
      <c r="I438" s="9"/>
      <c r="J438" s="29"/>
      <c r="M438" s="21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29"/>
      <c r="AB438" s="29"/>
      <c r="AC438" s="29"/>
      <c r="AD438" s="29"/>
      <c r="AE438" s="29"/>
      <c r="AF438" s="29"/>
      <c r="AG438" s="29"/>
      <c r="AH438" s="9"/>
      <c r="AI438" s="9"/>
      <c r="AJ438" s="9"/>
      <c r="AK438" s="9"/>
      <c r="AL438" s="9"/>
      <c r="AM438" s="9"/>
      <c r="AN438" s="9"/>
      <c r="AO438" s="9"/>
      <c r="AP438" s="29"/>
      <c r="AQ438" s="29"/>
      <c r="AR438" s="29"/>
    </row>
    <row r="439" spans="4:44" x14ac:dyDescent="0.25">
      <c r="D439" s="9"/>
      <c r="E439" s="9"/>
      <c r="F439" s="9"/>
      <c r="G439" s="9"/>
      <c r="H439" s="9"/>
      <c r="I439" s="9"/>
      <c r="J439" s="29"/>
      <c r="M439" s="21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29"/>
      <c r="AB439" s="29"/>
      <c r="AC439" s="29"/>
      <c r="AD439" s="29"/>
      <c r="AE439" s="29"/>
      <c r="AF439" s="29"/>
      <c r="AG439" s="29"/>
      <c r="AH439" s="9"/>
      <c r="AI439" s="9"/>
      <c r="AJ439" s="9"/>
      <c r="AK439" s="9"/>
      <c r="AL439" s="9"/>
      <c r="AM439" s="9"/>
      <c r="AN439" s="9"/>
      <c r="AO439" s="9"/>
      <c r="AP439" s="29"/>
      <c r="AQ439" s="29"/>
      <c r="AR439" s="29"/>
    </row>
    <row r="440" spans="4:44" x14ac:dyDescent="0.25">
      <c r="D440" s="9"/>
      <c r="E440" s="9"/>
      <c r="F440" s="9"/>
      <c r="G440" s="9"/>
      <c r="H440" s="9"/>
      <c r="I440" s="9"/>
      <c r="J440" s="29"/>
      <c r="M440" s="21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29"/>
      <c r="AB440" s="29"/>
      <c r="AC440" s="29"/>
      <c r="AD440" s="29"/>
      <c r="AE440" s="29"/>
      <c r="AF440" s="29"/>
      <c r="AG440" s="29"/>
      <c r="AH440" s="9"/>
      <c r="AI440" s="9"/>
      <c r="AJ440" s="9"/>
      <c r="AK440" s="9"/>
      <c r="AL440" s="9"/>
      <c r="AM440" s="9"/>
      <c r="AN440" s="9"/>
      <c r="AO440" s="9"/>
      <c r="AP440" s="29"/>
      <c r="AQ440" s="29"/>
      <c r="AR440" s="29"/>
    </row>
    <row r="441" spans="4:44" x14ac:dyDescent="0.25">
      <c r="D441" s="9"/>
      <c r="E441" s="9"/>
      <c r="F441" s="9"/>
      <c r="G441" s="9"/>
      <c r="H441" s="9"/>
      <c r="I441" s="9"/>
      <c r="J441" s="29"/>
      <c r="M441" s="21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29"/>
      <c r="AB441" s="29"/>
      <c r="AC441" s="29"/>
      <c r="AD441" s="29"/>
      <c r="AE441" s="29"/>
      <c r="AF441" s="29"/>
      <c r="AG441" s="29"/>
      <c r="AH441" s="9"/>
      <c r="AI441" s="9"/>
      <c r="AJ441" s="9"/>
      <c r="AK441" s="9"/>
      <c r="AL441" s="9"/>
      <c r="AM441" s="9"/>
      <c r="AN441" s="9"/>
      <c r="AO441" s="9"/>
      <c r="AP441" s="29"/>
      <c r="AQ441" s="29"/>
      <c r="AR441" s="29"/>
    </row>
    <row r="442" spans="4:44" x14ac:dyDescent="0.25">
      <c r="D442" s="9"/>
      <c r="E442" s="9"/>
      <c r="F442" s="9"/>
      <c r="G442" s="9"/>
      <c r="H442" s="9"/>
      <c r="I442" s="9"/>
      <c r="J442" s="29"/>
      <c r="M442" s="21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29"/>
      <c r="AB442" s="29"/>
      <c r="AC442" s="29"/>
      <c r="AD442" s="29"/>
      <c r="AE442" s="29"/>
      <c r="AF442" s="29"/>
      <c r="AG442" s="29"/>
      <c r="AH442" s="9"/>
      <c r="AI442" s="9"/>
      <c r="AJ442" s="9"/>
      <c r="AK442" s="9"/>
      <c r="AL442" s="9"/>
      <c r="AM442" s="9"/>
      <c r="AN442" s="9"/>
      <c r="AO442" s="9"/>
      <c r="AP442" s="29"/>
      <c r="AQ442" s="29"/>
      <c r="AR442" s="29"/>
    </row>
    <row r="443" spans="4:44" x14ac:dyDescent="0.25">
      <c r="D443" s="9"/>
      <c r="E443" s="9"/>
      <c r="F443" s="9"/>
      <c r="G443" s="9"/>
      <c r="H443" s="9"/>
      <c r="I443" s="9"/>
      <c r="J443" s="29"/>
      <c r="M443" s="21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29"/>
      <c r="AB443" s="29"/>
      <c r="AC443" s="29"/>
      <c r="AD443" s="29"/>
      <c r="AE443" s="29"/>
      <c r="AF443" s="29"/>
      <c r="AG443" s="29"/>
      <c r="AH443" s="9"/>
      <c r="AI443" s="9"/>
      <c r="AJ443" s="9"/>
      <c r="AK443" s="9"/>
      <c r="AL443" s="9"/>
      <c r="AM443" s="9"/>
      <c r="AN443" s="9"/>
      <c r="AO443" s="9"/>
      <c r="AP443" s="29"/>
      <c r="AQ443" s="29"/>
      <c r="AR443" s="29"/>
    </row>
    <row r="444" spans="4:44" x14ac:dyDescent="0.25">
      <c r="D444" s="9"/>
      <c r="E444" s="9"/>
      <c r="F444" s="9"/>
      <c r="G444" s="9"/>
      <c r="H444" s="9"/>
      <c r="I444" s="9"/>
      <c r="J444" s="29"/>
      <c r="M444" s="21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29"/>
      <c r="AB444" s="29"/>
      <c r="AC444" s="29"/>
      <c r="AD444" s="29"/>
      <c r="AE444" s="29"/>
      <c r="AF444" s="29"/>
      <c r="AG444" s="29"/>
      <c r="AH444" s="9"/>
      <c r="AI444" s="9"/>
      <c r="AJ444" s="9"/>
      <c r="AK444" s="9"/>
      <c r="AL444" s="9"/>
      <c r="AM444" s="9"/>
      <c r="AN444" s="9"/>
      <c r="AO444" s="9"/>
      <c r="AP444" s="29"/>
      <c r="AQ444" s="29"/>
      <c r="AR444" s="29"/>
    </row>
    <row r="445" spans="4:44" x14ac:dyDescent="0.25">
      <c r="D445" s="9"/>
      <c r="E445" s="9"/>
      <c r="F445" s="9"/>
      <c r="G445" s="9"/>
      <c r="H445" s="9"/>
      <c r="I445" s="9"/>
      <c r="J445" s="29"/>
      <c r="M445" s="21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29"/>
      <c r="AB445" s="29"/>
      <c r="AC445" s="29"/>
      <c r="AD445" s="29"/>
      <c r="AE445" s="29"/>
      <c r="AF445" s="29"/>
      <c r="AG445" s="29"/>
      <c r="AH445" s="9"/>
      <c r="AI445" s="9"/>
      <c r="AJ445" s="9"/>
      <c r="AK445" s="9"/>
      <c r="AL445" s="9"/>
      <c r="AM445" s="9"/>
      <c r="AN445" s="9"/>
      <c r="AO445" s="9"/>
      <c r="AP445" s="29"/>
      <c r="AQ445" s="29"/>
      <c r="AR445" s="29"/>
    </row>
    <row r="446" spans="4:44" x14ac:dyDescent="0.25">
      <c r="D446" s="9"/>
      <c r="E446" s="9"/>
      <c r="F446" s="9"/>
      <c r="G446" s="9"/>
      <c r="H446" s="9"/>
      <c r="I446" s="9"/>
      <c r="J446" s="29"/>
      <c r="M446" s="21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29"/>
      <c r="AB446" s="29"/>
      <c r="AC446" s="29"/>
      <c r="AD446" s="29"/>
      <c r="AE446" s="29"/>
      <c r="AF446" s="29"/>
      <c r="AG446" s="29"/>
      <c r="AH446" s="9"/>
      <c r="AI446" s="9"/>
      <c r="AJ446" s="9"/>
      <c r="AK446" s="9"/>
      <c r="AL446" s="9"/>
      <c r="AM446" s="9"/>
      <c r="AN446" s="9"/>
      <c r="AO446" s="9"/>
      <c r="AP446" s="29"/>
      <c r="AQ446" s="29"/>
      <c r="AR446" s="29"/>
    </row>
    <row r="447" spans="4:44" x14ac:dyDescent="0.25">
      <c r="D447" s="9"/>
      <c r="E447" s="9"/>
      <c r="F447" s="9"/>
      <c r="G447" s="9"/>
      <c r="H447" s="9"/>
      <c r="I447" s="9"/>
      <c r="J447" s="29"/>
      <c r="M447" s="21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29"/>
      <c r="AB447" s="29"/>
      <c r="AC447" s="29"/>
      <c r="AD447" s="29"/>
      <c r="AE447" s="29"/>
      <c r="AF447" s="29"/>
      <c r="AG447" s="29"/>
      <c r="AH447" s="9"/>
      <c r="AI447" s="9"/>
      <c r="AJ447" s="9"/>
      <c r="AK447" s="9"/>
      <c r="AL447" s="9"/>
      <c r="AM447" s="9"/>
      <c r="AN447" s="9"/>
      <c r="AO447" s="9"/>
      <c r="AP447" s="29"/>
      <c r="AQ447" s="29"/>
      <c r="AR447" s="29"/>
    </row>
    <row r="448" spans="4:44" x14ac:dyDescent="0.25">
      <c r="D448" s="9"/>
      <c r="E448" s="9"/>
      <c r="F448" s="9"/>
      <c r="G448" s="9"/>
      <c r="H448" s="9"/>
      <c r="I448" s="9"/>
      <c r="J448" s="29"/>
      <c r="M448" s="21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29"/>
      <c r="AB448" s="29"/>
      <c r="AC448" s="29"/>
      <c r="AD448" s="29"/>
      <c r="AE448" s="29"/>
      <c r="AF448" s="29"/>
      <c r="AG448" s="29"/>
      <c r="AH448" s="9"/>
      <c r="AI448" s="9"/>
      <c r="AJ448" s="9"/>
      <c r="AK448" s="9"/>
      <c r="AL448" s="9"/>
      <c r="AM448" s="9"/>
      <c r="AN448" s="9"/>
      <c r="AO448" s="9"/>
      <c r="AP448" s="29"/>
      <c r="AQ448" s="29"/>
      <c r="AR448" s="29"/>
    </row>
    <row r="449" spans="4:44" x14ac:dyDescent="0.25">
      <c r="D449" s="9"/>
      <c r="E449" s="9"/>
      <c r="F449" s="9"/>
      <c r="G449" s="9"/>
      <c r="H449" s="9"/>
      <c r="I449" s="9"/>
      <c r="J449" s="29"/>
      <c r="M449" s="21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29"/>
      <c r="AB449" s="29"/>
      <c r="AC449" s="29"/>
      <c r="AD449" s="29"/>
      <c r="AE449" s="29"/>
      <c r="AF449" s="29"/>
      <c r="AG449" s="29"/>
      <c r="AH449" s="9"/>
      <c r="AI449" s="9"/>
      <c r="AJ449" s="9"/>
      <c r="AK449" s="9"/>
      <c r="AL449" s="9"/>
      <c r="AM449" s="9"/>
      <c r="AN449" s="9"/>
      <c r="AO449" s="9"/>
      <c r="AP449" s="29"/>
      <c r="AQ449" s="29"/>
      <c r="AR449" s="29"/>
    </row>
    <row r="450" spans="4:44" x14ac:dyDescent="0.25">
      <c r="D450" s="9"/>
      <c r="E450" s="9"/>
      <c r="F450" s="9"/>
      <c r="G450" s="9"/>
      <c r="H450" s="9"/>
      <c r="I450" s="9"/>
      <c r="J450" s="29"/>
      <c r="M450" s="21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29"/>
      <c r="AB450" s="29"/>
      <c r="AC450" s="29"/>
      <c r="AD450" s="29"/>
      <c r="AE450" s="29"/>
      <c r="AF450" s="29"/>
      <c r="AG450" s="29"/>
      <c r="AH450" s="9"/>
      <c r="AI450" s="9"/>
      <c r="AJ450" s="9"/>
      <c r="AK450" s="9"/>
      <c r="AL450" s="9"/>
      <c r="AM450" s="9"/>
      <c r="AN450" s="9"/>
      <c r="AO450" s="9"/>
      <c r="AP450" s="29"/>
      <c r="AQ450" s="29"/>
      <c r="AR450" s="29"/>
    </row>
    <row r="451" spans="4:44" x14ac:dyDescent="0.25">
      <c r="D451" s="9"/>
      <c r="E451" s="9"/>
      <c r="F451" s="9"/>
      <c r="G451" s="9"/>
      <c r="H451" s="9"/>
      <c r="I451" s="9"/>
      <c r="J451" s="29"/>
      <c r="M451" s="21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29"/>
      <c r="AB451" s="29"/>
      <c r="AC451" s="29"/>
      <c r="AD451" s="29"/>
      <c r="AE451" s="29"/>
      <c r="AF451" s="29"/>
      <c r="AG451" s="29"/>
      <c r="AH451" s="9"/>
      <c r="AI451" s="9"/>
      <c r="AJ451" s="9"/>
      <c r="AK451" s="9"/>
      <c r="AL451" s="9"/>
      <c r="AM451" s="9"/>
      <c r="AN451" s="9"/>
      <c r="AO451" s="9"/>
      <c r="AP451" s="29"/>
      <c r="AQ451" s="29"/>
      <c r="AR451" s="29"/>
    </row>
    <row r="452" spans="4:44" x14ac:dyDescent="0.25">
      <c r="D452" s="9"/>
      <c r="E452" s="9"/>
      <c r="F452" s="9"/>
      <c r="G452" s="9"/>
      <c r="H452" s="9"/>
      <c r="I452" s="9"/>
      <c r="J452" s="29"/>
      <c r="M452" s="21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29"/>
      <c r="AB452" s="29"/>
      <c r="AC452" s="29"/>
      <c r="AD452" s="29"/>
      <c r="AE452" s="29"/>
      <c r="AF452" s="29"/>
      <c r="AG452" s="29"/>
      <c r="AH452" s="9"/>
      <c r="AI452" s="9"/>
      <c r="AJ452" s="9"/>
      <c r="AK452" s="9"/>
      <c r="AL452" s="9"/>
      <c r="AM452" s="9"/>
      <c r="AN452" s="9"/>
      <c r="AO452" s="9"/>
      <c r="AP452" s="29"/>
      <c r="AQ452" s="29"/>
      <c r="AR452" s="29"/>
    </row>
    <row r="453" spans="4:44" x14ac:dyDescent="0.25">
      <c r="D453" s="9"/>
      <c r="E453" s="9"/>
      <c r="F453" s="9"/>
      <c r="G453" s="9"/>
      <c r="H453" s="9"/>
      <c r="I453" s="9"/>
      <c r="J453" s="29"/>
      <c r="M453" s="21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29"/>
      <c r="AB453" s="29"/>
      <c r="AC453" s="29"/>
      <c r="AD453" s="29"/>
      <c r="AE453" s="29"/>
      <c r="AF453" s="29"/>
      <c r="AG453" s="29"/>
      <c r="AH453" s="9"/>
      <c r="AI453" s="9"/>
      <c r="AJ453" s="9"/>
      <c r="AK453" s="9"/>
      <c r="AL453" s="9"/>
      <c r="AM453" s="9"/>
      <c r="AN453" s="9"/>
      <c r="AO453" s="9"/>
      <c r="AP453" s="29"/>
      <c r="AQ453" s="29"/>
      <c r="AR453" s="29"/>
    </row>
    <row r="454" spans="4:44" x14ac:dyDescent="0.25">
      <c r="D454" s="9"/>
      <c r="E454" s="9"/>
      <c r="F454" s="9"/>
      <c r="G454" s="9"/>
      <c r="H454" s="9"/>
      <c r="I454" s="9"/>
      <c r="J454" s="29"/>
      <c r="M454" s="21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29"/>
      <c r="AB454" s="29"/>
      <c r="AC454" s="29"/>
      <c r="AD454" s="29"/>
      <c r="AE454" s="29"/>
      <c r="AF454" s="29"/>
      <c r="AG454" s="29"/>
      <c r="AH454" s="9"/>
      <c r="AI454" s="9"/>
      <c r="AJ454" s="9"/>
      <c r="AK454" s="9"/>
      <c r="AL454" s="9"/>
      <c r="AM454" s="9"/>
      <c r="AN454" s="9"/>
      <c r="AO454" s="9"/>
      <c r="AP454" s="29"/>
      <c r="AQ454" s="29"/>
      <c r="AR454" s="29"/>
    </row>
    <row r="455" spans="4:44" x14ac:dyDescent="0.25">
      <c r="D455" s="9"/>
      <c r="E455" s="9"/>
      <c r="F455" s="9"/>
      <c r="G455" s="9"/>
      <c r="H455" s="9"/>
      <c r="I455" s="9"/>
      <c r="J455" s="29"/>
      <c r="M455" s="21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29"/>
      <c r="AB455" s="29"/>
      <c r="AC455" s="29"/>
      <c r="AD455" s="29"/>
      <c r="AE455" s="29"/>
      <c r="AF455" s="29"/>
      <c r="AG455" s="29"/>
      <c r="AH455" s="9"/>
      <c r="AI455" s="9"/>
      <c r="AJ455" s="9"/>
      <c r="AK455" s="9"/>
      <c r="AL455" s="9"/>
      <c r="AM455" s="9"/>
      <c r="AN455" s="9"/>
      <c r="AO455" s="9"/>
      <c r="AP455" s="29"/>
      <c r="AQ455" s="29"/>
      <c r="AR455" s="29"/>
    </row>
    <row r="456" spans="4:44" x14ac:dyDescent="0.25">
      <c r="D456" s="9"/>
      <c r="E456" s="9"/>
      <c r="F456" s="9"/>
      <c r="G456" s="9"/>
      <c r="H456" s="9"/>
      <c r="I456" s="9"/>
      <c r="J456" s="29"/>
      <c r="M456" s="21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29"/>
      <c r="AB456" s="29"/>
      <c r="AC456" s="29"/>
      <c r="AD456" s="29"/>
      <c r="AE456" s="29"/>
      <c r="AF456" s="29"/>
      <c r="AG456" s="29"/>
      <c r="AH456" s="9"/>
      <c r="AI456" s="9"/>
      <c r="AJ456" s="9"/>
      <c r="AK456" s="9"/>
      <c r="AL456" s="9"/>
      <c r="AM456" s="9"/>
      <c r="AN456" s="9"/>
      <c r="AO456" s="9"/>
      <c r="AP456" s="29"/>
      <c r="AQ456" s="29"/>
      <c r="AR456" s="29"/>
    </row>
    <row r="457" spans="4:44" x14ac:dyDescent="0.25">
      <c r="D457" s="9"/>
      <c r="E457" s="9"/>
      <c r="F457" s="9"/>
      <c r="G457" s="9"/>
      <c r="H457" s="9"/>
      <c r="I457" s="9"/>
      <c r="J457" s="29"/>
      <c r="M457" s="21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29"/>
      <c r="AB457" s="29"/>
      <c r="AC457" s="29"/>
      <c r="AD457" s="29"/>
      <c r="AE457" s="29"/>
      <c r="AF457" s="29"/>
      <c r="AG457" s="29"/>
      <c r="AH457" s="9"/>
      <c r="AI457" s="9"/>
      <c r="AJ457" s="9"/>
      <c r="AK457" s="9"/>
      <c r="AL457" s="9"/>
      <c r="AM457" s="9"/>
      <c r="AN457" s="9"/>
      <c r="AO457" s="9"/>
      <c r="AP457" s="29"/>
      <c r="AQ457" s="29"/>
      <c r="AR457" s="29"/>
    </row>
    <row r="458" spans="4:44" x14ac:dyDescent="0.25">
      <c r="D458" s="9"/>
      <c r="E458" s="9"/>
      <c r="F458" s="9"/>
      <c r="G458" s="9"/>
      <c r="H458" s="9"/>
      <c r="I458" s="9"/>
      <c r="J458" s="29"/>
      <c r="M458" s="21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29"/>
      <c r="AB458" s="29"/>
      <c r="AC458" s="29"/>
      <c r="AD458" s="29"/>
      <c r="AE458" s="29"/>
      <c r="AF458" s="29"/>
      <c r="AG458" s="29"/>
      <c r="AH458" s="9"/>
      <c r="AI458" s="9"/>
      <c r="AJ458" s="9"/>
      <c r="AK458" s="9"/>
      <c r="AL458" s="9"/>
      <c r="AM458" s="9"/>
      <c r="AN458" s="9"/>
      <c r="AO458" s="9"/>
      <c r="AP458" s="29"/>
      <c r="AQ458" s="29"/>
      <c r="AR458" s="29"/>
    </row>
    <row r="459" spans="4:44" x14ac:dyDescent="0.25">
      <c r="D459" s="9"/>
      <c r="E459" s="9"/>
      <c r="F459" s="9"/>
      <c r="G459" s="9"/>
      <c r="H459" s="9"/>
      <c r="I459" s="9"/>
      <c r="J459" s="29"/>
      <c r="M459" s="21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29"/>
      <c r="AB459" s="29"/>
      <c r="AC459" s="29"/>
      <c r="AD459" s="29"/>
      <c r="AE459" s="29"/>
      <c r="AF459" s="29"/>
      <c r="AG459" s="29"/>
      <c r="AH459" s="9"/>
      <c r="AI459" s="9"/>
      <c r="AJ459" s="9"/>
      <c r="AK459" s="9"/>
      <c r="AL459" s="9"/>
      <c r="AM459" s="9"/>
      <c r="AN459" s="9"/>
      <c r="AO459" s="9"/>
      <c r="AP459" s="29"/>
      <c r="AQ459" s="29"/>
      <c r="AR459" s="29"/>
    </row>
    <row r="460" spans="4:44" x14ac:dyDescent="0.25">
      <c r="D460" s="9"/>
      <c r="E460" s="9"/>
      <c r="F460" s="9"/>
      <c r="G460" s="9"/>
      <c r="H460" s="9"/>
      <c r="I460" s="9"/>
      <c r="J460" s="29"/>
      <c r="M460" s="21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29"/>
      <c r="AB460" s="29"/>
      <c r="AC460" s="29"/>
      <c r="AD460" s="29"/>
      <c r="AE460" s="29"/>
      <c r="AF460" s="29"/>
      <c r="AG460" s="29"/>
      <c r="AH460" s="9"/>
      <c r="AI460" s="9"/>
      <c r="AJ460" s="9"/>
      <c r="AK460" s="9"/>
      <c r="AL460" s="9"/>
      <c r="AM460" s="9"/>
      <c r="AN460" s="9"/>
      <c r="AO460" s="9"/>
      <c r="AP460" s="29"/>
      <c r="AQ460" s="29"/>
      <c r="AR460" s="29"/>
    </row>
    <row r="461" spans="4:44" x14ac:dyDescent="0.25">
      <c r="D461" s="9"/>
      <c r="E461" s="9"/>
      <c r="F461" s="9"/>
      <c r="G461" s="9"/>
      <c r="H461" s="9"/>
      <c r="I461" s="9"/>
      <c r="J461" s="29"/>
      <c r="M461" s="21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29"/>
      <c r="AB461" s="29"/>
      <c r="AC461" s="29"/>
      <c r="AD461" s="29"/>
      <c r="AE461" s="29"/>
      <c r="AF461" s="29"/>
      <c r="AG461" s="29"/>
      <c r="AH461" s="9"/>
      <c r="AI461" s="9"/>
      <c r="AJ461" s="9"/>
      <c r="AK461" s="9"/>
      <c r="AL461" s="9"/>
      <c r="AM461" s="9"/>
      <c r="AN461" s="9"/>
      <c r="AO461" s="9"/>
      <c r="AP461" s="29"/>
      <c r="AQ461" s="29"/>
      <c r="AR461" s="29"/>
    </row>
    <row r="462" spans="4:44" x14ac:dyDescent="0.25">
      <c r="D462" s="9"/>
      <c r="E462" s="9"/>
      <c r="F462" s="9"/>
      <c r="G462" s="9"/>
      <c r="H462" s="9"/>
      <c r="I462" s="9"/>
      <c r="J462" s="29"/>
      <c r="M462" s="21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29"/>
      <c r="AB462" s="29"/>
      <c r="AC462" s="29"/>
      <c r="AD462" s="29"/>
      <c r="AE462" s="29"/>
      <c r="AF462" s="29"/>
      <c r="AG462" s="29"/>
      <c r="AH462" s="9"/>
      <c r="AI462" s="9"/>
      <c r="AJ462" s="9"/>
      <c r="AK462" s="9"/>
      <c r="AL462" s="9"/>
      <c r="AM462" s="9"/>
      <c r="AN462" s="9"/>
      <c r="AO462" s="9"/>
      <c r="AP462" s="29"/>
      <c r="AQ462" s="29"/>
      <c r="AR462" s="29"/>
    </row>
    <row r="463" spans="4:44" x14ac:dyDescent="0.25">
      <c r="D463" s="9"/>
      <c r="E463" s="9"/>
      <c r="F463" s="9"/>
      <c r="G463" s="9"/>
      <c r="H463" s="9"/>
      <c r="I463" s="9"/>
      <c r="J463" s="29"/>
      <c r="M463" s="21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29"/>
      <c r="AB463" s="29"/>
      <c r="AC463" s="29"/>
      <c r="AD463" s="29"/>
      <c r="AE463" s="29"/>
      <c r="AF463" s="29"/>
      <c r="AG463" s="29"/>
      <c r="AH463" s="9"/>
      <c r="AI463" s="9"/>
      <c r="AJ463" s="9"/>
      <c r="AK463" s="9"/>
      <c r="AL463" s="9"/>
      <c r="AM463" s="9"/>
      <c r="AN463" s="9"/>
      <c r="AO463" s="9"/>
      <c r="AP463" s="29"/>
      <c r="AQ463" s="29"/>
      <c r="AR463" s="29"/>
    </row>
    <row r="464" spans="4:44" x14ac:dyDescent="0.25">
      <c r="D464" s="9"/>
      <c r="E464" s="9"/>
      <c r="F464" s="9"/>
      <c r="G464" s="9"/>
      <c r="H464" s="9"/>
      <c r="I464" s="9"/>
      <c r="J464" s="29"/>
      <c r="M464" s="21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29"/>
      <c r="AB464" s="29"/>
      <c r="AC464" s="29"/>
      <c r="AD464" s="29"/>
      <c r="AE464" s="29"/>
      <c r="AF464" s="29"/>
      <c r="AG464" s="29"/>
      <c r="AH464" s="9"/>
      <c r="AI464" s="9"/>
      <c r="AJ464" s="9"/>
      <c r="AK464" s="9"/>
      <c r="AL464" s="9"/>
      <c r="AM464" s="9"/>
      <c r="AN464" s="9"/>
      <c r="AO464" s="9"/>
      <c r="AP464" s="29"/>
      <c r="AQ464" s="29"/>
      <c r="AR464" s="29"/>
    </row>
    <row r="465" spans="4:44" x14ac:dyDescent="0.25">
      <c r="D465" s="9"/>
      <c r="E465" s="9"/>
      <c r="F465" s="9"/>
      <c r="G465" s="9"/>
      <c r="H465" s="9"/>
      <c r="I465" s="9"/>
      <c r="J465" s="29"/>
      <c r="M465" s="21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29"/>
      <c r="AB465" s="29"/>
      <c r="AC465" s="29"/>
      <c r="AD465" s="29"/>
      <c r="AE465" s="29"/>
      <c r="AF465" s="29"/>
      <c r="AG465" s="29"/>
      <c r="AH465" s="9"/>
      <c r="AI465" s="9"/>
      <c r="AJ465" s="9"/>
      <c r="AK465" s="9"/>
      <c r="AL465" s="9"/>
      <c r="AM465" s="9"/>
      <c r="AN465" s="9"/>
      <c r="AO465" s="9"/>
      <c r="AP465" s="29"/>
      <c r="AQ465" s="29"/>
      <c r="AR465" s="29"/>
    </row>
    <row r="466" spans="4:44" x14ac:dyDescent="0.25">
      <c r="D466" s="9"/>
      <c r="E466" s="9"/>
      <c r="F466" s="9"/>
      <c r="G466" s="9"/>
      <c r="H466" s="9"/>
      <c r="I466" s="9"/>
      <c r="J466" s="29"/>
      <c r="M466" s="21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29"/>
      <c r="AB466" s="29"/>
      <c r="AC466" s="29"/>
      <c r="AD466" s="29"/>
      <c r="AE466" s="29"/>
      <c r="AF466" s="29"/>
      <c r="AG466" s="29"/>
      <c r="AH466" s="9"/>
      <c r="AI466" s="9"/>
      <c r="AJ466" s="9"/>
      <c r="AK466" s="9"/>
      <c r="AL466" s="9"/>
      <c r="AM466" s="9"/>
      <c r="AN466" s="9"/>
      <c r="AO466" s="9"/>
      <c r="AP466" s="29"/>
      <c r="AQ466" s="29"/>
      <c r="AR466" s="29"/>
    </row>
    <row r="467" spans="4:44" x14ac:dyDescent="0.25">
      <c r="D467" s="9"/>
      <c r="E467" s="9"/>
      <c r="F467" s="9"/>
      <c r="G467" s="9"/>
      <c r="H467" s="9"/>
      <c r="I467" s="9"/>
      <c r="J467" s="29"/>
      <c r="M467" s="21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29"/>
      <c r="AB467" s="29"/>
      <c r="AC467" s="29"/>
      <c r="AD467" s="29"/>
      <c r="AE467" s="29"/>
      <c r="AF467" s="29"/>
      <c r="AG467" s="29"/>
      <c r="AH467" s="9"/>
      <c r="AI467" s="9"/>
      <c r="AJ467" s="9"/>
      <c r="AK467" s="9"/>
      <c r="AL467" s="9"/>
      <c r="AM467" s="9"/>
      <c r="AN467" s="9"/>
      <c r="AO467" s="9"/>
      <c r="AP467" s="29"/>
      <c r="AQ467" s="29"/>
      <c r="AR467" s="29"/>
    </row>
    <row r="468" spans="4:44" x14ac:dyDescent="0.25">
      <c r="D468" s="9"/>
      <c r="E468" s="9"/>
      <c r="F468" s="9"/>
      <c r="G468" s="9"/>
      <c r="H468" s="9"/>
      <c r="I468" s="9"/>
      <c r="J468" s="29"/>
      <c r="M468" s="21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29"/>
      <c r="AB468" s="29"/>
      <c r="AC468" s="29"/>
      <c r="AD468" s="29"/>
      <c r="AE468" s="29"/>
      <c r="AF468" s="29"/>
      <c r="AG468" s="29"/>
      <c r="AH468" s="9"/>
      <c r="AI468" s="9"/>
      <c r="AJ468" s="9"/>
      <c r="AK468" s="9"/>
      <c r="AL468" s="9"/>
      <c r="AM468" s="9"/>
      <c r="AN468" s="9"/>
      <c r="AO468" s="9"/>
      <c r="AP468" s="29"/>
      <c r="AQ468" s="29"/>
      <c r="AR468" s="29"/>
    </row>
    <row r="469" spans="4:44" x14ac:dyDescent="0.25">
      <c r="D469" s="9"/>
      <c r="E469" s="9"/>
      <c r="F469" s="9"/>
      <c r="G469" s="9"/>
      <c r="H469" s="9"/>
      <c r="I469" s="9"/>
      <c r="J469" s="29"/>
      <c r="M469" s="21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29"/>
      <c r="AB469" s="29"/>
      <c r="AC469" s="29"/>
      <c r="AD469" s="29"/>
      <c r="AE469" s="29"/>
      <c r="AF469" s="29"/>
      <c r="AG469" s="29"/>
      <c r="AH469" s="9"/>
      <c r="AI469" s="9"/>
      <c r="AJ469" s="9"/>
      <c r="AK469" s="9"/>
      <c r="AL469" s="9"/>
      <c r="AM469" s="9"/>
      <c r="AN469" s="9"/>
      <c r="AO469" s="9"/>
      <c r="AP469" s="29"/>
      <c r="AQ469" s="29"/>
      <c r="AR469" s="29"/>
    </row>
    <row r="470" spans="4:44" x14ac:dyDescent="0.25">
      <c r="D470" s="9"/>
      <c r="E470" s="9"/>
      <c r="F470" s="9"/>
      <c r="G470" s="9"/>
      <c r="H470" s="9"/>
      <c r="I470" s="9"/>
      <c r="J470" s="29"/>
      <c r="M470" s="21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29"/>
      <c r="AB470" s="29"/>
      <c r="AC470" s="29"/>
      <c r="AD470" s="29"/>
      <c r="AE470" s="29"/>
      <c r="AF470" s="29"/>
      <c r="AG470" s="29"/>
      <c r="AH470" s="9"/>
      <c r="AI470" s="9"/>
      <c r="AJ470" s="9"/>
      <c r="AK470" s="9"/>
      <c r="AL470" s="9"/>
      <c r="AM470" s="9"/>
      <c r="AN470" s="9"/>
      <c r="AO470" s="9"/>
      <c r="AP470" s="29"/>
      <c r="AQ470" s="29"/>
      <c r="AR470" s="29"/>
    </row>
    <row r="471" spans="4:44" x14ac:dyDescent="0.25">
      <c r="D471" s="9"/>
      <c r="E471" s="9"/>
      <c r="F471" s="9"/>
      <c r="G471" s="9"/>
      <c r="H471" s="9"/>
      <c r="I471" s="9"/>
      <c r="J471" s="29"/>
      <c r="M471" s="21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29"/>
      <c r="AB471" s="29"/>
      <c r="AC471" s="29"/>
      <c r="AD471" s="29"/>
      <c r="AE471" s="29"/>
      <c r="AF471" s="29"/>
      <c r="AG471" s="29"/>
      <c r="AH471" s="9"/>
      <c r="AI471" s="9"/>
      <c r="AJ471" s="9"/>
      <c r="AK471" s="9"/>
      <c r="AL471" s="9"/>
      <c r="AM471" s="9"/>
      <c r="AN471" s="9"/>
      <c r="AO471" s="9"/>
      <c r="AP471" s="29"/>
      <c r="AQ471" s="29"/>
      <c r="AR471" s="29"/>
    </row>
    <row r="472" spans="4:44" x14ac:dyDescent="0.25">
      <c r="D472" s="9"/>
      <c r="E472" s="9"/>
      <c r="F472" s="9"/>
      <c r="G472" s="9"/>
      <c r="H472" s="9"/>
      <c r="I472" s="9"/>
      <c r="J472" s="29"/>
      <c r="M472" s="21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29"/>
      <c r="AB472" s="29"/>
      <c r="AC472" s="29"/>
      <c r="AD472" s="29"/>
      <c r="AE472" s="29"/>
      <c r="AF472" s="29"/>
      <c r="AG472" s="29"/>
      <c r="AH472" s="9"/>
      <c r="AI472" s="9"/>
      <c r="AJ472" s="9"/>
      <c r="AK472" s="9"/>
      <c r="AL472" s="9"/>
      <c r="AM472" s="9"/>
      <c r="AN472" s="9"/>
      <c r="AO472" s="9"/>
      <c r="AP472" s="29"/>
      <c r="AQ472" s="29"/>
      <c r="AR472" s="29"/>
    </row>
    <row r="473" spans="4:44" x14ac:dyDescent="0.25">
      <c r="D473" s="9"/>
      <c r="E473" s="9"/>
      <c r="F473" s="9"/>
      <c r="G473" s="9"/>
      <c r="H473" s="9"/>
      <c r="I473" s="9"/>
      <c r="J473" s="29"/>
      <c r="M473" s="21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29"/>
      <c r="AB473" s="29"/>
      <c r="AC473" s="29"/>
      <c r="AD473" s="29"/>
      <c r="AE473" s="29"/>
      <c r="AF473" s="29"/>
      <c r="AG473" s="29"/>
      <c r="AH473" s="9"/>
      <c r="AI473" s="9"/>
      <c r="AJ473" s="9"/>
      <c r="AK473" s="9"/>
      <c r="AL473" s="9"/>
      <c r="AM473" s="9"/>
      <c r="AN473" s="9"/>
      <c r="AO473" s="9"/>
      <c r="AP473" s="29"/>
      <c r="AQ473" s="29"/>
      <c r="AR473" s="29"/>
    </row>
    <row r="474" spans="4:44" x14ac:dyDescent="0.25">
      <c r="D474" s="9"/>
      <c r="E474" s="9"/>
      <c r="F474" s="9"/>
      <c r="G474" s="9"/>
      <c r="H474" s="9"/>
      <c r="I474" s="9"/>
      <c r="J474" s="29"/>
      <c r="M474" s="21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29"/>
      <c r="AB474" s="29"/>
      <c r="AC474" s="29"/>
      <c r="AD474" s="29"/>
      <c r="AE474" s="29"/>
      <c r="AF474" s="29"/>
      <c r="AG474" s="29"/>
      <c r="AH474" s="9"/>
      <c r="AI474" s="9"/>
      <c r="AJ474" s="9"/>
      <c r="AK474" s="9"/>
      <c r="AL474" s="9"/>
      <c r="AM474" s="9"/>
      <c r="AN474" s="9"/>
      <c r="AO474" s="9"/>
      <c r="AP474" s="29"/>
      <c r="AQ474" s="29"/>
      <c r="AR474" s="29"/>
    </row>
    <row r="475" spans="4:44" x14ac:dyDescent="0.25">
      <c r="D475" s="9"/>
      <c r="E475" s="9"/>
      <c r="F475" s="9"/>
      <c r="G475" s="9"/>
      <c r="H475" s="9"/>
      <c r="I475" s="9"/>
      <c r="J475" s="29"/>
      <c r="M475" s="21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29"/>
      <c r="AB475" s="29"/>
      <c r="AC475" s="29"/>
      <c r="AD475" s="29"/>
      <c r="AE475" s="29"/>
      <c r="AF475" s="29"/>
      <c r="AG475" s="29"/>
      <c r="AH475" s="9"/>
      <c r="AI475" s="9"/>
      <c r="AJ475" s="9"/>
      <c r="AK475" s="9"/>
      <c r="AL475" s="9"/>
      <c r="AM475" s="9"/>
      <c r="AN475" s="9"/>
      <c r="AO475" s="9"/>
      <c r="AP475" s="29"/>
      <c r="AQ475" s="29"/>
      <c r="AR475" s="29"/>
    </row>
    <row r="476" spans="4:44" x14ac:dyDescent="0.25">
      <c r="D476" s="9"/>
      <c r="E476" s="9"/>
      <c r="F476" s="9"/>
      <c r="G476" s="9"/>
      <c r="H476" s="9"/>
      <c r="I476" s="9"/>
      <c r="J476" s="29"/>
      <c r="M476" s="21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29"/>
      <c r="AB476" s="29"/>
      <c r="AC476" s="29"/>
      <c r="AD476" s="29"/>
      <c r="AE476" s="29"/>
      <c r="AF476" s="29"/>
      <c r="AG476" s="29"/>
      <c r="AH476" s="9"/>
      <c r="AI476" s="9"/>
      <c r="AJ476" s="9"/>
      <c r="AK476" s="9"/>
      <c r="AL476" s="9"/>
      <c r="AM476" s="9"/>
      <c r="AN476" s="9"/>
      <c r="AO476" s="9"/>
      <c r="AP476" s="29"/>
      <c r="AQ476" s="29"/>
      <c r="AR476" s="29"/>
    </row>
    <row r="477" spans="4:44" x14ac:dyDescent="0.25">
      <c r="D477" s="9"/>
      <c r="E477" s="9"/>
      <c r="F477" s="9"/>
      <c r="G477" s="9"/>
      <c r="H477" s="9"/>
      <c r="I477" s="9"/>
      <c r="J477" s="29"/>
      <c r="M477" s="21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29"/>
      <c r="AB477" s="29"/>
      <c r="AC477" s="29"/>
      <c r="AD477" s="29"/>
      <c r="AE477" s="29"/>
      <c r="AF477" s="29"/>
      <c r="AG477" s="29"/>
      <c r="AH477" s="9"/>
      <c r="AI477" s="9"/>
      <c r="AJ477" s="9"/>
      <c r="AK477" s="9"/>
      <c r="AL477" s="9"/>
      <c r="AM477" s="9"/>
      <c r="AN477" s="9"/>
      <c r="AO477" s="9"/>
      <c r="AP477" s="29"/>
      <c r="AQ477" s="29"/>
      <c r="AR477" s="29"/>
    </row>
    <row r="478" spans="4:44" x14ac:dyDescent="0.25">
      <c r="D478" s="9"/>
      <c r="E478" s="9"/>
      <c r="F478" s="9"/>
      <c r="G478" s="9"/>
      <c r="H478" s="9"/>
      <c r="I478" s="9"/>
      <c r="J478" s="29"/>
      <c r="M478" s="21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29"/>
      <c r="AB478" s="29"/>
      <c r="AC478" s="29"/>
      <c r="AD478" s="29"/>
      <c r="AE478" s="29"/>
      <c r="AF478" s="29"/>
      <c r="AG478" s="29"/>
      <c r="AH478" s="9"/>
      <c r="AI478" s="9"/>
      <c r="AJ478" s="9"/>
      <c r="AK478" s="9"/>
      <c r="AL478" s="9"/>
      <c r="AM478" s="9"/>
      <c r="AN478" s="9"/>
      <c r="AO478" s="9"/>
      <c r="AP478" s="29"/>
      <c r="AQ478" s="29"/>
      <c r="AR478" s="29"/>
    </row>
    <row r="479" spans="4:44" x14ac:dyDescent="0.25">
      <c r="D479" s="9"/>
      <c r="E479" s="9"/>
      <c r="F479" s="9"/>
      <c r="G479" s="9"/>
      <c r="H479" s="9"/>
      <c r="I479" s="9"/>
      <c r="J479" s="29"/>
      <c r="M479" s="21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29"/>
      <c r="AB479" s="29"/>
      <c r="AC479" s="29"/>
      <c r="AD479" s="29"/>
      <c r="AE479" s="29"/>
      <c r="AF479" s="29"/>
      <c r="AG479" s="29"/>
      <c r="AH479" s="9"/>
      <c r="AI479" s="9"/>
      <c r="AJ479" s="9"/>
      <c r="AK479" s="9"/>
      <c r="AL479" s="9"/>
      <c r="AM479" s="9"/>
      <c r="AN479" s="9"/>
      <c r="AO479" s="9"/>
      <c r="AP479" s="29"/>
      <c r="AQ479" s="29"/>
      <c r="AR479" s="29"/>
    </row>
    <row r="480" spans="4:44" x14ac:dyDescent="0.25">
      <c r="D480" s="9"/>
      <c r="E480" s="9"/>
      <c r="F480" s="9"/>
      <c r="G480" s="9"/>
      <c r="H480" s="9"/>
      <c r="I480" s="9"/>
      <c r="J480" s="29"/>
      <c r="M480" s="21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29"/>
      <c r="AB480" s="29"/>
      <c r="AC480" s="29"/>
      <c r="AD480" s="29"/>
      <c r="AE480" s="29"/>
      <c r="AF480" s="29"/>
      <c r="AG480" s="29"/>
      <c r="AH480" s="9"/>
      <c r="AI480" s="9"/>
      <c r="AJ480" s="9"/>
      <c r="AK480" s="9"/>
      <c r="AL480" s="9"/>
      <c r="AM480" s="9"/>
      <c r="AN480" s="9"/>
      <c r="AO480" s="9"/>
      <c r="AP480" s="29"/>
      <c r="AQ480" s="29"/>
      <c r="AR480" s="29"/>
    </row>
    <row r="481" spans="4:44" x14ac:dyDescent="0.25">
      <c r="D481" s="9"/>
      <c r="E481" s="9"/>
      <c r="F481" s="9"/>
      <c r="G481" s="9"/>
      <c r="H481" s="9"/>
      <c r="I481" s="9"/>
      <c r="J481" s="29"/>
      <c r="M481" s="21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29"/>
      <c r="AB481" s="29"/>
      <c r="AC481" s="29"/>
      <c r="AD481" s="29"/>
      <c r="AE481" s="29"/>
      <c r="AF481" s="29"/>
      <c r="AG481" s="29"/>
      <c r="AH481" s="9"/>
      <c r="AI481" s="9"/>
      <c r="AJ481" s="9"/>
      <c r="AK481" s="9"/>
      <c r="AL481" s="9"/>
      <c r="AM481" s="9"/>
      <c r="AN481" s="9"/>
      <c r="AO481" s="9"/>
      <c r="AP481" s="29"/>
      <c r="AQ481" s="29"/>
      <c r="AR481" s="29"/>
    </row>
    <row r="482" spans="4:44" x14ac:dyDescent="0.25">
      <c r="D482" s="9"/>
      <c r="E482" s="9"/>
      <c r="F482" s="9"/>
      <c r="G482" s="9"/>
      <c r="H482" s="9"/>
      <c r="I482" s="9"/>
      <c r="J482" s="29"/>
      <c r="M482" s="21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29"/>
      <c r="AB482" s="29"/>
      <c r="AC482" s="29"/>
      <c r="AD482" s="29"/>
      <c r="AE482" s="29"/>
      <c r="AF482" s="29"/>
      <c r="AG482" s="29"/>
      <c r="AH482" s="9"/>
      <c r="AI482" s="9"/>
      <c r="AJ482" s="9"/>
      <c r="AK482" s="9"/>
      <c r="AL482" s="9"/>
      <c r="AM482" s="9"/>
      <c r="AN482" s="9"/>
      <c r="AO482" s="9"/>
      <c r="AP482" s="29"/>
      <c r="AQ482" s="29"/>
      <c r="AR482" s="29"/>
    </row>
    <row r="483" spans="4:44" x14ac:dyDescent="0.25">
      <c r="D483" s="9"/>
      <c r="E483" s="9"/>
      <c r="F483" s="9"/>
      <c r="G483" s="9"/>
      <c r="H483" s="9"/>
      <c r="I483" s="9"/>
      <c r="J483" s="29"/>
      <c r="M483" s="21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29"/>
      <c r="AB483" s="29"/>
      <c r="AC483" s="29"/>
      <c r="AD483" s="29"/>
      <c r="AE483" s="29"/>
      <c r="AF483" s="29"/>
      <c r="AG483" s="29"/>
      <c r="AH483" s="9"/>
      <c r="AI483" s="9"/>
      <c r="AJ483" s="9"/>
      <c r="AK483" s="9"/>
      <c r="AL483" s="9"/>
      <c r="AM483" s="9"/>
      <c r="AN483" s="9"/>
      <c r="AO483" s="9"/>
      <c r="AP483" s="29"/>
      <c r="AQ483" s="29"/>
      <c r="AR483" s="29"/>
    </row>
    <row r="484" spans="4:44" x14ac:dyDescent="0.25">
      <c r="D484" s="9"/>
      <c r="E484" s="9"/>
      <c r="F484" s="9"/>
      <c r="G484" s="9"/>
      <c r="H484" s="9"/>
      <c r="I484" s="9"/>
      <c r="J484" s="29"/>
      <c r="M484" s="21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29"/>
      <c r="AB484" s="29"/>
      <c r="AC484" s="29"/>
      <c r="AD484" s="29"/>
      <c r="AE484" s="29"/>
      <c r="AF484" s="29"/>
      <c r="AG484" s="29"/>
      <c r="AH484" s="9"/>
      <c r="AI484" s="9"/>
      <c r="AJ484" s="9"/>
      <c r="AK484" s="9"/>
      <c r="AL484" s="9"/>
      <c r="AM484" s="9"/>
      <c r="AN484" s="9"/>
      <c r="AO484" s="9"/>
      <c r="AP484" s="29"/>
      <c r="AQ484" s="29"/>
      <c r="AR484" s="29"/>
    </row>
    <row r="485" spans="4:44" x14ac:dyDescent="0.25">
      <c r="D485" s="9"/>
      <c r="E485" s="9"/>
      <c r="F485" s="9"/>
      <c r="G485" s="9"/>
      <c r="H485" s="9"/>
      <c r="I485" s="9"/>
      <c r="J485" s="29"/>
      <c r="M485" s="21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29"/>
      <c r="AB485" s="29"/>
      <c r="AC485" s="29"/>
      <c r="AD485" s="29"/>
      <c r="AE485" s="29"/>
      <c r="AF485" s="29"/>
      <c r="AG485" s="29"/>
      <c r="AH485" s="9"/>
      <c r="AI485" s="9"/>
      <c r="AJ485" s="9"/>
      <c r="AK485" s="9"/>
      <c r="AL485" s="9"/>
      <c r="AM485" s="9"/>
      <c r="AN485" s="9"/>
      <c r="AO485" s="9"/>
      <c r="AP485" s="29"/>
      <c r="AQ485" s="29"/>
      <c r="AR485" s="29"/>
    </row>
    <row r="486" spans="4:44" x14ac:dyDescent="0.25">
      <c r="D486" s="9"/>
      <c r="E486" s="9"/>
      <c r="F486" s="9"/>
      <c r="G486" s="9"/>
      <c r="H486" s="9"/>
      <c r="I486" s="9"/>
      <c r="J486" s="29"/>
      <c r="M486" s="21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29"/>
      <c r="AB486" s="29"/>
      <c r="AC486" s="29"/>
      <c r="AD486" s="29"/>
      <c r="AE486" s="29"/>
      <c r="AF486" s="29"/>
      <c r="AG486" s="29"/>
      <c r="AH486" s="9"/>
      <c r="AI486" s="9"/>
      <c r="AJ486" s="9"/>
      <c r="AK486" s="9"/>
      <c r="AL486" s="9"/>
      <c r="AM486" s="9"/>
      <c r="AN486" s="9"/>
      <c r="AO486" s="9"/>
      <c r="AP486" s="29"/>
      <c r="AQ486" s="29"/>
      <c r="AR486" s="29"/>
    </row>
    <row r="487" spans="4:44" x14ac:dyDescent="0.25">
      <c r="D487" s="9"/>
      <c r="E487" s="9"/>
      <c r="F487" s="9"/>
      <c r="G487" s="9"/>
      <c r="H487" s="9"/>
      <c r="I487" s="9"/>
      <c r="J487" s="29"/>
      <c r="M487" s="21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29"/>
      <c r="AB487" s="29"/>
      <c r="AC487" s="29"/>
      <c r="AD487" s="29"/>
      <c r="AE487" s="29"/>
      <c r="AF487" s="29"/>
      <c r="AG487" s="29"/>
      <c r="AH487" s="9"/>
      <c r="AI487" s="9"/>
      <c r="AJ487" s="9"/>
      <c r="AK487" s="9"/>
      <c r="AL487" s="9"/>
      <c r="AM487" s="9"/>
      <c r="AN487" s="9"/>
      <c r="AO487" s="9"/>
      <c r="AP487" s="29"/>
      <c r="AQ487" s="29"/>
      <c r="AR487" s="29"/>
    </row>
    <row r="488" spans="4:44" x14ac:dyDescent="0.25">
      <c r="D488" s="9"/>
      <c r="E488" s="9"/>
      <c r="F488" s="9"/>
      <c r="G488" s="9"/>
      <c r="H488" s="9"/>
      <c r="I488" s="9"/>
      <c r="J488" s="29"/>
      <c r="M488" s="21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29"/>
      <c r="AB488" s="29"/>
      <c r="AC488" s="29"/>
      <c r="AD488" s="29"/>
      <c r="AE488" s="29"/>
      <c r="AF488" s="29"/>
      <c r="AG488" s="29"/>
      <c r="AH488" s="9"/>
      <c r="AI488" s="9"/>
      <c r="AJ488" s="9"/>
      <c r="AK488" s="9"/>
      <c r="AL488" s="9"/>
      <c r="AM488" s="9"/>
      <c r="AN488" s="9"/>
      <c r="AO488" s="9"/>
      <c r="AP488" s="29"/>
      <c r="AQ488" s="29"/>
      <c r="AR488" s="29"/>
    </row>
    <row r="489" spans="4:44" x14ac:dyDescent="0.25">
      <c r="D489" s="9"/>
      <c r="E489" s="9"/>
      <c r="F489" s="9"/>
      <c r="G489" s="9"/>
      <c r="H489" s="9"/>
      <c r="I489" s="9"/>
      <c r="J489" s="29"/>
      <c r="M489" s="21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29"/>
      <c r="AB489" s="29"/>
      <c r="AC489" s="29"/>
      <c r="AD489" s="29"/>
      <c r="AE489" s="29"/>
      <c r="AF489" s="29"/>
      <c r="AG489" s="29"/>
      <c r="AH489" s="9"/>
      <c r="AI489" s="9"/>
      <c r="AJ489" s="9"/>
      <c r="AK489" s="9"/>
      <c r="AL489" s="9"/>
      <c r="AM489" s="9"/>
      <c r="AN489" s="9"/>
      <c r="AO489" s="9"/>
      <c r="AP489" s="29"/>
      <c r="AQ489" s="29"/>
      <c r="AR489" s="29"/>
    </row>
    <row r="490" spans="4:44" x14ac:dyDescent="0.25">
      <c r="D490" s="9"/>
      <c r="E490" s="9"/>
      <c r="F490" s="9"/>
      <c r="G490" s="9"/>
      <c r="H490" s="9"/>
      <c r="I490" s="9"/>
      <c r="J490" s="29"/>
      <c r="M490" s="21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29"/>
      <c r="AB490" s="29"/>
      <c r="AC490" s="29"/>
      <c r="AD490" s="29"/>
      <c r="AE490" s="29"/>
      <c r="AF490" s="29"/>
      <c r="AG490" s="29"/>
      <c r="AH490" s="9"/>
      <c r="AI490" s="9"/>
      <c r="AJ490" s="9"/>
      <c r="AK490" s="9"/>
      <c r="AL490" s="9"/>
      <c r="AM490" s="9"/>
      <c r="AN490" s="9"/>
      <c r="AO490" s="9"/>
      <c r="AP490" s="29"/>
      <c r="AQ490" s="29"/>
      <c r="AR490" s="29"/>
    </row>
    <row r="491" spans="4:44" x14ac:dyDescent="0.25">
      <c r="D491" s="9"/>
      <c r="E491" s="9"/>
      <c r="F491" s="9"/>
      <c r="G491" s="9"/>
      <c r="H491" s="9"/>
      <c r="I491" s="9"/>
      <c r="J491" s="29"/>
      <c r="M491" s="21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29"/>
      <c r="AB491" s="29"/>
      <c r="AC491" s="29"/>
      <c r="AD491" s="29"/>
      <c r="AE491" s="29"/>
      <c r="AF491" s="29"/>
      <c r="AG491" s="29"/>
      <c r="AH491" s="9"/>
      <c r="AI491" s="9"/>
      <c r="AJ491" s="9"/>
      <c r="AK491" s="9"/>
      <c r="AL491" s="9"/>
      <c r="AM491" s="9"/>
      <c r="AN491" s="9"/>
      <c r="AO491" s="9"/>
      <c r="AP491" s="29"/>
      <c r="AQ491" s="29"/>
      <c r="AR491" s="29"/>
    </row>
    <row r="492" spans="4:44" x14ac:dyDescent="0.25">
      <c r="D492" s="9"/>
      <c r="E492" s="9"/>
      <c r="F492" s="9"/>
      <c r="G492" s="9"/>
      <c r="H492" s="9"/>
      <c r="I492" s="9"/>
      <c r="J492" s="29"/>
      <c r="M492" s="21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29"/>
      <c r="AB492" s="29"/>
      <c r="AC492" s="29"/>
      <c r="AD492" s="29"/>
      <c r="AE492" s="29"/>
      <c r="AF492" s="29"/>
      <c r="AG492" s="29"/>
      <c r="AH492" s="9"/>
      <c r="AI492" s="9"/>
      <c r="AJ492" s="9"/>
      <c r="AK492" s="9"/>
      <c r="AL492" s="9"/>
      <c r="AM492" s="9"/>
      <c r="AN492" s="9"/>
      <c r="AO492" s="9"/>
      <c r="AP492" s="29"/>
      <c r="AQ492" s="29"/>
      <c r="AR492" s="29"/>
    </row>
    <row r="493" spans="4:44" x14ac:dyDescent="0.25">
      <c r="D493" s="9"/>
      <c r="E493" s="9"/>
      <c r="F493" s="9"/>
      <c r="G493" s="9"/>
      <c r="H493" s="9"/>
      <c r="I493" s="9"/>
      <c r="J493" s="29"/>
      <c r="M493" s="21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29"/>
      <c r="AB493" s="29"/>
      <c r="AC493" s="29"/>
      <c r="AD493" s="29"/>
      <c r="AE493" s="29"/>
      <c r="AF493" s="29"/>
      <c r="AG493" s="29"/>
      <c r="AH493" s="9"/>
      <c r="AI493" s="9"/>
      <c r="AJ493" s="9"/>
      <c r="AK493" s="9"/>
      <c r="AL493" s="9"/>
      <c r="AM493" s="9"/>
      <c r="AN493" s="9"/>
      <c r="AO493" s="9"/>
      <c r="AP493" s="29"/>
      <c r="AQ493" s="29"/>
      <c r="AR493" s="29"/>
    </row>
    <row r="494" spans="4:44" x14ac:dyDescent="0.25">
      <c r="D494" s="9"/>
      <c r="E494" s="9"/>
      <c r="F494" s="9"/>
      <c r="G494" s="9"/>
      <c r="H494" s="9"/>
      <c r="I494" s="9"/>
      <c r="J494" s="29"/>
      <c r="M494" s="21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29"/>
      <c r="AB494" s="29"/>
      <c r="AC494" s="29"/>
      <c r="AD494" s="29"/>
      <c r="AE494" s="29"/>
      <c r="AF494" s="29"/>
      <c r="AG494" s="29"/>
      <c r="AH494" s="9"/>
      <c r="AI494" s="9"/>
      <c r="AJ494" s="9"/>
      <c r="AK494" s="9"/>
      <c r="AL494" s="9"/>
      <c r="AM494" s="9"/>
      <c r="AN494" s="9"/>
      <c r="AO494" s="9"/>
      <c r="AP494" s="29"/>
      <c r="AQ494" s="29"/>
      <c r="AR494" s="29"/>
    </row>
    <row r="495" spans="4:44" x14ac:dyDescent="0.25">
      <c r="D495" s="9"/>
      <c r="E495" s="9"/>
      <c r="F495" s="9"/>
      <c r="G495" s="9"/>
      <c r="H495" s="9"/>
      <c r="I495" s="9"/>
      <c r="J495" s="29"/>
      <c r="M495" s="21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29"/>
      <c r="AB495" s="29"/>
      <c r="AC495" s="29"/>
      <c r="AD495" s="29"/>
      <c r="AE495" s="29"/>
      <c r="AF495" s="29"/>
      <c r="AG495" s="29"/>
      <c r="AH495" s="9"/>
      <c r="AI495" s="9"/>
      <c r="AJ495" s="9"/>
      <c r="AK495" s="9"/>
      <c r="AL495" s="9"/>
      <c r="AM495" s="9"/>
      <c r="AN495" s="9"/>
      <c r="AO495" s="9"/>
      <c r="AP495" s="29"/>
      <c r="AQ495" s="29"/>
      <c r="AR495" s="29"/>
    </row>
    <row r="496" spans="4:44" x14ac:dyDescent="0.25">
      <c r="D496" s="9"/>
      <c r="E496" s="9"/>
      <c r="F496" s="9"/>
      <c r="G496" s="9"/>
      <c r="H496" s="9"/>
      <c r="I496" s="9"/>
      <c r="J496" s="29"/>
      <c r="M496" s="21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29"/>
      <c r="AB496" s="29"/>
      <c r="AC496" s="29"/>
      <c r="AD496" s="29"/>
      <c r="AE496" s="29"/>
      <c r="AF496" s="29"/>
      <c r="AG496" s="29"/>
      <c r="AH496" s="9"/>
      <c r="AI496" s="9"/>
      <c r="AJ496" s="9"/>
      <c r="AK496" s="9"/>
      <c r="AL496" s="9"/>
      <c r="AM496" s="9"/>
      <c r="AN496" s="9"/>
      <c r="AO496" s="9"/>
      <c r="AP496" s="29"/>
      <c r="AQ496" s="29"/>
      <c r="AR496" s="29"/>
    </row>
    <row r="497" spans="4:44" x14ac:dyDescent="0.25">
      <c r="D497" s="9"/>
      <c r="E497" s="9"/>
      <c r="F497" s="9"/>
      <c r="G497" s="9"/>
      <c r="H497" s="9"/>
      <c r="I497" s="9"/>
      <c r="J497" s="29"/>
      <c r="M497" s="21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29"/>
      <c r="AB497" s="29"/>
      <c r="AC497" s="29"/>
      <c r="AD497" s="29"/>
      <c r="AE497" s="29"/>
      <c r="AF497" s="29"/>
      <c r="AG497" s="29"/>
      <c r="AH497" s="9"/>
      <c r="AI497" s="9"/>
      <c r="AJ497" s="9"/>
      <c r="AK497" s="9"/>
      <c r="AL497" s="9"/>
      <c r="AM497" s="9"/>
      <c r="AN497" s="9"/>
      <c r="AO497" s="9"/>
      <c r="AP497" s="29"/>
      <c r="AQ497" s="29"/>
      <c r="AR497" s="29"/>
    </row>
    <row r="498" spans="4:44" x14ac:dyDescent="0.25">
      <c r="D498" s="9"/>
      <c r="E498" s="9"/>
      <c r="F498" s="9"/>
      <c r="G498" s="9"/>
      <c r="H498" s="9"/>
      <c r="I498" s="9"/>
      <c r="J498" s="29"/>
      <c r="M498" s="21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29"/>
      <c r="AB498" s="29"/>
      <c r="AC498" s="29"/>
      <c r="AD498" s="29"/>
      <c r="AE498" s="29"/>
      <c r="AF498" s="29"/>
      <c r="AG498" s="29"/>
      <c r="AH498" s="9"/>
      <c r="AI498" s="9"/>
      <c r="AJ498" s="9"/>
      <c r="AK498" s="9"/>
      <c r="AL498" s="9"/>
      <c r="AM498" s="9"/>
      <c r="AN498" s="9"/>
      <c r="AO498" s="9"/>
      <c r="AP498" s="29"/>
      <c r="AQ498" s="29"/>
      <c r="AR498" s="29"/>
    </row>
    <row r="499" spans="4:44" x14ac:dyDescent="0.25">
      <c r="D499" s="9"/>
      <c r="E499" s="9"/>
      <c r="F499" s="9"/>
      <c r="G499" s="9"/>
      <c r="H499" s="9"/>
      <c r="I499" s="9"/>
      <c r="J499" s="29"/>
      <c r="M499" s="21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29"/>
      <c r="AB499" s="29"/>
      <c r="AC499" s="29"/>
      <c r="AD499" s="29"/>
      <c r="AE499" s="29"/>
      <c r="AF499" s="29"/>
      <c r="AG499" s="29"/>
      <c r="AH499" s="9"/>
      <c r="AI499" s="9"/>
      <c r="AJ499" s="9"/>
      <c r="AK499" s="9"/>
      <c r="AL499" s="9"/>
      <c r="AM499" s="9"/>
      <c r="AN499" s="9"/>
      <c r="AO499" s="9"/>
      <c r="AP499" s="29"/>
      <c r="AQ499" s="29"/>
      <c r="AR499" s="29"/>
    </row>
    <row r="500" spans="4:44" x14ac:dyDescent="0.25">
      <c r="D500" s="9"/>
      <c r="E500" s="9"/>
      <c r="F500" s="9"/>
      <c r="G500" s="9"/>
      <c r="H500" s="9"/>
      <c r="I500" s="9"/>
      <c r="J500" s="29"/>
      <c r="M500" s="21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29"/>
      <c r="AB500" s="29"/>
      <c r="AC500" s="29"/>
      <c r="AD500" s="29"/>
      <c r="AE500" s="29"/>
      <c r="AF500" s="29"/>
      <c r="AG500" s="29"/>
      <c r="AH500" s="9"/>
      <c r="AI500" s="9"/>
      <c r="AJ500" s="9"/>
      <c r="AK500" s="9"/>
      <c r="AL500" s="9"/>
      <c r="AM500" s="9"/>
      <c r="AN500" s="9"/>
      <c r="AO500" s="9"/>
      <c r="AP500" s="29"/>
      <c r="AQ500" s="29"/>
      <c r="AR500" s="29"/>
    </row>
    <row r="501" spans="4:44" x14ac:dyDescent="0.25">
      <c r="D501" s="9"/>
      <c r="E501" s="9"/>
      <c r="F501" s="9"/>
      <c r="G501" s="9"/>
      <c r="H501" s="9"/>
      <c r="I501" s="9"/>
      <c r="J501" s="29"/>
      <c r="M501" s="21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29"/>
      <c r="AB501" s="29"/>
      <c r="AC501" s="29"/>
      <c r="AD501" s="29"/>
      <c r="AE501" s="29"/>
      <c r="AF501" s="29"/>
      <c r="AG501" s="29"/>
      <c r="AH501" s="9"/>
      <c r="AI501" s="9"/>
      <c r="AJ501" s="9"/>
      <c r="AK501" s="9"/>
      <c r="AL501" s="9"/>
      <c r="AM501" s="9"/>
      <c r="AN501" s="9"/>
      <c r="AO501" s="9"/>
      <c r="AP501" s="29"/>
      <c r="AQ501" s="29"/>
      <c r="AR501" s="29"/>
    </row>
    <row r="502" spans="4:44" x14ac:dyDescent="0.25">
      <c r="D502" s="9"/>
      <c r="E502" s="9"/>
      <c r="F502" s="9"/>
      <c r="G502" s="9"/>
      <c r="H502" s="9"/>
      <c r="I502" s="9"/>
      <c r="J502" s="29"/>
      <c r="M502" s="21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29"/>
      <c r="AB502" s="29"/>
      <c r="AC502" s="29"/>
      <c r="AD502" s="29"/>
      <c r="AE502" s="29"/>
      <c r="AF502" s="29"/>
      <c r="AG502" s="29"/>
      <c r="AH502" s="9"/>
      <c r="AI502" s="9"/>
      <c r="AJ502" s="9"/>
      <c r="AK502" s="9"/>
      <c r="AL502" s="9"/>
      <c r="AM502" s="9"/>
      <c r="AN502" s="9"/>
      <c r="AO502" s="9"/>
      <c r="AP502" s="29"/>
      <c r="AQ502" s="29"/>
      <c r="AR502" s="29"/>
    </row>
    <row r="503" spans="4:44" x14ac:dyDescent="0.25">
      <c r="D503" s="9"/>
      <c r="E503" s="9"/>
      <c r="F503" s="9"/>
      <c r="G503" s="9"/>
      <c r="H503" s="9"/>
      <c r="I503" s="9"/>
      <c r="J503" s="29"/>
      <c r="M503" s="21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29"/>
      <c r="AB503" s="29"/>
      <c r="AC503" s="29"/>
      <c r="AD503" s="29"/>
      <c r="AE503" s="29"/>
      <c r="AF503" s="29"/>
      <c r="AG503" s="29"/>
      <c r="AH503" s="9"/>
      <c r="AI503" s="9"/>
      <c r="AJ503" s="9"/>
      <c r="AK503" s="9"/>
      <c r="AL503" s="9"/>
      <c r="AM503" s="9"/>
      <c r="AN503" s="9"/>
      <c r="AO503" s="9"/>
      <c r="AP503" s="29"/>
      <c r="AQ503" s="29"/>
      <c r="AR503" s="29"/>
    </row>
    <row r="504" spans="4:44" x14ac:dyDescent="0.25">
      <c r="D504" s="9"/>
      <c r="E504" s="9"/>
      <c r="F504" s="9"/>
      <c r="G504" s="9"/>
      <c r="H504" s="9"/>
      <c r="I504" s="9"/>
      <c r="J504" s="29"/>
      <c r="M504" s="21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29"/>
      <c r="AB504" s="29"/>
      <c r="AC504" s="29"/>
      <c r="AD504" s="29"/>
      <c r="AE504" s="29"/>
      <c r="AF504" s="29"/>
      <c r="AG504" s="29"/>
      <c r="AH504" s="9"/>
      <c r="AI504" s="9"/>
      <c r="AJ504" s="9"/>
      <c r="AK504" s="9"/>
      <c r="AL504" s="9"/>
      <c r="AM504" s="9"/>
      <c r="AN504" s="9"/>
      <c r="AO504" s="9"/>
      <c r="AP504" s="29"/>
      <c r="AQ504" s="29"/>
      <c r="AR504" s="29"/>
    </row>
    <row r="505" spans="4:44" x14ac:dyDescent="0.25">
      <c r="D505" s="9"/>
      <c r="E505" s="9"/>
      <c r="F505" s="9"/>
      <c r="G505" s="9"/>
      <c r="H505" s="9"/>
      <c r="I505" s="9"/>
      <c r="J505" s="29"/>
      <c r="M505" s="21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29"/>
      <c r="AB505" s="29"/>
      <c r="AC505" s="29"/>
      <c r="AD505" s="29"/>
      <c r="AE505" s="29"/>
      <c r="AF505" s="29"/>
      <c r="AG505" s="29"/>
      <c r="AH505" s="9"/>
      <c r="AI505" s="9"/>
      <c r="AJ505" s="9"/>
      <c r="AK505" s="9"/>
      <c r="AL505" s="9"/>
      <c r="AM505" s="9"/>
      <c r="AN505" s="9"/>
      <c r="AO505" s="9"/>
      <c r="AP505" s="29"/>
      <c r="AQ505" s="29"/>
      <c r="AR505" s="29"/>
    </row>
    <row r="506" spans="4:44" x14ac:dyDescent="0.25">
      <c r="D506" s="9"/>
      <c r="E506" s="9"/>
      <c r="F506" s="9"/>
      <c r="G506" s="9"/>
      <c r="H506" s="9"/>
      <c r="I506" s="9"/>
      <c r="J506" s="29"/>
      <c r="M506" s="21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29"/>
      <c r="AB506" s="29"/>
      <c r="AC506" s="29"/>
      <c r="AD506" s="29"/>
      <c r="AE506" s="29"/>
      <c r="AF506" s="29"/>
      <c r="AG506" s="29"/>
      <c r="AH506" s="9"/>
      <c r="AI506" s="9"/>
      <c r="AJ506" s="9"/>
      <c r="AK506" s="9"/>
      <c r="AL506" s="9"/>
      <c r="AM506" s="9"/>
      <c r="AN506" s="9"/>
      <c r="AO506" s="9"/>
      <c r="AP506" s="29"/>
      <c r="AQ506" s="29"/>
      <c r="AR506" s="29"/>
    </row>
    <row r="507" spans="4:44" x14ac:dyDescent="0.25">
      <c r="D507" s="9"/>
      <c r="E507" s="9"/>
      <c r="F507" s="9"/>
      <c r="G507" s="9"/>
      <c r="H507" s="9"/>
      <c r="I507" s="9"/>
      <c r="J507" s="29"/>
      <c r="M507" s="21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29"/>
      <c r="AB507" s="29"/>
      <c r="AC507" s="29"/>
      <c r="AD507" s="29"/>
      <c r="AE507" s="29"/>
      <c r="AF507" s="29"/>
      <c r="AG507" s="29"/>
      <c r="AH507" s="9"/>
      <c r="AI507" s="9"/>
      <c r="AJ507" s="9"/>
      <c r="AK507" s="9"/>
      <c r="AL507" s="9"/>
      <c r="AM507" s="9"/>
      <c r="AN507" s="9"/>
      <c r="AO507" s="9"/>
      <c r="AP507" s="29"/>
      <c r="AQ507" s="29"/>
      <c r="AR507" s="29"/>
    </row>
    <row r="508" spans="4:44" x14ac:dyDescent="0.25">
      <c r="D508" s="9"/>
      <c r="E508" s="9"/>
      <c r="F508" s="9"/>
      <c r="G508" s="9"/>
      <c r="H508" s="9"/>
      <c r="I508" s="9"/>
      <c r="J508" s="29"/>
      <c r="M508" s="21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29"/>
      <c r="AB508" s="29"/>
      <c r="AC508" s="29"/>
      <c r="AD508" s="29"/>
      <c r="AE508" s="29"/>
      <c r="AF508" s="29"/>
      <c r="AG508" s="29"/>
      <c r="AH508" s="9"/>
      <c r="AI508" s="9"/>
      <c r="AJ508" s="9"/>
      <c r="AK508" s="9"/>
      <c r="AL508" s="9"/>
      <c r="AM508" s="9"/>
      <c r="AN508" s="9"/>
      <c r="AO508" s="9"/>
      <c r="AP508" s="29"/>
      <c r="AQ508" s="29"/>
      <c r="AR508" s="29"/>
    </row>
    <row r="509" spans="4:44" x14ac:dyDescent="0.25">
      <c r="D509" s="9"/>
      <c r="E509" s="9"/>
      <c r="F509" s="9"/>
      <c r="G509" s="9"/>
      <c r="H509" s="9"/>
      <c r="I509" s="9"/>
      <c r="J509" s="29"/>
      <c r="M509" s="21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29"/>
      <c r="AB509" s="29"/>
      <c r="AC509" s="29"/>
      <c r="AD509" s="29"/>
      <c r="AE509" s="29"/>
      <c r="AF509" s="29"/>
      <c r="AG509" s="29"/>
      <c r="AH509" s="9"/>
      <c r="AI509" s="9"/>
      <c r="AJ509" s="9"/>
      <c r="AK509" s="9"/>
      <c r="AL509" s="9"/>
      <c r="AM509" s="9"/>
      <c r="AN509" s="9"/>
      <c r="AO509" s="9"/>
      <c r="AP509" s="29"/>
      <c r="AQ509" s="29"/>
      <c r="AR509" s="29"/>
    </row>
    <row r="510" spans="4:44" x14ac:dyDescent="0.25">
      <c r="D510" s="9"/>
      <c r="E510" s="9"/>
      <c r="F510" s="9"/>
      <c r="G510" s="9"/>
      <c r="H510" s="9"/>
      <c r="I510" s="9"/>
      <c r="J510" s="29"/>
      <c r="M510" s="21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29"/>
      <c r="AB510" s="29"/>
      <c r="AC510" s="29"/>
      <c r="AD510" s="29"/>
      <c r="AE510" s="29"/>
      <c r="AF510" s="29"/>
      <c r="AG510" s="29"/>
      <c r="AH510" s="9"/>
      <c r="AI510" s="9"/>
      <c r="AJ510" s="9"/>
      <c r="AK510" s="9"/>
      <c r="AL510" s="9"/>
      <c r="AM510" s="9"/>
      <c r="AN510" s="9"/>
      <c r="AO510" s="9"/>
      <c r="AP510" s="29"/>
      <c r="AQ510" s="29"/>
      <c r="AR510" s="29"/>
    </row>
    <row r="511" spans="4:44" x14ac:dyDescent="0.25">
      <c r="D511" s="9"/>
      <c r="E511" s="9"/>
      <c r="F511" s="9"/>
      <c r="G511" s="9"/>
      <c r="H511" s="9"/>
      <c r="I511" s="9"/>
      <c r="J511" s="29"/>
      <c r="M511" s="21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29"/>
      <c r="AB511" s="29"/>
      <c r="AC511" s="29"/>
      <c r="AD511" s="29"/>
      <c r="AE511" s="29"/>
      <c r="AF511" s="29"/>
      <c r="AG511" s="29"/>
      <c r="AH511" s="9"/>
      <c r="AI511" s="9"/>
      <c r="AJ511" s="9"/>
      <c r="AK511" s="9"/>
      <c r="AL511" s="9"/>
      <c r="AM511" s="9"/>
      <c r="AN511" s="9"/>
      <c r="AO511" s="9"/>
      <c r="AP511" s="29"/>
      <c r="AQ511" s="29"/>
      <c r="AR511" s="29"/>
    </row>
    <row r="512" spans="4:44" x14ac:dyDescent="0.25">
      <c r="D512" s="9"/>
      <c r="E512" s="9"/>
      <c r="F512" s="9"/>
      <c r="G512" s="9"/>
      <c r="H512" s="9"/>
      <c r="I512" s="9"/>
      <c r="J512" s="29"/>
      <c r="M512" s="21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29"/>
      <c r="AB512" s="29"/>
      <c r="AC512" s="29"/>
      <c r="AD512" s="29"/>
      <c r="AE512" s="29"/>
      <c r="AF512" s="29"/>
      <c r="AG512" s="29"/>
      <c r="AH512" s="9"/>
      <c r="AI512" s="9"/>
      <c r="AJ512" s="9"/>
      <c r="AK512" s="9"/>
      <c r="AL512" s="9"/>
      <c r="AM512" s="9"/>
      <c r="AN512" s="9"/>
      <c r="AO512" s="9"/>
      <c r="AP512" s="29"/>
      <c r="AQ512" s="29"/>
      <c r="AR512" s="29"/>
    </row>
    <row r="513" spans="4:44" x14ac:dyDescent="0.25">
      <c r="D513" s="9"/>
      <c r="E513" s="9"/>
      <c r="F513" s="9"/>
      <c r="G513" s="9"/>
      <c r="H513" s="9"/>
      <c r="I513" s="9"/>
      <c r="J513" s="29"/>
      <c r="M513" s="21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29"/>
      <c r="AB513" s="29"/>
      <c r="AC513" s="29"/>
      <c r="AD513" s="29"/>
      <c r="AE513" s="29"/>
      <c r="AF513" s="29"/>
      <c r="AG513" s="29"/>
      <c r="AH513" s="9"/>
      <c r="AI513" s="9"/>
      <c r="AJ513" s="9"/>
      <c r="AK513" s="9"/>
      <c r="AL513" s="9"/>
      <c r="AM513" s="9"/>
      <c r="AN513" s="9"/>
      <c r="AO513" s="9"/>
      <c r="AP513" s="29"/>
      <c r="AQ513" s="29"/>
      <c r="AR513" s="29"/>
    </row>
    <row r="514" spans="4:44" x14ac:dyDescent="0.25">
      <c r="D514" s="9"/>
      <c r="E514" s="9"/>
      <c r="F514" s="9"/>
      <c r="G514" s="9"/>
      <c r="H514" s="9"/>
      <c r="I514" s="9"/>
      <c r="J514" s="29"/>
      <c r="M514" s="21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29"/>
      <c r="AB514" s="29"/>
      <c r="AC514" s="29"/>
      <c r="AD514" s="29"/>
      <c r="AE514" s="29"/>
      <c r="AF514" s="29"/>
      <c r="AG514" s="29"/>
      <c r="AH514" s="9"/>
      <c r="AI514" s="9"/>
      <c r="AJ514" s="9"/>
      <c r="AK514" s="9"/>
      <c r="AL514" s="9"/>
      <c r="AM514" s="9"/>
      <c r="AN514" s="9"/>
      <c r="AO514" s="9"/>
      <c r="AP514" s="29"/>
      <c r="AQ514" s="29"/>
      <c r="AR514" s="29"/>
    </row>
    <row r="515" spans="4:44" x14ac:dyDescent="0.25">
      <c r="D515" s="9"/>
      <c r="E515" s="9"/>
      <c r="F515" s="9"/>
      <c r="G515" s="9"/>
      <c r="H515" s="9"/>
      <c r="I515" s="9"/>
      <c r="J515" s="29"/>
      <c r="M515" s="21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29"/>
      <c r="AB515" s="29"/>
      <c r="AC515" s="29"/>
      <c r="AD515" s="29"/>
      <c r="AE515" s="29"/>
      <c r="AF515" s="29"/>
      <c r="AG515" s="29"/>
      <c r="AH515" s="9"/>
      <c r="AI515" s="9"/>
      <c r="AJ515" s="9"/>
      <c r="AK515" s="9"/>
      <c r="AL515" s="9"/>
      <c r="AM515" s="9"/>
      <c r="AN515" s="9"/>
      <c r="AO515" s="9"/>
      <c r="AP515" s="29"/>
      <c r="AQ515" s="29"/>
      <c r="AR515" s="29"/>
    </row>
    <row r="516" spans="4:44" x14ac:dyDescent="0.25">
      <c r="D516" s="9"/>
      <c r="E516" s="9"/>
      <c r="F516" s="9"/>
      <c r="G516" s="9"/>
      <c r="H516" s="9"/>
      <c r="I516" s="9"/>
      <c r="J516" s="29"/>
      <c r="M516" s="21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29"/>
      <c r="AB516" s="29"/>
      <c r="AC516" s="29"/>
      <c r="AD516" s="29"/>
      <c r="AE516" s="29"/>
      <c r="AF516" s="29"/>
      <c r="AG516" s="29"/>
      <c r="AH516" s="9"/>
      <c r="AI516" s="9"/>
      <c r="AJ516" s="9"/>
      <c r="AK516" s="9"/>
      <c r="AL516" s="9"/>
      <c r="AM516" s="9"/>
      <c r="AN516" s="9"/>
      <c r="AO516" s="9"/>
      <c r="AP516" s="29"/>
      <c r="AQ516" s="29"/>
      <c r="AR516" s="29"/>
    </row>
    <row r="517" spans="4:44" x14ac:dyDescent="0.25">
      <c r="D517" s="9"/>
      <c r="E517" s="9"/>
      <c r="F517" s="9"/>
      <c r="G517" s="9"/>
      <c r="H517" s="9"/>
      <c r="I517" s="9"/>
      <c r="J517" s="29"/>
      <c r="M517" s="21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29"/>
      <c r="AB517" s="29"/>
      <c r="AC517" s="29"/>
      <c r="AD517" s="29"/>
      <c r="AE517" s="29"/>
      <c r="AF517" s="29"/>
      <c r="AG517" s="29"/>
      <c r="AH517" s="9"/>
      <c r="AI517" s="9"/>
      <c r="AJ517" s="9"/>
      <c r="AK517" s="9"/>
      <c r="AL517" s="9"/>
      <c r="AM517" s="9"/>
      <c r="AN517" s="9"/>
      <c r="AO517" s="9"/>
      <c r="AP517" s="29"/>
      <c r="AQ517" s="29"/>
      <c r="AR517" s="29"/>
    </row>
    <row r="518" spans="4:44" x14ac:dyDescent="0.25">
      <c r="D518" s="9"/>
      <c r="E518" s="9"/>
      <c r="F518" s="9"/>
      <c r="G518" s="9"/>
      <c r="H518" s="9"/>
      <c r="I518" s="9"/>
      <c r="J518" s="29"/>
      <c r="M518" s="21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29"/>
      <c r="AB518" s="29"/>
      <c r="AC518" s="29"/>
      <c r="AD518" s="29"/>
      <c r="AE518" s="29"/>
      <c r="AF518" s="29"/>
      <c r="AG518" s="29"/>
      <c r="AH518" s="9"/>
      <c r="AI518" s="9"/>
      <c r="AJ518" s="9"/>
      <c r="AK518" s="9"/>
      <c r="AL518" s="9"/>
      <c r="AM518" s="9"/>
      <c r="AN518" s="9"/>
      <c r="AO518" s="9"/>
      <c r="AP518" s="29"/>
      <c r="AQ518" s="29"/>
      <c r="AR518" s="29"/>
    </row>
    <row r="519" spans="4:44" x14ac:dyDescent="0.25">
      <c r="D519" s="9"/>
      <c r="E519" s="9"/>
      <c r="F519" s="9"/>
      <c r="G519" s="9"/>
      <c r="H519" s="9"/>
      <c r="I519" s="9"/>
      <c r="J519" s="29"/>
      <c r="M519" s="21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29"/>
      <c r="AB519" s="29"/>
      <c r="AC519" s="29"/>
      <c r="AD519" s="29"/>
      <c r="AE519" s="29"/>
      <c r="AF519" s="29"/>
      <c r="AG519" s="29"/>
      <c r="AH519" s="9"/>
      <c r="AI519" s="9"/>
      <c r="AJ519" s="9"/>
      <c r="AK519" s="9"/>
      <c r="AL519" s="9"/>
      <c r="AM519" s="9"/>
      <c r="AN519" s="9"/>
      <c r="AO519" s="9"/>
      <c r="AP519" s="29"/>
      <c r="AQ519" s="29"/>
      <c r="AR519" s="29"/>
    </row>
    <row r="520" spans="4:44" x14ac:dyDescent="0.25">
      <c r="D520" s="9"/>
      <c r="E520" s="9"/>
      <c r="F520" s="9"/>
      <c r="G520" s="9"/>
      <c r="H520" s="9"/>
      <c r="I520" s="9"/>
      <c r="J520" s="29"/>
      <c r="M520" s="21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29"/>
      <c r="AB520" s="29"/>
      <c r="AC520" s="29"/>
      <c r="AD520" s="29"/>
      <c r="AE520" s="29"/>
      <c r="AF520" s="29"/>
      <c r="AG520" s="29"/>
      <c r="AH520" s="9"/>
      <c r="AI520" s="9"/>
      <c r="AJ520" s="9"/>
      <c r="AK520" s="9"/>
      <c r="AL520" s="9"/>
      <c r="AM520" s="9"/>
      <c r="AN520" s="9"/>
      <c r="AO520" s="9"/>
      <c r="AP520" s="29"/>
      <c r="AQ520" s="29"/>
      <c r="AR520" s="29"/>
    </row>
    <row r="521" spans="4:44" x14ac:dyDescent="0.25">
      <c r="D521" s="9"/>
      <c r="E521" s="9"/>
      <c r="F521" s="9"/>
      <c r="G521" s="9"/>
      <c r="H521" s="9"/>
      <c r="I521" s="9"/>
      <c r="J521" s="29"/>
      <c r="M521" s="21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29"/>
      <c r="AB521" s="29"/>
      <c r="AC521" s="29"/>
      <c r="AD521" s="29"/>
      <c r="AE521" s="29"/>
      <c r="AF521" s="29"/>
      <c r="AG521" s="29"/>
      <c r="AH521" s="9"/>
      <c r="AI521" s="9"/>
      <c r="AJ521" s="9"/>
      <c r="AK521" s="9"/>
      <c r="AL521" s="9"/>
      <c r="AM521" s="9"/>
      <c r="AN521" s="9"/>
      <c r="AO521" s="9"/>
      <c r="AP521" s="29"/>
      <c r="AQ521" s="29"/>
      <c r="AR521" s="29"/>
    </row>
    <row r="522" spans="4:44" x14ac:dyDescent="0.25">
      <c r="D522" s="9"/>
      <c r="E522" s="9"/>
      <c r="F522" s="9"/>
      <c r="G522" s="9"/>
      <c r="H522" s="9"/>
      <c r="I522" s="9"/>
      <c r="J522" s="29"/>
      <c r="M522" s="21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29"/>
      <c r="AB522" s="29"/>
      <c r="AC522" s="29"/>
      <c r="AD522" s="29"/>
      <c r="AE522" s="29"/>
      <c r="AF522" s="29"/>
      <c r="AG522" s="29"/>
      <c r="AH522" s="9"/>
      <c r="AI522" s="9"/>
      <c r="AJ522" s="9"/>
      <c r="AK522" s="9"/>
      <c r="AL522" s="9"/>
      <c r="AM522" s="9"/>
      <c r="AN522" s="9"/>
      <c r="AO522" s="9"/>
      <c r="AP522" s="29"/>
      <c r="AQ522" s="29"/>
      <c r="AR522" s="29"/>
    </row>
    <row r="523" spans="4:44" x14ac:dyDescent="0.25">
      <c r="D523" s="9"/>
      <c r="E523" s="9"/>
      <c r="F523" s="9"/>
      <c r="G523" s="9"/>
      <c r="H523" s="9"/>
      <c r="I523" s="9"/>
      <c r="J523" s="29"/>
      <c r="M523" s="21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29"/>
      <c r="AB523" s="29"/>
      <c r="AC523" s="29"/>
      <c r="AD523" s="29"/>
      <c r="AE523" s="29"/>
      <c r="AF523" s="29"/>
      <c r="AG523" s="29"/>
      <c r="AH523" s="9"/>
      <c r="AI523" s="9"/>
      <c r="AJ523" s="9"/>
      <c r="AK523" s="9"/>
      <c r="AL523" s="9"/>
      <c r="AM523" s="9"/>
      <c r="AN523" s="9"/>
      <c r="AO523" s="9"/>
      <c r="AP523" s="29"/>
      <c r="AQ523" s="29"/>
      <c r="AR523" s="29"/>
    </row>
    <row r="524" spans="4:44" x14ac:dyDescent="0.25">
      <c r="D524" s="9"/>
      <c r="E524" s="9"/>
      <c r="F524" s="9"/>
      <c r="G524" s="9"/>
      <c r="H524" s="9"/>
      <c r="I524" s="9"/>
      <c r="J524" s="29"/>
      <c r="M524" s="21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29"/>
      <c r="AB524" s="29"/>
      <c r="AC524" s="29"/>
      <c r="AD524" s="29"/>
      <c r="AE524" s="29"/>
      <c r="AF524" s="29"/>
      <c r="AG524" s="29"/>
      <c r="AH524" s="9"/>
      <c r="AI524" s="9"/>
      <c r="AJ524" s="9"/>
      <c r="AK524" s="9"/>
      <c r="AL524" s="9"/>
      <c r="AM524" s="9"/>
      <c r="AN524" s="9"/>
      <c r="AO524" s="9"/>
      <c r="AP524" s="29"/>
      <c r="AQ524" s="29"/>
      <c r="AR524" s="29"/>
    </row>
    <row r="525" spans="4:44" x14ac:dyDescent="0.25">
      <c r="D525" s="9"/>
      <c r="E525" s="9"/>
      <c r="F525" s="9"/>
      <c r="G525" s="9"/>
      <c r="H525" s="9"/>
      <c r="I525" s="9"/>
      <c r="J525" s="29"/>
      <c r="M525" s="21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29"/>
      <c r="AB525" s="29"/>
      <c r="AC525" s="29"/>
      <c r="AD525" s="29"/>
      <c r="AE525" s="29"/>
      <c r="AF525" s="29"/>
      <c r="AG525" s="29"/>
      <c r="AH525" s="9"/>
      <c r="AI525" s="9"/>
      <c r="AJ525" s="9"/>
      <c r="AK525" s="9"/>
      <c r="AL525" s="9"/>
      <c r="AM525" s="9"/>
      <c r="AN525" s="9"/>
      <c r="AO525" s="9"/>
      <c r="AP525" s="29"/>
      <c r="AQ525" s="29"/>
      <c r="AR525" s="29"/>
    </row>
    <row r="526" spans="4:44" x14ac:dyDescent="0.25">
      <c r="D526" s="9"/>
      <c r="E526" s="9"/>
      <c r="F526" s="9"/>
      <c r="G526" s="9"/>
      <c r="H526" s="9"/>
      <c r="I526" s="9"/>
      <c r="J526" s="29"/>
      <c r="M526" s="21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29"/>
      <c r="AB526" s="29"/>
      <c r="AC526" s="29"/>
      <c r="AD526" s="29"/>
      <c r="AE526" s="29"/>
      <c r="AF526" s="29"/>
      <c r="AG526" s="29"/>
      <c r="AH526" s="9"/>
      <c r="AI526" s="9"/>
      <c r="AJ526" s="9"/>
      <c r="AK526" s="9"/>
      <c r="AL526" s="9"/>
      <c r="AM526" s="9"/>
      <c r="AN526" s="9"/>
      <c r="AO526" s="9"/>
      <c r="AP526" s="29"/>
      <c r="AQ526" s="29"/>
      <c r="AR526" s="29"/>
    </row>
    <row r="527" spans="4:44" x14ac:dyDescent="0.25">
      <c r="D527" s="9"/>
      <c r="E527" s="9"/>
      <c r="F527" s="9"/>
      <c r="G527" s="9"/>
      <c r="H527" s="9"/>
      <c r="I527" s="9"/>
      <c r="J527" s="29"/>
      <c r="M527" s="21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29"/>
      <c r="AB527" s="29"/>
      <c r="AC527" s="29"/>
      <c r="AD527" s="29"/>
      <c r="AE527" s="29"/>
      <c r="AF527" s="29"/>
      <c r="AG527" s="29"/>
      <c r="AH527" s="9"/>
      <c r="AI527" s="9"/>
      <c r="AJ527" s="9"/>
      <c r="AK527" s="9"/>
      <c r="AL527" s="9"/>
      <c r="AM527" s="9"/>
      <c r="AN527" s="9"/>
      <c r="AO527" s="9"/>
      <c r="AP527" s="29"/>
      <c r="AQ527" s="29"/>
      <c r="AR527" s="29"/>
    </row>
    <row r="528" spans="4:44" x14ac:dyDescent="0.25">
      <c r="D528" s="9"/>
      <c r="E528" s="9"/>
      <c r="F528" s="9"/>
      <c r="G528" s="9"/>
      <c r="H528" s="9"/>
      <c r="I528" s="9"/>
      <c r="J528" s="29"/>
      <c r="M528" s="21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29"/>
      <c r="AB528" s="29"/>
      <c r="AC528" s="29"/>
      <c r="AD528" s="29"/>
      <c r="AE528" s="29"/>
      <c r="AF528" s="29"/>
      <c r="AG528" s="29"/>
      <c r="AH528" s="9"/>
      <c r="AI528" s="9"/>
      <c r="AJ528" s="9"/>
      <c r="AK528" s="9"/>
      <c r="AL528" s="9"/>
      <c r="AM528" s="9"/>
      <c r="AN528" s="9"/>
      <c r="AO528" s="9"/>
      <c r="AP528" s="29"/>
      <c r="AQ528" s="29"/>
      <c r="AR528" s="29"/>
    </row>
    <row r="529" spans="4:44" x14ac:dyDescent="0.25">
      <c r="D529" s="9"/>
      <c r="E529" s="9"/>
      <c r="F529" s="9"/>
      <c r="G529" s="9"/>
      <c r="H529" s="9"/>
      <c r="I529" s="9"/>
      <c r="J529" s="29"/>
      <c r="M529" s="21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29"/>
      <c r="AB529" s="29"/>
      <c r="AC529" s="29"/>
      <c r="AD529" s="29"/>
      <c r="AE529" s="29"/>
      <c r="AF529" s="29"/>
      <c r="AG529" s="29"/>
      <c r="AH529" s="9"/>
      <c r="AI529" s="9"/>
      <c r="AJ529" s="9"/>
      <c r="AK529" s="9"/>
      <c r="AL529" s="9"/>
      <c r="AM529" s="9"/>
      <c r="AN529" s="9"/>
      <c r="AO529" s="9"/>
      <c r="AP529" s="29"/>
      <c r="AQ529" s="29"/>
      <c r="AR529" s="29"/>
    </row>
    <row r="530" spans="4:44" x14ac:dyDescent="0.25">
      <c r="D530" s="9"/>
      <c r="E530" s="9"/>
      <c r="F530" s="9"/>
      <c r="G530" s="9"/>
      <c r="H530" s="9"/>
      <c r="I530" s="9"/>
      <c r="J530" s="29"/>
      <c r="M530" s="21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29"/>
      <c r="AB530" s="29"/>
      <c r="AC530" s="29"/>
      <c r="AD530" s="29"/>
      <c r="AE530" s="29"/>
      <c r="AF530" s="29"/>
      <c r="AG530" s="29"/>
      <c r="AH530" s="9"/>
      <c r="AI530" s="9"/>
      <c r="AJ530" s="9"/>
      <c r="AK530" s="9"/>
      <c r="AL530" s="9"/>
      <c r="AM530" s="9"/>
      <c r="AN530" s="9"/>
      <c r="AO530" s="9"/>
      <c r="AP530" s="29"/>
      <c r="AQ530" s="29"/>
      <c r="AR530" s="29"/>
    </row>
    <row r="531" spans="4:44" x14ac:dyDescent="0.25">
      <c r="D531" s="9"/>
      <c r="E531" s="9"/>
      <c r="F531" s="9"/>
      <c r="G531" s="9"/>
      <c r="H531" s="9"/>
      <c r="I531" s="9"/>
      <c r="J531" s="29"/>
      <c r="M531" s="21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29"/>
      <c r="AB531" s="29"/>
      <c r="AC531" s="29"/>
      <c r="AD531" s="29"/>
      <c r="AE531" s="29"/>
      <c r="AF531" s="29"/>
      <c r="AG531" s="29"/>
      <c r="AH531" s="9"/>
      <c r="AI531" s="9"/>
      <c r="AJ531" s="9"/>
      <c r="AK531" s="9"/>
      <c r="AL531" s="9"/>
      <c r="AM531" s="9"/>
      <c r="AN531" s="9"/>
      <c r="AO531" s="9"/>
      <c r="AP531" s="29"/>
      <c r="AQ531" s="29"/>
      <c r="AR531" s="29"/>
    </row>
    <row r="532" spans="4:44" x14ac:dyDescent="0.25">
      <c r="D532" s="9"/>
      <c r="E532" s="9"/>
      <c r="F532" s="9"/>
      <c r="G532" s="9"/>
      <c r="H532" s="9"/>
      <c r="I532" s="9"/>
      <c r="J532" s="29"/>
      <c r="M532" s="21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29"/>
      <c r="AB532" s="29"/>
      <c r="AC532" s="29"/>
      <c r="AD532" s="29"/>
      <c r="AE532" s="29"/>
      <c r="AF532" s="29"/>
      <c r="AG532" s="29"/>
      <c r="AH532" s="9"/>
      <c r="AI532" s="9"/>
      <c r="AJ532" s="9"/>
      <c r="AK532" s="9"/>
      <c r="AL532" s="9"/>
      <c r="AM532" s="9"/>
      <c r="AN532" s="9"/>
      <c r="AO532" s="9"/>
      <c r="AP532" s="29"/>
      <c r="AQ532" s="29"/>
      <c r="AR532" s="29"/>
    </row>
    <row r="533" spans="4:44" x14ac:dyDescent="0.25">
      <c r="D533" s="9"/>
      <c r="E533" s="9"/>
      <c r="F533" s="9"/>
      <c r="G533" s="9"/>
      <c r="H533" s="9"/>
      <c r="I533" s="9"/>
      <c r="J533" s="29"/>
      <c r="M533" s="21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29"/>
      <c r="AB533" s="29"/>
      <c r="AC533" s="29"/>
      <c r="AD533" s="29"/>
      <c r="AE533" s="29"/>
      <c r="AF533" s="29"/>
      <c r="AG533" s="29"/>
      <c r="AH533" s="9"/>
      <c r="AI533" s="9"/>
      <c r="AJ533" s="9"/>
      <c r="AK533" s="9"/>
      <c r="AL533" s="9"/>
      <c r="AM533" s="9"/>
      <c r="AN533" s="9"/>
      <c r="AO533" s="9"/>
      <c r="AP533" s="29"/>
      <c r="AQ533" s="29"/>
      <c r="AR533" s="29"/>
    </row>
    <row r="534" spans="4:44" x14ac:dyDescent="0.25">
      <c r="D534" s="9"/>
      <c r="E534" s="9"/>
      <c r="F534" s="9"/>
      <c r="G534" s="9"/>
      <c r="H534" s="9"/>
      <c r="I534" s="9"/>
      <c r="J534" s="29"/>
      <c r="M534" s="21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29"/>
      <c r="AB534" s="29"/>
      <c r="AC534" s="29"/>
      <c r="AD534" s="29"/>
      <c r="AE534" s="29"/>
      <c r="AF534" s="29"/>
      <c r="AG534" s="29"/>
      <c r="AH534" s="9"/>
      <c r="AI534" s="9"/>
      <c r="AJ534" s="9"/>
      <c r="AK534" s="9"/>
      <c r="AL534" s="9"/>
      <c r="AM534" s="9"/>
      <c r="AN534" s="9"/>
      <c r="AO534" s="9"/>
      <c r="AP534" s="29"/>
      <c r="AQ534" s="29"/>
      <c r="AR534" s="29"/>
    </row>
    <row r="535" spans="4:44" x14ac:dyDescent="0.25">
      <c r="D535" s="9"/>
      <c r="E535" s="9"/>
      <c r="F535" s="9"/>
      <c r="G535" s="9"/>
      <c r="H535" s="9"/>
      <c r="I535" s="9"/>
      <c r="J535" s="29"/>
      <c r="M535" s="21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29"/>
      <c r="AB535" s="29"/>
      <c r="AC535" s="29"/>
      <c r="AD535" s="29"/>
      <c r="AE535" s="29"/>
      <c r="AF535" s="29"/>
      <c r="AG535" s="29"/>
      <c r="AH535" s="9"/>
      <c r="AI535" s="9"/>
      <c r="AJ535" s="9"/>
      <c r="AK535" s="9"/>
      <c r="AL535" s="9"/>
      <c r="AM535" s="9"/>
      <c r="AN535" s="9"/>
      <c r="AO535" s="9"/>
      <c r="AP535" s="29"/>
      <c r="AQ535" s="29"/>
      <c r="AR535" s="29"/>
    </row>
    <row r="536" spans="4:44" x14ac:dyDescent="0.25">
      <c r="D536" s="9"/>
      <c r="E536" s="9"/>
      <c r="F536" s="9"/>
      <c r="G536" s="9"/>
      <c r="H536" s="9"/>
      <c r="I536" s="9"/>
      <c r="J536" s="29"/>
      <c r="M536" s="21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29"/>
      <c r="AB536" s="29"/>
      <c r="AC536" s="29"/>
      <c r="AD536" s="29"/>
      <c r="AE536" s="29"/>
      <c r="AF536" s="29"/>
      <c r="AG536" s="29"/>
      <c r="AH536" s="9"/>
      <c r="AI536" s="9"/>
      <c r="AJ536" s="9"/>
      <c r="AK536" s="9"/>
      <c r="AL536" s="9"/>
      <c r="AM536" s="9"/>
      <c r="AN536" s="9"/>
      <c r="AO536" s="9"/>
      <c r="AP536" s="29"/>
      <c r="AQ536" s="29"/>
      <c r="AR536" s="29"/>
    </row>
    <row r="537" spans="4:44" x14ac:dyDescent="0.25">
      <c r="D537" s="9"/>
      <c r="E537" s="9"/>
      <c r="F537" s="9"/>
      <c r="G537" s="9"/>
      <c r="H537" s="9"/>
      <c r="I537" s="9"/>
      <c r="J537" s="29"/>
      <c r="M537" s="21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29"/>
      <c r="AB537" s="29"/>
      <c r="AC537" s="29"/>
      <c r="AD537" s="29"/>
      <c r="AE537" s="29"/>
      <c r="AF537" s="29"/>
      <c r="AG537" s="29"/>
      <c r="AH537" s="9"/>
      <c r="AI537" s="9"/>
      <c r="AJ537" s="9"/>
      <c r="AK537" s="9"/>
      <c r="AL537" s="9"/>
      <c r="AM537" s="9"/>
      <c r="AN537" s="9"/>
      <c r="AO537" s="9"/>
      <c r="AP537" s="29"/>
      <c r="AQ537" s="29"/>
      <c r="AR537" s="29"/>
    </row>
    <row r="538" spans="4:44" x14ac:dyDescent="0.25">
      <c r="D538" s="9"/>
      <c r="E538" s="9"/>
      <c r="F538" s="9"/>
      <c r="G538" s="9"/>
      <c r="H538" s="9"/>
      <c r="I538" s="9"/>
      <c r="J538" s="29"/>
      <c r="M538" s="21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29"/>
      <c r="AB538" s="29"/>
      <c r="AC538" s="29"/>
      <c r="AD538" s="29"/>
      <c r="AE538" s="29"/>
      <c r="AF538" s="29"/>
      <c r="AG538" s="29"/>
      <c r="AH538" s="9"/>
      <c r="AI538" s="9"/>
      <c r="AJ538" s="9"/>
      <c r="AK538" s="9"/>
      <c r="AL538" s="9"/>
      <c r="AM538" s="9"/>
      <c r="AN538" s="9"/>
      <c r="AO538" s="9"/>
      <c r="AP538" s="29"/>
      <c r="AQ538" s="29"/>
      <c r="AR538" s="29"/>
    </row>
    <row r="539" spans="4:44" x14ac:dyDescent="0.25">
      <c r="D539" s="9"/>
      <c r="E539" s="9"/>
      <c r="F539" s="9"/>
      <c r="G539" s="9"/>
      <c r="H539" s="9"/>
      <c r="I539" s="9"/>
      <c r="J539" s="29"/>
      <c r="M539" s="21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29"/>
      <c r="AB539" s="29"/>
      <c r="AC539" s="29"/>
      <c r="AD539" s="29"/>
      <c r="AE539" s="29"/>
      <c r="AF539" s="29"/>
      <c r="AG539" s="29"/>
      <c r="AH539" s="9"/>
      <c r="AI539" s="9"/>
      <c r="AJ539" s="9"/>
      <c r="AK539" s="9"/>
      <c r="AL539" s="9"/>
      <c r="AM539" s="9"/>
      <c r="AN539" s="9"/>
      <c r="AO539" s="9"/>
      <c r="AP539" s="29"/>
      <c r="AQ539" s="29"/>
      <c r="AR539" s="29"/>
    </row>
    <row r="540" spans="4:44" x14ac:dyDescent="0.25">
      <c r="D540" s="9"/>
      <c r="E540" s="9"/>
      <c r="F540" s="9"/>
      <c r="G540" s="9"/>
      <c r="H540" s="9"/>
      <c r="I540" s="9"/>
      <c r="J540" s="29"/>
      <c r="M540" s="21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29"/>
      <c r="AB540" s="29"/>
      <c r="AC540" s="29"/>
      <c r="AD540" s="29"/>
      <c r="AE540" s="29"/>
      <c r="AF540" s="29"/>
      <c r="AG540" s="29"/>
      <c r="AH540" s="9"/>
      <c r="AI540" s="9"/>
      <c r="AJ540" s="9"/>
      <c r="AK540" s="9"/>
      <c r="AL540" s="9"/>
      <c r="AM540" s="9"/>
      <c r="AN540" s="9"/>
      <c r="AO540" s="9"/>
      <c r="AP540" s="29"/>
      <c r="AQ540" s="29"/>
      <c r="AR540" s="29"/>
    </row>
    <row r="541" spans="4:44" x14ac:dyDescent="0.25">
      <c r="D541" s="9"/>
      <c r="E541" s="9"/>
      <c r="F541" s="9"/>
      <c r="G541" s="9"/>
      <c r="H541" s="9"/>
      <c r="I541" s="9"/>
      <c r="J541" s="29"/>
      <c r="M541" s="21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29"/>
      <c r="AB541" s="29"/>
      <c r="AC541" s="29"/>
      <c r="AD541" s="29"/>
      <c r="AE541" s="29"/>
      <c r="AF541" s="29"/>
      <c r="AG541" s="29"/>
      <c r="AH541" s="9"/>
      <c r="AI541" s="9"/>
      <c r="AJ541" s="9"/>
      <c r="AK541" s="9"/>
      <c r="AL541" s="9"/>
      <c r="AM541" s="9"/>
      <c r="AN541" s="9"/>
      <c r="AO541" s="9"/>
      <c r="AP541" s="29"/>
      <c r="AQ541" s="29"/>
      <c r="AR541" s="29"/>
    </row>
    <row r="542" spans="4:44" x14ac:dyDescent="0.25">
      <c r="D542" s="9"/>
      <c r="E542" s="9"/>
      <c r="F542" s="9"/>
      <c r="G542" s="9"/>
      <c r="H542" s="9"/>
      <c r="I542" s="9"/>
      <c r="J542" s="29"/>
      <c r="M542" s="21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29"/>
      <c r="AB542" s="29"/>
      <c r="AC542" s="29"/>
      <c r="AD542" s="29"/>
      <c r="AE542" s="29"/>
      <c r="AF542" s="29"/>
      <c r="AG542" s="29"/>
      <c r="AH542" s="9"/>
      <c r="AI542" s="9"/>
      <c r="AJ542" s="9"/>
      <c r="AK542" s="9"/>
      <c r="AL542" s="9"/>
      <c r="AM542" s="9"/>
      <c r="AN542" s="9"/>
      <c r="AO542" s="9"/>
      <c r="AP542" s="29"/>
      <c r="AQ542" s="29"/>
      <c r="AR542" s="29"/>
    </row>
    <row r="543" spans="4:44" x14ac:dyDescent="0.25">
      <c r="D543" s="9"/>
      <c r="E543" s="9"/>
      <c r="F543" s="9"/>
      <c r="G543" s="9"/>
      <c r="H543" s="9"/>
      <c r="I543" s="9"/>
      <c r="J543" s="29"/>
      <c r="M543" s="21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29"/>
      <c r="AB543" s="29"/>
      <c r="AC543" s="29"/>
      <c r="AD543" s="29"/>
      <c r="AE543" s="29"/>
      <c r="AF543" s="29"/>
      <c r="AG543" s="29"/>
      <c r="AH543" s="9"/>
      <c r="AI543" s="9"/>
      <c r="AJ543" s="9"/>
      <c r="AK543" s="9"/>
      <c r="AL543" s="9"/>
      <c r="AM543" s="9"/>
      <c r="AN543" s="9"/>
      <c r="AO543" s="9"/>
      <c r="AP543" s="29"/>
      <c r="AQ543" s="29"/>
      <c r="AR543" s="29"/>
    </row>
    <row r="544" spans="4:44" x14ac:dyDescent="0.25">
      <c r="D544" s="9"/>
      <c r="E544" s="9"/>
      <c r="F544" s="9"/>
      <c r="G544" s="9"/>
      <c r="H544" s="9"/>
      <c r="I544" s="9"/>
      <c r="J544" s="29"/>
      <c r="M544" s="21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29"/>
      <c r="AB544" s="29"/>
      <c r="AC544" s="29"/>
      <c r="AD544" s="29"/>
      <c r="AE544" s="29"/>
      <c r="AF544" s="29"/>
      <c r="AG544" s="29"/>
      <c r="AH544" s="9"/>
      <c r="AI544" s="9"/>
      <c r="AJ544" s="9"/>
      <c r="AK544" s="9"/>
      <c r="AL544" s="9"/>
      <c r="AM544" s="9"/>
      <c r="AN544" s="9"/>
      <c r="AO544" s="9"/>
      <c r="AP544" s="29"/>
      <c r="AQ544" s="29"/>
      <c r="AR544" s="29"/>
    </row>
    <row r="545" spans="4:44" x14ac:dyDescent="0.25">
      <c r="D545" s="9"/>
      <c r="E545" s="9"/>
      <c r="F545" s="9"/>
      <c r="G545" s="9"/>
      <c r="H545" s="9"/>
      <c r="I545" s="9"/>
      <c r="J545" s="29"/>
      <c r="M545" s="21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29"/>
      <c r="AB545" s="29"/>
      <c r="AC545" s="29"/>
      <c r="AD545" s="29"/>
      <c r="AE545" s="29"/>
      <c r="AF545" s="29"/>
      <c r="AG545" s="29"/>
      <c r="AH545" s="9"/>
      <c r="AI545" s="9"/>
      <c r="AJ545" s="9"/>
      <c r="AK545" s="9"/>
      <c r="AL545" s="9"/>
      <c r="AM545" s="9"/>
      <c r="AN545" s="9"/>
      <c r="AO545" s="9"/>
      <c r="AP545" s="29"/>
      <c r="AQ545" s="29"/>
      <c r="AR545" s="29"/>
    </row>
    <row r="546" spans="4:44" x14ac:dyDescent="0.25">
      <c r="D546" s="9"/>
      <c r="E546" s="9"/>
      <c r="F546" s="9"/>
      <c r="G546" s="9"/>
      <c r="H546" s="9"/>
      <c r="I546" s="9"/>
      <c r="J546" s="29"/>
      <c r="M546" s="21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29"/>
      <c r="AB546" s="29"/>
      <c r="AC546" s="29"/>
      <c r="AD546" s="29"/>
      <c r="AE546" s="29"/>
      <c r="AF546" s="29"/>
      <c r="AG546" s="29"/>
      <c r="AH546" s="9"/>
      <c r="AI546" s="9"/>
      <c r="AJ546" s="9"/>
      <c r="AK546" s="9"/>
      <c r="AL546" s="9"/>
      <c r="AM546" s="9"/>
      <c r="AN546" s="9"/>
      <c r="AO546" s="9"/>
      <c r="AP546" s="29"/>
      <c r="AQ546" s="29"/>
      <c r="AR546" s="29"/>
    </row>
    <row r="547" spans="4:44" x14ac:dyDescent="0.25">
      <c r="D547" s="9"/>
      <c r="E547" s="9"/>
      <c r="F547" s="9"/>
      <c r="G547" s="9"/>
      <c r="H547" s="9"/>
      <c r="I547" s="9"/>
      <c r="J547" s="29"/>
      <c r="M547" s="21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29"/>
      <c r="AB547" s="29"/>
      <c r="AC547" s="29"/>
      <c r="AD547" s="29"/>
      <c r="AE547" s="29"/>
      <c r="AF547" s="29"/>
      <c r="AG547" s="29"/>
      <c r="AH547" s="9"/>
      <c r="AI547" s="9"/>
      <c r="AJ547" s="9"/>
      <c r="AK547" s="9"/>
      <c r="AL547" s="9"/>
      <c r="AM547" s="9"/>
      <c r="AN547" s="9"/>
      <c r="AO547" s="9"/>
      <c r="AP547" s="29"/>
      <c r="AQ547" s="29"/>
      <c r="AR547" s="29"/>
    </row>
    <row r="548" spans="4:44" x14ac:dyDescent="0.25">
      <c r="D548" s="9"/>
      <c r="E548" s="9"/>
      <c r="F548" s="9"/>
      <c r="G548" s="9"/>
      <c r="H548" s="9"/>
      <c r="I548" s="9"/>
      <c r="J548" s="29"/>
      <c r="M548" s="21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29"/>
      <c r="AB548" s="29"/>
      <c r="AC548" s="29"/>
      <c r="AD548" s="29"/>
      <c r="AE548" s="29"/>
      <c r="AF548" s="29"/>
      <c r="AG548" s="29"/>
      <c r="AH548" s="9"/>
      <c r="AI548" s="9"/>
      <c r="AJ548" s="9"/>
      <c r="AK548" s="9"/>
      <c r="AL548" s="9"/>
      <c r="AM548" s="9"/>
      <c r="AN548" s="9"/>
      <c r="AO548" s="9"/>
      <c r="AP548" s="29"/>
      <c r="AQ548" s="29"/>
      <c r="AR548" s="29"/>
    </row>
    <row r="549" spans="4:44" x14ac:dyDescent="0.25">
      <c r="D549" s="9"/>
      <c r="E549" s="9"/>
      <c r="F549" s="9"/>
      <c r="G549" s="9"/>
      <c r="H549" s="9"/>
      <c r="I549" s="9"/>
      <c r="J549" s="29"/>
      <c r="M549" s="21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29"/>
      <c r="AB549" s="29"/>
      <c r="AC549" s="29"/>
      <c r="AD549" s="29"/>
      <c r="AE549" s="29"/>
      <c r="AF549" s="29"/>
      <c r="AG549" s="29"/>
      <c r="AH549" s="9"/>
      <c r="AI549" s="9"/>
      <c r="AJ549" s="9"/>
      <c r="AK549" s="9"/>
      <c r="AL549" s="9"/>
      <c r="AM549" s="9"/>
      <c r="AN549" s="9"/>
      <c r="AO549" s="9"/>
      <c r="AP549" s="29"/>
      <c r="AQ549" s="29"/>
      <c r="AR549" s="29"/>
    </row>
    <row r="550" spans="4:44" x14ac:dyDescent="0.25">
      <c r="D550" s="9"/>
      <c r="E550" s="9"/>
      <c r="F550" s="9"/>
      <c r="G550" s="9"/>
      <c r="H550" s="9"/>
      <c r="I550" s="9"/>
      <c r="J550" s="29"/>
      <c r="M550" s="21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29"/>
      <c r="AB550" s="29"/>
      <c r="AC550" s="29"/>
      <c r="AD550" s="29"/>
      <c r="AE550" s="29"/>
      <c r="AF550" s="29"/>
      <c r="AG550" s="29"/>
      <c r="AH550" s="9"/>
      <c r="AI550" s="9"/>
      <c r="AJ550" s="9"/>
      <c r="AK550" s="9"/>
      <c r="AL550" s="9"/>
      <c r="AM550" s="9"/>
      <c r="AN550" s="9"/>
      <c r="AO550" s="9"/>
      <c r="AP550" s="29"/>
      <c r="AQ550" s="29"/>
      <c r="AR550" s="29"/>
    </row>
    <row r="551" spans="4:44" x14ac:dyDescent="0.25">
      <c r="D551" s="9"/>
      <c r="E551" s="9"/>
      <c r="F551" s="9"/>
      <c r="G551" s="9"/>
      <c r="H551" s="9"/>
      <c r="I551" s="9"/>
      <c r="J551" s="29"/>
      <c r="M551" s="21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29"/>
      <c r="AB551" s="29"/>
      <c r="AC551" s="29"/>
      <c r="AD551" s="29"/>
      <c r="AE551" s="29"/>
      <c r="AF551" s="29"/>
      <c r="AG551" s="29"/>
      <c r="AH551" s="9"/>
      <c r="AI551" s="9"/>
      <c r="AJ551" s="9"/>
      <c r="AK551" s="9"/>
      <c r="AL551" s="9"/>
      <c r="AM551" s="9"/>
      <c r="AN551" s="9"/>
      <c r="AO551" s="9"/>
      <c r="AP551" s="29"/>
      <c r="AQ551" s="29"/>
      <c r="AR551" s="29"/>
    </row>
    <row r="552" spans="4:44" x14ac:dyDescent="0.25">
      <c r="D552" s="9"/>
      <c r="E552" s="9"/>
      <c r="F552" s="9"/>
      <c r="G552" s="9"/>
      <c r="H552" s="9"/>
      <c r="I552" s="9"/>
      <c r="J552" s="29"/>
      <c r="M552" s="21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29"/>
      <c r="AB552" s="29"/>
      <c r="AC552" s="29"/>
      <c r="AD552" s="29"/>
      <c r="AE552" s="29"/>
      <c r="AF552" s="29"/>
      <c r="AG552" s="29"/>
      <c r="AH552" s="9"/>
      <c r="AI552" s="9"/>
      <c r="AJ552" s="9"/>
      <c r="AK552" s="9"/>
      <c r="AL552" s="9"/>
      <c r="AM552" s="9"/>
      <c r="AN552" s="9"/>
      <c r="AO552" s="9"/>
      <c r="AP552" s="29"/>
      <c r="AQ552" s="29"/>
      <c r="AR552" s="29"/>
    </row>
    <row r="553" spans="4:44" x14ac:dyDescent="0.25">
      <c r="D553" s="9"/>
      <c r="E553" s="9"/>
      <c r="F553" s="9"/>
      <c r="G553" s="9"/>
      <c r="H553" s="9"/>
      <c r="I553" s="9"/>
      <c r="J553" s="29"/>
      <c r="M553" s="21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29"/>
      <c r="AB553" s="29"/>
      <c r="AC553" s="29"/>
      <c r="AD553" s="29"/>
      <c r="AE553" s="29"/>
      <c r="AF553" s="29"/>
      <c r="AG553" s="29"/>
      <c r="AH553" s="9"/>
      <c r="AI553" s="9"/>
      <c r="AJ553" s="9"/>
      <c r="AK553" s="9"/>
      <c r="AL553" s="9"/>
      <c r="AM553" s="9"/>
      <c r="AN553" s="9"/>
      <c r="AO553" s="9"/>
      <c r="AP553" s="29"/>
      <c r="AQ553" s="29"/>
      <c r="AR553" s="29"/>
    </row>
    <row r="554" spans="4:44" x14ac:dyDescent="0.25">
      <c r="D554" s="9"/>
      <c r="E554" s="9"/>
      <c r="F554" s="9"/>
      <c r="G554" s="9"/>
      <c r="H554" s="9"/>
      <c r="I554" s="9"/>
      <c r="J554" s="29"/>
      <c r="M554" s="21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29"/>
      <c r="AB554" s="29"/>
      <c r="AC554" s="29"/>
      <c r="AD554" s="29"/>
      <c r="AE554" s="29"/>
      <c r="AF554" s="29"/>
      <c r="AG554" s="29"/>
      <c r="AH554" s="9"/>
      <c r="AI554" s="9"/>
      <c r="AJ554" s="9"/>
      <c r="AK554" s="9"/>
      <c r="AL554" s="9"/>
      <c r="AM554" s="9"/>
      <c r="AN554" s="9"/>
      <c r="AO554" s="9"/>
      <c r="AP554" s="29"/>
      <c r="AQ554" s="29"/>
      <c r="AR554" s="29"/>
    </row>
    <row r="555" spans="4:44" x14ac:dyDescent="0.25">
      <c r="D555" s="9"/>
      <c r="E555" s="9"/>
      <c r="F555" s="9"/>
      <c r="G555" s="9"/>
      <c r="H555" s="9"/>
      <c r="I555" s="9"/>
      <c r="J555" s="29"/>
      <c r="M555" s="21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29"/>
      <c r="AB555" s="29"/>
      <c r="AC555" s="29"/>
      <c r="AD555" s="29"/>
      <c r="AE555" s="29"/>
      <c r="AF555" s="29"/>
      <c r="AG555" s="29"/>
      <c r="AH555" s="9"/>
      <c r="AI555" s="9"/>
      <c r="AJ555" s="9"/>
      <c r="AK555" s="9"/>
      <c r="AL555" s="9"/>
      <c r="AM555" s="9"/>
      <c r="AN555" s="9"/>
      <c r="AO555" s="9"/>
      <c r="AP555" s="29"/>
      <c r="AQ555" s="29"/>
      <c r="AR555" s="29"/>
    </row>
    <row r="556" spans="4:44" x14ac:dyDescent="0.25">
      <c r="D556" s="9"/>
      <c r="E556" s="9"/>
      <c r="F556" s="9"/>
      <c r="G556" s="9"/>
      <c r="H556" s="9"/>
      <c r="I556" s="9"/>
      <c r="J556" s="29"/>
      <c r="M556" s="21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29"/>
      <c r="AB556" s="29"/>
      <c r="AC556" s="29"/>
      <c r="AD556" s="29"/>
      <c r="AE556" s="29"/>
      <c r="AF556" s="29"/>
      <c r="AG556" s="29"/>
      <c r="AH556" s="9"/>
      <c r="AI556" s="9"/>
      <c r="AJ556" s="9"/>
      <c r="AK556" s="9"/>
      <c r="AL556" s="9"/>
      <c r="AM556" s="9"/>
      <c r="AN556" s="9"/>
      <c r="AO556" s="9"/>
      <c r="AP556" s="29"/>
      <c r="AQ556" s="29"/>
      <c r="AR556" s="29"/>
    </row>
    <row r="557" spans="4:44" x14ac:dyDescent="0.25">
      <c r="D557" s="9"/>
      <c r="E557" s="9"/>
      <c r="F557" s="9"/>
      <c r="G557" s="9"/>
      <c r="H557" s="9"/>
      <c r="I557" s="9"/>
      <c r="J557" s="29"/>
      <c r="M557" s="21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29"/>
      <c r="AB557" s="29"/>
      <c r="AC557" s="29"/>
      <c r="AD557" s="29"/>
      <c r="AE557" s="29"/>
      <c r="AF557" s="29"/>
      <c r="AG557" s="29"/>
      <c r="AH557" s="9"/>
      <c r="AI557" s="9"/>
      <c r="AJ557" s="9"/>
      <c r="AK557" s="9"/>
      <c r="AL557" s="9"/>
      <c r="AM557" s="9"/>
      <c r="AN557" s="9"/>
      <c r="AO557" s="9"/>
      <c r="AP557" s="29"/>
      <c r="AQ557" s="29"/>
      <c r="AR557" s="29"/>
    </row>
    <row r="558" spans="4:44" x14ac:dyDescent="0.25">
      <c r="D558" s="9"/>
      <c r="E558" s="9"/>
      <c r="F558" s="9"/>
      <c r="G558" s="9"/>
      <c r="H558" s="9"/>
      <c r="I558" s="9"/>
      <c r="J558" s="29"/>
      <c r="M558" s="21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29"/>
      <c r="AB558" s="29"/>
      <c r="AC558" s="29"/>
      <c r="AD558" s="29"/>
      <c r="AE558" s="29"/>
      <c r="AF558" s="29"/>
      <c r="AG558" s="29"/>
      <c r="AH558" s="9"/>
      <c r="AI558" s="9"/>
      <c r="AJ558" s="9"/>
      <c r="AK558" s="9"/>
      <c r="AL558" s="9"/>
      <c r="AM558" s="9"/>
      <c r="AN558" s="9"/>
      <c r="AO558" s="9"/>
      <c r="AP558" s="29"/>
      <c r="AQ558" s="29"/>
      <c r="AR558" s="29"/>
    </row>
    <row r="559" spans="4:44" x14ac:dyDescent="0.25">
      <c r="D559" s="9"/>
      <c r="E559" s="9"/>
      <c r="F559" s="9"/>
      <c r="G559" s="9"/>
      <c r="H559" s="9"/>
      <c r="I559" s="9"/>
      <c r="J559" s="29"/>
      <c r="M559" s="21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29"/>
      <c r="AB559" s="29"/>
      <c r="AC559" s="29"/>
      <c r="AD559" s="29"/>
      <c r="AE559" s="29"/>
      <c r="AF559" s="29"/>
      <c r="AG559" s="29"/>
      <c r="AH559" s="9"/>
      <c r="AI559" s="9"/>
      <c r="AJ559" s="9"/>
      <c r="AK559" s="9"/>
      <c r="AL559" s="9"/>
      <c r="AM559" s="9"/>
      <c r="AN559" s="9"/>
      <c r="AO559" s="9"/>
      <c r="AP559" s="29"/>
      <c r="AQ559" s="29"/>
      <c r="AR559" s="29"/>
    </row>
    <row r="560" spans="4:44" x14ac:dyDescent="0.25">
      <c r="D560" s="9"/>
      <c r="E560" s="9"/>
      <c r="F560" s="9"/>
      <c r="G560" s="9"/>
      <c r="H560" s="9"/>
      <c r="I560" s="9"/>
      <c r="J560" s="29"/>
      <c r="M560" s="21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29"/>
      <c r="AB560" s="29"/>
      <c r="AC560" s="29"/>
      <c r="AD560" s="29"/>
      <c r="AE560" s="29"/>
      <c r="AF560" s="29"/>
      <c r="AG560" s="29"/>
      <c r="AH560" s="9"/>
      <c r="AI560" s="9"/>
      <c r="AJ560" s="9"/>
      <c r="AK560" s="9"/>
      <c r="AL560" s="9"/>
      <c r="AM560" s="9"/>
      <c r="AN560" s="9"/>
      <c r="AO560" s="9"/>
      <c r="AP560" s="29"/>
      <c r="AQ560" s="29"/>
      <c r="AR560" s="29"/>
    </row>
    <row r="561" spans="4:44" x14ac:dyDescent="0.25">
      <c r="D561" s="9"/>
      <c r="E561" s="9"/>
      <c r="F561" s="9"/>
      <c r="G561" s="9"/>
      <c r="H561" s="9"/>
      <c r="I561" s="9"/>
      <c r="J561" s="29"/>
      <c r="M561" s="21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29"/>
      <c r="AB561" s="29"/>
      <c r="AC561" s="29"/>
      <c r="AD561" s="29"/>
      <c r="AE561" s="29"/>
      <c r="AF561" s="29"/>
      <c r="AG561" s="29"/>
      <c r="AH561" s="9"/>
      <c r="AI561" s="9"/>
      <c r="AJ561" s="9"/>
      <c r="AK561" s="9"/>
      <c r="AL561" s="9"/>
      <c r="AM561" s="9"/>
      <c r="AN561" s="9"/>
      <c r="AO561" s="9"/>
      <c r="AP561" s="29"/>
      <c r="AQ561" s="29"/>
      <c r="AR561" s="29"/>
    </row>
    <row r="562" spans="4:44" x14ac:dyDescent="0.25">
      <c r="D562" s="9"/>
      <c r="E562" s="9"/>
      <c r="F562" s="9"/>
      <c r="G562" s="9"/>
      <c r="H562" s="9"/>
      <c r="I562" s="9"/>
      <c r="J562" s="29"/>
      <c r="M562" s="21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29"/>
      <c r="AB562" s="29"/>
      <c r="AC562" s="29"/>
      <c r="AD562" s="29"/>
      <c r="AE562" s="29"/>
      <c r="AF562" s="29"/>
      <c r="AG562" s="29"/>
      <c r="AH562" s="9"/>
      <c r="AI562" s="9"/>
      <c r="AJ562" s="9"/>
      <c r="AK562" s="9"/>
      <c r="AL562" s="9"/>
      <c r="AM562" s="9"/>
      <c r="AN562" s="9"/>
      <c r="AO562" s="9"/>
      <c r="AP562" s="29"/>
      <c r="AQ562" s="29"/>
      <c r="AR562" s="29"/>
    </row>
    <row r="563" spans="4:44" x14ac:dyDescent="0.25">
      <c r="D563" s="9"/>
      <c r="E563" s="9"/>
      <c r="F563" s="9"/>
      <c r="G563" s="9"/>
      <c r="H563" s="9"/>
      <c r="I563" s="9"/>
      <c r="J563" s="29"/>
      <c r="M563" s="21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29"/>
      <c r="AB563" s="29"/>
      <c r="AC563" s="29"/>
      <c r="AD563" s="29"/>
      <c r="AE563" s="29"/>
      <c r="AF563" s="29"/>
      <c r="AG563" s="29"/>
      <c r="AH563" s="9"/>
      <c r="AI563" s="9"/>
      <c r="AJ563" s="9"/>
      <c r="AK563" s="9"/>
      <c r="AL563" s="9"/>
      <c r="AM563" s="9"/>
      <c r="AN563" s="9"/>
      <c r="AO563" s="9"/>
      <c r="AP563" s="29"/>
      <c r="AQ563" s="29"/>
      <c r="AR563" s="29"/>
    </row>
    <row r="564" spans="4:44" x14ac:dyDescent="0.25">
      <c r="D564" s="9"/>
      <c r="E564" s="9"/>
      <c r="F564" s="9"/>
      <c r="G564" s="9"/>
      <c r="H564" s="9"/>
      <c r="I564" s="9"/>
      <c r="J564" s="29"/>
      <c r="M564" s="21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29"/>
      <c r="AB564" s="29"/>
      <c r="AC564" s="29"/>
      <c r="AD564" s="29"/>
      <c r="AE564" s="29"/>
      <c r="AF564" s="29"/>
      <c r="AG564" s="29"/>
      <c r="AH564" s="9"/>
      <c r="AI564" s="9"/>
      <c r="AJ564" s="9"/>
      <c r="AK564" s="9"/>
      <c r="AL564" s="9"/>
      <c r="AM564" s="9"/>
      <c r="AN564" s="9"/>
      <c r="AO564" s="9"/>
      <c r="AP564" s="29"/>
      <c r="AQ564" s="29"/>
      <c r="AR564" s="29"/>
    </row>
    <row r="565" spans="4:44" x14ac:dyDescent="0.25">
      <c r="D565" s="9"/>
      <c r="E565" s="9"/>
      <c r="F565" s="9"/>
      <c r="G565" s="9"/>
      <c r="H565" s="9"/>
      <c r="I565" s="9"/>
      <c r="J565" s="29"/>
      <c r="M565" s="21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29"/>
      <c r="AB565" s="29"/>
      <c r="AC565" s="29"/>
      <c r="AD565" s="29"/>
      <c r="AE565" s="29"/>
      <c r="AF565" s="29"/>
      <c r="AG565" s="29"/>
      <c r="AH565" s="9"/>
      <c r="AI565" s="9"/>
      <c r="AJ565" s="9"/>
      <c r="AK565" s="9"/>
      <c r="AL565" s="9"/>
      <c r="AM565" s="9"/>
      <c r="AN565" s="9"/>
      <c r="AO565" s="9"/>
      <c r="AP565" s="29"/>
      <c r="AQ565" s="29"/>
      <c r="AR565" s="29"/>
    </row>
    <row r="566" spans="4:44" x14ac:dyDescent="0.25">
      <c r="D566" s="9"/>
      <c r="E566" s="9"/>
      <c r="F566" s="9"/>
      <c r="G566" s="9"/>
      <c r="H566" s="9"/>
      <c r="I566" s="9"/>
      <c r="J566" s="29"/>
      <c r="M566" s="21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29"/>
      <c r="AB566" s="29"/>
      <c r="AC566" s="29"/>
      <c r="AD566" s="29"/>
      <c r="AE566" s="29"/>
      <c r="AF566" s="29"/>
      <c r="AG566" s="29"/>
      <c r="AH566" s="9"/>
      <c r="AI566" s="9"/>
      <c r="AJ566" s="9"/>
      <c r="AK566" s="9"/>
      <c r="AL566" s="9"/>
      <c r="AM566" s="9"/>
      <c r="AN566" s="9"/>
      <c r="AO566" s="9"/>
      <c r="AP566" s="29"/>
      <c r="AQ566" s="29"/>
      <c r="AR566" s="29"/>
    </row>
    <row r="567" spans="4:44" x14ac:dyDescent="0.25">
      <c r="D567" s="9"/>
      <c r="E567" s="9"/>
      <c r="F567" s="9"/>
      <c r="G567" s="9"/>
      <c r="H567" s="9"/>
      <c r="I567" s="9"/>
      <c r="J567" s="29"/>
      <c r="M567" s="21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29"/>
      <c r="AB567" s="29"/>
      <c r="AC567" s="29"/>
      <c r="AD567" s="29"/>
      <c r="AE567" s="29"/>
      <c r="AF567" s="29"/>
      <c r="AG567" s="29"/>
      <c r="AH567" s="9"/>
      <c r="AI567" s="9"/>
      <c r="AJ567" s="9"/>
      <c r="AK567" s="9"/>
      <c r="AL567" s="9"/>
      <c r="AM567" s="9"/>
      <c r="AN567" s="9"/>
      <c r="AO567" s="9"/>
      <c r="AP567" s="29"/>
      <c r="AQ567" s="29"/>
      <c r="AR567" s="29"/>
    </row>
    <row r="568" spans="4:44" x14ac:dyDescent="0.25">
      <c r="D568" s="9"/>
      <c r="E568" s="9"/>
      <c r="F568" s="9"/>
      <c r="G568" s="9"/>
      <c r="H568" s="9"/>
      <c r="I568" s="9"/>
      <c r="J568" s="29"/>
      <c r="M568" s="21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29"/>
      <c r="AB568" s="29"/>
      <c r="AC568" s="29"/>
      <c r="AD568" s="29"/>
      <c r="AE568" s="29"/>
      <c r="AF568" s="29"/>
      <c r="AG568" s="29"/>
      <c r="AH568" s="9"/>
      <c r="AI568" s="9"/>
      <c r="AJ568" s="9"/>
      <c r="AK568" s="9"/>
      <c r="AL568" s="9"/>
      <c r="AM568" s="9"/>
      <c r="AN568" s="9"/>
      <c r="AO568" s="9"/>
      <c r="AP568" s="29"/>
      <c r="AQ568" s="29"/>
      <c r="AR568" s="29"/>
    </row>
    <row r="569" spans="4:44" x14ac:dyDescent="0.25">
      <c r="D569" s="9"/>
      <c r="E569" s="9"/>
      <c r="F569" s="9"/>
      <c r="G569" s="9"/>
      <c r="H569" s="9"/>
      <c r="I569" s="9"/>
      <c r="J569" s="29"/>
      <c r="M569" s="21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29"/>
      <c r="AB569" s="29"/>
      <c r="AC569" s="29"/>
      <c r="AD569" s="29"/>
      <c r="AE569" s="29"/>
      <c r="AF569" s="29"/>
      <c r="AG569" s="29"/>
      <c r="AH569" s="9"/>
      <c r="AI569" s="9"/>
      <c r="AJ569" s="9"/>
      <c r="AK569" s="9"/>
      <c r="AL569" s="9"/>
      <c r="AM569" s="9"/>
      <c r="AN569" s="9"/>
      <c r="AO569" s="9"/>
      <c r="AP569" s="29"/>
      <c r="AQ569" s="29"/>
      <c r="AR569" s="29"/>
    </row>
    <row r="570" spans="4:44" x14ac:dyDescent="0.25">
      <c r="D570" s="9"/>
      <c r="E570" s="9"/>
      <c r="F570" s="9"/>
      <c r="G570" s="9"/>
      <c r="H570" s="9"/>
      <c r="I570" s="9"/>
      <c r="J570" s="29"/>
      <c r="M570" s="21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29"/>
      <c r="AB570" s="29"/>
      <c r="AC570" s="29"/>
      <c r="AD570" s="29"/>
      <c r="AE570" s="29"/>
      <c r="AF570" s="29"/>
      <c r="AG570" s="29"/>
      <c r="AH570" s="9"/>
      <c r="AI570" s="9"/>
      <c r="AJ570" s="9"/>
      <c r="AK570" s="9"/>
      <c r="AL570" s="9"/>
      <c r="AM570" s="9"/>
      <c r="AN570" s="9"/>
      <c r="AO570" s="9"/>
      <c r="AP570" s="29"/>
      <c r="AQ570" s="29"/>
      <c r="AR570" s="29"/>
    </row>
    <row r="571" spans="4:44" x14ac:dyDescent="0.25">
      <c r="D571" s="9"/>
      <c r="E571" s="9"/>
      <c r="F571" s="9"/>
      <c r="G571" s="9"/>
      <c r="H571" s="9"/>
      <c r="I571" s="9"/>
      <c r="J571" s="29"/>
      <c r="M571" s="21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29"/>
      <c r="AB571" s="29"/>
      <c r="AC571" s="29"/>
      <c r="AD571" s="29"/>
      <c r="AE571" s="29"/>
      <c r="AF571" s="29"/>
      <c r="AG571" s="29"/>
      <c r="AH571" s="9"/>
      <c r="AI571" s="9"/>
      <c r="AJ571" s="9"/>
      <c r="AK571" s="9"/>
      <c r="AL571" s="9"/>
      <c r="AM571" s="9"/>
      <c r="AN571" s="9"/>
      <c r="AO571" s="9"/>
      <c r="AP571" s="29"/>
      <c r="AQ571" s="29"/>
      <c r="AR571" s="29"/>
    </row>
    <row r="572" spans="4:44" x14ac:dyDescent="0.25">
      <c r="D572" s="9"/>
      <c r="E572" s="9"/>
      <c r="F572" s="9"/>
      <c r="G572" s="9"/>
      <c r="H572" s="9"/>
      <c r="I572" s="9"/>
      <c r="J572" s="29"/>
      <c r="M572" s="21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29"/>
      <c r="AB572" s="29"/>
      <c r="AC572" s="29"/>
      <c r="AD572" s="29"/>
      <c r="AE572" s="29"/>
      <c r="AF572" s="29"/>
      <c r="AG572" s="29"/>
      <c r="AH572" s="9"/>
      <c r="AI572" s="9"/>
      <c r="AJ572" s="9"/>
      <c r="AK572" s="9"/>
      <c r="AL572" s="9"/>
      <c r="AM572" s="9"/>
      <c r="AN572" s="9"/>
      <c r="AO572" s="9"/>
      <c r="AP572" s="29"/>
      <c r="AQ572" s="29"/>
      <c r="AR572" s="29"/>
    </row>
    <row r="573" spans="4:44" x14ac:dyDescent="0.25">
      <c r="D573" s="9"/>
      <c r="E573" s="9"/>
      <c r="F573" s="9"/>
      <c r="G573" s="9"/>
      <c r="H573" s="9"/>
      <c r="I573" s="9"/>
      <c r="J573" s="29"/>
      <c r="M573" s="21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29"/>
      <c r="AB573" s="29"/>
      <c r="AC573" s="29"/>
      <c r="AD573" s="29"/>
      <c r="AE573" s="29"/>
      <c r="AF573" s="29"/>
      <c r="AG573" s="29"/>
      <c r="AH573" s="9"/>
      <c r="AI573" s="9"/>
      <c r="AJ573" s="9"/>
      <c r="AK573" s="9"/>
      <c r="AL573" s="9"/>
      <c r="AM573" s="9"/>
      <c r="AN573" s="9"/>
      <c r="AO573" s="9"/>
      <c r="AP573" s="29"/>
      <c r="AQ573" s="29"/>
      <c r="AR573" s="29"/>
    </row>
    <row r="574" spans="4:44" x14ac:dyDescent="0.25">
      <c r="D574" s="9"/>
      <c r="E574" s="9"/>
      <c r="F574" s="9"/>
      <c r="G574" s="9"/>
      <c r="H574" s="9"/>
      <c r="I574" s="9"/>
      <c r="J574" s="29"/>
      <c r="M574" s="21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29"/>
      <c r="AB574" s="29"/>
      <c r="AC574" s="29"/>
      <c r="AD574" s="29"/>
      <c r="AE574" s="29"/>
      <c r="AF574" s="29"/>
      <c r="AG574" s="29"/>
      <c r="AH574" s="9"/>
      <c r="AI574" s="9"/>
      <c r="AJ574" s="9"/>
      <c r="AK574" s="9"/>
      <c r="AL574" s="9"/>
      <c r="AM574" s="9"/>
      <c r="AN574" s="9"/>
      <c r="AO574" s="9"/>
      <c r="AP574" s="29"/>
      <c r="AQ574" s="29"/>
      <c r="AR574" s="29"/>
    </row>
    <row r="575" spans="4:44" x14ac:dyDescent="0.25">
      <c r="D575" s="9"/>
      <c r="E575" s="9"/>
      <c r="F575" s="9"/>
      <c r="G575" s="9"/>
      <c r="H575" s="9"/>
      <c r="I575" s="9"/>
      <c r="J575" s="29"/>
      <c r="M575" s="21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29"/>
      <c r="AB575" s="29"/>
      <c r="AC575" s="29"/>
      <c r="AD575" s="29"/>
      <c r="AE575" s="29"/>
      <c r="AF575" s="29"/>
      <c r="AG575" s="29"/>
      <c r="AH575" s="9"/>
      <c r="AI575" s="9"/>
      <c r="AJ575" s="9"/>
      <c r="AK575" s="9"/>
      <c r="AL575" s="9"/>
      <c r="AM575" s="9"/>
      <c r="AN575" s="9"/>
      <c r="AO575" s="9"/>
      <c r="AP575" s="29"/>
      <c r="AQ575" s="29"/>
      <c r="AR575" s="29"/>
    </row>
    <row r="576" spans="4:44" x14ac:dyDescent="0.25">
      <c r="D576" s="9"/>
      <c r="E576" s="9"/>
      <c r="F576" s="9"/>
      <c r="G576" s="9"/>
      <c r="H576" s="9"/>
      <c r="I576" s="9"/>
      <c r="J576" s="29"/>
      <c r="M576" s="21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29"/>
      <c r="AB576" s="29"/>
      <c r="AC576" s="29"/>
      <c r="AD576" s="29"/>
      <c r="AE576" s="29"/>
      <c r="AF576" s="29"/>
      <c r="AG576" s="29"/>
      <c r="AH576" s="9"/>
      <c r="AI576" s="9"/>
      <c r="AJ576" s="9"/>
      <c r="AK576" s="9"/>
      <c r="AL576" s="9"/>
      <c r="AM576" s="9"/>
      <c r="AN576" s="9"/>
      <c r="AO576" s="9"/>
      <c r="AP576" s="29"/>
      <c r="AQ576" s="29"/>
      <c r="AR576" s="29"/>
    </row>
    <row r="577" spans="4:44" x14ac:dyDescent="0.25">
      <c r="D577" s="9"/>
      <c r="E577" s="9"/>
      <c r="F577" s="9"/>
      <c r="G577" s="9"/>
      <c r="H577" s="9"/>
      <c r="I577" s="9"/>
      <c r="J577" s="29"/>
      <c r="M577" s="21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29"/>
      <c r="AB577" s="29"/>
      <c r="AC577" s="29"/>
      <c r="AD577" s="29"/>
      <c r="AE577" s="29"/>
      <c r="AF577" s="29"/>
      <c r="AG577" s="29"/>
      <c r="AH577" s="9"/>
      <c r="AI577" s="9"/>
      <c r="AJ577" s="9"/>
      <c r="AK577" s="9"/>
      <c r="AL577" s="9"/>
      <c r="AM577" s="9"/>
      <c r="AN577" s="9"/>
      <c r="AO577" s="9"/>
      <c r="AP577" s="29"/>
      <c r="AQ577" s="29"/>
      <c r="AR577" s="29"/>
    </row>
    <row r="578" spans="4:44" x14ac:dyDescent="0.25">
      <c r="D578" s="9"/>
      <c r="E578" s="9"/>
      <c r="F578" s="9"/>
      <c r="G578" s="9"/>
      <c r="H578" s="9"/>
      <c r="I578" s="9"/>
      <c r="J578" s="29"/>
      <c r="M578" s="21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29"/>
      <c r="AB578" s="29"/>
      <c r="AC578" s="29"/>
      <c r="AD578" s="29"/>
      <c r="AE578" s="29"/>
      <c r="AF578" s="29"/>
      <c r="AG578" s="29"/>
      <c r="AH578" s="9"/>
      <c r="AI578" s="9"/>
      <c r="AJ578" s="9"/>
      <c r="AK578" s="9"/>
      <c r="AL578" s="9"/>
      <c r="AM578" s="9"/>
      <c r="AN578" s="9"/>
      <c r="AO578" s="9"/>
      <c r="AP578" s="29"/>
      <c r="AQ578" s="29"/>
      <c r="AR578" s="29"/>
    </row>
    <row r="579" spans="4:44" x14ac:dyDescent="0.25">
      <c r="D579" s="9"/>
      <c r="E579" s="9"/>
      <c r="F579" s="9"/>
      <c r="G579" s="9"/>
      <c r="H579" s="9"/>
      <c r="I579" s="9"/>
      <c r="J579" s="29"/>
      <c r="M579" s="21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29"/>
      <c r="AB579" s="29"/>
      <c r="AC579" s="29"/>
      <c r="AD579" s="29"/>
      <c r="AE579" s="29"/>
      <c r="AF579" s="29"/>
      <c r="AG579" s="29"/>
      <c r="AH579" s="9"/>
      <c r="AI579" s="9"/>
      <c r="AJ579" s="9"/>
      <c r="AK579" s="9"/>
      <c r="AL579" s="9"/>
      <c r="AM579" s="9"/>
      <c r="AN579" s="9"/>
      <c r="AO579" s="9"/>
      <c r="AP579" s="29"/>
      <c r="AQ579" s="29"/>
      <c r="AR579" s="29"/>
    </row>
    <row r="580" spans="4:44" x14ac:dyDescent="0.25">
      <c r="D580" s="9"/>
      <c r="E580" s="9"/>
      <c r="F580" s="9"/>
      <c r="G580" s="9"/>
      <c r="H580" s="9"/>
      <c r="I580" s="9"/>
      <c r="J580" s="29"/>
      <c r="M580" s="21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29"/>
      <c r="AB580" s="29"/>
      <c r="AC580" s="29"/>
      <c r="AD580" s="29"/>
      <c r="AE580" s="29"/>
      <c r="AF580" s="29"/>
      <c r="AG580" s="29"/>
      <c r="AH580" s="9"/>
      <c r="AI580" s="9"/>
      <c r="AJ580" s="9"/>
      <c r="AK580" s="9"/>
      <c r="AL580" s="9"/>
      <c r="AM580" s="9"/>
      <c r="AN580" s="9"/>
      <c r="AO580" s="9"/>
      <c r="AP580" s="29"/>
      <c r="AQ580" s="29"/>
      <c r="AR580" s="29"/>
    </row>
    <row r="581" spans="4:44" x14ac:dyDescent="0.25">
      <c r="D581" s="9"/>
      <c r="E581" s="9"/>
      <c r="F581" s="9"/>
      <c r="G581" s="9"/>
      <c r="H581" s="9"/>
      <c r="I581" s="9"/>
      <c r="J581" s="29"/>
      <c r="M581" s="21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29"/>
      <c r="AB581" s="29"/>
      <c r="AC581" s="29"/>
      <c r="AD581" s="29"/>
      <c r="AE581" s="29"/>
      <c r="AF581" s="29"/>
      <c r="AG581" s="29"/>
      <c r="AH581" s="9"/>
      <c r="AI581" s="9"/>
      <c r="AJ581" s="9"/>
      <c r="AK581" s="9"/>
      <c r="AL581" s="9"/>
      <c r="AM581" s="9"/>
      <c r="AN581" s="9"/>
      <c r="AO581" s="9"/>
      <c r="AP581" s="29"/>
      <c r="AQ581" s="29"/>
      <c r="AR581" s="29"/>
    </row>
    <row r="582" spans="4:44" x14ac:dyDescent="0.25">
      <c r="D582" s="9"/>
      <c r="E582" s="9"/>
      <c r="F582" s="9"/>
      <c r="G582" s="9"/>
      <c r="H582" s="9"/>
      <c r="I582" s="9"/>
      <c r="J582" s="29"/>
      <c r="M582" s="21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29"/>
      <c r="AB582" s="29"/>
      <c r="AC582" s="29"/>
      <c r="AD582" s="29"/>
      <c r="AE582" s="29"/>
      <c r="AF582" s="29"/>
      <c r="AG582" s="29"/>
      <c r="AH582" s="9"/>
      <c r="AI582" s="9"/>
      <c r="AJ582" s="9"/>
      <c r="AK582" s="9"/>
      <c r="AL582" s="9"/>
      <c r="AM582" s="9"/>
      <c r="AN582" s="9"/>
      <c r="AO582" s="9"/>
      <c r="AP582" s="29"/>
      <c r="AQ582" s="29"/>
      <c r="AR582" s="29"/>
    </row>
    <row r="583" spans="4:44" x14ac:dyDescent="0.25">
      <c r="D583" s="9"/>
      <c r="E583" s="9"/>
      <c r="F583" s="9"/>
      <c r="G583" s="9"/>
      <c r="H583" s="9"/>
      <c r="I583" s="9"/>
      <c r="J583" s="29"/>
      <c r="M583" s="21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29"/>
      <c r="AB583" s="29"/>
      <c r="AC583" s="29"/>
      <c r="AD583" s="29"/>
      <c r="AE583" s="29"/>
      <c r="AF583" s="29"/>
      <c r="AG583" s="29"/>
      <c r="AH583" s="9"/>
      <c r="AI583" s="9"/>
      <c r="AJ583" s="9"/>
      <c r="AK583" s="9"/>
      <c r="AL583" s="9"/>
      <c r="AM583" s="9"/>
      <c r="AN583" s="9"/>
      <c r="AO583" s="9"/>
      <c r="AP583" s="29"/>
      <c r="AQ583" s="29"/>
      <c r="AR583" s="29"/>
    </row>
    <row r="584" spans="4:44" x14ac:dyDescent="0.25">
      <c r="D584" s="9"/>
      <c r="E584" s="9"/>
      <c r="F584" s="9"/>
      <c r="G584" s="9"/>
      <c r="H584" s="9"/>
      <c r="I584" s="9"/>
      <c r="J584" s="29"/>
      <c r="M584" s="21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29"/>
      <c r="AB584" s="29"/>
      <c r="AC584" s="29"/>
      <c r="AD584" s="29"/>
      <c r="AE584" s="29"/>
      <c r="AF584" s="29"/>
      <c r="AG584" s="29"/>
      <c r="AH584" s="9"/>
      <c r="AI584" s="9"/>
      <c r="AJ584" s="9"/>
      <c r="AK584" s="9"/>
      <c r="AL584" s="9"/>
      <c r="AM584" s="9"/>
      <c r="AN584" s="9"/>
      <c r="AO584" s="9"/>
      <c r="AP584" s="29"/>
      <c r="AQ584" s="29"/>
      <c r="AR584" s="29"/>
    </row>
    <row r="585" spans="4:44" x14ac:dyDescent="0.25">
      <c r="D585" s="9"/>
      <c r="E585" s="9"/>
      <c r="F585" s="9"/>
      <c r="G585" s="9"/>
      <c r="H585" s="9"/>
      <c r="I585" s="9"/>
      <c r="J585" s="29"/>
      <c r="M585" s="21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29"/>
      <c r="AB585" s="29"/>
      <c r="AC585" s="29"/>
      <c r="AD585" s="29"/>
      <c r="AE585" s="29"/>
      <c r="AF585" s="29"/>
      <c r="AG585" s="29"/>
      <c r="AH585" s="9"/>
      <c r="AI585" s="9"/>
      <c r="AJ585" s="9"/>
      <c r="AK585" s="9"/>
      <c r="AL585" s="9"/>
      <c r="AM585" s="9"/>
      <c r="AN585" s="9"/>
      <c r="AO585" s="9"/>
      <c r="AP585" s="29"/>
      <c r="AQ585" s="29"/>
      <c r="AR585" s="29"/>
    </row>
    <row r="586" spans="4:44" x14ac:dyDescent="0.25">
      <c r="D586" s="9"/>
      <c r="E586" s="9"/>
      <c r="F586" s="9"/>
      <c r="G586" s="9"/>
      <c r="H586" s="9"/>
      <c r="I586" s="9"/>
      <c r="J586" s="29"/>
      <c r="M586" s="21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29"/>
      <c r="AB586" s="29"/>
      <c r="AC586" s="29"/>
      <c r="AD586" s="29"/>
      <c r="AE586" s="29"/>
      <c r="AF586" s="29"/>
      <c r="AG586" s="29"/>
      <c r="AH586" s="9"/>
      <c r="AI586" s="9"/>
      <c r="AJ586" s="9"/>
      <c r="AK586" s="9"/>
      <c r="AL586" s="9"/>
      <c r="AM586" s="9"/>
      <c r="AN586" s="9"/>
      <c r="AO586" s="9"/>
      <c r="AP586" s="29"/>
      <c r="AQ586" s="29"/>
      <c r="AR586" s="29"/>
    </row>
    <row r="587" spans="4:44" x14ac:dyDescent="0.25">
      <c r="D587" s="9"/>
      <c r="E587" s="9"/>
      <c r="F587" s="9"/>
      <c r="G587" s="9"/>
      <c r="H587" s="9"/>
      <c r="I587" s="9"/>
      <c r="J587" s="29"/>
      <c r="M587" s="21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29"/>
      <c r="AB587" s="29"/>
      <c r="AC587" s="29"/>
      <c r="AD587" s="29"/>
      <c r="AE587" s="29"/>
      <c r="AF587" s="29"/>
      <c r="AG587" s="29"/>
      <c r="AH587" s="9"/>
      <c r="AI587" s="9"/>
      <c r="AJ587" s="9"/>
      <c r="AK587" s="9"/>
      <c r="AL587" s="9"/>
      <c r="AM587" s="9"/>
      <c r="AN587" s="9"/>
      <c r="AO587" s="9"/>
      <c r="AP587" s="29"/>
      <c r="AQ587" s="29"/>
      <c r="AR587" s="29"/>
    </row>
    <row r="588" spans="4:44" x14ac:dyDescent="0.25">
      <c r="D588" s="9"/>
      <c r="E588" s="9"/>
      <c r="F588" s="9"/>
      <c r="G588" s="9"/>
      <c r="H588" s="9"/>
      <c r="I588" s="9"/>
      <c r="J588" s="29"/>
      <c r="M588" s="21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29"/>
      <c r="AB588" s="29"/>
      <c r="AC588" s="29"/>
      <c r="AD588" s="29"/>
      <c r="AE588" s="29"/>
      <c r="AF588" s="29"/>
      <c r="AG588" s="29"/>
      <c r="AH588" s="9"/>
      <c r="AI588" s="9"/>
      <c r="AJ588" s="9"/>
      <c r="AK588" s="9"/>
      <c r="AL588" s="9"/>
      <c r="AM588" s="9"/>
      <c r="AN588" s="9"/>
      <c r="AO588" s="9"/>
      <c r="AP588" s="29"/>
      <c r="AQ588" s="29"/>
      <c r="AR588" s="29"/>
    </row>
    <row r="589" spans="4:44" x14ac:dyDescent="0.25">
      <c r="D589" s="9"/>
      <c r="E589" s="9"/>
      <c r="F589" s="9"/>
      <c r="G589" s="9"/>
      <c r="H589" s="9"/>
      <c r="I589" s="9"/>
      <c r="J589" s="29"/>
      <c r="M589" s="21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29"/>
      <c r="AB589" s="29"/>
      <c r="AC589" s="29"/>
      <c r="AD589" s="29"/>
      <c r="AE589" s="29"/>
      <c r="AF589" s="29"/>
      <c r="AG589" s="29"/>
      <c r="AH589" s="9"/>
      <c r="AI589" s="9"/>
      <c r="AJ589" s="9"/>
      <c r="AK589" s="9"/>
      <c r="AL589" s="9"/>
      <c r="AM589" s="9"/>
      <c r="AN589" s="9"/>
      <c r="AO589" s="9"/>
      <c r="AP589" s="29"/>
      <c r="AQ589" s="29"/>
      <c r="AR589" s="29"/>
    </row>
    <row r="590" spans="4:44" x14ac:dyDescent="0.25">
      <c r="D590" s="9"/>
      <c r="E590" s="9"/>
      <c r="F590" s="9"/>
      <c r="G590" s="9"/>
      <c r="H590" s="9"/>
      <c r="I590" s="9"/>
      <c r="J590" s="29"/>
      <c r="M590" s="21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29"/>
      <c r="AB590" s="29"/>
      <c r="AC590" s="29"/>
      <c r="AD590" s="29"/>
      <c r="AE590" s="29"/>
      <c r="AF590" s="29"/>
      <c r="AG590" s="29"/>
      <c r="AH590" s="9"/>
      <c r="AI590" s="9"/>
      <c r="AJ590" s="9"/>
      <c r="AK590" s="9"/>
      <c r="AL590" s="9"/>
      <c r="AM590" s="9"/>
      <c r="AN590" s="9"/>
      <c r="AO590" s="9"/>
      <c r="AP590" s="29"/>
      <c r="AQ590" s="29"/>
      <c r="AR590" s="29"/>
    </row>
    <row r="591" spans="4:44" x14ac:dyDescent="0.25">
      <c r="D591" s="9"/>
      <c r="E591" s="9"/>
      <c r="F591" s="9"/>
      <c r="G591" s="9"/>
      <c r="H591" s="9"/>
      <c r="I591" s="9"/>
      <c r="J591" s="29"/>
      <c r="M591" s="21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29"/>
      <c r="AB591" s="29"/>
      <c r="AC591" s="29"/>
      <c r="AD591" s="29"/>
      <c r="AE591" s="29"/>
      <c r="AF591" s="29"/>
      <c r="AG591" s="29"/>
      <c r="AH591" s="9"/>
      <c r="AI591" s="9"/>
      <c r="AJ591" s="9"/>
      <c r="AK591" s="9"/>
      <c r="AL591" s="9"/>
      <c r="AM591" s="9"/>
      <c r="AN591" s="9"/>
      <c r="AO591" s="9"/>
      <c r="AP591" s="29"/>
      <c r="AQ591" s="29"/>
      <c r="AR591" s="29"/>
    </row>
    <row r="592" spans="4:44" x14ac:dyDescent="0.25">
      <c r="D592" s="9"/>
      <c r="E592" s="9"/>
      <c r="F592" s="9"/>
      <c r="G592" s="9"/>
      <c r="H592" s="9"/>
      <c r="I592" s="9"/>
      <c r="J592" s="29"/>
      <c r="M592" s="21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29"/>
      <c r="AB592" s="29"/>
      <c r="AC592" s="29"/>
      <c r="AD592" s="29"/>
      <c r="AE592" s="29"/>
      <c r="AF592" s="29"/>
      <c r="AG592" s="29"/>
      <c r="AH592" s="9"/>
      <c r="AI592" s="9"/>
      <c r="AJ592" s="9"/>
      <c r="AK592" s="9"/>
      <c r="AL592" s="9"/>
      <c r="AM592" s="9"/>
      <c r="AN592" s="9"/>
      <c r="AO592" s="9"/>
      <c r="AP592" s="29"/>
      <c r="AQ592" s="29"/>
      <c r="AR592" s="29"/>
    </row>
    <row r="593" spans="4:44" x14ac:dyDescent="0.25">
      <c r="D593" s="9"/>
      <c r="E593" s="9"/>
      <c r="F593" s="9"/>
      <c r="G593" s="9"/>
      <c r="H593" s="9"/>
      <c r="I593" s="9"/>
      <c r="J593" s="29"/>
      <c r="M593" s="21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29"/>
      <c r="AB593" s="29"/>
      <c r="AC593" s="29"/>
      <c r="AD593" s="29"/>
      <c r="AE593" s="29"/>
      <c r="AF593" s="29"/>
      <c r="AG593" s="29"/>
      <c r="AH593" s="9"/>
      <c r="AI593" s="9"/>
      <c r="AJ593" s="9"/>
      <c r="AK593" s="9"/>
      <c r="AL593" s="9"/>
      <c r="AM593" s="9"/>
      <c r="AN593" s="9"/>
      <c r="AO593" s="9"/>
      <c r="AP593" s="29"/>
      <c r="AQ593" s="29"/>
      <c r="AR593" s="29"/>
    </row>
    <row r="594" spans="4:44" x14ac:dyDescent="0.25">
      <c r="D594" s="9"/>
      <c r="E594" s="9"/>
      <c r="F594" s="9"/>
      <c r="G594" s="9"/>
      <c r="H594" s="9"/>
      <c r="I594" s="9"/>
      <c r="J594" s="29"/>
      <c r="M594" s="21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29"/>
      <c r="AB594" s="29"/>
      <c r="AC594" s="29"/>
      <c r="AD594" s="29"/>
      <c r="AE594" s="29"/>
      <c r="AF594" s="29"/>
      <c r="AG594" s="29"/>
      <c r="AH594" s="9"/>
      <c r="AI594" s="9"/>
      <c r="AJ594" s="9"/>
      <c r="AK594" s="9"/>
      <c r="AL594" s="9"/>
      <c r="AM594" s="9"/>
      <c r="AN594" s="9"/>
      <c r="AO594" s="9"/>
      <c r="AP594" s="29"/>
      <c r="AQ594" s="29"/>
      <c r="AR594" s="29"/>
    </row>
    <row r="595" spans="4:44" x14ac:dyDescent="0.25">
      <c r="D595" s="9"/>
      <c r="E595" s="9"/>
      <c r="F595" s="9"/>
      <c r="G595" s="9"/>
      <c r="H595" s="9"/>
      <c r="I595" s="9"/>
      <c r="J595" s="29"/>
      <c r="M595" s="21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29"/>
      <c r="AB595" s="29"/>
      <c r="AC595" s="29"/>
      <c r="AD595" s="29"/>
      <c r="AE595" s="29"/>
      <c r="AF595" s="29"/>
      <c r="AG595" s="29"/>
      <c r="AH595" s="9"/>
      <c r="AI595" s="9"/>
      <c r="AJ595" s="9"/>
      <c r="AK595" s="9"/>
      <c r="AL595" s="9"/>
      <c r="AM595" s="9"/>
      <c r="AN595" s="9"/>
      <c r="AO595" s="9"/>
      <c r="AP595" s="29"/>
      <c r="AQ595" s="29"/>
      <c r="AR595" s="29"/>
    </row>
    <row r="596" spans="4:44" x14ac:dyDescent="0.25">
      <c r="D596" s="9"/>
      <c r="E596" s="9"/>
      <c r="F596" s="9"/>
      <c r="G596" s="9"/>
      <c r="H596" s="9"/>
      <c r="I596" s="9"/>
      <c r="J596" s="29"/>
      <c r="M596" s="21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29"/>
      <c r="AB596" s="29"/>
      <c r="AC596" s="29"/>
      <c r="AD596" s="29"/>
      <c r="AE596" s="29"/>
      <c r="AF596" s="29"/>
      <c r="AG596" s="29"/>
      <c r="AH596" s="9"/>
      <c r="AI596" s="9"/>
      <c r="AJ596" s="9"/>
      <c r="AK596" s="9"/>
      <c r="AL596" s="9"/>
      <c r="AM596" s="9"/>
      <c r="AN596" s="9"/>
      <c r="AO596" s="9"/>
      <c r="AP596" s="29"/>
      <c r="AQ596" s="29"/>
      <c r="AR596" s="29"/>
    </row>
    <row r="597" spans="4:44" x14ac:dyDescent="0.25">
      <c r="D597" s="9"/>
      <c r="E597" s="9"/>
      <c r="F597" s="9"/>
      <c r="G597" s="9"/>
      <c r="H597" s="9"/>
      <c r="I597" s="9"/>
      <c r="J597" s="29"/>
      <c r="M597" s="21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29"/>
      <c r="AB597" s="29"/>
      <c r="AC597" s="29"/>
      <c r="AD597" s="29"/>
      <c r="AE597" s="29"/>
      <c r="AF597" s="29"/>
      <c r="AG597" s="29"/>
      <c r="AH597" s="9"/>
      <c r="AI597" s="9"/>
      <c r="AJ597" s="9"/>
      <c r="AK597" s="9"/>
      <c r="AL597" s="9"/>
      <c r="AM597" s="9"/>
      <c r="AN597" s="9"/>
      <c r="AO597" s="9"/>
      <c r="AP597" s="29"/>
      <c r="AQ597" s="29"/>
      <c r="AR597" s="29"/>
    </row>
    <row r="598" spans="4:44" x14ac:dyDescent="0.25">
      <c r="D598" s="9"/>
      <c r="E598" s="9"/>
      <c r="F598" s="9"/>
      <c r="G598" s="9"/>
      <c r="H598" s="9"/>
      <c r="I598" s="9"/>
      <c r="J598" s="29"/>
      <c r="M598" s="21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29"/>
      <c r="AB598" s="29"/>
      <c r="AC598" s="29"/>
      <c r="AD598" s="29"/>
      <c r="AE598" s="29"/>
      <c r="AF598" s="29"/>
      <c r="AG598" s="29"/>
      <c r="AH598" s="9"/>
      <c r="AI598" s="9"/>
      <c r="AJ598" s="9"/>
      <c r="AK598" s="9"/>
      <c r="AL598" s="9"/>
      <c r="AM598" s="9"/>
      <c r="AN598" s="9"/>
      <c r="AO598" s="9"/>
      <c r="AP598" s="29"/>
      <c r="AQ598" s="29"/>
      <c r="AR598" s="29"/>
    </row>
    <row r="599" spans="4:44" x14ac:dyDescent="0.25">
      <c r="D599" s="9"/>
      <c r="E599" s="9"/>
      <c r="F599" s="9"/>
      <c r="G599" s="9"/>
      <c r="H599" s="9"/>
      <c r="I599" s="9"/>
      <c r="J599" s="29"/>
      <c r="M599" s="21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29"/>
      <c r="AB599" s="29"/>
      <c r="AC599" s="29"/>
      <c r="AD599" s="29"/>
      <c r="AE599" s="29"/>
      <c r="AF599" s="29"/>
      <c r="AG599" s="29"/>
      <c r="AH599" s="9"/>
      <c r="AI599" s="9"/>
      <c r="AJ599" s="9"/>
      <c r="AK599" s="9"/>
      <c r="AL599" s="9"/>
      <c r="AM599" s="9"/>
      <c r="AN599" s="9"/>
      <c r="AO599" s="9"/>
      <c r="AP599" s="29"/>
      <c r="AQ599" s="29"/>
      <c r="AR599" s="29"/>
    </row>
    <row r="600" spans="4:44" x14ac:dyDescent="0.25">
      <c r="D600" s="9"/>
      <c r="E600" s="9"/>
      <c r="F600" s="9"/>
      <c r="G600" s="9"/>
      <c r="H600" s="9"/>
      <c r="I600" s="9"/>
      <c r="J600" s="29"/>
      <c r="M600" s="21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29"/>
      <c r="AB600" s="29"/>
      <c r="AC600" s="29"/>
      <c r="AD600" s="29"/>
      <c r="AE600" s="29"/>
      <c r="AF600" s="29"/>
      <c r="AG600" s="29"/>
      <c r="AH600" s="9"/>
      <c r="AI600" s="9"/>
      <c r="AJ600" s="9"/>
      <c r="AK600" s="9"/>
      <c r="AL600" s="9"/>
      <c r="AM600" s="9"/>
      <c r="AN600" s="9"/>
      <c r="AO600" s="9"/>
      <c r="AP600" s="29"/>
      <c r="AQ600" s="29"/>
      <c r="AR600" s="29"/>
    </row>
    <row r="601" spans="4:44" x14ac:dyDescent="0.25">
      <c r="D601" s="9"/>
      <c r="E601" s="9"/>
      <c r="F601" s="9"/>
      <c r="G601" s="9"/>
      <c r="H601" s="9"/>
      <c r="I601" s="9"/>
      <c r="J601" s="29"/>
      <c r="M601" s="21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29"/>
      <c r="AB601" s="29"/>
      <c r="AC601" s="29"/>
      <c r="AD601" s="29"/>
      <c r="AE601" s="29"/>
      <c r="AF601" s="29"/>
      <c r="AG601" s="29"/>
      <c r="AH601" s="9"/>
      <c r="AI601" s="9"/>
      <c r="AJ601" s="9"/>
      <c r="AK601" s="9"/>
      <c r="AL601" s="9"/>
      <c r="AM601" s="9"/>
      <c r="AN601" s="9"/>
      <c r="AO601" s="9"/>
      <c r="AP601" s="29"/>
      <c r="AQ601" s="29"/>
      <c r="AR601" s="29"/>
    </row>
    <row r="602" spans="4:44" x14ac:dyDescent="0.25">
      <c r="D602" s="9"/>
      <c r="E602" s="9"/>
      <c r="F602" s="9"/>
      <c r="G602" s="9"/>
      <c r="H602" s="9"/>
      <c r="I602" s="9"/>
      <c r="J602" s="29"/>
      <c r="M602" s="21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29"/>
      <c r="AB602" s="29"/>
      <c r="AC602" s="29"/>
      <c r="AD602" s="29"/>
      <c r="AE602" s="29"/>
      <c r="AF602" s="29"/>
      <c r="AG602" s="29"/>
      <c r="AH602" s="9"/>
      <c r="AI602" s="9"/>
      <c r="AJ602" s="9"/>
      <c r="AK602" s="9"/>
      <c r="AL602" s="9"/>
      <c r="AM602" s="9"/>
      <c r="AN602" s="9"/>
      <c r="AO602" s="9"/>
      <c r="AP602" s="29"/>
      <c r="AQ602" s="29"/>
      <c r="AR602" s="29"/>
    </row>
    <row r="603" spans="4:44" x14ac:dyDescent="0.25">
      <c r="D603" s="9"/>
      <c r="E603" s="9"/>
      <c r="F603" s="9"/>
      <c r="G603" s="9"/>
      <c r="H603" s="9"/>
      <c r="I603" s="9"/>
      <c r="J603" s="29"/>
      <c r="M603" s="21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29"/>
      <c r="AB603" s="29"/>
      <c r="AC603" s="29"/>
      <c r="AD603" s="29"/>
      <c r="AE603" s="29"/>
      <c r="AF603" s="29"/>
      <c r="AG603" s="29"/>
      <c r="AH603" s="9"/>
      <c r="AI603" s="9"/>
      <c r="AJ603" s="9"/>
      <c r="AK603" s="9"/>
      <c r="AL603" s="9"/>
      <c r="AM603" s="9"/>
      <c r="AN603" s="9"/>
      <c r="AO603" s="9"/>
      <c r="AP603" s="29"/>
      <c r="AQ603" s="29"/>
      <c r="AR603" s="29"/>
    </row>
    <row r="604" spans="4:44" x14ac:dyDescent="0.25">
      <c r="D604" s="9"/>
      <c r="E604" s="9"/>
      <c r="F604" s="9"/>
      <c r="G604" s="9"/>
      <c r="H604" s="9"/>
      <c r="I604" s="9"/>
      <c r="J604" s="29"/>
      <c r="M604" s="21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29"/>
      <c r="AB604" s="29"/>
      <c r="AC604" s="29"/>
      <c r="AD604" s="29"/>
      <c r="AE604" s="29"/>
      <c r="AF604" s="29"/>
      <c r="AG604" s="29"/>
      <c r="AH604" s="9"/>
      <c r="AI604" s="9"/>
      <c r="AJ604" s="9"/>
      <c r="AK604" s="9"/>
      <c r="AL604" s="9"/>
      <c r="AM604" s="9"/>
      <c r="AN604" s="9"/>
      <c r="AO604" s="9"/>
      <c r="AP604" s="29"/>
      <c r="AQ604" s="29"/>
      <c r="AR604" s="29"/>
    </row>
    <row r="605" spans="4:44" x14ac:dyDescent="0.25">
      <c r="D605" s="9"/>
      <c r="E605" s="9"/>
      <c r="F605" s="9"/>
      <c r="G605" s="9"/>
      <c r="H605" s="9"/>
      <c r="I605" s="9"/>
      <c r="J605" s="29"/>
      <c r="M605" s="21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29"/>
      <c r="AB605" s="29"/>
      <c r="AC605" s="29"/>
      <c r="AD605" s="29"/>
      <c r="AE605" s="29"/>
      <c r="AF605" s="29"/>
      <c r="AG605" s="29"/>
      <c r="AH605" s="9"/>
      <c r="AI605" s="9"/>
      <c r="AJ605" s="9"/>
      <c r="AK605" s="9"/>
      <c r="AL605" s="9"/>
      <c r="AM605" s="9"/>
      <c r="AN605" s="9"/>
      <c r="AO605" s="9"/>
      <c r="AP605" s="29"/>
      <c r="AQ605" s="29"/>
      <c r="AR605" s="29"/>
    </row>
    <row r="606" spans="4:44" x14ac:dyDescent="0.25">
      <c r="D606" s="9"/>
      <c r="E606" s="9"/>
      <c r="F606" s="9"/>
      <c r="G606" s="9"/>
      <c r="H606" s="9"/>
      <c r="I606" s="9"/>
      <c r="J606" s="29"/>
      <c r="M606" s="21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29"/>
      <c r="AB606" s="29"/>
      <c r="AC606" s="29"/>
      <c r="AD606" s="29"/>
      <c r="AE606" s="29"/>
      <c r="AF606" s="29"/>
      <c r="AG606" s="29"/>
      <c r="AH606" s="9"/>
      <c r="AI606" s="9"/>
      <c r="AJ606" s="9"/>
      <c r="AK606" s="9"/>
      <c r="AL606" s="9"/>
      <c r="AM606" s="9"/>
      <c r="AN606" s="9"/>
      <c r="AO606" s="9"/>
      <c r="AP606" s="29"/>
      <c r="AQ606" s="29"/>
      <c r="AR606" s="29"/>
    </row>
    <row r="607" spans="4:44" x14ac:dyDescent="0.25">
      <c r="D607" s="9"/>
      <c r="E607" s="9"/>
      <c r="F607" s="9"/>
      <c r="G607" s="9"/>
      <c r="H607" s="9"/>
      <c r="I607" s="9"/>
      <c r="J607" s="29"/>
      <c r="M607" s="21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29"/>
      <c r="AB607" s="29"/>
      <c r="AC607" s="29"/>
      <c r="AD607" s="29"/>
      <c r="AE607" s="29"/>
      <c r="AF607" s="29"/>
      <c r="AG607" s="29"/>
      <c r="AH607" s="9"/>
      <c r="AI607" s="9"/>
      <c r="AJ607" s="9"/>
      <c r="AK607" s="9"/>
      <c r="AL607" s="9"/>
      <c r="AM607" s="9"/>
      <c r="AN607" s="9"/>
      <c r="AO607" s="9"/>
      <c r="AP607" s="29"/>
      <c r="AQ607" s="29"/>
      <c r="AR607" s="29"/>
    </row>
    <row r="608" spans="4:44" x14ac:dyDescent="0.25">
      <c r="D608" s="9"/>
      <c r="E608" s="9"/>
      <c r="F608" s="9"/>
      <c r="G608" s="9"/>
      <c r="H608" s="9"/>
      <c r="I608" s="9"/>
      <c r="J608" s="29"/>
      <c r="M608" s="21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29"/>
      <c r="AB608" s="29"/>
      <c r="AC608" s="29"/>
      <c r="AD608" s="29"/>
      <c r="AE608" s="29"/>
      <c r="AF608" s="29"/>
      <c r="AG608" s="29"/>
      <c r="AH608" s="9"/>
      <c r="AI608" s="9"/>
      <c r="AJ608" s="9"/>
      <c r="AK608" s="9"/>
      <c r="AL608" s="9"/>
      <c r="AM608" s="9"/>
      <c r="AN608" s="9"/>
      <c r="AO608" s="9"/>
      <c r="AP608" s="29"/>
      <c r="AQ608" s="29"/>
      <c r="AR608" s="29"/>
    </row>
    <row r="609" spans="4:44" x14ac:dyDescent="0.25">
      <c r="D609" s="9"/>
      <c r="E609" s="9"/>
      <c r="F609" s="9"/>
      <c r="G609" s="9"/>
      <c r="H609" s="9"/>
      <c r="I609" s="9"/>
      <c r="J609" s="29"/>
      <c r="M609" s="21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29"/>
      <c r="AB609" s="29"/>
      <c r="AC609" s="29"/>
      <c r="AD609" s="29"/>
      <c r="AE609" s="29"/>
      <c r="AF609" s="29"/>
      <c r="AG609" s="29"/>
      <c r="AH609" s="9"/>
      <c r="AI609" s="9"/>
      <c r="AJ609" s="9"/>
      <c r="AK609" s="9"/>
      <c r="AL609" s="9"/>
      <c r="AM609" s="9"/>
      <c r="AN609" s="9"/>
      <c r="AO609" s="9"/>
      <c r="AP609" s="29"/>
      <c r="AQ609" s="29"/>
      <c r="AR609" s="29"/>
    </row>
    <row r="610" spans="4:44" x14ac:dyDescent="0.25">
      <c r="D610" s="9"/>
      <c r="E610" s="9"/>
      <c r="F610" s="9"/>
      <c r="G610" s="9"/>
      <c r="H610" s="9"/>
      <c r="I610" s="9"/>
      <c r="J610" s="29"/>
      <c r="M610" s="21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29"/>
      <c r="AB610" s="29"/>
      <c r="AC610" s="29"/>
      <c r="AD610" s="29"/>
      <c r="AE610" s="29"/>
      <c r="AF610" s="29"/>
      <c r="AG610" s="29"/>
      <c r="AH610" s="9"/>
      <c r="AI610" s="9"/>
      <c r="AJ610" s="9"/>
      <c r="AK610" s="9"/>
      <c r="AL610" s="9"/>
      <c r="AM610" s="9"/>
      <c r="AN610" s="9"/>
      <c r="AO610" s="9"/>
      <c r="AP610" s="29"/>
      <c r="AQ610" s="29"/>
      <c r="AR610" s="29"/>
    </row>
    <row r="611" spans="4:44" x14ac:dyDescent="0.25">
      <c r="D611" s="9"/>
      <c r="E611" s="9"/>
      <c r="F611" s="9"/>
      <c r="G611" s="9"/>
      <c r="H611" s="9"/>
      <c r="I611" s="9"/>
      <c r="J611" s="29"/>
      <c r="M611" s="21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29"/>
      <c r="AB611" s="29"/>
      <c r="AC611" s="29"/>
      <c r="AD611" s="29"/>
      <c r="AE611" s="29"/>
      <c r="AF611" s="29"/>
      <c r="AG611" s="29"/>
      <c r="AH611" s="9"/>
      <c r="AI611" s="9"/>
      <c r="AJ611" s="9"/>
      <c r="AK611" s="9"/>
      <c r="AL611" s="9"/>
      <c r="AM611" s="9"/>
      <c r="AN611" s="9"/>
      <c r="AO611" s="9"/>
      <c r="AP611" s="29"/>
      <c r="AQ611" s="29"/>
      <c r="AR611" s="29"/>
    </row>
    <row r="612" spans="4:44" x14ac:dyDescent="0.25">
      <c r="D612" s="9"/>
      <c r="E612" s="9"/>
      <c r="F612" s="9"/>
      <c r="G612" s="9"/>
      <c r="H612" s="9"/>
      <c r="I612" s="9"/>
      <c r="J612" s="29"/>
      <c r="M612" s="21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29"/>
      <c r="AB612" s="29"/>
      <c r="AC612" s="29"/>
      <c r="AD612" s="29"/>
      <c r="AE612" s="29"/>
      <c r="AF612" s="29"/>
      <c r="AG612" s="29"/>
      <c r="AH612" s="9"/>
      <c r="AI612" s="9"/>
      <c r="AJ612" s="9"/>
      <c r="AK612" s="9"/>
      <c r="AL612" s="9"/>
      <c r="AM612" s="9"/>
      <c r="AN612" s="9"/>
      <c r="AO612" s="9"/>
      <c r="AP612" s="29"/>
      <c r="AQ612" s="29"/>
      <c r="AR612" s="29"/>
    </row>
    <row r="613" spans="4:44" x14ac:dyDescent="0.25">
      <c r="D613" s="9"/>
      <c r="E613" s="9"/>
      <c r="F613" s="9"/>
      <c r="G613" s="9"/>
      <c r="H613" s="9"/>
      <c r="I613" s="9"/>
      <c r="J613" s="29"/>
      <c r="M613" s="21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29"/>
      <c r="AB613" s="29"/>
      <c r="AC613" s="29"/>
      <c r="AD613" s="29"/>
      <c r="AE613" s="29"/>
      <c r="AF613" s="29"/>
      <c r="AG613" s="29"/>
      <c r="AH613" s="9"/>
      <c r="AI613" s="9"/>
      <c r="AJ613" s="9"/>
      <c r="AK613" s="9"/>
      <c r="AL613" s="9"/>
      <c r="AM613" s="9"/>
      <c r="AN613" s="9"/>
      <c r="AO613" s="9"/>
      <c r="AP613" s="29"/>
      <c r="AQ613" s="29"/>
      <c r="AR613" s="29"/>
    </row>
    <row r="614" spans="4:44" x14ac:dyDescent="0.25">
      <c r="D614" s="9"/>
      <c r="E614" s="9"/>
      <c r="F614" s="9"/>
      <c r="G614" s="9"/>
      <c r="H614" s="9"/>
      <c r="I614" s="9"/>
      <c r="J614" s="29"/>
      <c r="M614" s="21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29"/>
      <c r="AB614" s="29"/>
      <c r="AC614" s="29"/>
      <c r="AD614" s="29"/>
      <c r="AE614" s="29"/>
      <c r="AF614" s="29"/>
      <c r="AG614" s="29"/>
      <c r="AH614" s="9"/>
      <c r="AI614" s="9"/>
      <c r="AJ614" s="9"/>
      <c r="AK614" s="9"/>
      <c r="AL614" s="9"/>
      <c r="AM614" s="9"/>
      <c r="AN614" s="9"/>
      <c r="AO614" s="9"/>
      <c r="AP614" s="29"/>
      <c r="AQ614" s="29"/>
      <c r="AR614" s="29"/>
    </row>
    <row r="615" spans="4:44" x14ac:dyDescent="0.25">
      <c r="D615" s="9"/>
      <c r="E615" s="9"/>
      <c r="F615" s="9"/>
      <c r="G615" s="9"/>
      <c r="H615" s="9"/>
      <c r="I615" s="9"/>
      <c r="J615" s="29"/>
      <c r="M615" s="21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29"/>
      <c r="AB615" s="29"/>
      <c r="AC615" s="29"/>
      <c r="AD615" s="29"/>
      <c r="AE615" s="29"/>
      <c r="AF615" s="29"/>
      <c r="AG615" s="29"/>
      <c r="AH615" s="9"/>
      <c r="AI615" s="9"/>
      <c r="AJ615" s="9"/>
      <c r="AK615" s="9"/>
      <c r="AL615" s="9"/>
      <c r="AM615" s="9"/>
      <c r="AN615" s="9"/>
      <c r="AO615" s="9"/>
      <c r="AP615" s="29"/>
      <c r="AQ615" s="29"/>
      <c r="AR615" s="29"/>
    </row>
    <row r="616" spans="4:44" x14ac:dyDescent="0.25">
      <c r="D616" s="9"/>
      <c r="E616" s="9"/>
      <c r="F616" s="9"/>
      <c r="G616" s="9"/>
      <c r="H616" s="9"/>
      <c r="I616" s="9"/>
      <c r="J616" s="29"/>
      <c r="M616" s="21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29"/>
      <c r="AB616" s="29"/>
      <c r="AC616" s="29"/>
      <c r="AD616" s="29"/>
      <c r="AE616" s="29"/>
      <c r="AF616" s="29"/>
      <c r="AG616" s="29"/>
      <c r="AH616" s="9"/>
      <c r="AI616" s="9"/>
      <c r="AJ616" s="9"/>
      <c r="AK616" s="9"/>
      <c r="AL616" s="9"/>
      <c r="AM616" s="9"/>
      <c r="AN616" s="9"/>
      <c r="AO616" s="9"/>
      <c r="AP616" s="29"/>
      <c r="AQ616" s="29"/>
      <c r="AR616" s="29"/>
    </row>
    <row r="617" spans="4:44" x14ac:dyDescent="0.25">
      <c r="D617" s="9"/>
      <c r="E617" s="9"/>
      <c r="F617" s="9"/>
      <c r="G617" s="9"/>
      <c r="H617" s="9"/>
      <c r="I617" s="9"/>
      <c r="J617" s="29"/>
      <c r="M617" s="21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29"/>
      <c r="AB617" s="29"/>
      <c r="AC617" s="29"/>
      <c r="AD617" s="29"/>
      <c r="AE617" s="29"/>
      <c r="AF617" s="29"/>
      <c r="AG617" s="29"/>
      <c r="AH617" s="9"/>
      <c r="AI617" s="9"/>
      <c r="AJ617" s="9"/>
      <c r="AK617" s="9"/>
      <c r="AL617" s="9"/>
      <c r="AM617" s="9"/>
      <c r="AN617" s="9"/>
      <c r="AO617" s="9"/>
      <c r="AP617" s="29"/>
      <c r="AQ617" s="29"/>
      <c r="AR617" s="29"/>
    </row>
    <row r="618" spans="4:44" x14ac:dyDescent="0.25">
      <c r="D618" s="9"/>
      <c r="E618" s="9"/>
      <c r="F618" s="9"/>
      <c r="G618" s="9"/>
      <c r="H618" s="9"/>
      <c r="I618" s="9"/>
      <c r="J618" s="29"/>
      <c r="M618" s="21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29"/>
      <c r="AB618" s="29"/>
      <c r="AC618" s="29"/>
      <c r="AD618" s="29"/>
      <c r="AE618" s="29"/>
      <c r="AF618" s="29"/>
      <c r="AG618" s="29"/>
      <c r="AH618" s="9"/>
      <c r="AI618" s="9"/>
      <c r="AJ618" s="9"/>
      <c r="AK618" s="9"/>
      <c r="AL618" s="9"/>
      <c r="AM618" s="9"/>
      <c r="AN618" s="9"/>
      <c r="AO618" s="9"/>
      <c r="AP618" s="29"/>
      <c r="AQ618" s="29"/>
      <c r="AR618" s="29"/>
    </row>
    <row r="619" spans="4:44" x14ac:dyDescent="0.25">
      <c r="D619" s="9"/>
      <c r="E619" s="9"/>
      <c r="F619" s="9"/>
      <c r="G619" s="9"/>
      <c r="H619" s="9"/>
      <c r="I619" s="9"/>
      <c r="J619" s="29"/>
      <c r="M619" s="21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29"/>
      <c r="AB619" s="29"/>
      <c r="AC619" s="29"/>
      <c r="AD619" s="29"/>
      <c r="AE619" s="29"/>
      <c r="AF619" s="29"/>
      <c r="AG619" s="29"/>
      <c r="AH619" s="9"/>
      <c r="AI619" s="9"/>
      <c r="AJ619" s="9"/>
      <c r="AK619" s="9"/>
      <c r="AL619" s="9"/>
      <c r="AM619" s="9"/>
      <c r="AN619" s="9"/>
      <c r="AO619" s="9"/>
      <c r="AP619" s="29"/>
      <c r="AQ619" s="29"/>
      <c r="AR619" s="29"/>
    </row>
    <row r="620" spans="4:44" x14ac:dyDescent="0.25">
      <c r="D620" s="9"/>
      <c r="E620" s="9"/>
      <c r="F620" s="9"/>
      <c r="G620" s="9"/>
      <c r="H620" s="9"/>
      <c r="I620" s="9"/>
      <c r="J620" s="29"/>
      <c r="M620" s="21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29"/>
      <c r="AB620" s="29"/>
      <c r="AC620" s="29"/>
      <c r="AD620" s="29"/>
      <c r="AE620" s="29"/>
      <c r="AF620" s="29"/>
      <c r="AG620" s="29"/>
      <c r="AH620" s="9"/>
      <c r="AI620" s="9"/>
      <c r="AJ620" s="9"/>
      <c r="AK620" s="9"/>
      <c r="AL620" s="9"/>
      <c r="AM620" s="9"/>
      <c r="AN620" s="9"/>
      <c r="AO620" s="9"/>
      <c r="AP620" s="29"/>
      <c r="AQ620" s="29"/>
      <c r="AR620" s="29"/>
    </row>
    <row r="621" spans="4:44" x14ac:dyDescent="0.25">
      <c r="D621" s="9"/>
      <c r="E621" s="9"/>
      <c r="F621" s="9"/>
      <c r="G621" s="9"/>
      <c r="H621" s="9"/>
      <c r="I621" s="9"/>
      <c r="J621" s="29"/>
      <c r="M621" s="21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29"/>
      <c r="AB621" s="29"/>
      <c r="AC621" s="29"/>
      <c r="AD621" s="29"/>
      <c r="AE621" s="29"/>
      <c r="AF621" s="29"/>
      <c r="AG621" s="29"/>
      <c r="AH621" s="9"/>
      <c r="AI621" s="9"/>
      <c r="AJ621" s="9"/>
      <c r="AK621" s="9"/>
      <c r="AL621" s="9"/>
      <c r="AM621" s="9"/>
      <c r="AN621" s="9"/>
      <c r="AO621" s="9"/>
      <c r="AP621" s="29"/>
      <c r="AQ621" s="29"/>
      <c r="AR621" s="29"/>
    </row>
    <row r="622" spans="4:44" x14ac:dyDescent="0.25">
      <c r="D622" s="9"/>
      <c r="E622" s="9"/>
      <c r="F622" s="9"/>
      <c r="G622" s="9"/>
      <c r="H622" s="9"/>
      <c r="I622" s="9"/>
      <c r="J622" s="29"/>
      <c r="M622" s="21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29"/>
      <c r="AB622" s="29"/>
      <c r="AC622" s="29"/>
      <c r="AD622" s="29"/>
      <c r="AE622" s="29"/>
      <c r="AF622" s="29"/>
      <c r="AG622" s="29"/>
      <c r="AH622" s="9"/>
      <c r="AI622" s="9"/>
      <c r="AJ622" s="9"/>
      <c r="AK622" s="9"/>
      <c r="AL622" s="9"/>
      <c r="AM622" s="9"/>
      <c r="AN622" s="9"/>
      <c r="AO622" s="9"/>
      <c r="AP622" s="29"/>
      <c r="AQ622" s="29"/>
      <c r="AR622" s="29"/>
    </row>
    <row r="623" spans="4:44" x14ac:dyDescent="0.25">
      <c r="D623" s="9"/>
      <c r="E623" s="9"/>
      <c r="F623" s="9"/>
      <c r="G623" s="9"/>
      <c r="H623" s="9"/>
      <c r="I623" s="9"/>
      <c r="J623" s="29"/>
      <c r="M623" s="21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29"/>
      <c r="AB623" s="29"/>
      <c r="AC623" s="29"/>
      <c r="AD623" s="29"/>
      <c r="AE623" s="29"/>
      <c r="AF623" s="29"/>
      <c r="AG623" s="29"/>
      <c r="AH623" s="9"/>
      <c r="AI623" s="9"/>
      <c r="AJ623" s="9"/>
      <c r="AK623" s="9"/>
      <c r="AL623" s="9"/>
      <c r="AM623" s="9"/>
      <c r="AN623" s="9"/>
      <c r="AO623" s="9"/>
      <c r="AP623" s="29"/>
      <c r="AQ623" s="29"/>
      <c r="AR623" s="29"/>
    </row>
    <row r="624" spans="4:44" x14ac:dyDescent="0.25">
      <c r="D624" s="9"/>
      <c r="E624" s="9"/>
      <c r="F624" s="9"/>
      <c r="G624" s="9"/>
      <c r="H624" s="9"/>
      <c r="I624" s="9"/>
      <c r="J624" s="29"/>
      <c r="M624" s="21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29"/>
      <c r="AB624" s="29"/>
      <c r="AC624" s="29"/>
      <c r="AD624" s="29"/>
      <c r="AE624" s="29"/>
      <c r="AF624" s="29"/>
      <c r="AG624" s="29"/>
      <c r="AH624" s="9"/>
      <c r="AI624" s="9"/>
      <c r="AJ624" s="9"/>
      <c r="AK624" s="9"/>
      <c r="AL624" s="9"/>
      <c r="AM624" s="9"/>
      <c r="AN624" s="9"/>
      <c r="AO624" s="9"/>
      <c r="AP624" s="29"/>
      <c r="AQ624" s="29"/>
      <c r="AR624" s="29"/>
    </row>
    <row r="625" spans="4:44" x14ac:dyDescent="0.25">
      <c r="D625" s="9"/>
      <c r="E625" s="9"/>
      <c r="F625" s="9"/>
      <c r="G625" s="9"/>
      <c r="H625" s="9"/>
      <c r="I625" s="9"/>
      <c r="J625" s="29"/>
      <c r="M625" s="21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29"/>
      <c r="AB625" s="29"/>
      <c r="AC625" s="29"/>
      <c r="AD625" s="29"/>
      <c r="AE625" s="29"/>
      <c r="AF625" s="29"/>
      <c r="AG625" s="29"/>
      <c r="AH625" s="9"/>
      <c r="AI625" s="9"/>
      <c r="AJ625" s="9"/>
      <c r="AK625" s="9"/>
      <c r="AL625" s="9"/>
      <c r="AM625" s="9"/>
      <c r="AN625" s="9"/>
      <c r="AO625" s="9"/>
      <c r="AP625" s="29"/>
      <c r="AQ625" s="29"/>
      <c r="AR625" s="29"/>
    </row>
    <row r="626" spans="4:44" x14ac:dyDescent="0.25">
      <c r="D626" s="9"/>
      <c r="E626" s="9"/>
      <c r="F626" s="9"/>
      <c r="G626" s="9"/>
      <c r="H626" s="9"/>
      <c r="I626" s="9"/>
      <c r="J626" s="29"/>
      <c r="M626" s="21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29"/>
      <c r="AB626" s="29"/>
      <c r="AC626" s="29"/>
      <c r="AD626" s="29"/>
      <c r="AE626" s="29"/>
      <c r="AF626" s="29"/>
      <c r="AG626" s="29"/>
      <c r="AH626" s="9"/>
      <c r="AI626" s="9"/>
      <c r="AJ626" s="9"/>
      <c r="AK626" s="9"/>
      <c r="AL626" s="9"/>
      <c r="AM626" s="9"/>
      <c r="AN626" s="9"/>
      <c r="AO626" s="9"/>
      <c r="AP626" s="29"/>
      <c r="AQ626" s="29"/>
      <c r="AR626" s="29"/>
    </row>
    <row r="627" spans="4:44" x14ac:dyDescent="0.25">
      <c r="D627" s="9"/>
      <c r="E627" s="9"/>
      <c r="F627" s="9"/>
      <c r="G627" s="9"/>
      <c r="H627" s="9"/>
      <c r="I627" s="9"/>
      <c r="J627" s="29"/>
      <c r="M627" s="21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29"/>
      <c r="AB627" s="29"/>
      <c r="AC627" s="29"/>
      <c r="AD627" s="29"/>
      <c r="AE627" s="29"/>
      <c r="AF627" s="29"/>
      <c r="AG627" s="29"/>
      <c r="AH627" s="9"/>
      <c r="AI627" s="9"/>
      <c r="AJ627" s="9"/>
      <c r="AK627" s="9"/>
      <c r="AL627" s="9"/>
      <c r="AM627" s="9"/>
      <c r="AN627" s="9"/>
      <c r="AO627" s="9"/>
      <c r="AP627" s="29"/>
      <c r="AQ627" s="29"/>
      <c r="AR627" s="29"/>
    </row>
    <row r="628" spans="4:44" x14ac:dyDescent="0.25">
      <c r="D628" s="9"/>
      <c r="E628" s="9"/>
      <c r="F628" s="9"/>
      <c r="G628" s="9"/>
      <c r="H628" s="9"/>
      <c r="I628" s="9"/>
      <c r="J628" s="29"/>
      <c r="M628" s="21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29"/>
      <c r="AB628" s="29"/>
      <c r="AC628" s="29"/>
      <c r="AD628" s="29"/>
      <c r="AE628" s="29"/>
      <c r="AF628" s="29"/>
      <c r="AG628" s="29"/>
      <c r="AH628" s="9"/>
      <c r="AI628" s="9"/>
      <c r="AJ628" s="9"/>
      <c r="AK628" s="9"/>
      <c r="AL628" s="9"/>
      <c r="AM628" s="9"/>
      <c r="AN628" s="9"/>
      <c r="AO628" s="9"/>
      <c r="AP628" s="29"/>
      <c r="AQ628" s="29"/>
      <c r="AR628" s="29"/>
    </row>
    <row r="629" spans="4:44" x14ac:dyDescent="0.25">
      <c r="D629" s="9"/>
      <c r="E629" s="9"/>
      <c r="F629" s="9"/>
      <c r="G629" s="9"/>
      <c r="H629" s="9"/>
      <c r="I629" s="9"/>
      <c r="J629" s="29"/>
      <c r="M629" s="21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29"/>
      <c r="AB629" s="29"/>
      <c r="AC629" s="29"/>
      <c r="AD629" s="29"/>
      <c r="AE629" s="29"/>
      <c r="AF629" s="29"/>
      <c r="AG629" s="29"/>
      <c r="AH629" s="9"/>
      <c r="AI629" s="9"/>
      <c r="AJ629" s="9"/>
      <c r="AK629" s="9"/>
      <c r="AL629" s="9"/>
      <c r="AM629" s="9"/>
      <c r="AN629" s="9"/>
      <c r="AO629" s="9"/>
      <c r="AP629" s="29"/>
      <c r="AQ629" s="29"/>
      <c r="AR629" s="29"/>
    </row>
    <row r="630" spans="4:44" x14ac:dyDescent="0.25">
      <c r="D630" s="9"/>
      <c r="E630" s="9"/>
      <c r="F630" s="9"/>
      <c r="G630" s="9"/>
      <c r="H630" s="9"/>
      <c r="I630" s="9"/>
      <c r="J630" s="29"/>
      <c r="M630" s="21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29"/>
      <c r="AB630" s="29"/>
      <c r="AC630" s="29"/>
      <c r="AD630" s="29"/>
      <c r="AE630" s="29"/>
      <c r="AF630" s="29"/>
      <c r="AG630" s="29"/>
      <c r="AH630" s="9"/>
      <c r="AI630" s="9"/>
      <c r="AJ630" s="9"/>
      <c r="AK630" s="9"/>
      <c r="AL630" s="9"/>
      <c r="AM630" s="9"/>
      <c r="AN630" s="9"/>
      <c r="AO630" s="9"/>
      <c r="AP630" s="29"/>
      <c r="AQ630" s="29"/>
      <c r="AR630" s="29"/>
    </row>
    <row r="631" spans="4:44" x14ac:dyDescent="0.25">
      <c r="D631" s="9"/>
      <c r="E631" s="9"/>
      <c r="F631" s="9"/>
      <c r="G631" s="9"/>
      <c r="H631" s="9"/>
      <c r="I631" s="9"/>
      <c r="J631" s="29"/>
      <c r="M631" s="21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29"/>
      <c r="AB631" s="29"/>
      <c r="AC631" s="29"/>
      <c r="AD631" s="29"/>
      <c r="AE631" s="29"/>
      <c r="AF631" s="29"/>
      <c r="AG631" s="29"/>
      <c r="AH631" s="9"/>
      <c r="AI631" s="9"/>
      <c r="AJ631" s="9"/>
      <c r="AK631" s="9"/>
      <c r="AL631" s="9"/>
      <c r="AM631" s="9"/>
      <c r="AN631" s="9"/>
      <c r="AO631" s="9"/>
      <c r="AP631" s="29"/>
      <c r="AQ631" s="29"/>
      <c r="AR631" s="29"/>
    </row>
    <row r="632" spans="4:44" x14ac:dyDescent="0.25">
      <c r="D632" s="9"/>
      <c r="E632" s="9"/>
      <c r="F632" s="9"/>
      <c r="G632" s="9"/>
      <c r="H632" s="9"/>
      <c r="I632" s="9"/>
      <c r="J632" s="29"/>
      <c r="M632" s="21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29"/>
      <c r="AB632" s="29"/>
      <c r="AC632" s="29"/>
      <c r="AD632" s="29"/>
      <c r="AE632" s="29"/>
      <c r="AF632" s="29"/>
      <c r="AG632" s="29"/>
      <c r="AH632" s="9"/>
      <c r="AI632" s="9"/>
      <c r="AJ632" s="9"/>
      <c r="AK632" s="9"/>
      <c r="AL632" s="9"/>
      <c r="AM632" s="9"/>
      <c r="AN632" s="9"/>
      <c r="AO632" s="9"/>
      <c r="AP632" s="29"/>
      <c r="AQ632" s="29"/>
      <c r="AR632" s="29"/>
    </row>
    <row r="633" spans="4:44" x14ac:dyDescent="0.25">
      <c r="D633" s="9"/>
      <c r="E633" s="9"/>
      <c r="F633" s="9"/>
      <c r="G633" s="9"/>
      <c r="H633" s="9"/>
      <c r="I633" s="9"/>
      <c r="J633" s="29"/>
      <c r="M633" s="21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29"/>
      <c r="AB633" s="29"/>
      <c r="AC633" s="29"/>
      <c r="AD633" s="29"/>
      <c r="AE633" s="29"/>
      <c r="AF633" s="29"/>
      <c r="AG633" s="29"/>
      <c r="AH633" s="9"/>
      <c r="AI633" s="9"/>
      <c r="AJ633" s="9"/>
      <c r="AK633" s="9"/>
      <c r="AL633" s="9"/>
      <c r="AM633" s="9"/>
      <c r="AN633" s="9"/>
      <c r="AO633" s="9"/>
      <c r="AP633" s="29"/>
      <c r="AQ633" s="29"/>
      <c r="AR633" s="29"/>
    </row>
    <row r="634" spans="4:44" x14ac:dyDescent="0.25">
      <c r="D634" s="9"/>
      <c r="E634" s="9"/>
      <c r="F634" s="9"/>
      <c r="G634" s="9"/>
      <c r="H634" s="9"/>
      <c r="I634" s="9"/>
      <c r="J634" s="29"/>
      <c r="M634" s="21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29"/>
      <c r="AB634" s="29"/>
      <c r="AC634" s="29"/>
      <c r="AD634" s="29"/>
      <c r="AE634" s="29"/>
      <c r="AF634" s="29"/>
      <c r="AG634" s="29"/>
      <c r="AH634" s="9"/>
      <c r="AI634" s="9"/>
      <c r="AJ634" s="9"/>
      <c r="AK634" s="9"/>
      <c r="AL634" s="9"/>
      <c r="AM634" s="9"/>
      <c r="AN634" s="9"/>
      <c r="AO634" s="9"/>
      <c r="AP634" s="29"/>
      <c r="AQ634" s="29"/>
      <c r="AR634" s="29"/>
    </row>
    <row r="635" spans="4:44" x14ac:dyDescent="0.25">
      <c r="D635" s="9"/>
      <c r="E635" s="9"/>
      <c r="F635" s="9"/>
      <c r="G635" s="9"/>
      <c r="H635" s="9"/>
      <c r="I635" s="9"/>
      <c r="J635" s="29"/>
      <c r="M635" s="21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29"/>
      <c r="AB635" s="29"/>
      <c r="AC635" s="29"/>
      <c r="AD635" s="29"/>
      <c r="AE635" s="29"/>
      <c r="AF635" s="29"/>
      <c r="AG635" s="29"/>
      <c r="AH635" s="9"/>
      <c r="AI635" s="9"/>
      <c r="AJ635" s="9"/>
      <c r="AK635" s="9"/>
      <c r="AL635" s="9"/>
      <c r="AM635" s="9"/>
      <c r="AN635" s="9"/>
      <c r="AO635" s="9"/>
      <c r="AP635" s="29"/>
      <c r="AQ635" s="29"/>
      <c r="AR635" s="29"/>
    </row>
    <row r="636" spans="4:44" x14ac:dyDescent="0.25">
      <c r="D636" s="9"/>
      <c r="E636" s="9"/>
      <c r="F636" s="9"/>
      <c r="G636" s="9"/>
      <c r="H636" s="9"/>
      <c r="I636" s="9"/>
      <c r="J636" s="29"/>
      <c r="M636" s="21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29"/>
      <c r="AB636" s="29"/>
      <c r="AC636" s="29"/>
      <c r="AD636" s="29"/>
      <c r="AE636" s="29"/>
      <c r="AF636" s="29"/>
      <c r="AG636" s="29"/>
      <c r="AH636" s="9"/>
      <c r="AI636" s="9"/>
      <c r="AJ636" s="9"/>
      <c r="AK636" s="9"/>
      <c r="AL636" s="9"/>
      <c r="AM636" s="9"/>
      <c r="AN636" s="9"/>
      <c r="AO636" s="9"/>
      <c r="AP636" s="29"/>
      <c r="AQ636" s="29"/>
      <c r="AR636" s="29"/>
    </row>
    <row r="637" spans="4:44" x14ac:dyDescent="0.25">
      <c r="D637" s="9"/>
      <c r="E637" s="9"/>
      <c r="F637" s="9"/>
      <c r="G637" s="9"/>
      <c r="H637" s="9"/>
      <c r="I637" s="9"/>
      <c r="J637" s="29"/>
      <c r="M637" s="21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29"/>
      <c r="AB637" s="29"/>
      <c r="AC637" s="29"/>
      <c r="AD637" s="29"/>
      <c r="AE637" s="29"/>
      <c r="AF637" s="29"/>
      <c r="AG637" s="29"/>
      <c r="AH637" s="9"/>
      <c r="AI637" s="9"/>
      <c r="AJ637" s="9"/>
      <c r="AK637" s="9"/>
      <c r="AL637" s="9"/>
      <c r="AM637" s="9"/>
      <c r="AN637" s="9"/>
      <c r="AO637" s="9"/>
      <c r="AP637" s="29"/>
      <c r="AQ637" s="29"/>
      <c r="AR637" s="29"/>
    </row>
    <row r="638" spans="4:44" x14ac:dyDescent="0.25">
      <c r="D638" s="9"/>
      <c r="E638" s="9"/>
      <c r="F638" s="9"/>
      <c r="G638" s="9"/>
      <c r="H638" s="9"/>
      <c r="I638" s="9"/>
      <c r="J638" s="29"/>
      <c r="M638" s="21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29"/>
      <c r="AB638" s="29"/>
      <c r="AC638" s="29"/>
      <c r="AD638" s="29"/>
      <c r="AE638" s="29"/>
      <c r="AF638" s="29"/>
      <c r="AG638" s="29"/>
      <c r="AH638" s="9"/>
      <c r="AI638" s="9"/>
      <c r="AJ638" s="9"/>
      <c r="AK638" s="9"/>
      <c r="AL638" s="9"/>
      <c r="AM638" s="9"/>
      <c r="AN638" s="9"/>
      <c r="AO638" s="9"/>
      <c r="AP638" s="29"/>
      <c r="AQ638" s="29"/>
      <c r="AR638" s="29"/>
    </row>
    <row r="639" spans="4:44" x14ac:dyDescent="0.25">
      <c r="D639" s="9"/>
      <c r="E639" s="9"/>
      <c r="F639" s="9"/>
      <c r="G639" s="9"/>
      <c r="H639" s="9"/>
      <c r="I639" s="9"/>
      <c r="J639" s="29"/>
      <c r="M639" s="21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29"/>
      <c r="AB639" s="29"/>
      <c r="AC639" s="29"/>
      <c r="AD639" s="29"/>
      <c r="AE639" s="29"/>
      <c r="AF639" s="29"/>
      <c r="AG639" s="29"/>
      <c r="AH639" s="9"/>
      <c r="AI639" s="9"/>
      <c r="AJ639" s="9"/>
      <c r="AK639" s="9"/>
      <c r="AL639" s="9"/>
      <c r="AM639" s="9"/>
      <c r="AN639" s="9"/>
      <c r="AO639" s="9"/>
      <c r="AP639" s="29"/>
      <c r="AQ639" s="29"/>
      <c r="AR639" s="29"/>
    </row>
    <row r="640" spans="4:44" x14ac:dyDescent="0.25">
      <c r="D640" s="9"/>
      <c r="E640" s="9"/>
      <c r="F640" s="9"/>
      <c r="G640" s="9"/>
      <c r="H640" s="9"/>
      <c r="I640" s="9"/>
      <c r="J640" s="29"/>
      <c r="M640" s="21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29"/>
      <c r="AB640" s="29"/>
      <c r="AC640" s="29"/>
      <c r="AD640" s="29"/>
      <c r="AE640" s="29"/>
      <c r="AF640" s="29"/>
      <c r="AG640" s="29"/>
      <c r="AH640" s="9"/>
      <c r="AI640" s="9"/>
      <c r="AJ640" s="9"/>
      <c r="AK640" s="9"/>
      <c r="AL640" s="9"/>
      <c r="AM640" s="9"/>
      <c r="AN640" s="9"/>
      <c r="AO640" s="9"/>
      <c r="AP640" s="29"/>
      <c r="AQ640" s="29"/>
      <c r="AR640" s="29"/>
    </row>
    <row r="641" spans="4:44" x14ac:dyDescent="0.25">
      <c r="D641" s="9"/>
      <c r="E641" s="9"/>
      <c r="F641" s="9"/>
      <c r="G641" s="9"/>
      <c r="H641" s="9"/>
      <c r="I641" s="9"/>
      <c r="J641" s="29"/>
      <c r="M641" s="21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29"/>
      <c r="AB641" s="29"/>
      <c r="AC641" s="29"/>
      <c r="AD641" s="29"/>
      <c r="AE641" s="29"/>
      <c r="AF641" s="29"/>
      <c r="AG641" s="29"/>
      <c r="AH641" s="9"/>
      <c r="AI641" s="9"/>
      <c r="AJ641" s="9"/>
      <c r="AK641" s="9"/>
      <c r="AL641" s="9"/>
      <c r="AM641" s="9"/>
      <c r="AN641" s="9"/>
      <c r="AO641" s="9"/>
      <c r="AP641" s="29"/>
      <c r="AQ641" s="29"/>
      <c r="AR641" s="29"/>
    </row>
    <row r="642" spans="4:44" x14ac:dyDescent="0.25">
      <c r="D642" s="9"/>
      <c r="E642" s="9"/>
      <c r="F642" s="9"/>
      <c r="G642" s="9"/>
      <c r="H642" s="9"/>
      <c r="I642" s="9"/>
      <c r="J642" s="29"/>
      <c r="M642" s="21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29"/>
      <c r="AB642" s="29"/>
      <c r="AC642" s="29"/>
      <c r="AD642" s="29"/>
      <c r="AE642" s="29"/>
      <c r="AF642" s="29"/>
      <c r="AG642" s="29"/>
      <c r="AH642" s="9"/>
      <c r="AI642" s="9"/>
      <c r="AJ642" s="9"/>
      <c r="AK642" s="9"/>
      <c r="AL642" s="9"/>
      <c r="AM642" s="9"/>
      <c r="AN642" s="9"/>
      <c r="AO642" s="9"/>
      <c r="AP642" s="29"/>
      <c r="AQ642" s="29"/>
      <c r="AR642" s="29"/>
    </row>
    <row r="643" spans="4:44" x14ac:dyDescent="0.25">
      <c r="D643" s="9"/>
      <c r="E643" s="9"/>
      <c r="F643" s="9"/>
      <c r="G643" s="9"/>
      <c r="H643" s="9"/>
      <c r="I643" s="9"/>
      <c r="J643" s="29"/>
      <c r="M643" s="21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29"/>
      <c r="AB643" s="29"/>
      <c r="AC643" s="29"/>
      <c r="AD643" s="29"/>
      <c r="AE643" s="29"/>
      <c r="AF643" s="29"/>
      <c r="AG643" s="29"/>
      <c r="AH643" s="9"/>
      <c r="AI643" s="9"/>
      <c r="AJ643" s="9"/>
      <c r="AK643" s="9"/>
      <c r="AL643" s="9"/>
      <c r="AM643" s="9"/>
      <c r="AN643" s="9"/>
      <c r="AO643" s="9"/>
      <c r="AP643" s="29"/>
      <c r="AQ643" s="29"/>
      <c r="AR643" s="29"/>
    </row>
    <row r="644" spans="4:44" x14ac:dyDescent="0.25">
      <c r="D644" s="9"/>
      <c r="E644" s="9"/>
      <c r="F644" s="9"/>
      <c r="G644" s="9"/>
      <c r="H644" s="9"/>
      <c r="I644" s="9"/>
      <c r="J644" s="29"/>
      <c r="M644" s="21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29"/>
      <c r="AB644" s="29"/>
      <c r="AC644" s="29"/>
      <c r="AD644" s="29"/>
      <c r="AE644" s="29"/>
      <c r="AF644" s="29"/>
      <c r="AG644" s="29"/>
      <c r="AH644" s="9"/>
      <c r="AI644" s="9"/>
      <c r="AJ644" s="9"/>
      <c r="AK644" s="9"/>
      <c r="AL644" s="9"/>
      <c r="AM644" s="9"/>
      <c r="AN644" s="9"/>
      <c r="AO644" s="9"/>
      <c r="AP644" s="29"/>
      <c r="AQ644" s="29"/>
      <c r="AR644" s="29"/>
    </row>
    <row r="645" spans="4:44" x14ac:dyDescent="0.25">
      <c r="D645" s="9"/>
      <c r="E645" s="9"/>
      <c r="F645" s="9"/>
      <c r="G645" s="9"/>
      <c r="H645" s="9"/>
      <c r="I645" s="9"/>
      <c r="J645" s="29"/>
      <c r="M645" s="21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29"/>
      <c r="AB645" s="29"/>
      <c r="AC645" s="29"/>
      <c r="AD645" s="29"/>
      <c r="AE645" s="29"/>
      <c r="AF645" s="29"/>
      <c r="AG645" s="29"/>
      <c r="AH645" s="9"/>
      <c r="AI645" s="9"/>
      <c r="AJ645" s="9"/>
      <c r="AK645" s="9"/>
      <c r="AL645" s="9"/>
      <c r="AM645" s="9"/>
      <c r="AN645" s="9"/>
      <c r="AO645" s="9"/>
      <c r="AP645" s="29"/>
      <c r="AQ645" s="29"/>
      <c r="AR645" s="29"/>
    </row>
    <row r="646" spans="4:44" x14ac:dyDescent="0.25">
      <c r="D646" s="9"/>
      <c r="E646" s="9"/>
      <c r="F646" s="9"/>
      <c r="G646" s="9"/>
      <c r="H646" s="9"/>
      <c r="I646" s="9"/>
      <c r="J646" s="29"/>
      <c r="M646" s="21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29"/>
      <c r="AB646" s="29"/>
      <c r="AC646" s="29"/>
      <c r="AD646" s="29"/>
      <c r="AE646" s="29"/>
      <c r="AF646" s="29"/>
      <c r="AG646" s="29"/>
      <c r="AH646" s="9"/>
      <c r="AI646" s="9"/>
      <c r="AJ646" s="9"/>
      <c r="AK646" s="9"/>
      <c r="AL646" s="9"/>
      <c r="AM646" s="9"/>
      <c r="AN646" s="9"/>
      <c r="AO646" s="9"/>
      <c r="AP646" s="29"/>
      <c r="AQ646" s="29"/>
      <c r="AR646" s="29"/>
    </row>
    <row r="647" spans="4:44" x14ac:dyDescent="0.25">
      <c r="D647" s="9"/>
      <c r="E647" s="9"/>
      <c r="F647" s="9"/>
      <c r="G647" s="9"/>
      <c r="H647" s="9"/>
      <c r="I647" s="9"/>
      <c r="J647" s="29"/>
      <c r="M647" s="21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29"/>
      <c r="AB647" s="29"/>
      <c r="AC647" s="29"/>
      <c r="AD647" s="29"/>
      <c r="AE647" s="29"/>
      <c r="AF647" s="29"/>
      <c r="AG647" s="29"/>
      <c r="AH647" s="9"/>
      <c r="AI647" s="9"/>
      <c r="AJ647" s="9"/>
      <c r="AK647" s="9"/>
      <c r="AL647" s="9"/>
      <c r="AM647" s="9"/>
      <c r="AN647" s="9"/>
      <c r="AO647" s="9"/>
      <c r="AP647" s="29"/>
      <c r="AQ647" s="29"/>
      <c r="AR647" s="29"/>
    </row>
    <row r="648" spans="4:44" x14ac:dyDescent="0.25">
      <c r="D648" s="9"/>
      <c r="E648" s="9"/>
      <c r="F648" s="9"/>
      <c r="G648" s="9"/>
      <c r="H648" s="9"/>
      <c r="I648" s="9"/>
      <c r="J648" s="29"/>
      <c r="M648" s="21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29"/>
      <c r="AB648" s="29"/>
      <c r="AC648" s="29"/>
      <c r="AD648" s="29"/>
      <c r="AE648" s="29"/>
      <c r="AF648" s="29"/>
      <c r="AG648" s="29"/>
      <c r="AH648" s="9"/>
      <c r="AI648" s="9"/>
      <c r="AJ648" s="9"/>
      <c r="AK648" s="9"/>
      <c r="AL648" s="9"/>
      <c r="AM648" s="9"/>
      <c r="AN648" s="9"/>
      <c r="AO648" s="9"/>
      <c r="AP648" s="29"/>
      <c r="AQ648" s="29"/>
      <c r="AR648" s="29"/>
    </row>
    <row r="649" spans="4:44" x14ac:dyDescent="0.25">
      <c r="D649" s="9"/>
      <c r="E649" s="9"/>
      <c r="F649" s="9"/>
      <c r="G649" s="9"/>
      <c r="H649" s="9"/>
      <c r="I649" s="9"/>
      <c r="J649" s="29"/>
      <c r="M649" s="21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29"/>
      <c r="AB649" s="29"/>
      <c r="AC649" s="29"/>
      <c r="AD649" s="29"/>
      <c r="AE649" s="29"/>
      <c r="AF649" s="29"/>
      <c r="AG649" s="29"/>
      <c r="AH649" s="9"/>
      <c r="AI649" s="9"/>
      <c r="AJ649" s="9"/>
      <c r="AK649" s="9"/>
      <c r="AL649" s="9"/>
      <c r="AM649" s="9"/>
      <c r="AN649" s="9"/>
      <c r="AO649" s="9"/>
      <c r="AP649" s="29"/>
      <c r="AQ649" s="29"/>
      <c r="AR649" s="29"/>
    </row>
    <row r="650" spans="4:44" x14ac:dyDescent="0.25">
      <c r="D650" s="9"/>
      <c r="E650" s="9"/>
      <c r="F650" s="9"/>
      <c r="G650" s="9"/>
      <c r="H650" s="9"/>
      <c r="I650" s="9"/>
      <c r="J650" s="29"/>
      <c r="M650" s="21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29"/>
      <c r="AB650" s="29"/>
      <c r="AC650" s="29"/>
      <c r="AD650" s="29"/>
      <c r="AE650" s="29"/>
      <c r="AF650" s="29"/>
      <c r="AG650" s="29"/>
      <c r="AH650" s="9"/>
      <c r="AI650" s="9"/>
      <c r="AJ650" s="9"/>
      <c r="AK650" s="9"/>
      <c r="AL650" s="9"/>
      <c r="AM650" s="9"/>
      <c r="AN650" s="9"/>
      <c r="AO650" s="9"/>
      <c r="AP650" s="29"/>
      <c r="AQ650" s="29"/>
      <c r="AR650" s="29"/>
    </row>
    <row r="651" spans="4:44" x14ac:dyDescent="0.25">
      <c r="D651" s="9"/>
      <c r="E651" s="9"/>
      <c r="F651" s="9"/>
      <c r="G651" s="9"/>
      <c r="H651" s="9"/>
      <c r="I651" s="9"/>
      <c r="J651" s="29"/>
      <c r="M651" s="21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29"/>
      <c r="AB651" s="29"/>
      <c r="AC651" s="29"/>
      <c r="AD651" s="29"/>
      <c r="AE651" s="29"/>
      <c r="AF651" s="29"/>
      <c r="AG651" s="29"/>
      <c r="AH651" s="9"/>
      <c r="AI651" s="9"/>
      <c r="AJ651" s="9"/>
      <c r="AK651" s="9"/>
      <c r="AL651" s="9"/>
      <c r="AM651" s="9"/>
      <c r="AN651" s="9"/>
      <c r="AO651" s="9"/>
      <c r="AP651" s="29"/>
      <c r="AQ651" s="29"/>
      <c r="AR651" s="29"/>
    </row>
    <row r="652" spans="4:44" x14ac:dyDescent="0.25">
      <c r="D652" s="9"/>
      <c r="E652" s="9"/>
      <c r="F652" s="9"/>
      <c r="G652" s="9"/>
      <c r="H652" s="9"/>
      <c r="I652" s="9"/>
      <c r="J652" s="29"/>
      <c r="M652" s="21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29"/>
      <c r="AB652" s="29"/>
      <c r="AC652" s="29"/>
      <c r="AD652" s="29"/>
      <c r="AE652" s="29"/>
      <c r="AF652" s="29"/>
      <c r="AG652" s="29"/>
      <c r="AH652" s="9"/>
      <c r="AI652" s="9"/>
      <c r="AJ652" s="9"/>
      <c r="AK652" s="9"/>
      <c r="AL652" s="9"/>
      <c r="AM652" s="9"/>
      <c r="AN652" s="9"/>
      <c r="AO652" s="9"/>
      <c r="AP652" s="29"/>
      <c r="AQ652" s="29"/>
      <c r="AR652" s="29"/>
    </row>
    <row r="653" spans="4:44" x14ac:dyDescent="0.25">
      <c r="D653" s="9"/>
      <c r="E653" s="9"/>
      <c r="F653" s="9"/>
      <c r="G653" s="9"/>
      <c r="H653" s="9"/>
      <c r="I653" s="9"/>
      <c r="J653" s="29"/>
      <c r="M653" s="21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29"/>
      <c r="AB653" s="29"/>
      <c r="AC653" s="29"/>
      <c r="AD653" s="29"/>
      <c r="AE653" s="29"/>
      <c r="AF653" s="29"/>
      <c r="AG653" s="29"/>
      <c r="AH653" s="9"/>
      <c r="AI653" s="9"/>
      <c r="AJ653" s="9"/>
      <c r="AK653" s="9"/>
      <c r="AL653" s="9"/>
      <c r="AM653" s="9"/>
      <c r="AN653" s="9"/>
      <c r="AO653" s="9"/>
      <c r="AP653" s="29"/>
      <c r="AQ653" s="29"/>
      <c r="AR653" s="29"/>
    </row>
    <row r="654" spans="4:44" x14ac:dyDescent="0.25">
      <c r="D654" s="9"/>
      <c r="E654" s="9"/>
      <c r="F654" s="9"/>
      <c r="G654" s="9"/>
      <c r="H654" s="9"/>
      <c r="I654" s="9"/>
      <c r="J654" s="29"/>
      <c r="M654" s="21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29"/>
      <c r="AB654" s="29"/>
      <c r="AC654" s="29"/>
      <c r="AD654" s="29"/>
      <c r="AE654" s="29"/>
      <c r="AF654" s="29"/>
      <c r="AG654" s="29"/>
      <c r="AH654" s="9"/>
      <c r="AI654" s="9"/>
      <c r="AJ654" s="9"/>
      <c r="AK654" s="9"/>
      <c r="AL654" s="9"/>
      <c r="AM654" s="9"/>
      <c r="AN654" s="9"/>
      <c r="AO654" s="9"/>
      <c r="AP654" s="29"/>
      <c r="AQ654" s="29"/>
      <c r="AR654" s="29"/>
    </row>
    <row r="655" spans="4:44" x14ac:dyDescent="0.25">
      <c r="D655" s="9"/>
      <c r="E655" s="9"/>
      <c r="F655" s="9"/>
      <c r="G655" s="9"/>
      <c r="H655" s="9"/>
      <c r="I655" s="9"/>
      <c r="J655" s="29"/>
      <c r="M655" s="21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29"/>
      <c r="AB655" s="29"/>
      <c r="AC655" s="29"/>
      <c r="AD655" s="29"/>
      <c r="AE655" s="29"/>
      <c r="AF655" s="29"/>
      <c r="AG655" s="29"/>
      <c r="AH655" s="9"/>
      <c r="AI655" s="9"/>
      <c r="AJ655" s="9"/>
      <c r="AK655" s="9"/>
      <c r="AL655" s="9"/>
      <c r="AM655" s="9"/>
      <c r="AN655" s="9"/>
      <c r="AO655" s="9"/>
      <c r="AP655" s="29"/>
      <c r="AQ655" s="29"/>
      <c r="AR655" s="29"/>
    </row>
    <row r="656" spans="4:44" x14ac:dyDescent="0.25">
      <c r="D656" s="9"/>
      <c r="E656" s="9"/>
      <c r="F656" s="9"/>
      <c r="G656" s="9"/>
      <c r="H656" s="9"/>
      <c r="I656" s="9"/>
      <c r="J656" s="29"/>
      <c r="M656" s="21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AA656" s="29"/>
      <c r="AB656" s="29"/>
      <c r="AC656" s="29"/>
      <c r="AD656" s="29"/>
      <c r="AE656" s="29"/>
      <c r="AF656" s="29"/>
      <c r="AG656" s="29"/>
      <c r="AH656" s="9"/>
      <c r="AI656" s="9"/>
      <c r="AJ656" s="9"/>
      <c r="AK656" s="9"/>
      <c r="AL656" s="9"/>
      <c r="AM656" s="9"/>
      <c r="AN656" s="9"/>
      <c r="AO656" s="9"/>
      <c r="AP656" s="29"/>
      <c r="AQ656" s="29"/>
      <c r="AR656" s="29"/>
    </row>
    <row r="657" spans="4:44" x14ac:dyDescent="0.25">
      <c r="D657" s="9"/>
      <c r="E657" s="9"/>
      <c r="F657" s="9"/>
      <c r="G657" s="9"/>
      <c r="H657" s="9"/>
      <c r="I657" s="9"/>
      <c r="J657" s="29"/>
      <c r="M657" s="21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AA657" s="29"/>
      <c r="AB657" s="29"/>
      <c r="AC657" s="29"/>
      <c r="AD657" s="29"/>
      <c r="AE657" s="29"/>
      <c r="AF657" s="29"/>
      <c r="AG657" s="29"/>
      <c r="AH657" s="9"/>
      <c r="AI657" s="9"/>
      <c r="AJ657" s="9"/>
      <c r="AK657" s="9"/>
      <c r="AL657" s="9"/>
      <c r="AM657" s="9"/>
      <c r="AN657" s="9"/>
      <c r="AO657" s="9"/>
      <c r="AP657" s="29"/>
      <c r="AQ657" s="29"/>
      <c r="AR657" s="29"/>
    </row>
    <row r="658" spans="4:44" x14ac:dyDescent="0.25">
      <c r="D658" s="9"/>
      <c r="E658" s="9"/>
      <c r="F658" s="9"/>
      <c r="G658" s="9"/>
      <c r="H658" s="9"/>
      <c r="I658" s="9"/>
      <c r="J658" s="29"/>
      <c r="M658" s="21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AA658" s="29"/>
      <c r="AB658" s="29"/>
      <c r="AC658" s="29"/>
      <c r="AD658" s="29"/>
      <c r="AE658" s="29"/>
      <c r="AF658" s="29"/>
      <c r="AG658" s="29"/>
      <c r="AH658" s="9"/>
      <c r="AI658" s="9"/>
      <c r="AJ658" s="9"/>
      <c r="AK658" s="9"/>
      <c r="AL658" s="9"/>
      <c r="AM658" s="9"/>
      <c r="AN658" s="9"/>
      <c r="AO658" s="9"/>
      <c r="AP658" s="29"/>
      <c r="AQ658" s="29"/>
      <c r="AR658" s="29"/>
    </row>
    <row r="659" spans="4:44" x14ac:dyDescent="0.25">
      <c r="D659" s="9"/>
      <c r="E659" s="9"/>
      <c r="F659" s="9"/>
      <c r="G659" s="9"/>
      <c r="H659" s="9"/>
      <c r="I659" s="9"/>
      <c r="J659" s="29"/>
      <c r="M659" s="21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AA659" s="29"/>
      <c r="AB659" s="29"/>
      <c r="AC659" s="29"/>
      <c r="AD659" s="29"/>
      <c r="AE659" s="29"/>
      <c r="AF659" s="29"/>
      <c r="AG659" s="29"/>
      <c r="AH659" s="9"/>
      <c r="AI659" s="9"/>
      <c r="AJ659" s="9"/>
      <c r="AK659" s="9"/>
      <c r="AL659" s="9"/>
      <c r="AM659" s="9"/>
      <c r="AN659" s="9"/>
      <c r="AO659" s="9"/>
      <c r="AP659" s="29"/>
      <c r="AQ659" s="29"/>
      <c r="AR659" s="29"/>
    </row>
    <row r="660" spans="4:44" x14ac:dyDescent="0.25">
      <c r="D660" s="9"/>
      <c r="E660" s="9"/>
      <c r="F660" s="9"/>
      <c r="G660" s="9"/>
      <c r="H660" s="9"/>
      <c r="I660" s="9"/>
      <c r="J660" s="29"/>
      <c r="M660" s="21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AA660" s="29"/>
      <c r="AB660" s="29"/>
      <c r="AC660" s="29"/>
      <c r="AD660" s="29"/>
      <c r="AE660" s="29"/>
      <c r="AF660" s="29"/>
      <c r="AG660" s="29"/>
      <c r="AH660" s="9"/>
      <c r="AI660" s="9"/>
      <c r="AJ660" s="9"/>
      <c r="AK660" s="9"/>
      <c r="AL660" s="9"/>
      <c r="AM660" s="9"/>
      <c r="AN660" s="9"/>
      <c r="AO660" s="9"/>
      <c r="AP660" s="29"/>
      <c r="AQ660" s="29"/>
      <c r="AR660" s="29"/>
    </row>
    <row r="661" spans="4:44" x14ac:dyDescent="0.25">
      <c r="D661" s="9"/>
      <c r="E661" s="9"/>
      <c r="F661" s="9"/>
      <c r="G661" s="9"/>
      <c r="H661" s="9"/>
      <c r="I661" s="9"/>
      <c r="J661" s="29"/>
      <c r="M661" s="21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AA661" s="29"/>
      <c r="AB661" s="29"/>
      <c r="AC661" s="29"/>
      <c r="AD661" s="29"/>
      <c r="AE661" s="29"/>
      <c r="AF661" s="29"/>
      <c r="AG661" s="29"/>
      <c r="AH661" s="9"/>
      <c r="AI661" s="9"/>
      <c r="AJ661" s="9"/>
      <c r="AK661" s="9"/>
      <c r="AL661" s="9"/>
      <c r="AM661" s="9"/>
      <c r="AN661" s="9"/>
      <c r="AO661" s="9"/>
      <c r="AP661" s="29"/>
      <c r="AQ661" s="29"/>
      <c r="AR661" s="29"/>
    </row>
    <row r="662" spans="4:44" x14ac:dyDescent="0.25">
      <c r="D662" s="9"/>
      <c r="E662" s="9"/>
      <c r="F662" s="9"/>
      <c r="G662" s="9"/>
      <c r="H662" s="9"/>
      <c r="I662" s="9"/>
      <c r="J662" s="29"/>
      <c r="M662" s="21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AA662" s="29"/>
      <c r="AB662" s="29"/>
      <c r="AC662" s="29"/>
      <c r="AD662" s="29"/>
      <c r="AE662" s="29"/>
      <c r="AF662" s="29"/>
      <c r="AG662" s="29"/>
      <c r="AH662" s="9"/>
      <c r="AI662" s="9"/>
      <c r="AJ662" s="9"/>
      <c r="AK662" s="9"/>
      <c r="AL662" s="9"/>
      <c r="AM662" s="9"/>
      <c r="AN662" s="9"/>
      <c r="AO662" s="9"/>
      <c r="AP662" s="29"/>
      <c r="AQ662" s="29"/>
      <c r="AR662" s="29"/>
    </row>
    <row r="663" spans="4:44" x14ac:dyDescent="0.25">
      <c r="D663" s="9"/>
      <c r="E663" s="9"/>
      <c r="F663" s="9"/>
      <c r="G663" s="9"/>
      <c r="H663" s="9"/>
      <c r="I663" s="9"/>
      <c r="J663" s="29"/>
      <c r="M663" s="21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AA663" s="29"/>
      <c r="AB663" s="29"/>
      <c r="AC663" s="29"/>
      <c r="AD663" s="29"/>
      <c r="AE663" s="29"/>
      <c r="AF663" s="29"/>
      <c r="AG663" s="29"/>
      <c r="AH663" s="9"/>
      <c r="AI663" s="9"/>
      <c r="AJ663" s="9"/>
      <c r="AK663" s="9"/>
      <c r="AL663" s="9"/>
      <c r="AM663" s="9"/>
      <c r="AN663" s="9"/>
      <c r="AO663" s="9"/>
      <c r="AP663" s="29"/>
      <c r="AQ663" s="29"/>
      <c r="AR663" s="29"/>
    </row>
    <row r="664" spans="4:44" x14ac:dyDescent="0.25">
      <c r="D664" s="9"/>
      <c r="E664" s="9"/>
      <c r="F664" s="9"/>
      <c r="G664" s="9"/>
      <c r="H664" s="9"/>
      <c r="I664" s="9"/>
      <c r="J664" s="29"/>
      <c r="M664" s="21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AA664" s="29"/>
      <c r="AB664" s="29"/>
      <c r="AC664" s="29"/>
      <c r="AD664" s="29"/>
      <c r="AE664" s="29"/>
      <c r="AF664" s="29"/>
      <c r="AG664" s="29"/>
      <c r="AH664" s="9"/>
      <c r="AI664" s="9"/>
      <c r="AJ664" s="9"/>
      <c r="AK664" s="9"/>
      <c r="AL664" s="9"/>
      <c r="AM664" s="9"/>
      <c r="AN664" s="9"/>
      <c r="AO664" s="9"/>
      <c r="AP664" s="29"/>
      <c r="AQ664" s="29"/>
      <c r="AR664" s="29"/>
    </row>
    <row r="665" spans="4:44" x14ac:dyDescent="0.25">
      <c r="D665" s="9"/>
      <c r="E665" s="9"/>
      <c r="F665" s="9"/>
      <c r="G665" s="9"/>
      <c r="H665" s="9"/>
      <c r="I665" s="9"/>
      <c r="J665" s="29"/>
      <c r="M665" s="21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AA665" s="29"/>
      <c r="AB665" s="29"/>
      <c r="AC665" s="29"/>
      <c r="AD665" s="29"/>
      <c r="AE665" s="29"/>
      <c r="AF665" s="29"/>
      <c r="AG665" s="29"/>
      <c r="AH665" s="9"/>
      <c r="AI665" s="9"/>
      <c r="AJ665" s="9"/>
      <c r="AK665" s="9"/>
      <c r="AL665" s="9"/>
      <c r="AM665" s="9"/>
      <c r="AN665" s="9"/>
      <c r="AO665" s="9"/>
      <c r="AP665" s="29"/>
      <c r="AQ665" s="29"/>
      <c r="AR665" s="29"/>
    </row>
    <row r="666" spans="4:44" x14ac:dyDescent="0.25">
      <c r="D666" s="9"/>
      <c r="E666" s="9"/>
      <c r="F666" s="9"/>
      <c r="G666" s="9"/>
      <c r="H666" s="9"/>
      <c r="I666" s="9"/>
      <c r="J666" s="29"/>
      <c r="M666" s="21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AA666" s="29"/>
      <c r="AB666" s="29"/>
      <c r="AC666" s="29"/>
      <c r="AD666" s="29"/>
      <c r="AE666" s="29"/>
      <c r="AF666" s="29"/>
      <c r="AG666" s="29"/>
      <c r="AH666" s="9"/>
      <c r="AI666" s="9"/>
      <c r="AJ666" s="9"/>
      <c r="AK666" s="9"/>
      <c r="AL666" s="9"/>
      <c r="AM666" s="9"/>
      <c r="AN666" s="9"/>
      <c r="AO666" s="9"/>
      <c r="AP666" s="29"/>
      <c r="AQ666" s="29"/>
      <c r="AR666" s="29"/>
    </row>
    <row r="667" spans="4:44" x14ac:dyDescent="0.25">
      <c r="D667" s="9"/>
      <c r="E667" s="9"/>
      <c r="F667" s="9"/>
      <c r="G667" s="9"/>
      <c r="H667" s="9"/>
      <c r="I667" s="9"/>
      <c r="J667" s="29"/>
      <c r="M667" s="21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AA667" s="29"/>
      <c r="AB667" s="29"/>
      <c r="AC667" s="29"/>
      <c r="AD667" s="29"/>
      <c r="AE667" s="29"/>
      <c r="AF667" s="29"/>
      <c r="AG667" s="29"/>
      <c r="AH667" s="9"/>
      <c r="AI667" s="9"/>
      <c r="AJ667" s="9"/>
      <c r="AK667" s="9"/>
      <c r="AL667" s="9"/>
      <c r="AM667" s="9"/>
      <c r="AN667" s="9"/>
      <c r="AO667" s="9"/>
      <c r="AP667" s="29"/>
      <c r="AQ667" s="29"/>
      <c r="AR667" s="29"/>
    </row>
    <row r="668" spans="4:44" x14ac:dyDescent="0.25">
      <c r="D668" s="9"/>
      <c r="E668" s="9"/>
      <c r="F668" s="9"/>
      <c r="G668" s="9"/>
      <c r="H668" s="9"/>
      <c r="I668" s="9"/>
      <c r="J668" s="29"/>
      <c r="M668" s="21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AA668" s="29"/>
      <c r="AB668" s="29"/>
      <c r="AC668" s="29"/>
      <c r="AD668" s="29"/>
      <c r="AE668" s="29"/>
      <c r="AF668" s="29"/>
      <c r="AG668" s="29"/>
      <c r="AH668" s="9"/>
      <c r="AI668" s="9"/>
      <c r="AJ668" s="9"/>
      <c r="AK668" s="9"/>
      <c r="AL668" s="9"/>
      <c r="AM668" s="9"/>
      <c r="AN668" s="9"/>
      <c r="AO668" s="9"/>
      <c r="AP668" s="29"/>
      <c r="AQ668" s="29"/>
      <c r="AR668" s="29"/>
    </row>
    <row r="669" spans="4:44" x14ac:dyDescent="0.25">
      <c r="D669" s="9"/>
      <c r="E669" s="9"/>
      <c r="F669" s="9"/>
      <c r="G669" s="9"/>
      <c r="H669" s="9"/>
      <c r="I669" s="9"/>
      <c r="J669" s="29"/>
      <c r="M669" s="21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AA669" s="29"/>
      <c r="AB669" s="29"/>
      <c r="AC669" s="29"/>
      <c r="AD669" s="29"/>
      <c r="AE669" s="29"/>
      <c r="AF669" s="29"/>
      <c r="AG669" s="29"/>
      <c r="AH669" s="9"/>
      <c r="AI669" s="9"/>
      <c r="AJ669" s="9"/>
      <c r="AK669" s="9"/>
      <c r="AL669" s="9"/>
      <c r="AM669" s="9"/>
      <c r="AN669" s="9"/>
      <c r="AO669" s="9"/>
      <c r="AP669" s="29"/>
      <c r="AQ669" s="29"/>
      <c r="AR669" s="29"/>
    </row>
    <row r="670" spans="4:44" x14ac:dyDescent="0.25">
      <c r="D670" s="9"/>
      <c r="E670" s="9"/>
      <c r="F670" s="9"/>
      <c r="G670" s="9"/>
      <c r="H670" s="9"/>
      <c r="I670" s="9"/>
      <c r="J670" s="29"/>
      <c r="M670" s="21"/>
      <c r="N670" s="9"/>
      <c r="O670" s="9"/>
      <c r="P670" s="9"/>
      <c r="Q670" s="9"/>
      <c r="R670" s="9"/>
      <c r="S670" s="9"/>
      <c r="T670" s="9"/>
      <c r="U670" s="9"/>
      <c r="V670" s="9"/>
    </row>
    <row r="671" spans="4:44" x14ac:dyDescent="0.25">
      <c r="D671" s="9"/>
      <c r="E671" s="9"/>
      <c r="F671" s="9"/>
      <c r="G671" s="9"/>
      <c r="H671" s="9"/>
      <c r="I671" s="9"/>
      <c r="J671" s="29"/>
      <c r="M671" s="21"/>
    </row>
    <row r="672" spans="4:44" x14ac:dyDescent="0.25">
      <c r="D672" s="9"/>
      <c r="E672" s="9"/>
      <c r="F672" s="9"/>
      <c r="G672" s="9"/>
      <c r="H672" s="9"/>
      <c r="I672" s="9"/>
      <c r="J672" s="29"/>
      <c r="M672" s="21"/>
    </row>
    <row r="673" spans="4:13" x14ac:dyDescent="0.25">
      <c r="D673" s="9"/>
      <c r="E673" s="9"/>
      <c r="F673" s="9"/>
      <c r="G673" s="9"/>
      <c r="H673" s="9"/>
      <c r="I673" s="9"/>
      <c r="J673" s="29"/>
      <c r="M673" s="21"/>
    </row>
    <row r="674" spans="4:13" x14ac:dyDescent="0.25">
      <c r="M674" s="21"/>
    </row>
  </sheetData>
  <conditionalFormatting sqref="U96:W370 M4:M370">
    <cfRule type="cellIs" dxfId="873" priority="1733" operator="lessThan">
      <formula>0.8</formula>
    </cfRule>
    <cfRule type="cellIs" dxfId="872" priority="1734" operator="greaterThan">
      <formula>0.8</formula>
    </cfRule>
  </conditionalFormatting>
  <conditionalFormatting sqref="D1:J3 D282:J332 D236:J236 D243:J279 D5:J32 D36:J91 D94:J230 D335:J362 D367:J1048576">
    <cfRule type="containsText" dxfId="871" priority="1732" operator="containsText" text="Radio">
      <formula>NOT(ISERROR(SEARCH("Radio",D1)))</formula>
    </cfRule>
  </conditionalFormatting>
  <conditionalFormatting sqref="Z371:Z1048576 U96:W1048576">
    <cfRule type="notContainsText" dxfId="870" priority="1728" operator="notContains" text="Caida">
      <formula>ISERROR(SEARCH("Caida",U96))</formula>
    </cfRule>
    <cfRule type="containsText" dxfId="869" priority="1729" operator="containsText" text="Caida">
      <formula>NOT(ISERROR(SEARCH("Caida",U96)))</formula>
    </cfRule>
  </conditionalFormatting>
  <conditionalFormatting sqref="D280:J280">
    <cfRule type="containsText" dxfId="868" priority="1701" operator="containsText" text="Radio">
      <formula>NOT(ISERROR(SEARCH("Radio",D280)))</formula>
    </cfRule>
  </conditionalFormatting>
  <conditionalFormatting sqref="D281:J281">
    <cfRule type="containsText" dxfId="867" priority="1676" operator="containsText" text="Radio">
      <formula>NOT(ISERROR(SEARCH("Radio",D281)))</formula>
    </cfRule>
  </conditionalFormatting>
  <conditionalFormatting sqref="D4:J4">
    <cfRule type="containsText" dxfId="866" priority="1651" operator="containsText" text="Radio">
      <formula>NOT(ISERROR(SEARCH("Radio",D4)))</formula>
    </cfRule>
  </conditionalFormatting>
  <conditionalFormatting sqref="D231:J231">
    <cfRule type="containsText" dxfId="865" priority="1650" operator="containsText" text="Radio">
      <formula>NOT(ISERROR(SEARCH("Radio",D231)))</formula>
    </cfRule>
  </conditionalFormatting>
  <conditionalFormatting sqref="D232:J232">
    <cfRule type="containsText" dxfId="864" priority="1625" operator="containsText" text="Radio">
      <formula>NOT(ISERROR(SEARCH("Radio",D232)))</formula>
    </cfRule>
  </conditionalFormatting>
  <conditionalFormatting sqref="D233:J233">
    <cfRule type="containsText" dxfId="863" priority="1600" operator="containsText" text="Radio">
      <formula>NOT(ISERROR(SEARCH("Radio",D233)))</formula>
    </cfRule>
  </conditionalFormatting>
  <conditionalFormatting sqref="D234:J234">
    <cfRule type="containsText" dxfId="862" priority="1575" operator="containsText" text="Radio">
      <formula>NOT(ISERROR(SEARCH("Radio",D234)))</formula>
    </cfRule>
  </conditionalFormatting>
  <conditionalFormatting sqref="D235:J235">
    <cfRule type="containsText" dxfId="861" priority="1550" operator="containsText" text="Radio">
      <formula>NOT(ISERROR(SEARCH("Radio",D235)))</formula>
    </cfRule>
  </conditionalFormatting>
  <conditionalFormatting sqref="D333:J333">
    <cfRule type="containsText" dxfId="860" priority="1501" operator="containsText" text="Radio">
      <formula>NOT(ISERROR(SEARCH("Radio",D333)))</formula>
    </cfRule>
  </conditionalFormatting>
  <conditionalFormatting sqref="D334:J334">
    <cfRule type="containsText" dxfId="859" priority="1476" operator="containsText" text="Radio">
      <formula>NOT(ISERROR(SEARCH("Radio",D334)))</formula>
    </cfRule>
  </conditionalFormatting>
  <conditionalFormatting sqref="D237:J237">
    <cfRule type="containsText" dxfId="858" priority="1451" operator="containsText" text="Radio">
      <formula>NOT(ISERROR(SEARCH("Radio",D237)))</formula>
    </cfRule>
  </conditionalFormatting>
  <conditionalFormatting sqref="D238:J238">
    <cfRule type="containsText" dxfId="857" priority="1426" operator="containsText" text="Radio">
      <formula>NOT(ISERROR(SEARCH("Radio",D238)))</formula>
    </cfRule>
  </conditionalFormatting>
  <conditionalFormatting sqref="D33:J35">
    <cfRule type="containsText" dxfId="856" priority="1401" operator="containsText" text="Radio">
      <formula>NOT(ISERROR(SEARCH("Radio",D33)))</formula>
    </cfRule>
  </conditionalFormatting>
  <conditionalFormatting sqref="D239:J239">
    <cfRule type="containsText" dxfId="855" priority="1376" operator="containsText" text="Radio">
      <formula>NOT(ISERROR(SEARCH("Radio",D239)))</formula>
    </cfRule>
  </conditionalFormatting>
  <conditionalFormatting sqref="D240:J240">
    <cfRule type="containsText" dxfId="854" priority="1351" operator="containsText" text="Radio">
      <formula>NOT(ISERROR(SEARCH("Radio",D240)))</formula>
    </cfRule>
  </conditionalFormatting>
  <conditionalFormatting sqref="D241:J241">
    <cfRule type="containsText" dxfId="853" priority="1326" operator="containsText" text="Radio">
      <formula>NOT(ISERROR(SEARCH("Radio",D241)))</formula>
    </cfRule>
  </conditionalFormatting>
  <conditionalFormatting sqref="D242:J242">
    <cfRule type="containsText" dxfId="852" priority="1301" operator="containsText" text="Radio">
      <formula>NOT(ISERROR(SEARCH("Radio",D242)))</formula>
    </cfRule>
  </conditionalFormatting>
  <conditionalFormatting sqref="O6:O92 O236:O279 O96:O230">
    <cfRule type="cellIs" dxfId="851" priority="1226" operator="lessThan">
      <formula>0.8</formula>
    </cfRule>
    <cfRule type="cellIs" dxfId="850" priority="1227" operator="greaterThan">
      <formula>0.8</formula>
    </cfRule>
  </conditionalFormatting>
  <conditionalFormatting sqref="O6:O92 O236:O279 O96:O230">
    <cfRule type="notContainsText" dxfId="849" priority="1224" operator="notContains" text="Caida">
      <formula>ISERROR(SEARCH("Caida",O6))</formula>
    </cfRule>
    <cfRule type="containsText" dxfId="848" priority="1225" operator="containsText" text="Caida">
      <formula>NOT(ISERROR(SEARCH("Caida",O6)))</formula>
    </cfRule>
  </conditionalFormatting>
  <conditionalFormatting sqref="O335:O364 O282:O332">
    <cfRule type="cellIs" dxfId="847" priority="1222" operator="lessThan">
      <formula>0.8</formula>
    </cfRule>
    <cfRule type="cellIs" dxfId="846" priority="1223" operator="greaterThan">
      <formula>0.8</formula>
    </cfRule>
  </conditionalFormatting>
  <conditionalFormatting sqref="O335:O364 O282:O332 O371:O1048576">
    <cfRule type="notContainsText" dxfId="845" priority="1220" operator="notContains" text="Caida">
      <formula>ISERROR(SEARCH("Caida",O282))</formula>
    </cfRule>
    <cfRule type="containsText" dxfId="844" priority="1221" operator="containsText" text="Caida">
      <formula>NOT(ISERROR(SEARCH("Caida",O282)))</formula>
    </cfRule>
  </conditionalFormatting>
  <conditionalFormatting sqref="N372:N1048576">
    <cfRule type="notContainsText" dxfId="843" priority="1269" operator="notContains" text="Caida">
      <formula>ISERROR(SEARCH("Caida",N372))</formula>
    </cfRule>
    <cfRule type="containsText" dxfId="842" priority="1270" operator="containsText" text="Caida">
      <formula>NOT(ISERROR(SEARCH("Caida",N372)))</formula>
    </cfRule>
  </conditionalFormatting>
  <conditionalFormatting sqref="O334">
    <cfRule type="cellIs" dxfId="841" priority="1181" operator="lessThan">
      <formula>0.8</formula>
    </cfRule>
    <cfRule type="cellIs" dxfId="840" priority="1182" operator="greaterThan">
      <formula>0.8</formula>
    </cfRule>
  </conditionalFormatting>
  <conditionalFormatting sqref="O334">
    <cfRule type="notContainsText" dxfId="839" priority="1179" operator="notContains" text="Caida">
      <formula>ISERROR(SEARCH("Caida",O334))</formula>
    </cfRule>
    <cfRule type="containsText" dxfId="838" priority="1180" operator="containsText" text="Caida">
      <formula>NOT(ISERROR(SEARCH("Caida",O334)))</formula>
    </cfRule>
  </conditionalFormatting>
  <conditionalFormatting sqref="O22">
    <cfRule type="containsText" dxfId="837" priority="1219" operator="containsText" text="Instaladas en Funcionamiento Caida">
      <formula>NOT(ISERROR(SEARCH("Instaladas en Funcionamiento Caida",O22)))</formula>
    </cfRule>
  </conditionalFormatting>
  <conditionalFormatting sqref="O280">
    <cfRule type="cellIs" dxfId="836" priority="1217" operator="lessThan">
      <formula>0.8</formula>
    </cfRule>
    <cfRule type="cellIs" dxfId="835" priority="1218" operator="greaterThan">
      <formula>0.8</formula>
    </cfRule>
  </conditionalFormatting>
  <conditionalFormatting sqref="O280">
    <cfRule type="notContainsText" dxfId="834" priority="1215" operator="notContains" text="Caida">
      <formula>ISERROR(SEARCH("Caida",O280))</formula>
    </cfRule>
    <cfRule type="containsText" dxfId="833" priority="1216" operator="containsText" text="Caida">
      <formula>NOT(ISERROR(SEARCH("Caida",O280)))</formula>
    </cfRule>
  </conditionalFormatting>
  <conditionalFormatting sqref="O281">
    <cfRule type="cellIs" dxfId="832" priority="1213" operator="lessThan">
      <formula>0.8</formula>
    </cfRule>
    <cfRule type="cellIs" dxfId="831" priority="1214" operator="greaterThan">
      <formula>0.8</formula>
    </cfRule>
  </conditionalFormatting>
  <conditionalFormatting sqref="O281">
    <cfRule type="notContainsText" dxfId="830" priority="1211" operator="notContains" text="Caida">
      <formula>ISERROR(SEARCH("Caida",O281))</formula>
    </cfRule>
    <cfRule type="containsText" dxfId="829" priority="1212" operator="containsText" text="Caida">
      <formula>NOT(ISERROR(SEARCH("Caida",O281)))</formula>
    </cfRule>
  </conditionalFormatting>
  <conditionalFormatting sqref="O5">
    <cfRule type="cellIs" dxfId="828" priority="1209" operator="lessThan">
      <formula>0.8</formula>
    </cfRule>
    <cfRule type="cellIs" dxfId="827" priority="1210" operator="greaterThan">
      <formula>0.8</formula>
    </cfRule>
  </conditionalFormatting>
  <conditionalFormatting sqref="O5">
    <cfRule type="notContainsText" dxfId="826" priority="1207" operator="notContains" text="Caida">
      <formula>ISERROR(SEARCH("Caida",O5))</formula>
    </cfRule>
    <cfRule type="containsText" dxfId="825" priority="1208" operator="containsText" text="Caida">
      <formula>NOT(ISERROR(SEARCH("Caida",O5)))</formula>
    </cfRule>
  </conditionalFormatting>
  <conditionalFormatting sqref="O231">
    <cfRule type="cellIs" dxfId="824" priority="1205" operator="lessThan">
      <formula>0.8</formula>
    </cfRule>
    <cfRule type="cellIs" dxfId="823" priority="1206" operator="greaterThan">
      <formula>0.8</formula>
    </cfRule>
  </conditionalFormatting>
  <conditionalFormatting sqref="O231">
    <cfRule type="notContainsText" dxfId="822" priority="1203" operator="notContains" text="Caida">
      <formula>ISERROR(SEARCH("Caida",O231))</formula>
    </cfRule>
    <cfRule type="containsText" dxfId="821" priority="1204" operator="containsText" text="Caida">
      <formula>NOT(ISERROR(SEARCH("Caida",O231)))</formula>
    </cfRule>
  </conditionalFormatting>
  <conditionalFormatting sqref="O232">
    <cfRule type="cellIs" dxfId="820" priority="1201" operator="lessThan">
      <formula>0.8</formula>
    </cfRule>
    <cfRule type="cellIs" dxfId="819" priority="1202" operator="greaterThan">
      <formula>0.8</formula>
    </cfRule>
  </conditionalFormatting>
  <conditionalFormatting sqref="O232">
    <cfRule type="notContainsText" dxfId="818" priority="1199" operator="notContains" text="Caida">
      <formula>ISERROR(SEARCH("Caida",O232))</formula>
    </cfRule>
    <cfRule type="containsText" dxfId="817" priority="1200" operator="containsText" text="Caida">
      <formula>NOT(ISERROR(SEARCH("Caida",O232)))</formula>
    </cfRule>
  </conditionalFormatting>
  <conditionalFormatting sqref="O233">
    <cfRule type="cellIs" dxfId="816" priority="1197" operator="lessThan">
      <formula>0.8</formula>
    </cfRule>
    <cfRule type="cellIs" dxfId="815" priority="1198" operator="greaterThan">
      <formula>0.8</formula>
    </cfRule>
  </conditionalFormatting>
  <conditionalFormatting sqref="O233">
    <cfRule type="notContainsText" dxfId="814" priority="1195" operator="notContains" text="Caida">
      <formula>ISERROR(SEARCH("Caida",O233))</formula>
    </cfRule>
    <cfRule type="containsText" dxfId="813" priority="1196" operator="containsText" text="Caida">
      <formula>NOT(ISERROR(SEARCH("Caida",O233)))</formula>
    </cfRule>
  </conditionalFormatting>
  <conditionalFormatting sqref="O234">
    <cfRule type="cellIs" dxfId="812" priority="1193" operator="lessThan">
      <formula>0.8</formula>
    </cfRule>
    <cfRule type="cellIs" dxfId="811" priority="1194" operator="greaterThan">
      <formula>0.8</formula>
    </cfRule>
  </conditionalFormatting>
  <conditionalFormatting sqref="O234">
    <cfRule type="notContainsText" dxfId="810" priority="1191" operator="notContains" text="Caida">
      <formula>ISERROR(SEARCH("Caida",O234))</formula>
    </cfRule>
    <cfRule type="containsText" dxfId="809" priority="1192" operator="containsText" text="Caida">
      <formula>NOT(ISERROR(SEARCH("Caida",O234)))</formula>
    </cfRule>
  </conditionalFormatting>
  <conditionalFormatting sqref="O235">
    <cfRule type="cellIs" dxfId="808" priority="1189" operator="lessThan">
      <formula>0.8</formula>
    </cfRule>
    <cfRule type="cellIs" dxfId="807" priority="1190" operator="greaterThan">
      <formula>0.8</formula>
    </cfRule>
  </conditionalFormatting>
  <conditionalFormatting sqref="O235">
    <cfRule type="notContainsText" dxfId="806" priority="1187" operator="notContains" text="Caida">
      <formula>ISERROR(SEARCH("Caida",O235))</formula>
    </cfRule>
    <cfRule type="containsText" dxfId="805" priority="1188" operator="containsText" text="Caida">
      <formula>NOT(ISERROR(SEARCH("Caida",O235)))</formula>
    </cfRule>
  </conditionalFormatting>
  <conditionalFormatting sqref="O333">
    <cfRule type="cellIs" dxfId="804" priority="1185" operator="lessThan">
      <formula>0.8</formula>
    </cfRule>
    <cfRule type="cellIs" dxfId="803" priority="1186" operator="greaterThan">
      <formula>0.8</formula>
    </cfRule>
  </conditionalFormatting>
  <conditionalFormatting sqref="O333">
    <cfRule type="notContainsText" dxfId="802" priority="1183" operator="notContains" text="Caida">
      <formula>ISERROR(SEARCH("Caida",O333))</formula>
    </cfRule>
    <cfRule type="containsText" dxfId="801" priority="1184" operator="containsText" text="Caida">
      <formula>NOT(ISERROR(SEARCH("Caida",O333)))</formula>
    </cfRule>
  </conditionalFormatting>
  <conditionalFormatting sqref="P236:P279 P6:P92 P96:P230">
    <cfRule type="cellIs" dxfId="800" priority="1177" operator="lessThan">
      <formula>0.8</formula>
    </cfRule>
    <cfRule type="cellIs" dxfId="799" priority="1178" operator="greaterThan">
      <formula>0.8</formula>
    </cfRule>
  </conditionalFormatting>
  <conditionalFormatting sqref="P236:P279 P6:P92 P96:P230">
    <cfRule type="notContainsText" dxfId="798" priority="1175" operator="notContains" text="Caida">
      <formula>ISERROR(SEARCH("Caida",P6))</formula>
    </cfRule>
    <cfRule type="containsText" dxfId="797" priority="1176" operator="containsText" text="Caida">
      <formula>NOT(ISERROR(SEARCH("Caida",P6)))</formula>
    </cfRule>
  </conditionalFormatting>
  <conditionalFormatting sqref="P334">
    <cfRule type="cellIs" dxfId="796" priority="1132" operator="lessThan">
      <formula>0.8</formula>
    </cfRule>
    <cfRule type="cellIs" dxfId="795" priority="1133" operator="greaterThan">
      <formula>0.8</formula>
    </cfRule>
  </conditionalFormatting>
  <conditionalFormatting sqref="P334">
    <cfRule type="notContainsText" dxfId="794" priority="1130" operator="notContains" text="Caida">
      <formula>ISERROR(SEARCH("Caida",P334))</formula>
    </cfRule>
    <cfRule type="containsText" dxfId="793" priority="1131" operator="containsText" text="Caida">
      <formula>NOT(ISERROR(SEARCH("Caida",P334)))</formula>
    </cfRule>
  </conditionalFormatting>
  <conditionalFormatting sqref="P335:P364 P282:P332">
    <cfRule type="cellIs" dxfId="792" priority="1173" operator="lessThan">
      <formula>0.8</formula>
    </cfRule>
    <cfRule type="cellIs" dxfId="791" priority="1174" operator="greaterThan">
      <formula>0.8</formula>
    </cfRule>
  </conditionalFormatting>
  <conditionalFormatting sqref="P335:P364 P282:P332 P371:P1048576">
    <cfRule type="notContainsText" dxfId="790" priority="1171" operator="notContains" text="Caida">
      <formula>ISERROR(SEARCH("Caida",P282))</formula>
    </cfRule>
    <cfRule type="containsText" dxfId="789" priority="1172" operator="containsText" text="Caida">
      <formula>NOT(ISERROR(SEARCH("Caida",P282)))</formula>
    </cfRule>
  </conditionalFormatting>
  <conditionalFormatting sqref="P22">
    <cfRule type="containsText" dxfId="788" priority="1170" operator="containsText" text="Instaladas en Funcionamiento Caida">
      <formula>NOT(ISERROR(SEARCH("Instaladas en Funcionamiento Caida",P22)))</formula>
    </cfRule>
  </conditionalFormatting>
  <conditionalFormatting sqref="P280">
    <cfRule type="cellIs" dxfId="787" priority="1168" operator="lessThan">
      <formula>0.8</formula>
    </cfRule>
    <cfRule type="cellIs" dxfId="786" priority="1169" operator="greaterThan">
      <formula>0.8</formula>
    </cfRule>
  </conditionalFormatting>
  <conditionalFormatting sqref="P280">
    <cfRule type="notContainsText" dxfId="785" priority="1166" operator="notContains" text="Caida">
      <formula>ISERROR(SEARCH("Caida",P280))</formula>
    </cfRule>
    <cfRule type="containsText" dxfId="784" priority="1167" operator="containsText" text="Caida">
      <formula>NOT(ISERROR(SEARCH("Caida",P280)))</formula>
    </cfRule>
  </conditionalFormatting>
  <conditionalFormatting sqref="P281">
    <cfRule type="cellIs" dxfId="783" priority="1164" operator="lessThan">
      <formula>0.8</formula>
    </cfRule>
    <cfRule type="cellIs" dxfId="782" priority="1165" operator="greaterThan">
      <formula>0.8</formula>
    </cfRule>
  </conditionalFormatting>
  <conditionalFormatting sqref="P281">
    <cfRule type="notContainsText" dxfId="781" priority="1162" operator="notContains" text="Caida">
      <formula>ISERROR(SEARCH("Caida",P281))</formula>
    </cfRule>
    <cfRule type="containsText" dxfId="780" priority="1163" operator="containsText" text="Caida">
      <formula>NOT(ISERROR(SEARCH("Caida",P281)))</formula>
    </cfRule>
  </conditionalFormatting>
  <conditionalFormatting sqref="P5">
    <cfRule type="cellIs" dxfId="779" priority="1160" operator="lessThan">
      <formula>0.8</formula>
    </cfRule>
    <cfRule type="cellIs" dxfId="778" priority="1161" operator="greaterThan">
      <formula>0.8</formula>
    </cfRule>
  </conditionalFormatting>
  <conditionalFormatting sqref="P5">
    <cfRule type="notContainsText" dxfId="777" priority="1158" operator="notContains" text="Caida">
      <formula>ISERROR(SEARCH("Caida",P5))</formula>
    </cfRule>
    <cfRule type="containsText" dxfId="776" priority="1159" operator="containsText" text="Caida">
      <formula>NOT(ISERROR(SEARCH("Caida",P5)))</formula>
    </cfRule>
  </conditionalFormatting>
  <conditionalFormatting sqref="P231">
    <cfRule type="cellIs" dxfId="775" priority="1156" operator="lessThan">
      <formula>0.8</formula>
    </cfRule>
    <cfRule type="cellIs" dxfId="774" priority="1157" operator="greaterThan">
      <formula>0.8</formula>
    </cfRule>
  </conditionalFormatting>
  <conditionalFormatting sqref="P231">
    <cfRule type="notContainsText" dxfId="773" priority="1154" operator="notContains" text="Caida">
      <formula>ISERROR(SEARCH("Caida",P231))</formula>
    </cfRule>
    <cfRule type="containsText" dxfId="772" priority="1155" operator="containsText" text="Caida">
      <formula>NOT(ISERROR(SEARCH("Caida",P231)))</formula>
    </cfRule>
  </conditionalFormatting>
  <conditionalFormatting sqref="P232">
    <cfRule type="cellIs" dxfId="771" priority="1152" operator="lessThan">
      <formula>0.8</formula>
    </cfRule>
    <cfRule type="cellIs" dxfId="770" priority="1153" operator="greaterThan">
      <formula>0.8</formula>
    </cfRule>
  </conditionalFormatting>
  <conditionalFormatting sqref="P232">
    <cfRule type="notContainsText" dxfId="769" priority="1150" operator="notContains" text="Caida">
      <formula>ISERROR(SEARCH("Caida",P232))</formula>
    </cfRule>
    <cfRule type="containsText" dxfId="768" priority="1151" operator="containsText" text="Caida">
      <formula>NOT(ISERROR(SEARCH("Caida",P232)))</formula>
    </cfRule>
  </conditionalFormatting>
  <conditionalFormatting sqref="P233">
    <cfRule type="cellIs" dxfId="767" priority="1148" operator="lessThan">
      <formula>0.8</formula>
    </cfRule>
    <cfRule type="cellIs" dxfId="766" priority="1149" operator="greaterThan">
      <formula>0.8</formula>
    </cfRule>
  </conditionalFormatting>
  <conditionalFormatting sqref="P233">
    <cfRule type="notContainsText" dxfId="765" priority="1146" operator="notContains" text="Caida">
      <formula>ISERROR(SEARCH("Caida",P233))</formula>
    </cfRule>
    <cfRule type="containsText" dxfId="764" priority="1147" operator="containsText" text="Caida">
      <formula>NOT(ISERROR(SEARCH("Caida",P233)))</formula>
    </cfRule>
  </conditionalFormatting>
  <conditionalFormatting sqref="P234">
    <cfRule type="cellIs" dxfId="763" priority="1144" operator="lessThan">
      <formula>0.8</formula>
    </cfRule>
    <cfRule type="cellIs" dxfId="762" priority="1145" operator="greaterThan">
      <formula>0.8</formula>
    </cfRule>
  </conditionalFormatting>
  <conditionalFormatting sqref="P234">
    <cfRule type="notContainsText" dxfId="761" priority="1142" operator="notContains" text="Caida">
      <formula>ISERROR(SEARCH("Caida",P234))</formula>
    </cfRule>
    <cfRule type="containsText" dxfId="760" priority="1143" operator="containsText" text="Caida">
      <formula>NOT(ISERROR(SEARCH("Caida",P234)))</formula>
    </cfRule>
  </conditionalFormatting>
  <conditionalFormatting sqref="P235">
    <cfRule type="cellIs" dxfId="759" priority="1140" operator="lessThan">
      <formula>0.8</formula>
    </cfRule>
    <cfRule type="cellIs" dxfId="758" priority="1141" operator="greaterThan">
      <formula>0.8</formula>
    </cfRule>
  </conditionalFormatting>
  <conditionalFormatting sqref="P235">
    <cfRule type="notContainsText" dxfId="757" priority="1138" operator="notContains" text="Caida">
      <formula>ISERROR(SEARCH("Caida",P235))</formula>
    </cfRule>
    <cfRule type="containsText" dxfId="756" priority="1139" operator="containsText" text="Caida">
      <formula>NOT(ISERROR(SEARCH("Caida",P235)))</formula>
    </cfRule>
  </conditionalFormatting>
  <conditionalFormatting sqref="P333">
    <cfRule type="cellIs" dxfId="755" priority="1136" operator="lessThan">
      <formula>0.8</formula>
    </cfRule>
    <cfRule type="cellIs" dxfId="754" priority="1137" operator="greaterThan">
      <formula>0.8</formula>
    </cfRule>
  </conditionalFormatting>
  <conditionalFormatting sqref="P333">
    <cfRule type="notContainsText" dxfId="753" priority="1134" operator="notContains" text="Caida">
      <formula>ISERROR(SEARCH("Caida",P333))</formula>
    </cfRule>
    <cfRule type="containsText" dxfId="752" priority="1135" operator="containsText" text="Caida">
      <formula>NOT(ISERROR(SEARCH("Caida",P333)))</formula>
    </cfRule>
  </conditionalFormatting>
  <conditionalFormatting sqref="Q6:Q92 Q236:Q279 Q96:Q230">
    <cfRule type="cellIs" dxfId="751" priority="1128" operator="lessThan">
      <formula>0.8</formula>
    </cfRule>
    <cfRule type="cellIs" dxfId="750" priority="1129" operator="greaterThan">
      <formula>0.8</formula>
    </cfRule>
  </conditionalFormatting>
  <conditionalFormatting sqref="Q6:Q92 Q236:Q279 Q96:Q230">
    <cfRule type="notContainsText" dxfId="749" priority="1126" operator="notContains" text="Caida">
      <formula>ISERROR(SEARCH("Caida",Q6))</formula>
    </cfRule>
    <cfRule type="containsText" dxfId="748" priority="1127" operator="containsText" text="Caida">
      <formula>NOT(ISERROR(SEARCH("Caida",Q6)))</formula>
    </cfRule>
  </conditionalFormatting>
  <conditionalFormatting sqref="Q334:S334">
    <cfRule type="cellIs" dxfId="747" priority="1083" operator="lessThan">
      <formula>0.8</formula>
    </cfRule>
    <cfRule type="cellIs" dxfId="746" priority="1084" operator="greaterThan">
      <formula>0.8</formula>
    </cfRule>
  </conditionalFormatting>
  <conditionalFormatting sqref="Q334:S334">
    <cfRule type="notContainsText" dxfId="745" priority="1081" operator="notContains" text="Caida">
      <formula>ISERROR(SEARCH("Caida",Q334))</formula>
    </cfRule>
    <cfRule type="containsText" dxfId="744" priority="1082" operator="containsText" text="Caida">
      <formula>NOT(ISERROR(SEARCH("Caida",Q334)))</formula>
    </cfRule>
  </conditionalFormatting>
  <conditionalFormatting sqref="Q335:Q364 Q282:Q332">
    <cfRule type="cellIs" dxfId="743" priority="1124" operator="lessThan">
      <formula>0.8</formula>
    </cfRule>
    <cfRule type="cellIs" dxfId="742" priority="1125" operator="greaterThan">
      <formula>0.8</formula>
    </cfRule>
  </conditionalFormatting>
  <conditionalFormatting sqref="Q335:Q364 Q282:Q332 Q371:Q1048576">
    <cfRule type="notContainsText" dxfId="741" priority="1122" operator="notContains" text="Caida">
      <formula>ISERROR(SEARCH("Caida",Q282))</formula>
    </cfRule>
    <cfRule type="containsText" dxfId="740" priority="1123" operator="containsText" text="Caida">
      <formula>NOT(ISERROR(SEARCH("Caida",Q282)))</formula>
    </cfRule>
  </conditionalFormatting>
  <conditionalFormatting sqref="Q22:S22">
    <cfRule type="containsText" dxfId="739" priority="1121" operator="containsText" text="Instaladas en Funcionamiento Caida">
      <formula>NOT(ISERROR(SEARCH("Instaladas en Funcionamiento Caida",Q22)))</formula>
    </cfRule>
  </conditionalFormatting>
  <conditionalFormatting sqref="Q280:S280">
    <cfRule type="cellIs" dxfId="738" priority="1119" operator="lessThan">
      <formula>0.8</formula>
    </cfRule>
    <cfRule type="cellIs" dxfId="737" priority="1120" operator="greaterThan">
      <formula>0.8</formula>
    </cfRule>
  </conditionalFormatting>
  <conditionalFormatting sqref="Q280:S280">
    <cfRule type="notContainsText" dxfId="736" priority="1117" operator="notContains" text="Caida">
      <formula>ISERROR(SEARCH("Caida",Q280))</formula>
    </cfRule>
    <cfRule type="containsText" dxfId="735" priority="1118" operator="containsText" text="Caida">
      <formula>NOT(ISERROR(SEARCH("Caida",Q280)))</formula>
    </cfRule>
  </conditionalFormatting>
  <conditionalFormatting sqref="Q281:S281">
    <cfRule type="cellIs" dxfId="734" priority="1115" operator="lessThan">
      <formula>0.8</formula>
    </cfRule>
    <cfRule type="cellIs" dxfId="733" priority="1116" operator="greaterThan">
      <formula>0.8</formula>
    </cfRule>
  </conditionalFormatting>
  <conditionalFormatting sqref="Q281:S281">
    <cfRule type="notContainsText" dxfId="732" priority="1113" operator="notContains" text="Caida">
      <formula>ISERROR(SEARCH("Caida",Q281))</formula>
    </cfRule>
    <cfRule type="containsText" dxfId="731" priority="1114" operator="containsText" text="Caida">
      <formula>NOT(ISERROR(SEARCH("Caida",Q281)))</formula>
    </cfRule>
  </conditionalFormatting>
  <conditionalFormatting sqref="Q5:S5">
    <cfRule type="cellIs" dxfId="730" priority="1111" operator="lessThan">
      <formula>0.8</formula>
    </cfRule>
    <cfRule type="cellIs" dxfId="729" priority="1112" operator="greaterThan">
      <formula>0.8</formula>
    </cfRule>
  </conditionalFormatting>
  <conditionalFormatting sqref="Q5:S5">
    <cfRule type="notContainsText" dxfId="728" priority="1109" operator="notContains" text="Caida">
      <formula>ISERROR(SEARCH("Caida",Q5))</formula>
    </cfRule>
    <cfRule type="containsText" dxfId="727" priority="1110" operator="containsText" text="Caida">
      <formula>NOT(ISERROR(SEARCH("Caida",Q5)))</formula>
    </cfRule>
  </conditionalFormatting>
  <conditionalFormatting sqref="Q231:S231">
    <cfRule type="cellIs" dxfId="726" priority="1107" operator="lessThan">
      <formula>0.8</formula>
    </cfRule>
    <cfRule type="cellIs" dxfId="725" priority="1108" operator="greaterThan">
      <formula>0.8</formula>
    </cfRule>
  </conditionalFormatting>
  <conditionalFormatting sqref="Q231:S231">
    <cfRule type="notContainsText" dxfId="724" priority="1105" operator="notContains" text="Caida">
      <formula>ISERROR(SEARCH("Caida",Q231))</formula>
    </cfRule>
    <cfRule type="containsText" dxfId="723" priority="1106" operator="containsText" text="Caida">
      <formula>NOT(ISERROR(SEARCH("Caida",Q231)))</formula>
    </cfRule>
  </conditionalFormatting>
  <conditionalFormatting sqref="Q232:S232">
    <cfRule type="cellIs" dxfId="722" priority="1103" operator="lessThan">
      <formula>0.8</formula>
    </cfRule>
    <cfRule type="cellIs" dxfId="721" priority="1104" operator="greaterThan">
      <formula>0.8</formula>
    </cfRule>
  </conditionalFormatting>
  <conditionalFormatting sqref="Q232:S232">
    <cfRule type="notContainsText" dxfId="720" priority="1101" operator="notContains" text="Caida">
      <formula>ISERROR(SEARCH("Caida",Q232))</formula>
    </cfRule>
    <cfRule type="containsText" dxfId="719" priority="1102" operator="containsText" text="Caida">
      <formula>NOT(ISERROR(SEARCH("Caida",Q232)))</formula>
    </cfRule>
  </conditionalFormatting>
  <conditionalFormatting sqref="Q233:S233">
    <cfRule type="cellIs" dxfId="718" priority="1099" operator="lessThan">
      <formula>0.8</formula>
    </cfRule>
    <cfRule type="cellIs" dxfId="717" priority="1100" operator="greaterThan">
      <formula>0.8</formula>
    </cfRule>
  </conditionalFormatting>
  <conditionalFormatting sqref="Q233:S233">
    <cfRule type="notContainsText" dxfId="716" priority="1097" operator="notContains" text="Caida">
      <formula>ISERROR(SEARCH("Caida",Q233))</formula>
    </cfRule>
    <cfRule type="containsText" dxfId="715" priority="1098" operator="containsText" text="Caida">
      <formula>NOT(ISERROR(SEARCH("Caida",Q233)))</formula>
    </cfRule>
  </conditionalFormatting>
  <conditionalFormatting sqref="Q234:S234">
    <cfRule type="cellIs" dxfId="714" priority="1095" operator="lessThan">
      <formula>0.8</formula>
    </cfRule>
    <cfRule type="cellIs" dxfId="713" priority="1096" operator="greaterThan">
      <formula>0.8</formula>
    </cfRule>
  </conditionalFormatting>
  <conditionalFormatting sqref="Q234:S234">
    <cfRule type="notContainsText" dxfId="712" priority="1093" operator="notContains" text="Caida">
      <formula>ISERROR(SEARCH("Caida",Q234))</formula>
    </cfRule>
    <cfRule type="containsText" dxfId="711" priority="1094" operator="containsText" text="Caida">
      <formula>NOT(ISERROR(SEARCH("Caida",Q234)))</formula>
    </cfRule>
  </conditionalFormatting>
  <conditionalFormatting sqref="Q235:S235">
    <cfRule type="cellIs" dxfId="710" priority="1091" operator="lessThan">
      <formula>0.8</formula>
    </cfRule>
    <cfRule type="cellIs" dxfId="709" priority="1092" operator="greaterThan">
      <formula>0.8</formula>
    </cfRule>
  </conditionalFormatting>
  <conditionalFormatting sqref="Q235:S235">
    <cfRule type="notContainsText" dxfId="708" priority="1089" operator="notContains" text="Caida">
      <formula>ISERROR(SEARCH("Caida",Q235))</formula>
    </cfRule>
    <cfRule type="containsText" dxfId="707" priority="1090" operator="containsText" text="Caida">
      <formula>NOT(ISERROR(SEARCH("Caida",Q235)))</formula>
    </cfRule>
  </conditionalFormatting>
  <conditionalFormatting sqref="Q333:S333">
    <cfRule type="cellIs" dxfId="706" priority="1087" operator="lessThan">
      <formula>0.8</formula>
    </cfRule>
    <cfRule type="cellIs" dxfId="705" priority="1088" operator="greaterThan">
      <formula>0.8</formula>
    </cfRule>
  </conditionalFormatting>
  <conditionalFormatting sqref="Q333:S333">
    <cfRule type="notContainsText" dxfId="704" priority="1085" operator="notContains" text="Caida">
      <formula>ISERROR(SEARCH("Caida",Q333))</formula>
    </cfRule>
    <cfRule type="containsText" dxfId="703" priority="1086" operator="containsText" text="Caida">
      <formula>NOT(ISERROR(SEARCH("Caida",Q333)))</formula>
    </cfRule>
  </conditionalFormatting>
  <conditionalFormatting sqref="R371:R1048576">
    <cfRule type="notContainsText" dxfId="702" priority="1073" operator="notContains" text="Caida">
      <formula>ISERROR(SEARCH("Caida",R371))</formula>
    </cfRule>
    <cfRule type="containsText" dxfId="701" priority="1074" operator="containsText" text="Caida">
      <formula>NOT(ISERROR(SEARCH("Caida",R371)))</formula>
    </cfRule>
  </conditionalFormatting>
  <conditionalFormatting sqref="S371:S1048576">
    <cfRule type="notContainsText" dxfId="700" priority="1024" operator="notContains" text="Caida">
      <formula>ISERROR(SEARCH("Caida",S371))</formula>
    </cfRule>
    <cfRule type="containsText" dxfId="699" priority="1025" operator="containsText" text="Caida">
      <formula>NOT(ISERROR(SEARCH("Caida",S371)))</formula>
    </cfRule>
  </conditionalFormatting>
  <conditionalFormatting sqref="D92:J93">
    <cfRule type="containsText" dxfId="698" priority="980" operator="containsText" text="Radio">
      <formula>NOT(ISERROR(SEARCH("Radio",D92)))</formula>
    </cfRule>
  </conditionalFormatting>
  <conditionalFormatting sqref="O93:O95">
    <cfRule type="cellIs" dxfId="697" priority="950" operator="lessThan">
      <formula>0.8</formula>
    </cfRule>
    <cfRule type="cellIs" dxfId="696" priority="951" operator="greaterThan">
      <formula>0.8</formula>
    </cfRule>
  </conditionalFormatting>
  <conditionalFormatting sqref="O93:O95">
    <cfRule type="notContainsText" dxfId="695" priority="948" operator="notContains" text="Caida">
      <formula>ISERROR(SEARCH("Caida",O93))</formula>
    </cfRule>
    <cfRule type="containsText" dxfId="694" priority="949" operator="containsText" text="Caida">
      <formula>NOT(ISERROR(SEARCH("Caida",O93)))</formula>
    </cfRule>
  </conditionalFormatting>
  <conditionalFormatting sqref="P93:P95">
    <cfRule type="cellIs" dxfId="693" priority="946" operator="lessThan">
      <formula>0.8</formula>
    </cfRule>
    <cfRule type="cellIs" dxfId="692" priority="947" operator="greaterThan">
      <formula>0.8</formula>
    </cfRule>
  </conditionalFormatting>
  <conditionalFormatting sqref="P93:P95">
    <cfRule type="notContainsText" dxfId="691" priority="944" operator="notContains" text="Caida">
      <formula>ISERROR(SEARCH("Caida",P93))</formula>
    </cfRule>
    <cfRule type="containsText" dxfId="690" priority="945" operator="containsText" text="Caida">
      <formula>NOT(ISERROR(SEARCH("Caida",P93)))</formula>
    </cfRule>
  </conditionalFormatting>
  <conditionalFormatting sqref="Q93:Q95">
    <cfRule type="cellIs" dxfId="689" priority="942" operator="lessThan">
      <formula>0.8</formula>
    </cfRule>
    <cfRule type="cellIs" dxfId="688" priority="943" operator="greaterThan">
      <formula>0.8</formula>
    </cfRule>
  </conditionalFormatting>
  <conditionalFormatting sqref="Q93:Q95">
    <cfRule type="notContainsText" dxfId="687" priority="940" operator="notContains" text="Caida">
      <formula>ISERROR(SEARCH("Caida",Q93))</formula>
    </cfRule>
    <cfRule type="containsText" dxfId="686" priority="941" operator="containsText" text="Caida">
      <formula>NOT(ISERROR(SEARCH("Caida",Q93)))</formula>
    </cfRule>
  </conditionalFormatting>
  <conditionalFormatting sqref="D363:J363">
    <cfRule type="containsText" dxfId="685" priority="929" operator="containsText" text="Radio">
      <formula>NOT(ISERROR(SEARCH("Radio",D363)))</formula>
    </cfRule>
  </conditionalFormatting>
  <conditionalFormatting sqref="O365">
    <cfRule type="cellIs" dxfId="684" priority="911" operator="lessThan">
      <formula>0.8</formula>
    </cfRule>
    <cfRule type="cellIs" dxfId="683" priority="912" operator="greaterThan">
      <formula>0.8</formula>
    </cfRule>
  </conditionalFormatting>
  <conditionalFormatting sqref="O365">
    <cfRule type="notContainsText" dxfId="682" priority="909" operator="notContains" text="Caida">
      <formula>ISERROR(SEARCH("Caida",O365))</formula>
    </cfRule>
    <cfRule type="containsText" dxfId="681" priority="910" operator="containsText" text="Caida">
      <formula>NOT(ISERROR(SEARCH("Caida",O365)))</formula>
    </cfRule>
  </conditionalFormatting>
  <conditionalFormatting sqref="P365">
    <cfRule type="cellIs" dxfId="680" priority="907" operator="lessThan">
      <formula>0.8</formula>
    </cfRule>
    <cfRule type="cellIs" dxfId="679" priority="908" operator="greaterThan">
      <formula>0.8</formula>
    </cfRule>
  </conditionalFormatting>
  <conditionalFormatting sqref="P365">
    <cfRule type="notContainsText" dxfId="678" priority="905" operator="notContains" text="Caida">
      <formula>ISERROR(SEARCH("Caida",P365))</formula>
    </cfRule>
    <cfRule type="containsText" dxfId="677" priority="906" operator="containsText" text="Caida">
      <formula>NOT(ISERROR(SEARCH("Caida",P365)))</formula>
    </cfRule>
  </conditionalFormatting>
  <conditionalFormatting sqref="Q365:S365">
    <cfRule type="cellIs" dxfId="676" priority="903" operator="lessThan">
      <formula>0.8</formula>
    </cfRule>
    <cfRule type="cellIs" dxfId="675" priority="904" operator="greaterThan">
      <formula>0.8</formula>
    </cfRule>
  </conditionalFormatting>
  <conditionalFormatting sqref="Q365:S365">
    <cfRule type="notContainsText" dxfId="674" priority="901" operator="notContains" text="Caida">
      <formula>ISERROR(SEARCH("Caida",Q365))</formula>
    </cfRule>
    <cfRule type="containsText" dxfId="673" priority="902" operator="containsText" text="Caida">
      <formula>NOT(ISERROR(SEARCH("Caida",Q365)))</formula>
    </cfRule>
  </conditionalFormatting>
  <conditionalFormatting sqref="D364:J364">
    <cfRule type="containsText" dxfId="672" priority="890" operator="containsText" text="Radio">
      <formula>NOT(ISERROR(SEARCH("Radio",D364)))</formula>
    </cfRule>
  </conditionalFormatting>
  <conditionalFormatting sqref="O366">
    <cfRule type="cellIs" dxfId="671" priority="872" operator="lessThan">
      <formula>0.8</formula>
    </cfRule>
    <cfRule type="cellIs" dxfId="670" priority="873" operator="greaterThan">
      <formula>0.8</formula>
    </cfRule>
  </conditionalFormatting>
  <conditionalFormatting sqref="O366">
    <cfRule type="notContainsText" dxfId="669" priority="870" operator="notContains" text="Caida">
      <formula>ISERROR(SEARCH("Caida",O366))</formula>
    </cfRule>
    <cfRule type="containsText" dxfId="668" priority="871" operator="containsText" text="Caida">
      <formula>NOT(ISERROR(SEARCH("Caida",O366)))</formula>
    </cfRule>
  </conditionalFormatting>
  <conditionalFormatting sqref="P366">
    <cfRule type="cellIs" dxfId="667" priority="868" operator="lessThan">
      <formula>0.8</formula>
    </cfRule>
    <cfRule type="cellIs" dxfId="666" priority="869" operator="greaterThan">
      <formula>0.8</formula>
    </cfRule>
  </conditionalFormatting>
  <conditionalFormatting sqref="P366">
    <cfRule type="notContainsText" dxfId="665" priority="866" operator="notContains" text="Caida">
      <formula>ISERROR(SEARCH("Caida",P366))</formula>
    </cfRule>
    <cfRule type="containsText" dxfId="664" priority="867" operator="containsText" text="Caida">
      <formula>NOT(ISERROR(SEARCH("Caida",P366)))</formula>
    </cfRule>
  </conditionalFormatting>
  <conditionalFormatting sqref="Q366:S366">
    <cfRule type="cellIs" dxfId="663" priority="864" operator="lessThan">
      <formula>0.8</formula>
    </cfRule>
    <cfRule type="cellIs" dxfId="662" priority="865" operator="greaterThan">
      <formula>0.8</formula>
    </cfRule>
  </conditionalFormatting>
  <conditionalFormatting sqref="Q366:S366">
    <cfRule type="notContainsText" dxfId="661" priority="862" operator="notContains" text="Caida">
      <formula>ISERROR(SEARCH("Caida",Q366))</formula>
    </cfRule>
    <cfRule type="containsText" dxfId="660" priority="863" operator="containsText" text="Caida">
      <formula>NOT(ISERROR(SEARCH("Caida",Q366)))</formula>
    </cfRule>
  </conditionalFormatting>
  <conditionalFormatting sqref="D365:J365">
    <cfRule type="containsText" dxfId="659" priority="851" operator="containsText" text="Radio">
      <formula>NOT(ISERROR(SEARCH("Radio",D365)))</formula>
    </cfRule>
  </conditionalFormatting>
  <conditionalFormatting sqref="O367">
    <cfRule type="cellIs" dxfId="658" priority="833" operator="lessThan">
      <formula>0.8</formula>
    </cfRule>
    <cfRule type="cellIs" dxfId="657" priority="834" operator="greaterThan">
      <formula>0.8</formula>
    </cfRule>
  </conditionalFormatting>
  <conditionalFormatting sqref="O367">
    <cfRule type="notContainsText" dxfId="656" priority="831" operator="notContains" text="Caida">
      <formula>ISERROR(SEARCH("Caida",O367))</formula>
    </cfRule>
    <cfRule type="containsText" dxfId="655" priority="832" operator="containsText" text="Caida">
      <formula>NOT(ISERROR(SEARCH("Caida",O367)))</formula>
    </cfRule>
  </conditionalFormatting>
  <conditionalFormatting sqref="P367">
    <cfRule type="cellIs" dxfId="654" priority="829" operator="lessThan">
      <formula>0.8</formula>
    </cfRule>
    <cfRule type="cellIs" dxfId="653" priority="830" operator="greaterThan">
      <formula>0.8</formula>
    </cfRule>
  </conditionalFormatting>
  <conditionalFormatting sqref="P367">
    <cfRule type="notContainsText" dxfId="652" priority="827" operator="notContains" text="Caida">
      <formula>ISERROR(SEARCH("Caida",P367))</formula>
    </cfRule>
    <cfRule type="containsText" dxfId="651" priority="828" operator="containsText" text="Caida">
      <formula>NOT(ISERROR(SEARCH("Caida",P367)))</formula>
    </cfRule>
  </conditionalFormatting>
  <conditionalFormatting sqref="Q367:S367">
    <cfRule type="cellIs" dxfId="650" priority="825" operator="lessThan">
      <formula>0.8</formula>
    </cfRule>
    <cfRule type="cellIs" dxfId="649" priority="826" operator="greaterThan">
      <formula>0.8</formula>
    </cfRule>
  </conditionalFormatting>
  <conditionalFormatting sqref="Q367:S367">
    <cfRule type="notContainsText" dxfId="648" priority="823" operator="notContains" text="Caida">
      <formula>ISERROR(SEARCH("Caida",Q367))</formula>
    </cfRule>
    <cfRule type="containsText" dxfId="647" priority="824" operator="containsText" text="Caida">
      <formula>NOT(ISERROR(SEARCH("Caida",Q367)))</formula>
    </cfRule>
  </conditionalFormatting>
  <conditionalFormatting sqref="D366:J366">
    <cfRule type="containsText" dxfId="646" priority="812" operator="containsText" text="Radio">
      <formula>NOT(ISERROR(SEARCH("Radio",D366)))</formula>
    </cfRule>
  </conditionalFormatting>
  <conditionalFormatting sqref="T231">
    <cfRule type="cellIs" dxfId="645" priority="753" operator="lessThan">
      <formula>0.8</formula>
    </cfRule>
    <cfRule type="cellIs" dxfId="644" priority="754" operator="greaterThan">
      <formula>0.8</formula>
    </cfRule>
  </conditionalFormatting>
  <conditionalFormatting sqref="T231">
    <cfRule type="notContainsText" dxfId="643" priority="751" operator="notContains" text="Caida">
      <formula>ISERROR(SEARCH("Caida",T231))</formula>
    </cfRule>
    <cfRule type="containsText" dxfId="642" priority="752" operator="containsText" text="Caida">
      <formula>NOT(ISERROR(SEARCH("Caida",T231)))</formula>
    </cfRule>
  </conditionalFormatting>
  <conditionalFormatting sqref="T232">
    <cfRule type="cellIs" dxfId="641" priority="749" operator="lessThan">
      <formula>0.8</formula>
    </cfRule>
    <cfRule type="cellIs" dxfId="640" priority="750" operator="greaterThan">
      <formula>0.8</formula>
    </cfRule>
  </conditionalFormatting>
  <conditionalFormatting sqref="T232">
    <cfRule type="notContainsText" dxfId="639" priority="747" operator="notContains" text="Caida">
      <formula>ISERROR(SEARCH("Caida",T232))</formula>
    </cfRule>
    <cfRule type="containsText" dxfId="638" priority="748" operator="containsText" text="Caida">
      <formula>NOT(ISERROR(SEARCH("Caida",T232)))</formula>
    </cfRule>
  </conditionalFormatting>
  <conditionalFormatting sqref="O368:O370">
    <cfRule type="cellIs" dxfId="637" priority="794" operator="lessThan">
      <formula>0.8</formula>
    </cfRule>
    <cfRule type="cellIs" dxfId="636" priority="795" operator="greaterThan">
      <formula>0.8</formula>
    </cfRule>
  </conditionalFormatting>
  <conditionalFormatting sqref="O368:O370">
    <cfRule type="notContainsText" dxfId="635" priority="792" operator="notContains" text="Caida">
      <formula>ISERROR(SEARCH("Caida",O368))</formula>
    </cfRule>
    <cfRule type="containsText" dxfId="634" priority="793" operator="containsText" text="Caida">
      <formula>NOT(ISERROR(SEARCH("Caida",O368)))</formula>
    </cfRule>
  </conditionalFormatting>
  <conditionalFormatting sqref="P368:P370">
    <cfRule type="cellIs" dxfId="633" priority="790" operator="lessThan">
      <formula>0.8</formula>
    </cfRule>
    <cfRule type="cellIs" dxfId="632" priority="791" operator="greaterThan">
      <formula>0.8</formula>
    </cfRule>
  </conditionalFormatting>
  <conditionalFormatting sqref="P368:P370">
    <cfRule type="notContainsText" dxfId="631" priority="788" operator="notContains" text="Caida">
      <formula>ISERROR(SEARCH("Caida",P368))</formula>
    </cfRule>
    <cfRule type="containsText" dxfId="630" priority="789" operator="containsText" text="Caida">
      <formula>NOT(ISERROR(SEARCH("Caida",P368)))</formula>
    </cfRule>
  </conditionalFormatting>
  <conditionalFormatting sqref="Q368:S368">
    <cfRule type="cellIs" dxfId="629" priority="786" operator="lessThan">
      <formula>0.8</formula>
    </cfRule>
    <cfRule type="cellIs" dxfId="628" priority="787" operator="greaterThan">
      <formula>0.8</formula>
    </cfRule>
  </conditionalFormatting>
  <conditionalFormatting sqref="Q368:S368">
    <cfRule type="notContainsText" dxfId="627" priority="784" operator="notContains" text="Caida">
      <formula>ISERROR(SEARCH("Caida",Q368))</formula>
    </cfRule>
    <cfRule type="containsText" dxfId="626" priority="785" operator="containsText" text="Caida">
      <formula>NOT(ISERROR(SEARCH("Caida",Q368)))</formula>
    </cfRule>
  </conditionalFormatting>
  <conditionalFormatting sqref="T366">
    <cfRule type="cellIs" dxfId="625" priority="717" operator="lessThan">
      <formula>0.8</formula>
    </cfRule>
    <cfRule type="cellIs" dxfId="624" priority="718" operator="greaterThan">
      <formula>0.8</formula>
    </cfRule>
  </conditionalFormatting>
  <conditionalFormatting sqref="T366">
    <cfRule type="notContainsText" dxfId="623" priority="715" operator="notContains" text="Caida">
      <formula>ISERROR(SEARCH("Caida",T366))</formula>
    </cfRule>
    <cfRule type="containsText" dxfId="622" priority="716" operator="containsText" text="Caida">
      <formula>NOT(ISERROR(SEARCH("Caida",T366)))</formula>
    </cfRule>
  </conditionalFormatting>
  <conditionalFormatting sqref="T367">
    <cfRule type="cellIs" dxfId="621" priority="713" operator="lessThan">
      <formula>0.8</formula>
    </cfRule>
    <cfRule type="cellIs" dxfId="620" priority="714" operator="greaterThan">
      <formula>0.8</formula>
    </cfRule>
  </conditionalFormatting>
  <conditionalFormatting sqref="T367">
    <cfRule type="notContainsText" dxfId="619" priority="711" operator="notContains" text="Caida">
      <formula>ISERROR(SEARCH("Caida",T367))</formula>
    </cfRule>
    <cfRule type="containsText" dxfId="618" priority="712" operator="containsText" text="Caida">
      <formula>NOT(ISERROR(SEARCH("Caida",T367)))</formula>
    </cfRule>
  </conditionalFormatting>
  <conditionalFormatting sqref="T368:T370">
    <cfRule type="cellIs" dxfId="617" priority="709" operator="lessThan">
      <formula>0.8</formula>
    </cfRule>
    <cfRule type="cellIs" dxfId="616" priority="710" operator="greaterThan">
      <formula>0.8</formula>
    </cfRule>
  </conditionalFormatting>
  <conditionalFormatting sqref="T368:T370">
    <cfRule type="notContainsText" dxfId="615" priority="707" operator="notContains" text="Caida">
      <formula>ISERROR(SEARCH("Caida",T368))</formula>
    </cfRule>
    <cfRule type="containsText" dxfId="614" priority="708" operator="containsText" text="Caida">
      <formula>NOT(ISERROR(SEARCH("Caida",T368)))</formula>
    </cfRule>
  </conditionalFormatting>
  <conditionalFormatting sqref="T236:T279 T6:T92 T96:T230">
    <cfRule type="cellIs" dxfId="613" priority="774" operator="lessThan">
      <formula>0.8</formula>
    </cfRule>
    <cfRule type="cellIs" dxfId="612" priority="775" operator="greaterThan">
      <formula>0.8</formula>
    </cfRule>
  </conditionalFormatting>
  <conditionalFormatting sqref="T236:T279 T6:T92 T96:T230">
    <cfRule type="notContainsText" dxfId="611" priority="772" operator="notContains" text="Caida">
      <formula>ISERROR(SEARCH("Caida",T6))</formula>
    </cfRule>
    <cfRule type="containsText" dxfId="610" priority="773" operator="containsText" text="Caida">
      <formula>NOT(ISERROR(SEARCH("Caida",T6)))</formula>
    </cfRule>
  </conditionalFormatting>
  <conditionalFormatting sqref="T334">
    <cfRule type="cellIs" dxfId="609" priority="729" operator="lessThan">
      <formula>0.8</formula>
    </cfRule>
    <cfRule type="cellIs" dxfId="608" priority="730" operator="greaterThan">
      <formula>0.8</formula>
    </cfRule>
  </conditionalFormatting>
  <conditionalFormatting sqref="T334">
    <cfRule type="notContainsText" dxfId="607" priority="727" operator="notContains" text="Caida">
      <formula>ISERROR(SEARCH("Caida",T334))</formula>
    </cfRule>
    <cfRule type="containsText" dxfId="606" priority="728" operator="containsText" text="Caida">
      <formula>NOT(ISERROR(SEARCH("Caida",T334)))</formula>
    </cfRule>
  </conditionalFormatting>
  <conditionalFormatting sqref="T335:T364 T282:T332">
    <cfRule type="cellIs" dxfId="605" priority="770" operator="lessThan">
      <formula>0.8</formula>
    </cfRule>
    <cfRule type="cellIs" dxfId="604" priority="771" operator="greaterThan">
      <formula>0.8</formula>
    </cfRule>
  </conditionalFormatting>
  <conditionalFormatting sqref="T335:T364 T282:T332 T371:T1048576">
    <cfRule type="notContainsText" dxfId="603" priority="768" operator="notContains" text="Caida">
      <formula>ISERROR(SEARCH("Caida",T282))</formula>
    </cfRule>
    <cfRule type="containsText" dxfId="602" priority="769" operator="containsText" text="Caida">
      <formula>NOT(ISERROR(SEARCH("Caida",T282)))</formula>
    </cfRule>
  </conditionalFormatting>
  <conditionalFormatting sqref="T22">
    <cfRule type="containsText" dxfId="601" priority="767" operator="containsText" text="Instaladas en Funcionamiento Caida">
      <formula>NOT(ISERROR(SEARCH("Instaladas en Funcionamiento Caida",T22)))</formula>
    </cfRule>
  </conditionalFormatting>
  <conditionalFormatting sqref="T280">
    <cfRule type="cellIs" dxfId="600" priority="765" operator="lessThan">
      <formula>0.8</formula>
    </cfRule>
    <cfRule type="cellIs" dxfId="599" priority="766" operator="greaterThan">
      <formula>0.8</formula>
    </cfRule>
  </conditionalFormatting>
  <conditionalFormatting sqref="T280">
    <cfRule type="notContainsText" dxfId="598" priority="763" operator="notContains" text="Caida">
      <formula>ISERROR(SEARCH("Caida",T280))</formula>
    </cfRule>
    <cfRule type="containsText" dxfId="597" priority="764" operator="containsText" text="Caida">
      <formula>NOT(ISERROR(SEARCH("Caida",T280)))</formula>
    </cfRule>
  </conditionalFormatting>
  <conditionalFormatting sqref="T281">
    <cfRule type="cellIs" dxfId="596" priority="761" operator="lessThan">
      <formula>0.8</formula>
    </cfRule>
    <cfRule type="cellIs" dxfId="595" priority="762" operator="greaterThan">
      <formula>0.8</formula>
    </cfRule>
  </conditionalFormatting>
  <conditionalFormatting sqref="T281">
    <cfRule type="notContainsText" dxfId="594" priority="759" operator="notContains" text="Caida">
      <formula>ISERROR(SEARCH("Caida",T281))</formula>
    </cfRule>
    <cfRule type="containsText" dxfId="593" priority="760" operator="containsText" text="Caida">
      <formula>NOT(ISERROR(SEARCH("Caida",T281)))</formula>
    </cfRule>
  </conditionalFormatting>
  <conditionalFormatting sqref="T5">
    <cfRule type="cellIs" dxfId="592" priority="757" operator="lessThan">
      <formula>0.8</formula>
    </cfRule>
    <cfRule type="cellIs" dxfId="591" priority="758" operator="greaterThan">
      <formula>0.8</formula>
    </cfRule>
  </conditionalFormatting>
  <conditionalFormatting sqref="T5">
    <cfRule type="notContainsText" dxfId="590" priority="755" operator="notContains" text="Caida">
      <formula>ISERROR(SEARCH("Caida",T5))</formula>
    </cfRule>
    <cfRule type="containsText" dxfId="589" priority="756" operator="containsText" text="Caida">
      <formula>NOT(ISERROR(SEARCH("Caida",T5)))</formula>
    </cfRule>
  </conditionalFormatting>
  <conditionalFormatting sqref="T233">
    <cfRule type="cellIs" dxfId="588" priority="745" operator="lessThan">
      <formula>0.8</formula>
    </cfRule>
    <cfRule type="cellIs" dxfId="587" priority="746" operator="greaterThan">
      <formula>0.8</formula>
    </cfRule>
  </conditionalFormatting>
  <conditionalFormatting sqref="T233">
    <cfRule type="notContainsText" dxfId="586" priority="743" operator="notContains" text="Caida">
      <formula>ISERROR(SEARCH("Caida",T233))</formula>
    </cfRule>
    <cfRule type="containsText" dxfId="585" priority="744" operator="containsText" text="Caida">
      <formula>NOT(ISERROR(SEARCH("Caida",T233)))</formula>
    </cfRule>
  </conditionalFormatting>
  <conditionalFormatting sqref="T234">
    <cfRule type="cellIs" dxfId="584" priority="741" operator="lessThan">
      <formula>0.8</formula>
    </cfRule>
    <cfRule type="cellIs" dxfId="583" priority="742" operator="greaterThan">
      <formula>0.8</formula>
    </cfRule>
  </conditionalFormatting>
  <conditionalFormatting sqref="T234">
    <cfRule type="notContainsText" dxfId="582" priority="739" operator="notContains" text="Caida">
      <formula>ISERROR(SEARCH("Caida",T234))</formula>
    </cfRule>
    <cfRule type="containsText" dxfId="581" priority="740" operator="containsText" text="Caida">
      <formula>NOT(ISERROR(SEARCH("Caida",T234)))</formula>
    </cfRule>
  </conditionalFormatting>
  <conditionalFormatting sqref="T235">
    <cfRule type="cellIs" dxfId="580" priority="737" operator="lessThan">
      <formula>0.8</formula>
    </cfRule>
    <cfRule type="cellIs" dxfId="579" priority="738" operator="greaterThan">
      <formula>0.8</formula>
    </cfRule>
  </conditionalFormatting>
  <conditionalFormatting sqref="T235">
    <cfRule type="notContainsText" dxfId="578" priority="735" operator="notContains" text="Caida">
      <formula>ISERROR(SEARCH("Caida",T235))</formula>
    </cfRule>
    <cfRule type="containsText" dxfId="577" priority="736" operator="containsText" text="Caida">
      <formula>NOT(ISERROR(SEARCH("Caida",T235)))</formula>
    </cfRule>
  </conditionalFormatting>
  <conditionalFormatting sqref="T333">
    <cfRule type="cellIs" dxfId="576" priority="733" operator="lessThan">
      <formula>0.8</formula>
    </cfRule>
    <cfRule type="cellIs" dxfId="575" priority="734" operator="greaterThan">
      <formula>0.8</formula>
    </cfRule>
  </conditionalFormatting>
  <conditionalFormatting sqref="T333">
    <cfRule type="notContainsText" dxfId="574" priority="731" operator="notContains" text="Caida">
      <formula>ISERROR(SEARCH("Caida",T333))</formula>
    </cfRule>
    <cfRule type="containsText" dxfId="573" priority="732" operator="containsText" text="Caida">
      <formula>NOT(ISERROR(SEARCH("Caida",T333)))</formula>
    </cfRule>
  </conditionalFormatting>
  <conditionalFormatting sqref="T93:T95">
    <cfRule type="cellIs" dxfId="572" priority="725" operator="lessThan">
      <formula>0.8</formula>
    </cfRule>
    <cfRule type="cellIs" dxfId="571" priority="726" operator="greaterThan">
      <formula>0.8</formula>
    </cfRule>
  </conditionalFormatting>
  <conditionalFormatting sqref="T93:T95">
    <cfRule type="notContainsText" dxfId="570" priority="723" operator="notContains" text="Caida">
      <formula>ISERROR(SEARCH("Caida",T93))</formula>
    </cfRule>
    <cfRule type="containsText" dxfId="569" priority="724" operator="containsText" text="Caida">
      <formula>NOT(ISERROR(SEARCH("Caida",T93)))</formula>
    </cfRule>
  </conditionalFormatting>
  <conditionalFormatting sqref="T365">
    <cfRule type="cellIs" dxfId="568" priority="721" operator="lessThan">
      <formula>0.8</formula>
    </cfRule>
    <cfRule type="cellIs" dxfId="567" priority="722" operator="greaterThan">
      <formula>0.8</formula>
    </cfRule>
  </conditionalFormatting>
  <conditionalFormatting sqref="T365">
    <cfRule type="notContainsText" dxfId="566" priority="719" operator="notContains" text="Caida">
      <formula>ISERROR(SEARCH("Caida",T365))</formula>
    </cfRule>
    <cfRule type="containsText" dxfId="565" priority="720" operator="containsText" text="Caida">
      <formula>NOT(ISERROR(SEARCH("Caida",T365)))</formula>
    </cfRule>
  </conditionalFormatting>
  <conditionalFormatting sqref="U6:W92">
    <cfRule type="cellIs" dxfId="564" priority="705" operator="lessThan">
      <formula>0.8</formula>
    </cfRule>
    <cfRule type="cellIs" dxfId="563" priority="706" operator="greaterThan">
      <formula>0.8</formula>
    </cfRule>
  </conditionalFormatting>
  <conditionalFormatting sqref="U6:W92">
    <cfRule type="notContainsText" dxfId="562" priority="703" operator="notContains" text="Caida">
      <formula>ISERROR(SEARCH("Caida",U6))</formula>
    </cfRule>
    <cfRule type="containsText" dxfId="561" priority="704" operator="containsText" text="Caida">
      <formula>NOT(ISERROR(SEARCH("Caida",U6)))</formula>
    </cfRule>
  </conditionalFormatting>
  <conditionalFormatting sqref="U22:AG22">
    <cfRule type="containsText" dxfId="560" priority="702" operator="containsText" text="Instaladas en Funcionamiento Caida">
      <formula>NOT(ISERROR(SEARCH("Instaladas en Funcionamiento Caida",U22)))</formula>
    </cfRule>
  </conditionalFormatting>
  <conditionalFormatting sqref="U5:AG5">
    <cfRule type="cellIs" dxfId="559" priority="700" operator="lessThan">
      <formula>0.8</formula>
    </cfRule>
    <cfRule type="cellIs" dxfId="558" priority="701" operator="greaterThan">
      <formula>0.8</formula>
    </cfRule>
  </conditionalFormatting>
  <conditionalFormatting sqref="U5:AG5">
    <cfRule type="notContainsText" dxfId="557" priority="698" operator="notContains" text="Caida">
      <formula>ISERROR(SEARCH("Caida",U5))</formula>
    </cfRule>
    <cfRule type="containsText" dxfId="556" priority="699" operator="containsText" text="Caida">
      <formula>NOT(ISERROR(SEARCH("Caida",U5)))</formula>
    </cfRule>
  </conditionalFormatting>
  <conditionalFormatting sqref="U93:W95">
    <cfRule type="cellIs" dxfId="555" priority="696" operator="lessThan">
      <formula>0.8</formula>
    </cfRule>
    <cfRule type="cellIs" dxfId="554" priority="697" operator="greaterThan">
      <formula>0.8</formula>
    </cfRule>
  </conditionalFormatting>
  <conditionalFormatting sqref="U93:W95">
    <cfRule type="notContainsText" dxfId="553" priority="694" operator="notContains" text="Caida">
      <formula>ISERROR(SEARCH("Caida",U93))</formula>
    </cfRule>
    <cfRule type="containsText" dxfId="552" priority="695" operator="containsText" text="Caida">
      <formula>NOT(ISERROR(SEARCH("Caida",U93)))</formula>
    </cfRule>
  </conditionalFormatting>
  <conditionalFormatting sqref="Y371:Y1048576">
    <cfRule type="notContainsText" dxfId="551" priority="686" operator="notContains" text="Caida">
      <formula>ISERROR(SEARCH("Caida",Y371))</formula>
    </cfRule>
    <cfRule type="containsText" dxfId="550" priority="687" operator="containsText" text="Caida">
      <formula>NOT(ISERROR(SEARCH("Caida",Y371)))</formula>
    </cfRule>
  </conditionalFormatting>
  <conditionalFormatting sqref="X371:X1048576">
    <cfRule type="notContainsText" dxfId="549" priority="617" operator="notContains" text="Caida">
      <formula>ISERROR(SEARCH("Caida",X371))</formula>
    </cfRule>
    <cfRule type="containsText" dxfId="548" priority="618" operator="containsText" text="Caida">
      <formula>NOT(ISERROR(SEARCH("Caida",X371)))</formula>
    </cfRule>
  </conditionalFormatting>
  <conditionalFormatting sqref="D1:D1048576">
    <cfRule type="containsText" dxfId="547" priority="554" operator="containsText" text="fija">
      <formula>NOT(ISERROR(SEARCH("fija",D1)))</formula>
    </cfRule>
    <cfRule type="containsText" dxfId="546" priority="555" operator="containsText" text="domo">
      <formula>NOT(ISERROR(SEARCH("domo",D1)))</formula>
    </cfRule>
  </conditionalFormatting>
  <conditionalFormatting sqref="AH95:AH367">
    <cfRule type="cellIs" dxfId="545" priority="552" operator="lessThan">
      <formula>0.8</formula>
    </cfRule>
    <cfRule type="cellIs" dxfId="544" priority="553" operator="greaterThan">
      <formula>0.8</formula>
    </cfRule>
  </conditionalFormatting>
  <conditionalFormatting sqref="AH95:AH1048576">
    <cfRule type="notContainsText" dxfId="543" priority="550" operator="notContains" text="Caida">
      <formula>ISERROR(SEARCH("Caida",AH95))</formula>
    </cfRule>
    <cfRule type="containsText" dxfId="542" priority="551" operator="containsText" text="Caida">
      <formula>NOT(ISERROR(SEARCH("Caida",AH95)))</formula>
    </cfRule>
  </conditionalFormatting>
  <conditionalFormatting sqref="AH6:AH92">
    <cfRule type="cellIs" dxfId="541" priority="548" operator="lessThan">
      <formula>0.8</formula>
    </cfRule>
    <cfRule type="cellIs" dxfId="540" priority="549" operator="greaterThan">
      <formula>0.8</formula>
    </cfRule>
  </conditionalFormatting>
  <conditionalFormatting sqref="AH6:AH92">
    <cfRule type="notContainsText" dxfId="539" priority="546" operator="notContains" text="Caida">
      <formula>ISERROR(SEARCH("Caida",AH6))</formula>
    </cfRule>
    <cfRule type="containsText" dxfId="538" priority="547" operator="containsText" text="Caida">
      <formula>NOT(ISERROR(SEARCH("Caida",AH6)))</formula>
    </cfRule>
  </conditionalFormatting>
  <conditionalFormatting sqref="AH22">
    <cfRule type="containsText" dxfId="537" priority="545" operator="containsText" text="Instaladas en Funcionamiento Caida">
      <formula>NOT(ISERROR(SEARCH("Instaladas en Funcionamiento Caida",AH22)))</formula>
    </cfRule>
  </conditionalFormatting>
  <conditionalFormatting sqref="AH5">
    <cfRule type="cellIs" dxfId="536" priority="543" operator="lessThan">
      <formula>0.8</formula>
    </cfRule>
    <cfRule type="cellIs" dxfId="535" priority="544" operator="greaterThan">
      <formula>0.8</formula>
    </cfRule>
  </conditionalFormatting>
  <conditionalFormatting sqref="AH5">
    <cfRule type="notContainsText" dxfId="534" priority="541" operator="notContains" text="Caida">
      <formula>ISERROR(SEARCH("Caida",AH5))</formula>
    </cfRule>
    <cfRule type="containsText" dxfId="533" priority="542" operator="containsText" text="Caida">
      <formula>NOT(ISERROR(SEARCH("Caida",AH5)))</formula>
    </cfRule>
  </conditionalFormatting>
  <conditionalFormatting sqref="AH93:AH94">
    <cfRule type="cellIs" dxfId="532" priority="539" operator="lessThan">
      <formula>0.8</formula>
    </cfRule>
    <cfRule type="cellIs" dxfId="531" priority="540" operator="greaterThan">
      <formula>0.8</formula>
    </cfRule>
  </conditionalFormatting>
  <conditionalFormatting sqref="AH93:AH94">
    <cfRule type="notContainsText" dxfId="530" priority="537" operator="notContains" text="Caida">
      <formula>ISERROR(SEARCH("Caida",AH93))</formula>
    </cfRule>
    <cfRule type="containsText" dxfId="529" priority="538" operator="containsText" text="Caida">
      <formula>NOT(ISERROR(SEARCH("Caida",AH93)))</formula>
    </cfRule>
  </conditionalFormatting>
  <conditionalFormatting sqref="AH1 AH5:AH1048576">
    <cfRule type="cellIs" dxfId="528" priority="516" operator="equal">
      <formula>"APAGADO"</formula>
    </cfRule>
    <cfRule type="cellIs" dxfId="527" priority="536" operator="equal">
      <formula>"APAGADO"</formula>
    </cfRule>
  </conditionalFormatting>
  <conditionalFormatting sqref="AI95:AO367">
    <cfRule type="cellIs" dxfId="526" priority="534" operator="lessThan">
      <formula>0.8</formula>
    </cfRule>
    <cfRule type="cellIs" dxfId="525" priority="535" operator="greaterThan">
      <formula>0.8</formula>
    </cfRule>
  </conditionalFormatting>
  <conditionalFormatting sqref="AI95:AO1048576">
    <cfRule type="notContainsText" dxfId="524" priority="532" operator="notContains" text="Caida">
      <formula>ISERROR(SEARCH("Caida",AI95))</formula>
    </cfRule>
    <cfRule type="containsText" dxfId="523" priority="533" operator="containsText" text="Caida">
      <formula>NOT(ISERROR(SEARCH("Caida",AI95)))</formula>
    </cfRule>
  </conditionalFormatting>
  <conditionalFormatting sqref="AI6:AO92">
    <cfRule type="cellIs" dxfId="522" priority="530" operator="lessThan">
      <formula>0.8</formula>
    </cfRule>
    <cfRule type="cellIs" dxfId="521" priority="531" operator="greaterThan">
      <formula>0.8</formula>
    </cfRule>
  </conditionalFormatting>
  <conditionalFormatting sqref="AI6:AO92">
    <cfRule type="notContainsText" dxfId="520" priority="528" operator="notContains" text="Caida">
      <formula>ISERROR(SEARCH("Caida",AI6))</formula>
    </cfRule>
    <cfRule type="containsText" dxfId="519" priority="529" operator="containsText" text="Caida">
      <formula>NOT(ISERROR(SEARCH("Caida",AI6)))</formula>
    </cfRule>
  </conditionalFormatting>
  <conditionalFormatting sqref="AI22:AR22">
    <cfRule type="containsText" dxfId="518" priority="527" operator="containsText" text="Instaladas en Funcionamiento Caida">
      <formula>NOT(ISERROR(SEARCH("Instaladas en Funcionamiento Caida",AI22)))</formula>
    </cfRule>
  </conditionalFormatting>
  <conditionalFormatting sqref="AI5:AR5">
    <cfRule type="cellIs" dxfId="517" priority="525" operator="lessThan">
      <formula>0.8</formula>
    </cfRule>
    <cfRule type="cellIs" dxfId="516" priority="526" operator="greaterThan">
      <formula>0.8</formula>
    </cfRule>
  </conditionalFormatting>
  <conditionalFormatting sqref="AI5:AR5">
    <cfRule type="notContainsText" dxfId="515" priority="523" operator="notContains" text="Caida">
      <formula>ISERROR(SEARCH("Caida",AI5))</formula>
    </cfRule>
    <cfRule type="containsText" dxfId="514" priority="524" operator="containsText" text="Caida">
      <formula>NOT(ISERROR(SEARCH("Caida",AI5)))</formula>
    </cfRule>
  </conditionalFormatting>
  <conditionalFormatting sqref="AI93:AO94">
    <cfRule type="cellIs" dxfId="513" priority="521" operator="lessThan">
      <formula>0.8</formula>
    </cfRule>
    <cfRule type="cellIs" dxfId="512" priority="522" operator="greaterThan">
      <formula>0.8</formula>
    </cfRule>
  </conditionalFormatting>
  <conditionalFormatting sqref="AI93:AO94">
    <cfRule type="notContainsText" dxfId="511" priority="519" operator="notContains" text="Caida">
      <formula>ISERROR(SEARCH("Caida",AI93))</formula>
    </cfRule>
    <cfRule type="containsText" dxfId="510" priority="520" operator="containsText" text="Caida">
      <formula>NOT(ISERROR(SEARCH("Caida",AI93)))</formula>
    </cfRule>
  </conditionalFormatting>
  <conditionalFormatting sqref="AI5:AR1048576 AI1:AR1">
    <cfRule type="cellIs" dxfId="509" priority="518" operator="equal">
      <formula>"APAGADO"</formula>
    </cfRule>
  </conditionalFormatting>
  <conditionalFormatting sqref="AH249">
    <cfRule type="cellIs" dxfId="508" priority="517" operator="equal">
      <formula>"APAGADO"</formula>
    </cfRule>
  </conditionalFormatting>
  <conditionalFormatting sqref="X96:X370">
    <cfRule type="cellIs" dxfId="507" priority="514" operator="lessThan">
      <formula>0.8</formula>
    </cfRule>
    <cfRule type="cellIs" dxfId="506" priority="515" operator="greaterThan">
      <formula>0.8</formula>
    </cfRule>
  </conditionalFormatting>
  <conditionalFormatting sqref="X96:X370">
    <cfRule type="notContainsText" dxfId="505" priority="512" operator="notContains" text="Caida">
      <formula>ISERROR(SEARCH("Caida",X96))</formula>
    </cfRule>
    <cfRule type="containsText" dxfId="504" priority="513" operator="containsText" text="Caida">
      <formula>NOT(ISERROR(SEARCH("Caida",X96)))</formula>
    </cfRule>
  </conditionalFormatting>
  <conditionalFormatting sqref="X6:X92">
    <cfRule type="cellIs" dxfId="503" priority="510" operator="lessThan">
      <formula>0.8</formula>
    </cfRule>
    <cfRule type="cellIs" dxfId="502" priority="511" operator="greaterThan">
      <formula>0.8</formula>
    </cfRule>
  </conditionalFormatting>
  <conditionalFormatting sqref="X6:X92">
    <cfRule type="notContainsText" dxfId="501" priority="508" operator="notContains" text="Caida">
      <formula>ISERROR(SEARCH("Caida",X6))</formula>
    </cfRule>
    <cfRule type="containsText" dxfId="500" priority="509" operator="containsText" text="Caida">
      <formula>NOT(ISERROR(SEARCH("Caida",X6)))</formula>
    </cfRule>
  </conditionalFormatting>
  <conditionalFormatting sqref="X93:X95">
    <cfRule type="cellIs" dxfId="499" priority="506" operator="lessThan">
      <formula>0.8</formula>
    </cfRule>
    <cfRule type="cellIs" dxfId="498" priority="507" operator="greaterThan">
      <formula>0.8</formula>
    </cfRule>
  </conditionalFormatting>
  <conditionalFormatting sqref="X93:X95">
    <cfRule type="notContainsText" dxfId="497" priority="504" operator="notContains" text="Caida">
      <formula>ISERROR(SEARCH("Caida",X93))</formula>
    </cfRule>
    <cfRule type="containsText" dxfId="496" priority="505" operator="containsText" text="Caida">
      <formula>NOT(ISERROR(SEARCH("Caida",X93)))</formula>
    </cfRule>
  </conditionalFormatting>
  <conditionalFormatting sqref="R6:R92 R236:R279 R96:R230">
    <cfRule type="cellIs" dxfId="495" priority="502" operator="lessThan">
      <formula>0.8</formula>
    </cfRule>
    <cfRule type="cellIs" dxfId="494" priority="503" operator="greaterThan">
      <formula>0.8</formula>
    </cfRule>
  </conditionalFormatting>
  <conditionalFormatting sqref="R6:R92 R236:R279 R96:R230">
    <cfRule type="notContainsText" dxfId="493" priority="500" operator="notContains" text="Caida">
      <formula>ISERROR(SEARCH("Caida",R6))</formula>
    </cfRule>
    <cfRule type="containsText" dxfId="492" priority="501" operator="containsText" text="Caida">
      <formula>NOT(ISERROR(SEARCH("Caida",R6)))</formula>
    </cfRule>
  </conditionalFormatting>
  <conditionalFormatting sqref="R335:R364 R282:R332">
    <cfRule type="cellIs" dxfId="491" priority="498" operator="lessThan">
      <formula>0.8</formula>
    </cfRule>
    <cfRule type="cellIs" dxfId="490" priority="499" operator="greaterThan">
      <formula>0.8</formula>
    </cfRule>
  </conditionalFormatting>
  <conditionalFormatting sqref="R335:R364 R282:R332">
    <cfRule type="notContainsText" dxfId="489" priority="496" operator="notContains" text="Caida">
      <formula>ISERROR(SEARCH("Caida",R282))</formula>
    </cfRule>
    <cfRule type="containsText" dxfId="488" priority="497" operator="containsText" text="Caida">
      <formula>NOT(ISERROR(SEARCH("Caida",R282)))</formula>
    </cfRule>
  </conditionalFormatting>
  <conditionalFormatting sqref="R93:R95">
    <cfRule type="cellIs" dxfId="487" priority="494" operator="lessThan">
      <formula>0.8</formula>
    </cfRule>
    <cfRule type="cellIs" dxfId="486" priority="495" operator="greaterThan">
      <formula>0.8</formula>
    </cfRule>
  </conditionalFormatting>
  <conditionalFormatting sqref="R93:R95">
    <cfRule type="notContainsText" dxfId="485" priority="492" operator="notContains" text="Caida">
      <formula>ISERROR(SEARCH("Caida",R93))</formula>
    </cfRule>
    <cfRule type="containsText" dxfId="484" priority="493" operator="containsText" text="Caida">
      <formula>NOT(ISERROR(SEARCH("Caida",R93)))</formula>
    </cfRule>
  </conditionalFormatting>
  <conditionalFormatting sqref="S6:S92 S236:S279 S96:S230">
    <cfRule type="cellIs" dxfId="483" priority="490" operator="lessThan">
      <formula>0.8</formula>
    </cfRule>
    <cfRule type="cellIs" dxfId="482" priority="491" operator="greaterThan">
      <formula>0.8</formula>
    </cfRule>
  </conditionalFormatting>
  <conditionalFormatting sqref="S6:S92 S236:S279 S96:S230">
    <cfRule type="notContainsText" dxfId="481" priority="488" operator="notContains" text="Caida">
      <formula>ISERROR(SEARCH("Caida",S6))</formula>
    </cfRule>
    <cfRule type="containsText" dxfId="480" priority="489" operator="containsText" text="Caida">
      <formula>NOT(ISERROR(SEARCH("Caida",S6)))</formula>
    </cfRule>
  </conditionalFormatting>
  <conditionalFormatting sqref="S335:S364 S282:S332">
    <cfRule type="cellIs" dxfId="479" priority="486" operator="lessThan">
      <formula>0.8</formula>
    </cfRule>
    <cfRule type="cellIs" dxfId="478" priority="487" operator="greaterThan">
      <formula>0.8</formula>
    </cfRule>
  </conditionalFormatting>
  <conditionalFormatting sqref="S335:S364 S282:S332">
    <cfRule type="notContainsText" dxfId="477" priority="484" operator="notContains" text="Caida">
      <formula>ISERROR(SEARCH("Caida",S282))</formula>
    </cfRule>
    <cfRule type="containsText" dxfId="476" priority="485" operator="containsText" text="Caida">
      <formula>NOT(ISERROR(SEARCH("Caida",S282)))</formula>
    </cfRule>
  </conditionalFormatting>
  <conditionalFormatting sqref="S93:S95">
    <cfRule type="cellIs" dxfId="475" priority="482" operator="lessThan">
      <formula>0.8</formula>
    </cfRule>
    <cfRule type="cellIs" dxfId="474" priority="483" operator="greaterThan">
      <formula>0.8</formula>
    </cfRule>
  </conditionalFormatting>
  <conditionalFormatting sqref="S93:S95">
    <cfRule type="notContainsText" dxfId="473" priority="480" operator="notContains" text="Caida">
      <formula>ISERROR(SEARCH("Caida",S93))</formula>
    </cfRule>
    <cfRule type="containsText" dxfId="472" priority="481" operator="containsText" text="Caida">
      <formula>NOT(ISERROR(SEARCH("Caida",S93)))</formula>
    </cfRule>
  </conditionalFormatting>
  <conditionalFormatting sqref="Y96:Y370">
    <cfRule type="cellIs" dxfId="471" priority="478" operator="lessThan">
      <formula>0.8</formula>
    </cfRule>
    <cfRule type="cellIs" dxfId="470" priority="479" operator="greaterThan">
      <formula>0.8</formula>
    </cfRule>
  </conditionalFormatting>
  <conditionalFormatting sqref="Y96:Y370">
    <cfRule type="notContainsText" dxfId="469" priority="476" operator="notContains" text="Caida">
      <formula>ISERROR(SEARCH("Caida",Y96))</formula>
    </cfRule>
    <cfRule type="containsText" dxfId="468" priority="477" operator="containsText" text="Caida">
      <formula>NOT(ISERROR(SEARCH("Caida",Y96)))</formula>
    </cfRule>
  </conditionalFormatting>
  <conditionalFormatting sqref="Y6:Y92">
    <cfRule type="cellIs" dxfId="467" priority="474" operator="lessThan">
      <formula>0.8</formula>
    </cfRule>
    <cfRule type="cellIs" dxfId="466" priority="475" operator="greaterThan">
      <formula>0.8</formula>
    </cfRule>
  </conditionalFormatting>
  <conditionalFormatting sqref="Y6:Y92">
    <cfRule type="notContainsText" dxfId="465" priority="472" operator="notContains" text="Caida">
      <formula>ISERROR(SEARCH("Caida",Y6))</formula>
    </cfRule>
    <cfRule type="containsText" dxfId="464" priority="473" operator="containsText" text="Caida">
      <formula>NOT(ISERROR(SEARCH("Caida",Y6)))</formula>
    </cfRule>
  </conditionalFormatting>
  <conditionalFormatting sqref="Y93:Y95">
    <cfRule type="cellIs" dxfId="463" priority="470" operator="lessThan">
      <formula>0.8</formula>
    </cfRule>
    <cfRule type="cellIs" dxfId="462" priority="471" operator="greaterThan">
      <formula>0.8</formula>
    </cfRule>
  </conditionalFormatting>
  <conditionalFormatting sqref="Y93:Y95">
    <cfRule type="notContainsText" dxfId="461" priority="468" operator="notContains" text="Caida">
      <formula>ISERROR(SEARCH("Caida",Y93))</formula>
    </cfRule>
    <cfRule type="containsText" dxfId="460" priority="469" operator="containsText" text="Caida">
      <formula>NOT(ISERROR(SEARCH("Caida",Y93)))</formula>
    </cfRule>
  </conditionalFormatting>
  <conditionalFormatting sqref="Z96:Z370">
    <cfRule type="cellIs" dxfId="459" priority="466" operator="lessThan">
      <formula>0.8</formula>
    </cfRule>
    <cfRule type="cellIs" dxfId="458" priority="467" operator="greaterThan">
      <formula>0.8</formula>
    </cfRule>
  </conditionalFormatting>
  <conditionalFormatting sqref="Z96:Z370">
    <cfRule type="notContainsText" dxfId="457" priority="464" operator="notContains" text="Caida">
      <formula>ISERROR(SEARCH("Caida",Z96))</formula>
    </cfRule>
    <cfRule type="containsText" dxfId="456" priority="465" operator="containsText" text="Caida">
      <formula>NOT(ISERROR(SEARCH("Caida",Z96)))</formula>
    </cfRule>
  </conditionalFormatting>
  <conditionalFormatting sqref="Z6:Z92">
    <cfRule type="cellIs" dxfId="455" priority="462" operator="lessThan">
      <formula>0.8</formula>
    </cfRule>
    <cfRule type="cellIs" dxfId="454" priority="463" operator="greaterThan">
      <formula>0.8</formula>
    </cfRule>
  </conditionalFormatting>
  <conditionalFormatting sqref="Z6:Z92">
    <cfRule type="notContainsText" dxfId="453" priority="460" operator="notContains" text="Caida">
      <formula>ISERROR(SEARCH("Caida",Z6))</formula>
    </cfRule>
    <cfRule type="containsText" dxfId="452" priority="461" operator="containsText" text="Caida">
      <formula>NOT(ISERROR(SEARCH("Caida",Z6)))</formula>
    </cfRule>
  </conditionalFormatting>
  <conditionalFormatting sqref="Z93:Z95">
    <cfRule type="cellIs" dxfId="451" priority="458" operator="lessThan">
      <formula>0.8</formula>
    </cfRule>
    <cfRule type="cellIs" dxfId="450" priority="459" operator="greaterThan">
      <formula>0.8</formula>
    </cfRule>
  </conditionalFormatting>
  <conditionalFormatting sqref="Z93:Z95">
    <cfRule type="notContainsText" dxfId="449" priority="456" operator="notContains" text="Caida">
      <formula>ISERROR(SEARCH("Caida",Z93))</formula>
    </cfRule>
    <cfRule type="containsText" dxfId="448" priority="457" operator="containsText" text="Caida">
      <formula>NOT(ISERROR(SEARCH("Caida",Z93)))</formula>
    </cfRule>
  </conditionalFormatting>
  <conditionalFormatting sqref="AA371:AA1048576">
    <cfRule type="notContainsText" dxfId="447" priority="454" operator="notContains" text="Caida">
      <formula>ISERROR(SEARCH("Caida",AA371))</formula>
    </cfRule>
    <cfRule type="containsText" dxfId="446" priority="455" operator="containsText" text="Caida">
      <formula>NOT(ISERROR(SEARCH("Caida",AA371)))</formula>
    </cfRule>
  </conditionalFormatting>
  <conditionalFormatting sqref="AA96:AA107 AA109:AA370">
    <cfRule type="cellIs" dxfId="445" priority="452" operator="lessThan">
      <formula>0.8</formula>
    </cfRule>
    <cfRule type="cellIs" dxfId="444" priority="453" operator="greaterThan">
      <formula>0.8</formula>
    </cfRule>
  </conditionalFormatting>
  <conditionalFormatting sqref="AA96:AA107 AA109:AA370">
    <cfRule type="notContainsText" dxfId="443" priority="450" operator="notContains" text="Caida">
      <formula>ISERROR(SEARCH("Caida",AA96))</formula>
    </cfRule>
    <cfRule type="containsText" dxfId="442" priority="451" operator="containsText" text="Caida">
      <formula>NOT(ISERROR(SEARCH("Caida",AA96)))</formula>
    </cfRule>
  </conditionalFormatting>
  <conditionalFormatting sqref="AA6:AA92">
    <cfRule type="cellIs" dxfId="441" priority="448" operator="lessThan">
      <formula>0.8</formula>
    </cfRule>
    <cfRule type="cellIs" dxfId="440" priority="449" operator="greaterThan">
      <formula>0.8</formula>
    </cfRule>
  </conditionalFormatting>
  <conditionalFormatting sqref="AA6:AA92">
    <cfRule type="notContainsText" dxfId="439" priority="446" operator="notContains" text="Caida">
      <formula>ISERROR(SEARCH("Caida",AA6))</formula>
    </cfRule>
    <cfRule type="containsText" dxfId="438" priority="447" operator="containsText" text="Caida">
      <formula>NOT(ISERROR(SEARCH("Caida",AA6)))</formula>
    </cfRule>
  </conditionalFormatting>
  <conditionalFormatting sqref="AA93:AA95">
    <cfRule type="cellIs" dxfId="437" priority="444" operator="lessThan">
      <formula>0.8</formula>
    </cfRule>
    <cfRule type="cellIs" dxfId="436" priority="445" operator="greaterThan">
      <formula>0.8</formula>
    </cfRule>
  </conditionalFormatting>
  <conditionalFormatting sqref="AA93:AA95">
    <cfRule type="notContainsText" dxfId="435" priority="442" operator="notContains" text="Caida">
      <formula>ISERROR(SEARCH("Caida",AA93))</formula>
    </cfRule>
    <cfRule type="containsText" dxfId="434" priority="443" operator="containsText" text="Caida">
      <formula>NOT(ISERROR(SEARCH("Caida",AA93)))</formula>
    </cfRule>
  </conditionalFormatting>
  <conditionalFormatting sqref="AA108:AD108">
    <cfRule type="cellIs" dxfId="433" priority="440" operator="lessThan">
      <formula>0.8</formula>
    </cfRule>
    <cfRule type="cellIs" dxfId="432" priority="441" operator="greaterThan">
      <formula>0.8</formula>
    </cfRule>
  </conditionalFormatting>
  <conditionalFormatting sqref="AA108:AD108">
    <cfRule type="notContainsText" dxfId="431" priority="438" operator="notContains" text="Caida">
      <formula>ISERROR(SEARCH("Caida",AA108))</formula>
    </cfRule>
    <cfRule type="containsText" dxfId="430" priority="439" operator="containsText" text="Caida">
      <formula>NOT(ISERROR(SEARCH("Caida",AA108)))</formula>
    </cfRule>
  </conditionalFormatting>
  <conditionalFormatting sqref="AB371:AG1048576">
    <cfRule type="notContainsText" dxfId="429" priority="422" operator="notContains" text="Caida">
      <formula>ISERROR(SEARCH("Caida",AB371))</formula>
    </cfRule>
    <cfRule type="containsText" dxfId="428" priority="423" operator="containsText" text="Caida">
      <formula>NOT(ISERROR(SEARCH("Caida",AB371)))</formula>
    </cfRule>
  </conditionalFormatting>
  <conditionalFormatting sqref="AB106:AD107 AB109:AD109 AB115:AD116 AB120:AD123 AB133:AD133 AB137:AD137 AB149:AD151 AB159:AD159 AB169:AD169 AB171:AD171 AB173:AD173 AB193:AD194 AB230:AD230 AB238:AD240 AB249:AD252 AB259:AD259 AB271:AD272 AB291:AD291 AB319:AD320 AB331:AD331 AB345:AD349 AB367:AD367 AB197:AD198 AB206:AD206 AB204:AD204 AB96:AG105 AB110:AG114 AB117:AG119 AB124:AG132 AB134:AG136 AB138:AG148 AB152:AG158 AB160:AG168 AB170:AG170 AB172:AG172 AB174:AG192 AB195:AG196 AB231:AG237 AB241:AG248 AB253:AG258 AB260:AG270 AB273:AG290 AB292:AG318 AB321:AG330 AB332:AG344 AB350:AG366 AB368:AG368 AB199:AG203 AB207:AG229 AB205:AG205">
    <cfRule type="cellIs" dxfId="427" priority="420" operator="lessThan">
      <formula>0.8</formula>
    </cfRule>
    <cfRule type="cellIs" dxfId="426" priority="421" operator="greaterThan">
      <formula>0.8</formula>
    </cfRule>
  </conditionalFormatting>
  <conditionalFormatting sqref="AB106:AD107 AB109:AD109 AB115:AD116 AB120:AD123 AB133:AD133 AB137:AD137 AB149:AD151 AB159:AD159 AB169:AD169 AB171:AD171 AB173:AD173 AB193:AD194 AB230:AD230 AB238:AD240 AB249:AD252 AB259:AD259 AB271:AD272 AB291:AD291 AB319:AD320 AB331:AD331 AB345:AD349 AB367:AD367 AB197:AD198 AB206:AD206 AB204:AD204 AB96:AG105 AB110:AG114 AB117:AG119 AB124:AG132 AB134:AG136 AB138:AG148 AB152:AG158 AB160:AG168 AB170:AG170 AB172:AG172 AB174:AG192 AB195:AG196 AB231:AG237 AB241:AG248 AB253:AG258 AB260:AG270 AB273:AG290 AB292:AG318 AB321:AG330 AB332:AG344 AB350:AG366 AB368:AG368 AB199:AG203 AB207:AG229 AB205:AG205">
    <cfRule type="notContainsText" dxfId="425" priority="418" operator="notContains" text="Caida">
      <formula>ISERROR(SEARCH("Caida",AB96))</formula>
    </cfRule>
    <cfRule type="containsText" dxfId="424" priority="419" operator="containsText" text="Caida">
      <formula>NOT(ISERROR(SEARCH("Caida",AB96)))</formula>
    </cfRule>
  </conditionalFormatting>
  <conditionalFormatting sqref="AB6:AG92">
    <cfRule type="cellIs" dxfId="423" priority="416" operator="lessThan">
      <formula>0.8</formula>
    </cfRule>
    <cfRule type="cellIs" dxfId="422" priority="417" operator="greaterThan">
      <formula>0.8</formula>
    </cfRule>
  </conditionalFormatting>
  <conditionalFormatting sqref="AB6:AG92">
    <cfRule type="notContainsText" dxfId="421" priority="414" operator="notContains" text="Caida">
      <formula>ISERROR(SEARCH("Caida",AB6))</formula>
    </cfRule>
    <cfRule type="containsText" dxfId="420" priority="415" operator="containsText" text="Caida">
      <formula>NOT(ISERROR(SEARCH("Caida",AB6)))</formula>
    </cfRule>
  </conditionalFormatting>
  <conditionalFormatting sqref="AB93:AG95">
    <cfRule type="cellIs" dxfId="419" priority="412" operator="lessThan">
      <formula>0.8</formula>
    </cfRule>
    <cfRule type="cellIs" dxfId="418" priority="413" operator="greaterThan">
      <formula>0.8</formula>
    </cfRule>
  </conditionalFormatting>
  <conditionalFormatting sqref="AB93:AG95">
    <cfRule type="notContainsText" dxfId="417" priority="410" operator="notContains" text="Caida">
      <formula>ISERROR(SEARCH("Caida",AB93))</formula>
    </cfRule>
    <cfRule type="containsText" dxfId="416" priority="411" operator="containsText" text="Caida">
      <formula>NOT(ISERROR(SEARCH("Caida",AB93)))</formula>
    </cfRule>
  </conditionalFormatting>
  <conditionalFormatting sqref="E1:E1048576">
    <cfRule type="cellIs" dxfId="415" priority="409" operator="equal">
      <formula>"PTP A FO"</formula>
    </cfRule>
  </conditionalFormatting>
  <conditionalFormatting sqref="AE106:AG106">
    <cfRule type="cellIs" dxfId="414" priority="407" operator="lessThan">
      <formula>0.8</formula>
    </cfRule>
    <cfRule type="cellIs" dxfId="413" priority="408" operator="greaterThan">
      <formula>0.8</formula>
    </cfRule>
  </conditionalFormatting>
  <conditionalFormatting sqref="AE106:AG106">
    <cfRule type="notContainsText" dxfId="412" priority="405" operator="notContains" text="Caida">
      <formula>ISERROR(SEARCH("Caida",AE106))</formula>
    </cfRule>
    <cfRule type="containsText" dxfId="411" priority="406" operator="containsText" text="Caida">
      <formula>NOT(ISERROR(SEARCH("Caida",AE106)))</formula>
    </cfRule>
  </conditionalFormatting>
  <conditionalFormatting sqref="AE107:AG107">
    <cfRule type="cellIs" dxfId="410" priority="403" operator="lessThan">
      <formula>0.8</formula>
    </cfRule>
    <cfRule type="cellIs" dxfId="409" priority="404" operator="greaterThan">
      <formula>0.8</formula>
    </cfRule>
  </conditionalFormatting>
  <conditionalFormatting sqref="AE107:AG107">
    <cfRule type="notContainsText" dxfId="408" priority="401" operator="notContains" text="Caida">
      <formula>ISERROR(SEARCH("Caida",AE107))</formula>
    </cfRule>
    <cfRule type="containsText" dxfId="407" priority="402" operator="containsText" text="Caida">
      <formula>NOT(ISERROR(SEARCH("Caida",AE107)))</formula>
    </cfRule>
  </conditionalFormatting>
  <conditionalFormatting sqref="AE108:AG108">
    <cfRule type="cellIs" dxfId="406" priority="399" operator="lessThan">
      <formula>0.8</formula>
    </cfRule>
    <cfRule type="cellIs" dxfId="405" priority="400" operator="greaterThan">
      <formula>0.8</formula>
    </cfRule>
  </conditionalFormatting>
  <conditionalFormatting sqref="AE108:AG108">
    <cfRule type="notContainsText" dxfId="404" priority="397" operator="notContains" text="Caida">
      <formula>ISERROR(SEARCH("Caida",AE108))</formula>
    </cfRule>
    <cfRule type="containsText" dxfId="403" priority="398" operator="containsText" text="Caida">
      <formula>NOT(ISERROR(SEARCH("Caida",AE108)))</formula>
    </cfRule>
  </conditionalFormatting>
  <conditionalFormatting sqref="AE109:AG109">
    <cfRule type="cellIs" dxfId="402" priority="395" operator="lessThan">
      <formula>0.8</formula>
    </cfRule>
    <cfRule type="cellIs" dxfId="401" priority="396" operator="greaterThan">
      <formula>0.8</formula>
    </cfRule>
  </conditionalFormatting>
  <conditionalFormatting sqref="AE109:AG109">
    <cfRule type="notContainsText" dxfId="400" priority="393" operator="notContains" text="Caida">
      <formula>ISERROR(SEARCH("Caida",AE109))</formula>
    </cfRule>
    <cfRule type="containsText" dxfId="399" priority="394" operator="containsText" text="Caida">
      <formula>NOT(ISERROR(SEARCH("Caida",AE109)))</formula>
    </cfRule>
  </conditionalFormatting>
  <conditionalFormatting sqref="AE115:AG115">
    <cfRule type="cellIs" dxfId="398" priority="391" operator="lessThan">
      <formula>0.8</formula>
    </cfRule>
    <cfRule type="cellIs" dxfId="397" priority="392" operator="greaterThan">
      <formula>0.8</formula>
    </cfRule>
  </conditionalFormatting>
  <conditionalFormatting sqref="AE115:AG115">
    <cfRule type="notContainsText" dxfId="396" priority="389" operator="notContains" text="Caida">
      <formula>ISERROR(SEARCH("Caida",AE115))</formula>
    </cfRule>
    <cfRule type="containsText" dxfId="395" priority="390" operator="containsText" text="Caida">
      <formula>NOT(ISERROR(SEARCH("Caida",AE115)))</formula>
    </cfRule>
  </conditionalFormatting>
  <conditionalFormatting sqref="AE116:AG116">
    <cfRule type="cellIs" dxfId="394" priority="387" operator="lessThan">
      <formula>0.8</formula>
    </cfRule>
    <cfRule type="cellIs" dxfId="393" priority="388" operator="greaterThan">
      <formula>0.8</formula>
    </cfRule>
  </conditionalFormatting>
  <conditionalFormatting sqref="AE116:AG116">
    <cfRule type="notContainsText" dxfId="392" priority="385" operator="notContains" text="Caida">
      <formula>ISERROR(SEARCH("Caida",AE116))</formula>
    </cfRule>
    <cfRule type="containsText" dxfId="391" priority="386" operator="containsText" text="Caida">
      <formula>NOT(ISERROR(SEARCH("Caida",AE116)))</formula>
    </cfRule>
  </conditionalFormatting>
  <conditionalFormatting sqref="AE120:AG120">
    <cfRule type="cellIs" dxfId="390" priority="383" operator="lessThan">
      <formula>0.8</formula>
    </cfRule>
    <cfRule type="cellIs" dxfId="389" priority="384" operator="greaterThan">
      <formula>0.8</formula>
    </cfRule>
  </conditionalFormatting>
  <conditionalFormatting sqref="AE120:AG120">
    <cfRule type="notContainsText" dxfId="388" priority="381" operator="notContains" text="Caida">
      <formula>ISERROR(SEARCH("Caida",AE120))</formula>
    </cfRule>
    <cfRule type="containsText" dxfId="387" priority="382" operator="containsText" text="Caida">
      <formula>NOT(ISERROR(SEARCH("Caida",AE120)))</formula>
    </cfRule>
  </conditionalFormatting>
  <conditionalFormatting sqref="AE121:AG121">
    <cfRule type="cellIs" dxfId="386" priority="379" operator="lessThan">
      <formula>0.8</formula>
    </cfRule>
    <cfRule type="cellIs" dxfId="385" priority="380" operator="greaterThan">
      <formula>0.8</formula>
    </cfRule>
  </conditionalFormatting>
  <conditionalFormatting sqref="AE121:AG121">
    <cfRule type="notContainsText" dxfId="384" priority="377" operator="notContains" text="Caida">
      <formula>ISERROR(SEARCH("Caida",AE121))</formula>
    </cfRule>
    <cfRule type="containsText" dxfId="383" priority="378" operator="containsText" text="Caida">
      <formula>NOT(ISERROR(SEARCH("Caida",AE121)))</formula>
    </cfRule>
  </conditionalFormatting>
  <conditionalFormatting sqref="AE122:AG122">
    <cfRule type="cellIs" dxfId="382" priority="375" operator="lessThan">
      <formula>0.8</formula>
    </cfRule>
    <cfRule type="cellIs" dxfId="381" priority="376" operator="greaterThan">
      <formula>0.8</formula>
    </cfRule>
  </conditionalFormatting>
  <conditionalFormatting sqref="AE122:AG122">
    <cfRule type="notContainsText" dxfId="380" priority="373" operator="notContains" text="Caida">
      <formula>ISERROR(SEARCH("Caida",AE122))</formula>
    </cfRule>
    <cfRule type="containsText" dxfId="379" priority="374" operator="containsText" text="Caida">
      <formula>NOT(ISERROR(SEARCH("Caida",AE122)))</formula>
    </cfRule>
  </conditionalFormatting>
  <conditionalFormatting sqref="AE123:AG123">
    <cfRule type="cellIs" dxfId="378" priority="371" operator="lessThan">
      <formula>0.8</formula>
    </cfRule>
    <cfRule type="cellIs" dxfId="377" priority="372" operator="greaterThan">
      <formula>0.8</formula>
    </cfRule>
  </conditionalFormatting>
  <conditionalFormatting sqref="AE123:AG123">
    <cfRule type="notContainsText" dxfId="376" priority="369" operator="notContains" text="Caida">
      <formula>ISERROR(SEARCH("Caida",AE123))</formula>
    </cfRule>
    <cfRule type="containsText" dxfId="375" priority="370" operator="containsText" text="Caida">
      <formula>NOT(ISERROR(SEARCH("Caida",AE123)))</formula>
    </cfRule>
  </conditionalFormatting>
  <conditionalFormatting sqref="AE133:AG133">
    <cfRule type="cellIs" dxfId="374" priority="367" operator="lessThan">
      <formula>0.8</formula>
    </cfRule>
    <cfRule type="cellIs" dxfId="373" priority="368" operator="greaterThan">
      <formula>0.8</formula>
    </cfRule>
  </conditionalFormatting>
  <conditionalFormatting sqref="AE133:AG133">
    <cfRule type="notContainsText" dxfId="372" priority="365" operator="notContains" text="Caida">
      <formula>ISERROR(SEARCH("Caida",AE133))</formula>
    </cfRule>
    <cfRule type="containsText" dxfId="371" priority="366" operator="containsText" text="Caida">
      <formula>NOT(ISERROR(SEARCH("Caida",AE133)))</formula>
    </cfRule>
  </conditionalFormatting>
  <conditionalFormatting sqref="AE137:AG137">
    <cfRule type="cellIs" dxfId="370" priority="363" operator="lessThan">
      <formula>0.8</formula>
    </cfRule>
    <cfRule type="cellIs" dxfId="369" priority="364" operator="greaterThan">
      <formula>0.8</formula>
    </cfRule>
  </conditionalFormatting>
  <conditionalFormatting sqref="AE137:AG137">
    <cfRule type="notContainsText" dxfId="368" priority="361" operator="notContains" text="Caida">
      <formula>ISERROR(SEARCH("Caida",AE137))</formula>
    </cfRule>
    <cfRule type="containsText" dxfId="367" priority="362" operator="containsText" text="Caida">
      <formula>NOT(ISERROR(SEARCH("Caida",AE137)))</formula>
    </cfRule>
  </conditionalFormatting>
  <conditionalFormatting sqref="AE149:AG149">
    <cfRule type="cellIs" dxfId="366" priority="359" operator="lessThan">
      <formula>0.8</formula>
    </cfRule>
    <cfRule type="cellIs" dxfId="365" priority="360" operator="greaterThan">
      <formula>0.8</formula>
    </cfRule>
  </conditionalFormatting>
  <conditionalFormatting sqref="AE149:AG149">
    <cfRule type="notContainsText" dxfId="364" priority="357" operator="notContains" text="Caida">
      <formula>ISERROR(SEARCH("Caida",AE149))</formula>
    </cfRule>
    <cfRule type="containsText" dxfId="363" priority="358" operator="containsText" text="Caida">
      <formula>NOT(ISERROR(SEARCH("Caida",AE149)))</formula>
    </cfRule>
  </conditionalFormatting>
  <conditionalFormatting sqref="AE150:AG150">
    <cfRule type="cellIs" dxfId="362" priority="355" operator="lessThan">
      <formula>0.8</formula>
    </cfRule>
    <cfRule type="cellIs" dxfId="361" priority="356" operator="greaterThan">
      <formula>0.8</formula>
    </cfRule>
  </conditionalFormatting>
  <conditionalFormatting sqref="AE150:AG150">
    <cfRule type="notContainsText" dxfId="360" priority="353" operator="notContains" text="Caida">
      <formula>ISERROR(SEARCH("Caida",AE150))</formula>
    </cfRule>
    <cfRule type="containsText" dxfId="359" priority="354" operator="containsText" text="Caida">
      <formula>NOT(ISERROR(SEARCH("Caida",AE150)))</formula>
    </cfRule>
  </conditionalFormatting>
  <conditionalFormatting sqref="AE151:AG151">
    <cfRule type="cellIs" dxfId="358" priority="351" operator="lessThan">
      <formula>0.8</formula>
    </cfRule>
    <cfRule type="cellIs" dxfId="357" priority="352" operator="greaterThan">
      <formula>0.8</formula>
    </cfRule>
  </conditionalFormatting>
  <conditionalFormatting sqref="AE151:AG151">
    <cfRule type="notContainsText" dxfId="356" priority="349" operator="notContains" text="Caida">
      <formula>ISERROR(SEARCH("Caida",AE151))</formula>
    </cfRule>
    <cfRule type="containsText" dxfId="355" priority="350" operator="containsText" text="Caida">
      <formula>NOT(ISERROR(SEARCH("Caida",AE151)))</formula>
    </cfRule>
  </conditionalFormatting>
  <conditionalFormatting sqref="AE159:AG159">
    <cfRule type="cellIs" dxfId="354" priority="347" operator="lessThan">
      <formula>0.8</formula>
    </cfRule>
    <cfRule type="cellIs" dxfId="353" priority="348" operator="greaterThan">
      <formula>0.8</formula>
    </cfRule>
  </conditionalFormatting>
  <conditionalFormatting sqref="AE159:AG159">
    <cfRule type="notContainsText" dxfId="352" priority="345" operator="notContains" text="Caida">
      <formula>ISERROR(SEARCH("Caida",AE159))</formula>
    </cfRule>
    <cfRule type="containsText" dxfId="351" priority="346" operator="containsText" text="Caida">
      <formula>NOT(ISERROR(SEARCH("Caida",AE159)))</formula>
    </cfRule>
  </conditionalFormatting>
  <conditionalFormatting sqref="AE169:AG169">
    <cfRule type="cellIs" dxfId="350" priority="343" operator="lessThan">
      <formula>0.8</formula>
    </cfRule>
    <cfRule type="cellIs" dxfId="349" priority="344" operator="greaterThan">
      <formula>0.8</formula>
    </cfRule>
  </conditionalFormatting>
  <conditionalFormatting sqref="AE169:AG169">
    <cfRule type="notContainsText" dxfId="348" priority="341" operator="notContains" text="Caida">
      <formula>ISERROR(SEARCH("Caida",AE169))</formula>
    </cfRule>
    <cfRule type="containsText" dxfId="347" priority="342" operator="containsText" text="Caida">
      <formula>NOT(ISERROR(SEARCH("Caida",AE169)))</formula>
    </cfRule>
  </conditionalFormatting>
  <conditionalFormatting sqref="AE171:AG171">
    <cfRule type="cellIs" dxfId="346" priority="339" operator="lessThan">
      <formula>0.8</formula>
    </cfRule>
    <cfRule type="cellIs" dxfId="345" priority="340" operator="greaterThan">
      <formula>0.8</formula>
    </cfRule>
  </conditionalFormatting>
  <conditionalFormatting sqref="AE171:AG171">
    <cfRule type="notContainsText" dxfId="344" priority="337" operator="notContains" text="Caida">
      <formula>ISERROR(SEARCH("Caida",AE171))</formula>
    </cfRule>
    <cfRule type="containsText" dxfId="343" priority="338" operator="containsText" text="Caida">
      <formula>NOT(ISERROR(SEARCH("Caida",AE171)))</formula>
    </cfRule>
  </conditionalFormatting>
  <conditionalFormatting sqref="AE173:AG173">
    <cfRule type="cellIs" dxfId="342" priority="335" operator="lessThan">
      <formula>0.8</formula>
    </cfRule>
    <cfRule type="cellIs" dxfId="341" priority="336" operator="greaterThan">
      <formula>0.8</formula>
    </cfRule>
  </conditionalFormatting>
  <conditionalFormatting sqref="AE173:AG173">
    <cfRule type="notContainsText" dxfId="340" priority="333" operator="notContains" text="Caida">
      <formula>ISERROR(SEARCH("Caida",AE173))</formula>
    </cfRule>
    <cfRule type="containsText" dxfId="339" priority="334" operator="containsText" text="Caida">
      <formula>NOT(ISERROR(SEARCH("Caida",AE173)))</formula>
    </cfRule>
  </conditionalFormatting>
  <conditionalFormatting sqref="AE193:AG193">
    <cfRule type="cellIs" dxfId="338" priority="331" operator="lessThan">
      <formula>0.8</formula>
    </cfRule>
    <cfRule type="cellIs" dxfId="337" priority="332" operator="greaterThan">
      <formula>0.8</formula>
    </cfRule>
  </conditionalFormatting>
  <conditionalFormatting sqref="AE193:AG193">
    <cfRule type="notContainsText" dxfId="336" priority="329" operator="notContains" text="Caida">
      <formula>ISERROR(SEARCH("Caida",AE193))</formula>
    </cfRule>
    <cfRule type="containsText" dxfId="335" priority="330" operator="containsText" text="Caida">
      <formula>NOT(ISERROR(SEARCH("Caida",AE193)))</formula>
    </cfRule>
  </conditionalFormatting>
  <conditionalFormatting sqref="AE194:AG194">
    <cfRule type="cellIs" dxfId="334" priority="327" operator="lessThan">
      <formula>0.8</formula>
    </cfRule>
    <cfRule type="cellIs" dxfId="333" priority="328" operator="greaterThan">
      <formula>0.8</formula>
    </cfRule>
  </conditionalFormatting>
  <conditionalFormatting sqref="AE194:AG194">
    <cfRule type="notContainsText" dxfId="332" priority="325" operator="notContains" text="Caida">
      <formula>ISERROR(SEARCH("Caida",AE194))</formula>
    </cfRule>
    <cfRule type="containsText" dxfId="331" priority="326" operator="containsText" text="Caida">
      <formula>NOT(ISERROR(SEARCH("Caida",AE194)))</formula>
    </cfRule>
  </conditionalFormatting>
  <conditionalFormatting sqref="AE230:AG230">
    <cfRule type="cellIs" dxfId="330" priority="323" operator="lessThan">
      <formula>0.8</formula>
    </cfRule>
    <cfRule type="cellIs" dxfId="329" priority="324" operator="greaterThan">
      <formula>0.8</formula>
    </cfRule>
  </conditionalFormatting>
  <conditionalFormatting sqref="AE230:AG230">
    <cfRule type="notContainsText" dxfId="328" priority="321" operator="notContains" text="Caida">
      <formula>ISERROR(SEARCH("Caida",AE230))</formula>
    </cfRule>
    <cfRule type="containsText" dxfId="327" priority="322" operator="containsText" text="Caida">
      <formula>NOT(ISERROR(SEARCH("Caida",AE230)))</formula>
    </cfRule>
  </conditionalFormatting>
  <conditionalFormatting sqref="AE238:AG238">
    <cfRule type="cellIs" dxfId="326" priority="319" operator="lessThan">
      <formula>0.8</formula>
    </cfRule>
    <cfRule type="cellIs" dxfId="325" priority="320" operator="greaterThan">
      <formula>0.8</formula>
    </cfRule>
  </conditionalFormatting>
  <conditionalFormatting sqref="AE238:AG238">
    <cfRule type="notContainsText" dxfId="324" priority="317" operator="notContains" text="Caida">
      <formula>ISERROR(SEARCH("Caida",AE238))</formula>
    </cfRule>
    <cfRule type="containsText" dxfId="323" priority="318" operator="containsText" text="Caida">
      <formula>NOT(ISERROR(SEARCH("Caida",AE238)))</formula>
    </cfRule>
  </conditionalFormatting>
  <conditionalFormatting sqref="AE239:AG239">
    <cfRule type="cellIs" dxfId="322" priority="315" operator="lessThan">
      <formula>0.8</formula>
    </cfRule>
    <cfRule type="cellIs" dxfId="321" priority="316" operator="greaterThan">
      <formula>0.8</formula>
    </cfRule>
  </conditionalFormatting>
  <conditionalFormatting sqref="AE239:AG239">
    <cfRule type="notContainsText" dxfId="320" priority="313" operator="notContains" text="Caida">
      <formula>ISERROR(SEARCH("Caida",AE239))</formula>
    </cfRule>
    <cfRule type="containsText" dxfId="319" priority="314" operator="containsText" text="Caida">
      <formula>NOT(ISERROR(SEARCH("Caida",AE239)))</formula>
    </cfRule>
  </conditionalFormatting>
  <conditionalFormatting sqref="AE240:AG240">
    <cfRule type="cellIs" dxfId="318" priority="311" operator="lessThan">
      <formula>0.8</formula>
    </cfRule>
    <cfRule type="cellIs" dxfId="317" priority="312" operator="greaterThan">
      <formula>0.8</formula>
    </cfRule>
  </conditionalFormatting>
  <conditionalFormatting sqref="AE240:AG240">
    <cfRule type="notContainsText" dxfId="316" priority="309" operator="notContains" text="Caida">
      <formula>ISERROR(SEARCH("Caida",AE240))</formula>
    </cfRule>
    <cfRule type="containsText" dxfId="315" priority="310" operator="containsText" text="Caida">
      <formula>NOT(ISERROR(SEARCH("Caida",AE240)))</formula>
    </cfRule>
  </conditionalFormatting>
  <conditionalFormatting sqref="AE249:AG249">
    <cfRule type="cellIs" dxfId="314" priority="307" operator="lessThan">
      <formula>0.8</formula>
    </cfRule>
    <cfRule type="cellIs" dxfId="313" priority="308" operator="greaterThan">
      <formula>0.8</formula>
    </cfRule>
  </conditionalFormatting>
  <conditionalFormatting sqref="AE249:AG249">
    <cfRule type="notContainsText" dxfId="312" priority="305" operator="notContains" text="Caida">
      <formula>ISERROR(SEARCH("Caida",AE249))</formula>
    </cfRule>
    <cfRule type="containsText" dxfId="311" priority="306" operator="containsText" text="Caida">
      <formula>NOT(ISERROR(SEARCH("Caida",AE249)))</formula>
    </cfRule>
  </conditionalFormatting>
  <conditionalFormatting sqref="AE250:AG250">
    <cfRule type="cellIs" dxfId="310" priority="303" operator="lessThan">
      <formula>0.8</formula>
    </cfRule>
    <cfRule type="cellIs" dxfId="309" priority="304" operator="greaterThan">
      <formula>0.8</formula>
    </cfRule>
  </conditionalFormatting>
  <conditionalFormatting sqref="AE250:AG250">
    <cfRule type="notContainsText" dxfId="308" priority="301" operator="notContains" text="Caida">
      <formula>ISERROR(SEARCH("Caida",AE250))</formula>
    </cfRule>
    <cfRule type="containsText" dxfId="307" priority="302" operator="containsText" text="Caida">
      <formula>NOT(ISERROR(SEARCH("Caida",AE250)))</formula>
    </cfRule>
  </conditionalFormatting>
  <conditionalFormatting sqref="AE251:AG251">
    <cfRule type="cellIs" dxfId="306" priority="299" operator="lessThan">
      <formula>0.8</formula>
    </cfRule>
    <cfRule type="cellIs" dxfId="305" priority="300" operator="greaterThan">
      <formula>0.8</formula>
    </cfRule>
  </conditionalFormatting>
  <conditionalFormatting sqref="AE251:AG251">
    <cfRule type="notContainsText" dxfId="304" priority="297" operator="notContains" text="Caida">
      <formula>ISERROR(SEARCH("Caida",AE251))</formula>
    </cfRule>
    <cfRule type="containsText" dxfId="303" priority="298" operator="containsText" text="Caida">
      <formula>NOT(ISERROR(SEARCH("Caida",AE251)))</formula>
    </cfRule>
  </conditionalFormatting>
  <conditionalFormatting sqref="AE252:AG252">
    <cfRule type="cellIs" dxfId="302" priority="295" operator="lessThan">
      <formula>0.8</formula>
    </cfRule>
    <cfRule type="cellIs" dxfId="301" priority="296" operator="greaterThan">
      <formula>0.8</formula>
    </cfRule>
  </conditionalFormatting>
  <conditionalFormatting sqref="AE252:AG252">
    <cfRule type="notContainsText" dxfId="300" priority="293" operator="notContains" text="Caida">
      <formula>ISERROR(SEARCH("Caida",AE252))</formula>
    </cfRule>
    <cfRule type="containsText" dxfId="299" priority="294" operator="containsText" text="Caida">
      <formula>NOT(ISERROR(SEARCH("Caida",AE252)))</formula>
    </cfRule>
  </conditionalFormatting>
  <conditionalFormatting sqref="AE259:AG259">
    <cfRule type="cellIs" dxfId="298" priority="291" operator="lessThan">
      <formula>0.8</formula>
    </cfRule>
    <cfRule type="cellIs" dxfId="297" priority="292" operator="greaterThan">
      <formula>0.8</formula>
    </cfRule>
  </conditionalFormatting>
  <conditionalFormatting sqref="AE259:AG259">
    <cfRule type="notContainsText" dxfId="296" priority="289" operator="notContains" text="Caida">
      <formula>ISERROR(SEARCH("Caida",AE259))</formula>
    </cfRule>
    <cfRule type="containsText" dxfId="295" priority="290" operator="containsText" text="Caida">
      <formula>NOT(ISERROR(SEARCH("Caida",AE259)))</formula>
    </cfRule>
  </conditionalFormatting>
  <conditionalFormatting sqref="AE271:AG271">
    <cfRule type="cellIs" dxfId="294" priority="287" operator="lessThan">
      <formula>0.8</formula>
    </cfRule>
    <cfRule type="cellIs" dxfId="293" priority="288" operator="greaterThan">
      <formula>0.8</formula>
    </cfRule>
  </conditionalFormatting>
  <conditionalFormatting sqref="AE271:AG271">
    <cfRule type="notContainsText" dxfId="292" priority="285" operator="notContains" text="Caida">
      <formula>ISERROR(SEARCH("Caida",AE271))</formula>
    </cfRule>
    <cfRule type="containsText" dxfId="291" priority="286" operator="containsText" text="Caida">
      <formula>NOT(ISERROR(SEARCH("Caida",AE271)))</formula>
    </cfRule>
  </conditionalFormatting>
  <conditionalFormatting sqref="AE272:AG272">
    <cfRule type="cellIs" dxfId="290" priority="283" operator="lessThan">
      <formula>0.8</formula>
    </cfRule>
    <cfRule type="cellIs" dxfId="289" priority="284" operator="greaterThan">
      <formula>0.8</formula>
    </cfRule>
  </conditionalFormatting>
  <conditionalFormatting sqref="AE272:AG272">
    <cfRule type="notContainsText" dxfId="288" priority="281" operator="notContains" text="Caida">
      <formula>ISERROR(SEARCH("Caida",AE272))</formula>
    </cfRule>
    <cfRule type="containsText" dxfId="287" priority="282" operator="containsText" text="Caida">
      <formula>NOT(ISERROR(SEARCH("Caida",AE272)))</formula>
    </cfRule>
  </conditionalFormatting>
  <conditionalFormatting sqref="AE291:AG291">
    <cfRule type="cellIs" dxfId="286" priority="279" operator="lessThan">
      <formula>0.8</formula>
    </cfRule>
    <cfRule type="cellIs" dxfId="285" priority="280" operator="greaterThan">
      <formula>0.8</formula>
    </cfRule>
  </conditionalFormatting>
  <conditionalFormatting sqref="AE291:AG291">
    <cfRule type="notContainsText" dxfId="284" priority="277" operator="notContains" text="Caida">
      <formula>ISERROR(SEARCH("Caida",AE291))</formula>
    </cfRule>
    <cfRule type="containsText" dxfId="283" priority="278" operator="containsText" text="Caida">
      <formula>NOT(ISERROR(SEARCH("Caida",AE291)))</formula>
    </cfRule>
  </conditionalFormatting>
  <conditionalFormatting sqref="AE319:AG319">
    <cfRule type="cellIs" dxfId="282" priority="275" operator="lessThan">
      <formula>0.8</formula>
    </cfRule>
    <cfRule type="cellIs" dxfId="281" priority="276" operator="greaterThan">
      <formula>0.8</formula>
    </cfRule>
  </conditionalFormatting>
  <conditionalFormatting sqref="AE319:AG319">
    <cfRule type="notContainsText" dxfId="280" priority="273" operator="notContains" text="Caida">
      <formula>ISERROR(SEARCH("Caida",AE319))</formula>
    </cfRule>
    <cfRule type="containsText" dxfId="279" priority="274" operator="containsText" text="Caida">
      <formula>NOT(ISERROR(SEARCH("Caida",AE319)))</formula>
    </cfRule>
  </conditionalFormatting>
  <conditionalFormatting sqref="AE320:AG320">
    <cfRule type="cellIs" dxfId="278" priority="271" operator="lessThan">
      <formula>0.8</formula>
    </cfRule>
    <cfRule type="cellIs" dxfId="277" priority="272" operator="greaterThan">
      <formula>0.8</formula>
    </cfRule>
  </conditionalFormatting>
  <conditionalFormatting sqref="AE320:AG320">
    <cfRule type="notContainsText" dxfId="276" priority="269" operator="notContains" text="Caida">
      <formula>ISERROR(SEARCH("Caida",AE320))</formula>
    </cfRule>
    <cfRule type="containsText" dxfId="275" priority="270" operator="containsText" text="Caida">
      <formula>NOT(ISERROR(SEARCH("Caida",AE320)))</formula>
    </cfRule>
  </conditionalFormatting>
  <conditionalFormatting sqref="AE331:AG331">
    <cfRule type="cellIs" dxfId="274" priority="267" operator="lessThan">
      <formula>0.8</formula>
    </cfRule>
    <cfRule type="cellIs" dxfId="273" priority="268" operator="greaterThan">
      <formula>0.8</formula>
    </cfRule>
  </conditionalFormatting>
  <conditionalFormatting sqref="AE331:AG331">
    <cfRule type="notContainsText" dxfId="272" priority="265" operator="notContains" text="Caida">
      <formula>ISERROR(SEARCH("Caida",AE331))</formula>
    </cfRule>
    <cfRule type="containsText" dxfId="271" priority="266" operator="containsText" text="Caida">
      <formula>NOT(ISERROR(SEARCH("Caida",AE331)))</formula>
    </cfRule>
  </conditionalFormatting>
  <conditionalFormatting sqref="AE345:AG345">
    <cfRule type="cellIs" dxfId="270" priority="263" operator="lessThan">
      <formula>0.8</formula>
    </cfRule>
    <cfRule type="cellIs" dxfId="269" priority="264" operator="greaterThan">
      <formula>0.8</formula>
    </cfRule>
  </conditionalFormatting>
  <conditionalFormatting sqref="AE345:AG345">
    <cfRule type="notContainsText" dxfId="268" priority="261" operator="notContains" text="Caida">
      <formula>ISERROR(SEARCH("Caida",AE345))</formula>
    </cfRule>
    <cfRule type="containsText" dxfId="267" priority="262" operator="containsText" text="Caida">
      <formula>NOT(ISERROR(SEARCH("Caida",AE345)))</formula>
    </cfRule>
  </conditionalFormatting>
  <conditionalFormatting sqref="AE346:AG346">
    <cfRule type="cellIs" dxfId="266" priority="259" operator="lessThan">
      <formula>0.8</formula>
    </cfRule>
    <cfRule type="cellIs" dxfId="265" priority="260" operator="greaterThan">
      <formula>0.8</formula>
    </cfRule>
  </conditionalFormatting>
  <conditionalFormatting sqref="AE346:AG346">
    <cfRule type="notContainsText" dxfId="264" priority="257" operator="notContains" text="Caida">
      <formula>ISERROR(SEARCH("Caida",AE346))</formula>
    </cfRule>
    <cfRule type="containsText" dxfId="263" priority="258" operator="containsText" text="Caida">
      <formula>NOT(ISERROR(SEARCH("Caida",AE346)))</formula>
    </cfRule>
  </conditionalFormatting>
  <conditionalFormatting sqref="AE347:AG347">
    <cfRule type="cellIs" dxfId="262" priority="255" operator="lessThan">
      <formula>0.8</formula>
    </cfRule>
    <cfRule type="cellIs" dxfId="261" priority="256" operator="greaterThan">
      <formula>0.8</formula>
    </cfRule>
  </conditionalFormatting>
  <conditionalFormatting sqref="AE347:AG347">
    <cfRule type="notContainsText" dxfId="260" priority="253" operator="notContains" text="Caida">
      <formula>ISERROR(SEARCH("Caida",AE347))</formula>
    </cfRule>
    <cfRule type="containsText" dxfId="259" priority="254" operator="containsText" text="Caida">
      <formula>NOT(ISERROR(SEARCH("Caida",AE347)))</formula>
    </cfRule>
  </conditionalFormatting>
  <conditionalFormatting sqref="AE348:AG348">
    <cfRule type="cellIs" dxfId="258" priority="251" operator="lessThan">
      <formula>0.8</formula>
    </cfRule>
    <cfRule type="cellIs" dxfId="257" priority="252" operator="greaterThan">
      <formula>0.8</formula>
    </cfRule>
  </conditionalFormatting>
  <conditionalFormatting sqref="AE348:AG348">
    <cfRule type="notContainsText" dxfId="256" priority="249" operator="notContains" text="Caida">
      <formula>ISERROR(SEARCH("Caida",AE348))</formula>
    </cfRule>
    <cfRule type="containsText" dxfId="255" priority="250" operator="containsText" text="Caida">
      <formula>NOT(ISERROR(SEARCH("Caida",AE348)))</formula>
    </cfRule>
  </conditionalFormatting>
  <conditionalFormatting sqref="AE349:AG349">
    <cfRule type="cellIs" dxfId="254" priority="247" operator="lessThan">
      <formula>0.8</formula>
    </cfRule>
    <cfRule type="cellIs" dxfId="253" priority="248" operator="greaterThan">
      <formula>0.8</formula>
    </cfRule>
  </conditionalFormatting>
  <conditionalFormatting sqref="AE349:AG349">
    <cfRule type="notContainsText" dxfId="252" priority="245" operator="notContains" text="Caida">
      <formula>ISERROR(SEARCH("Caida",AE349))</formula>
    </cfRule>
    <cfRule type="containsText" dxfId="251" priority="246" operator="containsText" text="Caida">
      <formula>NOT(ISERROR(SEARCH("Caida",AE349)))</formula>
    </cfRule>
  </conditionalFormatting>
  <conditionalFormatting sqref="AE367:AG367">
    <cfRule type="cellIs" dxfId="250" priority="243" operator="lessThan">
      <formula>0.8</formula>
    </cfRule>
    <cfRule type="cellIs" dxfId="249" priority="244" operator="greaterThan">
      <formula>0.8</formula>
    </cfRule>
  </conditionalFormatting>
  <conditionalFormatting sqref="AE367:AG367">
    <cfRule type="notContainsText" dxfId="248" priority="241" operator="notContains" text="Caida">
      <formula>ISERROR(SEARCH("Caida",AE367))</formula>
    </cfRule>
    <cfRule type="containsText" dxfId="247" priority="242" operator="containsText" text="Caida">
      <formula>NOT(ISERROR(SEARCH("Caida",AE367)))</formula>
    </cfRule>
  </conditionalFormatting>
  <conditionalFormatting sqref="AE197:AG197">
    <cfRule type="cellIs" dxfId="246" priority="239" operator="lessThan">
      <formula>0.8</formula>
    </cfRule>
    <cfRule type="cellIs" dxfId="245" priority="240" operator="greaterThan">
      <formula>0.8</formula>
    </cfRule>
  </conditionalFormatting>
  <conditionalFormatting sqref="AE197:AG197">
    <cfRule type="notContainsText" dxfId="244" priority="237" operator="notContains" text="Caida">
      <formula>ISERROR(SEARCH("Caida",AE197))</formula>
    </cfRule>
    <cfRule type="containsText" dxfId="243" priority="238" operator="containsText" text="Caida">
      <formula>NOT(ISERROR(SEARCH("Caida",AE197)))</formula>
    </cfRule>
  </conditionalFormatting>
  <conditionalFormatting sqref="AE198:AG198">
    <cfRule type="cellIs" dxfId="242" priority="235" operator="lessThan">
      <formula>0.8</formula>
    </cfRule>
    <cfRule type="cellIs" dxfId="241" priority="236" operator="greaterThan">
      <formula>0.8</formula>
    </cfRule>
  </conditionalFormatting>
  <conditionalFormatting sqref="AE198:AG198">
    <cfRule type="notContainsText" dxfId="240" priority="233" operator="notContains" text="Caida">
      <formula>ISERROR(SEARCH("Caida",AE198))</formula>
    </cfRule>
    <cfRule type="containsText" dxfId="239" priority="234" operator="containsText" text="Caida">
      <formula>NOT(ISERROR(SEARCH("Caida",AE198)))</formula>
    </cfRule>
  </conditionalFormatting>
  <conditionalFormatting sqref="AE206:AG206">
    <cfRule type="cellIs" dxfId="238" priority="231" operator="lessThan">
      <formula>0.8</formula>
    </cfRule>
    <cfRule type="cellIs" dxfId="237" priority="232" operator="greaterThan">
      <formula>0.8</formula>
    </cfRule>
  </conditionalFormatting>
  <conditionalFormatting sqref="AE206:AG206">
    <cfRule type="notContainsText" dxfId="236" priority="229" operator="notContains" text="Caida">
      <formula>ISERROR(SEARCH("Caida",AE206))</formula>
    </cfRule>
    <cfRule type="containsText" dxfId="235" priority="230" operator="containsText" text="Caida">
      <formula>NOT(ISERROR(SEARCH("Caida",AE206)))</formula>
    </cfRule>
  </conditionalFormatting>
  <conditionalFormatting sqref="AE204:AG204">
    <cfRule type="cellIs" dxfId="234" priority="227" operator="lessThan">
      <formula>0.8</formula>
    </cfRule>
    <cfRule type="cellIs" dxfId="233" priority="228" operator="greaterThan">
      <formula>0.8</formula>
    </cfRule>
  </conditionalFormatting>
  <conditionalFormatting sqref="AE204:AG204">
    <cfRule type="notContainsText" dxfId="232" priority="225" operator="notContains" text="Caida">
      <formula>ISERROR(SEARCH("Caida",AE204))</formula>
    </cfRule>
    <cfRule type="containsText" dxfId="231" priority="226" operator="containsText" text="Caida">
      <formula>NOT(ISERROR(SEARCH("Caida",AE204)))</formula>
    </cfRule>
  </conditionalFormatting>
  <conditionalFormatting sqref="AI115">
    <cfRule type="cellIs" dxfId="230" priority="223" operator="lessThan">
      <formula>0.8</formula>
    </cfRule>
    <cfRule type="cellIs" dxfId="229" priority="224" operator="greaterThan">
      <formula>0.8</formula>
    </cfRule>
  </conditionalFormatting>
  <conditionalFormatting sqref="AI115">
    <cfRule type="notContainsText" dxfId="228" priority="221" operator="notContains" text="Caida">
      <formula>ISERROR(SEARCH("Caida",AI115))</formula>
    </cfRule>
    <cfRule type="containsText" dxfId="227" priority="222" operator="containsText" text="Caida">
      <formula>NOT(ISERROR(SEARCH("Caida",AI115)))</formula>
    </cfRule>
  </conditionalFormatting>
  <conditionalFormatting sqref="AI116">
    <cfRule type="cellIs" dxfId="226" priority="219" operator="lessThan">
      <formula>0.8</formula>
    </cfRule>
    <cfRule type="cellIs" dxfId="225" priority="220" operator="greaterThan">
      <formula>0.8</formula>
    </cfRule>
  </conditionalFormatting>
  <conditionalFormatting sqref="AI116">
    <cfRule type="notContainsText" dxfId="224" priority="217" operator="notContains" text="Caida">
      <formula>ISERROR(SEARCH("Caida",AI116))</formula>
    </cfRule>
    <cfRule type="containsText" dxfId="223" priority="218" operator="containsText" text="Caida">
      <formula>NOT(ISERROR(SEARCH("Caida",AI116)))</formula>
    </cfRule>
  </conditionalFormatting>
  <conditionalFormatting sqref="AI120">
    <cfRule type="cellIs" dxfId="222" priority="215" operator="lessThan">
      <formula>0.8</formula>
    </cfRule>
    <cfRule type="cellIs" dxfId="221" priority="216" operator="greaterThan">
      <formula>0.8</formula>
    </cfRule>
  </conditionalFormatting>
  <conditionalFormatting sqref="AI120">
    <cfRule type="notContainsText" dxfId="220" priority="213" operator="notContains" text="Caida">
      <formula>ISERROR(SEARCH("Caida",AI120))</formula>
    </cfRule>
    <cfRule type="containsText" dxfId="219" priority="214" operator="containsText" text="Caida">
      <formula>NOT(ISERROR(SEARCH("Caida",AI120)))</formula>
    </cfRule>
  </conditionalFormatting>
  <conditionalFormatting sqref="AI121">
    <cfRule type="cellIs" dxfId="218" priority="211" operator="lessThan">
      <formula>0.8</formula>
    </cfRule>
    <cfRule type="cellIs" dxfId="217" priority="212" operator="greaterThan">
      <formula>0.8</formula>
    </cfRule>
  </conditionalFormatting>
  <conditionalFormatting sqref="AI121">
    <cfRule type="notContainsText" dxfId="216" priority="209" operator="notContains" text="Caida">
      <formula>ISERROR(SEARCH("Caida",AI121))</formula>
    </cfRule>
    <cfRule type="containsText" dxfId="215" priority="210" operator="containsText" text="Caida">
      <formula>NOT(ISERROR(SEARCH("Caida",AI121)))</formula>
    </cfRule>
  </conditionalFormatting>
  <conditionalFormatting sqref="AI133">
    <cfRule type="cellIs" dxfId="214" priority="207" operator="lessThan">
      <formula>0.8</formula>
    </cfRule>
    <cfRule type="cellIs" dxfId="213" priority="208" operator="greaterThan">
      <formula>0.8</formula>
    </cfRule>
  </conditionalFormatting>
  <conditionalFormatting sqref="AI133">
    <cfRule type="notContainsText" dxfId="212" priority="205" operator="notContains" text="Caida">
      <formula>ISERROR(SEARCH("Caida",AI133))</formula>
    </cfRule>
    <cfRule type="containsText" dxfId="211" priority="206" operator="containsText" text="Caida">
      <formula>NOT(ISERROR(SEARCH("Caida",AI133)))</formula>
    </cfRule>
  </conditionalFormatting>
  <conditionalFormatting sqref="AI137">
    <cfRule type="cellIs" dxfId="210" priority="203" operator="lessThan">
      <formula>0.8</formula>
    </cfRule>
    <cfRule type="cellIs" dxfId="209" priority="204" operator="greaterThan">
      <formula>0.8</formula>
    </cfRule>
  </conditionalFormatting>
  <conditionalFormatting sqref="AI137">
    <cfRule type="notContainsText" dxfId="208" priority="201" operator="notContains" text="Caida">
      <formula>ISERROR(SEARCH("Caida",AI137))</formula>
    </cfRule>
    <cfRule type="containsText" dxfId="207" priority="202" operator="containsText" text="Caida">
      <formula>NOT(ISERROR(SEARCH("Caida",AI137)))</formula>
    </cfRule>
  </conditionalFormatting>
  <conditionalFormatting sqref="AI149">
    <cfRule type="cellIs" dxfId="206" priority="199" operator="lessThan">
      <formula>0.8</formula>
    </cfRule>
    <cfRule type="cellIs" dxfId="205" priority="200" operator="greaterThan">
      <formula>0.8</formula>
    </cfRule>
  </conditionalFormatting>
  <conditionalFormatting sqref="AI149">
    <cfRule type="notContainsText" dxfId="204" priority="197" operator="notContains" text="Caida">
      <formula>ISERROR(SEARCH("Caida",AI149))</formula>
    </cfRule>
    <cfRule type="containsText" dxfId="203" priority="198" operator="containsText" text="Caida">
      <formula>NOT(ISERROR(SEARCH("Caida",AI149)))</formula>
    </cfRule>
  </conditionalFormatting>
  <conditionalFormatting sqref="AI150">
    <cfRule type="cellIs" dxfId="202" priority="195" operator="lessThan">
      <formula>0.8</formula>
    </cfRule>
    <cfRule type="cellIs" dxfId="201" priority="196" operator="greaterThan">
      <formula>0.8</formula>
    </cfRule>
  </conditionalFormatting>
  <conditionalFormatting sqref="AI150">
    <cfRule type="notContainsText" dxfId="200" priority="193" operator="notContains" text="Caida">
      <formula>ISERROR(SEARCH("Caida",AI150))</formula>
    </cfRule>
    <cfRule type="containsText" dxfId="199" priority="194" operator="containsText" text="Caida">
      <formula>NOT(ISERROR(SEARCH("Caida",AI150)))</formula>
    </cfRule>
  </conditionalFormatting>
  <conditionalFormatting sqref="AI151">
    <cfRule type="cellIs" dxfId="198" priority="191" operator="lessThan">
      <formula>0.8</formula>
    </cfRule>
    <cfRule type="cellIs" dxfId="197" priority="192" operator="greaterThan">
      <formula>0.8</formula>
    </cfRule>
  </conditionalFormatting>
  <conditionalFormatting sqref="AI151">
    <cfRule type="notContainsText" dxfId="196" priority="189" operator="notContains" text="Caida">
      <formula>ISERROR(SEARCH("Caida",AI151))</formula>
    </cfRule>
    <cfRule type="containsText" dxfId="195" priority="190" operator="containsText" text="Caida">
      <formula>NOT(ISERROR(SEARCH("Caida",AI151)))</formula>
    </cfRule>
  </conditionalFormatting>
  <conditionalFormatting sqref="AI159">
    <cfRule type="cellIs" dxfId="194" priority="187" operator="lessThan">
      <formula>0.8</formula>
    </cfRule>
    <cfRule type="cellIs" dxfId="193" priority="188" operator="greaterThan">
      <formula>0.8</formula>
    </cfRule>
  </conditionalFormatting>
  <conditionalFormatting sqref="AI159">
    <cfRule type="notContainsText" dxfId="192" priority="185" operator="notContains" text="Caida">
      <formula>ISERROR(SEARCH("Caida",AI159))</formula>
    </cfRule>
    <cfRule type="containsText" dxfId="191" priority="186" operator="containsText" text="Caida">
      <formula>NOT(ISERROR(SEARCH("Caida",AI159)))</formula>
    </cfRule>
  </conditionalFormatting>
  <conditionalFormatting sqref="AI169">
    <cfRule type="cellIs" dxfId="190" priority="183" operator="lessThan">
      <formula>0.8</formula>
    </cfRule>
    <cfRule type="cellIs" dxfId="189" priority="184" operator="greaterThan">
      <formula>0.8</formula>
    </cfRule>
  </conditionalFormatting>
  <conditionalFormatting sqref="AI169">
    <cfRule type="notContainsText" dxfId="188" priority="181" operator="notContains" text="Caida">
      <formula>ISERROR(SEARCH("Caida",AI169))</formula>
    </cfRule>
    <cfRule type="containsText" dxfId="187" priority="182" operator="containsText" text="Caida">
      <formula>NOT(ISERROR(SEARCH("Caida",AI169)))</formula>
    </cfRule>
  </conditionalFormatting>
  <conditionalFormatting sqref="AI171">
    <cfRule type="cellIs" dxfId="186" priority="179" operator="lessThan">
      <formula>0.8</formula>
    </cfRule>
    <cfRule type="cellIs" dxfId="185" priority="180" operator="greaterThan">
      <formula>0.8</formula>
    </cfRule>
  </conditionalFormatting>
  <conditionalFormatting sqref="AI171">
    <cfRule type="notContainsText" dxfId="184" priority="177" operator="notContains" text="Caida">
      <formula>ISERROR(SEARCH("Caida",AI171))</formula>
    </cfRule>
    <cfRule type="containsText" dxfId="183" priority="178" operator="containsText" text="Caida">
      <formula>NOT(ISERROR(SEARCH("Caida",AI171)))</formula>
    </cfRule>
  </conditionalFormatting>
  <conditionalFormatting sqref="AI173">
    <cfRule type="cellIs" dxfId="182" priority="175" operator="lessThan">
      <formula>0.8</formula>
    </cfRule>
    <cfRule type="cellIs" dxfId="181" priority="176" operator="greaterThan">
      <formula>0.8</formula>
    </cfRule>
  </conditionalFormatting>
  <conditionalFormatting sqref="AI173">
    <cfRule type="notContainsText" dxfId="180" priority="173" operator="notContains" text="Caida">
      <formula>ISERROR(SEARCH("Caida",AI173))</formula>
    </cfRule>
    <cfRule type="containsText" dxfId="179" priority="174" operator="containsText" text="Caida">
      <formula>NOT(ISERROR(SEARCH("Caida",AI173)))</formula>
    </cfRule>
  </conditionalFormatting>
  <conditionalFormatting sqref="AI174">
    <cfRule type="cellIs" dxfId="178" priority="171" operator="lessThan">
      <formula>0.8</formula>
    </cfRule>
    <cfRule type="cellIs" dxfId="177" priority="172" operator="greaterThan">
      <formula>0.8</formula>
    </cfRule>
  </conditionalFormatting>
  <conditionalFormatting sqref="AI174">
    <cfRule type="notContainsText" dxfId="176" priority="169" operator="notContains" text="Caida">
      <formula>ISERROR(SEARCH("Caida",AI174))</formula>
    </cfRule>
    <cfRule type="containsText" dxfId="175" priority="170" operator="containsText" text="Caida">
      <formula>NOT(ISERROR(SEARCH("Caida",AI174)))</formula>
    </cfRule>
  </conditionalFormatting>
  <conditionalFormatting sqref="AI191">
    <cfRule type="cellIs" dxfId="174" priority="167" operator="lessThan">
      <formula>0.8</formula>
    </cfRule>
    <cfRule type="cellIs" dxfId="173" priority="168" operator="greaterThan">
      <formula>0.8</formula>
    </cfRule>
  </conditionalFormatting>
  <conditionalFormatting sqref="AI191">
    <cfRule type="notContainsText" dxfId="172" priority="165" operator="notContains" text="Caida">
      <formula>ISERROR(SEARCH("Caida",AI191))</formula>
    </cfRule>
    <cfRule type="containsText" dxfId="171" priority="166" operator="containsText" text="Caida">
      <formula>NOT(ISERROR(SEARCH("Caida",AI191)))</formula>
    </cfRule>
  </conditionalFormatting>
  <conditionalFormatting sqref="AI192">
    <cfRule type="cellIs" dxfId="170" priority="163" operator="lessThan">
      <formula>0.8</formula>
    </cfRule>
    <cfRule type="cellIs" dxfId="169" priority="164" operator="greaterThan">
      <formula>0.8</formula>
    </cfRule>
  </conditionalFormatting>
  <conditionalFormatting sqref="AI192">
    <cfRule type="notContainsText" dxfId="168" priority="161" operator="notContains" text="Caida">
      <formula>ISERROR(SEARCH("Caida",AI192))</formula>
    </cfRule>
    <cfRule type="containsText" dxfId="167" priority="162" operator="containsText" text="Caida">
      <formula>NOT(ISERROR(SEARCH("Caida",AI192)))</formula>
    </cfRule>
  </conditionalFormatting>
  <conditionalFormatting sqref="AI193">
    <cfRule type="cellIs" dxfId="166" priority="159" operator="lessThan">
      <formula>0.8</formula>
    </cfRule>
    <cfRule type="cellIs" dxfId="165" priority="160" operator="greaterThan">
      <formula>0.8</formula>
    </cfRule>
  </conditionalFormatting>
  <conditionalFormatting sqref="AI193">
    <cfRule type="notContainsText" dxfId="164" priority="157" operator="notContains" text="Caida">
      <formula>ISERROR(SEARCH("Caida",AI193))</formula>
    </cfRule>
    <cfRule type="containsText" dxfId="163" priority="158" operator="containsText" text="Caida">
      <formula>NOT(ISERROR(SEARCH("Caida",AI193)))</formula>
    </cfRule>
  </conditionalFormatting>
  <conditionalFormatting sqref="AI194">
    <cfRule type="cellIs" dxfId="162" priority="155" operator="lessThan">
      <formula>0.8</formula>
    </cfRule>
    <cfRule type="cellIs" dxfId="161" priority="156" operator="greaterThan">
      <formula>0.8</formula>
    </cfRule>
  </conditionalFormatting>
  <conditionalFormatting sqref="AI194">
    <cfRule type="notContainsText" dxfId="160" priority="153" operator="notContains" text="Caida">
      <formula>ISERROR(SEARCH("Caida",AI194))</formula>
    </cfRule>
    <cfRule type="containsText" dxfId="159" priority="154" operator="containsText" text="Caida">
      <formula>NOT(ISERROR(SEARCH("Caida",AI194)))</formula>
    </cfRule>
  </conditionalFormatting>
  <conditionalFormatting sqref="AI224">
    <cfRule type="cellIs" dxfId="158" priority="151" operator="lessThan">
      <formula>0.8</formula>
    </cfRule>
    <cfRule type="cellIs" dxfId="157" priority="152" operator="greaterThan">
      <formula>0.8</formula>
    </cfRule>
  </conditionalFormatting>
  <conditionalFormatting sqref="AI224">
    <cfRule type="notContainsText" dxfId="156" priority="149" operator="notContains" text="Caida">
      <formula>ISERROR(SEARCH("Caida",AI224))</formula>
    </cfRule>
    <cfRule type="containsText" dxfId="155" priority="150" operator="containsText" text="Caida">
      <formula>NOT(ISERROR(SEARCH("Caida",AI224)))</formula>
    </cfRule>
  </conditionalFormatting>
  <conditionalFormatting sqref="AI230">
    <cfRule type="cellIs" dxfId="154" priority="147" operator="lessThan">
      <formula>0.8</formula>
    </cfRule>
    <cfRule type="cellIs" dxfId="153" priority="148" operator="greaterThan">
      <formula>0.8</formula>
    </cfRule>
  </conditionalFormatting>
  <conditionalFormatting sqref="AI230">
    <cfRule type="notContainsText" dxfId="152" priority="145" operator="notContains" text="Caida">
      <formula>ISERROR(SEARCH("Caida",AI230))</formula>
    </cfRule>
    <cfRule type="containsText" dxfId="151" priority="146" operator="containsText" text="Caida">
      <formula>NOT(ISERROR(SEARCH("Caida",AI230)))</formula>
    </cfRule>
  </conditionalFormatting>
  <conditionalFormatting sqref="AI238">
    <cfRule type="cellIs" dxfId="150" priority="143" operator="lessThan">
      <formula>0.8</formula>
    </cfRule>
    <cfRule type="cellIs" dxfId="149" priority="144" operator="greaterThan">
      <formula>0.8</formula>
    </cfRule>
  </conditionalFormatting>
  <conditionalFormatting sqref="AI238">
    <cfRule type="notContainsText" dxfId="148" priority="141" operator="notContains" text="Caida">
      <formula>ISERROR(SEARCH("Caida",AI238))</formula>
    </cfRule>
    <cfRule type="containsText" dxfId="147" priority="142" operator="containsText" text="Caida">
      <formula>NOT(ISERROR(SEARCH("Caida",AI238)))</formula>
    </cfRule>
  </conditionalFormatting>
  <conditionalFormatting sqref="AI239">
    <cfRule type="cellIs" dxfId="146" priority="139" operator="lessThan">
      <formula>0.8</formula>
    </cfRule>
    <cfRule type="cellIs" dxfId="145" priority="140" operator="greaterThan">
      <formula>0.8</formula>
    </cfRule>
  </conditionalFormatting>
  <conditionalFormatting sqref="AI239">
    <cfRule type="notContainsText" dxfId="144" priority="137" operator="notContains" text="Caida">
      <formula>ISERROR(SEARCH("Caida",AI239))</formula>
    </cfRule>
    <cfRule type="containsText" dxfId="143" priority="138" operator="containsText" text="Caida">
      <formula>NOT(ISERROR(SEARCH("Caida",AI239)))</formula>
    </cfRule>
  </conditionalFormatting>
  <conditionalFormatting sqref="AI240">
    <cfRule type="cellIs" dxfId="142" priority="135" operator="lessThan">
      <formula>0.8</formula>
    </cfRule>
    <cfRule type="cellIs" dxfId="141" priority="136" operator="greaterThan">
      <formula>0.8</formula>
    </cfRule>
  </conditionalFormatting>
  <conditionalFormatting sqref="AI240">
    <cfRule type="notContainsText" dxfId="140" priority="133" operator="notContains" text="Caida">
      <formula>ISERROR(SEARCH("Caida",AI240))</formula>
    </cfRule>
    <cfRule type="containsText" dxfId="139" priority="134" operator="containsText" text="Caida">
      <formula>NOT(ISERROR(SEARCH("Caida",AI240)))</formula>
    </cfRule>
  </conditionalFormatting>
  <conditionalFormatting sqref="AI249">
    <cfRule type="cellIs" dxfId="138" priority="131" operator="lessThan">
      <formula>0.8</formula>
    </cfRule>
    <cfRule type="cellIs" dxfId="137" priority="132" operator="greaterThan">
      <formula>0.8</formula>
    </cfRule>
  </conditionalFormatting>
  <conditionalFormatting sqref="AI249">
    <cfRule type="notContainsText" dxfId="136" priority="129" operator="notContains" text="Caida">
      <formula>ISERROR(SEARCH("Caida",AI249))</formula>
    </cfRule>
    <cfRule type="containsText" dxfId="135" priority="130" operator="containsText" text="Caida">
      <formula>NOT(ISERROR(SEARCH("Caida",AI249)))</formula>
    </cfRule>
  </conditionalFormatting>
  <conditionalFormatting sqref="AI250">
    <cfRule type="cellIs" dxfId="134" priority="127" operator="lessThan">
      <formula>0.8</formula>
    </cfRule>
    <cfRule type="cellIs" dxfId="133" priority="128" operator="greaterThan">
      <formula>0.8</formula>
    </cfRule>
  </conditionalFormatting>
  <conditionalFormatting sqref="AI250">
    <cfRule type="notContainsText" dxfId="132" priority="125" operator="notContains" text="Caida">
      <formula>ISERROR(SEARCH("Caida",AI250))</formula>
    </cfRule>
    <cfRule type="containsText" dxfId="131" priority="126" operator="containsText" text="Caida">
      <formula>NOT(ISERROR(SEARCH("Caida",AI250)))</formula>
    </cfRule>
  </conditionalFormatting>
  <conditionalFormatting sqref="AI251">
    <cfRule type="cellIs" dxfId="130" priority="123" operator="lessThan">
      <formula>0.8</formula>
    </cfRule>
    <cfRule type="cellIs" dxfId="129" priority="124" operator="greaterThan">
      <formula>0.8</formula>
    </cfRule>
  </conditionalFormatting>
  <conditionalFormatting sqref="AI251">
    <cfRule type="notContainsText" dxfId="128" priority="121" operator="notContains" text="Caida">
      <formula>ISERROR(SEARCH("Caida",AI251))</formula>
    </cfRule>
    <cfRule type="containsText" dxfId="127" priority="122" operator="containsText" text="Caida">
      <formula>NOT(ISERROR(SEARCH("Caida",AI251)))</formula>
    </cfRule>
  </conditionalFormatting>
  <conditionalFormatting sqref="AI252">
    <cfRule type="cellIs" dxfId="126" priority="119" operator="lessThan">
      <formula>0.8</formula>
    </cfRule>
    <cfRule type="cellIs" dxfId="125" priority="120" operator="greaterThan">
      <formula>0.8</formula>
    </cfRule>
  </conditionalFormatting>
  <conditionalFormatting sqref="AI252">
    <cfRule type="notContainsText" dxfId="124" priority="117" operator="notContains" text="Caida">
      <formula>ISERROR(SEARCH("Caida",AI252))</formula>
    </cfRule>
    <cfRule type="containsText" dxfId="123" priority="118" operator="containsText" text="Caida">
      <formula>NOT(ISERROR(SEARCH("Caida",AI252)))</formula>
    </cfRule>
  </conditionalFormatting>
  <conditionalFormatting sqref="AI259">
    <cfRule type="cellIs" dxfId="122" priority="115" operator="lessThan">
      <formula>0.8</formula>
    </cfRule>
    <cfRule type="cellIs" dxfId="121" priority="116" operator="greaterThan">
      <formula>0.8</formula>
    </cfRule>
  </conditionalFormatting>
  <conditionalFormatting sqref="AI259">
    <cfRule type="notContainsText" dxfId="120" priority="113" operator="notContains" text="Caida">
      <formula>ISERROR(SEARCH("Caida",AI259))</formula>
    </cfRule>
    <cfRule type="containsText" dxfId="119" priority="114" operator="containsText" text="Caida">
      <formula>NOT(ISERROR(SEARCH("Caida",AI259)))</formula>
    </cfRule>
  </conditionalFormatting>
  <conditionalFormatting sqref="AI271">
    <cfRule type="cellIs" dxfId="118" priority="111" operator="lessThan">
      <formula>0.8</formula>
    </cfRule>
    <cfRule type="cellIs" dxfId="117" priority="112" operator="greaterThan">
      <formula>0.8</formula>
    </cfRule>
  </conditionalFormatting>
  <conditionalFormatting sqref="AI271">
    <cfRule type="notContainsText" dxfId="116" priority="109" operator="notContains" text="Caida">
      <formula>ISERROR(SEARCH("Caida",AI271))</formula>
    </cfRule>
    <cfRule type="containsText" dxfId="115" priority="110" operator="containsText" text="Caida">
      <formula>NOT(ISERROR(SEARCH("Caida",AI271)))</formula>
    </cfRule>
  </conditionalFormatting>
  <conditionalFormatting sqref="AI272">
    <cfRule type="cellIs" dxfId="114" priority="107" operator="lessThan">
      <formula>0.8</formula>
    </cfRule>
    <cfRule type="cellIs" dxfId="113" priority="108" operator="greaterThan">
      <formula>0.8</formula>
    </cfRule>
  </conditionalFormatting>
  <conditionalFormatting sqref="AI272">
    <cfRule type="notContainsText" dxfId="112" priority="105" operator="notContains" text="Caida">
      <formula>ISERROR(SEARCH("Caida",AI272))</formula>
    </cfRule>
    <cfRule type="containsText" dxfId="111" priority="106" operator="containsText" text="Caida">
      <formula>NOT(ISERROR(SEARCH("Caida",AI272)))</formula>
    </cfRule>
  </conditionalFormatting>
  <conditionalFormatting sqref="AI280">
    <cfRule type="cellIs" dxfId="110" priority="103" operator="lessThan">
      <formula>0.8</formula>
    </cfRule>
    <cfRule type="cellIs" dxfId="109" priority="104" operator="greaterThan">
      <formula>0.8</formula>
    </cfRule>
  </conditionalFormatting>
  <conditionalFormatting sqref="AI280">
    <cfRule type="notContainsText" dxfId="108" priority="101" operator="notContains" text="Caida">
      <formula>ISERROR(SEARCH("Caida",AI280))</formula>
    </cfRule>
    <cfRule type="containsText" dxfId="107" priority="102" operator="containsText" text="Caida">
      <formula>NOT(ISERROR(SEARCH("Caida",AI280)))</formula>
    </cfRule>
  </conditionalFormatting>
  <conditionalFormatting sqref="AI319">
    <cfRule type="cellIs" dxfId="106" priority="99" operator="lessThan">
      <formula>0.8</formula>
    </cfRule>
    <cfRule type="cellIs" dxfId="105" priority="100" operator="greaterThan">
      <formula>0.8</formula>
    </cfRule>
  </conditionalFormatting>
  <conditionalFormatting sqref="AI319">
    <cfRule type="notContainsText" dxfId="104" priority="97" operator="notContains" text="Caida">
      <formula>ISERROR(SEARCH("Caida",AI319))</formula>
    </cfRule>
    <cfRule type="containsText" dxfId="103" priority="98" operator="containsText" text="Caida">
      <formula>NOT(ISERROR(SEARCH("Caida",AI319)))</formula>
    </cfRule>
  </conditionalFormatting>
  <conditionalFormatting sqref="AI320">
    <cfRule type="cellIs" dxfId="102" priority="95" operator="lessThan">
      <formula>0.8</formula>
    </cfRule>
    <cfRule type="cellIs" dxfId="101" priority="96" operator="greaterThan">
      <formula>0.8</formula>
    </cfRule>
  </conditionalFormatting>
  <conditionalFormatting sqref="AI320">
    <cfRule type="notContainsText" dxfId="100" priority="93" operator="notContains" text="Caida">
      <formula>ISERROR(SEARCH("Caida",AI320))</formula>
    </cfRule>
    <cfRule type="containsText" dxfId="99" priority="94" operator="containsText" text="Caida">
      <formula>NOT(ISERROR(SEARCH("Caida",AI320)))</formula>
    </cfRule>
  </conditionalFormatting>
  <conditionalFormatting sqref="AI306">
    <cfRule type="cellIs" dxfId="98" priority="91" operator="lessThan">
      <formula>0.8</formula>
    </cfRule>
    <cfRule type="cellIs" dxfId="97" priority="92" operator="greaterThan">
      <formula>0.8</formula>
    </cfRule>
  </conditionalFormatting>
  <conditionalFormatting sqref="AI306">
    <cfRule type="notContainsText" dxfId="96" priority="89" operator="notContains" text="Caida">
      <formula>ISERROR(SEARCH("Caida",AI306))</formula>
    </cfRule>
    <cfRule type="containsText" dxfId="95" priority="90" operator="containsText" text="Caida">
      <formula>NOT(ISERROR(SEARCH("Caida",AI306)))</formula>
    </cfRule>
  </conditionalFormatting>
  <conditionalFormatting sqref="AI331">
    <cfRule type="cellIs" dxfId="94" priority="87" operator="lessThan">
      <formula>0.8</formula>
    </cfRule>
    <cfRule type="cellIs" dxfId="93" priority="88" operator="greaterThan">
      <formula>0.8</formula>
    </cfRule>
  </conditionalFormatting>
  <conditionalFormatting sqref="AI331">
    <cfRule type="notContainsText" dxfId="92" priority="85" operator="notContains" text="Caida">
      <formula>ISERROR(SEARCH("Caida",AI331))</formula>
    </cfRule>
    <cfRule type="containsText" dxfId="91" priority="86" operator="containsText" text="Caida">
      <formula>NOT(ISERROR(SEARCH("Caida",AI331)))</formula>
    </cfRule>
  </conditionalFormatting>
  <conditionalFormatting sqref="AI345">
    <cfRule type="cellIs" dxfId="90" priority="83" operator="lessThan">
      <formula>0.8</formula>
    </cfRule>
    <cfRule type="cellIs" dxfId="89" priority="84" operator="greaterThan">
      <formula>0.8</formula>
    </cfRule>
  </conditionalFormatting>
  <conditionalFormatting sqref="AI345">
    <cfRule type="notContainsText" dxfId="88" priority="81" operator="notContains" text="Caida">
      <formula>ISERROR(SEARCH("Caida",AI345))</formula>
    </cfRule>
    <cfRule type="containsText" dxfId="87" priority="82" operator="containsText" text="Caida">
      <formula>NOT(ISERROR(SEARCH("Caida",AI345)))</formula>
    </cfRule>
  </conditionalFormatting>
  <conditionalFormatting sqref="AI346">
    <cfRule type="cellIs" dxfId="86" priority="79" operator="lessThan">
      <formula>0.8</formula>
    </cfRule>
    <cfRule type="cellIs" dxfId="85" priority="80" operator="greaterThan">
      <formula>0.8</formula>
    </cfRule>
  </conditionalFormatting>
  <conditionalFormatting sqref="AI346">
    <cfRule type="notContainsText" dxfId="84" priority="77" operator="notContains" text="Caida">
      <formula>ISERROR(SEARCH("Caida",AI346))</formula>
    </cfRule>
    <cfRule type="containsText" dxfId="83" priority="78" operator="containsText" text="Caida">
      <formula>NOT(ISERROR(SEARCH("Caida",AI346)))</formula>
    </cfRule>
  </conditionalFormatting>
  <conditionalFormatting sqref="AI347">
    <cfRule type="cellIs" dxfId="82" priority="75" operator="lessThan">
      <formula>0.8</formula>
    </cfRule>
    <cfRule type="cellIs" dxfId="81" priority="76" operator="greaterThan">
      <formula>0.8</formula>
    </cfRule>
  </conditionalFormatting>
  <conditionalFormatting sqref="AI347">
    <cfRule type="notContainsText" dxfId="80" priority="73" operator="notContains" text="Caida">
      <formula>ISERROR(SEARCH("Caida",AI347))</formula>
    </cfRule>
    <cfRule type="containsText" dxfId="79" priority="74" operator="containsText" text="Caida">
      <formula>NOT(ISERROR(SEARCH("Caida",AI347)))</formula>
    </cfRule>
  </conditionalFormatting>
  <conditionalFormatting sqref="AI348">
    <cfRule type="cellIs" dxfId="78" priority="71" operator="lessThan">
      <formula>0.8</formula>
    </cfRule>
    <cfRule type="cellIs" dxfId="77" priority="72" operator="greaterThan">
      <formula>0.8</formula>
    </cfRule>
  </conditionalFormatting>
  <conditionalFormatting sqref="AI348">
    <cfRule type="notContainsText" dxfId="76" priority="69" operator="notContains" text="Caida">
      <formula>ISERROR(SEARCH("Caida",AI348))</formula>
    </cfRule>
    <cfRule type="containsText" dxfId="75" priority="70" operator="containsText" text="Caida">
      <formula>NOT(ISERROR(SEARCH("Caida",AI348)))</formula>
    </cfRule>
  </conditionalFormatting>
  <conditionalFormatting sqref="AI349">
    <cfRule type="cellIs" dxfId="74" priority="67" operator="lessThan">
      <formula>0.8</formula>
    </cfRule>
    <cfRule type="cellIs" dxfId="73" priority="68" operator="greaterThan">
      <formula>0.8</formula>
    </cfRule>
  </conditionalFormatting>
  <conditionalFormatting sqref="AI349">
    <cfRule type="notContainsText" dxfId="72" priority="65" operator="notContains" text="Caida">
      <formula>ISERROR(SEARCH("Caida",AI349))</formula>
    </cfRule>
    <cfRule type="containsText" dxfId="71" priority="66" operator="containsText" text="Caida">
      <formula>NOT(ISERROR(SEARCH("Caida",AI349)))</formula>
    </cfRule>
  </conditionalFormatting>
  <conditionalFormatting sqref="AI367">
    <cfRule type="cellIs" dxfId="70" priority="63" operator="lessThan">
      <formula>0.8</formula>
    </cfRule>
    <cfRule type="cellIs" dxfId="69" priority="64" operator="greaterThan">
      <formula>0.8</formula>
    </cfRule>
  </conditionalFormatting>
  <conditionalFormatting sqref="AI367">
    <cfRule type="notContainsText" dxfId="68" priority="61" operator="notContains" text="Caida">
      <formula>ISERROR(SEARCH("Caida",AI367))</formula>
    </cfRule>
    <cfRule type="containsText" dxfId="67" priority="62" operator="containsText" text="Caida">
      <formula>NOT(ISERROR(SEARCH("Caida",AI367)))</formula>
    </cfRule>
  </conditionalFormatting>
  <conditionalFormatting sqref="AI204">
    <cfRule type="cellIs" dxfId="66" priority="59" operator="lessThan">
      <formula>0.8</formula>
    </cfRule>
    <cfRule type="cellIs" dxfId="65" priority="60" operator="greaterThan">
      <formula>0.8</formula>
    </cfRule>
  </conditionalFormatting>
  <conditionalFormatting sqref="AI204">
    <cfRule type="notContainsText" dxfId="64" priority="57" operator="notContains" text="Caida">
      <formula>ISERROR(SEARCH("Caida",AI204))</formula>
    </cfRule>
    <cfRule type="containsText" dxfId="63" priority="58" operator="containsText" text="Caida">
      <formula>NOT(ISERROR(SEARCH("Caida",AI204)))</formula>
    </cfRule>
  </conditionalFormatting>
  <conditionalFormatting sqref="AI197">
    <cfRule type="cellIs" dxfId="62" priority="55" operator="lessThan">
      <formula>0.8</formula>
    </cfRule>
    <cfRule type="cellIs" dxfId="61" priority="56" operator="greaterThan">
      <formula>0.8</formula>
    </cfRule>
  </conditionalFormatting>
  <conditionalFormatting sqref="AI197">
    <cfRule type="notContainsText" dxfId="60" priority="53" operator="notContains" text="Caida">
      <formula>ISERROR(SEARCH("Caida",AI197))</formula>
    </cfRule>
    <cfRule type="containsText" dxfId="59" priority="54" operator="containsText" text="Caida">
      <formula>NOT(ISERROR(SEARCH("Caida",AI197)))</formula>
    </cfRule>
  </conditionalFormatting>
  <conditionalFormatting sqref="AI206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AI206">
    <cfRule type="notContainsText" dxfId="56" priority="49" operator="notContains" text="Caida">
      <formula>ISERROR(SEARCH("Caida",AI206))</formula>
    </cfRule>
    <cfRule type="containsText" dxfId="55" priority="50" operator="containsText" text="Caida">
      <formula>NOT(ISERROR(SEARCH("Caida",AI206)))</formula>
    </cfRule>
  </conditionalFormatting>
  <conditionalFormatting sqref="AI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AI5">
    <cfRule type="notContainsText" dxfId="52" priority="45" operator="notContains" text="Caida">
      <formula>ISERROR(SEARCH("Caida",AI5))</formula>
    </cfRule>
    <cfRule type="containsText" dxfId="51" priority="46" operator="containsText" text="Caida">
      <formula>NOT(ISERROR(SEARCH("Caida",AI5)))</formula>
    </cfRule>
  </conditionalFormatting>
  <conditionalFormatting sqref="AI277">
    <cfRule type="cellIs" dxfId="50" priority="43" operator="lessThan">
      <formula>0.8</formula>
    </cfRule>
    <cfRule type="cellIs" dxfId="49" priority="44" operator="greaterThan">
      <formula>0.8</formula>
    </cfRule>
  </conditionalFormatting>
  <conditionalFormatting sqref="AI277">
    <cfRule type="notContainsText" dxfId="48" priority="41" operator="notContains" text="Caida">
      <formula>ISERROR(SEARCH("Caida",AI277))</formula>
    </cfRule>
    <cfRule type="containsText" dxfId="47" priority="42" operator="containsText" text="Caida">
      <formula>NOT(ISERROR(SEARCH("Caida",AI277)))</formula>
    </cfRule>
  </conditionalFormatting>
  <conditionalFormatting sqref="N5:AO367">
    <cfRule type="cellIs" dxfId="46" priority="40" operator="equal">
      <formula>"APAGADO"</formula>
    </cfRule>
  </conditionalFormatting>
  <conditionalFormatting sqref="Q369:S370">
    <cfRule type="cellIs" dxfId="45" priority="38" operator="lessThan">
      <formula>0.8</formula>
    </cfRule>
    <cfRule type="cellIs" dxfId="44" priority="39" operator="greaterThan">
      <formula>0.8</formula>
    </cfRule>
  </conditionalFormatting>
  <conditionalFormatting sqref="Q369:S370">
    <cfRule type="notContainsText" dxfId="43" priority="36" operator="notContains" text="Caida">
      <formula>ISERROR(SEARCH("Caida",Q369))</formula>
    </cfRule>
    <cfRule type="containsText" dxfId="42" priority="37" operator="containsText" text="Caida">
      <formula>NOT(ISERROR(SEARCH("Caida",Q369)))</formula>
    </cfRule>
  </conditionalFormatting>
  <conditionalFormatting sqref="AB369:AG370">
    <cfRule type="cellIs" dxfId="41" priority="34" operator="lessThan">
      <formula>0.8</formula>
    </cfRule>
    <cfRule type="cellIs" dxfId="40" priority="35" operator="greaterThan">
      <formula>0.8</formula>
    </cfRule>
  </conditionalFormatting>
  <conditionalFormatting sqref="AB369:AG370">
    <cfRule type="notContainsText" dxfId="39" priority="32" operator="notContains" text="Caida">
      <formula>ISERROR(SEARCH("Caida",AB369))</formula>
    </cfRule>
    <cfRule type="containsText" dxfId="38" priority="33" operator="containsText" text="Caida">
      <formula>NOT(ISERROR(SEARCH("Caida",AB369)))</formula>
    </cfRule>
  </conditionalFormatting>
  <conditionalFormatting sqref="N95:N367">
    <cfRule type="cellIs" dxfId="37" priority="30" operator="lessThan">
      <formula>0.8</formula>
    </cfRule>
    <cfRule type="cellIs" dxfId="36" priority="31" operator="greaterThan">
      <formula>0.8</formula>
    </cfRule>
  </conditionalFormatting>
  <conditionalFormatting sqref="N95:N371">
    <cfRule type="notContainsText" dxfId="35" priority="28" operator="notContains" text="Caida">
      <formula>ISERROR(SEARCH("Caida",N95))</formula>
    </cfRule>
    <cfRule type="containsText" dxfId="34" priority="29" operator="containsText" text="Caida">
      <formula>NOT(ISERROR(SEARCH("Caida",N95)))</formula>
    </cfRule>
  </conditionalFormatting>
  <conditionalFormatting sqref="N6:N92">
    <cfRule type="cellIs" dxfId="33" priority="26" operator="lessThan">
      <formula>0.8</formula>
    </cfRule>
    <cfRule type="cellIs" dxfId="32" priority="27" operator="greaterThan">
      <formula>0.8</formula>
    </cfRule>
  </conditionalFormatting>
  <conditionalFormatting sqref="N6:N92">
    <cfRule type="notContainsText" dxfId="31" priority="24" operator="notContains" text="Caida">
      <formula>ISERROR(SEARCH("Caida",N6))</formula>
    </cfRule>
    <cfRule type="containsText" dxfId="30" priority="25" operator="containsText" text="Caida">
      <formula>NOT(ISERROR(SEARCH("Caida",N6)))</formula>
    </cfRule>
  </conditionalFormatting>
  <conditionalFormatting sqref="N22">
    <cfRule type="containsText" dxfId="29" priority="23" operator="containsText" text="Instaladas en Funcionamiento Caida">
      <formula>NOT(ISERROR(SEARCH("Instaladas en Funcionamiento Caida",N22)))</formula>
    </cfRule>
  </conditionalFormatting>
  <conditionalFormatting sqref="N5">
    <cfRule type="cellIs" dxfId="28" priority="21" operator="lessThan">
      <formula>0.8</formula>
    </cfRule>
    <cfRule type="cellIs" dxfId="27" priority="22" operator="greaterThan">
      <formula>0.8</formula>
    </cfRule>
  </conditionalFormatting>
  <conditionalFormatting sqref="N5">
    <cfRule type="notContainsText" dxfId="26" priority="19" operator="notContains" text="Caida">
      <formula>ISERROR(SEARCH("Caida",N5))</formula>
    </cfRule>
    <cfRule type="containsText" dxfId="25" priority="20" operator="containsText" text="Caida">
      <formula>NOT(ISERROR(SEARCH("Caida",N5)))</formula>
    </cfRule>
  </conditionalFormatting>
  <conditionalFormatting sqref="N93:N94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N93:N94">
    <cfRule type="notContainsText" dxfId="22" priority="15" operator="notContains" text="Caida">
      <formula>ISERROR(SEARCH("Caida",N93))</formula>
    </cfRule>
    <cfRule type="containsText" dxfId="21" priority="16" operator="containsText" text="Caida">
      <formula>NOT(ISERROR(SEARCH("Caida",N93)))</formula>
    </cfRule>
  </conditionalFormatting>
  <conditionalFormatting sqref="N5:N371">
    <cfRule type="cellIs" dxfId="20" priority="14" operator="equal">
      <formula>"APAGADO"</formula>
    </cfRule>
  </conditionalFormatting>
  <conditionalFormatting sqref="AP95:AR367">
    <cfRule type="cellIs" dxfId="19" priority="12" operator="lessThan">
      <formula>0.8</formula>
    </cfRule>
    <cfRule type="cellIs" dxfId="18" priority="13" operator="greaterThan">
      <formula>0.8</formula>
    </cfRule>
  </conditionalFormatting>
  <conditionalFormatting sqref="AP95:AR1048576">
    <cfRule type="notContainsText" dxfId="17" priority="10" operator="notContains" text="Caida">
      <formula>ISERROR(SEARCH("Caida",AP95))</formula>
    </cfRule>
    <cfRule type="containsText" dxfId="16" priority="11" operator="containsText" text="Caida">
      <formula>NOT(ISERROR(SEARCH("Caida",AP95)))</formula>
    </cfRule>
  </conditionalFormatting>
  <conditionalFormatting sqref="AP6:AR92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AP6:AR92">
    <cfRule type="notContainsText" dxfId="13" priority="6" operator="notContains" text="Caida">
      <formula>ISERROR(SEARCH("Caida",AP6))</formula>
    </cfRule>
    <cfRule type="containsText" dxfId="12" priority="7" operator="containsText" text="Caida">
      <formula>NOT(ISERROR(SEARCH("Caida",AP6)))</formula>
    </cfRule>
  </conditionalFormatting>
  <conditionalFormatting sqref="AP93:AR94"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P93:AR94">
    <cfRule type="notContainsText" dxfId="9" priority="2" operator="notContains" text="Caida">
      <formula>ISERROR(SEARCH("Caida",AP93))</formula>
    </cfRule>
    <cfRule type="containsText" dxfId="8" priority="3" operator="containsText" text="Caida">
      <formula>NOT(ISERROR(SEARCH("Caida",AP93)))</formula>
    </cfRule>
  </conditionalFormatting>
  <conditionalFormatting sqref="AP5:AR36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workbookViewId="0">
      <selection activeCell="B21" sqref="B21"/>
    </sheetView>
  </sheetViews>
  <sheetFormatPr baseColWidth="10" defaultColWidth="11.5703125" defaultRowHeight="15" x14ac:dyDescent="0.25"/>
  <cols>
    <col min="1" max="1" width="18.28515625" style="48" bestFit="1" customWidth="1"/>
    <col min="2" max="2" width="81.140625" style="48" bestFit="1" customWidth="1"/>
    <col min="3" max="16384" width="11.5703125" style="48"/>
  </cols>
  <sheetData>
    <row r="1" spans="1:1" x14ac:dyDescent="0.25">
      <c r="A1" s="48" t="s">
        <v>1315</v>
      </c>
    </row>
    <row r="2" spans="1:1" ht="15.75" thickBot="1" x14ac:dyDescent="0.3"/>
    <row r="3" spans="1:1" ht="20.25" thickTop="1" thickBot="1" x14ac:dyDescent="0.3">
      <c r="A3" s="49">
        <v>44621</v>
      </c>
    </row>
    <row r="4" spans="1:1" ht="20.25" thickTop="1" thickBot="1" x14ac:dyDescent="0.3">
      <c r="A4" s="49">
        <v>44622</v>
      </c>
    </row>
    <row r="5" spans="1:1" ht="20.25" thickTop="1" thickBot="1" x14ac:dyDescent="0.3">
      <c r="A5" s="49">
        <v>44623</v>
      </c>
    </row>
    <row r="6" spans="1:1" ht="20.25" thickTop="1" thickBot="1" x14ac:dyDescent="0.3">
      <c r="A6" s="49">
        <v>44624</v>
      </c>
    </row>
    <row r="7" spans="1:1" ht="20.25" thickTop="1" thickBot="1" x14ac:dyDescent="0.3">
      <c r="A7" s="49">
        <v>44625</v>
      </c>
    </row>
    <row r="8" spans="1:1" ht="20.25" thickTop="1" thickBot="1" x14ac:dyDescent="0.3">
      <c r="A8" s="49">
        <v>44626</v>
      </c>
    </row>
    <row r="9" spans="1:1" ht="20.25" thickTop="1" thickBot="1" x14ac:dyDescent="0.3">
      <c r="A9" s="49">
        <v>44627</v>
      </c>
    </row>
    <row r="10" spans="1:1" ht="20.25" thickTop="1" thickBot="1" x14ac:dyDescent="0.3">
      <c r="A10" s="49">
        <v>44628</v>
      </c>
    </row>
    <row r="11" spans="1:1" ht="20.25" thickTop="1" thickBot="1" x14ac:dyDescent="0.3">
      <c r="A11" s="49">
        <v>44629</v>
      </c>
    </row>
    <row r="12" spans="1:1" ht="20.25" thickTop="1" thickBot="1" x14ac:dyDescent="0.3">
      <c r="A12" s="49">
        <v>44630</v>
      </c>
    </row>
    <row r="13" spans="1:1" ht="20.25" thickTop="1" thickBot="1" x14ac:dyDescent="0.3">
      <c r="A13" s="49">
        <v>44631</v>
      </c>
    </row>
    <row r="14" spans="1:1" ht="20.25" thickTop="1" thickBot="1" x14ac:dyDescent="0.3">
      <c r="A14" s="49">
        <v>44632</v>
      </c>
    </row>
    <row r="15" spans="1:1" ht="20.25" thickTop="1" thickBot="1" x14ac:dyDescent="0.3">
      <c r="A15" s="49">
        <v>44633</v>
      </c>
    </row>
    <row r="16" spans="1:1" ht="20.25" thickTop="1" thickBot="1" x14ac:dyDescent="0.3">
      <c r="A16" s="49">
        <v>44634</v>
      </c>
    </row>
    <row r="17" spans="1:2" ht="20.25" thickTop="1" thickBot="1" x14ac:dyDescent="0.3">
      <c r="A17" s="49">
        <v>44635</v>
      </c>
    </row>
    <row r="18" spans="1:2" ht="20.25" thickTop="1" thickBot="1" x14ac:dyDescent="0.3">
      <c r="A18" s="49">
        <v>44636</v>
      </c>
    </row>
    <row r="19" spans="1:2" ht="20.25" thickTop="1" thickBot="1" x14ac:dyDescent="0.3">
      <c r="A19" s="49">
        <v>44637</v>
      </c>
    </row>
    <row r="20" spans="1:2" ht="20.25" thickTop="1" thickBot="1" x14ac:dyDescent="0.3">
      <c r="A20" s="49">
        <v>44638</v>
      </c>
    </row>
    <row r="21" spans="1:2" ht="20.25" thickTop="1" thickBot="1" x14ac:dyDescent="0.3">
      <c r="A21" s="49">
        <v>44639</v>
      </c>
    </row>
    <row r="22" spans="1:2" ht="20.25" thickTop="1" thickBot="1" x14ac:dyDescent="0.3">
      <c r="A22" s="49">
        <v>44640</v>
      </c>
    </row>
    <row r="23" spans="1:2" ht="20.25" thickTop="1" thickBot="1" x14ac:dyDescent="0.3">
      <c r="A23" s="49">
        <v>44641</v>
      </c>
      <c r="B23" s="50"/>
    </row>
    <row r="24" spans="1:2" ht="20.25" thickTop="1" thickBot="1" x14ac:dyDescent="0.3">
      <c r="A24" s="49">
        <v>44642</v>
      </c>
      <c r="B24" s="51"/>
    </row>
    <row r="25" spans="1:2" ht="20.25" thickTop="1" thickBot="1" x14ac:dyDescent="0.3">
      <c r="A25" s="49">
        <v>44643</v>
      </c>
    </row>
    <row r="26" spans="1:2" ht="20.25" thickTop="1" thickBot="1" x14ac:dyDescent="0.3">
      <c r="A26" s="49">
        <v>44644</v>
      </c>
    </row>
    <row r="27" spans="1:2" ht="20.25" thickTop="1" thickBot="1" x14ac:dyDescent="0.3">
      <c r="A27" s="49">
        <v>44645</v>
      </c>
    </row>
    <row r="28" spans="1:2" ht="20.25" thickTop="1" thickBot="1" x14ac:dyDescent="0.3">
      <c r="A28" s="49">
        <v>44646</v>
      </c>
    </row>
    <row r="29" spans="1:2" ht="20.25" thickTop="1" thickBot="1" x14ac:dyDescent="0.3">
      <c r="A29" s="49">
        <v>44647</v>
      </c>
    </row>
    <row r="30" spans="1:2" ht="20.25" thickTop="1" thickBot="1" x14ac:dyDescent="0.3">
      <c r="A30" s="49">
        <v>44648</v>
      </c>
    </row>
    <row r="31" spans="1:2" ht="20.25" thickTop="1" thickBot="1" x14ac:dyDescent="0.3">
      <c r="A31" s="49">
        <v>44649</v>
      </c>
    </row>
    <row r="32" spans="1:2" ht="20.25" thickTop="1" thickBot="1" x14ac:dyDescent="0.3">
      <c r="A32" s="49">
        <v>44650</v>
      </c>
    </row>
    <row r="33" spans="1:1" ht="20.25" thickTop="1" thickBot="1" x14ac:dyDescent="0.3">
      <c r="A33" s="49">
        <v>44651</v>
      </c>
    </row>
    <row r="34" spans="1:1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65"/>
  <sheetViews>
    <sheetView topLeftCell="U1" workbookViewId="0">
      <selection activeCell="AF1" sqref="AF1:AJ1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26">
        <f>'RESUMEN TOTAL'!N4</f>
        <v>44621</v>
      </c>
      <c r="G1" s="26">
        <f>'RESUMEN TOTAL'!O4</f>
        <v>44622</v>
      </c>
      <c r="H1" s="26">
        <f>'RESUMEN TOTAL'!P4</f>
        <v>44623</v>
      </c>
      <c r="I1" s="26">
        <f>'RESUMEN TOTAL'!Q4</f>
        <v>44624</v>
      </c>
      <c r="J1" s="26">
        <f>'RESUMEN TOTAL'!R4</f>
        <v>44625</v>
      </c>
      <c r="K1" s="26">
        <f>'RESUMEN TOTAL'!S4</f>
        <v>44626</v>
      </c>
      <c r="L1" s="26">
        <f>'RESUMEN TOTAL'!T4</f>
        <v>44627</v>
      </c>
      <c r="M1" s="26">
        <f>'RESUMEN TOTAL'!U4</f>
        <v>44628</v>
      </c>
      <c r="N1" s="26">
        <f>'RESUMEN TOTAL'!V4</f>
        <v>44629</v>
      </c>
      <c r="O1" s="26">
        <f>'RESUMEN TOTAL'!W4</f>
        <v>44630</v>
      </c>
      <c r="P1" s="26">
        <f>'RESUMEN TOTAL'!X4</f>
        <v>44631</v>
      </c>
      <c r="Q1" s="26">
        <f>'RESUMEN TOTAL'!Y4</f>
        <v>44632</v>
      </c>
      <c r="R1" s="26">
        <f>'RESUMEN TOTAL'!Z4</f>
        <v>44633</v>
      </c>
      <c r="S1" s="26">
        <f>'RESUMEN TOTAL'!AA4</f>
        <v>44634</v>
      </c>
      <c r="T1" s="26">
        <f>'RESUMEN TOTAL'!AB4</f>
        <v>44635</v>
      </c>
      <c r="U1" s="26">
        <f>'RESUMEN TOTAL'!AC4</f>
        <v>44636</v>
      </c>
      <c r="V1" s="26">
        <f>'RESUMEN TOTAL'!AD4</f>
        <v>44637</v>
      </c>
      <c r="W1" s="26">
        <f>'RESUMEN TOTAL'!AE4</f>
        <v>44638</v>
      </c>
      <c r="X1" s="26">
        <f>'RESUMEN TOTAL'!AF4</f>
        <v>44639</v>
      </c>
      <c r="Y1" s="26">
        <f>'RESUMEN TOTAL'!AG4</f>
        <v>44640</v>
      </c>
      <c r="Z1" s="26">
        <f>'RESUMEN TOTAL'!AH4</f>
        <v>44641</v>
      </c>
      <c r="AA1" s="26">
        <f>'RESUMEN TOTAL'!AI4</f>
        <v>44642</v>
      </c>
      <c r="AB1" s="26">
        <f>'RESUMEN TOTAL'!AJ4</f>
        <v>44643</v>
      </c>
      <c r="AC1" s="26">
        <f>'RESUMEN TOTAL'!AK4</f>
        <v>44644</v>
      </c>
      <c r="AD1" s="26">
        <f>'RESUMEN TOTAL'!AL4</f>
        <v>44645</v>
      </c>
      <c r="AE1" s="26">
        <f>'RESUMEN TOTAL'!AM4</f>
        <v>44646</v>
      </c>
      <c r="AF1" s="26">
        <f>'RESUMEN TOTAL'!AN4</f>
        <v>44647</v>
      </c>
      <c r="AG1" s="26">
        <f>'RESUMEN TOTAL'!AO4</f>
        <v>44648</v>
      </c>
      <c r="AH1" s="26">
        <f>'RESUMEN TOTAL'!AP4</f>
        <v>44649</v>
      </c>
      <c r="AI1" s="26">
        <f>'RESUMEN TOTAL'!AQ4</f>
        <v>44650</v>
      </c>
      <c r="AJ1" s="26">
        <f>'RESUMEN TOTAL'!AR4</f>
        <v>44651</v>
      </c>
    </row>
    <row r="2" spans="1:36" x14ac:dyDescent="0.25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Fibra Optica</v>
      </c>
      <c r="F2" t="str">
        <f>'RESUMEN TOTAL'!N5</f>
        <v>APAGADO</v>
      </c>
      <c r="G2" t="str">
        <f>'RESUMEN TOTAL'!O5</f>
        <v>APAGADO</v>
      </c>
      <c r="H2" t="str">
        <f>'RESUMEN TOTAL'!P5</f>
        <v>APAGADO</v>
      </c>
      <c r="I2" t="str">
        <f>'RESUMEN TOTAL'!Q5</f>
        <v>APAGADO</v>
      </c>
      <c r="J2" t="str">
        <f>'RESUMEN TOTAL'!R5</f>
        <v>APAGADO</v>
      </c>
      <c r="K2" t="str">
        <f>'RESUMEN TOTAL'!S5</f>
        <v>APAGADO</v>
      </c>
      <c r="L2" t="str">
        <f>'RESUMEN TOTAL'!T5</f>
        <v>APAGADO</v>
      </c>
      <c r="M2">
        <f>'RESUMEN TOTAL'!U5</f>
        <v>0</v>
      </c>
      <c r="N2">
        <f>'RESUMEN TOTAL'!V5</f>
        <v>0</v>
      </c>
      <c r="O2">
        <f>'RESUMEN TOTAL'!W5</f>
        <v>0</v>
      </c>
      <c r="P2">
        <f>'RESUMEN TOTAL'!X5</f>
        <v>0</v>
      </c>
      <c r="Q2">
        <f>'RESUMEN TOTAL'!Y5</f>
        <v>0</v>
      </c>
      <c r="R2">
        <f>'RESUMEN TOTAL'!Z5</f>
        <v>0</v>
      </c>
      <c r="S2">
        <f>'RESUMEN TOTAL'!AA5</f>
        <v>0</v>
      </c>
      <c r="T2">
        <f>'RESUMEN TOTAL'!AB5</f>
        <v>0</v>
      </c>
      <c r="U2">
        <f>'RESUMEN TOTAL'!AC5</f>
        <v>0</v>
      </c>
      <c r="V2">
        <f>'RESUMEN TOTAL'!AD5</f>
        <v>0</v>
      </c>
      <c r="W2">
        <f>'RESUMEN TOTAL'!AE5</f>
        <v>0</v>
      </c>
      <c r="X2">
        <f>'RESUMEN TOTAL'!AF5</f>
        <v>0</v>
      </c>
      <c r="Y2">
        <f>'RESUMEN TOTAL'!AG5</f>
        <v>0</v>
      </c>
      <c r="Z2">
        <f>'RESUMEN TOTAL'!AH5</f>
        <v>0</v>
      </c>
      <c r="AA2">
        <f>'RESUMEN TOTAL'!AI5</f>
        <v>0</v>
      </c>
      <c r="AB2">
        <f>'RESUMEN TOTAL'!AJ5</f>
        <v>0</v>
      </c>
      <c r="AC2">
        <f>'RESUMEN TOTAL'!AK5</f>
        <v>0</v>
      </c>
      <c r="AD2">
        <f>'RESUMEN TOTAL'!AL5</f>
        <v>0</v>
      </c>
      <c r="AE2">
        <f>'RESUMEN TOTAL'!AM5</f>
        <v>0</v>
      </c>
      <c r="AF2">
        <f>'RESUMEN TOTAL'!AN5</f>
        <v>0</v>
      </c>
      <c r="AG2">
        <f>'RESUMEN TOTAL'!AO5</f>
        <v>0</v>
      </c>
    </row>
    <row r="3" spans="1:36" x14ac:dyDescent="0.25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TOTAL'!N6</f>
        <v>0</v>
      </c>
      <c r="G3">
        <f>'RESUMEN TOTAL'!O6</f>
        <v>0</v>
      </c>
      <c r="H3">
        <f>'RESUMEN TOTAL'!P6</f>
        <v>0</v>
      </c>
      <c r="I3">
        <f>'RESUMEN TOTAL'!Q6</f>
        <v>0</v>
      </c>
      <c r="J3">
        <f>'RESUMEN TOTAL'!R6</f>
        <v>0</v>
      </c>
      <c r="K3">
        <f>'RESUMEN TOTAL'!S6</f>
        <v>0</v>
      </c>
      <c r="L3">
        <f>'RESUMEN TOTAL'!T6</f>
        <v>0</v>
      </c>
      <c r="M3">
        <f>'RESUMEN TOTAL'!U6</f>
        <v>0</v>
      </c>
      <c r="N3">
        <f>'RESUMEN TOTAL'!V6</f>
        <v>0</v>
      </c>
      <c r="O3">
        <f>'RESUMEN TOTAL'!W6</f>
        <v>0</v>
      </c>
      <c r="P3">
        <f>'RESUMEN TOTAL'!X6</f>
        <v>0</v>
      </c>
      <c r="Q3">
        <f>'RESUMEN TOTAL'!Y6</f>
        <v>0</v>
      </c>
      <c r="R3">
        <f>'RESUMEN TOTAL'!Z6</f>
        <v>0</v>
      </c>
      <c r="S3">
        <f>'RESUMEN TOTAL'!AA6</f>
        <v>0</v>
      </c>
      <c r="T3">
        <f>'RESUMEN TOTAL'!AB6</f>
        <v>0</v>
      </c>
      <c r="U3">
        <f>'RESUMEN TOTAL'!AC6</f>
        <v>0</v>
      </c>
      <c r="V3">
        <f>'RESUMEN TOTAL'!AD6</f>
        <v>0</v>
      </c>
      <c r="W3">
        <f>'RESUMEN TOTAL'!AE6</f>
        <v>0</v>
      </c>
      <c r="X3">
        <f>'RESUMEN TOTAL'!AF6</f>
        <v>0</v>
      </c>
      <c r="Y3">
        <f>'RESUMEN TOTAL'!AG6</f>
        <v>0</v>
      </c>
      <c r="Z3">
        <f>'RESUMEN TOTAL'!AH6</f>
        <v>0</v>
      </c>
      <c r="AA3">
        <f>'RESUMEN TOTAL'!AI6</f>
        <v>0</v>
      </c>
      <c r="AB3">
        <f>'RESUMEN TOTAL'!AJ6</f>
        <v>0</v>
      </c>
      <c r="AC3">
        <f>'RESUMEN TOTAL'!AK6</f>
        <v>0</v>
      </c>
      <c r="AD3">
        <f>'RESUMEN TOTAL'!AL6</f>
        <v>0</v>
      </c>
      <c r="AE3">
        <f>'RESUMEN TOTAL'!AM6</f>
        <v>0</v>
      </c>
      <c r="AF3">
        <f>'RESUMEN TOTAL'!AN6</f>
        <v>0</v>
      </c>
      <c r="AG3">
        <f>'RESUMEN TOTAL'!AO6</f>
        <v>0</v>
      </c>
    </row>
    <row r="4" spans="1:36" x14ac:dyDescent="0.25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>
        <f>'RESUMEN TOTAL'!N7</f>
        <v>0</v>
      </c>
      <c r="G4">
        <f>'RESUMEN TOTAL'!O7</f>
        <v>0</v>
      </c>
      <c r="H4">
        <f>'RESUMEN TOTAL'!P7</f>
        <v>0</v>
      </c>
      <c r="I4">
        <f>'RESUMEN TOTAL'!Q7</f>
        <v>0</v>
      </c>
      <c r="J4">
        <f>'RESUMEN TOTAL'!R7</f>
        <v>0</v>
      </c>
      <c r="K4">
        <f>'RESUMEN TOTAL'!S7</f>
        <v>0</v>
      </c>
      <c r="L4">
        <f>'RESUMEN TOTAL'!T7</f>
        <v>0</v>
      </c>
      <c r="M4">
        <f>'RESUMEN TOTAL'!U7</f>
        <v>0</v>
      </c>
      <c r="N4">
        <f>'RESUMEN TOTAL'!V7</f>
        <v>0</v>
      </c>
      <c r="O4">
        <f>'RESUMEN TOTAL'!W7</f>
        <v>0</v>
      </c>
      <c r="P4">
        <f>'RESUMEN TOTAL'!X7</f>
        <v>0</v>
      </c>
      <c r="Q4">
        <f>'RESUMEN TOTAL'!Y7</f>
        <v>0</v>
      </c>
      <c r="R4">
        <f>'RESUMEN TOTAL'!Z7</f>
        <v>0</v>
      </c>
      <c r="S4">
        <f>'RESUMEN TOTAL'!AA7</f>
        <v>0</v>
      </c>
      <c r="T4">
        <f>'RESUMEN TOTAL'!AB7</f>
        <v>0</v>
      </c>
      <c r="U4">
        <f>'RESUMEN TOTAL'!AC7</f>
        <v>0</v>
      </c>
      <c r="V4">
        <f>'RESUMEN TOTAL'!AD7</f>
        <v>0</v>
      </c>
      <c r="W4">
        <f>'RESUMEN TOTAL'!AE7</f>
        <v>0</v>
      </c>
      <c r="X4">
        <f>'RESUMEN TOTAL'!AF7</f>
        <v>0</v>
      </c>
      <c r="Y4">
        <f>'RESUMEN TOTAL'!AG7</f>
        <v>0</v>
      </c>
      <c r="Z4">
        <f>'RESUMEN TOTAL'!AH7</f>
        <v>0</v>
      </c>
      <c r="AA4">
        <f>'RESUMEN TOTAL'!AI7</f>
        <v>0</v>
      </c>
      <c r="AB4">
        <f>'RESUMEN TOTAL'!AJ7</f>
        <v>0</v>
      </c>
      <c r="AC4">
        <f>'RESUMEN TOTAL'!AK7</f>
        <v>0</v>
      </c>
      <c r="AD4">
        <f>'RESUMEN TOTAL'!AL7</f>
        <v>0</v>
      </c>
      <c r="AE4">
        <f>'RESUMEN TOTAL'!AM7</f>
        <v>0</v>
      </c>
      <c r="AF4">
        <f>'RESUMEN TOTAL'!AN7</f>
        <v>0</v>
      </c>
      <c r="AG4">
        <f>'RESUMEN TOTAL'!AO7</f>
        <v>0</v>
      </c>
    </row>
    <row r="5" spans="1:36" x14ac:dyDescent="0.25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PTP A FO</v>
      </c>
      <c r="F5">
        <f>'RESUMEN TOTAL'!N8</f>
        <v>0</v>
      </c>
      <c r="G5">
        <f>'RESUMEN TOTAL'!O8</f>
        <v>0</v>
      </c>
      <c r="H5">
        <f>'RESUMEN TOTAL'!P8</f>
        <v>0</v>
      </c>
      <c r="I5">
        <f>'RESUMEN TOTAL'!Q8</f>
        <v>0</v>
      </c>
      <c r="J5">
        <f>'RESUMEN TOTAL'!R8</f>
        <v>0</v>
      </c>
      <c r="K5">
        <f>'RESUMEN TOTAL'!S8</f>
        <v>0</v>
      </c>
      <c r="L5">
        <f>'RESUMEN TOTAL'!T8</f>
        <v>0</v>
      </c>
      <c r="M5">
        <f>'RESUMEN TOTAL'!U8</f>
        <v>0</v>
      </c>
      <c r="N5">
        <f>'RESUMEN TOTAL'!V8</f>
        <v>0</v>
      </c>
      <c r="O5">
        <f>'RESUMEN TOTAL'!W8</f>
        <v>0</v>
      </c>
      <c r="P5">
        <f>'RESUMEN TOTAL'!X8</f>
        <v>0</v>
      </c>
      <c r="Q5">
        <f>'RESUMEN TOTAL'!Y8</f>
        <v>0</v>
      </c>
      <c r="R5">
        <f>'RESUMEN TOTAL'!Z8</f>
        <v>0</v>
      </c>
      <c r="S5">
        <f>'RESUMEN TOTAL'!AA8</f>
        <v>0</v>
      </c>
      <c r="T5">
        <f>'RESUMEN TOTAL'!AB8</f>
        <v>0</v>
      </c>
      <c r="U5">
        <f>'RESUMEN TOTAL'!AC8</f>
        <v>0</v>
      </c>
      <c r="V5">
        <f>'RESUMEN TOTAL'!AD8</f>
        <v>0</v>
      </c>
      <c r="W5">
        <f>'RESUMEN TOTAL'!AE8</f>
        <v>0</v>
      </c>
      <c r="X5">
        <f>'RESUMEN TOTAL'!AF8</f>
        <v>0</v>
      </c>
      <c r="Y5">
        <f>'RESUMEN TOTAL'!AG8</f>
        <v>0</v>
      </c>
      <c r="Z5">
        <f>'RESUMEN TOTAL'!AH8</f>
        <v>0</v>
      </c>
      <c r="AA5">
        <f>'RESUMEN TOTAL'!AI8</f>
        <v>0</v>
      </c>
      <c r="AB5">
        <f>'RESUMEN TOTAL'!AJ8</f>
        <v>0</v>
      </c>
      <c r="AC5">
        <f>'RESUMEN TOTAL'!AK8</f>
        <v>0</v>
      </c>
      <c r="AD5">
        <f>'RESUMEN TOTAL'!AL8</f>
        <v>0</v>
      </c>
      <c r="AE5">
        <f>'RESUMEN TOTAL'!AM8</f>
        <v>0</v>
      </c>
      <c r="AF5">
        <f>'RESUMEN TOTAL'!AN8</f>
        <v>0</v>
      </c>
      <c r="AG5">
        <f>'RESUMEN TOTAL'!AO8</f>
        <v>0</v>
      </c>
    </row>
    <row r="6" spans="1:36" x14ac:dyDescent="0.25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TOTAL'!N9</f>
        <v>0</v>
      </c>
      <c r="G6">
        <f>'RESUMEN TOTAL'!O9</f>
        <v>0</v>
      </c>
      <c r="H6">
        <f>'RESUMEN TOTAL'!P9</f>
        <v>0</v>
      </c>
      <c r="I6">
        <f>'RESUMEN TOTAL'!Q9</f>
        <v>0</v>
      </c>
      <c r="J6">
        <f>'RESUMEN TOTAL'!R9</f>
        <v>0</v>
      </c>
      <c r="K6">
        <f>'RESUMEN TOTAL'!S9</f>
        <v>0</v>
      </c>
      <c r="L6">
        <f>'RESUMEN TOTAL'!T9</f>
        <v>0</v>
      </c>
      <c r="M6">
        <f>'RESUMEN TOTAL'!U9</f>
        <v>0</v>
      </c>
      <c r="N6">
        <f>'RESUMEN TOTAL'!V9</f>
        <v>0</v>
      </c>
      <c r="O6">
        <f>'RESUMEN TOTAL'!W9</f>
        <v>0</v>
      </c>
      <c r="P6">
        <f>'RESUMEN TOTAL'!X9</f>
        <v>0</v>
      </c>
      <c r="Q6">
        <f>'RESUMEN TOTAL'!Y9</f>
        <v>0</v>
      </c>
      <c r="R6">
        <f>'RESUMEN TOTAL'!Z9</f>
        <v>0</v>
      </c>
      <c r="S6">
        <f>'RESUMEN TOTAL'!AA9</f>
        <v>0</v>
      </c>
      <c r="T6">
        <f>'RESUMEN TOTAL'!AB9</f>
        <v>0</v>
      </c>
      <c r="U6">
        <f>'RESUMEN TOTAL'!AC9</f>
        <v>0</v>
      </c>
      <c r="V6">
        <f>'RESUMEN TOTAL'!AD9</f>
        <v>0</v>
      </c>
      <c r="W6">
        <f>'RESUMEN TOTAL'!AE9</f>
        <v>0</v>
      </c>
      <c r="X6">
        <f>'RESUMEN TOTAL'!AF9</f>
        <v>0</v>
      </c>
      <c r="Y6">
        <f>'RESUMEN TOTAL'!AG9</f>
        <v>0</v>
      </c>
      <c r="Z6">
        <f>'RESUMEN TOTAL'!AH9</f>
        <v>0</v>
      </c>
      <c r="AA6">
        <f>'RESUMEN TOTAL'!AI9</f>
        <v>0</v>
      </c>
      <c r="AB6">
        <f>'RESUMEN TOTAL'!AJ9</f>
        <v>0</v>
      </c>
      <c r="AC6">
        <f>'RESUMEN TOTAL'!AK9</f>
        <v>0</v>
      </c>
      <c r="AD6">
        <f>'RESUMEN TOTAL'!AL9</f>
        <v>0</v>
      </c>
      <c r="AE6">
        <f>'RESUMEN TOTAL'!AM9</f>
        <v>0</v>
      </c>
      <c r="AF6">
        <f>'RESUMEN TOTAL'!AN9</f>
        <v>0</v>
      </c>
      <c r="AG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PTP A FO</v>
      </c>
      <c r="F7">
        <f>'RESUMEN TOTAL'!N10</f>
        <v>0</v>
      </c>
      <c r="G7">
        <f>'RESUMEN TOTAL'!O10</f>
        <v>0</v>
      </c>
      <c r="H7">
        <f>'RESUMEN TOTAL'!P10</f>
        <v>0</v>
      </c>
      <c r="I7">
        <f>'RESUMEN TOTAL'!Q10</f>
        <v>0</v>
      </c>
      <c r="J7">
        <f>'RESUMEN TOTAL'!R10</f>
        <v>0</v>
      </c>
      <c r="K7">
        <f>'RESUMEN TOTAL'!S10</f>
        <v>0</v>
      </c>
      <c r="L7">
        <f>'RESUMEN TOTAL'!T10</f>
        <v>0</v>
      </c>
      <c r="M7">
        <f>'RESUMEN TOTAL'!U10</f>
        <v>0</v>
      </c>
      <c r="N7">
        <f>'RESUMEN TOTAL'!V10</f>
        <v>0</v>
      </c>
      <c r="O7">
        <f>'RESUMEN TOTAL'!W10</f>
        <v>0</v>
      </c>
      <c r="P7">
        <f>'RESUMEN TOTAL'!X10</f>
        <v>0</v>
      </c>
      <c r="Q7">
        <f>'RESUMEN TOTAL'!Y10</f>
        <v>0</v>
      </c>
      <c r="R7">
        <f>'RESUMEN TOTAL'!Z10</f>
        <v>0</v>
      </c>
      <c r="S7">
        <f>'RESUMEN TOTAL'!AA10</f>
        <v>0</v>
      </c>
      <c r="T7">
        <f>'RESUMEN TOTAL'!AB10</f>
        <v>0</v>
      </c>
      <c r="U7">
        <f>'RESUMEN TOTAL'!AC10</f>
        <v>0</v>
      </c>
      <c r="V7">
        <f>'RESUMEN TOTAL'!AD10</f>
        <v>0</v>
      </c>
      <c r="W7">
        <f>'RESUMEN TOTAL'!AE10</f>
        <v>0</v>
      </c>
      <c r="X7">
        <f>'RESUMEN TOTAL'!AF10</f>
        <v>0</v>
      </c>
      <c r="Y7">
        <f>'RESUMEN TOTAL'!AG10</f>
        <v>0</v>
      </c>
      <c r="Z7">
        <f>'RESUMEN TOTAL'!AH10</f>
        <v>0</v>
      </c>
      <c r="AA7">
        <f>'RESUMEN TOTAL'!AI10</f>
        <v>0</v>
      </c>
      <c r="AB7">
        <f>'RESUMEN TOTAL'!AJ10</f>
        <v>0</v>
      </c>
      <c r="AC7">
        <f>'RESUMEN TOTAL'!AK10</f>
        <v>0</v>
      </c>
      <c r="AD7">
        <f>'RESUMEN TOTAL'!AL10</f>
        <v>0</v>
      </c>
      <c r="AE7">
        <f>'RESUMEN TOTAL'!AM10</f>
        <v>0</v>
      </c>
      <c r="AF7">
        <f>'RESUMEN TOTAL'!AN10</f>
        <v>0</v>
      </c>
      <c r="AG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TOTAL'!N11</f>
        <v>0</v>
      </c>
      <c r="G8">
        <f>'RESUMEN TOTAL'!O11</f>
        <v>0</v>
      </c>
      <c r="H8">
        <f>'RESUMEN TOTAL'!P11</f>
        <v>0</v>
      </c>
      <c r="I8">
        <f>'RESUMEN TOTAL'!Q11</f>
        <v>0</v>
      </c>
      <c r="J8">
        <f>'RESUMEN TOTAL'!R11</f>
        <v>0</v>
      </c>
      <c r="K8">
        <f>'RESUMEN TOTAL'!S11</f>
        <v>0</v>
      </c>
      <c r="L8">
        <f>'RESUMEN TOTAL'!T11</f>
        <v>0</v>
      </c>
      <c r="M8">
        <f>'RESUMEN TOTAL'!U11</f>
        <v>0</v>
      </c>
      <c r="N8">
        <f>'RESUMEN TOTAL'!V11</f>
        <v>0</v>
      </c>
      <c r="O8">
        <f>'RESUMEN TOTAL'!W11</f>
        <v>0</v>
      </c>
      <c r="P8">
        <f>'RESUMEN TOTAL'!X11</f>
        <v>0</v>
      </c>
      <c r="Q8">
        <f>'RESUMEN TOTAL'!Y11</f>
        <v>0</v>
      </c>
      <c r="R8">
        <f>'RESUMEN TOTAL'!Z11</f>
        <v>0</v>
      </c>
      <c r="S8">
        <f>'RESUMEN TOTAL'!AA11</f>
        <v>0</v>
      </c>
      <c r="T8">
        <f>'RESUMEN TOTAL'!AB11</f>
        <v>0</v>
      </c>
      <c r="U8">
        <f>'RESUMEN TOTAL'!AC11</f>
        <v>0</v>
      </c>
      <c r="V8">
        <f>'RESUMEN TOTAL'!AD11</f>
        <v>0</v>
      </c>
      <c r="W8">
        <f>'RESUMEN TOTAL'!AE11</f>
        <v>0</v>
      </c>
      <c r="X8">
        <f>'RESUMEN TOTAL'!AF11</f>
        <v>0</v>
      </c>
      <c r="Y8">
        <f>'RESUMEN TOTAL'!AG11</f>
        <v>0</v>
      </c>
      <c r="Z8">
        <f>'RESUMEN TOTAL'!AH11</f>
        <v>0</v>
      </c>
      <c r="AA8">
        <f>'RESUMEN TOTAL'!AI11</f>
        <v>0</v>
      </c>
      <c r="AB8">
        <f>'RESUMEN TOTAL'!AJ11</f>
        <v>0</v>
      </c>
      <c r="AC8">
        <f>'RESUMEN TOTAL'!AK11</f>
        <v>0</v>
      </c>
      <c r="AD8">
        <f>'RESUMEN TOTAL'!AL11</f>
        <v>0</v>
      </c>
      <c r="AE8">
        <f>'RESUMEN TOTAL'!AM11</f>
        <v>0</v>
      </c>
      <c r="AF8">
        <f>'RESUMEN TOTAL'!AN11</f>
        <v>0</v>
      </c>
      <c r="AG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PTP A FO</v>
      </c>
      <c r="F9">
        <f>'RESUMEN TOTAL'!N12</f>
        <v>0</v>
      </c>
      <c r="G9">
        <f>'RESUMEN TOTAL'!O12</f>
        <v>0</v>
      </c>
      <c r="H9">
        <f>'RESUMEN TOTAL'!P12</f>
        <v>0</v>
      </c>
      <c r="I9">
        <f>'RESUMEN TOTAL'!Q12</f>
        <v>0</v>
      </c>
      <c r="J9">
        <f>'RESUMEN TOTAL'!R12</f>
        <v>0</v>
      </c>
      <c r="K9">
        <f>'RESUMEN TOTAL'!S12</f>
        <v>0</v>
      </c>
      <c r="L9">
        <f>'RESUMEN TOTAL'!T12</f>
        <v>0</v>
      </c>
      <c r="M9">
        <f>'RESUMEN TOTAL'!U12</f>
        <v>0</v>
      </c>
      <c r="N9">
        <f>'RESUMEN TOTAL'!V12</f>
        <v>0</v>
      </c>
      <c r="O9">
        <f>'RESUMEN TOTAL'!W12</f>
        <v>0</v>
      </c>
      <c r="P9">
        <f>'RESUMEN TOTAL'!X12</f>
        <v>0</v>
      </c>
      <c r="Q9">
        <f>'RESUMEN TOTAL'!Y12</f>
        <v>0</v>
      </c>
      <c r="R9">
        <f>'RESUMEN TOTAL'!Z12</f>
        <v>0</v>
      </c>
      <c r="S9">
        <f>'RESUMEN TOTAL'!AA12</f>
        <v>0</v>
      </c>
      <c r="T9">
        <f>'RESUMEN TOTAL'!AB12</f>
        <v>0</v>
      </c>
      <c r="U9">
        <f>'RESUMEN TOTAL'!AC12</f>
        <v>0</v>
      </c>
      <c r="V9">
        <f>'RESUMEN TOTAL'!AD12</f>
        <v>0</v>
      </c>
      <c r="W9">
        <f>'RESUMEN TOTAL'!AE12</f>
        <v>0</v>
      </c>
      <c r="X9">
        <f>'RESUMEN TOTAL'!AF12</f>
        <v>0</v>
      </c>
      <c r="Y9">
        <f>'RESUMEN TOTAL'!AG12</f>
        <v>0</v>
      </c>
      <c r="Z9">
        <f>'RESUMEN TOTAL'!AH12</f>
        <v>0</v>
      </c>
      <c r="AA9">
        <f>'RESUMEN TOTAL'!AI12</f>
        <v>0</v>
      </c>
      <c r="AB9">
        <f>'RESUMEN TOTAL'!AJ12</f>
        <v>0</v>
      </c>
      <c r="AC9">
        <f>'RESUMEN TOTAL'!AK12</f>
        <v>0</v>
      </c>
      <c r="AD9">
        <f>'RESUMEN TOTAL'!AL12</f>
        <v>0</v>
      </c>
      <c r="AE9">
        <f>'RESUMEN TOTAL'!AM12</f>
        <v>0</v>
      </c>
      <c r="AF9">
        <f>'RESUMEN TOTAL'!AN12</f>
        <v>0</v>
      </c>
      <c r="AG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Fibra Optica</v>
      </c>
      <c r="F10">
        <f>'RESUMEN TOTAL'!N13</f>
        <v>0</v>
      </c>
      <c r="G10">
        <f>'RESUMEN TOTAL'!O13</f>
        <v>0</v>
      </c>
      <c r="H10">
        <f>'RESUMEN TOTAL'!P13</f>
        <v>0</v>
      </c>
      <c r="I10">
        <f>'RESUMEN TOTAL'!Q13</f>
        <v>0</v>
      </c>
      <c r="J10">
        <f>'RESUMEN TOTAL'!R13</f>
        <v>0</v>
      </c>
      <c r="K10">
        <f>'RESUMEN TOTAL'!S13</f>
        <v>0</v>
      </c>
      <c r="L10">
        <f>'RESUMEN TOTAL'!T13</f>
        <v>0</v>
      </c>
      <c r="M10">
        <f>'RESUMEN TOTAL'!U13</f>
        <v>0</v>
      </c>
      <c r="N10">
        <f>'RESUMEN TOTAL'!V13</f>
        <v>0</v>
      </c>
      <c r="O10">
        <f>'RESUMEN TOTAL'!W13</f>
        <v>0</v>
      </c>
      <c r="P10">
        <f>'RESUMEN TOTAL'!X13</f>
        <v>0</v>
      </c>
      <c r="Q10">
        <f>'RESUMEN TOTAL'!Y13</f>
        <v>0</v>
      </c>
      <c r="R10">
        <f>'RESUMEN TOTAL'!Z13</f>
        <v>0</v>
      </c>
      <c r="S10">
        <f>'RESUMEN TOTAL'!AA13</f>
        <v>0</v>
      </c>
      <c r="T10">
        <f>'RESUMEN TOTAL'!AB13</f>
        <v>0</v>
      </c>
      <c r="U10">
        <f>'RESUMEN TOTAL'!AC13</f>
        <v>0</v>
      </c>
      <c r="V10">
        <f>'RESUMEN TOTAL'!AD13</f>
        <v>0</v>
      </c>
      <c r="W10">
        <f>'RESUMEN TOTAL'!AE13</f>
        <v>0</v>
      </c>
      <c r="X10">
        <f>'RESUMEN TOTAL'!AF13</f>
        <v>0</v>
      </c>
      <c r="Y10">
        <f>'RESUMEN TOTAL'!AG13</f>
        <v>0</v>
      </c>
      <c r="Z10">
        <f>'RESUMEN TOTAL'!AH13</f>
        <v>0</v>
      </c>
      <c r="AA10">
        <f>'RESUMEN TOTAL'!AI13</f>
        <v>0</v>
      </c>
      <c r="AB10">
        <f>'RESUMEN TOTAL'!AJ13</f>
        <v>0</v>
      </c>
      <c r="AC10">
        <f>'RESUMEN TOTAL'!AK13</f>
        <v>0</v>
      </c>
      <c r="AD10">
        <f>'RESUMEN TOTAL'!AL13</f>
        <v>0</v>
      </c>
      <c r="AE10">
        <f>'RESUMEN TOTAL'!AM13</f>
        <v>0</v>
      </c>
      <c r="AF10">
        <f>'RESUMEN TOTAL'!AN13</f>
        <v>0</v>
      </c>
      <c r="AG10">
        <f>'RESUMEN TOTAL'!AO13</f>
        <v>0</v>
      </c>
    </row>
    <row r="11" spans="1:36" x14ac:dyDescent="0.25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Fibra Optica</v>
      </c>
      <c r="F11" t="str">
        <f>'RESUMEN TOTAL'!N14</f>
        <v>APAGADO</v>
      </c>
      <c r="G11">
        <f>'RESUMEN TOTAL'!O14</f>
        <v>0</v>
      </c>
      <c r="H11">
        <f>'RESUMEN TOTAL'!P14</f>
        <v>0</v>
      </c>
      <c r="I11">
        <f>'RESUMEN TOTAL'!Q14</f>
        <v>0</v>
      </c>
      <c r="J11">
        <f>'RESUMEN TOTAL'!R14</f>
        <v>0</v>
      </c>
      <c r="K11">
        <f>'RESUMEN TOTAL'!S14</f>
        <v>0</v>
      </c>
      <c r="L11">
        <f>'RESUMEN TOTAL'!T14</f>
        <v>0</v>
      </c>
      <c r="M11">
        <f>'RESUMEN TOTAL'!U14</f>
        <v>0</v>
      </c>
      <c r="N11">
        <f>'RESUMEN TOTAL'!V14</f>
        <v>0</v>
      </c>
      <c r="O11">
        <f>'RESUMEN TOTAL'!W14</f>
        <v>0</v>
      </c>
      <c r="P11">
        <f>'RESUMEN TOTAL'!X14</f>
        <v>0</v>
      </c>
      <c r="Q11">
        <f>'RESUMEN TOTAL'!Y14</f>
        <v>0</v>
      </c>
      <c r="R11">
        <f>'RESUMEN TOTAL'!Z14</f>
        <v>0</v>
      </c>
      <c r="S11">
        <f>'RESUMEN TOTAL'!AA14</f>
        <v>0</v>
      </c>
      <c r="T11">
        <f>'RESUMEN TOTAL'!AB14</f>
        <v>0</v>
      </c>
      <c r="U11">
        <f>'RESUMEN TOTAL'!AC14</f>
        <v>0</v>
      </c>
      <c r="V11">
        <f>'RESUMEN TOTAL'!AD14</f>
        <v>0</v>
      </c>
      <c r="W11">
        <f>'RESUMEN TOTAL'!AE14</f>
        <v>0</v>
      </c>
      <c r="X11">
        <f>'RESUMEN TOTAL'!AF14</f>
        <v>0</v>
      </c>
      <c r="Y11">
        <f>'RESUMEN TOTAL'!AG14</f>
        <v>0</v>
      </c>
      <c r="Z11">
        <f>'RESUMEN TOTAL'!AH14</f>
        <v>0</v>
      </c>
      <c r="AA11">
        <f>'RESUMEN TOTAL'!AI14</f>
        <v>0</v>
      </c>
      <c r="AB11">
        <f>'RESUMEN TOTAL'!AJ14</f>
        <v>0</v>
      </c>
      <c r="AC11">
        <f>'RESUMEN TOTAL'!AK14</f>
        <v>0</v>
      </c>
      <c r="AD11">
        <f>'RESUMEN TOTAL'!AL14</f>
        <v>0</v>
      </c>
      <c r="AE11">
        <f>'RESUMEN TOTAL'!AM14</f>
        <v>0</v>
      </c>
      <c r="AF11">
        <f>'RESUMEN TOTAL'!AN14</f>
        <v>0</v>
      </c>
      <c r="AG11">
        <f>'RESUMEN TOTAL'!AO14</f>
        <v>0</v>
      </c>
    </row>
    <row r="12" spans="1:36" x14ac:dyDescent="0.25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PTP A FO</v>
      </c>
      <c r="F12">
        <f>'RESUMEN TOTAL'!N15</f>
        <v>0</v>
      </c>
      <c r="G12">
        <f>'RESUMEN TOTAL'!O15</f>
        <v>0</v>
      </c>
      <c r="H12">
        <f>'RESUMEN TOTAL'!P15</f>
        <v>0</v>
      </c>
      <c r="I12">
        <f>'RESUMEN TOTAL'!Q15</f>
        <v>0</v>
      </c>
      <c r="J12">
        <f>'RESUMEN TOTAL'!R15</f>
        <v>0</v>
      </c>
      <c r="K12">
        <f>'RESUMEN TOTAL'!S15</f>
        <v>0</v>
      </c>
      <c r="L12">
        <f>'RESUMEN TOTAL'!T15</f>
        <v>0</v>
      </c>
      <c r="M12">
        <f>'RESUMEN TOTAL'!U15</f>
        <v>0</v>
      </c>
      <c r="N12">
        <f>'RESUMEN TOTAL'!V15</f>
        <v>0</v>
      </c>
      <c r="O12">
        <f>'RESUMEN TOTAL'!W15</f>
        <v>0</v>
      </c>
      <c r="P12">
        <f>'RESUMEN TOTAL'!X15</f>
        <v>0</v>
      </c>
      <c r="Q12">
        <f>'RESUMEN TOTAL'!Y15</f>
        <v>0</v>
      </c>
      <c r="R12">
        <f>'RESUMEN TOTAL'!Z15</f>
        <v>0</v>
      </c>
      <c r="S12">
        <f>'RESUMEN TOTAL'!AA15</f>
        <v>0</v>
      </c>
      <c r="T12">
        <f>'RESUMEN TOTAL'!AB15</f>
        <v>0</v>
      </c>
      <c r="U12">
        <f>'RESUMEN TOTAL'!AC15</f>
        <v>0</v>
      </c>
      <c r="V12">
        <f>'RESUMEN TOTAL'!AD15</f>
        <v>0</v>
      </c>
      <c r="W12">
        <f>'RESUMEN TOTAL'!AE15</f>
        <v>0</v>
      </c>
      <c r="X12">
        <f>'RESUMEN TOTAL'!AF15</f>
        <v>0</v>
      </c>
      <c r="Y12">
        <f>'RESUMEN TOTAL'!AG15</f>
        <v>0</v>
      </c>
      <c r="Z12">
        <f>'RESUMEN TOTAL'!AH15</f>
        <v>0</v>
      </c>
      <c r="AA12">
        <f>'RESUMEN TOTAL'!AI15</f>
        <v>0</v>
      </c>
      <c r="AB12">
        <f>'RESUMEN TOTAL'!AJ15</f>
        <v>0</v>
      </c>
      <c r="AC12">
        <f>'RESUMEN TOTAL'!AK15</f>
        <v>0</v>
      </c>
      <c r="AD12">
        <f>'RESUMEN TOTAL'!AL15</f>
        <v>0</v>
      </c>
      <c r="AE12">
        <f>'RESUMEN TOTAL'!AM15</f>
        <v>0</v>
      </c>
      <c r="AF12">
        <f>'RESUMEN TOTAL'!AN15</f>
        <v>0</v>
      </c>
      <c r="AG12">
        <f>'RESUMEN TOTAL'!AO15</f>
        <v>0</v>
      </c>
    </row>
    <row r="13" spans="1:36" x14ac:dyDescent="0.25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PTP A FO</v>
      </c>
      <c r="F13">
        <f>'RESUMEN TOTAL'!N16</f>
        <v>0</v>
      </c>
      <c r="G13">
        <f>'RESUMEN TOTAL'!O16</f>
        <v>0</v>
      </c>
      <c r="H13">
        <f>'RESUMEN TOTAL'!P16</f>
        <v>0</v>
      </c>
      <c r="I13">
        <f>'RESUMEN TOTAL'!Q16</f>
        <v>0</v>
      </c>
      <c r="J13">
        <f>'RESUMEN TOTAL'!R16</f>
        <v>0</v>
      </c>
      <c r="K13">
        <f>'RESUMEN TOTAL'!S16</f>
        <v>0</v>
      </c>
      <c r="L13">
        <f>'RESUMEN TOTAL'!T16</f>
        <v>0</v>
      </c>
      <c r="M13">
        <f>'RESUMEN TOTAL'!U16</f>
        <v>0</v>
      </c>
      <c r="N13">
        <f>'RESUMEN TOTAL'!V16</f>
        <v>0</v>
      </c>
      <c r="O13">
        <f>'RESUMEN TOTAL'!W16</f>
        <v>0</v>
      </c>
      <c r="P13">
        <f>'RESUMEN TOTAL'!X16</f>
        <v>0</v>
      </c>
      <c r="Q13">
        <f>'RESUMEN TOTAL'!Y16</f>
        <v>0</v>
      </c>
      <c r="R13">
        <f>'RESUMEN TOTAL'!Z16</f>
        <v>0</v>
      </c>
      <c r="S13">
        <f>'RESUMEN TOTAL'!AA16</f>
        <v>0</v>
      </c>
      <c r="T13">
        <f>'RESUMEN TOTAL'!AB16</f>
        <v>0</v>
      </c>
      <c r="U13">
        <f>'RESUMEN TOTAL'!AC16</f>
        <v>0</v>
      </c>
      <c r="V13">
        <f>'RESUMEN TOTAL'!AD16</f>
        <v>0</v>
      </c>
      <c r="W13">
        <f>'RESUMEN TOTAL'!AE16</f>
        <v>0</v>
      </c>
      <c r="X13">
        <f>'RESUMEN TOTAL'!AF16</f>
        <v>0</v>
      </c>
      <c r="Y13">
        <f>'RESUMEN TOTAL'!AG16</f>
        <v>0</v>
      </c>
      <c r="Z13">
        <f>'RESUMEN TOTAL'!AH16</f>
        <v>0</v>
      </c>
      <c r="AA13">
        <f>'RESUMEN TOTAL'!AI16</f>
        <v>0</v>
      </c>
      <c r="AB13">
        <f>'RESUMEN TOTAL'!AJ16</f>
        <v>0</v>
      </c>
      <c r="AC13">
        <f>'RESUMEN TOTAL'!AK16</f>
        <v>0</v>
      </c>
      <c r="AD13">
        <f>'RESUMEN TOTAL'!AL16</f>
        <v>0</v>
      </c>
      <c r="AE13">
        <f>'RESUMEN TOTAL'!AM16</f>
        <v>0</v>
      </c>
      <c r="AF13">
        <f>'RESUMEN TOTAL'!AN16</f>
        <v>0</v>
      </c>
      <c r="AG13">
        <f>'RESUMEN TOTAL'!AO16</f>
        <v>0</v>
      </c>
    </row>
    <row r="14" spans="1:36" x14ac:dyDescent="0.25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>
        <f>'RESUMEN TOTAL'!N17</f>
        <v>0</v>
      </c>
      <c r="G14">
        <f>'RESUMEN TOTAL'!O17</f>
        <v>0</v>
      </c>
      <c r="H14">
        <f>'RESUMEN TOTAL'!P17</f>
        <v>0</v>
      </c>
      <c r="I14">
        <f>'RESUMEN TOTAL'!Q17</f>
        <v>0</v>
      </c>
      <c r="J14">
        <f>'RESUMEN TOTAL'!R17</f>
        <v>0</v>
      </c>
      <c r="K14">
        <f>'RESUMEN TOTAL'!S17</f>
        <v>0</v>
      </c>
      <c r="L14">
        <f>'RESUMEN TOTAL'!T17</f>
        <v>0</v>
      </c>
      <c r="M14">
        <f>'RESUMEN TOTAL'!U17</f>
        <v>0</v>
      </c>
      <c r="N14">
        <f>'RESUMEN TOTAL'!V17</f>
        <v>0</v>
      </c>
      <c r="O14">
        <f>'RESUMEN TOTAL'!W17</f>
        <v>0</v>
      </c>
      <c r="P14">
        <f>'RESUMEN TOTAL'!X17</f>
        <v>0</v>
      </c>
      <c r="Q14">
        <f>'RESUMEN TOTAL'!Y17</f>
        <v>0</v>
      </c>
      <c r="R14">
        <f>'RESUMEN TOTAL'!Z17</f>
        <v>0</v>
      </c>
      <c r="S14">
        <f>'RESUMEN TOTAL'!AA17</f>
        <v>0</v>
      </c>
      <c r="T14">
        <f>'RESUMEN TOTAL'!AB17</f>
        <v>0</v>
      </c>
      <c r="U14">
        <f>'RESUMEN TOTAL'!AC17</f>
        <v>0</v>
      </c>
      <c r="V14">
        <f>'RESUMEN TOTAL'!AD17</f>
        <v>0</v>
      </c>
      <c r="W14">
        <f>'RESUMEN TOTAL'!AE17</f>
        <v>0</v>
      </c>
      <c r="X14">
        <f>'RESUMEN TOTAL'!AF17</f>
        <v>0</v>
      </c>
      <c r="Y14">
        <f>'RESUMEN TOTAL'!AG17</f>
        <v>0</v>
      </c>
      <c r="Z14">
        <f>'RESUMEN TOTAL'!AH17</f>
        <v>0</v>
      </c>
      <c r="AA14">
        <f>'RESUMEN TOTAL'!AI17</f>
        <v>0</v>
      </c>
      <c r="AB14">
        <f>'RESUMEN TOTAL'!AJ17</f>
        <v>0</v>
      </c>
      <c r="AC14">
        <f>'RESUMEN TOTAL'!AK17</f>
        <v>0</v>
      </c>
      <c r="AD14">
        <f>'RESUMEN TOTAL'!AL17</f>
        <v>0</v>
      </c>
      <c r="AE14">
        <f>'RESUMEN TOTAL'!AM17</f>
        <v>0</v>
      </c>
      <c r="AF14">
        <f>'RESUMEN TOTAL'!AN17</f>
        <v>0</v>
      </c>
      <c r="AG14">
        <f>'RESUMEN TOTAL'!AO17</f>
        <v>0</v>
      </c>
    </row>
    <row r="15" spans="1:36" x14ac:dyDescent="0.25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>
        <f>'RESUMEN TOTAL'!N18</f>
        <v>0</v>
      </c>
      <c r="G15">
        <f>'RESUMEN TOTAL'!O18</f>
        <v>0</v>
      </c>
      <c r="H15">
        <f>'RESUMEN TOTAL'!P18</f>
        <v>0</v>
      </c>
      <c r="I15">
        <f>'RESUMEN TOTAL'!Q18</f>
        <v>0</v>
      </c>
      <c r="J15">
        <f>'RESUMEN TOTAL'!R18</f>
        <v>0</v>
      </c>
      <c r="K15">
        <f>'RESUMEN TOTAL'!S18</f>
        <v>0</v>
      </c>
      <c r="L15">
        <f>'RESUMEN TOTAL'!T18</f>
        <v>0</v>
      </c>
      <c r="M15">
        <f>'RESUMEN TOTAL'!U18</f>
        <v>0</v>
      </c>
      <c r="N15">
        <f>'RESUMEN TOTAL'!V18</f>
        <v>0</v>
      </c>
      <c r="O15">
        <f>'RESUMEN TOTAL'!W18</f>
        <v>0</v>
      </c>
      <c r="P15">
        <f>'RESUMEN TOTAL'!X18</f>
        <v>0</v>
      </c>
      <c r="Q15">
        <f>'RESUMEN TOTAL'!Y18</f>
        <v>0</v>
      </c>
      <c r="R15">
        <f>'RESUMEN TOTAL'!Z18</f>
        <v>0</v>
      </c>
      <c r="S15">
        <f>'RESUMEN TOTAL'!AA18</f>
        <v>0</v>
      </c>
      <c r="T15">
        <f>'RESUMEN TOTAL'!AB18</f>
        <v>0</v>
      </c>
      <c r="U15">
        <f>'RESUMEN TOTAL'!AC18</f>
        <v>0</v>
      </c>
      <c r="V15">
        <f>'RESUMEN TOTAL'!AD18</f>
        <v>0</v>
      </c>
      <c r="W15">
        <f>'RESUMEN TOTAL'!AE18</f>
        <v>0</v>
      </c>
      <c r="X15">
        <f>'RESUMEN TOTAL'!AF18</f>
        <v>0</v>
      </c>
      <c r="Y15">
        <f>'RESUMEN TOTAL'!AG18</f>
        <v>0</v>
      </c>
      <c r="Z15">
        <f>'RESUMEN TOTAL'!AH18</f>
        <v>0</v>
      </c>
      <c r="AA15">
        <f>'RESUMEN TOTAL'!AI18</f>
        <v>0</v>
      </c>
      <c r="AB15">
        <f>'RESUMEN TOTAL'!AJ18</f>
        <v>0</v>
      </c>
      <c r="AC15">
        <f>'RESUMEN TOTAL'!AK18</f>
        <v>0</v>
      </c>
      <c r="AD15">
        <f>'RESUMEN TOTAL'!AL18</f>
        <v>0</v>
      </c>
      <c r="AE15">
        <f>'RESUMEN TOTAL'!AM18</f>
        <v>0</v>
      </c>
      <c r="AF15">
        <f>'RESUMEN TOTAL'!AN18</f>
        <v>0</v>
      </c>
      <c r="AG15">
        <f>'RESUMEN TOTAL'!AO18</f>
        <v>0</v>
      </c>
    </row>
    <row r="16" spans="1:36" x14ac:dyDescent="0.25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Fibra Optica</v>
      </c>
      <c r="F16">
        <f>'RESUMEN TOTAL'!N19</f>
        <v>0</v>
      </c>
      <c r="G16" t="str">
        <f>'RESUMEN TOTAL'!O19</f>
        <v>APAGADO</v>
      </c>
      <c r="H16" t="str">
        <f>'RESUMEN TOTAL'!P19</f>
        <v>APAGADO</v>
      </c>
      <c r="I16" t="str">
        <f>'RESUMEN TOTAL'!Q19</f>
        <v>APAGADO</v>
      </c>
      <c r="J16" t="str">
        <f>'RESUMEN TOTAL'!R19</f>
        <v>APAGADO</v>
      </c>
      <c r="K16" t="str">
        <f>'RESUMEN TOTAL'!S19</f>
        <v>APAGADO</v>
      </c>
      <c r="L16" t="str">
        <f>'RESUMEN TOTAL'!T19</f>
        <v>APAGADO</v>
      </c>
      <c r="M16">
        <f>'RESUMEN TOTAL'!U19</f>
        <v>0</v>
      </c>
      <c r="N16">
        <f>'RESUMEN TOTAL'!V19</f>
        <v>0</v>
      </c>
      <c r="O16">
        <f>'RESUMEN TOTAL'!W19</f>
        <v>0</v>
      </c>
      <c r="P16">
        <f>'RESUMEN TOTAL'!X19</f>
        <v>0</v>
      </c>
      <c r="Q16">
        <f>'RESUMEN TOTAL'!Y19</f>
        <v>0</v>
      </c>
      <c r="R16">
        <f>'RESUMEN TOTAL'!Z19</f>
        <v>0</v>
      </c>
      <c r="S16">
        <f>'RESUMEN TOTAL'!AA19</f>
        <v>0</v>
      </c>
      <c r="T16">
        <f>'RESUMEN TOTAL'!AB19</f>
        <v>0</v>
      </c>
      <c r="U16">
        <f>'RESUMEN TOTAL'!AC19</f>
        <v>0</v>
      </c>
      <c r="V16">
        <f>'RESUMEN TOTAL'!AD19</f>
        <v>0</v>
      </c>
      <c r="W16">
        <f>'RESUMEN TOTAL'!AE19</f>
        <v>0</v>
      </c>
      <c r="X16">
        <f>'RESUMEN TOTAL'!AF19</f>
        <v>0</v>
      </c>
      <c r="Y16">
        <f>'RESUMEN TOTAL'!AG19</f>
        <v>0</v>
      </c>
      <c r="Z16">
        <f>'RESUMEN TOTAL'!AH19</f>
        <v>0</v>
      </c>
      <c r="AA16">
        <f>'RESUMEN TOTAL'!AI19</f>
        <v>0</v>
      </c>
      <c r="AB16">
        <f>'RESUMEN TOTAL'!AJ19</f>
        <v>0</v>
      </c>
      <c r="AC16">
        <f>'RESUMEN TOTAL'!AK19</f>
        <v>0</v>
      </c>
      <c r="AD16">
        <f>'RESUMEN TOTAL'!AL19</f>
        <v>0</v>
      </c>
      <c r="AE16">
        <f>'RESUMEN TOTAL'!AM19</f>
        <v>0</v>
      </c>
      <c r="AF16">
        <f>'RESUMEN TOTAL'!AN19</f>
        <v>0</v>
      </c>
      <c r="AG16">
        <f>'RESUMEN TOTAL'!AO19</f>
        <v>0</v>
      </c>
    </row>
    <row r="17" spans="1:33" x14ac:dyDescent="0.25">
      <c r="A17" t="str">
        <f>'RESUMEN TOTAL'!A20</f>
        <v>ALTAMIRA</v>
      </c>
      <c r="B17" t="str">
        <f>'RESUMEN TOTAL'!B20</f>
        <v>ALT10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PTP A FO</v>
      </c>
      <c r="F17">
        <f>'RESUMEN TOTAL'!N20</f>
        <v>0</v>
      </c>
      <c r="G17">
        <f>'RESUMEN TOTAL'!O20</f>
        <v>0</v>
      </c>
      <c r="H17">
        <f>'RESUMEN TOTAL'!P20</f>
        <v>0</v>
      </c>
      <c r="I17">
        <f>'RESUMEN TOTAL'!Q20</f>
        <v>0</v>
      </c>
      <c r="J17">
        <f>'RESUMEN TOTAL'!R20</f>
        <v>0</v>
      </c>
      <c r="K17">
        <f>'RESUMEN TOTAL'!S20</f>
        <v>0</v>
      </c>
      <c r="L17">
        <f>'RESUMEN TOTAL'!T20</f>
        <v>0</v>
      </c>
      <c r="M17">
        <f>'RESUMEN TOTAL'!U20</f>
        <v>0</v>
      </c>
      <c r="N17">
        <f>'RESUMEN TOTAL'!V20</f>
        <v>0</v>
      </c>
      <c r="O17">
        <f>'RESUMEN TOTAL'!W20</f>
        <v>0</v>
      </c>
      <c r="P17">
        <f>'RESUMEN TOTAL'!X20</f>
        <v>0</v>
      </c>
      <c r="Q17">
        <f>'RESUMEN TOTAL'!Y20</f>
        <v>0</v>
      </c>
      <c r="R17">
        <f>'RESUMEN TOTAL'!Z20</f>
        <v>0</v>
      </c>
      <c r="S17">
        <f>'RESUMEN TOTAL'!AA20</f>
        <v>0</v>
      </c>
      <c r="T17">
        <f>'RESUMEN TOTAL'!AB20</f>
        <v>0</v>
      </c>
      <c r="U17">
        <f>'RESUMEN TOTAL'!AC20</f>
        <v>0</v>
      </c>
      <c r="V17">
        <f>'RESUMEN TOTAL'!AD20</f>
        <v>0</v>
      </c>
      <c r="W17">
        <f>'RESUMEN TOTAL'!AE20</f>
        <v>0</v>
      </c>
      <c r="X17">
        <f>'RESUMEN TOTAL'!AF20</f>
        <v>0</v>
      </c>
      <c r="Y17">
        <f>'RESUMEN TOTAL'!AG20</f>
        <v>0</v>
      </c>
      <c r="Z17">
        <f>'RESUMEN TOTAL'!AH20</f>
        <v>0</v>
      </c>
      <c r="AA17">
        <f>'RESUMEN TOTAL'!AI20</f>
        <v>0</v>
      </c>
      <c r="AB17">
        <f>'RESUMEN TOTAL'!AJ20</f>
        <v>0</v>
      </c>
      <c r="AC17">
        <f>'RESUMEN TOTAL'!AK20</f>
        <v>0</v>
      </c>
      <c r="AD17">
        <f>'RESUMEN TOTAL'!AL20</f>
        <v>0</v>
      </c>
      <c r="AE17">
        <f>'RESUMEN TOTAL'!AM20</f>
        <v>0</v>
      </c>
      <c r="AF17">
        <f>'RESUMEN TOTAL'!AN20</f>
        <v>0</v>
      </c>
      <c r="AG17">
        <f>'RESUMEN TOTAL'!AO20</f>
        <v>0</v>
      </c>
    </row>
    <row r="18" spans="1:33" x14ac:dyDescent="0.25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Fibra Optica</v>
      </c>
      <c r="F18">
        <f>'RESUMEN TOTAL'!N21</f>
        <v>0</v>
      </c>
      <c r="G18">
        <f>'RESUMEN TOTAL'!O21</f>
        <v>0</v>
      </c>
      <c r="H18">
        <f>'RESUMEN TOTAL'!P21</f>
        <v>0</v>
      </c>
      <c r="I18">
        <f>'RESUMEN TOTAL'!Q21</f>
        <v>0</v>
      </c>
      <c r="J18">
        <f>'RESUMEN TOTAL'!R21</f>
        <v>0</v>
      </c>
      <c r="K18">
        <f>'RESUMEN TOTAL'!S21</f>
        <v>0</v>
      </c>
      <c r="L18">
        <f>'RESUMEN TOTAL'!T21</f>
        <v>0</v>
      </c>
      <c r="M18">
        <f>'RESUMEN TOTAL'!U21</f>
        <v>0</v>
      </c>
      <c r="N18">
        <f>'RESUMEN TOTAL'!V21</f>
        <v>0</v>
      </c>
      <c r="O18">
        <f>'RESUMEN TOTAL'!W21</f>
        <v>0</v>
      </c>
      <c r="P18">
        <f>'RESUMEN TOTAL'!X21</f>
        <v>0</v>
      </c>
      <c r="Q18">
        <f>'RESUMEN TOTAL'!Y21</f>
        <v>0</v>
      </c>
      <c r="R18">
        <f>'RESUMEN TOTAL'!Z21</f>
        <v>0</v>
      </c>
      <c r="S18">
        <f>'RESUMEN TOTAL'!AA21</f>
        <v>0</v>
      </c>
      <c r="T18">
        <f>'RESUMEN TOTAL'!AB21</f>
        <v>0</v>
      </c>
      <c r="U18">
        <f>'RESUMEN TOTAL'!AC21</f>
        <v>0</v>
      </c>
      <c r="V18">
        <f>'RESUMEN TOTAL'!AD21</f>
        <v>0</v>
      </c>
      <c r="W18">
        <f>'RESUMEN TOTAL'!AE21</f>
        <v>0</v>
      </c>
      <c r="X18">
        <f>'RESUMEN TOTAL'!AF21</f>
        <v>0</v>
      </c>
      <c r="Y18">
        <f>'RESUMEN TOTAL'!AG21</f>
        <v>0</v>
      </c>
      <c r="Z18">
        <f>'RESUMEN TOTAL'!AH21</f>
        <v>0</v>
      </c>
      <c r="AA18">
        <f>'RESUMEN TOTAL'!AI21</f>
        <v>0</v>
      </c>
      <c r="AB18">
        <f>'RESUMEN TOTAL'!AJ21</f>
        <v>0</v>
      </c>
      <c r="AC18">
        <f>'RESUMEN TOTAL'!AK21</f>
        <v>0</v>
      </c>
      <c r="AD18">
        <f>'RESUMEN TOTAL'!AL21</f>
        <v>0</v>
      </c>
      <c r="AE18">
        <f>'RESUMEN TOTAL'!AM21</f>
        <v>0</v>
      </c>
      <c r="AF18">
        <f>'RESUMEN TOTAL'!AN21</f>
        <v>0</v>
      </c>
      <c r="AG18">
        <f>'RESUMEN TOTAL'!AO21</f>
        <v>0</v>
      </c>
    </row>
    <row r="19" spans="1:33" x14ac:dyDescent="0.25">
      <c r="A19">
        <f>'RESUMEN TOTAL'!A22</f>
        <v>0</v>
      </c>
      <c r="B19" t="str">
        <f>'RESUMEN TOTAL'!B22</f>
        <v>CEN51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TOTAL'!N22</f>
        <v>0</v>
      </c>
      <c r="G19">
        <f>'RESUMEN TOTAL'!O22</f>
        <v>0</v>
      </c>
      <c r="H19">
        <f>'RESUMEN TOTAL'!P22</f>
        <v>0</v>
      </c>
      <c r="I19">
        <f>'RESUMEN TOTAL'!Q22</f>
        <v>0</v>
      </c>
      <c r="J19">
        <f>'RESUMEN TOTAL'!R22</f>
        <v>0</v>
      </c>
      <c r="K19">
        <f>'RESUMEN TOTAL'!S22</f>
        <v>0</v>
      </c>
      <c r="L19">
        <f>'RESUMEN TOTAL'!T22</f>
        <v>0</v>
      </c>
      <c r="M19">
        <f>'RESUMEN TOTAL'!U22</f>
        <v>0</v>
      </c>
      <c r="N19">
        <f>'RESUMEN TOTAL'!V22</f>
        <v>0</v>
      </c>
      <c r="O19">
        <f>'RESUMEN TOTAL'!W22</f>
        <v>0</v>
      </c>
      <c r="P19">
        <f>'RESUMEN TOTAL'!X22</f>
        <v>0</v>
      </c>
      <c r="Q19">
        <f>'RESUMEN TOTAL'!Y22</f>
        <v>0</v>
      </c>
      <c r="R19">
        <f>'RESUMEN TOTAL'!Z22</f>
        <v>0</v>
      </c>
      <c r="S19">
        <f>'RESUMEN TOTAL'!AA22</f>
        <v>0</v>
      </c>
      <c r="T19">
        <f>'RESUMEN TOTAL'!AB22</f>
        <v>0</v>
      </c>
      <c r="U19">
        <f>'RESUMEN TOTAL'!AC22</f>
        <v>0</v>
      </c>
      <c r="V19">
        <f>'RESUMEN TOTAL'!AD22</f>
        <v>0</v>
      </c>
      <c r="W19">
        <f>'RESUMEN TOTAL'!AE22</f>
        <v>0</v>
      </c>
      <c r="X19">
        <f>'RESUMEN TOTAL'!AF22</f>
        <v>0</v>
      </c>
      <c r="Y19">
        <f>'RESUMEN TOTAL'!AG22</f>
        <v>0</v>
      </c>
      <c r="Z19">
        <f>'RESUMEN TOTAL'!AH22</f>
        <v>0</v>
      </c>
      <c r="AA19">
        <f>'RESUMEN TOTAL'!AI22</f>
        <v>0</v>
      </c>
      <c r="AB19">
        <f>'RESUMEN TOTAL'!AJ22</f>
        <v>0</v>
      </c>
      <c r="AC19">
        <f>'RESUMEN TOTAL'!AK22</f>
        <v>0</v>
      </c>
      <c r="AD19">
        <f>'RESUMEN TOTAL'!AL22</f>
        <v>0</v>
      </c>
      <c r="AE19">
        <f>'RESUMEN TOTAL'!AM22</f>
        <v>0</v>
      </c>
      <c r="AF19">
        <f>'RESUMEN TOTAL'!AN22</f>
        <v>0</v>
      </c>
      <c r="AG19">
        <f>'RESUMEN TOTAL'!AO22</f>
        <v>0</v>
      </c>
    </row>
    <row r="20" spans="1:33" x14ac:dyDescent="0.25">
      <c r="A20">
        <f>'RESUMEN TOTAL'!A23</f>
        <v>0</v>
      </c>
      <c r="B20" t="str">
        <f>'RESUMEN TOTAL'!B23</f>
        <v>CEN53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TOTAL'!N23</f>
        <v>0</v>
      </c>
      <c r="G20">
        <f>'RESUMEN TOTAL'!O23</f>
        <v>0</v>
      </c>
      <c r="H20">
        <f>'RESUMEN TOTAL'!P23</f>
        <v>0</v>
      </c>
      <c r="I20">
        <f>'RESUMEN TOTAL'!Q23</f>
        <v>0</v>
      </c>
      <c r="J20">
        <f>'RESUMEN TOTAL'!R23</f>
        <v>0</v>
      </c>
      <c r="K20">
        <f>'RESUMEN TOTAL'!S23</f>
        <v>0</v>
      </c>
      <c r="L20">
        <f>'RESUMEN TOTAL'!T23</f>
        <v>0</v>
      </c>
      <c r="M20">
        <f>'RESUMEN TOTAL'!U23</f>
        <v>0</v>
      </c>
      <c r="N20">
        <f>'RESUMEN TOTAL'!V23</f>
        <v>0</v>
      </c>
      <c r="O20">
        <f>'RESUMEN TOTAL'!W23</f>
        <v>0</v>
      </c>
      <c r="P20">
        <f>'RESUMEN TOTAL'!X23</f>
        <v>0</v>
      </c>
      <c r="Q20">
        <f>'RESUMEN TOTAL'!Y23</f>
        <v>0</v>
      </c>
      <c r="R20">
        <f>'RESUMEN TOTAL'!Z23</f>
        <v>0</v>
      </c>
      <c r="S20">
        <f>'RESUMEN TOTAL'!AA23</f>
        <v>0</v>
      </c>
      <c r="T20">
        <f>'RESUMEN TOTAL'!AB23</f>
        <v>0</v>
      </c>
      <c r="U20">
        <f>'RESUMEN TOTAL'!AC23</f>
        <v>0</v>
      </c>
      <c r="V20">
        <f>'RESUMEN TOTAL'!AD23</f>
        <v>0</v>
      </c>
      <c r="W20">
        <f>'RESUMEN TOTAL'!AE23</f>
        <v>0</v>
      </c>
      <c r="X20">
        <f>'RESUMEN TOTAL'!AF23</f>
        <v>0</v>
      </c>
      <c r="Y20">
        <f>'RESUMEN TOTAL'!AG23</f>
        <v>0</v>
      </c>
      <c r="Z20">
        <f>'RESUMEN TOTAL'!AH23</f>
        <v>0</v>
      </c>
      <c r="AA20">
        <f>'RESUMEN TOTAL'!AI23</f>
        <v>0</v>
      </c>
      <c r="AB20">
        <f>'RESUMEN TOTAL'!AJ23</f>
        <v>0</v>
      </c>
      <c r="AC20">
        <f>'RESUMEN TOTAL'!AK23</f>
        <v>0</v>
      </c>
      <c r="AD20">
        <f>'RESUMEN TOTAL'!AL23</f>
        <v>0</v>
      </c>
      <c r="AE20">
        <f>'RESUMEN TOTAL'!AM23</f>
        <v>0</v>
      </c>
      <c r="AF20">
        <f>'RESUMEN TOTAL'!AN23</f>
        <v>0</v>
      </c>
      <c r="AG20">
        <f>'RESUMEN TOTAL'!AO23</f>
        <v>0</v>
      </c>
    </row>
    <row r="21" spans="1:33" x14ac:dyDescent="0.25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>
        <f>'RESUMEN TOTAL'!N24</f>
        <v>0</v>
      </c>
      <c r="G21">
        <f>'RESUMEN TOTAL'!O24</f>
        <v>0</v>
      </c>
      <c r="H21">
        <f>'RESUMEN TOTAL'!P24</f>
        <v>0</v>
      </c>
      <c r="I21" t="str">
        <f>'RESUMEN TOTAL'!Q24</f>
        <v>APAGADO</v>
      </c>
      <c r="J21" t="str">
        <f>'RESUMEN TOTAL'!R24</f>
        <v>APAGADO</v>
      </c>
      <c r="K21" t="str">
        <f>'RESUMEN TOTAL'!S24</f>
        <v>APAGADO</v>
      </c>
      <c r="L21" t="str">
        <f>'RESUMEN TOTAL'!T24</f>
        <v>APAGADO</v>
      </c>
      <c r="M21">
        <f>'RESUMEN TOTAL'!U24</f>
        <v>0</v>
      </c>
      <c r="N21">
        <f>'RESUMEN TOTAL'!V24</f>
        <v>0</v>
      </c>
      <c r="O21">
        <f>'RESUMEN TOTAL'!W24</f>
        <v>0</v>
      </c>
      <c r="P21">
        <f>'RESUMEN TOTAL'!X24</f>
        <v>0</v>
      </c>
      <c r="Q21">
        <f>'RESUMEN TOTAL'!Y24</f>
        <v>0</v>
      </c>
      <c r="R21">
        <f>'RESUMEN TOTAL'!Z24</f>
        <v>0</v>
      </c>
      <c r="S21">
        <f>'RESUMEN TOTAL'!AA24</f>
        <v>0</v>
      </c>
      <c r="T21">
        <f>'RESUMEN TOTAL'!AB24</f>
        <v>0</v>
      </c>
      <c r="U21">
        <f>'RESUMEN TOTAL'!AC24</f>
        <v>0</v>
      </c>
      <c r="V21">
        <f>'RESUMEN TOTAL'!AD24</f>
        <v>0</v>
      </c>
      <c r="W21">
        <f>'RESUMEN TOTAL'!AE24</f>
        <v>0</v>
      </c>
      <c r="X21">
        <f>'RESUMEN TOTAL'!AF24</f>
        <v>0</v>
      </c>
      <c r="Y21">
        <f>'RESUMEN TOTAL'!AG24</f>
        <v>0</v>
      </c>
      <c r="Z21">
        <f>'RESUMEN TOTAL'!AH24</f>
        <v>0</v>
      </c>
      <c r="AA21">
        <f>'RESUMEN TOTAL'!AI24</f>
        <v>0</v>
      </c>
      <c r="AB21">
        <f>'RESUMEN TOTAL'!AJ24</f>
        <v>0</v>
      </c>
      <c r="AC21">
        <f>'RESUMEN TOTAL'!AK24</f>
        <v>0</v>
      </c>
      <c r="AD21">
        <f>'RESUMEN TOTAL'!AL24</f>
        <v>0</v>
      </c>
      <c r="AE21">
        <f>'RESUMEN TOTAL'!AM24</f>
        <v>0</v>
      </c>
      <c r="AF21">
        <f>'RESUMEN TOTAL'!AN24</f>
        <v>0</v>
      </c>
      <c r="AG21">
        <f>'RESUMEN TOTAL'!AO24</f>
        <v>0</v>
      </c>
    </row>
    <row r="22" spans="1:33" x14ac:dyDescent="0.25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TOTAL'!N25</f>
        <v>0</v>
      </c>
      <c r="G22">
        <f>'RESUMEN TOTAL'!O25</f>
        <v>0</v>
      </c>
      <c r="H22">
        <f>'RESUMEN TOTAL'!P25</f>
        <v>0</v>
      </c>
      <c r="I22">
        <f>'RESUMEN TOTAL'!Q25</f>
        <v>0</v>
      </c>
      <c r="J22">
        <f>'RESUMEN TOTAL'!R25</f>
        <v>0</v>
      </c>
      <c r="K22">
        <f>'RESUMEN TOTAL'!S25</f>
        <v>0</v>
      </c>
      <c r="L22">
        <f>'RESUMEN TOTAL'!T25</f>
        <v>0</v>
      </c>
      <c r="M22">
        <f>'RESUMEN TOTAL'!U25</f>
        <v>0</v>
      </c>
      <c r="N22">
        <f>'RESUMEN TOTAL'!V25</f>
        <v>0</v>
      </c>
      <c r="O22">
        <f>'RESUMEN TOTAL'!W25</f>
        <v>0</v>
      </c>
      <c r="P22">
        <f>'RESUMEN TOTAL'!X25</f>
        <v>0</v>
      </c>
      <c r="Q22">
        <f>'RESUMEN TOTAL'!Y25</f>
        <v>0</v>
      </c>
      <c r="R22">
        <f>'RESUMEN TOTAL'!Z25</f>
        <v>0</v>
      </c>
      <c r="S22">
        <f>'RESUMEN TOTAL'!AA25</f>
        <v>0</v>
      </c>
      <c r="T22">
        <f>'RESUMEN TOTAL'!AB25</f>
        <v>0</v>
      </c>
      <c r="U22">
        <f>'RESUMEN TOTAL'!AC25</f>
        <v>0</v>
      </c>
      <c r="V22">
        <f>'RESUMEN TOTAL'!AD25</f>
        <v>0</v>
      </c>
      <c r="W22">
        <f>'RESUMEN TOTAL'!AE25</f>
        <v>0</v>
      </c>
      <c r="X22">
        <f>'RESUMEN TOTAL'!AF25</f>
        <v>0</v>
      </c>
      <c r="Y22">
        <f>'RESUMEN TOTAL'!AG25</f>
        <v>0</v>
      </c>
      <c r="Z22">
        <f>'RESUMEN TOTAL'!AH25</f>
        <v>0</v>
      </c>
      <c r="AA22">
        <f>'RESUMEN TOTAL'!AI25</f>
        <v>0</v>
      </c>
      <c r="AB22">
        <f>'RESUMEN TOTAL'!AJ25</f>
        <v>0</v>
      </c>
      <c r="AC22">
        <f>'RESUMEN TOTAL'!AK25</f>
        <v>0</v>
      </c>
      <c r="AD22">
        <f>'RESUMEN TOTAL'!AL25</f>
        <v>0</v>
      </c>
      <c r="AE22">
        <f>'RESUMEN TOTAL'!AM25</f>
        <v>0</v>
      </c>
      <c r="AF22">
        <f>'RESUMEN TOTAL'!AN25</f>
        <v>0</v>
      </c>
      <c r="AG22">
        <f>'RESUMEN TOTAL'!AO25</f>
        <v>0</v>
      </c>
    </row>
    <row r="23" spans="1:33" x14ac:dyDescent="0.25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TOTAL'!N26</f>
        <v>0</v>
      </c>
      <c r="G23">
        <f>'RESUMEN TOTAL'!O26</f>
        <v>0</v>
      </c>
      <c r="H23">
        <f>'RESUMEN TOTAL'!P26</f>
        <v>0</v>
      </c>
      <c r="I23">
        <f>'RESUMEN TOTAL'!Q26</f>
        <v>0</v>
      </c>
      <c r="J23">
        <f>'RESUMEN TOTAL'!R26</f>
        <v>0</v>
      </c>
      <c r="K23">
        <f>'RESUMEN TOTAL'!S26</f>
        <v>0</v>
      </c>
      <c r="L23">
        <f>'RESUMEN TOTAL'!T26</f>
        <v>0</v>
      </c>
      <c r="M23">
        <f>'RESUMEN TOTAL'!U26</f>
        <v>0</v>
      </c>
      <c r="N23">
        <f>'RESUMEN TOTAL'!V26</f>
        <v>0</v>
      </c>
      <c r="O23">
        <f>'RESUMEN TOTAL'!W26</f>
        <v>0</v>
      </c>
      <c r="P23">
        <f>'RESUMEN TOTAL'!X26</f>
        <v>0</v>
      </c>
      <c r="Q23">
        <f>'RESUMEN TOTAL'!Y26</f>
        <v>0</v>
      </c>
      <c r="R23">
        <f>'RESUMEN TOTAL'!Z26</f>
        <v>0</v>
      </c>
      <c r="S23">
        <f>'RESUMEN TOTAL'!AA26</f>
        <v>0</v>
      </c>
      <c r="T23">
        <f>'RESUMEN TOTAL'!AB26</f>
        <v>0</v>
      </c>
      <c r="U23">
        <f>'RESUMEN TOTAL'!AC26</f>
        <v>0</v>
      </c>
      <c r="V23">
        <f>'RESUMEN TOTAL'!AD26</f>
        <v>0</v>
      </c>
      <c r="W23">
        <f>'RESUMEN TOTAL'!AE26</f>
        <v>0</v>
      </c>
      <c r="X23">
        <f>'RESUMEN TOTAL'!AF26</f>
        <v>0</v>
      </c>
      <c r="Y23">
        <f>'RESUMEN TOTAL'!AG26</f>
        <v>0</v>
      </c>
      <c r="Z23">
        <f>'RESUMEN TOTAL'!AH26</f>
        <v>0</v>
      </c>
      <c r="AA23">
        <f>'RESUMEN TOTAL'!AI26</f>
        <v>0</v>
      </c>
      <c r="AB23">
        <f>'RESUMEN TOTAL'!AJ26</f>
        <v>0</v>
      </c>
      <c r="AC23">
        <f>'RESUMEN TOTAL'!AK26</f>
        <v>0</v>
      </c>
      <c r="AD23">
        <f>'RESUMEN TOTAL'!AL26</f>
        <v>0</v>
      </c>
      <c r="AE23">
        <f>'RESUMEN TOTAL'!AM26</f>
        <v>0</v>
      </c>
      <c r="AF23">
        <f>'RESUMEN TOTAL'!AN26</f>
        <v>0</v>
      </c>
      <c r="AG23">
        <f>'RESUMEN TOTAL'!AO26</f>
        <v>0</v>
      </c>
    </row>
    <row r="24" spans="1:33" x14ac:dyDescent="0.25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TOTAL'!N27</f>
        <v>0</v>
      </c>
      <c r="G24">
        <f>'RESUMEN TOTAL'!O27</f>
        <v>0</v>
      </c>
      <c r="H24">
        <f>'RESUMEN TOTAL'!P27</f>
        <v>0</v>
      </c>
      <c r="I24">
        <f>'RESUMEN TOTAL'!Q27</f>
        <v>0</v>
      </c>
      <c r="J24">
        <f>'RESUMEN TOTAL'!R27</f>
        <v>0</v>
      </c>
      <c r="K24">
        <f>'RESUMEN TOTAL'!S27</f>
        <v>0</v>
      </c>
      <c r="L24">
        <f>'RESUMEN TOTAL'!T27</f>
        <v>0</v>
      </c>
      <c r="M24">
        <f>'RESUMEN TOTAL'!U27</f>
        <v>0</v>
      </c>
      <c r="N24">
        <f>'RESUMEN TOTAL'!V27</f>
        <v>0</v>
      </c>
      <c r="O24">
        <f>'RESUMEN TOTAL'!W27</f>
        <v>0</v>
      </c>
      <c r="P24">
        <f>'RESUMEN TOTAL'!X27</f>
        <v>0</v>
      </c>
      <c r="Q24">
        <f>'RESUMEN TOTAL'!Y27</f>
        <v>0</v>
      </c>
      <c r="R24">
        <f>'RESUMEN TOTAL'!Z27</f>
        <v>0</v>
      </c>
      <c r="S24">
        <f>'RESUMEN TOTAL'!AA27</f>
        <v>0</v>
      </c>
      <c r="T24">
        <f>'RESUMEN TOTAL'!AB27</f>
        <v>0</v>
      </c>
      <c r="U24">
        <f>'RESUMEN TOTAL'!AC27</f>
        <v>0</v>
      </c>
      <c r="V24">
        <f>'RESUMEN TOTAL'!AD27</f>
        <v>0</v>
      </c>
      <c r="W24">
        <f>'RESUMEN TOTAL'!AE27</f>
        <v>0</v>
      </c>
      <c r="X24">
        <f>'RESUMEN TOTAL'!AF27</f>
        <v>0</v>
      </c>
      <c r="Y24">
        <f>'RESUMEN TOTAL'!AG27</f>
        <v>0</v>
      </c>
      <c r="Z24">
        <f>'RESUMEN TOTAL'!AH27</f>
        <v>0</v>
      </c>
      <c r="AA24">
        <f>'RESUMEN TOTAL'!AI27</f>
        <v>0</v>
      </c>
      <c r="AB24">
        <f>'RESUMEN TOTAL'!AJ27</f>
        <v>0</v>
      </c>
      <c r="AC24">
        <f>'RESUMEN TOTAL'!AK27</f>
        <v>0</v>
      </c>
      <c r="AD24">
        <f>'RESUMEN TOTAL'!AL27</f>
        <v>0</v>
      </c>
      <c r="AE24">
        <f>'RESUMEN TOTAL'!AM27</f>
        <v>0</v>
      </c>
      <c r="AF24">
        <f>'RESUMEN TOTAL'!AN27</f>
        <v>0</v>
      </c>
      <c r="AG24">
        <f>'RESUMEN TOTAL'!AO27</f>
        <v>0</v>
      </c>
    </row>
    <row r="25" spans="1:33" x14ac:dyDescent="0.25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Fibra Optica</v>
      </c>
      <c r="F25">
        <f>'RESUMEN TOTAL'!N28</f>
        <v>0</v>
      </c>
      <c r="G25">
        <f>'RESUMEN TOTAL'!O28</f>
        <v>0</v>
      </c>
      <c r="H25">
        <f>'RESUMEN TOTAL'!P28</f>
        <v>0</v>
      </c>
      <c r="I25">
        <f>'RESUMEN TOTAL'!Q28</f>
        <v>0</v>
      </c>
      <c r="J25">
        <f>'RESUMEN TOTAL'!R28</f>
        <v>0</v>
      </c>
      <c r="K25">
        <f>'RESUMEN TOTAL'!S28</f>
        <v>0</v>
      </c>
      <c r="L25">
        <f>'RESUMEN TOTAL'!T28</f>
        <v>0</v>
      </c>
      <c r="M25">
        <f>'RESUMEN TOTAL'!U28</f>
        <v>0</v>
      </c>
      <c r="N25">
        <f>'RESUMEN TOTAL'!V28</f>
        <v>0</v>
      </c>
      <c r="O25">
        <f>'RESUMEN TOTAL'!W28</f>
        <v>0</v>
      </c>
      <c r="P25">
        <f>'RESUMEN TOTAL'!X28</f>
        <v>0</v>
      </c>
      <c r="Q25">
        <f>'RESUMEN TOTAL'!Y28</f>
        <v>0</v>
      </c>
      <c r="R25">
        <f>'RESUMEN TOTAL'!Z28</f>
        <v>0</v>
      </c>
      <c r="S25">
        <f>'RESUMEN TOTAL'!AA28</f>
        <v>0</v>
      </c>
      <c r="T25">
        <f>'RESUMEN TOTAL'!AB28</f>
        <v>0</v>
      </c>
      <c r="U25">
        <f>'RESUMEN TOTAL'!AC28</f>
        <v>0</v>
      </c>
      <c r="V25">
        <f>'RESUMEN TOTAL'!AD28</f>
        <v>0</v>
      </c>
      <c r="W25">
        <f>'RESUMEN TOTAL'!AE28</f>
        <v>0</v>
      </c>
      <c r="X25">
        <f>'RESUMEN TOTAL'!AF28</f>
        <v>0</v>
      </c>
      <c r="Y25">
        <f>'RESUMEN TOTAL'!AG28</f>
        <v>0</v>
      </c>
      <c r="Z25">
        <f>'RESUMEN TOTAL'!AH28</f>
        <v>0</v>
      </c>
      <c r="AA25">
        <f>'RESUMEN TOTAL'!AI28</f>
        <v>0</v>
      </c>
      <c r="AB25">
        <f>'RESUMEN TOTAL'!AJ28</f>
        <v>0</v>
      </c>
      <c r="AC25">
        <f>'RESUMEN TOTAL'!AK28</f>
        <v>0</v>
      </c>
      <c r="AD25">
        <f>'RESUMEN TOTAL'!AL28</f>
        <v>0</v>
      </c>
      <c r="AE25">
        <f>'RESUMEN TOTAL'!AM28</f>
        <v>0</v>
      </c>
      <c r="AF25">
        <f>'RESUMEN TOTAL'!AN28</f>
        <v>0</v>
      </c>
      <c r="AG25">
        <f>'RESUMEN TOTAL'!AO28</f>
        <v>0</v>
      </c>
    </row>
    <row r="26" spans="1:33" x14ac:dyDescent="0.25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TOTAL'!N29</f>
        <v>0</v>
      </c>
      <c r="G26">
        <f>'RESUMEN TOTAL'!O29</f>
        <v>0</v>
      </c>
      <c r="H26">
        <f>'RESUMEN TOTAL'!P29</f>
        <v>0</v>
      </c>
      <c r="I26">
        <f>'RESUMEN TOTAL'!Q29</f>
        <v>0</v>
      </c>
      <c r="J26">
        <f>'RESUMEN TOTAL'!R29</f>
        <v>0</v>
      </c>
      <c r="K26">
        <f>'RESUMEN TOTAL'!S29</f>
        <v>0</v>
      </c>
      <c r="L26">
        <f>'RESUMEN TOTAL'!T29</f>
        <v>0</v>
      </c>
      <c r="M26">
        <f>'RESUMEN TOTAL'!U29</f>
        <v>0</v>
      </c>
      <c r="N26">
        <f>'RESUMEN TOTAL'!V29</f>
        <v>0</v>
      </c>
      <c r="O26">
        <f>'RESUMEN TOTAL'!W29</f>
        <v>0</v>
      </c>
      <c r="P26">
        <f>'RESUMEN TOTAL'!X29</f>
        <v>0</v>
      </c>
      <c r="Q26">
        <f>'RESUMEN TOTAL'!Y29</f>
        <v>0</v>
      </c>
      <c r="R26">
        <f>'RESUMEN TOTAL'!Z29</f>
        <v>0</v>
      </c>
      <c r="S26">
        <f>'RESUMEN TOTAL'!AA29</f>
        <v>0</v>
      </c>
      <c r="T26">
        <f>'RESUMEN TOTAL'!AB29</f>
        <v>0</v>
      </c>
      <c r="U26">
        <f>'RESUMEN TOTAL'!AC29</f>
        <v>0</v>
      </c>
      <c r="V26">
        <f>'RESUMEN TOTAL'!AD29</f>
        <v>0</v>
      </c>
      <c r="W26">
        <f>'RESUMEN TOTAL'!AE29</f>
        <v>0</v>
      </c>
      <c r="X26">
        <f>'RESUMEN TOTAL'!AF29</f>
        <v>0</v>
      </c>
      <c r="Y26">
        <f>'RESUMEN TOTAL'!AG29</f>
        <v>0</v>
      </c>
      <c r="Z26">
        <f>'RESUMEN TOTAL'!AH29</f>
        <v>0</v>
      </c>
      <c r="AA26">
        <f>'RESUMEN TOTAL'!AI29</f>
        <v>0</v>
      </c>
      <c r="AB26">
        <f>'RESUMEN TOTAL'!AJ29</f>
        <v>0</v>
      </c>
      <c r="AC26">
        <f>'RESUMEN TOTAL'!AK29</f>
        <v>0</v>
      </c>
      <c r="AD26">
        <f>'RESUMEN TOTAL'!AL29</f>
        <v>0</v>
      </c>
      <c r="AE26">
        <f>'RESUMEN TOTAL'!AM29</f>
        <v>0</v>
      </c>
      <c r="AF26">
        <f>'RESUMEN TOTAL'!AN29</f>
        <v>0</v>
      </c>
      <c r="AG26">
        <f>'RESUMEN TOTAL'!AO29</f>
        <v>0</v>
      </c>
    </row>
    <row r="27" spans="1:33" x14ac:dyDescent="0.25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PTP A FO</v>
      </c>
      <c r="F27">
        <f>'RESUMEN TOTAL'!N30</f>
        <v>0</v>
      </c>
      <c r="G27">
        <f>'RESUMEN TOTAL'!O30</f>
        <v>0</v>
      </c>
      <c r="H27">
        <f>'RESUMEN TOTAL'!P30</f>
        <v>0</v>
      </c>
      <c r="I27">
        <f>'RESUMEN TOTAL'!Q30</f>
        <v>0</v>
      </c>
      <c r="J27">
        <f>'RESUMEN TOTAL'!R30</f>
        <v>0</v>
      </c>
      <c r="K27">
        <f>'RESUMEN TOTAL'!S30</f>
        <v>0</v>
      </c>
      <c r="L27">
        <f>'RESUMEN TOTAL'!T30</f>
        <v>0</v>
      </c>
      <c r="M27">
        <f>'RESUMEN TOTAL'!U30</f>
        <v>0</v>
      </c>
      <c r="N27">
        <f>'RESUMEN TOTAL'!V30</f>
        <v>0</v>
      </c>
      <c r="O27">
        <f>'RESUMEN TOTAL'!W30</f>
        <v>0</v>
      </c>
      <c r="P27">
        <f>'RESUMEN TOTAL'!X30</f>
        <v>0</v>
      </c>
      <c r="Q27">
        <f>'RESUMEN TOTAL'!Y30</f>
        <v>0</v>
      </c>
      <c r="R27">
        <f>'RESUMEN TOTAL'!Z30</f>
        <v>0</v>
      </c>
      <c r="S27">
        <f>'RESUMEN TOTAL'!AA30</f>
        <v>0</v>
      </c>
      <c r="T27">
        <f>'RESUMEN TOTAL'!AB30</f>
        <v>0</v>
      </c>
      <c r="U27">
        <f>'RESUMEN TOTAL'!AC30</f>
        <v>0</v>
      </c>
      <c r="V27">
        <f>'RESUMEN TOTAL'!AD30</f>
        <v>0</v>
      </c>
      <c r="W27">
        <f>'RESUMEN TOTAL'!AE30</f>
        <v>0</v>
      </c>
      <c r="X27">
        <f>'RESUMEN TOTAL'!AF30</f>
        <v>0</v>
      </c>
      <c r="Y27">
        <f>'RESUMEN TOTAL'!AG30</f>
        <v>0</v>
      </c>
      <c r="Z27">
        <f>'RESUMEN TOTAL'!AH30</f>
        <v>0</v>
      </c>
      <c r="AA27">
        <f>'RESUMEN TOTAL'!AI30</f>
        <v>0</v>
      </c>
      <c r="AB27">
        <f>'RESUMEN TOTAL'!AJ30</f>
        <v>0</v>
      </c>
      <c r="AC27">
        <f>'RESUMEN TOTAL'!AK30</f>
        <v>0</v>
      </c>
      <c r="AD27">
        <f>'RESUMEN TOTAL'!AL30</f>
        <v>0</v>
      </c>
      <c r="AE27">
        <f>'RESUMEN TOTAL'!AM30</f>
        <v>0</v>
      </c>
      <c r="AF27">
        <f>'RESUMEN TOTAL'!AN30</f>
        <v>0</v>
      </c>
      <c r="AG27">
        <f>'RESUMEN TOTAL'!AO30</f>
        <v>0</v>
      </c>
    </row>
    <row r="28" spans="1:33" x14ac:dyDescent="0.25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>
        <f>'RESUMEN TOTAL'!N31</f>
        <v>0</v>
      </c>
      <c r="G28">
        <f>'RESUMEN TOTAL'!O31</f>
        <v>0</v>
      </c>
      <c r="H28">
        <f>'RESUMEN TOTAL'!P31</f>
        <v>0</v>
      </c>
      <c r="I28">
        <f>'RESUMEN TOTAL'!Q31</f>
        <v>0</v>
      </c>
      <c r="J28">
        <f>'RESUMEN TOTAL'!R31</f>
        <v>0</v>
      </c>
      <c r="K28">
        <f>'RESUMEN TOTAL'!S31</f>
        <v>0</v>
      </c>
      <c r="L28">
        <f>'RESUMEN TOTAL'!T31</f>
        <v>0</v>
      </c>
      <c r="M28">
        <f>'RESUMEN TOTAL'!U31</f>
        <v>0</v>
      </c>
      <c r="N28">
        <f>'RESUMEN TOTAL'!V31</f>
        <v>0</v>
      </c>
      <c r="O28">
        <f>'RESUMEN TOTAL'!W31</f>
        <v>0</v>
      </c>
      <c r="P28">
        <f>'RESUMEN TOTAL'!X31</f>
        <v>0</v>
      </c>
      <c r="Q28">
        <f>'RESUMEN TOTAL'!Y31</f>
        <v>0</v>
      </c>
      <c r="R28">
        <f>'RESUMEN TOTAL'!Z31</f>
        <v>0</v>
      </c>
      <c r="S28">
        <f>'RESUMEN TOTAL'!AA31</f>
        <v>0</v>
      </c>
      <c r="T28">
        <f>'RESUMEN TOTAL'!AB31</f>
        <v>0</v>
      </c>
      <c r="U28">
        <f>'RESUMEN TOTAL'!AC31</f>
        <v>0</v>
      </c>
      <c r="V28">
        <f>'RESUMEN TOTAL'!AD31</f>
        <v>0</v>
      </c>
      <c r="W28">
        <f>'RESUMEN TOTAL'!AE31</f>
        <v>0</v>
      </c>
      <c r="X28">
        <f>'RESUMEN TOTAL'!AF31</f>
        <v>0</v>
      </c>
      <c r="Y28">
        <f>'RESUMEN TOTAL'!AG31</f>
        <v>0</v>
      </c>
      <c r="Z28">
        <f>'RESUMEN TOTAL'!AH31</f>
        <v>0</v>
      </c>
      <c r="AA28">
        <f>'RESUMEN TOTAL'!AI31</f>
        <v>0</v>
      </c>
      <c r="AB28">
        <f>'RESUMEN TOTAL'!AJ31</f>
        <v>0</v>
      </c>
      <c r="AC28">
        <f>'RESUMEN TOTAL'!AK31</f>
        <v>0</v>
      </c>
      <c r="AD28">
        <f>'RESUMEN TOTAL'!AL31</f>
        <v>0</v>
      </c>
      <c r="AE28">
        <f>'RESUMEN TOTAL'!AM31</f>
        <v>0</v>
      </c>
      <c r="AF28">
        <f>'RESUMEN TOTAL'!AN31</f>
        <v>0</v>
      </c>
      <c r="AG28">
        <f>'RESUMEN TOTAL'!AO31</f>
        <v>0</v>
      </c>
    </row>
    <row r="29" spans="1:33" x14ac:dyDescent="0.25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PTP A FO</v>
      </c>
      <c r="F29">
        <f>'RESUMEN TOTAL'!N32</f>
        <v>0</v>
      </c>
      <c r="G29">
        <f>'RESUMEN TOTAL'!O32</f>
        <v>0</v>
      </c>
      <c r="H29">
        <f>'RESUMEN TOTAL'!P32</f>
        <v>0</v>
      </c>
      <c r="I29">
        <f>'RESUMEN TOTAL'!Q32</f>
        <v>0</v>
      </c>
      <c r="J29">
        <f>'RESUMEN TOTAL'!R32</f>
        <v>0</v>
      </c>
      <c r="K29">
        <f>'RESUMEN TOTAL'!S32</f>
        <v>0</v>
      </c>
      <c r="L29">
        <f>'RESUMEN TOTAL'!T32</f>
        <v>0</v>
      </c>
      <c r="M29">
        <f>'RESUMEN TOTAL'!U32</f>
        <v>0</v>
      </c>
      <c r="N29">
        <f>'RESUMEN TOTAL'!V32</f>
        <v>0</v>
      </c>
      <c r="O29">
        <f>'RESUMEN TOTAL'!W32</f>
        <v>0</v>
      </c>
      <c r="P29">
        <f>'RESUMEN TOTAL'!X32</f>
        <v>0</v>
      </c>
      <c r="Q29">
        <f>'RESUMEN TOTAL'!Y32</f>
        <v>0</v>
      </c>
      <c r="R29">
        <f>'RESUMEN TOTAL'!Z32</f>
        <v>0</v>
      </c>
      <c r="S29">
        <f>'RESUMEN TOTAL'!AA32</f>
        <v>0</v>
      </c>
      <c r="T29">
        <f>'RESUMEN TOTAL'!AB32</f>
        <v>0</v>
      </c>
      <c r="U29">
        <f>'RESUMEN TOTAL'!AC32</f>
        <v>0</v>
      </c>
      <c r="V29">
        <f>'RESUMEN TOTAL'!AD32</f>
        <v>0</v>
      </c>
      <c r="W29">
        <f>'RESUMEN TOTAL'!AE32</f>
        <v>0</v>
      </c>
      <c r="X29">
        <f>'RESUMEN TOTAL'!AF32</f>
        <v>0</v>
      </c>
      <c r="Y29">
        <f>'RESUMEN TOTAL'!AG32</f>
        <v>0</v>
      </c>
      <c r="Z29">
        <f>'RESUMEN TOTAL'!AH32</f>
        <v>0</v>
      </c>
      <c r="AA29">
        <f>'RESUMEN TOTAL'!AI32</f>
        <v>0</v>
      </c>
      <c r="AB29">
        <f>'RESUMEN TOTAL'!AJ32</f>
        <v>0</v>
      </c>
      <c r="AC29">
        <f>'RESUMEN TOTAL'!AK32</f>
        <v>0</v>
      </c>
      <c r="AD29">
        <f>'RESUMEN TOTAL'!AL32</f>
        <v>0</v>
      </c>
      <c r="AE29">
        <f>'RESUMEN TOTAL'!AM32</f>
        <v>0</v>
      </c>
      <c r="AF29">
        <f>'RESUMEN TOTAL'!AN32</f>
        <v>0</v>
      </c>
      <c r="AG29">
        <f>'RESUMEN TOTAL'!AO32</f>
        <v>0</v>
      </c>
    </row>
    <row r="30" spans="1:33" x14ac:dyDescent="0.25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TOTAL'!N33</f>
        <v>0</v>
      </c>
      <c r="G30">
        <f>'RESUMEN TOTAL'!O33</f>
        <v>0</v>
      </c>
      <c r="H30">
        <f>'RESUMEN TOTAL'!P33</f>
        <v>0</v>
      </c>
      <c r="I30">
        <f>'RESUMEN TOTAL'!Q33</f>
        <v>0</v>
      </c>
      <c r="J30">
        <f>'RESUMEN TOTAL'!R33</f>
        <v>0</v>
      </c>
      <c r="K30">
        <f>'RESUMEN TOTAL'!S33</f>
        <v>0</v>
      </c>
      <c r="L30">
        <f>'RESUMEN TOTAL'!T33</f>
        <v>0</v>
      </c>
      <c r="M30">
        <f>'RESUMEN TOTAL'!U33</f>
        <v>0</v>
      </c>
      <c r="N30">
        <f>'RESUMEN TOTAL'!V33</f>
        <v>0</v>
      </c>
      <c r="O30">
        <f>'RESUMEN TOTAL'!W33</f>
        <v>0</v>
      </c>
      <c r="P30">
        <f>'RESUMEN TOTAL'!X33</f>
        <v>0</v>
      </c>
      <c r="Q30">
        <f>'RESUMEN TOTAL'!Y33</f>
        <v>0</v>
      </c>
      <c r="R30">
        <f>'RESUMEN TOTAL'!Z33</f>
        <v>0</v>
      </c>
      <c r="S30">
        <f>'RESUMEN TOTAL'!AA33</f>
        <v>0</v>
      </c>
      <c r="T30">
        <f>'RESUMEN TOTAL'!AB33</f>
        <v>0</v>
      </c>
      <c r="U30">
        <f>'RESUMEN TOTAL'!AC33</f>
        <v>0</v>
      </c>
      <c r="V30">
        <f>'RESUMEN TOTAL'!AD33</f>
        <v>0</v>
      </c>
      <c r="W30">
        <f>'RESUMEN TOTAL'!AE33</f>
        <v>0</v>
      </c>
      <c r="X30">
        <f>'RESUMEN TOTAL'!AF33</f>
        <v>0</v>
      </c>
      <c r="Y30">
        <f>'RESUMEN TOTAL'!AG33</f>
        <v>0</v>
      </c>
      <c r="Z30">
        <f>'RESUMEN TOTAL'!AH33</f>
        <v>0</v>
      </c>
      <c r="AA30">
        <f>'RESUMEN TOTAL'!AI33</f>
        <v>0</v>
      </c>
      <c r="AB30">
        <f>'RESUMEN TOTAL'!AJ33</f>
        <v>0</v>
      </c>
      <c r="AC30">
        <f>'RESUMEN TOTAL'!AK33</f>
        <v>0</v>
      </c>
      <c r="AD30">
        <f>'RESUMEN TOTAL'!AL33</f>
        <v>0</v>
      </c>
      <c r="AE30">
        <f>'RESUMEN TOTAL'!AM33</f>
        <v>0</v>
      </c>
      <c r="AF30">
        <f>'RESUMEN TOTAL'!AN33</f>
        <v>0</v>
      </c>
      <c r="AG30">
        <f>'RESUMEN TOTAL'!AO33</f>
        <v>0</v>
      </c>
    </row>
    <row r="31" spans="1:33" x14ac:dyDescent="0.25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TOTAL'!N34</f>
        <v>0</v>
      </c>
      <c r="G31">
        <f>'RESUMEN TOTAL'!O34</f>
        <v>0</v>
      </c>
      <c r="H31">
        <f>'RESUMEN TOTAL'!P34</f>
        <v>0</v>
      </c>
      <c r="I31">
        <f>'RESUMEN TOTAL'!Q34</f>
        <v>0</v>
      </c>
      <c r="J31">
        <f>'RESUMEN TOTAL'!R34</f>
        <v>0</v>
      </c>
      <c r="K31">
        <f>'RESUMEN TOTAL'!S34</f>
        <v>0</v>
      </c>
      <c r="L31">
        <f>'RESUMEN TOTAL'!T34</f>
        <v>0</v>
      </c>
      <c r="M31">
        <f>'RESUMEN TOTAL'!U34</f>
        <v>0</v>
      </c>
      <c r="N31">
        <f>'RESUMEN TOTAL'!V34</f>
        <v>0</v>
      </c>
      <c r="O31">
        <f>'RESUMEN TOTAL'!W34</f>
        <v>0</v>
      </c>
      <c r="P31">
        <f>'RESUMEN TOTAL'!X34</f>
        <v>0</v>
      </c>
      <c r="Q31">
        <f>'RESUMEN TOTAL'!Y34</f>
        <v>0</v>
      </c>
      <c r="R31">
        <f>'RESUMEN TOTAL'!Z34</f>
        <v>0</v>
      </c>
      <c r="S31">
        <f>'RESUMEN TOTAL'!AA34</f>
        <v>0</v>
      </c>
      <c r="T31">
        <f>'RESUMEN TOTAL'!AB34</f>
        <v>0</v>
      </c>
      <c r="U31">
        <f>'RESUMEN TOTAL'!AC34</f>
        <v>0</v>
      </c>
      <c r="V31">
        <f>'RESUMEN TOTAL'!AD34</f>
        <v>0</v>
      </c>
      <c r="W31">
        <f>'RESUMEN TOTAL'!AE34</f>
        <v>0</v>
      </c>
      <c r="X31">
        <f>'RESUMEN TOTAL'!AF34</f>
        <v>0</v>
      </c>
      <c r="Y31">
        <f>'RESUMEN TOTAL'!AG34</f>
        <v>0</v>
      </c>
      <c r="Z31">
        <f>'RESUMEN TOTAL'!AH34</f>
        <v>0</v>
      </c>
      <c r="AA31">
        <f>'RESUMEN TOTAL'!AI34</f>
        <v>0</v>
      </c>
      <c r="AB31">
        <f>'RESUMEN TOTAL'!AJ34</f>
        <v>0</v>
      </c>
      <c r="AC31">
        <f>'RESUMEN TOTAL'!AK34</f>
        <v>0</v>
      </c>
      <c r="AD31">
        <f>'RESUMEN TOTAL'!AL34</f>
        <v>0</v>
      </c>
      <c r="AE31">
        <f>'RESUMEN TOTAL'!AM34</f>
        <v>0</v>
      </c>
      <c r="AF31">
        <f>'RESUMEN TOTAL'!AN34</f>
        <v>0</v>
      </c>
      <c r="AG31">
        <f>'RESUMEN TOTAL'!AO34</f>
        <v>0</v>
      </c>
    </row>
    <row r="32" spans="1:33" x14ac:dyDescent="0.25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TOTAL'!N35</f>
        <v>0</v>
      </c>
      <c r="G32">
        <f>'RESUMEN TOTAL'!O35</f>
        <v>0</v>
      </c>
      <c r="H32">
        <f>'RESUMEN TOTAL'!P35</f>
        <v>0</v>
      </c>
      <c r="I32">
        <f>'RESUMEN TOTAL'!Q35</f>
        <v>0</v>
      </c>
      <c r="J32">
        <f>'RESUMEN TOTAL'!R35</f>
        <v>0</v>
      </c>
      <c r="K32">
        <f>'RESUMEN TOTAL'!S35</f>
        <v>0</v>
      </c>
      <c r="L32">
        <f>'RESUMEN TOTAL'!T35</f>
        <v>0</v>
      </c>
      <c r="M32">
        <f>'RESUMEN TOTAL'!U35</f>
        <v>0</v>
      </c>
      <c r="N32">
        <f>'RESUMEN TOTAL'!V35</f>
        <v>0</v>
      </c>
      <c r="O32">
        <f>'RESUMEN TOTAL'!W35</f>
        <v>0</v>
      </c>
      <c r="P32">
        <f>'RESUMEN TOTAL'!X35</f>
        <v>0</v>
      </c>
      <c r="Q32">
        <f>'RESUMEN TOTAL'!Y35</f>
        <v>0</v>
      </c>
      <c r="R32">
        <f>'RESUMEN TOTAL'!Z35</f>
        <v>0</v>
      </c>
      <c r="S32">
        <f>'RESUMEN TOTAL'!AA35</f>
        <v>0</v>
      </c>
      <c r="T32">
        <f>'RESUMEN TOTAL'!AB35</f>
        <v>0</v>
      </c>
      <c r="U32">
        <f>'RESUMEN TOTAL'!AC35</f>
        <v>0</v>
      </c>
      <c r="V32">
        <f>'RESUMEN TOTAL'!AD35</f>
        <v>0</v>
      </c>
      <c r="W32">
        <f>'RESUMEN TOTAL'!AE35</f>
        <v>0</v>
      </c>
      <c r="X32">
        <f>'RESUMEN TOTAL'!AF35</f>
        <v>0</v>
      </c>
      <c r="Y32">
        <f>'RESUMEN TOTAL'!AG35</f>
        <v>0</v>
      </c>
      <c r="Z32">
        <f>'RESUMEN TOTAL'!AH35</f>
        <v>0</v>
      </c>
      <c r="AA32">
        <f>'RESUMEN TOTAL'!AI35</f>
        <v>0</v>
      </c>
      <c r="AB32">
        <f>'RESUMEN TOTAL'!AJ35</f>
        <v>0</v>
      </c>
      <c r="AC32">
        <f>'RESUMEN TOTAL'!AK35</f>
        <v>0</v>
      </c>
      <c r="AD32">
        <f>'RESUMEN TOTAL'!AL35</f>
        <v>0</v>
      </c>
      <c r="AE32">
        <f>'RESUMEN TOTAL'!AM35</f>
        <v>0</v>
      </c>
      <c r="AF32">
        <f>'RESUMEN TOTAL'!AN35</f>
        <v>0</v>
      </c>
      <c r="AG32">
        <f>'RESUMEN TOTAL'!AO35</f>
        <v>0</v>
      </c>
    </row>
    <row r="33" spans="1:33" x14ac:dyDescent="0.25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TOTAL'!N36</f>
        <v>0</v>
      </c>
      <c r="G33">
        <f>'RESUMEN TOTAL'!O36</f>
        <v>0</v>
      </c>
      <c r="H33">
        <f>'RESUMEN TOTAL'!P36</f>
        <v>0</v>
      </c>
      <c r="I33">
        <f>'RESUMEN TOTAL'!Q36</f>
        <v>0</v>
      </c>
      <c r="J33">
        <f>'RESUMEN TOTAL'!R36</f>
        <v>0</v>
      </c>
      <c r="K33">
        <f>'RESUMEN TOTAL'!S36</f>
        <v>0</v>
      </c>
      <c r="L33">
        <f>'RESUMEN TOTAL'!T36</f>
        <v>0</v>
      </c>
      <c r="M33">
        <f>'RESUMEN TOTAL'!U36</f>
        <v>0</v>
      </c>
      <c r="N33">
        <f>'RESUMEN TOTAL'!V36</f>
        <v>0</v>
      </c>
      <c r="O33">
        <f>'RESUMEN TOTAL'!W36</f>
        <v>0</v>
      </c>
      <c r="P33">
        <f>'RESUMEN TOTAL'!X36</f>
        <v>0</v>
      </c>
      <c r="Q33">
        <f>'RESUMEN TOTAL'!Y36</f>
        <v>0</v>
      </c>
      <c r="R33">
        <f>'RESUMEN TOTAL'!Z36</f>
        <v>0</v>
      </c>
      <c r="S33">
        <f>'RESUMEN TOTAL'!AA36</f>
        <v>0</v>
      </c>
      <c r="T33">
        <f>'RESUMEN TOTAL'!AB36</f>
        <v>0</v>
      </c>
      <c r="U33">
        <f>'RESUMEN TOTAL'!AC36</f>
        <v>0</v>
      </c>
      <c r="V33">
        <f>'RESUMEN TOTAL'!AD36</f>
        <v>0</v>
      </c>
      <c r="W33">
        <f>'RESUMEN TOTAL'!AE36</f>
        <v>0</v>
      </c>
      <c r="X33">
        <f>'RESUMEN TOTAL'!AF36</f>
        <v>0</v>
      </c>
      <c r="Y33">
        <f>'RESUMEN TOTAL'!AG36</f>
        <v>0</v>
      </c>
      <c r="Z33">
        <f>'RESUMEN TOTAL'!AH36</f>
        <v>0</v>
      </c>
      <c r="AA33">
        <f>'RESUMEN TOTAL'!AI36</f>
        <v>0</v>
      </c>
      <c r="AB33">
        <f>'RESUMEN TOTAL'!AJ36</f>
        <v>0</v>
      </c>
      <c r="AC33">
        <f>'RESUMEN TOTAL'!AK36</f>
        <v>0</v>
      </c>
      <c r="AD33">
        <f>'RESUMEN TOTAL'!AL36</f>
        <v>0</v>
      </c>
      <c r="AE33">
        <f>'RESUMEN TOTAL'!AM36</f>
        <v>0</v>
      </c>
      <c r="AF33">
        <f>'RESUMEN TOTAL'!AN36</f>
        <v>0</v>
      </c>
      <c r="AG33">
        <f>'RESUMEN TOTAL'!AO36</f>
        <v>0</v>
      </c>
    </row>
    <row r="34" spans="1:33" x14ac:dyDescent="0.25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 t="str">
        <f>'RESUMEN TOTAL'!N37</f>
        <v>APAGADO</v>
      </c>
      <c r="G34" t="str">
        <f>'RESUMEN TOTAL'!O37</f>
        <v>APAGADO</v>
      </c>
      <c r="H34" t="str">
        <f>'RESUMEN TOTAL'!P37</f>
        <v>APAGADO</v>
      </c>
      <c r="I34" t="str">
        <f>'RESUMEN TOTAL'!Q37</f>
        <v>APAGADO</v>
      </c>
      <c r="J34" t="str">
        <f>'RESUMEN TOTAL'!R37</f>
        <v>APAGADO</v>
      </c>
      <c r="K34" t="str">
        <f>'RESUMEN TOTAL'!S37</f>
        <v>APAGADO</v>
      </c>
      <c r="L34" t="str">
        <f>'RESUMEN TOTAL'!T37</f>
        <v>APAGADO</v>
      </c>
      <c r="M34">
        <f>'RESUMEN TOTAL'!U37</f>
        <v>0</v>
      </c>
      <c r="N34">
        <f>'RESUMEN TOTAL'!V37</f>
        <v>0</v>
      </c>
      <c r="O34">
        <f>'RESUMEN TOTAL'!W37</f>
        <v>0</v>
      </c>
      <c r="P34">
        <f>'RESUMEN TOTAL'!X37</f>
        <v>0</v>
      </c>
      <c r="Q34">
        <f>'RESUMEN TOTAL'!Y37</f>
        <v>0</v>
      </c>
      <c r="R34">
        <f>'RESUMEN TOTAL'!Z37</f>
        <v>0</v>
      </c>
      <c r="S34">
        <f>'RESUMEN TOTAL'!AA37</f>
        <v>0</v>
      </c>
      <c r="T34">
        <f>'RESUMEN TOTAL'!AB37</f>
        <v>0</v>
      </c>
      <c r="U34">
        <f>'RESUMEN TOTAL'!AC37</f>
        <v>0</v>
      </c>
      <c r="V34">
        <f>'RESUMEN TOTAL'!AD37</f>
        <v>0</v>
      </c>
      <c r="W34">
        <f>'RESUMEN TOTAL'!AE37</f>
        <v>0</v>
      </c>
      <c r="X34">
        <f>'RESUMEN TOTAL'!AF37</f>
        <v>0</v>
      </c>
      <c r="Y34">
        <f>'RESUMEN TOTAL'!AG37</f>
        <v>0</v>
      </c>
      <c r="Z34">
        <f>'RESUMEN TOTAL'!AH37</f>
        <v>0</v>
      </c>
      <c r="AA34">
        <f>'RESUMEN TOTAL'!AI37</f>
        <v>0</v>
      </c>
      <c r="AB34">
        <f>'RESUMEN TOTAL'!AJ37</f>
        <v>0</v>
      </c>
      <c r="AC34">
        <f>'RESUMEN TOTAL'!AK37</f>
        <v>0</v>
      </c>
      <c r="AD34">
        <f>'RESUMEN TOTAL'!AL37</f>
        <v>0</v>
      </c>
      <c r="AE34">
        <f>'RESUMEN TOTAL'!AM37</f>
        <v>0</v>
      </c>
      <c r="AF34">
        <f>'RESUMEN TOTAL'!AN37</f>
        <v>0</v>
      </c>
      <c r="AG34">
        <f>'RESUMEN TOTAL'!AO37</f>
        <v>0</v>
      </c>
    </row>
    <row r="35" spans="1:33" x14ac:dyDescent="0.25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TOTAL'!N38</f>
        <v>0</v>
      </c>
      <c r="G35">
        <f>'RESUMEN TOTAL'!O38</f>
        <v>0</v>
      </c>
      <c r="H35">
        <f>'RESUMEN TOTAL'!P38</f>
        <v>0</v>
      </c>
      <c r="I35">
        <f>'RESUMEN TOTAL'!Q38</f>
        <v>0</v>
      </c>
      <c r="J35">
        <f>'RESUMEN TOTAL'!R38</f>
        <v>0</v>
      </c>
      <c r="K35">
        <f>'RESUMEN TOTAL'!S38</f>
        <v>0</v>
      </c>
      <c r="L35" t="str">
        <f>'RESUMEN TOTAL'!T38</f>
        <v xml:space="preserve"> </v>
      </c>
      <c r="M35">
        <f>'RESUMEN TOTAL'!U38</f>
        <v>0</v>
      </c>
      <c r="N35">
        <f>'RESUMEN TOTAL'!V38</f>
        <v>0</v>
      </c>
      <c r="O35">
        <f>'RESUMEN TOTAL'!W38</f>
        <v>0</v>
      </c>
      <c r="P35">
        <f>'RESUMEN TOTAL'!X38</f>
        <v>0</v>
      </c>
      <c r="Q35">
        <f>'RESUMEN TOTAL'!Y38</f>
        <v>0</v>
      </c>
      <c r="R35">
        <f>'RESUMEN TOTAL'!Z38</f>
        <v>0</v>
      </c>
      <c r="S35">
        <f>'RESUMEN TOTAL'!AA38</f>
        <v>0</v>
      </c>
      <c r="T35">
        <f>'RESUMEN TOTAL'!AB38</f>
        <v>0</v>
      </c>
      <c r="U35">
        <f>'RESUMEN TOTAL'!AC38</f>
        <v>0</v>
      </c>
      <c r="V35">
        <f>'RESUMEN TOTAL'!AD38</f>
        <v>0</v>
      </c>
      <c r="W35">
        <f>'RESUMEN TOTAL'!AE38</f>
        <v>0</v>
      </c>
      <c r="X35">
        <f>'RESUMEN TOTAL'!AF38</f>
        <v>0</v>
      </c>
      <c r="Y35">
        <f>'RESUMEN TOTAL'!AG38</f>
        <v>0</v>
      </c>
      <c r="Z35">
        <f>'RESUMEN TOTAL'!AH38</f>
        <v>0</v>
      </c>
      <c r="AA35">
        <f>'RESUMEN TOTAL'!AI38</f>
        <v>0</v>
      </c>
      <c r="AB35">
        <f>'RESUMEN TOTAL'!AJ38</f>
        <v>0</v>
      </c>
      <c r="AC35">
        <f>'RESUMEN TOTAL'!AK38</f>
        <v>0</v>
      </c>
      <c r="AD35">
        <f>'RESUMEN TOTAL'!AL38</f>
        <v>0</v>
      </c>
      <c r="AE35">
        <f>'RESUMEN TOTAL'!AM38</f>
        <v>0</v>
      </c>
      <c r="AF35">
        <f>'RESUMEN TOTAL'!AN38</f>
        <v>0</v>
      </c>
      <c r="AG35">
        <f>'RESUMEN TOTAL'!AO38</f>
        <v>0</v>
      </c>
    </row>
    <row r="36" spans="1:33" x14ac:dyDescent="0.25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TOTAL'!N39</f>
        <v>0</v>
      </c>
      <c r="G36">
        <f>'RESUMEN TOTAL'!O39</f>
        <v>0</v>
      </c>
      <c r="H36">
        <f>'RESUMEN TOTAL'!P39</f>
        <v>0</v>
      </c>
      <c r="I36">
        <f>'RESUMEN TOTAL'!Q39</f>
        <v>0</v>
      </c>
      <c r="J36">
        <f>'RESUMEN TOTAL'!R39</f>
        <v>0</v>
      </c>
      <c r="K36">
        <f>'RESUMEN TOTAL'!S39</f>
        <v>0</v>
      </c>
      <c r="L36">
        <f>'RESUMEN TOTAL'!T39</f>
        <v>0</v>
      </c>
      <c r="M36">
        <f>'RESUMEN TOTAL'!U39</f>
        <v>0</v>
      </c>
      <c r="N36">
        <f>'RESUMEN TOTAL'!V39</f>
        <v>0</v>
      </c>
      <c r="O36">
        <f>'RESUMEN TOTAL'!W39</f>
        <v>0</v>
      </c>
      <c r="P36">
        <f>'RESUMEN TOTAL'!X39</f>
        <v>0</v>
      </c>
      <c r="Q36">
        <f>'RESUMEN TOTAL'!Y39</f>
        <v>0</v>
      </c>
      <c r="R36">
        <f>'RESUMEN TOTAL'!Z39</f>
        <v>0</v>
      </c>
      <c r="S36">
        <f>'RESUMEN TOTAL'!AA39</f>
        <v>0</v>
      </c>
      <c r="T36">
        <f>'RESUMEN TOTAL'!AB39</f>
        <v>0</v>
      </c>
      <c r="U36">
        <f>'RESUMEN TOTAL'!AC39</f>
        <v>0</v>
      </c>
      <c r="V36">
        <f>'RESUMEN TOTAL'!AD39</f>
        <v>0</v>
      </c>
      <c r="W36">
        <f>'RESUMEN TOTAL'!AE39</f>
        <v>0</v>
      </c>
      <c r="X36">
        <f>'RESUMEN TOTAL'!AF39</f>
        <v>0</v>
      </c>
      <c r="Y36">
        <f>'RESUMEN TOTAL'!AG39</f>
        <v>0</v>
      </c>
      <c r="Z36">
        <f>'RESUMEN TOTAL'!AH39</f>
        <v>0</v>
      </c>
      <c r="AA36">
        <f>'RESUMEN TOTAL'!AI39</f>
        <v>0</v>
      </c>
      <c r="AB36">
        <f>'RESUMEN TOTAL'!AJ39</f>
        <v>0</v>
      </c>
      <c r="AC36">
        <f>'RESUMEN TOTAL'!AK39</f>
        <v>0</v>
      </c>
      <c r="AD36">
        <f>'RESUMEN TOTAL'!AL39</f>
        <v>0</v>
      </c>
      <c r="AE36">
        <f>'RESUMEN TOTAL'!AM39</f>
        <v>0</v>
      </c>
      <c r="AF36">
        <f>'RESUMEN TOTAL'!AN39</f>
        <v>0</v>
      </c>
      <c r="AG36">
        <f>'RESUMEN TOTAL'!AO39</f>
        <v>0</v>
      </c>
    </row>
    <row r="37" spans="1:33" x14ac:dyDescent="0.25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TOTAL'!N40</f>
        <v>0</v>
      </c>
      <c r="G37">
        <f>'RESUMEN TOTAL'!O40</f>
        <v>0</v>
      </c>
      <c r="H37">
        <f>'RESUMEN TOTAL'!P40</f>
        <v>0</v>
      </c>
      <c r="I37">
        <f>'RESUMEN TOTAL'!Q40</f>
        <v>0</v>
      </c>
      <c r="J37">
        <f>'RESUMEN TOTAL'!R40</f>
        <v>0</v>
      </c>
      <c r="K37">
        <f>'RESUMEN TOTAL'!S40</f>
        <v>0</v>
      </c>
      <c r="L37">
        <f>'RESUMEN TOTAL'!T40</f>
        <v>0</v>
      </c>
      <c r="M37">
        <f>'RESUMEN TOTAL'!U40</f>
        <v>0</v>
      </c>
      <c r="N37">
        <f>'RESUMEN TOTAL'!V40</f>
        <v>0</v>
      </c>
      <c r="O37">
        <f>'RESUMEN TOTAL'!W40</f>
        <v>0</v>
      </c>
      <c r="P37">
        <f>'RESUMEN TOTAL'!X40</f>
        <v>0</v>
      </c>
      <c r="Q37">
        <f>'RESUMEN TOTAL'!Y40</f>
        <v>0</v>
      </c>
      <c r="R37">
        <f>'RESUMEN TOTAL'!Z40</f>
        <v>0</v>
      </c>
      <c r="S37">
        <f>'RESUMEN TOTAL'!AA40</f>
        <v>0</v>
      </c>
      <c r="T37">
        <f>'RESUMEN TOTAL'!AB40</f>
        <v>0</v>
      </c>
      <c r="U37">
        <f>'RESUMEN TOTAL'!AC40</f>
        <v>0</v>
      </c>
      <c r="V37">
        <f>'RESUMEN TOTAL'!AD40</f>
        <v>0</v>
      </c>
      <c r="W37">
        <f>'RESUMEN TOTAL'!AE40</f>
        <v>0</v>
      </c>
      <c r="X37">
        <f>'RESUMEN TOTAL'!AF40</f>
        <v>0</v>
      </c>
      <c r="Y37">
        <f>'RESUMEN TOTAL'!AG40</f>
        <v>0</v>
      </c>
      <c r="Z37">
        <f>'RESUMEN TOTAL'!AH40</f>
        <v>0</v>
      </c>
      <c r="AA37">
        <f>'RESUMEN TOTAL'!AI40</f>
        <v>0</v>
      </c>
      <c r="AB37">
        <f>'RESUMEN TOTAL'!AJ40</f>
        <v>0</v>
      </c>
      <c r="AC37">
        <f>'RESUMEN TOTAL'!AK40</f>
        <v>0</v>
      </c>
      <c r="AD37">
        <f>'RESUMEN TOTAL'!AL40</f>
        <v>0</v>
      </c>
      <c r="AE37">
        <f>'RESUMEN TOTAL'!AM40</f>
        <v>0</v>
      </c>
      <c r="AF37">
        <f>'RESUMEN TOTAL'!AN40</f>
        <v>0</v>
      </c>
      <c r="AG37">
        <f>'RESUMEN TOTAL'!AO40</f>
        <v>0</v>
      </c>
    </row>
    <row r="38" spans="1:33" x14ac:dyDescent="0.25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TOTAL'!N41</f>
        <v>0</v>
      </c>
      <c r="G38" t="str">
        <f>'RESUMEN TOTAL'!O41</f>
        <v>APAGADO</v>
      </c>
      <c r="H38" t="str">
        <f>'RESUMEN TOTAL'!P41</f>
        <v>APAGADO</v>
      </c>
      <c r="I38" t="str">
        <f>'RESUMEN TOTAL'!Q41</f>
        <v>APAGADO</v>
      </c>
      <c r="J38" t="str">
        <f>'RESUMEN TOTAL'!R41</f>
        <v>APAGADO</v>
      </c>
      <c r="K38" t="str">
        <f>'RESUMEN TOTAL'!S41</f>
        <v>APAGADO</v>
      </c>
      <c r="L38" t="str">
        <f>'RESUMEN TOTAL'!T41</f>
        <v>APAGADO</v>
      </c>
      <c r="M38">
        <f>'RESUMEN TOTAL'!U41</f>
        <v>0</v>
      </c>
      <c r="N38">
        <f>'RESUMEN TOTAL'!V41</f>
        <v>0</v>
      </c>
      <c r="O38">
        <f>'RESUMEN TOTAL'!W41</f>
        <v>0</v>
      </c>
      <c r="P38">
        <f>'RESUMEN TOTAL'!X41</f>
        <v>0</v>
      </c>
      <c r="Q38">
        <f>'RESUMEN TOTAL'!Y41</f>
        <v>0</v>
      </c>
      <c r="R38">
        <f>'RESUMEN TOTAL'!Z41</f>
        <v>0</v>
      </c>
      <c r="S38">
        <f>'RESUMEN TOTAL'!AA41</f>
        <v>0</v>
      </c>
      <c r="T38">
        <f>'RESUMEN TOTAL'!AB41</f>
        <v>0</v>
      </c>
      <c r="U38">
        <f>'RESUMEN TOTAL'!AC41</f>
        <v>0</v>
      </c>
      <c r="V38">
        <f>'RESUMEN TOTAL'!AD41</f>
        <v>0</v>
      </c>
      <c r="W38">
        <f>'RESUMEN TOTAL'!AE41</f>
        <v>0</v>
      </c>
      <c r="X38">
        <f>'RESUMEN TOTAL'!AF41</f>
        <v>0</v>
      </c>
      <c r="Y38">
        <f>'RESUMEN TOTAL'!AG41</f>
        <v>0</v>
      </c>
      <c r="Z38">
        <f>'RESUMEN TOTAL'!AH41</f>
        <v>0</v>
      </c>
      <c r="AA38">
        <f>'RESUMEN TOTAL'!AI41</f>
        <v>0</v>
      </c>
      <c r="AB38">
        <f>'RESUMEN TOTAL'!AJ41</f>
        <v>0</v>
      </c>
      <c r="AC38">
        <f>'RESUMEN TOTAL'!AK41</f>
        <v>0</v>
      </c>
      <c r="AD38">
        <f>'RESUMEN TOTAL'!AL41</f>
        <v>0</v>
      </c>
      <c r="AE38">
        <f>'RESUMEN TOTAL'!AM41</f>
        <v>0</v>
      </c>
      <c r="AF38">
        <f>'RESUMEN TOTAL'!AN41</f>
        <v>0</v>
      </c>
      <c r="AG38">
        <f>'RESUMEN TOTAL'!AO41</f>
        <v>0</v>
      </c>
    </row>
    <row r="39" spans="1:33" x14ac:dyDescent="0.25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TOTAL'!N42</f>
        <v>0</v>
      </c>
      <c r="G39">
        <f>'RESUMEN TOTAL'!O42</f>
        <v>0</v>
      </c>
      <c r="H39">
        <f>'RESUMEN TOTAL'!P42</f>
        <v>0</v>
      </c>
      <c r="I39">
        <f>'RESUMEN TOTAL'!Q42</f>
        <v>0</v>
      </c>
      <c r="J39">
        <f>'RESUMEN TOTAL'!R42</f>
        <v>0</v>
      </c>
      <c r="K39">
        <f>'RESUMEN TOTAL'!S42</f>
        <v>0</v>
      </c>
      <c r="L39">
        <f>'RESUMEN TOTAL'!T42</f>
        <v>0</v>
      </c>
      <c r="M39">
        <f>'RESUMEN TOTAL'!U42</f>
        <v>0</v>
      </c>
      <c r="N39">
        <f>'RESUMEN TOTAL'!V42</f>
        <v>0</v>
      </c>
      <c r="O39">
        <f>'RESUMEN TOTAL'!W42</f>
        <v>0</v>
      </c>
      <c r="P39">
        <f>'RESUMEN TOTAL'!X42</f>
        <v>0</v>
      </c>
      <c r="Q39">
        <f>'RESUMEN TOTAL'!Y42</f>
        <v>0</v>
      </c>
      <c r="R39">
        <f>'RESUMEN TOTAL'!Z42</f>
        <v>0</v>
      </c>
      <c r="S39">
        <f>'RESUMEN TOTAL'!AA42</f>
        <v>0</v>
      </c>
      <c r="T39">
        <f>'RESUMEN TOTAL'!AB42</f>
        <v>0</v>
      </c>
      <c r="U39">
        <f>'RESUMEN TOTAL'!AC42</f>
        <v>0</v>
      </c>
      <c r="V39">
        <f>'RESUMEN TOTAL'!AD42</f>
        <v>0</v>
      </c>
      <c r="W39">
        <f>'RESUMEN TOTAL'!AE42</f>
        <v>0</v>
      </c>
      <c r="X39">
        <f>'RESUMEN TOTAL'!AF42</f>
        <v>0</v>
      </c>
      <c r="Y39">
        <f>'RESUMEN TOTAL'!AG42</f>
        <v>0</v>
      </c>
      <c r="Z39">
        <f>'RESUMEN TOTAL'!AH42</f>
        <v>0</v>
      </c>
      <c r="AA39">
        <f>'RESUMEN TOTAL'!AI42</f>
        <v>0</v>
      </c>
      <c r="AB39">
        <f>'RESUMEN TOTAL'!AJ42</f>
        <v>0</v>
      </c>
      <c r="AC39">
        <f>'RESUMEN TOTAL'!AK42</f>
        <v>0</v>
      </c>
      <c r="AD39">
        <f>'RESUMEN TOTAL'!AL42</f>
        <v>0</v>
      </c>
      <c r="AE39">
        <f>'RESUMEN TOTAL'!AM42</f>
        <v>0</v>
      </c>
      <c r="AF39">
        <f>'RESUMEN TOTAL'!AN42</f>
        <v>0</v>
      </c>
      <c r="AG39">
        <f>'RESUMEN TOTAL'!AO42</f>
        <v>0</v>
      </c>
    </row>
    <row r="40" spans="1:33" x14ac:dyDescent="0.25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>
        <f>'RESUMEN TOTAL'!N43</f>
        <v>0</v>
      </c>
      <c r="G40">
        <f>'RESUMEN TOTAL'!O43</f>
        <v>0</v>
      </c>
      <c r="H40">
        <f>'RESUMEN TOTAL'!P43</f>
        <v>0</v>
      </c>
      <c r="I40">
        <f>'RESUMEN TOTAL'!Q43</f>
        <v>0</v>
      </c>
      <c r="J40">
        <f>'RESUMEN TOTAL'!R43</f>
        <v>0</v>
      </c>
      <c r="K40">
        <f>'RESUMEN TOTAL'!S43</f>
        <v>0</v>
      </c>
      <c r="L40">
        <f>'RESUMEN TOTAL'!T43</f>
        <v>0</v>
      </c>
      <c r="M40">
        <f>'RESUMEN TOTAL'!U43</f>
        <v>0</v>
      </c>
      <c r="N40">
        <f>'RESUMEN TOTAL'!V43</f>
        <v>0</v>
      </c>
      <c r="O40">
        <f>'RESUMEN TOTAL'!W43</f>
        <v>0</v>
      </c>
      <c r="P40">
        <f>'RESUMEN TOTAL'!X43</f>
        <v>0</v>
      </c>
      <c r="Q40">
        <f>'RESUMEN TOTAL'!Y43</f>
        <v>0</v>
      </c>
      <c r="R40">
        <f>'RESUMEN TOTAL'!Z43</f>
        <v>0</v>
      </c>
      <c r="S40">
        <f>'RESUMEN TOTAL'!AA43</f>
        <v>0</v>
      </c>
      <c r="T40">
        <f>'RESUMEN TOTAL'!AB43</f>
        <v>0</v>
      </c>
      <c r="U40">
        <f>'RESUMEN TOTAL'!AC43</f>
        <v>0</v>
      </c>
      <c r="V40">
        <f>'RESUMEN TOTAL'!AD43</f>
        <v>0</v>
      </c>
      <c r="W40">
        <f>'RESUMEN TOTAL'!AE43</f>
        <v>0</v>
      </c>
      <c r="X40">
        <f>'RESUMEN TOTAL'!AF43</f>
        <v>0</v>
      </c>
      <c r="Y40">
        <f>'RESUMEN TOTAL'!AG43</f>
        <v>0</v>
      </c>
      <c r="Z40">
        <f>'RESUMEN TOTAL'!AH43</f>
        <v>0</v>
      </c>
      <c r="AA40">
        <f>'RESUMEN TOTAL'!AI43</f>
        <v>0</v>
      </c>
      <c r="AB40">
        <f>'RESUMEN TOTAL'!AJ43</f>
        <v>0</v>
      </c>
      <c r="AC40">
        <f>'RESUMEN TOTAL'!AK43</f>
        <v>0</v>
      </c>
      <c r="AD40">
        <f>'RESUMEN TOTAL'!AL43</f>
        <v>0</v>
      </c>
      <c r="AE40">
        <f>'RESUMEN TOTAL'!AM43</f>
        <v>0</v>
      </c>
      <c r="AF40">
        <f>'RESUMEN TOTAL'!AN43</f>
        <v>0</v>
      </c>
      <c r="AG40">
        <f>'RESUMEN TOTAL'!AO43</f>
        <v>0</v>
      </c>
    </row>
    <row r="41" spans="1:33" x14ac:dyDescent="0.25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 t="str">
        <f>'RESUMEN TOTAL'!N44</f>
        <v>APAGADO</v>
      </c>
      <c r="G41" t="str">
        <f>'RESUMEN TOTAL'!O44</f>
        <v>APAGADO</v>
      </c>
      <c r="H41" t="str">
        <f>'RESUMEN TOTAL'!P44</f>
        <v>APAGADO</v>
      </c>
      <c r="I41" t="str">
        <f>'RESUMEN TOTAL'!Q44</f>
        <v>APAGADO</v>
      </c>
      <c r="J41" t="str">
        <f>'RESUMEN TOTAL'!R44</f>
        <v>APAGADO</v>
      </c>
      <c r="K41" t="str">
        <f>'RESUMEN TOTAL'!S44</f>
        <v>APAGADO</v>
      </c>
      <c r="L41" t="str">
        <f>'RESUMEN TOTAL'!T44</f>
        <v>APAGADO</v>
      </c>
      <c r="M41">
        <f>'RESUMEN TOTAL'!U44</f>
        <v>0</v>
      </c>
      <c r="N41">
        <f>'RESUMEN TOTAL'!V44</f>
        <v>0</v>
      </c>
      <c r="O41">
        <f>'RESUMEN TOTAL'!W44</f>
        <v>0</v>
      </c>
      <c r="P41">
        <f>'RESUMEN TOTAL'!X44</f>
        <v>0</v>
      </c>
      <c r="Q41">
        <f>'RESUMEN TOTAL'!Y44</f>
        <v>0</v>
      </c>
      <c r="R41">
        <f>'RESUMEN TOTAL'!Z44</f>
        <v>0</v>
      </c>
      <c r="S41">
        <f>'RESUMEN TOTAL'!AA44</f>
        <v>0</v>
      </c>
      <c r="T41">
        <f>'RESUMEN TOTAL'!AB44</f>
        <v>0</v>
      </c>
      <c r="U41">
        <f>'RESUMEN TOTAL'!AC44</f>
        <v>0</v>
      </c>
      <c r="V41">
        <f>'RESUMEN TOTAL'!AD44</f>
        <v>0</v>
      </c>
      <c r="W41">
        <f>'RESUMEN TOTAL'!AE44</f>
        <v>0</v>
      </c>
      <c r="X41">
        <f>'RESUMEN TOTAL'!AF44</f>
        <v>0</v>
      </c>
      <c r="Y41">
        <f>'RESUMEN TOTAL'!AG44</f>
        <v>0</v>
      </c>
      <c r="Z41">
        <f>'RESUMEN TOTAL'!AH44</f>
        <v>0</v>
      </c>
      <c r="AA41">
        <f>'RESUMEN TOTAL'!AI44</f>
        <v>0</v>
      </c>
      <c r="AB41">
        <f>'RESUMEN TOTAL'!AJ44</f>
        <v>0</v>
      </c>
      <c r="AC41">
        <f>'RESUMEN TOTAL'!AK44</f>
        <v>0</v>
      </c>
      <c r="AD41">
        <f>'RESUMEN TOTAL'!AL44</f>
        <v>0</v>
      </c>
      <c r="AE41">
        <f>'RESUMEN TOTAL'!AM44</f>
        <v>0</v>
      </c>
      <c r="AF41">
        <f>'RESUMEN TOTAL'!AN44</f>
        <v>0</v>
      </c>
      <c r="AG41">
        <f>'RESUMEN TOTAL'!AO44</f>
        <v>0</v>
      </c>
    </row>
    <row r="42" spans="1:33" x14ac:dyDescent="0.25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TOTAL'!N45</f>
        <v>0</v>
      </c>
      <c r="G42">
        <f>'RESUMEN TOTAL'!O45</f>
        <v>0</v>
      </c>
      <c r="H42">
        <f>'RESUMEN TOTAL'!P45</f>
        <v>0</v>
      </c>
      <c r="I42">
        <f>'RESUMEN TOTAL'!Q45</f>
        <v>0</v>
      </c>
      <c r="J42">
        <f>'RESUMEN TOTAL'!R45</f>
        <v>0</v>
      </c>
      <c r="K42">
        <f>'RESUMEN TOTAL'!S45</f>
        <v>0</v>
      </c>
      <c r="L42">
        <f>'RESUMEN TOTAL'!T45</f>
        <v>0</v>
      </c>
      <c r="M42">
        <f>'RESUMEN TOTAL'!U45</f>
        <v>0</v>
      </c>
      <c r="N42">
        <f>'RESUMEN TOTAL'!V45</f>
        <v>0</v>
      </c>
      <c r="O42">
        <f>'RESUMEN TOTAL'!W45</f>
        <v>0</v>
      </c>
      <c r="P42">
        <f>'RESUMEN TOTAL'!X45</f>
        <v>0</v>
      </c>
      <c r="Q42">
        <f>'RESUMEN TOTAL'!Y45</f>
        <v>0</v>
      </c>
      <c r="R42">
        <f>'RESUMEN TOTAL'!Z45</f>
        <v>0</v>
      </c>
      <c r="S42">
        <f>'RESUMEN TOTAL'!AA45</f>
        <v>0</v>
      </c>
      <c r="T42">
        <f>'RESUMEN TOTAL'!AB45</f>
        <v>0</v>
      </c>
      <c r="U42">
        <f>'RESUMEN TOTAL'!AC45</f>
        <v>0</v>
      </c>
      <c r="V42">
        <f>'RESUMEN TOTAL'!AD45</f>
        <v>0</v>
      </c>
      <c r="W42">
        <f>'RESUMEN TOTAL'!AE45</f>
        <v>0</v>
      </c>
      <c r="X42">
        <f>'RESUMEN TOTAL'!AF45</f>
        <v>0</v>
      </c>
      <c r="Y42">
        <f>'RESUMEN TOTAL'!AG45</f>
        <v>0</v>
      </c>
      <c r="Z42">
        <f>'RESUMEN TOTAL'!AH45</f>
        <v>0</v>
      </c>
      <c r="AA42">
        <f>'RESUMEN TOTAL'!AI45</f>
        <v>0</v>
      </c>
      <c r="AB42">
        <f>'RESUMEN TOTAL'!AJ45</f>
        <v>0</v>
      </c>
      <c r="AC42">
        <f>'RESUMEN TOTAL'!AK45</f>
        <v>0</v>
      </c>
      <c r="AD42">
        <f>'RESUMEN TOTAL'!AL45</f>
        <v>0</v>
      </c>
      <c r="AE42">
        <f>'RESUMEN TOTAL'!AM45</f>
        <v>0</v>
      </c>
      <c r="AF42">
        <f>'RESUMEN TOTAL'!AN45</f>
        <v>0</v>
      </c>
      <c r="AG42">
        <f>'RESUMEN TOTAL'!AO45</f>
        <v>0</v>
      </c>
    </row>
    <row r="43" spans="1:33" x14ac:dyDescent="0.25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TOTAL'!N46</f>
        <v>0</v>
      </c>
      <c r="G43">
        <f>'RESUMEN TOTAL'!O46</f>
        <v>0</v>
      </c>
      <c r="H43">
        <f>'RESUMEN TOTAL'!P46</f>
        <v>0</v>
      </c>
      <c r="I43">
        <f>'RESUMEN TOTAL'!Q46</f>
        <v>0</v>
      </c>
      <c r="J43">
        <f>'RESUMEN TOTAL'!R46</f>
        <v>0</v>
      </c>
      <c r="K43">
        <f>'RESUMEN TOTAL'!S46</f>
        <v>0</v>
      </c>
      <c r="L43">
        <f>'RESUMEN TOTAL'!T46</f>
        <v>0</v>
      </c>
      <c r="M43">
        <f>'RESUMEN TOTAL'!U46</f>
        <v>0</v>
      </c>
      <c r="N43">
        <f>'RESUMEN TOTAL'!V46</f>
        <v>0</v>
      </c>
      <c r="O43">
        <f>'RESUMEN TOTAL'!W46</f>
        <v>0</v>
      </c>
      <c r="P43">
        <f>'RESUMEN TOTAL'!X46</f>
        <v>0</v>
      </c>
      <c r="Q43">
        <f>'RESUMEN TOTAL'!Y46</f>
        <v>0</v>
      </c>
      <c r="R43">
        <f>'RESUMEN TOTAL'!Z46</f>
        <v>0</v>
      </c>
      <c r="S43">
        <f>'RESUMEN TOTAL'!AA46</f>
        <v>0</v>
      </c>
      <c r="T43">
        <f>'RESUMEN TOTAL'!AB46</f>
        <v>0</v>
      </c>
      <c r="U43">
        <f>'RESUMEN TOTAL'!AC46</f>
        <v>0</v>
      </c>
      <c r="V43">
        <f>'RESUMEN TOTAL'!AD46</f>
        <v>0</v>
      </c>
      <c r="W43">
        <f>'RESUMEN TOTAL'!AE46</f>
        <v>0</v>
      </c>
      <c r="X43">
        <f>'RESUMEN TOTAL'!AF46</f>
        <v>0</v>
      </c>
      <c r="Y43">
        <f>'RESUMEN TOTAL'!AG46</f>
        <v>0</v>
      </c>
      <c r="Z43">
        <f>'RESUMEN TOTAL'!AH46</f>
        <v>0</v>
      </c>
      <c r="AA43">
        <f>'RESUMEN TOTAL'!AI46</f>
        <v>0</v>
      </c>
      <c r="AB43">
        <f>'RESUMEN TOTAL'!AJ46</f>
        <v>0</v>
      </c>
      <c r="AC43">
        <f>'RESUMEN TOTAL'!AK46</f>
        <v>0</v>
      </c>
      <c r="AD43">
        <f>'RESUMEN TOTAL'!AL46</f>
        <v>0</v>
      </c>
      <c r="AE43">
        <f>'RESUMEN TOTAL'!AM46</f>
        <v>0</v>
      </c>
      <c r="AF43">
        <f>'RESUMEN TOTAL'!AN46</f>
        <v>0</v>
      </c>
      <c r="AG43">
        <f>'RESUMEN TOTAL'!AO46</f>
        <v>0</v>
      </c>
    </row>
    <row r="44" spans="1:33" x14ac:dyDescent="0.25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TOTAL'!N47</f>
        <v>0</v>
      </c>
      <c r="G44">
        <f>'RESUMEN TOTAL'!O47</f>
        <v>0</v>
      </c>
      <c r="H44">
        <f>'RESUMEN TOTAL'!P47</f>
        <v>0</v>
      </c>
      <c r="I44">
        <f>'RESUMEN TOTAL'!Q47</f>
        <v>0</v>
      </c>
      <c r="J44">
        <f>'RESUMEN TOTAL'!R47</f>
        <v>0</v>
      </c>
      <c r="K44">
        <f>'RESUMEN TOTAL'!S47</f>
        <v>0</v>
      </c>
      <c r="L44">
        <f>'RESUMEN TOTAL'!T47</f>
        <v>0</v>
      </c>
      <c r="M44">
        <f>'RESUMEN TOTAL'!U47</f>
        <v>0</v>
      </c>
      <c r="N44">
        <f>'RESUMEN TOTAL'!V47</f>
        <v>0</v>
      </c>
      <c r="O44">
        <f>'RESUMEN TOTAL'!W47</f>
        <v>0</v>
      </c>
      <c r="P44">
        <f>'RESUMEN TOTAL'!X47</f>
        <v>0</v>
      </c>
      <c r="Q44">
        <f>'RESUMEN TOTAL'!Y47</f>
        <v>0</v>
      </c>
      <c r="R44">
        <f>'RESUMEN TOTAL'!Z47</f>
        <v>0</v>
      </c>
      <c r="S44">
        <f>'RESUMEN TOTAL'!AA47</f>
        <v>0</v>
      </c>
      <c r="T44">
        <f>'RESUMEN TOTAL'!AB47</f>
        <v>0</v>
      </c>
      <c r="U44">
        <f>'RESUMEN TOTAL'!AC47</f>
        <v>0</v>
      </c>
      <c r="V44">
        <f>'RESUMEN TOTAL'!AD47</f>
        <v>0</v>
      </c>
      <c r="W44">
        <f>'RESUMEN TOTAL'!AE47</f>
        <v>0</v>
      </c>
      <c r="X44">
        <f>'RESUMEN TOTAL'!AF47</f>
        <v>0</v>
      </c>
      <c r="Y44">
        <f>'RESUMEN TOTAL'!AG47</f>
        <v>0</v>
      </c>
      <c r="Z44">
        <f>'RESUMEN TOTAL'!AH47</f>
        <v>0</v>
      </c>
      <c r="AA44">
        <f>'RESUMEN TOTAL'!AI47</f>
        <v>0</v>
      </c>
      <c r="AB44">
        <f>'RESUMEN TOTAL'!AJ47</f>
        <v>0</v>
      </c>
      <c r="AC44">
        <f>'RESUMEN TOTAL'!AK47</f>
        <v>0</v>
      </c>
      <c r="AD44">
        <f>'RESUMEN TOTAL'!AL47</f>
        <v>0</v>
      </c>
      <c r="AE44">
        <f>'RESUMEN TOTAL'!AM47</f>
        <v>0</v>
      </c>
      <c r="AF44">
        <f>'RESUMEN TOTAL'!AN47</f>
        <v>0</v>
      </c>
      <c r="AG44">
        <f>'RESUMEN TOTAL'!AO47</f>
        <v>0</v>
      </c>
    </row>
    <row r="45" spans="1:33" x14ac:dyDescent="0.25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TOTAL'!N48</f>
        <v>0</v>
      </c>
      <c r="G45">
        <f>'RESUMEN TOTAL'!O48</f>
        <v>0</v>
      </c>
      <c r="H45">
        <f>'RESUMEN TOTAL'!P48</f>
        <v>0</v>
      </c>
      <c r="I45">
        <f>'RESUMEN TOTAL'!Q48</f>
        <v>0</v>
      </c>
      <c r="J45">
        <f>'RESUMEN TOTAL'!R48</f>
        <v>0</v>
      </c>
      <c r="K45">
        <f>'RESUMEN TOTAL'!S48</f>
        <v>0</v>
      </c>
      <c r="L45">
        <f>'RESUMEN TOTAL'!T48</f>
        <v>0</v>
      </c>
      <c r="M45">
        <f>'RESUMEN TOTAL'!U48</f>
        <v>0</v>
      </c>
      <c r="N45">
        <f>'RESUMEN TOTAL'!V48</f>
        <v>0</v>
      </c>
      <c r="O45">
        <f>'RESUMEN TOTAL'!W48</f>
        <v>0</v>
      </c>
      <c r="P45">
        <f>'RESUMEN TOTAL'!X48</f>
        <v>0</v>
      </c>
      <c r="Q45">
        <f>'RESUMEN TOTAL'!Y48</f>
        <v>0</v>
      </c>
      <c r="R45">
        <f>'RESUMEN TOTAL'!Z48</f>
        <v>0</v>
      </c>
      <c r="S45">
        <f>'RESUMEN TOTAL'!AA48</f>
        <v>0</v>
      </c>
      <c r="T45">
        <f>'RESUMEN TOTAL'!AB48</f>
        <v>0</v>
      </c>
      <c r="U45">
        <f>'RESUMEN TOTAL'!AC48</f>
        <v>0</v>
      </c>
      <c r="V45">
        <f>'RESUMEN TOTAL'!AD48</f>
        <v>0</v>
      </c>
      <c r="W45">
        <f>'RESUMEN TOTAL'!AE48</f>
        <v>0</v>
      </c>
      <c r="X45">
        <f>'RESUMEN TOTAL'!AF48</f>
        <v>0</v>
      </c>
      <c r="Y45">
        <f>'RESUMEN TOTAL'!AG48</f>
        <v>0</v>
      </c>
      <c r="Z45">
        <f>'RESUMEN TOTAL'!AH48</f>
        <v>0</v>
      </c>
      <c r="AA45">
        <f>'RESUMEN TOTAL'!AI48</f>
        <v>0</v>
      </c>
      <c r="AB45">
        <f>'RESUMEN TOTAL'!AJ48</f>
        <v>0</v>
      </c>
      <c r="AC45">
        <f>'RESUMEN TOTAL'!AK48</f>
        <v>0</v>
      </c>
      <c r="AD45">
        <f>'RESUMEN TOTAL'!AL48</f>
        <v>0</v>
      </c>
      <c r="AE45">
        <f>'RESUMEN TOTAL'!AM48</f>
        <v>0</v>
      </c>
      <c r="AF45">
        <f>'RESUMEN TOTAL'!AN48</f>
        <v>0</v>
      </c>
      <c r="AG45">
        <f>'RESUMEN TOTAL'!AO48</f>
        <v>0</v>
      </c>
    </row>
    <row r="46" spans="1:33" x14ac:dyDescent="0.25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TOTAL'!N49</f>
        <v>0</v>
      </c>
      <c r="G46">
        <f>'RESUMEN TOTAL'!O49</f>
        <v>0</v>
      </c>
      <c r="H46">
        <f>'RESUMEN TOTAL'!P49</f>
        <v>0</v>
      </c>
      <c r="I46">
        <f>'RESUMEN TOTAL'!Q49</f>
        <v>0</v>
      </c>
      <c r="J46">
        <f>'RESUMEN TOTAL'!R49</f>
        <v>0</v>
      </c>
      <c r="K46">
        <f>'RESUMEN TOTAL'!S49</f>
        <v>0</v>
      </c>
      <c r="L46">
        <f>'RESUMEN TOTAL'!T49</f>
        <v>0</v>
      </c>
      <c r="M46">
        <f>'RESUMEN TOTAL'!U49</f>
        <v>0</v>
      </c>
      <c r="N46">
        <f>'RESUMEN TOTAL'!V49</f>
        <v>0</v>
      </c>
      <c r="O46">
        <f>'RESUMEN TOTAL'!W49</f>
        <v>0</v>
      </c>
      <c r="P46">
        <f>'RESUMEN TOTAL'!X49</f>
        <v>0</v>
      </c>
      <c r="Q46">
        <f>'RESUMEN TOTAL'!Y49</f>
        <v>0</v>
      </c>
      <c r="R46">
        <f>'RESUMEN TOTAL'!Z49</f>
        <v>0</v>
      </c>
      <c r="S46">
        <f>'RESUMEN TOTAL'!AA49</f>
        <v>0</v>
      </c>
      <c r="T46">
        <f>'RESUMEN TOTAL'!AB49</f>
        <v>0</v>
      </c>
      <c r="U46">
        <f>'RESUMEN TOTAL'!AC49</f>
        <v>0</v>
      </c>
      <c r="V46">
        <f>'RESUMEN TOTAL'!AD49</f>
        <v>0</v>
      </c>
      <c r="W46">
        <f>'RESUMEN TOTAL'!AE49</f>
        <v>0</v>
      </c>
      <c r="X46">
        <f>'RESUMEN TOTAL'!AF49</f>
        <v>0</v>
      </c>
      <c r="Y46">
        <f>'RESUMEN TOTAL'!AG49</f>
        <v>0</v>
      </c>
      <c r="Z46">
        <f>'RESUMEN TOTAL'!AH49</f>
        <v>0</v>
      </c>
      <c r="AA46">
        <f>'RESUMEN TOTAL'!AI49</f>
        <v>0</v>
      </c>
      <c r="AB46">
        <f>'RESUMEN TOTAL'!AJ49</f>
        <v>0</v>
      </c>
      <c r="AC46">
        <f>'RESUMEN TOTAL'!AK49</f>
        <v>0</v>
      </c>
      <c r="AD46">
        <f>'RESUMEN TOTAL'!AL49</f>
        <v>0</v>
      </c>
      <c r="AE46">
        <f>'RESUMEN TOTAL'!AM49</f>
        <v>0</v>
      </c>
      <c r="AF46">
        <f>'RESUMEN TOTAL'!AN49</f>
        <v>0</v>
      </c>
      <c r="AG46">
        <f>'RESUMEN TOTAL'!AO49</f>
        <v>0</v>
      </c>
    </row>
    <row r="47" spans="1:33" x14ac:dyDescent="0.25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TOTAL'!N50</f>
        <v>0</v>
      </c>
      <c r="G47">
        <f>'RESUMEN TOTAL'!O50</f>
        <v>0</v>
      </c>
      <c r="H47">
        <f>'RESUMEN TOTAL'!P50</f>
        <v>0</v>
      </c>
      <c r="I47">
        <f>'RESUMEN TOTAL'!Q50</f>
        <v>0</v>
      </c>
      <c r="J47">
        <f>'RESUMEN TOTAL'!R50</f>
        <v>0</v>
      </c>
      <c r="K47">
        <f>'RESUMEN TOTAL'!S50</f>
        <v>0</v>
      </c>
      <c r="L47">
        <f>'RESUMEN TOTAL'!T50</f>
        <v>0</v>
      </c>
      <c r="M47">
        <f>'RESUMEN TOTAL'!U50</f>
        <v>0</v>
      </c>
      <c r="N47">
        <f>'RESUMEN TOTAL'!V50</f>
        <v>0</v>
      </c>
      <c r="O47">
        <f>'RESUMEN TOTAL'!W50</f>
        <v>0</v>
      </c>
      <c r="P47">
        <f>'RESUMEN TOTAL'!X50</f>
        <v>0</v>
      </c>
      <c r="Q47">
        <f>'RESUMEN TOTAL'!Y50</f>
        <v>0</v>
      </c>
      <c r="R47">
        <f>'RESUMEN TOTAL'!Z50</f>
        <v>0</v>
      </c>
      <c r="S47">
        <f>'RESUMEN TOTAL'!AA50</f>
        <v>0</v>
      </c>
      <c r="T47">
        <f>'RESUMEN TOTAL'!AB50</f>
        <v>0</v>
      </c>
      <c r="U47">
        <f>'RESUMEN TOTAL'!AC50</f>
        <v>0</v>
      </c>
      <c r="V47">
        <f>'RESUMEN TOTAL'!AD50</f>
        <v>0</v>
      </c>
      <c r="W47">
        <f>'RESUMEN TOTAL'!AE50</f>
        <v>0</v>
      </c>
      <c r="X47">
        <f>'RESUMEN TOTAL'!AF50</f>
        <v>0</v>
      </c>
      <c r="Y47">
        <f>'RESUMEN TOTAL'!AG50</f>
        <v>0</v>
      </c>
      <c r="Z47">
        <f>'RESUMEN TOTAL'!AH50</f>
        <v>0</v>
      </c>
      <c r="AA47">
        <f>'RESUMEN TOTAL'!AI50</f>
        <v>0</v>
      </c>
      <c r="AB47">
        <f>'RESUMEN TOTAL'!AJ50</f>
        <v>0</v>
      </c>
      <c r="AC47">
        <f>'RESUMEN TOTAL'!AK50</f>
        <v>0</v>
      </c>
      <c r="AD47">
        <f>'RESUMEN TOTAL'!AL50</f>
        <v>0</v>
      </c>
      <c r="AE47">
        <f>'RESUMEN TOTAL'!AM50</f>
        <v>0</v>
      </c>
      <c r="AF47">
        <f>'RESUMEN TOTAL'!AN50</f>
        <v>0</v>
      </c>
      <c r="AG47">
        <f>'RESUMEN TOTAL'!AO50</f>
        <v>0</v>
      </c>
    </row>
    <row r="48" spans="1:33" x14ac:dyDescent="0.25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TOTAL'!N51</f>
        <v>0</v>
      </c>
      <c r="G48">
        <f>'RESUMEN TOTAL'!O51</f>
        <v>0</v>
      </c>
      <c r="H48">
        <f>'RESUMEN TOTAL'!P51</f>
        <v>0</v>
      </c>
      <c r="I48">
        <f>'RESUMEN TOTAL'!Q51</f>
        <v>0</v>
      </c>
      <c r="J48">
        <f>'RESUMEN TOTAL'!R51</f>
        <v>0</v>
      </c>
      <c r="K48">
        <f>'RESUMEN TOTAL'!S51</f>
        <v>0</v>
      </c>
      <c r="L48">
        <f>'RESUMEN TOTAL'!T51</f>
        <v>0</v>
      </c>
      <c r="M48">
        <f>'RESUMEN TOTAL'!U51</f>
        <v>0</v>
      </c>
      <c r="N48">
        <f>'RESUMEN TOTAL'!V51</f>
        <v>0</v>
      </c>
      <c r="O48">
        <f>'RESUMEN TOTAL'!W51</f>
        <v>0</v>
      </c>
      <c r="P48">
        <f>'RESUMEN TOTAL'!X51</f>
        <v>0</v>
      </c>
      <c r="Q48">
        <f>'RESUMEN TOTAL'!Y51</f>
        <v>0</v>
      </c>
      <c r="R48">
        <f>'RESUMEN TOTAL'!Z51</f>
        <v>0</v>
      </c>
      <c r="S48">
        <f>'RESUMEN TOTAL'!AA51</f>
        <v>0</v>
      </c>
      <c r="T48">
        <f>'RESUMEN TOTAL'!AB51</f>
        <v>0</v>
      </c>
      <c r="U48">
        <f>'RESUMEN TOTAL'!AC51</f>
        <v>0</v>
      </c>
      <c r="V48">
        <f>'RESUMEN TOTAL'!AD51</f>
        <v>0</v>
      </c>
      <c r="W48">
        <f>'RESUMEN TOTAL'!AE51</f>
        <v>0</v>
      </c>
      <c r="X48">
        <f>'RESUMEN TOTAL'!AF51</f>
        <v>0</v>
      </c>
      <c r="Y48">
        <f>'RESUMEN TOTAL'!AG51</f>
        <v>0</v>
      </c>
      <c r="Z48">
        <f>'RESUMEN TOTAL'!AH51</f>
        <v>0</v>
      </c>
      <c r="AA48">
        <f>'RESUMEN TOTAL'!AI51</f>
        <v>0</v>
      </c>
      <c r="AB48">
        <f>'RESUMEN TOTAL'!AJ51</f>
        <v>0</v>
      </c>
      <c r="AC48">
        <f>'RESUMEN TOTAL'!AK51</f>
        <v>0</v>
      </c>
      <c r="AD48">
        <f>'RESUMEN TOTAL'!AL51</f>
        <v>0</v>
      </c>
      <c r="AE48">
        <f>'RESUMEN TOTAL'!AM51</f>
        <v>0</v>
      </c>
      <c r="AF48">
        <f>'RESUMEN TOTAL'!AN51</f>
        <v>0</v>
      </c>
      <c r="AG48">
        <f>'RESUMEN TOTAL'!AO51</f>
        <v>0</v>
      </c>
    </row>
    <row r="49" spans="1:33" x14ac:dyDescent="0.25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 t="str">
        <f>'RESUMEN TOTAL'!N52</f>
        <v>APAGADO</v>
      </c>
      <c r="G49" t="str">
        <f>'RESUMEN TOTAL'!O52</f>
        <v>APAGADO</v>
      </c>
      <c r="H49" t="str">
        <f>'RESUMEN TOTAL'!P52</f>
        <v>APAGADO</v>
      </c>
      <c r="I49" t="str">
        <f>'RESUMEN TOTAL'!Q52</f>
        <v>APAGADO</v>
      </c>
      <c r="J49" t="str">
        <f>'RESUMEN TOTAL'!R52</f>
        <v>APAGADO</v>
      </c>
      <c r="K49" t="str">
        <f>'RESUMEN TOTAL'!S52</f>
        <v>APAGADO</v>
      </c>
      <c r="L49" t="str">
        <f>'RESUMEN TOTAL'!T52</f>
        <v>APAGADO</v>
      </c>
      <c r="M49">
        <f>'RESUMEN TOTAL'!U52</f>
        <v>0</v>
      </c>
      <c r="N49">
        <f>'RESUMEN TOTAL'!V52</f>
        <v>0</v>
      </c>
      <c r="O49">
        <f>'RESUMEN TOTAL'!W52</f>
        <v>0</v>
      </c>
      <c r="P49">
        <f>'RESUMEN TOTAL'!X52</f>
        <v>0</v>
      </c>
      <c r="Q49">
        <f>'RESUMEN TOTAL'!Y52</f>
        <v>0</v>
      </c>
      <c r="R49">
        <f>'RESUMEN TOTAL'!Z52</f>
        <v>0</v>
      </c>
      <c r="S49">
        <f>'RESUMEN TOTAL'!AA52</f>
        <v>0</v>
      </c>
      <c r="T49">
        <f>'RESUMEN TOTAL'!AB52</f>
        <v>0</v>
      </c>
      <c r="U49">
        <f>'RESUMEN TOTAL'!AC52</f>
        <v>0</v>
      </c>
      <c r="V49">
        <f>'RESUMEN TOTAL'!AD52</f>
        <v>0</v>
      </c>
      <c r="W49">
        <f>'RESUMEN TOTAL'!AE52</f>
        <v>0</v>
      </c>
      <c r="X49">
        <f>'RESUMEN TOTAL'!AF52</f>
        <v>0</v>
      </c>
      <c r="Y49">
        <f>'RESUMEN TOTAL'!AG52</f>
        <v>0</v>
      </c>
      <c r="Z49">
        <f>'RESUMEN TOTAL'!AH52</f>
        <v>0</v>
      </c>
      <c r="AA49">
        <f>'RESUMEN TOTAL'!AI52</f>
        <v>0</v>
      </c>
      <c r="AB49">
        <f>'RESUMEN TOTAL'!AJ52</f>
        <v>0</v>
      </c>
      <c r="AC49">
        <f>'RESUMEN TOTAL'!AK52</f>
        <v>0</v>
      </c>
      <c r="AD49">
        <f>'RESUMEN TOTAL'!AL52</f>
        <v>0</v>
      </c>
      <c r="AE49">
        <f>'RESUMEN TOTAL'!AM52</f>
        <v>0</v>
      </c>
      <c r="AF49">
        <f>'RESUMEN TOTAL'!AN52</f>
        <v>0</v>
      </c>
      <c r="AG49">
        <f>'RESUMEN TOTAL'!AO52</f>
        <v>0</v>
      </c>
    </row>
    <row r="50" spans="1:33" x14ac:dyDescent="0.25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PTP A FO</v>
      </c>
      <c r="F50">
        <f>'RESUMEN TOTAL'!N53</f>
        <v>0</v>
      </c>
      <c r="G50">
        <f>'RESUMEN TOTAL'!O53</f>
        <v>0</v>
      </c>
      <c r="H50">
        <f>'RESUMEN TOTAL'!P53</f>
        <v>0</v>
      </c>
      <c r="I50">
        <f>'RESUMEN TOTAL'!Q53</f>
        <v>0</v>
      </c>
      <c r="J50">
        <f>'RESUMEN TOTAL'!R53</f>
        <v>0</v>
      </c>
      <c r="K50">
        <f>'RESUMEN TOTAL'!S53</f>
        <v>0</v>
      </c>
      <c r="L50">
        <f>'RESUMEN TOTAL'!T53</f>
        <v>0</v>
      </c>
      <c r="M50">
        <f>'RESUMEN TOTAL'!U53</f>
        <v>0</v>
      </c>
      <c r="N50">
        <f>'RESUMEN TOTAL'!V53</f>
        <v>0</v>
      </c>
      <c r="O50">
        <f>'RESUMEN TOTAL'!W53</f>
        <v>0</v>
      </c>
      <c r="P50">
        <f>'RESUMEN TOTAL'!X53</f>
        <v>0</v>
      </c>
      <c r="Q50">
        <f>'RESUMEN TOTAL'!Y53</f>
        <v>0</v>
      </c>
      <c r="R50">
        <f>'RESUMEN TOTAL'!Z53</f>
        <v>0</v>
      </c>
      <c r="S50">
        <f>'RESUMEN TOTAL'!AA53</f>
        <v>0</v>
      </c>
      <c r="T50">
        <f>'RESUMEN TOTAL'!AB53</f>
        <v>0</v>
      </c>
      <c r="U50">
        <f>'RESUMEN TOTAL'!AC53</f>
        <v>0</v>
      </c>
      <c r="V50">
        <f>'RESUMEN TOTAL'!AD53</f>
        <v>0</v>
      </c>
      <c r="W50">
        <f>'RESUMEN TOTAL'!AE53</f>
        <v>0</v>
      </c>
      <c r="X50">
        <f>'RESUMEN TOTAL'!AF53</f>
        <v>0</v>
      </c>
      <c r="Y50">
        <f>'RESUMEN TOTAL'!AG53</f>
        <v>0</v>
      </c>
      <c r="Z50">
        <f>'RESUMEN TOTAL'!AH53</f>
        <v>0</v>
      </c>
      <c r="AA50">
        <f>'RESUMEN TOTAL'!AI53</f>
        <v>0</v>
      </c>
      <c r="AB50">
        <f>'RESUMEN TOTAL'!AJ53</f>
        <v>0</v>
      </c>
      <c r="AC50">
        <f>'RESUMEN TOTAL'!AK53</f>
        <v>0</v>
      </c>
      <c r="AD50">
        <f>'RESUMEN TOTAL'!AL53</f>
        <v>0</v>
      </c>
      <c r="AE50">
        <f>'RESUMEN TOTAL'!AM53</f>
        <v>0</v>
      </c>
      <c r="AF50">
        <f>'RESUMEN TOTAL'!AN53</f>
        <v>0</v>
      </c>
      <c r="AG50">
        <f>'RESUMEN TOTAL'!AO53</f>
        <v>0</v>
      </c>
    </row>
    <row r="51" spans="1:33" x14ac:dyDescent="0.25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 t="str">
        <f>'RESUMEN TOTAL'!N54</f>
        <v>APAGADO</v>
      </c>
      <c r="G51" t="str">
        <f>'RESUMEN TOTAL'!O54</f>
        <v>APAGADO</v>
      </c>
      <c r="H51" t="str">
        <f>'RESUMEN TOTAL'!P54</f>
        <v>APAGADO</v>
      </c>
      <c r="I51" t="str">
        <f>'RESUMEN TOTAL'!Q54</f>
        <v>APAGADO</v>
      </c>
      <c r="J51" t="str">
        <f>'RESUMEN TOTAL'!R54</f>
        <v>APAGADO</v>
      </c>
      <c r="K51" t="str">
        <f>'RESUMEN TOTAL'!S54</f>
        <v>APAGADO</v>
      </c>
      <c r="L51" t="str">
        <f>'RESUMEN TOTAL'!T54</f>
        <v>APAGADO</v>
      </c>
      <c r="M51">
        <f>'RESUMEN TOTAL'!U54</f>
        <v>0</v>
      </c>
      <c r="N51">
        <f>'RESUMEN TOTAL'!V54</f>
        <v>0</v>
      </c>
      <c r="O51">
        <f>'RESUMEN TOTAL'!W54</f>
        <v>0</v>
      </c>
      <c r="P51">
        <f>'RESUMEN TOTAL'!X54</f>
        <v>0</v>
      </c>
      <c r="Q51">
        <f>'RESUMEN TOTAL'!Y54</f>
        <v>0</v>
      </c>
      <c r="R51">
        <f>'RESUMEN TOTAL'!Z54</f>
        <v>0</v>
      </c>
      <c r="S51">
        <f>'RESUMEN TOTAL'!AA54</f>
        <v>0</v>
      </c>
      <c r="T51">
        <f>'RESUMEN TOTAL'!AB54</f>
        <v>0</v>
      </c>
      <c r="U51">
        <f>'RESUMEN TOTAL'!AC54</f>
        <v>0</v>
      </c>
      <c r="V51">
        <f>'RESUMEN TOTAL'!AD54</f>
        <v>0</v>
      </c>
      <c r="W51">
        <f>'RESUMEN TOTAL'!AE54</f>
        <v>0</v>
      </c>
      <c r="X51">
        <f>'RESUMEN TOTAL'!AF54</f>
        <v>0</v>
      </c>
      <c r="Y51">
        <f>'RESUMEN TOTAL'!AG54</f>
        <v>0</v>
      </c>
      <c r="Z51">
        <f>'RESUMEN TOTAL'!AH54</f>
        <v>0</v>
      </c>
      <c r="AA51">
        <f>'RESUMEN TOTAL'!AI54</f>
        <v>0</v>
      </c>
      <c r="AB51">
        <f>'RESUMEN TOTAL'!AJ54</f>
        <v>0</v>
      </c>
      <c r="AC51">
        <f>'RESUMEN TOTAL'!AK54</f>
        <v>0</v>
      </c>
      <c r="AD51">
        <f>'RESUMEN TOTAL'!AL54</f>
        <v>0</v>
      </c>
      <c r="AE51">
        <f>'RESUMEN TOTAL'!AM54</f>
        <v>0</v>
      </c>
      <c r="AF51">
        <f>'RESUMEN TOTAL'!AN54</f>
        <v>0</v>
      </c>
      <c r="AG51">
        <f>'RESUMEN TOTAL'!AO54</f>
        <v>0</v>
      </c>
    </row>
    <row r="52" spans="1:33" x14ac:dyDescent="0.25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TOTAL'!N55</f>
        <v>0</v>
      </c>
      <c r="G52">
        <f>'RESUMEN TOTAL'!O55</f>
        <v>0</v>
      </c>
      <c r="H52">
        <f>'RESUMEN TOTAL'!P55</f>
        <v>0</v>
      </c>
      <c r="I52">
        <f>'RESUMEN TOTAL'!Q55</f>
        <v>0</v>
      </c>
      <c r="J52">
        <f>'RESUMEN TOTAL'!R55</f>
        <v>0</v>
      </c>
      <c r="K52">
        <f>'RESUMEN TOTAL'!S55</f>
        <v>0</v>
      </c>
      <c r="L52">
        <f>'RESUMEN TOTAL'!T55</f>
        <v>0</v>
      </c>
      <c r="M52">
        <f>'RESUMEN TOTAL'!U55</f>
        <v>0</v>
      </c>
      <c r="N52">
        <f>'RESUMEN TOTAL'!V55</f>
        <v>0</v>
      </c>
      <c r="O52">
        <f>'RESUMEN TOTAL'!W55</f>
        <v>0</v>
      </c>
      <c r="P52">
        <f>'RESUMEN TOTAL'!X55</f>
        <v>0</v>
      </c>
      <c r="Q52">
        <f>'RESUMEN TOTAL'!Y55</f>
        <v>0</v>
      </c>
      <c r="R52">
        <f>'RESUMEN TOTAL'!Z55</f>
        <v>0</v>
      </c>
      <c r="S52">
        <f>'RESUMEN TOTAL'!AA55</f>
        <v>0</v>
      </c>
      <c r="T52">
        <f>'RESUMEN TOTAL'!AB55</f>
        <v>0</v>
      </c>
      <c r="U52">
        <f>'RESUMEN TOTAL'!AC55</f>
        <v>0</v>
      </c>
      <c r="V52">
        <f>'RESUMEN TOTAL'!AD55</f>
        <v>0</v>
      </c>
      <c r="W52">
        <f>'RESUMEN TOTAL'!AE55</f>
        <v>0</v>
      </c>
      <c r="X52">
        <f>'RESUMEN TOTAL'!AF55</f>
        <v>0</v>
      </c>
      <c r="Y52">
        <f>'RESUMEN TOTAL'!AG55</f>
        <v>0</v>
      </c>
      <c r="Z52">
        <f>'RESUMEN TOTAL'!AH55</f>
        <v>0</v>
      </c>
      <c r="AA52">
        <f>'RESUMEN TOTAL'!AI55</f>
        <v>0</v>
      </c>
      <c r="AB52">
        <f>'RESUMEN TOTAL'!AJ55</f>
        <v>0</v>
      </c>
      <c r="AC52">
        <f>'RESUMEN TOTAL'!AK55</f>
        <v>0</v>
      </c>
      <c r="AD52">
        <f>'RESUMEN TOTAL'!AL55</f>
        <v>0</v>
      </c>
      <c r="AE52">
        <f>'RESUMEN TOTAL'!AM55</f>
        <v>0</v>
      </c>
      <c r="AF52">
        <f>'RESUMEN TOTAL'!AN55</f>
        <v>0</v>
      </c>
      <c r="AG52">
        <f>'RESUMEN TOTAL'!AO55</f>
        <v>0</v>
      </c>
    </row>
    <row r="53" spans="1:33" x14ac:dyDescent="0.25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TOTAL'!N56</f>
        <v>0</v>
      </c>
      <c r="G53">
        <f>'RESUMEN TOTAL'!O56</f>
        <v>0</v>
      </c>
      <c r="H53">
        <f>'RESUMEN TOTAL'!P56</f>
        <v>0</v>
      </c>
      <c r="I53">
        <f>'RESUMEN TOTAL'!Q56</f>
        <v>0</v>
      </c>
      <c r="J53">
        <f>'RESUMEN TOTAL'!R56</f>
        <v>0</v>
      </c>
      <c r="K53">
        <f>'RESUMEN TOTAL'!S56</f>
        <v>0</v>
      </c>
      <c r="L53">
        <f>'RESUMEN TOTAL'!T56</f>
        <v>0</v>
      </c>
      <c r="M53">
        <f>'RESUMEN TOTAL'!U56</f>
        <v>0</v>
      </c>
      <c r="N53">
        <f>'RESUMEN TOTAL'!V56</f>
        <v>0</v>
      </c>
      <c r="O53">
        <f>'RESUMEN TOTAL'!W56</f>
        <v>0</v>
      </c>
      <c r="P53">
        <f>'RESUMEN TOTAL'!X56</f>
        <v>0</v>
      </c>
      <c r="Q53">
        <f>'RESUMEN TOTAL'!Y56</f>
        <v>0</v>
      </c>
      <c r="R53">
        <f>'RESUMEN TOTAL'!Z56</f>
        <v>0</v>
      </c>
      <c r="S53">
        <f>'RESUMEN TOTAL'!AA56</f>
        <v>0</v>
      </c>
      <c r="T53">
        <f>'RESUMEN TOTAL'!AB56</f>
        <v>0</v>
      </c>
      <c r="U53">
        <f>'RESUMEN TOTAL'!AC56</f>
        <v>0</v>
      </c>
      <c r="V53">
        <f>'RESUMEN TOTAL'!AD56</f>
        <v>0</v>
      </c>
      <c r="W53">
        <f>'RESUMEN TOTAL'!AE56</f>
        <v>0</v>
      </c>
      <c r="X53">
        <f>'RESUMEN TOTAL'!AF56</f>
        <v>0</v>
      </c>
      <c r="Y53">
        <f>'RESUMEN TOTAL'!AG56</f>
        <v>0</v>
      </c>
      <c r="Z53">
        <f>'RESUMEN TOTAL'!AH56</f>
        <v>0</v>
      </c>
      <c r="AA53">
        <f>'RESUMEN TOTAL'!AI56</f>
        <v>0</v>
      </c>
      <c r="AB53">
        <f>'RESUMEN TOTAL'!AJ56</f>
        <v>0</v>
      </c>
      <c r="AC53">
        <f>'RESUMEN TOTAL'!AK56</f>
        <v>0</v>
      </c>
      <c r="AD53">
        <f>'RESUMEN TOTAL'!AL56</f>
        <v>0</v>
      </c>
      <c r="AE53">
        <f>'RESUMEN TOTAL'!AM56</f>
        <v>0</v>
      </c>
      <c r="AF53">
        <f>'RESUMEN TOTAL'!AN56</f>
        <v>0</v>
      </c>
      <c r="AG53">
        <f>'RESUMEN TOTAL'!AO56</f>
        <v>0</v>
      </c>
    </row>
    <row r="54" spans="1:33" x14ac:dyDescent="0.25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>
        <f>'RESUMEN TOTAL'!N57</f>
        <v>0</v>
      </c>
      <c r="G54">
        <f>'RESUMEN TOTAL'!O57</f>
        <v>0</v>
      </c>
      <c r="H54">
        <f>'RESUMEN TOTAL'!P57</f>
        <v>0</v>
      </c>
      <c r="I54">
        <f>'RESUMEN TOTAL'!Q57</f>
        <v>0</v>
      </c>
      <c r="J54">
        <f>'RESUMEN TOTAL'!R57</f>
        <v>0</v>
      </c>
      <c r="K54">
        <f>'RESUMEN TOTAL'!S57</f>
        <v>0</v>
      </c>
      <c r="L54">
        <f>'RESUMEN TOTAL'!T57</f>
        <v>0</v>
      </c>
      <c r="M54">
        <f>'RESUMEN TOTAL'!U57</f>
        <v>0</v>
      </c>
      <c r="N54">
        <f>'RESUMEN TOTAL'!V57</f>
        <v>0</v>
      </c>
      <c r="O54">
        <f>'RESUMEN TOTAL'!W57</f>
        <v>0</v>
      </c>
      <c r="P54">
        <f>'RESUMEN TOTAL'!X57</f>
        <v>0</v>
      </c>
      <c r="Q54">
        <f>'RESUMEN TOTAL'!Y57</f>
        <v>0</v>
      </c>
      <c r="R54">
        <f>'RESUMEN TOTAL'!Z57</f>
        <v>0</v>
      </c>
      <c r="S54">
        <f>'RESUMEN TOTAL'!AA57</f>
        <v>0</v>
      </c>
      <c r="T54">
        <f>'RESUMEN TOTAL'!AB57</f>
        <v>0</v>
      </c>
      <c r="U54">
        <f>'RESUMEN TOTAL'!AC57</f>
        <v>0</v>
      </c>
      <c r="V54">
        <f>'RESUMEN TOTAL'!AD57</f>
        <v>0</v>
      </c>
      <c r="W54">
        <f>'RESUMEN TOTAL'!AE57</f>
        <v>0</v>
      </c>
      <c r="X54">
        <f>'RESUMEN TOTAL'!AF57</f>
        <v>0</v>
      </c>
      <c r="Y54">
        <f>'RESUMEN TOTAL'!AG57</f>
        <v>0</v>
      </c>
      <c r="Z54">
        <f>'RESUMEN TOTAL'!AH57</f>
        <v>0</v>
      </c>
      <c r="AA54">
        <f>'RESUMEN TOTAL'!AI57</f>
        <v>0</v>
      </c>
      <c r="AB54">
        <f>'RESUMEN TOTAL'!AJ57</f>
        <v>0</v>
      </c>
      <c r="AC54">
        <f>'RESUMEN TOTAL'!AK57</f>
        <v>0</v>
      </c>
      <c r="AD54">
        <f>'RESUMEN TOTAL'!AL57</f>
        <v>0</v>
      </c>
      <c r="AE54">
        <f>'RESUMEN TOTAL'!AM57</f>
        <v>0</v>
      </c>
      <c r="AF54">
        <f>'RESUMEN TOTAL'!AN57</f>
        <v>0</v>
      </c>
      <c r="AG54">
        <f>'RESUMEN TOTAL'!AO57</f>
        <v>0</v>
      </c>
    </row>
    <row r="55" spans="1:33" x14ac:dyDescent="0.25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TOTAL'!N58</f>
        <v>0</v>
      </c>
      <c r="G55">
        <f>'RESUMEN TOTAL'!O58</f>
        <v>0</v>
      </c>
      <c r="H55">
        <f>'RESUMEN TOTAL'!P58</f>
        <v>0</v>
      </c>
      <c r="I55">
        <f>'RESUMEN TOTAL'!Q58</f>
        <v>0</v>
      </c>
      <c r="J55">
        <f>'RESUMEN TOTAL'!R58</f>
        <v>0</v>
      </c>
      <c r="K55">
        <f>'RESUMEN TOTAL'!S58</f>
        <v>0</v>
      </c>
      <c r="L55">
        <f>'RESUMEN TOTAL'!T58</f>
        <v>0</v>
      </c>
      <c r="M55">
        <f>'RESUMEN TOTAL'!U58</f>
        <v>0</v>
      </c>
      <c r="N55">
        <f>'RESUMEN TOTAL'!V58</f>
        <v>0</v>
      </c>
      <c r="O55">
        <f>'RESUMEN TOTAL'!W58</f>
        <v>0</v>
      </c>
      <c r="P55">
        <f>'RESUMEN TOTAL'!X58</f>
        <v>0</v>
      </c>
      <c r="Q55">
        <f>'RESUMEN TOTAL'!Y58</f>
        <v>0</v>
      </c>
      <c r="R55">
        <f>'RESUMEN TOTAL'!Z58</f>
        <v>0</v>
      </c>
      <c r="S55">
        <f>'RESUMEN TOTAL'!AA58</f>
        <v>0</v>
      </c>
      <c r="T55">
        <f>'RESUMEN TOTAL'!AB58</f>
        <v>0</v>
      </c>
      <c r="U55">
        <f>'RESUMEN TOTAL'!AC58</f>
        <v>0</v>
      </c>
      <c r="V55">
        <f>'RESUMEN TOTAL'!AD58</f>
        <v>0</v>
      </c>
      <c r="W55">
        <f>'RESUMEN TOTAL'!AE58</f>
        <v>0</v>
      </c>
      <c r="X55">
        <f>'RESUMEN TOTAL'!AF58</f>
        <v>0</v>
      </c>
      <c r="Y55">
        <f>'RESUMEN TOTAL'!AG58</f>
        <v>0</v>
      </c>
      <c r="Z55">
        <f>'RESUMEN TOTAL'!AH58</f>
        <v>0</v>
      </c>
      <c r="AA55">
        <f>'RESUMEN TOTAL'!AI58</f>
        <v>0</v>
      </c>
      <c r="AB55">
        <f>'RESUMEN TOTAL'!AJ58</f>
        <v>0</v>
      </c>
      <c r="AC55">
        <f>'RESUMEN TOTAL'!AK58</f>
        <v>0</v>
      </c>
      <c r="AD55">
        <f>'RESUMEN TOTAL'!AL58</f>
        <v>0</v>
      </c>
      <c r="AE55">
        <f>'RESUMEN TOTAL'!AM58</f>
        <v>0</v>
      </c>
      <c r="AF55">
        <f>'RESUMEN TOTAL'!AN58</f>
        <v>0</v>
      </c>
      <c r="AG55">
        <f>'RESUMEN TOTAL'!AO58</f>
        <v>0</v>
      </c>
    </row>
    <row r="56" spans="1:33" x14ac:dyDescent="0.25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TOTAL'!N59</f>
        <v>0</v>
      </c>
      <c r="G56">
        <f>'RESUMEN TOTAL'!O59</f>
        <v>0</v>
      </c>
      <c r="H56">
        <f>'RESUMEN TOTAL'!P59</f>
        <v>0</v>
      </c>
      <c r="I56">
        <f>'RESUMEN TOTAL'!Q59</f>
        <v>0</v>
      </c>
      <c r="J56">
        <f>'RESUMEN TOTAL'!R59</f>
        <v>0</v>
      </c>
      <c r="K56">
        <f>'RESUMEN TOTAL'!S59</f>
        <v>0</v>
      </c>
      <c r="L56">
        <f>'RESUMEN TOTAL'!T59</f>
        <v>0</v>
      </c>
      <c r="M56">
        <f>'RESUMEN TOTAL'!U59</f>
        <v>0</v>
      </c>
      <c r="N56">
        <f>'RESUMEN TOTAL'!V59</f>
        <v>0</v>
      </c>
      <c r="O56">
        <f>'RESUMEN TOTAL'!W59</f>
        <v>0</v>
      </c>
      <c r="P56">
        <f>'RESUMEN TOTAL'!X59</f>
        <v>0</v>
      </c>
      <c r="Q56">
        <f>'RESUMEN TOTAL'!Y59</f>
        <v>0</v>
      </c>
      <c r="R56">
        <f>'RESUMEN TOTAL'!Z59</f>
        <v>0</v>
      </c>
      <c r="S56">
        <f>'RESUMEN TOTAL'!AA59</f>
        <v>0</v>
      </c>
      <c r="T56">
        <f>'RESUMEN TOTAL'!AB59</f>
        <v>0</v>
      </c>
      <c r="U56">
        <f>'RESUMEN TOTAL'!AC59</f>
        <v>0</v>
      </c>
      <c r="V56">
        <f>'RESUMEN TOTAL'!AD59</f>
        <v>0</v>
      </c>
      <c r="W56">
        <f>'RESUMEN TOTAL'!AE59</f>
        <v>0</v>
      </c>
      <c r="X56">
        <f>'RESUMEN TOTAL'!AF59</f>
        <v>0</v>
      </c>
      <c r="Y56">
        <f>'RESUMEN TOTAL'!AG59</f>
        <v>0</v>
      </c>
      <c r="Z56">
        <f>'RESUMEN TOTAL'!AH59</f>
        <v>0</v>
      </c>
      <c r="AA56">
        <f>'RESUMEN TOTAL'!AI59</f>
        <v>0</v>
      </c>
      <c r="AB56">
        <f>'RESUMEN TOTAL'!AJ59</f>
        <v>0</v>
      </c>
      <c r="AC56">
        <f>'RESUMEN TOTAL'!AK59</f>
        <v>0</v>
      </c>
      <c r="AD56">
        <f>'RESUMEN TOTAL'!AL59</f>
        <v>0</v>
      </c>
      <c r="AE56">
        <f>'RESUMEN TOTAL'!AM59</f>
        <v>0</v>
      </c>
      <c r="AF56">
        <f>'RESUMEN TOTAL'!AN59</f>
        <v>0</v>
      </c>
      <c r="AG56">
        <f>'RESUMEN TOTAL'!AO59</f>
        <v>0</v>
      </c>
    </row>
    <row r="57" spans="1:33" x14ac:dyDescent="0.25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TOTAL'!N60</f>
        <v>APAGADO</v>
      </c>
      <c r="G57" t="str">
        <f>'RESUMEN TOTAL'!O60</f>
        <v>APAGADO</v>
      </c>
      <c r="H57" t="str">
        <f>'RESUMEN TOTAL'!P60</f>
        <v>APAGADO</v>
      </c>
      <c r="I57" t="str">
        <f>'RESUMEN TOTAL'!Q60</f>
        <v>APAGADO</v>
      </c>
      <c r="J57" t="str">
        <f>'RESUMEN TOTAL'!R60</f>
        <v>APAGADO</v>
      </c>
      <c r="K57" t="str">
        <f>'RESUMEN TOTAL'!S60</f>
        <v>APAGADO</v>
      </c>
      <c r="L57" t="str">
        <f>'RESUMEN TOTAL'!T60</f>
        <v>APAGADO</v>
      </c>
      <c r="M57">
        <f>'RESUMEN TOTAL'!U60</f>
        <v>0</v>
      </c>
      <c r="N57">
        <f>'RESUMEN TOTAL'!V60</f>
        <v>0</v>
      </c>
      <c r="O57">
        <f>'RESUMEN TOTAL'!W60</f>
        <v>0</v>
      </c>
      <c r="P57">
        <f>'RESUMEN TOTAL'!X60</f>
        <v>0</v>
      </c>
      <c r="Q57">
        <f>'RESUMEN TOTAL'!Y60</f>
        <v>0</v>
      </c>
      <c r="R57">
        <f>'RESUMEN TOTAL'!Z60</f>
        <v>0</v>
      </c>
      <c r="S57">
        <f>'RESUMEN TOTAL'!AA60</f>
        <v>0</v>
      </c>
      <c r="T57">
        <f>'RESUMEN TOTAL'!AB60</f>
        <v>0</v>
      </c>
      <c r="U57">
        <f>'RESUMEN TOTAL'!AC60</f>
        <v>0</v>
      </c>
      <c r="V57">
        <f>'RESUMEN TOTAL'!AD60</f>
        <v>0</v>
      </c>
      <c r="W57">
        <f>'RESUMEN TOTAL'!AE60</f>
        <v>0</v>
      </c>
      <c r="X57">
        <f>'RESUMEN TOTAL'!AF60</f>
        <v>0</v>
      </c>
      <c r="Y57">
        <f>'RESUMEN TOTAL'!AG60</f>
        <v>0</v>
      </c>
      <c r="Z57">
        <f>'RESUMEN TOTAL'!AH60</f>
        <v>0</v>
      </c>
      <c r="AA57">
        <f>'RESUMEN TOTAL'!AI60</f>
        <v>0</v>
      </c>
      <c r="AB57">
        <f>'RESUMEN TOTAL'!AJ60</f>
        <v>0</v>
      </c>
      <c r="AC57">
        <f>'RESUMEN TOTAL'!AK60</f>
        <v>0</v>
      </c>
      <c r="AD57">
        <f>'RESUMEN TOTAL'!AL60</f>
        <v>0</v>
      </c>
      <c r="AE57">
        <f>'RESUMEN TOTAL'!AM60</f>
        <v>0</v>
      </c>
      <c r="AF57">
        <f>'RESUMEN TOTAL'!AN60</f>
        <v>0</v>
      </c>
      <c r="AG57">
        <f>'RESUMEN TOTAL'!AO60</f>
        <v>0</v>
      </c>
    </row>
    <row r="58" spans="1:33" x14ac:dyDescent="0.25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TOTAL'!N61</f>
        <v>0</v>
      </c>
      <c r="G58">
        <f>'RESUMEN TOTAL'!O61</f>
        <v>0</v>
      </c>
      <c r="H58">
        <f>'RESUMEN TOTAL'!P61</f>
        <v>0</v>
      </c>
      <c r="I58">
        <f>'RESUMEN TOTAL'!Q61</f>
        <v>0</v>
      </c>
      <c r="J58">
        <f>'RESUMEN TOTAL'!R61</f>
        <v>0</v>
      </c>
      <c r="K58">
        <f>'RESUMEN TOTAL'!S61</f>
        <v>0</v>
      </c>
      <c r="L58">
        <f>'RESUMEN TOTAL'!T61</f>
        <v>0</v>
      </c>
      <c r="M58">
        <f>'RESUMEN TOTAL'!U61</f>
        <v>0</v>
      </c>
      <c r="N58">
        <f>'RESUMEN TOTAL'!V61</f>
        <v>0</v>
      </c>
      <c r="O58">
        <f>'RESUMEN TOTAL'!W61</f>
        <v>0</v>
      </c>
      <c r="P58">
        <f>'RESUMEN TOTAL'!X61</f>
        <v>0</v>
      </c>
      <c r="Q58">
        <f>'RESUMEN TOTAL'!Y61</f>
        <v>0</v>
      </c>
      <c r="R58">
        <f>'RESUMEN TOTAL'!Z61</f>
        <v>0</v>
      </c>
      <c r="S58">
        <f>'RESUMEN TOTAL'!AA61</f>
        <v>0</v>
      </c>
      <c r="T58">
        <f>'RESUMEN TOTAL'!AB61</f>
        <v>0</v>
      </c>
      <c r="U58">
        <f>'RESUMEN TOTAL'!AC61</f>
        <v>0</v>
      </c>
      <c r="V58">
        <f>'RESUMEN TOTAL'!AD61</f>
        <v>0</v>
      </c>
      <c r="W58">
        <f>'RESUMEN TOTAL'!AE61</f>
        <v>0</v>
      </c>
      <c r="X58">
        <f>'RESUMEN TOTAL'!AF61</f>
        <v>0</v>
      </c>
      <c r="Y58">
        <f>'RESUMEN TOTAL'!AG61</f>
        <v>0</v>
      </c>
      <c r="Z58">
        <f>'RESUMEN TOTAL'!AH61</f>
        <v>0</v>
      </c>
      <c r="AA58">
        <f>'RESUMEN TOTAL'!AI61</f>
        <v>0</v>
      </c>
      <c r="AB58">
        <f>'RESUMEN TOTAL'!AJ61</f>
        <v>0</v>
      </c>
      <c r="AC58">
        <f>'RESUMEN TOTAL'!AK61</f>
        <v>0</v>
      </c>
      <c r="AD58">
        <f>'RESUMEN TOTAL'!AL61</f>
        <v>0</v>
      </c>
      <c r="AE58">
        <f>'RESUMEN TOTAL'!AM61</f>
        <v>0</v>
      </c>
      <c r="AF58">
        <f>'RESUMEN TOTAL'!AN61</f>
        <v>0</v>
      </c>
      <c r="AG58">
        <f>'RESUMEN TOTAL'!AO61</f>
        <v>0</v>
      </c>
    </row>
    <row r="59" spans="1:33" x14ac:dyDescent="0.25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TOTAL'!N62</f>
        <v>0</v>
      </c>
      <c r="G59">
        <f>'RESUMEN TOTAL'!O62</f>
        <v>0</v>
      </c>
      <c r="H59">
        <f>'RESUMEN TOTAL'!P62</f>
        <v>0</v>
      </c>
      <c r="I59">
        <f>'RESUMEN TOTAL'!Q62</f>
        <v>0</v>
      </c>
      <c r="J59">
        <f>'RESUMEN TOTAL'!R62</f>
        <v>0</v>
      </c>
      <c r="K59">
        <f>'RESUMEN TOTAL'!S62</f>
        <v>0</v>
      </c>
      <c r="L59">
        <f>'RESUMEN TOTAL'!T62</f>
        <v>0</v>
      </c>
      <c r="M59">
        <f>'RESUMEN TOTAL'!U62</f>
        <v>0</v>
      </c>
      <c r="N59">
        <f>'RESUMEN TOTAL'!V62</f>
        <v>0</v>
      </c>
      <c r="O59">
        <f>'RESUMEN TOTAL'!W62</f>
        <v>0</v>
      </c>
      <c r="P59">
        <f>'RESUMEN TOTAL'!X62</f>
        <v>0</v>
      </c>
      <c r="Q59">
        <f>'RESUMEN TOTAL'!Y62</f>
        <v>0</v>
      </c>
      <c r="R59">
        <f>'RESUMEN TOTAL'!Z62</f>
        <v>0</v>
      </c>
      <c r="S59">
        <f>'RESUMEN TOTAL'!AA62</f>
        <v>0</v>
      </c>
      <c r="T59">
        <f>'RESUMEN TOTAL'!AB62</f>
        <v>0</v>
      </c>
      <c r="U59">
        <f>'RESUMEN TOTAL'!AC62</f>
        <v>0</v>
      </c>
      <c r="V59">
        <f>'RESUMEN TOTAL'!AD62</f>
        <v>0</v>
      </c>
      <c r="W59">
        <f>'RESUMEN TOTAL'!AE62</f>
        <v>0</v>
      </c>
      <c r="X59">
        <f>'RESUMEN TOTAL'!AF62</f>
        <v>0</v>
      </c>
      <c r="Y59">
        <f>'RESUMEN TOTAL'!AG62</f>
        <v>0</v>
      </c>
      <c r="Z59">
        <f>'RESUMEN TOTAL'!AH62</f>
        <v>0</v>
      </c>
      <c r="AA59">
        <f>'RESUMEN TOTAL'!AI62</f>
        <v>0</v>
      </c>
      <c r="AB59">
        <f>'RESUMEN TOTAL'!AJ62</f>
        <v>0</v>
      </c>
      <c r="AC59">
        <f>'RESUMEN TOTAL'!AK62</f>
        <v>0</v>
      </c>
      <c r="AD59">
        <f>'RESUMEN TOTAL'!AL62</f>
        <v>0</v>
      </c>
      <c r="AE59">
        <f>'RESUMEN TOTAL'!AM62</f>
        <v>0</v>
      </c>
      <c r="AF59">
        <f>'RESUMEN TOTAL'!AN62</f>
        <v>0</v>
      </c>
      <c r="AG59">
        <f>'RESUMEN TOTAL'!AO62</f>
        <v>0</v>
      </c>
    </row>
    <row r="60" spans="1:33" x14ac:dyDescent="0.25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TOTAL'!N63</f>
        <v>APAGADO</v>
      </c>
      <c r="G60" t="str">
        <f>'RESUMEN TOTAL'!O63</f>
        <v>APAGADO</v>
      </c>
      <c r="H60" t="str">
        <f>'RESUMEN TOTAL'!P63</f>
        <v>APAGADO</v>
      </c>
      <c r="I60" t="str">
        <f>'RESUMEN TOTAL'!Q63</f>
        <v>APAGADO</v>
      </c>
      <c r="J60" t="str">
        <f>'RESUMEN TOTAL'!R63</f>
        <v>APAGADO</v>
      </c>
      <c r="K60" t="str">
        <f>'RESUMEN TOTAL'!S63</f>
        <v>APAGADO</v>
      </c>
      <c r="L60" t="str">
        <f>'RESUMEN TOTAL'!T63</f>
        <v>APAGADO</v>
      </c>
      <c r="M60">
        <f>'RESUMEN TOTAL'!U63</f>
        <v>0</v>
      </c>
      <c r="N60">
        <f>'RESUMEN TOTAL'!V63</f>
        <v>0</v>
      </c>
      <c r="O60">
        <f>'RESUMEN TOTAL'!W63</f>
        <v>0</v>
      </c>
      <c r="P60">
        <f>'RESUMEN TOTAL'!X63</f>
        <v>0</v>
      </c>
      <c r="Q60">
        <f>'RESUMEN TOTAL'!Y63</f>
        <v>0</v>
      </c>
      <c r="R60">
        <f>'RESUMEN TOTAL'!Z63</f>
        <v>0</v>
      </c>
      <c r="S60">
        <f>'RESUMEN TOTAL'!AA63</f>
        <v>0</v>
      </c>
      <c r="T60">
        <f>'RESUMEN TOTAL'!AB63</f>
        <v>0</v>
      </c>
      <c r="U60">
        <f>'RESUMEN TOTAL'!AC63</f>
        <v>0</v>
      </c>
      <c r="V60">
        <f>'RESUMEN TOTAL'!AD63</f>
        <v>0</v>
      </c>
      <c r="W60">
        <f>'RESUMEN TOTAL'!AE63</f>
        <v>0</v>
      </c>
      <c r="X60">
        <f>'RESUMEN TOTAL'!AF63</f>
        <v>0</v>
      </c>
      <c r="Y60">
        <f>'RESUMEN TOTAL'!AG63</f>
        <v>0</v>
      </c>
      <c r="Z60">
        <f>'RESUMEN TOTAL'!AH63</f>
        <v>0</v>
      </c>
      <c r="AA60">
        <f>'RESUMEN TOTAL'!AI63</f>
        <v>0</v>
      </c>
      <c r="AB60">
        <f>'RESUMEN TOTAL'!AJ63</f>
        <v>0</v>
      </c>
      <c r="AC60">
        <f>'RESUMEN TOTAL'!AK63</f>
        <v>0</v>
      </c>
      <c r="AD60">
        <f>'RESUMEN TOTAL'!AL63</f>
        <v>0</v>
      </c>
      <c r="AE60">
        <f>'RESUMEN TOTAL'!AM63</f>
        <v>0</v>
      </c>
      <c r="AF60">
        <f>'RESUMEN TOTAL'!AN63</f>
        <v>0</v>
      </c>
      <c r="AG60">
        <f>'RESUMEN TOTAL'!AO63</f>
        <v>0</v>
      </c>
    </row>
    <row r="61" spans="1:33" x14ac:dyDescent="0.25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TOTAL'!N64</f>
        <v>0</v>
      </c>
      <c r="G61">
        <f>'RESUMEN TOTAL'!O64</f>
        <v>0</v>
      </c>
      <c r="H61">
        <f>'RESUMEN TOTAL'!P64</f>
        <v>0</v>
      </c>
      <c r="I61">
        <f>'RESUMEN TOTAL'!Q64</f>
        <v>0</v>
      </c>
      <c r="J61">
        <f>'RESUMEN TOTAL'!R64</f>
        <v>0</v>
      </c>
      <c r="K61">
        <f>'RESUMEN TOTAL'!S64</f>
        <v>0</v>
      </c>
      <c r="L61">
        <f>'RESUMEN TOTAL'!T64</f>
        <v>0</v>
      </c>
      <c r="M61">
        <f>'RESUMEN TOTAL'!U64</f>
        <v>0</v>
      </c>
      <c r="N61">
        <f>'RESUMEN TOTAL'!V64</f>
        <v>0</v>
      </c>
      <c r="O61">
        <f>'RESUMEN TOTAL'!W64</f>
        <v>0</v>
      </c>
      <c r="P61">
        <f>'RESUMEN TOTAL'!X64</f>
        <v>0</v>
      </c>
      <c r="Q61">
        <f>'RESUMEN TOTAL'!Y64</f>
        <v>0</v>
      </c>
      <c r="R61">
        <f>'RESUMEN TOTAL'!Z64</f>
        <v>0</v>
      </c>
      <c r="S61">
        <f>'RESUMEN TOTAL'!AA64</f>
        <v>0</v>
      </c>
      <c r="T61">
        <f>'RESUMEN TOTAL'!AB64</f>
        <v>0</v>
      </c>
      <c r="U61">
        <f>'RESUMEN TOTAL'!AC64</f>
        <v>0</v>
      </c>
      <c r="V61">
        <f>'RESUMEN TOTAL'!AD64</f>
        <v>0</v>
      </c>
      <c r="W61">
        <f>'RESUMEN TOTAL'!AE64</f>
        <v>0</v>
      </c>
      <c r="X61">
        <f>'RESUMEN TOTAL'!AF64</f>
        <v>0</v>
      </c>
      <c r="Y61">
        <f>'RESUMEN TOTAL'!AG64</f>
        <v>0</v>
      </c>
      <c r="Z61">
        <f>'RESUMEN TOTAL'!AH64</f>
        <v>0</v>
      </c>
      <c r="AA61">
        <f>'RESUMEN TOTAL'!AI64</f>
        <v>0</v>
      </c>
      <c r="AB61">
        <f>'RESUMEN TOTAL'!AJ64</f>
        <v>0</v>
      </c>
      <c r="AC61">
        <f>'RESUMEN TOTAL'!AK64</f>
        <v>0</v>
      </c>
      <c r="AD61">
        <f>'RESUMEN TOTAL'!AL64</f>
        <v>0</v>
      </c>
      <c r="AE61">
        <f>'RESUMEN TOTAL'!AM64</f>
        <v>0</v>
      </c>
      <c r="AF61">
        <f>'RESUMEN TOTAL'!AN64</f>
        <v>0</v>
      </c>
      <c r="AG61">
        <f>'RESUMEN TOTAL'!AO64</f>
        <v>0</v>
      </c>
    </row>
    <row r="62" spans="1:33" x14ac:dyDescent="0.25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TOTAL'!N65</f>
        <v>APAGADO</v>
      </c>
      <c r="G62" t="str">
        <f>'RESUMEN TOTAL'!O65</f>
        <v>APAGADO</v>
      </c>
      <c r="H62" t="str">
        <f>'RESUMEN TOTAL'!P65</f>
        <v>APAGADO</v>
      </c>
      <c r="I62" t="str">
        <f>'RESUMEN TOTAL'!Q65</f>
        <v>APAGADO</v>
      </c>
      <c r="J62" t="str">
        <f>'RESUMEN TOTAL'!R65</f>
        <v>APAGADO</v>
      </c>
      <c r="K62" t="str">
        <f>'RESUMEN TOTAL'!S65</f>
        <v>APAGADO</v>
      </c>
      <c r="L62" t="str">
        <f>'RESUMEN TOTAL'!T65</f>
        <v>APAGADO</v>
      </c>
      <c r="M62">
        <f>'RESUMEN TOTAL'!U65</f>
        <v>0</v>
      </c>
      <c r="N62">
        <f>'RESUMEN TOTAL'!V65</f>
        <v>0</v>
      </c>
      <c r="O62">
        <f>'RESUMEN TOTAL'!W65</f>
        <v>0</v>
      </c>
      <c r="P62">
        <f>'RESUMEN TOTAL'!X65</f>
        <v>0</v>
      </c>
      <c r="Q62">
        <f>'RESUMEN TOTAL'!Y65</f>
        <v>0</v>
      </c>
      <c r="R62">
        <f>'RESUMEN TOTAL'!Z65</f>
        <v>0</v>
      </c>
      <c r="S62">
        <f>'RESUMEN TOTAL'!AA65</f>
        <v>0</v>
      </c>
      <c r="T62">
        <f>'RESUMEN TOTAL'!AB65</f>
        <v>0</v>
      </c>
      <c r="U62">
        <f>'RESUMEN TOTAL'!AC65</f>
        <v>0</v>
      </c>
      <c r="V62">
        <f>'RESUMEN TOTAL'!AD65</f>
        <v>0</v>
      </c>
      <c r="W62">
        <f>'RESUMEN TOTAL'!AE65</f>
        <v>0</v>
      </c>
      <c r="X62">
        <f>'RESUMEN TOTAL'!AF65</f>
        <v>0</v>
      </c>
      <c r="Y62">
        <f>'RESUMEN TOTAL'!AG65</f>
        <v>0</v>
      </c>
      <c r="Z62">
        <f>'RESUMEN TOTAL'!AH65</f>
        <v>0</v>
      </c>
      <c r="AA62">
        <f>'RESUMEN TOTAL'!AI65</f>
        <v>0</v>
      </c>
      <c r="AB62">
        <f>'RESUMEN TOTAL'!AJ65</f>
        <v>0</v>
      </c>
      <c r="AC62">
        <f>'RESUMEN TOTAL'!AK65</f>
        <v>0</v>
      </c>
      <c r="AD62">
        <f>'RESUMEN TOTAL'!AL65</f>
        <v>0</v>
      </c>
      <c r="AE62">
        <f>'RESUMEN TOTAL'!AM65</f>
        <v>0</v>
      </c>
      <c r="AF62">
        <f>'RESUMEN TOTAL'!AN65</f>
        <v>0</v>
      </c>
      <c r="AG62">
        <f>'RESUMEN TOTAL'!AO65</f>
        <v>0</v>
      </c>
    </row>
    <row r="63" spans="1:33" x14ac:dyDescent="0.25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TOTAL'!N66</f>
        <v>0</v>
      </c>
      <c r="G63">
        <f>'RESUMEN TOTAL'!O66</f>
        <v>0</v>
      </c>
      <c r="H63">
        <f>'RESUMEN TOTAL'!P66</f>
        <v>0</v>
      </c>
      <c r="I63">
        <f>'RESUMEN TOTAL'!Q66</f>
        <v>0</v>
      </c>
      <c r="J63">
        <f>'RESUMEN TOTAL'!R66</f>
        <v>0</v>
      </c>
      <c r="K63">
        <f>'RESUMEN TOTAL'!S66</f>
        <v>0</v>
      </c>
      <c r="L63">
        <f>'RESUMEN TOTAL'!T66</f>
        <v>0</v>
      </c>
      <c r="M63">
        <f>'RESUMEN TOTAL'!U66</f>
        <v>0</v>
      </c>
      <c r="N63">
        <f>'RESUMEN TOTAL'!V66</f>
        <v>0</v>
      </c>
      <c r="O63">
        <f>'RESUMEN TOTAL'!W66</f>
        <v>0</v>
      </c>
      <c r="P63">
        <f>'RESUMEN TOTAL'!X66</f>
        <v>0</v>
      </c>
      <c r="Q63">
        <f>'RESUMEN TOTAL'!Y66</f>
        <v>0</v>
      </c>
      <c r="R63">
        <f>'RESUMEN TOTAL'!Z66</f>
        <v>0</v>
      </c>
      <c r="S63">
        <f>'RESUMEN TOTAL'!AA66</f>
        <v>0</v>
      </c>
      <c r="T63">
        <f>'RESUMEN TOTAL'!AB66</f>
        <v>0</v>
      </c>
      <c r="U63">
        <f>'RESUMEN TOTAL'!AC66</f>
        <v>0</v>
      </c>
      <c r="V63">
        <f>'RESUMEN TOTAL'!AD66</f>
        <v>0</v>
      </c>
      <c r="W63">
        <f>'RESUMEN TOTAL'!AE66</f>
        <v>0</v>
      </c>
      <c r="X63">
        <f>'RESUMEN TOTAL'!AF66</f>
        <v>0</v>
      </c>
      <c r="Y63">
        <f>'RESUMEN TOTAL'!AG66</f>
        <v>0</v>
      </c>
      <c r="Z63">
        <f>'RESUMEN TOTAL'!AH66</f>
        <v>0</v>
      </c>
      <c r="AA63">
        <f>'RESUMEN TOTAL'!AI66</f>
        <v>0</v>
      </c>
      <c r="AB63">
        <f>'RESUMEN TOTAL'!AJ66</f>
        <v>0</v>
      </c>
      <c r="AC63">
        <f>'RESUMEN TOTAL'!AK66</f>
        <v>0</v>
      </c>
      <c r="AD63">
        <f>'RESUMEN TOTAL'!AL66</f>
        <v>0</v>
      </c>
      <c r="AE63">
        <f>'RESUMEN TOTAL'!AM66</f>
        <v>0</v>
      </c>
      <c r="AF63">
        <f>'RESUMEN TOTAL'!AN66</f>
        <v>0</v>
      </c>
      <c r="AG63">
        <f>'RESUMEN TOTAL'!AO66</f>
        <v>0</v>
      </c>
    </row>
    <row r="64" spans="1:33" x14ac:dyDescent="0.25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TOTAL'!N67</f>
        <v>0</v>
      </c>
      <c r="G64">
        <f>'RESUMEN TOTAL'!O67</f>
        <v>0</v>
      </c>
      <c r="H64">
        <f>'RESUMEN TOTAL'!P67</f>
        <v>0</v>
      </c>
      <c r="I64">
        <f>'RESUMEN TOTAL'!Q67</f>
        <v>0</v>
      </c>
      <c r="J64">
        <f>'RESUMEN TOTAL'!R67</f>
        <v>0</v>
      </c>
      <c r="K64">
        <f>'RESUMEN TOTAL'!S67</f>
        <v>0</v>
      </c>
      <c r="L64">
        <f>'RESUMEN TOTAL'!T67</f>
        <v>0</v>
      </c>
      <c r="M64">
        <f>'RESUMEN TOTAL'!U67</f>
        <v>0</v>
      </c>
      <c r="N64">
        <f>'RESUMEN TOTAL'!V67</f>
        <v>0</v>
      </c>
      <c r="O64">
        <f>'RESUMEN TOTAL'!W67</f>
        <v>0</v>
      </c>
      <c r="P64">
        <f>'RESUMEN TOTAL'!X67</f>
        <v>0</v>
      </c>
      <c r="Q64">
        <f>'RESUMEN TOTAL'!Y67</f>
        <v>0</v>
      </c>
      <c r="R64">
        <f>'RESUMEN TOTAL'!Z67</f>
        <v>0</v>
      </c>
      <c r="S64">
        <f>'RESUMEN TOTAL'!AA67</f>
        <v>0</v>
      </c>
      <c r="T64">
        <f>'RESUMEN TOTAL'!AB67</f>
        <v>0</v>
      </c>
      <c r="U64">
        <f>'RESUMEN TOTAL'!AC67</f>
        <v>0</v>
      </c>
      <c r="V64">
        <f>'RESUMEN TOTAL'!AD67</f>
        <v>0</v>
      </c>
      <c r="W64">
        <f>'RESUMEN TOTAL'!AE67</f>
        <v>0</v>
      </c>
      <c r="X64">
        <f>'RESUMEN TOTAL'!AF67</f>
        <v>0</v>
      </c>
      <c r="Y64">
        <f>'RESUMEN TOTAL'!AG67</f>
        <v>0</v>
      </c>
      <c r="Z64">
        <f>'RESUMEN TOTAL'!AH67</f>
        <v>0</v>
      </c>
      <c r="AA64">
        <f>'RESUMEN TOTAL'!AI67</f>
        <v>0</v>
      </c>
      <c r="AB64">
        <f>'RESUMEN TOTAL'!AJ67</f>
        <v>0</v>
      </c>
      <c r="AC64">
        <f>'RESUMEN TOTAL'!AK67</f>
        <v>0</v>
      </c>
      <c r="AD64">
        <f>'RESUMEN TOTAL'!AL67</f>
        <v>0</v>
      </c>
      <c r="AE64">
        <f>'RESUMEN TOTAL'!AM67</f>
        <v>0</v>
      </c>
      <c r="AF64">
        <f>'RESUMEN TOTAL'!AN67</f>
        <v>0</v>
      </c>
      <c r="AG64">
        <f>'RESUMEN TOTAL'!AO67</f>
        <v>0</v>
      </c>
    </row>
    <row r="65" spans="1:33" x14ac:dyDescent="0.25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TOTAL'!N68</f>
        <v>APAGADO</v>
      </c>
      <c r="G65" t="str">
        <f>'RESUMEN TOTAL'!O68</f>
        <v>APAGADO</v>
      </c>
      <c r="H65" t="str">
        <f>'RESUMEN TOTAL'!P68</f>
        <v>APAGADO</v>
      </c>
      <c r="I65" t="str">
        <f>'RESUMEN TOTAL'!Q68</f>
        <v>APAGADO</v>
      </c>
      <c r="J65" t="str">
        <f>'RESUMEN TOTAL'!R68</f>
        <v>APAGADO</v>
      </c>
      <c r="K65" t="str">
        <f>'RESUMEN TOTAL'!S68</f>
        <v>APAGADO</v>
      </c>
      <c r="L65" t="str">
        <f>'RESUMEN TOTAL'!T68</f>
        <v>APAGADO</v>
      </c>
      <c r="M65">
        <f>'RESUMEN TOTAL'!U68</f>
        <v>0</v>
      </c>
      <c r="N65">
        <f>'RESUMEN TOTAL'!V68</f>
        <v>0</v>
      </c>
      <c r="O65">
        <f>'RESUMEN TOTAL'!W68</f>
        <v>0</v>
      </c>
      <c r="P65">
        <f>'RESUMEN TOTAL'!X68</f>
        <v>0</v>
      </c>
      <c r="Q65">
        <f>'RESUMEN TOTAL'!Y68</f>
        <v>0</v>
      </c>
      <c r="R65">
        <f>'RESUMEN TOTAL'!Z68</f>
        <v>0</v>
      </c>
      <c r="S65">
        <f>'RESUMEN TOTAL'!AA68</f>
        <v>0</v>
      </c>
      <c r="T65">
        <f>'RESUMEN TOTAL'!AB68</f>
        <v>0</v>
      </c>
      <c r="U65">
        <f>'RESUMEN TOTAL'!AC68</f>
        <v>0</v>
      </c>
      <c r="V65">
        <f>'RESUMEN TOTAL'!AD68</f>
        <v>0</v>
      </c>
      <c r="W65">
        <f>'RESUMEN TOTAL'!AE68</f>
        <v>0</v>
      </c>
      <c r="X65">
        <f>'RESUMEN TOTAL'!AF68</f>
        <v>0</v>
      </c>
      <c r="Y65">
        <f>'RESUMEN TOTAL'!AG68</f>
        <v>0</v>
      </c>
      <c r="Z65">
        <f>'RESUMEN TOTAL'!AH68</f>
        <v>0</v>
      </c>
      <c r="AA65">
        <f>'RESUMEN TOTAL'!AI68</f>
        <v>0</v>
      </c>
      <c r="AB65">
        <f>'RESUMEN TOTAL'!AJ68</f>
        <v>0</v>
      </c>
      <c r="AC65">
        <f>'RESUMEN TOTAL'!AK68</f>
        <v>0</v>
      </c>
      <c r="AD65">
        <f>'RESUMEN TOTAL'!AL68</f>
        <v>0</v>
      </c>
      <c r="AE65">
        <f>'RESUMEN TOTAL'!AM68</f>
        <v>0</v>
      </c>
      <c r="AF65">
        <f>'RESUMEN TOTAL'!AN68</f>
        <v>0</v>
      </c>
      <c r="AG65">
        <f>'RESUMEN TOTAL'!AO68</f>
        <v>0</v>
      </c>
    </row>
    <row r="66" spans="1:33" x14ac:dyDescent="0.25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TOTAL'!N69</f>
        <v>0</v>
      </c>
      <c r="G66">
        <f>'RESUMEN TOTAL'!O69</f>
        <v>0</v>
      </c>
      <c r="H66">
        <f>'RESUMEN TOTAL'!P69</f>
        <v>0</v>
      </c>
      <c r="I66">
        <f>'RESUMEN TOTAL'!Q69</f>
        <v>0</v>
      </c>
      <c r="J66">
        <f>'RESUMEN TOTAL'!R69</f>
        <v>0</v>
      </c>
      <c r="K66">
        <f>'RESUMEN TOTAL'!S69</f>
        <v>0</v>
      </c>
      <c r="L66">
        <f>'RESUMEN TOTAL'!T69</f>
        <v>0</v>
      </c>
      <c r="M66">
        <f>'RESUMEN TOTAL'!U69</f>
        <v>0</v>
      </c>
      <c r="N66">
        <f>'RESUMEN TOTAL'!V69</f>
        <v>0</v>
      </c>
      <c r="O66">
        <f>'RESUMEN TOTAL'!W69</f>
        <v>0</v>
      </c>
      <c r="P66">
        <f>'RESUMEN TOTAL'!X69</f>
        <v>0</v>
      </c>
      <c r="Q66">
        <f>'RESUMEN TOTAL'!Y69</f>
        <v>0</v>
      </c>
      <c r="R66">
        <f>'RESUMEN TOTAL'!Z69</f>
        <v>0</v>
      </c>
      <c r="S66">
        <f>'RESUMEN TOTAL'!AA69</f>
        <v>0</v>
      </c>
      <c r="T66">
        <f>'RESUMEN TOTAL'!AB69</f>
        <v>0</v>
      </c>
      <c r="U66">
        <f>'RESUMEN TOTAL'!AC69</f>
        <v>0</v>
      </c>
      <c r="V66">
        <f>'RESUMEN TOTAL'!AD69</f>
        <v>0</v>
      </c>
      <c r="W66">
        <f>'RESUMEN TOTAL'!AE69</f>
        <v>0</v>
      </c>
      <c r="X66">
        <f>'RESUMEN TOTAL'!AF69</f>
        <v>0</v>
      </c>
      <c r="Y66">
        <f>'RESUMEN TOTAL'!AG69</f>
        <v>0</v>
      </c>
      <c r="Z66">
        <f>'RESUMEN TOTAL'!AH69</f>
        <v>0</v>
      </c>
      <c r="AA66">
        <f>'RESUMEN TOTAL'!AI69</f>
        <v>0</v>
      </c>
      <c r="AB66">
        <f>'RESUMEN TOTAL'!AJ69</f>
        <v>0</v>
      </c>
      <c r="AC66">
        <f>'RESUMEN TOTAL'!AK69</f>
        <v>0</v>
      </c>
      <c r="AD66">
        <f>'RESUMEN TOTAL'!AL69</f>
        <v>0</v>
      </c>
      <c r="AE66">
        <f>'RESUMEN TOTAL'!AM69</f>
        <v>0</v>
      </c>
      <c r="AF66">
        <f>'RESUMEN TOTAL'!AN69</f>
        <v>0</v>
      </c>
      <c r="AG66">
        <f>'RESUMEN TOTAL'!AO69</f>
        <v>0</v>
      </c>
    </row>
    <row r="67" spans="1:33" x14ac:dyDescent="0.25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TOTAL'!N70</f>
        <v>APAGADO</v>
      </c>
      <c r="G67" t="str">
        <f>'RESUMEN TOTAL'!O70</f>
        <v>APAGADO</v>
      </c>
      <c r="H67" t="str">
        <f>'RESUMEN TOTAL'!P70</f>
        <v>APAGADO</v>
      </c>
      <c r="I67" t="str">
        <f>'RESUMEN TOTAL'!Q70</f>
        <v>APAGADO</v>
      </c>
      <c r="J67" t="str">
        <f>'RESUMEN TOTAL'!R70</f>
        <v>APAGADO</v>
      </c>
      <c r="K67" t="str">
        <f>'RESUMEN TOTAL'!S70</f>
        <v>APAGADO</v>
      </c>
      <c r="L67" t="str">
        <f>'RESUMEN TOTAL'!T70</f>
        <v>APAGADO</v>
      </c>
      <c r="M67">
        <f>'RESUMEN TOTAL'!U70</f>
        <v>0</v>
      </c>
      <c r="N67">
        <f>'RESUMEN TOTAL'!V70</f>
        <v>0</v>
      </c>
      <c r="O67">
        <f>'RESUMEN TOTAL'!W70</f>
        <v>0</v>
      </c>
      <c r="P67">
        <f>'RESUMEN TOTAL'!X70</f>
        <v>0</v>
      </c>
      <c r="Q67">
        <f>'RESUMEN TOTAL'!Y70</f>
        <v>0</v>
      </c>
      <c r="R67">
        <f>'RESUMEN TOTAL'!Z70</f>
        <v>0</v>
      </c>
      <c r="S67">
        <f>'RESUMEN TOTAL'!AA70</f>
        <v>0</v>
      </c>
      <c r="T67">
        <f>'RESUMEN TOTAL'!AB70</f>
        <v>0</v>
      </c>
      <c r="U67">
        <f>'RESUMEN TOTAL'!AC70</f>
        <v>0</v>
      </c>
      <c r="V67">
        <f>'RESUMEN TOTAL'!AD70</f>
        <v>0</v>
      </c>
      <c r="W67">
        <f>'RESUMEN TOTAL'!AE70</f>
        <v>0</v>
      </c>
      <c r="X67">
        <f>'RESUMEN TOTAL'!AF70</f>
        <v>0</v>
      </c>
      <c r="Y67">
        <f>'RESUMEN TOTAL'!AG70</f>
        <v>0</v>
      </c>
      <c r="Z67">
        <f>'RESUMEN TOTAL'!AH70</f>
        <v>0</v>
      </c>
      <c r="AA67">
        <f>'RESUMEN TOTAL'!AI70</f>
        <v>0</v>
      </c>
      <c r="AB67">
        <f>'RESUMEN TOTAL'!AJ70</f>
        <v>0</v>
      </c>
      <c r="AC67">
        <f>'RESUMEN TOTAL'!AK70</f>
        <v>0</v>
      </c>
      <c r="AD67">
        <f>'RESUMEN TOTAL'!AL70</f>
        <v>0</v>
      </c>
      <c r="AE67">
        <f>'RESUMEN TOTAL'!AM70</f>
        <v>0</v>
      </c>
      <c r="AF67">
        <f>'RESUMEN TOTAL'!AN70</f>
        <v>0</v>
      </c>
      <c r="AG67">
        <f>'RESUMEN TOTAL'!AO70</f>
        <v>0</v>
      </c>
    </row>
    <row r="68" spans="1:33" x14ac:dyDescent="0.25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TOTAL'!N71</f>
        <v>0</v>
      </c>
      <c r="G68">
        <f>'RESUMEN TOTAL'!O71</f>
        <v>0</v>
      </c>
      <c r="H68">
        <f>'RESUMEN TOTAL'!P71</f>
        <v>0</v>
      </c>
      <c r="I68">
        <f>'RESUMEN TOTAL'!Q71</f>
        <v>0</v>
      </c>
      <c r="J68">
        <f>'RESUMEN TOTAL'!R71</f>
        <v>0</v>
      </c>
      <c r="K68">
        <f>'RESUMEN TOTAL'!S71</f>
        <v>0</v>
      </c>
      <c r="L68">
        <f>'RESUMEN TOTAL'!T71</f>
        <v>0</v>
      </c>
      <c r="M68">
        <f>'RESUMEN TOTAL'!U71</f>
        <v>0</v>
      </c>
      <c r="N68">
        <f>'RESUMEN TOTAL'!V71</f>
        <v>0</v>
      </c>
      <c r="O68">
        <f>'RESUMEN TOTAL'!W71</f>
        <v>0</v>
      </c>
      <c r="P68">
        <f>'RESUMEN TOTAL'!X71</f>
        <v>0</v>
      </c>
      <c r="Q68">
        <f>'RESUMEN TOTAL'!Y71</f>
        <v>0</v>
      </c>
      <c r="R68">
        <f>'RESUMEN TOTAL'!Z71</f>
        <v>0</v>
      </c>
      <c r="S68">
        <f>'RESUMEN TOTAL'!AA71</f>
        <v>0</v>
      </c>
      <c r="T68">
        <f>'RESUMEN TOTAL'!AB71</f>
        <v>0</v>
      </c>
      <c r="U68">
        <f>'RESUMEN TOTAL'!AC71</f>
        <v>0</v>
      </c>
      <c r="V68">
        <f>'RESUMEN TOTAL'!AD71</f>
        <v>0</v>
      </c>
      <c r="W68">
        <f>'RESUMEN TOTAL'!AE71</f>
        <v>0</v>
      </c>
      <c r="X68">
        <f>'RESUMEN TOTAL'!AF71</f>
        <v>0</v>
      </c>
      <c r="Y68">
        <f>'RESUMEN TOTAL'!AG71</f>
        <v>0</v>
      </c>
      <c r="Z68">
        <f>'RESUMEN TOTAL'!AH71</f>
        <v>0</v>
      </c>
      <c r="AA68">
        <f>'RESUMEN TOTAL'!AI71</f>
        <v>0</v>
      </c>
      <c r="AB68">
        <f>'RESUMEN TOTAL'!AJ71</f>
        <v>0</v>
      </c>
      <c r="AC68">
        <f>'RESUMEN TOTAL'!AK71</f>
        <v>0</v>
      </c>
      <c r="AD68">
        <f>'RESUMEN TOTAL'!AL71</f>
        <v>0</v>
      </c>
      <c r="AE68">
        <f>'RESUMEN TOTAL'!AM71</f>
        <v>0</v>
      </c>
      <c r="AF68">
        <f>'RESUMEN TOTAL'!AN71</f>
        <v>0</v>
      </c>
      <c r="AG68">
        <f>'RESUMEN TOTAL'!AO71</f>
        <v>0</v>
      </c>
    </row>
    <row r="69" spans="1:33" x14ac:dyDescent="0.25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TOTAL'!N72</f>
        <v>0</v>
      </c>
      <c r="G69">
        <f>'RESUMEN TOTAL'!O72</f>
        <v>0</v>
      </c>
      <c r="H69">
        <f>'RESUMEN TOTAL'!P72</f>
        <v>0</v>
      </c>
      <c r="I69">
        <f>'RESUMEN TOTAL'!Q72</f>
        <v>0</v>
      </c>
      <c r="J69">
        <f>'RESUMEN TOTAL'!R72</f>
        <v>0</v>
      </c>
      <c r="K69">
        <f>'RESUMEN TOTAL'!S72</f>
        <v>0</v>
      </c>
      <c r="L69">
        <f>'RESUMEN TOTAL'!T72</f>
        <v>0</v>
      </c>
      <c r="M69">
        <f>'RESUMEN TOTAL'!U72</f>
        <v>0</v>
      </c>
      <c r="N69">
        <f>'RESUMEN TOTAL'!V72</f>
        <v>0</v>
      </c>
      <c r="O69">
        <f>'RESUMEN TOTAL'!W72</f>
        <v>0</v>
      </c>
      <c r="P69">
        <f>'RESUMEN TOTAL'!X72</f>
        <v>0</v>
      </c>
      <c r="Q69">
        <f>'RESUMEN TOTAL'!Y72</f>
        <v>0</v>
      </c>
      <c r="R69">
        <f>'RESUMEN TOTAL'!Z72</f>
        <v>0</v>
      </c>
      <c r="S69">
        <f>'RESUMEN TOTAL'!AA72</f>
        <v>0</v>
      </c>
      <c r="T69">
        <f>'RESUMEN TOTAL'!AB72</f>
        <v>0</v>
      </c>
      <c r="U69">
        <f>'RESUMEN TOTAL'!AC72</f>
        <v>0</v>
      </c>
      <c r="V69">
        <f>'RESUMEN TOTAL'!AD72</f>
        <v>0</v>
      </c>
      <c r="W69">
        <f>'RESUMEN TOTAL'!AE72</f>
        <v>0</v>
      </c>
      <c r="X69">
        <f>'RESUMEN TOTAL'!AF72</f>
        <v>0</v>
      </c>
      <c r="Y69">
        <f>'RESUMEN TOTAL'!AG72</f>
        <v>0</v>
      </c>
      <c r="Z69">
        <f>'RESUMEN TOTAL'!AH72</f>
        <v>0</v>
      </c>
      <c r="AA69">
        <f>'RESUMEN TOTAL'!AI72</f>
        <v>0</v>
      </c>
      <c r="AB69">
        <f>'RESUMEN TOTAL'!AJ72</f>
        <v>0</v>
      </c>
      <c r="AC69">
        <f>'RESUMEN TOTAL'!AK72</f>
        <v>0</v>
      </c>
      <c r="AD69">
        <f>'RESUMEN TOTAL'!AL72</f>
        <v>0</v>
      </c>
      <c r="AE69">
        <f>'RESUMEN TOTAL'!AM72</f>
        <v>0</v>
      </c>
      <c r="AF69">
        <f>'RESUMEN TOTAL'!AN72</f>
        <v>0</v>
      </c>
      <c r="AG69">
        <f>'RESUMEN TOTAL'!AO72</f>
        <v>0</v>
      </c>
    </row>
    <row r="70" spans="1:33" x14ac:dyDescent="0.25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TOTAL'!N73</f>
        <v>0</v>
      </c>
      <c r="G70">
        <f>'RESUMEN TOTAL'!O73</f>
        <v>0</v>
      </c>
      <c r="H70">
        <f>'RESUMEN TOTAL'!P73</f>
        <v>0</v>
      </c>
      <c r="I70">
        <f>'RESUMEN TOTAL'!Q73</f>
        <v>0</v>
      </c>
      <c r="J70">
        <f>'RESUMEN TOTAL'!R73</f>
        <v>0</v>
      </c>
      <c r="K70">
        <f>'RESUMEN TOTAL'!S73</f>
        <v>0</v>
      </c>
      <c r="L70">
        <f>'RESUMEN TOTAL'!T73</f>
        <v>0</v>
      </c>
      <c r="M70">
        <f>'RESUMEN TOTAL'!U73</f>
        <v>0</v>
      </c>
      <c r="N70">
        <f>'RESUMEN TOTAL'!V73</f>
        <v>0</v>
      </c>
      <c r="O70">
        <f>'RESUMEN TOTAL'!W73</f>
        <v>0</v>
      </c>
      <c r="P70">
        <f>'RESUMEN TOTAL'!X73</f>
        <v>0</v>
      </c>
      <c r="Q70">
        <f>'RESUMEN TOTAL'!Y73</f>
        <v>0</v>
      </c>
      <c r="R70">
        <f>'RESUMEN TOTAL'!Z73</f>
        <v>0</v>
      </c>
      <c r="S70">
        <f>'RESUMEN TOTAL'!AA73</f>
        <v>0</v>
      </c>
      <c r="T70">
        <f>'RESUMEN TOTAL'!AB73</f>
        <v>0</v>
      </c>
      <c r="U70">
        <f>'RESUMEN TOTAL'!AC73</f>
        <v>0</v>
      </c>
      <c r="V70">
        <f>'RESUMEN TOTAL'!AD73</f>
        <v>0</v>
      </c>
      <c r="W70">
        <f>'RESUMEN TOTAL'!AE73</f>
        <v>0</v>
      </c>
      <c r="X70">
        <f>'RESUMEN TOTAL'!AF73</f>
        <v>0</v>
      </c>
      <c r="Y70">
        <f>'RESUMEN TOTAL'!AG73</f>
        <v>0</v>
      </c>
      <c r="Z70">
        <f>'RESUMEN TOTAL'!AH73</f>
        <v>0</v>
      </c>
      <c r="AA70">
        <f>'RESUMEN TOTAL'!AI73</f>
        <v>0</v>
      </c>
      <c r="AB70">
        <f>'RESUMEN TOTAL'!AJ73</f>
        <v>0</v>
      </c>
      <c r="AC70">
        <f>'RESUMEN TOTAL'!AK73</f>
        <v>0</v>
      </c>
      <c r="AD70">
        <f>'RESUMEN TOTAL'!AL73</f>
        <v>0</v>
      </c>
      <c r="AE70">
        <f>'RESUMEN TOTAL'!AM73</f>
        <v>0</v>
      </c>
      <c r="AF70">
        <f>'RESUMEN TOTAL'!AN73</f>
        <v>0</v>
      </c>
      <c r="AG70">
        <f>'RESUMEN TOTAL'!AO73</f>
        <v>0</v>
      </c>
    </row>
    <row r="71" spans="1:33" x14ac:dyDescent="0.25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TOTAL'!N74</f>
        <v>0</v>
      </c>
      <c r="G71">
        <f>'RESUMEN TOTAL'!O74</f>
        <v>0</v>
      </c>
      <c r="H71">
        <f>'RESUMEN TOTAL'!P74</f>
        <v>0</v>
      </c>
      <c r="I71">
        <f>'RESUMEN TOTAL'!Q74</f>
        <v>0</v>
      </c>
      <c r="J71">
        <f>'RESUMEN TOTAL'!R74</f>
        <v>0</v>
      </c>
      <c r="K71">
        <f>'RESUMEN TOTAL'!S74</f>
        <v>0</v>
      </c>
      <c r="L71">
        <f>'RESUMEN TOTAL'!T74</f>
        <v>0</v>
      </c>
      <c r="M71">
        <f>'RESUMEN TOTAL'!U74</f>
        <v>0</v>
      </c>
      <c r="N71">
        <f>'RESUMEN TOTAL'!V74</f>
        <v>0</v>
      </c>
      <c r="O71">
        <f>'RESUMEN TOTAL'!W74</f>
        <v>0</v>
      </c>
      <c r="P71">
        <f>'RESUMEN TOTAL'!X74</f>
        <v>0</v>
      </c>
      <c r="Q71">
        <f>'RESUMEN TOTAL'!Y74</f>
        <v>0</v>
      </c>
      <c r="R71">
        <f>'RESUMEN TOTAL'!Z74</f>
        <v>0</v>
      </c>
      <c r="S71">
        <f>'RESUMEN TOTAL'!AA74</f>
        <v>0</v>
      </c>
      <c r="T71">
        <f>'RESUMEN TOTAL'!AB74</f>
        <v>0</v>
      </c>
      <c r="U71">
        <f>'RESUMEN TOTAL'!AC74</f>
        <v>0</v>
      </c>
      <c r="V71">
        <f>'RESUMEN TOTAL'!AD74</f>
        <v>0</v>
      </c>
      <c r="W71">
        <f>'RESUMEN TOTAL'!AE74</f>
        <v>0</v>
      </c>
      <c r="X71">
        <f>'RESUMEN TOTAL'!AF74</f>
        <v>0</v>
      </c>
      <c r="Y71">
        <f>'RESUMEN TOTAL'!AG74</f>
        <v>0</v>
      </c>
      <c r="Z71">
        <f>'RESUMEN TOTAL'!AH74</f>
        <v>0</v>
      </c>
      <c r="AA71">
        <f>'RESUMEN TOTAL'!AI74</f>
        <v>0</v>
      </c>
      <c r="AB71">
        <f>'RESUMEN TOTAL'!AJ74</f>
        <v>0</v>
      </c>
      <c r="AC71">
        <f>'RESUMEN TOTAL'!AK74</f>
        <v>0</v>
      </c>
      <c r="AD71">
        <f>'RESUMEN TOTAL'!AL74</f>
        <v>0</v>
      </c>
      <c r="AE71">
        <f>'RESUMEN TOTAL'!AM74</f>
        <v>0</v>
      </c>
      <c r="AF71">
        <f>'RESUMEN TOTAL'!AN74</f>
        <v>0</v>
      </c>
      <c r="AG71">
        <f>'RESUMEN TOTAL'!AO74</f>
        <v>0</v>
      </c>
    </row>
    <row r="72" spans="1:33" x14ac:dyDescent="0.25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TOTAL'!N75</f>
        <v>0</v>
      </c>
      <c r="G72">
        <f>'RESUMEN TOTAL'!O75</f>
        <v>0</v>
      </c>
      <c r="H72">
        <f>'RESUMEN TOTAL'!P75</f>
        <v>0</v>
      </c>
      <c r="I72">
        <f>'RESUMEN TOTAL'!Q75</f>
        <v>0</v>
      </c>
      <c r="J72">
        <f>'RESUMEN TOTAL'!R75</f>
        <v>0</v>
      </c>
      <c r="K72">
        <f>'RESUMEN TOTAL'!S75</f>
        <v>0</v>
      </c>
      <c r="L72">
        <f>'RESUMEN TOTAL'!T75</f>
        <v>0</v>
      </c>
      <c r="M72">
        <f>'RESUMEN TOTAL'!U75</f>
        <v>0</v>
      </c>
      <c r="N72">
        <f>'RESUMEN TOTAL'!V75</f>
        <v>0</v>
      </c>
      <c r="O72">
        <f>'RESUMEN TOTAL'!W75</f>
        <v>0</v>
      </c>
      <c r="P72">
        <f>'RESUMEN TOTAL'!X75</f>
        <v>0</v>
      </c>
      <c r="Q72">
        <f>'RESUMEN TOTAL'!Y75</f>
        <v>0</v>
      </c>
      <c r="R72">
        <f>'RESUMEN TOTAL'!Z75</f>
        <v>0</v>
      </c>
      <c r="S72">
        <f>'RESUMEN TOTAL'!AA75</f>
        <v>0</v>
      </c>
      <c r="T72">
        <f>'RESUMEN TOTAL'!AB75</f>
        <v>0</v>
      </c>
      <c r="U72">
        <f>'RESUMEN TOTAL'!AC75</f>
        <v>0</v>
      </c>
      <c r="V72">
        <f>'RESUMEN TOTAL'!AD75</f>
        <v>0</v>
      </c>
      <c r="W72">
        <f>'RESUMEN TOTAL'!AE75</f>
        <v>0</v>
      </c>
      <c r="X72">
        <f>'RESUMEN TOTAL'!AF75</f>
        <v>0</v>
      </c>
      <c r="Y72">
        <f>'RESUMEN TOTAL'!AG75</f>
        <v>0</v>
      </c>
      <c r="Z72">
        <f>'RESUMEN TOTAL'!AH75</f>
        <v>0</v>
      </c>
      <c r="AA72">
        <f>'RESUMEN TOTAL'!AI75</f>
        <v>0</v>
      </c>
      <c r="AB72">
        <f>'RESUMEN TOTAL'!AJ75</f>
        <v>0</v>
      </c>
      <c r="AC72">
        <f>'RESUMEN TOTAL'!AK75</f>
        <v>0</v>
      </c>
      <c r="AD72">
        <f>'RESUMEN TOTAL'!AL75</f>
        <v>0</v>
      </c>
      <c r="AE72">
        <f>'RESUMEN TOTAL'!AM75</f>
        <v>0</v>
      </c>
      <c r="AF72">
        <f>'RESUMEN TOTAL'!AN75</f>
        <v>0</v>
      </c>
      <c r="AG72">
        <f>'RESUMEN TOTAL'!AO75</f>
        <v>0</v>
      </c>
    </row>
    <row r="73" spans="1:33" x14ac:dyDescent="0.25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TOTAL'!N76</f>
        <v>0</v>
      </c>
      <c r="G73">
        <f>'RESUMEN TOTAL'!O76</f>
        <v>0</v>
      </c>
      <c r="H73">
        <f>'RESUMEN TOTAL'!P76</f>
        <v>0</v>
      </c>
      <c r="I73">
        <f>'RESUMEN TOTAL'!Q76</f>
        <v>0</v>
      </c>
      <c r="J73">
        <f>'RESUMEN TOTAL'!R76</f>
        <v>0</v>
      </c>
      <c r="K73">
        <f>'RESUMEN TOTAL'!S76</f>
        <v>0</v>
      </c>
      <c r="L73">
        <f>'RESUMEN TOTAL'!T76</f>
        <v>0</v>
      </c>
      <c r="M73">
        <f>'RESUMEN TOTAL'!U76</f>
        <v>0</v>
      </c>
      <c r="N73">
        <f>'RESUMEN TOTAL'!V76</f>
        <v>0</v>
      </c>
      <c r="O73">
        <f>'RESUMEN TOTAL'!W76</f>
        <v>0</v>
      </c>
      <c r="P73">
        <f>'RESUMEN TOTAL'!X76</f>
        <v>0</v>
      </c>
      <c r="Q73">
        <f>'RESUMEN TOTAL'!Y76</f>
        <v>0</v>
      </c>
      <c r="R73">
        <f>'RESUMEN TOTAL'!Z76</f>
        <v>0</v>
      </c>
      <c r="S73">
        <f>'RESUMEN TOTAL'!AA76</f>
        <v>0</v>
      </c>
      <c r="T73">
        <f>'RESUMEN TOTAL'!AB76</f>
        <v>0</v>
      </c>
      <c r="U73">
        <f>'RESUMEN TOTAL'!AC76</f>
        <v>0</v>
      </c>
      <c r="V73">
        <f>'RESUMEN TOTAL'!AD76</f>
        <v>0</v>
      </c>
      <c r="W73">
        <f>'RESUMEN TOTAL'!AE76</f>
        <v>0</v>
      </c>
      <c r="X73">
        <f>'RESUMEN TOTAL'!AF76</f>
        <v>0</v>
      </c>
      <c r="Y73">
        <f>'RESUMEN TOTAL'!AG76</f>
        <v>0</v>
      </c>
      <c r="Z73">
        <f>'RESUMEN TOTAL'!AH76</f>
        <v>0</v>
      </c>
      <c r="AA73">
        <f>'RESUMEN TOTAL'!AI76</f>
        <v>0</v>
      </c>
      <c r="AB73">
        <f>'RESUMEN TOTAL'!AJ76</f>
        <v>0</v>
      </c>
      <c r="AC73">
        <f>'RESUMEN TOTAL'!AK76</f>
        <v>0</v>
      </c>
      <c r="AD73">
        <f>'RESUMEN TOTAL'!AL76</f>
        <v>0</v>
      </c>
      <c r="AE73">
        <f>'RESUMEN TOTAL'!AM76</f>
        <v>0</v>
      </c>
      <c r="AF73">
        <f>'RESUMEN TOTAL'!AN76</f>
        <v>0</v>
      </c>
      <c r="AG73">
        <f>'RESUMEN TOTAL'!AO76</f>
        <v>0</v>
      </c>
    </row>
    <row r="74" spans="1:33" x14ac:dyDescent="0.25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TOTAL'!N77</f>
        <v>0</v>
      </c>
      <c r="G74">
        <f>'RESUMEN TOTAL'!O77</f>
        <v>0</v>
      </c>
      <c r="H74">
        <f>'RESUMEN TOTAL'!P77</f>
        <v>0</v>
      </c>
      <c r="I74">
        <f>'RESUMEN TOTAL'!Q77</f>
        <v>0</v>
      </c>
      <c r="J74">
        <f>'RESUMEN TOTAL'!R77</f>
        <v>0</v>
      </c>
      <c r="K74">
        <f>'RESUMEN TOTAL'!S77</f>
        <v>0</v>
      </c>
      <c r="L74">
        <f>'RESUMEN TOTAL'!T77</f>
        <v>0</v>
      </c>
      <c r="M74">
        <f>'RESUMEN TOTAL'!U77</f>
        <v>0</v>
      </c>
      <c r="N74">
        <f>'RESUMEN TOTAL'!V77</f>
        <v>0</v>
      </c>
      <c r="O74">
        <f>'RESUMEN TOTAL'!W77</f>
        <v>0</v>
      </c>
      <c r="P74">
        <f>'RESUMEN TOTAL'!X77</f>
        <v>0</v>
      </c>
      <c r="Q74">
        <f>'RESUMEN TOTAL'!Y77</f>
        <v>0</v>
      </c>
      <c r="R74">
        <f>'RESUMEN TOTAL'!Z77</f>
        <v>0</v>
      </c>
      <c r="S74">
        <f>'RESUMEN TOTAL'!AA77</f>
        <v>0</v>
      </c>
      <c r="T74">
        <f>'RESUMEN TOTAL'!AB77</f>
        <v>0</v>
      </c>
      <c r="U74">
        <f>'RESUMEN TOTAL'!AC77</f>
        <v>0</v>
      </c>
      <c r="V74">
        <f>'RESUMEN TOTAL'!AD77</f>
        <v>0</v>
      </c>
      <c r="W74">
        <f>'RESUMEN TOTAL'!AE77</f>
        <v>0</v>
      </c>
      <c r="X74">
        <f>'RESUMEN TOTAL'!AF77</f>
        <v>0</v>
      </c>
      <c r="Y74">
        <f>'RESUMEN TOTAL'!AG77</f>
        <v>0</v>
      </c>
      <c r="Z74">
        <f>'RESUMEN TOTAL'!AH77</f>
        <v>0</v>
      </c>
      <c r="AA74">
        <f>'RESUMEN TOTAL'!AI77</f>
        <v>0</v>
      </c>
      <c r="AB74">
        <f>'RESUMEN TOTAL'!AJ77</f>
        <v>0</v>
      </c>
      <c r="AC74">
        <f>'RESUMEN TOTAL'!AK77</f>
        <v>0</v>
      </c>
      <c r="AD74">
        <f>'RESUMEN TOTAL'!AL77</f>
        <v>0</v>
      </c>
      <c r="AE74">
        <f>'RESUMEN TOTAL'!AM77</f>
        <v>0</v>
      </c>
      <c r="AF74">
        <f>'RESUMEN TOTAL'!AN77</f>
        <v>0</v>
      </c>
      <c r="AG74">
        <f>'RESUMEN TOTAL'!AO77</f>
        <v>0</v>
      </c>
    </row>
    <row r="75" spans="1:33" x14ac:dyDescent="0.25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TOTAL'!N78</f>
        <v>0</v>
      </c>
      <c r="G75">
        <f>'RESUMEN TOTAL'!O78</f>
        <v>0</v>
      </c>
      <c r="H75">
        <f>'RESUMEN TOTAL'!P78</f>
        <v>0</v>
      </c>
      <c r="I75">
        <f>'RESUMEN TOTAL'!Q78</f>
        <v>0</v>
      </c>
      <c r="J75">
        <f>'RESUMEN TOTAL'!R78</f>
        <v>0</v>
      </c>
      <c r="K75">
        <f>'RESUMEN TOTAL'!S78</f>
        <v>0</v>
      </c>
      <c r="L75">
        <f>'RESUMEN TOTAL'!T78</f>
        <v>0</v>
      </c>
      <c r="M75">
        <f>'RESUMEN TOTAL'!U78</f>
        <v>0</v>
      </c>
      <c r="N75">
        <f>'RESUMEN TOTAL'!V78</f>
        <v>0</v>
      </c>
      <c r="O75">
        <f>'RESUMEN TOTAL'!W78</f>
        <v>0</v>
      </c>
      <c r="P75">
        <f>'RESUMEN TOTAL'!X78</f>
        <v>0</v>
      </c>
      <c r="Q75">
        <f>'RESUMEN TOTAL'!Y78</f>
        <v>0</v>
      </c>
      <c r="R75">
        <f>'RESUMEN TOTAL'!Z78</f>
        <v>0</v>
      </c>
      <c r="S75">
        <f>'RESUMEN TOTAL'!AA78</f>
        <v>0</v>
      </c>
      <c r="T75">
        <f>'RESUMEN TOTAL'!AB78</f>
        <v>0</v>
      </c>
      <c r="U75">
        <f>'RESUMEN TOTAL'!AC78</f>
        <v>0</v>
      </c>
      <c r="V75">
        <f>'RESUMEN TOTAL'!AD78</f>
        <v>0</v>
      </c>
      <c r="W75">
        <f>'RESUMEN TOTAL'!AE78</f>
        <v>0</v>
      </c>
      <c r="X75">
        <f>'RESUMEN TOTAL'!AF78</f>
        <v>0</v>
      </c>
      <c r="Y75">
        <f>'RESUMEN TOTAL'!AG78</f>
        <v>0</v>
      </c>
      <c r="Z75">
        <f>'RESUMEN TOTAL'!AH78</f>
        <v>0</v>
      </c>
      <c r="AA75">
        <f>'RESUMEN TOTAL'!AI78</f>
        <v>0</v>
      </c>
      <c r="AB75">
        <f>'RESUMEN TOTAL'!AJ78</f>
        <v>0</v>
      </c>
      <c r="AC75">
        <f>'RESUMEN TOTAL'!AK78</f>
        <v>0</v>
      </c>
      <c r="AD75">
        <f>'RESUMEN TOTAL'!AL78</f>
        <v>0</v>
      </c>
      <c r="AE75">
        <f>'RESUMEN TOTAL'!AM78</f>
        <v>0</v>
      </c>
      <c r="AF75">
        <f>'RESUMEN TOTAL'!AN78</f>
        <v>0</v>
      </c>
      <c r="AG75">
        <f>'RESUMEN TOTAL'!AO78</f>
        <v>0</v>
      </c>
    </row>
    <row r="76" spans="1:33" x14ac:dyDescent="0.25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TOTAL'!N79</f>
        <v>0</v>
      </c>
      <c r="G76">
        <f>'RESUMEN TOTAL'!O79</f>
        <v>0</v>
      </c>
      <c r="H76">
        <f>'RESUMEN TOTAL'!P79</f>
        <v>0</v>
      </c>
      <c r="I76">
        <f>'RESUMEN TOTAL'!Q79</f>
        <v>0</v>
      </c>
      <c r="J76">
        <f>'RESUMEN TOTAL'!R79</f>
        <v>0</v>
      </c>
      <c r="K76">
        <f>'RESUMEN TOTAL'!S79</f>
        <v>0</v>
      </c>
      <c r="L76">
        <f>'RESUMEN TOTAL'!T79</f>
        <v>0</v>
      </c>
      <c r="M76">
        <f>'RESUMEN TOTAL'!U79</f>
        <v>0</v>
      </c>
      <c r="N76">
        <f>'RESUMEN TOTAL'!V79</f>
        <v>0</v>
      </c>
      <c r="O76">
        <f>'RESUMEN TOTAL'!W79</f>
        <v>0</v>
      </c>
      <c r="P76">
        <f>'RESUMEN TOTAL'!X79</f>
        <v>0</v>
      </c>
      <c r="Q76">
        <f>'RESUMEN TOTAL'!Y79</f>
        <v>0</v>
      </c>
      <c r="R76">
        <f>'RESUMEN TOTAL'!Z79</f>
        <v>0</v>
      </c>
      <c r="S76">
        <f>'RESUMEN TOTAL'!AA79</f>
        <v>0</v>
      </c>
      <c r="T76">
        <f>'RESUMEN TOTAL'!AB79</f>
        <v>0</v>
      </c>
      <c r="U76">
        <f>'RESUMEN TOTAL'!AC79</f>
        <v>0</v>
      </c>
      <c r="V76">
        <f>'RESUMEN TOTAL'!AD79</f>
        <v>0</v>
      </c>
      <c r="W76">
        <f>'RESUMEN TOTAL'!AE79</f>
        <v>0</v>
      </c>
      <c r="X76">
        <f>'RESUMEN TOTAL'!AF79</f>
        <v>0</v>
      </c>
      <c r="Y76">
        <f>'RESUMEN TOTAL'!AG79</f>
        <v>0</v>
      </c>
      <c r="Z76">
        <f>'RESUMEN TOTAL'!AH79</f>
        <v>0</v>
      </c>
      <c r="AA76">
        <f>'RESUMEN TOTAL'!AI79</f>
        <v>0</v>
      </c>
      <c r="AB76">
        <f>'RESUMEN TOTAL'!AJ79</f>
        <v>0</v>
      </c>
      <c r="AC76">
        <f>'RESUMEN TOTAL'!AK79</f>
        <v>0</v>
      </c>
      <c r="AD76">
        <f>'RESUMEN TOTAL'!AL79</f>
        <v>0</v>
      </c>
      <c r="AE76">
        <f>'RESUMEN TOTAL'!AM79</f>
        <v>0</v>
      </c>
      <c r="AF76">
        <f>'RESUMEN TOTAL'!AN79</f>
        <v>0</v>
      </c>
      <c r="AG76">
        <f>'RESUMEN TOTAL'!AO79</f>
        <v>0</v>
      </c>
    </row>
    <row r="77" spans="1:33" x14ac:dyDescent="0.25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TOTAL'!N80</f>
        <v>APAGADO</v>
      </c>
      <c r="G77" t="str">
        <f>'RESUMEN TOTAL'!O80</f>
        <v>APAGADO</v>
      </c>
      <c r="H77" t="str">
        <f>'RESUMEN TOTAL'!P80</f>
        <v>APAGADO</v>
      </c>
      <c r="I77" t="str">
        <f>'RESUMEN TOTAL'!Q80</f>
        <v>APAGADO</v>
      </c>
      <c r="J77" t="str">
        <f>'RESUMEN TOTAL'!R80</f>
        <v>APAGADO</v>
      </c>
      <c r="K77" t="str">
        <f>'RESUMEN TOTAL'!S80</f>
        <v>APAGADO</v>
      </c>
      <c r="L77" t="str">
        <f>'RESUMEN TOTAL'!T80</f>
        <v>APAGADO</v>
      </c>
      <c r="M77">
        <f>'RESUMEN TOTAL'!U80</f>
        <v>0</v>
      </c>
      <c r="N77">
        <f>'RESUMEN TOTAL'!V80</f>
        <v>0</v>
      </c>
      <c r="O77">
        <f>'RESUMEN TOTAL'!W80</f>
        <v>0</v>
      </c>
      <c r="P77">
        <f>'RESUMEN TOTAL'!X80</f>
        <v>0</v>
      </c>
      <c r="Q77">
        <f>'RESUMEN TOTAL'!Y80</f>
        <v>0</v>
      </c>
      <c r="R77">
        <f>'RESUMEN TOTAL'!Z80</f>
        <v>0</v>
      </c>
      <c r="S77">
        <f>'RESUMEN TOTAL'!AA80</f>
        <v>0</v>
      </c>
      <c r="T77">
        <f>'RESUMEN TOTAL'!AB80</f>
        <v>0</v>
      </c>
      <c r="U77">
        <f>'RESUMEN TOTAL'!AC80</f>
        <v>0</v>
      </c>
      <c r="V77">
        <f>'RESUMEN TOTAL'!AD80</f>
        <v>0</v>
      </c>
      <c r="W77">
        <f>'RESUMEN TOTAL'!AE80</f>
        <v>0</v>
      </c>
      <c r="X77">
        <f>'RESUMEN TOTAL'!AF80</f>
        <v>0</v>
      </c>
      <c r="Y77">
        <f>'RESUMEN TOTAL'!AG80</f>
        <v>0</v>
      </c>
      <c r="Z77">
        <f>'RESUMEN TOTAL'!AH80</f>
        <v>0</v>
      </c>
      <c r="AA77">
        <f>'RESUMEN TOTAL'!AI80</f>
        <v>0</v>
      </c>
      <c r="AB77">
        <f>'RESUMEN TOTAL'!AJ80</f>
        <v>0</v>
      </c>
      <c r="AC77">
        <f>'RESUMEN TOTAL'!AK80</f>
        <v>0</v>
      </c>
      <c r="AD77">
        <f>'RESUMEN TOTAL'!AL80</f>
        <v>0</v>
      </c>
      <c r="AE77">
        <f>'RESUMEN TOTAL'!AM80</f>
        <v>0</v>
      </c>
      <c r="AF77">
        <f>'RESUMEN TOTAL'!AN80</f>
        <v>0</v>
      </c>
      <c r="AG77">
        <f>'RESUMEN TOTAL'!AO80</f>
        <v>0</v>
      </c>
    </row>
    <row r="78" spans="1:33" x14ac:dyDescent="0.25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TOTAL'!N81</f>
        <v>0</v>
      </c>
      <c r="G78">
        <f>'RESUMEN TOTAL'!O81</f>
        <v>0</v>
      </c>
      <c r="H78">
        <f>'RESUMEN TOTAL'!P81</f>
        <v>0</v>
      </c>
      <c r="I78">
        <f>'RESUMEN TOTAL'!Q81</f>
        <v>0</v>
      </c>
      <c r="J78">
        <f>'RESUMEN TOTAL'!R81</f>
        <v>0</v>
      </c>
      <c r="K78">
        <f>'RESUMEN TOTAL'!S81</f>
        <v>0</v>
      </c>
      <c r="L78">
        <f>'RESUMEN TOTAL'!T81</f>
        <v>0</v>
      </c>
      <c r="M78">
        <f>'RESUMEN TOTAL'!U81</f>
        <v>0</v>
      </c>
      <c r="N78">
        <f>'RESUMEN TOTAL'!V81</f>
        <v>0</v>
      </c>
      <c r="O78">
        <f>'RESUMEN TOTAL'!W81</f>
        <v>0</v>
      </c>
      <c r="P78">
        <f>'RESUMEN TOTAL'!X81</f>
        <v>0</v>
      </c>
      <c r="Q78">
        <f>'RESUMEN TOTAL'!Y81</f>
        <v>0</v>
      </c>
      <c r="R78">
        <f>'RESUMEN TOTAL'!Z81</f>
        <v>0</v>
      </c>
      <c r="S78">
        <f>'RESUMEN TOTAL'!AA81</f>
        <v>0</v>
      </c>
      <c r="T78">
        <f>'RESUMEN TOTAL'!AB81</f>
        <v>0</v>
      </c>
      <c r="U78">
        <f>'RESUMEN TOTAL'!AC81</f>
        <v>0</v>
      </c>
      <c r="V78">
        <f>'RESUMEN TOTAL'!AD81</f>
        <v>0</v>
      </c>
      <c r="W78">
        <f>'RESUMEN TOTAL'!AE81</f>
        <v>0</v>
      </c>
      <c r="X78">
        <f>'RESUMEN TOTAL'!AF81</f>
        <v>0</v>
      </c>
      <c r="Y78">
        <f>'RESUMEN TOTAL'!AG81</f>
        <v>0</v>
      </c>
      <c r="Z78">
        <f>'RESUMEN TOTAL'!AH81</f>
        <v>0</v>
      </c>
      <c r="AA78">
        <f>'RESUMEN TOTAL'!AI81</f>
        <v>0</v>
      </c>
      <c r="AB78">
        <f>'RESUMEN TOTAL'!AJ81</f>
        <v>0</v>
      </c>
      <c r="AC78">
        <f>'RESUMEN TOTAL'!AK81</f>
        <v>0</v>
      </c>
      <c r="AD78">
        <f>'RESUMEN TOTAL'!AL81</f>
        <v>0</v>
      </c>
      <c r="AE78">
        <f>'RESUMEN TOTAL'!AM81</f>
        <v>0</v>
      </c>
      <c r="AF78">
        <f>'RESUMEN TOTAL'!AN81</f>
        <v>0</v>
      </c>
      <c r="AG78">
        <f>'RESUMEN TOTAL'!AO81</f>
        <v>0</v>
      </c>
    </row>
    <row r="79" spans="1:33" x14ac:dyDescent="0.25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TOTAL'!N82</f>
        <v>0</v>
      </c>
      <c r="G79">
        <f>'RESUMEN TOTAL'!O82</f>
        <v>0</v>
      </c>
      <c r="H79">
        <f>'RESUMEN TOTAL'!P82</f>
        <v>0</v>
      </c>
      <c r="I79">
        <f>'RESUMEN TOTAL'!Q82</f>
        <v>0</v>
      </c>
      <c r="J79">
        <f>'RESUMEN TOTAL'!R82</f>
        <v>0</v>
      </c>
      <c r="K79">
        <f>'RESUMEN TOTAL'!S82</f>
        <v>0</v>
      </c>
      <c r="L79">
        <f>'RESUMEN TOTAL'!T82</f>
        <v>0</v>
      </c>
      <c r="M79">
        <f>'RESUMEN TOTAL'!U82</f>
        <v>0</v>
      </c>
      <c r="N79">
        <f>'RESUMEN TOTAL'!V82</f>
        <v>0</v>
      </c>
      <c r="O79">
        <f>'RESUMEN TOTAL'!W82</f>
        <v>0</v>
      </c>
      <c r="P79">
        <f>'RESUMEN TOTAL'!X82</f>
        <v>0</v>
      </c>
      <c r="Q79">
        <f>'RESUMEN TOTAL'!Y82</f>
        <v>0</v>
      </c>
      <c r="R79">
        <f>'RESUMEN TOTAL'!Z82</f>
        <v>0</v>
      </c>
      <c r="S79">
        <f>'RESUMEN TOTAL'!AA82</f>
        <v>0</v>
      </c>
      <c r="T79">
        <f>'RESUMEN TOTAL'!AB82</f>
        <v>0</v>
      </c>
      <c r="U79">
        <f>'RESUMEN TOTAL'!AC82</f>
        <v>0</v>
      </c>
      <c r="V79">
        <f>'RESUMEN TOTAL'!AD82</f>
        <v>0</v>
      </c>
      <c r="W79">
        <f>'RESUMEN TOTAL'!AE82</f>
        <v>0</v>
      </c>
      <c r="X79">
        <f>'RESUMEN TOTAL'!AF82</f>
        <v>0</v>
      </c>
      <c r="Y79">
        <f>'RESUMEN TOTAL'!AG82</f>
        <v>0</v>
      </c>
      <c r="Z79">
        <f>'RESUMEN TOTAL'!AH82</f>
        <v>0</v>
      </c>
      <c r="AA79">
        <f>'RESUMEN TOTAL'!AI82</f>
        <v>0</v>
      </c>
      <c r="AB79">
        <f>'RESUMEN TOTAL'!AJ82</f>
        <v>0</v>
      </c>
      <c r="AC79">
        <f>'RESUMEN TOTAL'!AK82</f>
        <v>0</v>
      </c>
      <c r="AD79">
        <f>'RESUMEN TOTAL'!AL82</f>
        <v>0</v>
      </c>
      <c r="AE79">
        <f>'RESUMEN TOTAL'!AM82</f>
        <v>0</v>
      </c>
      <c r="AF79">
        <f>'RESUMEN TOTAL'!AN82</f>
        <v>0</v>
      </c>
      <c r="AG79">
        <f>'RESUMEN TOTAL'!AO82</f>
        <v>0</v>
      </c>
    </row>
    <row r="80" spans="1:33" x14ac:dyDescent="0.25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TOTAL'!N83</f>
        <v>0</v>
      </c>
      <c r="G80">
        <f>'RESUMEN TOTAL'!O83</f>
        <v>0</v>
      </c>
      <c r="H80">
        <f>'RESUMEN TOTAL'!P83</f>
        <v>0</v>
      </c>
      <c r="I80">
        <f>'RESUMEN TOTAL'!Q83</f>
        <v>0</v>
      </c>
      <c r="J80">
        <f>'RESUMEN TOTAL'!R83</f>
        <v>0</v>
      </c>
      <c r="K80">
        <f>'RESUMEN TOTAL'!S83</f>
        <v>0</v>
      </c>
      <c r="L80">
        <f>'RESUMEN TOTAL'!T83</f>
        <v>0</v>
      </c>
      <c r="M80">
        <f>'RESUMEN TOTAL'!U83</f>
        <v>0</v>
      </c>
      <c r="N80">
        <f>'RESUMEN TOTAL'!V83</f>
        <v>0</v>
      </c>
      <c r="O80">
        <f>'RESUMEN TOTAL'!W83</f>
        <v>0</v>
      </c>
      <c r="P80">
        <f>'RESUMEN TOTAL'!X83</f>
        <v>0</v>
      </c>
      <c r="Q80">
        <f>'RESUMEN TOTAL'!Y83</f>
        <v>0</v>
      </c>
      <c r="R80">
        <f>'RESUMEN TOTAL'!Z83</f>
        <v>0</v>
      </c>
      <c r="S80">
        <f>'RESUMEN TOTAL'!AA83</f>
        <v>0</v>
      </c>
      <c r="T80">
        <f>'RESUMEN TOTAL'!AB83</f>
        <v>0</v>
      </c>
      <c r="U80">
        <f>'RESUMEN TOTAL'!AC83</f>
        <v>0</v>
      </c>
      <c r="V80">
        <f>'RESUMEN TOTAL'!AD83</f>
        <v>0</v>
      </c>
      <c r="W80">
        <f>'RESUMEN TOTAL'!AE83</f>
        <v>0</v>
      </c>
      <c r="X80">
        <f>'RESUMEN TOTAL'!AF83</f>
        <v>0</v>
      </c>
      <c r="Y80">
        <f>'RESUMEN TOTAL'!AG83</f>
        <v>0</v>
      </c>
      <c r="Z80">
        <f>'RESUMEN TOTAL'!AH83</f>
        <v>0</v>
      </c>
      <c r="AA80">
        <f>'RESUMEN TOTAL'!AI83</f>
        <v>0</v>
      </c>
      <c r="AB80">
        <f>'RESUMEN TOTAL'!AJ83</f>
        <v>0</v>
      </c>
      <c r="AC80">
        <f>'RESUMEN TOTAL'!AK83</f>
        <v>0</v>
      </c>
      <c r="AD80">
        <f>'RESUMEN TOTAL'!AL83</f>
        <v>0</v>
      </c>
      <c r="AE80">
        <f>'RESUMEN TOTAL'!AM83</f>
        <v>0</v>
      </c>
      <c r="AF80">
        <f>'RESUMEN TOTAL'!AN83</f>
        <v>0</v>
      </c>
      <c r="AG80">
        <f>'RESUMEN TOTAL'!AO83</f>
        <v>0</v>
      </c>
    </row>
    <row r="81" spans="1:33" x14ac:dyDescent="0.25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TOTAL'!N84</f>
        <v>0</v>
      </c>
      <c r="G81">
        <f>'RESUMEN TOTAL'!O84</f>
        <v>0</v>
      </c>
      <c r="H81">
        <f>'RESUMEN TOTAL'!P84</f>
        <v>0</v>
      </c>
      <c r="I81">
        <f>'RESUMEN TOTAL'!Q84</f>
        <v>0</v>
      </c>
      <c r="J81">
        <f>'RESUMEN TOTAL'!R84</f>
        <v>0</v>
      </c>
      <c r="K81">
        <f>'RESUMEN TOTAL'!S84</f>
        <v>0</v>
      </c>
      <c r="L81">
        <f>'RESUMEN TOTAL'!T84</f>
        <v>0</v>
      </c>
      <c r="M81">
        <f>'RESUMEN TOTAL'!U84</f>
        <v>0</v>
      </c>
      <c r="N81">
        <f>'RESUMEN TOTAL'!V84</f>
        <v>0</v>
      </c>
      <c r="O81">
        <f>'RESUMEN TOTAL'!W84</f>
        <v>0</v>
      </c>
      <c r="P81">
        <f>'RESUMEN TOTAL'!X84</f>
        <v>0</v>
      </c>
      <c r="Q81">
        <f>'RESUMEN TOTAL'!Y84</f>
        <v>0</v>
      </c>
      <c r="R81">
        <f>'RESUMEN TOTAL'!Z84</f>
        <v>0</v>
      </c>
      <c r="S81">
        <f>'RESUMEN TOTAL'!AA84</f>
        <v>0</v>
      </c>
      <c r="T81">
        <f>'RESUMEN TOTAL'!AB84</f>
        <v>0</v>
      </c>
      <c r="U81">
        <f>'RESUMEN TOTAL'!AC84</f>
        <v>0</v>
      </c>
      <c r="V81">
        <f>'RESUMEN TOTAL'!AD84</f>
        <v>0</v>
      </c>
      <c r="W81">
        <f>'RESUMEN TOTAL'!AE84</f>
        <v>0</v>
      </c>
      <c r="X81">
        <f>'RESUMEN TOTAL'!AF84</f>
        <v>0</v>
      </c>
      <c r="Y81">
        <f>'RESUMEN TOTAL'!AG84</f>
        <v>0</v>
      </c>
      <c r="Z81">
        <f>'RESUMEN TOTAL'!AH84</f>
        <v>0</v>
      </c>
      <c r="AA81">
        <f>'RESUMEN TOTAL'!AI84</f>
        <v>0</v>
      </c>
      <c r="AB81">
        <f>'RESUMEN TOTAL'!AJ84</f>
        <v>0</v>
      </c>
      <c r="AC81">
        <f>'RESUMEN TOTAL'!AK84</f>
        <v>0</v>
      </c>
      <c r="AD81">
        <f>'RESUMEN TOTAL'!AL84</f>
        <v>0</v>
      </c>
      <c r="AE81">
        <f>'RESUMEN TOTAL'!AM84</f>
        <v>0</v>
      </c>
      <c r="AF81">
        <f>'RESUMEN TOTAL'!AN84</f>
        <v>0</v>
      </c>
      <c r="AG81">
        <f>'RESUMEN TOTAL'!AO84</f>
        <v>0</v>
      </c>
    </row>
    <row r="82" spans="1:33" x14ac:dyDescent="0.25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TOTAL'!N85</f>
        <v>0</v>
      </c>
      <c r="G82">
        <f>'RESUMEN TOTAL'!O85</f>
        <v>0</v>
      </c>
      <c r="H82">
        <f>'RESUMEN TOTAL'!P85</f>
        <v>0</v>
      </c>
      <c r="I82">
        <f>'RESUMEN TOTAL'!Q85</f>
        <v>0</v>
      </c>
      <c r="J82">
        <f>'RESUMEN TOTAL'!R85</f>
        <v>0</v>
      </c>
      <c r="K82">
        <f>'RESUMEN TOTAL'!S85</f>
        <v>0</v>
      </c>
      <c r="L82">
        <f>'RESUMEN TOTAL'!T85</f>
        <v>0</v>
      </c>
      <c r="M82">
        <f>'RESUMEN TOTAL'!U85</f>
        <v>0</v>
      </c>
      <c r="N82">
        <f>'RESUMEN TOTAL'!V85</f>
        <v>0</v>
      </c>
      <c r="O82">
        <f>'RESUMEN TOTAL'!W85</f>
        <v>0</v>
      </c>
      <c r="P82">
        <f>'RESUMEN TOTAL'!X85</f>
        <v>0</v>
      </c>
      <c r="Q82">
        <f>'RESUMEN TOTAL'!Y85</f>
        <v>0</v>
      </c>
      <c r="R82">
        <f>'RESUMEN TOTAL'!Z85</f>
        <v>0</v>
      </c>
      <c r="S82">
        <f>'RESUMEN TOTAL'!AA85</f>
        <v>0</v>
      </c>
      <c r="T82">
        <f>'RESUMEN TOTAL'!AB85</f>
        <v>0</v>
      </c>
      <c r="U82">
        <f>'RESUMEN TOTAL'!AC85</f>
        <v>0</v>
      </c>
      <c r="V82">
        <f>'RESUMEN TOTAL'!AD85</f>
        <v>0</v>
      </c>
      <c r="W82">
        <f>'RESUMEN TOTAL'!AE85</f>
        <v>0</v>
      </c>
      <c r="X82">
        <f>'RESUMEN TOTAL'!AF85</f>
        <v>0</v>
      </c>
      <c r="Y82">
        <f>'RESUMEN TOTAL'!AG85</f>
        <v>0</v>
      </c>
      <c r="Z82">
        <f>'RESUMEN TOTAL'!AH85</f>
        <v>0</v>
      </c>
      <c r="AA82">
        <f>'RESUMEN TOTAL'!AI85</f>
        <v>0</v>
      </c>
      <c r="AB82">
        <f>'RESUMEN TOTAL'!AJ85</f>
        <v>0</v>
      </c>
      <c r="AC82">
        <f>'RESUMEN TOTAL'!AK85</f>
        <v>0</v>
      </c>
      <c r="AD82">
        <f>'RESUMEN TOTAL'!AL85</f>
        <v>0</v>
      </c>
      <c r="AE82">
        <f>'RESUMEN TOTAL'!AM85</f>
        <v>0</v>
      </c>
      <c r="AF82">
        <f>'RESUMEN TOTAL'!AN85</f>
        <v>0</v>
      </c>
      <c r="AG82">
        <f>'RESUMEN TOTAL'!AO85</f>
        <v>0</v>
      </c>
    </row>
    <row r="83" spans="1:33" x14ac:dyDescent="0.25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 t="str">
        <f>'RESUMEN TOTAL'!N86</f>
        <v>APAGADO</v>
      </c>
      <c r="G83">
        <f>'RESUMEN TOTAL'!O86</f>
        <v>0</v>
      </c>
      <c r="H83">
        <f>'RESUMEN TOTAL'!P86</f>
        <v>0</v>
      </c>
      <c r="I83">
        <f>'RESUMEN TOTAL'!Q86</f>
        <v>0</v>
      </c>
      <c r="J83">
        <f>'RESUMEN TOTAL'!R86</f>
        <v>0</v>
      </c>
      <c r="K83">
        <f>'RESUMEN TOTAL'!S86</f>
        <v>0</v>
      </c>
      <c r="L83">
        <f>'RESUMEN TOTAL'!T86</f>
        <v>0</v>
      </c>
      <c r="M83">
        <f>'RESUMEN TOTAL'!U86</f>
        <v>0</v>
      </c>
      <c r="N83">
        <f>'RESUMEN TOTAL'!V86</f>
        <v>0</v>
      </c>
      <c r="O83">
        <f>'RESUMEN TOTAL'!W86</f>
        <v>0</v>
      </c>
      <c r="P83">
        <f>'RESUMEN TOTAL'!X86</f>
        <v>0</v>
      </c>
      <c r="Q83">
        <f>'RESUMEN TOTAL'!Y86</f>
        <v>0</v>
      </c>
      <c r="R83">
        <f>'RESUMEN TOTAL'!Z86</f>
        <v>0</v>
      </c>
      <c r="S83">
        <f>'RESUMEN TOTAL'!AA86</f>
        <v>0</v>
      </c>
      <c r="T83">
        <f>'RESUMEN TOTAL'!AB86</f>
        <v>0</v>
      </c>
      <c r="U83">
        <f>'RESUMEN TOTAL'!AC86</f>
        <v>0</v>
      </c>
      <c r="V83">
        <f>'RESUMEN TOTAL'!AD86</f>
        <v>0</v>
      </c>
      <c r="W83">
        <f>'RESUMEN TOTAL'!AE86</f>
        <v>0</v>
      </c>
      <c r="X83">
        <f>'RESUMEN TOTAL'!AF86</f>
        <v>0</v>
      </c>
      <c r="Y83">
        <f>'RESUMEN TOTAL'!AG86</f>
        <v>0</v>
      </c>
      <c r="Z83">
        <f>'RESUMEN TOTAL'!AH86</f>
        <v>0</v>
      </c>
      <c r="AA83">
        <f>'RESUMEN TOTAL'!AI86</f>
        <v>0</v>
      </c>
      <c r="AB83">
        <f>'RESUMEN TOTAL'!AJ86</f>
        <v>0</v>
      </c>
      <c r="AC83">
        <f>'RESUMEN TOTAL'!AK86</f>
        <v>0</v>
      </c>
      <c r="AD83">
        <f>'RESUMEN TOTAL'!AL86</f>
        <v>0</v>
      </c>
      <c r="AE83">
        <f>'RESUMEN TOTAL'!AM86</f>
        <v>0</v>
      </c>
      <c r="AF83">
        <f>'RESUMEN TOTAL'!AN86</f>
        <v>0</v>
      </c>
      <c r="AG83">
        <f>'RESUMEN TOTAL'!AO86</f>
        <v>0</v>
      </c>
    </row>
    <row r="84" spans="1:33" x14ac:dyDescent="0.25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TOTAL'!N87</f>
        <v>0</v>
      </c>
      <c r="G84">
        <f>'RESUMEN TOTAL'!O87</f>
        <v>0</v>
      </c>
      <c r="H84">
        <f>'RESUMEN TOTAL'!P87</f>
        <v>0</v>
      </c>
      <c r="I84">
        <f>'RESUMEN TOTAL'!Q87</f>
        <v>0</v>
      </c>
      <c r="J84">
        <f>'RESUMEN TOTAL'!R87</f>
        <v>0</v>
      </c>
      <c r="K84">
        <f>'RESUMEN TOTAL'!S87</f>
        <v>0</v>
      </c>
      <c r="L84">
        <f>'RESUMEN TOTAL'!T87</f>
        <v>0</v>
      </c>
      <c r="M84">
        <f>'RESUMEN TOTAL'!U87</f>
        <v>0</v>
      </c>
      <c r="N84">
        <f>'RESUMEN TOTAL'!V87</f>
        <v>0</v>
      </c>
      <c r="O84">
        <f>'RESUMEN TOTAL'!W87</f>
        <v>0</v>
      </c>
      <c r="P84">
        <f>'RESUMEN TOTAL'!X87</f>
        <v>0</v>
      </c>
      <c r="Q84">
        <f>'RESUMEN TOTAL'!Y87</f>
        <v>0</v>
      </c>
      <c r="R84">
        <f>'RESUMEN TOTAL'!Z87</f>
        <v>0</v>
      </c>
      <c r="S84">
        <f>'RESUMEN TOTAL'!AA87</f>
        <v>0</v>
      </c>
      <c r="T84">
        <f>'RESUMEN TOTAL'!AB87</f>
        <v>0</v>
      </c>
      <c r="U84">
        <f>'RESUMEN TOTAL'!AC87</f>
        <v>0</v>
      </c>
      <c r="V84">
        <f>'RESUMEN TOTAL'!AD87</f>
        <v>0</v>
      </c>
      <c r="W84">
        <f>'RESUMEN TOTAL'!AE87</f>
        <v>0</v>
      </c>
      <c r="X84">
        <f>'RESUMEN TOTAL'!AF87</f>
        <v>0</v>
      </c>
      <c r="Y84">
        <f>'RESUMEN TOTAL'!AG87</f>
        <v>0</v>
      </c>
      <c r="Z84">
        <f>'RESUMEN TOTAL'!AH87</f>
        <v>0</v>
      </c>
      <c r="AA84">
        <f>'RESUMEN TOTAL'!AI87</f>
        <v>0</v>
      </c>
      <c r="AB84">
        <f>'RESUMEN TOTAL'!AJ87</f>
        <v>0</v>
      </c>
      <c r="AC84">
        <f>'RESUMEN TOTAL'!AK87</f>
        <v>0</v>
      </c>
      <c r="AD84">
        <f>'RESUMEN TOTAL'!AL87</f>
        <v>0</v>
      </c>
      <c r="AE84">
        <f>'RESUMEN TOTAL'!AM87</f>
        <v>0</v>
      </c>
      <c r="AF84">
        <f>'RESUMEN TOTAL'!AN87</f>
        <v>0</v>
      </c>
      <c r="AG84">
        <f>'RESUMEN TOTAL'!AO87</f>
        <v>0</v>
      </c>
    </row>
    <row r="85" spans="1:33" x14ac:dyDescent="0.25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TOTAL'!N88</f>
        <v>APAGADO</v>
      </c>
      <c r="G85" t="str">
        <f>'RESUMEN TOTAL'!O88</f>
        <v>APAGADO</v>
      </c>
      <c r="H85" t="str">
        <f>'RESUMEN TOTAL'!P88</f>
        <v>APAGADO</v>
      </c>
      <c r="I85" t="str">
        <f>'RESUMEN TOTAL'!Q88</f>
        <v>APAGADO</v>
      </c>
      <c r="J85" t="str">
        <f>'RESUMEN TOTAL'!R88</f>
        <v>APAGADO</v>
      </c>
      <c r="K85" t="str">
        <f>'RESUMEN TOTAL'!S88</f>
        <v>APAGADO</v>
      </c>
      <c r="L85" t="str">
        <f>'RESUMEN TOTAL'!T88</f>
        <v>APAGADO</v>
      </c>
      <c r="M85">
        <f>'RESUMEN TOTAL'!U88</f>
        <v>0</v>
      </c>
      <c r="N85">
        <f>'RESUMEN TOTAL'!V88</f>
        <v>0</v>
      </c>
      <c r="O85">
        <f>'RESUMEN TOTAL'!W88</f>
        <v>0</v>
      </c>
      <c r="P85">
        <f>'RESUMEN TOTAL'!X88</f>
        <v>0</v>
      </c>
      <c r="Q85">
        <f>'RESUMEN TOTAL'!Y88</f>
        <v>0</v>
      </c>
      <c r="R85">
        <f>'RESUMEN TOTAL'!Z88</f>
        <v>0</v>
      </c>
      <c r="S85">
        <f>'RESUMEN TOTAL'!AA88</f>
        <v>0</v>
      </c>
      <c r="T85">
        <f>'RESUMEN TOTAL'!AB88</f>
        <v>0</v>
      </c>
      <c r="U85">
        <f>'RESUMEN TOTAL'!AC88</f>
        <v>0</v>
      </c>
      <c r="V85">
        <f>'RESUMEN TOTAL'!AD88</f>
        <v>0</v>
      </c>
      <c r="W85">
        <f>'RESUMEN TOTAL'!AE88</f>
        <v>0</v>
      </c>
      <c r="X85">
        <f>'RESUMEN TOTAL'!AF88</f>
        <v>0</v>
      </c>
      <c r="Y85">
        <f>'RESUMEN TOTAL'!AG88</f>
        <v>0</v>
      </c>
      <c r="Z85">
        <f>'RESUMEN TOTAL'!AH88</f>
        <v>0</v>
      </c>
      <c r="AA85">
        <f>'RESUMEN TOTAL'!AI88</f>
        <v>0</v>
      </c>
      <c r="AB85">
        <f>'RESUMEN TOTAL'!AJ88</f>
        <v>0</v>
      </c>
      <c r="AC85">
        <f>'RESUMEN TOTAL'!AK88</f>
        <v>0</v>
      </c>
      <c r="AD85">
        <f>'RESUMEN TOTAL'!AL88</f>
        <v>0</v>
      </c>
      <c r="AE85">
        <f>'RESUMEN TOTAL'!AM88</f>
        <v>0</v>
      </c>
      <c r="AF85">
        <f>'RESUMEN TOTAL'!AN88</f>
        <v>0</v>
      </c>
      <c r="AG85">
        <f>'RESUMEN TOTAL'!AO88</f>
        <v>0</v>
      </c>
    </row>
    <row r="86" spans="1:33" x14ac:dyDescent="0.25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TOTAL'!N89</f>
        <v>0</v>
      </c>
      <c r="G86" t="str">
        <f>'RESUMEN TOTAL'!O89</f>
        <v>APAGADO</v>
      </c>
      <c r="H86" t="str">
        <f>'RESUMEN TOTAL'!P89</f>
        <v>APAGADO</v>
      </c>
      <c r="I86" t="str">
        <f>'RESUMEN TOTAL'!Q89</f>
        <v>APAGADO</v>
      </c>
      <c r="J86" t="str">
        <f>'RESUMEN TOTAL'!R89</f>
        <v>APAGADO</v>
      </c>
      <c r="K86" t="str">
        <f>'RESUMEN TOTAL'!S89</f>
        <v>APAGADO</v>
      </c>
      <c r="L86" t="str">
        <f>'RESUMEN TOTAL'!T89</f>
        <v>APAGADO</v>
      </c>
      <c r="M86">
        <f>'RESUMEN TOTAL'!U89</f>
        <v>0</v>
      </c>
      <c r="N86">
        <f>'RESUMEN TOTAL'!V89</f>
        <v>0</v>
      </c>
      <c r="O86">
        <f>'RESUMEN TOTAL'!W89</f>
        <v>0</v>
      </c>
      <c r="P86">
        <f>'RESUMEN TOTAL'!X89</f>
        <v>0</v>
      </c>
      <c r="Q86">
        <f>'RESUMEN TOTAL'!Y89</f>
        <v>0</v>
      </c>
      <c r="R86">
        <f>'RESUMEN TOTAL'!Z89</f>
        <v>0</v>
      </c>
      <c r="S86">
        <f>'RESUMEN TOTAL'!AA89</f>
        <v>0</v>
      </c>
      <c r="T86">
        <f>'RESUMEN TOTAL'!AB89</f>
        <v>0</v>
      </c>
      <c r="U86">
        <f>'RESUMEN TOTAL'!AC89</f>
        <v>0</v>
      </c>
      <c r="V86">
        <f>'RESUMEN TOTAL'!AD89</f>
        <v>0</v>
      </c>
      <c r="W86">
        <f>'RESUMEN TOTAL'!AE89</f>
        <v>0</v>
      </c>
      <c r="X86">
        <f>'RESUMEN TOTAL'!AF89</f>
        <v>0</v>
      </c>
      <c r="Y86">
        <f>'RESUMEN TOTAL'!AG89</f>
        <v>0</v>
      </c>
      <c r="Z86">
        <f>'RESUMEN TOTAL'!AH89</f>
        <v>0</v>
      </c>
      <c r="AA86">
        <f>'RESUMEN TOTAL'!AI89</f>
        <v>0</v>
      </c>
      <c r="AB86">
        <f>'RESUMEN TOTAL'!AJ89</f>
        <v>0</v>
      </c>
      <c r="AC86">
        <f>'RESUMEN TOTAL'!AK89</f>
        <v>0</v>
      </c>
      <c r="AD86">
        <f>'RESUMEN TOTAL'!AL89</f>
        <v>0</v>
      </c>
      <c r="AE86">
        <f>'RESUMEN TOTAL'!AM89</f>
        <v>0</v>
      </c>
      <c r="AF86">
        <f>'RESUMEN TOTAL'!AN89</f>
        <v>0</v>
      </c>
      <c r="AG86">
        <f>'RESUMEN TOTAL'!AO89</f>
        <v>0</v>
      </c>
    </row>
    <row r="87" spans="1:33" x14ac:dyDescent="0.25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 t="str">
        <f>'RESUMEN TOTAL'!N90</f>
        <v>APAGADO</v>
      </c>
      <c r="G87" t="str">
        <f>'RESUMEN TOTAL'!O90</f>
        <v>APAGADO</v>
      </c>
      <c r="H87" t="str">
        <f>'RESUMEN TOTAL'!P90</f>
        <v>APAGADO</v>
      </c>
      <c r="I87" t="str">
        <f>'RESUMEN TOTAL'!Q90</f>
        <v>APAGADO</v>
      </c>
      <c r="J87" t="str">
        <f>'RESUMEN TOTAL'!R90</f>
        <v>APAGADO</v>
      </c>
      <c r="K87" t="str">
        <f>'RESUMEN TOTAL'!S90</f>
        <v>APAGADO</v>
      </c>
      <c r="L87" t="str">
        <f>'RESUMEN TOTAL'!T90</f>
        <v>APAGADO</v>
      </c>
      <c r="M87">
        <f>'RESUMEN TOTAL'!U90</f>
        <v>0</v>
      </c>
      <c r="N87">
        <f>'RESUMEN TOTAL'!V90</f>
        <v>0</v>
      </c>
      <c r="O87">
        <f>'RESUMEN TOTAL'!W90</f>
        <v>0</v>
      </c>
      <c r="P87">
        <f>'RESUMEN TOTAL'!X90</f>
        <v>0</v>
      </c>
      <c r="Q87">
        <f>'RESUMEN TOTAL'!Y90</f>
        <v>0</v>
      </c>
      <c r="R87">
        <f>'RESUMEN TOTAL'!Z90</f>
        <v>0</v>
      </c>
      <c r="S87">
        <f>'RESUMEN TOTAL'!AA90</f>
        <v>0</v>
      </c>
      <c r="T87">
        <f>'RESUMEN TOTAL'!AB90</f>
        <v>0</v>
      </c>
      <c r="U87">
        <f>'RESUMEN TOTAL'!AC90</f>
        <v>0</v>
      </c>
      <c r="V87">
        <f>'RESUMEN TOTAL'!AD90</f>
        <v>0</v>
      </c>
      <c r="W87">
        <f>'RESUMEN TOTAL'!AE90</f>
        <v>0</v>
      </c>
      <c r="X87">
        <f>'RESUMEN TOTAL'!AF90</f>
        <v>0</v>
      </c>
      <c r="Y87">
        <f>'RESUMEN TOTAL'!AG90</f>
        <v>0</v>
      </c>
      <c r="Z87">
        <f>'RESUMEN TOTAL'!AH90</f>
        <v>0</v>
      </c>
      <c r="AA87">
        <f>'RESUMEN TOTAL'!AI90</f>
        <v>0</v>
      </c>
      <c r="AB87">
        <f>'RESUMEN TOTAL'!AJ90</f>
        <v>0</v>
      </c>
      <c r="AC87">
        <f>'RESUMEN TOTAL'!AK90</f>
        <v>0</v>
      </c>
      <c r="AD87">
        <f>'RESUMEN TOTAL'!AL90</f>
        <v>0</v>
      </c>
      <c r="AE87">
        <f>'RESUMEN TOTAL'!AM90</f>
        <v>0</v>
      </c>
      <c r="AF87">
        <f>'RESUMEN TOTAL'!AN90</f>
        <v>0</v>
      </c>
      <c r="AG87">
        <f>'RESUMEN TOTAL'!AO90</f>
        <v>0</v>
      </c>
    </row>
    <row r="88" spans="1:33" x14ac:dyDescent="0.25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TOTAL'!N91</f>
        <v>APAGADO</v>
      </c>
      <c r="G88" t="str">
        <f>'RESUMEN TOTAL'!O91</f>
        <v>APAGADO</v>
      </c>
      <c r="H88" t="str">
        <f>'RESUMEN TOTAL'!P91</f>
        <v>APAGADO</v>
      </c>
      <c r="I88" t="str">
        <f>'RESUMEN TOTAL'!Q91</f>
        <v>APAGADO</v>
      </c>
      <c r="J88" t="str">
        <f>'RESUMEN TOTAL'!R91</f>
        <v>APAGADO</v>
      </c>
      <c r="K88" t="str">
        <f>'RESUMEN TOTAL'!S91</f>
        <v>APAGADO</v>
      </c>
      <c r="L88" t="str">
        <f>'RESUMEN TOTAL'!T91</f>
        <v>APAGADO</v>
      </c>
      <c r="M88">
        <f>'RESUMEN TOTAL'!U91</f>
        <v>0</v>
      </c>
      <c r="N88">
        <f>'RESUMEN TOTAL'!V91</f>
        <v>0</v>
      </c>
      <c r="O88">
        <f>'RESUMEN TOTAL'!W91</f>
        <v>0</v>
      </c>
      <c r="P88">
        <f>'RESUMEN TOTAL'!X91</f>
        <v>0</v>
      </c>
      <c r="Q88">
        <f>'RESUMEN TOTAL'!Y91</f>
        <v>0</v>
      </c>
      <c r="R88">
        <f>'RESUMEN TOTAL'!Z91</f>
        <v>0</v>
      </c>
      <c r="S88">
        <f>'RESUMEN TOTAL'!AA91</f>
        <v>0</v>
      </c>
      <c r="T88">
        <f>'RESUMEN TOTAL'!AB91</f>
        <v>0</v>
      </c>
      <c r="U88">
        <f>'RESUMEN TOTAL'!AC91</f>
        <v>0</v>
      </c>
      <c r="V88">
        <f>'RESUMEN TOTAL'!AD91</f>
        <v>0</v>
      </c>
      <c r="W88">
        <f>'RESUMEN TOTAL'!AE91</f>
        <v>0</v>
      </c>
      <c r="X88">
        <f>'RESUMEN TOTAL'!AF91</f>
        <v>0</v>
      </c>
      <c r="Y88">
        <f>'RESUMEN TOTAL'!AG91</f>
        <v>0</v>
      </c>
      <c r="Z88">
        <f>'RESUMEN TOTAL'!AH91</f>
        <v>0</v>
      </c>
      <c r="AA88">
        <f>'RESUMEN TOTAL'!AI91</f>
        <v>0</v>
      </c>
      <c r="AB88">
        <f>'RESUMEN TOTAL'!AJ91</f>
        <v>0</v>
      </c>
      <c r="AC88">
        <f>'RESUMEN TOTAL'!AK91</f>
        <v>0</v>
      </c>
      <c r="AD88">
        <f>'RESUMEN TOTAL'!AL91</f>
        <v>0</v>
      </c>
      <c r="AE88">
        <f>'RESUMEN TOTAL'!AM91</f>
        <v>0</v>
      </c>
      <c r="AF88">
        <f>'RESUMEN TOTAL'!AN91</f>
        <v>0</v>
      </c>
      <c r="AG88">
        <f>'RESUMEN TOTAL'!AO91</f>
        <v>0</v>
      </c>
    </row>
    <row r="89" spans="1:33" x14ac:dyDescent="0.25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TOTAL'!N92</f>
        <v>APAGADO</v>
      </c>
      <c r="G89" t="str">
        <f>'RESUMEN TOTAL'!O92</f>
        <v>APAGADO</v>
      </c>
      <c r="H89" t="str">
        <f>'RESUMEN TOTAL'!P92</f>
        <v>APAGADO</v>
      </c>
      <c r="I89" t="str">
        <f>'RESUMEN TOTAL'!Q92</f>
        <v>APAGADO</v>
      </c>
      <c r="J89" t="str">
        <f>'RESUMEN TOTAL'!R92</f>
        <v>APAGADO</v>
      </c>
      <c r="K89" t="str">
        <f>'RESUMEN TOTAL'!S92</f>
        <v>APAGADO</v>
      </c>
      <c r="L89" t="str">
        <f>'RESUMEN TOTAL'!T92</f>
        <v>APAGADO</v>
      </c>
      <c r="M89">
        <f>'RESUMEN TOTAL'!U92</f>
        <v>0</v>
      </c>
      <c r="N89">
        <f>'RESUMEN TOTAL'!V92</f>
        <v>0</v>
      </c>
      <c r="O89">
        <f>'RESUMEN TOTAL'!W92</f>
        <v>0</v>
      </c>
      <c r="P89">
        <f>'RESUMEN TOTAL'!X92</f>
        <v>0</v>
      </c>
      <c r="Q89">
        <f>'RESUMEN TOTAL'!Y92</f>
        <v>0</v>
      </c>
      <c r="R89">
        <f>'RESUMEN TOTAL'!Z92</f>
        <v>0</v>
      </c>
      <c r="S89">
        <f>'RESUMEN TOTAL'!AA92</f>
        <v>0</v>
      </c>
      <c r="T89">
        <f>'RESUMEN TOTAL'!AB92</f>
        <v>0</v>
      </c>
      <c r="U89">
        <f>'RESUMEN TOTAL'!AC92</f>
        <v>0</v>
      </c>
      <c r="V89">
        <f>'RESUMEN TOTAL'!AD92</f>
        <v>0</v>
      </c>
      <c r="W89">
        <f>'RESUMEN TOTAL'!AE92</f>
        <v>0</v>
      </c>
      <c r="X89">
        <f>'RESUMEN TOTAL'!AF92</f>
        <v>0</v>
      </c>
      <c r="Y89">
        <f>'RESUMEN TOTAL'!AG92</f>
        <v>0</v>
      </c>
      <c r="Z89">
        <f>'RESUMEN TOTAL'!AH92</f>
        <v>0</v>
      </c>
      <c r="AA89">
        <f>'RESUMEN TOTAL'!AI92</f>
        <v>0</v>
      </c>
      <c r="AB89">
        <f>'RESUMEN TOTAL'!AJ92</f>
        <v>0</v>
      </c>
      <c r="AC89">
        <f>'RESUMEN TOTAL'!AK92</f>
        <v>0</v>
      </c>
      <c r="AD89">
        <f>'RESUMEN TOTAL'!AL92</f>
        <v>0</v>
      </c>
      <c r="AE89">
        <f>'RESUMEN TOTAL'!AM92</f>
        <v>0</v>
      </c>
      <c r="AF89">
        <f>'RESUMEN TOTAL'!AN92</f>
        <v>0</v>
      </c>
      <c r="AG89">
        <f>'RESUMEN TOTAL'!AO92</f>
        <v>0</v>
      </c>
    </row>
    <row r="90" spans="1:33" x14ac:dyDescent="0.25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TOTAL'!N93</f>
        <v>0</v>
      </c>
      <c r="G90">
        <f>'RESUMEN TOTAL'!O93</f>
        <v>0</v>
      </c>
      <c r="H90">
        <f>'RESUMEN TOTAL'!P93</f>
        <v>0</v>
      </c>
      <c r="I90">
        <f>'RESUMEN TOTAL'!Q93</f>
        <v>0</v>
      </c>
      <c r="J90">
        <f>'RESUMEN TOTAL'!R93</f>
        <v>0</v>
      </c>
      <c r="K90">
        <f>'RESUMEN TOTAL'!S93</f>
        <v>0</v>
      </c>
      <c r="L90">
        <f>'RESUMEN TOTAL'!T93</f>
        <v>0</v>
      </c>
      <c r="M90">
        <f>'RESUMEN TOTAL'!U93</f>
        <v>0</v>
      </c>
      <c r="N90">
        <f>'RESUMEN TOTAL'!V93</f>
        <v>0</v>
      </c>
      <c r="O90">
        <f>'RESUMEN TOTAL'!W93</f>
        <v>0</v>
      </c>
      <c r="P90">
        <f>'RESUMEN TOTAL'!X93</f>
        <v>0</v>
      </c>
      <c r="Q90">
        <f>'RESUMEN TOTAL'!Y93</f>
        <v>0</v>
      </c>
      <c r="R90">
        <f>'RESUMEN TOTAL'!Z93</f>
        <v>0</v>
      </c>
      <c r="S90">
        <f>'RESUMEN TOTAL'!AA93</f>
        <v>0</v>
      </c>
      <c r="T90">
        <f>'RESUMEN TOTAL'!AB93</f>
        <v>0</v>
      </c>
      <c r="U90">
        <f>'RESUMEN TOTAL'!AC93</f>
        <v>0</v>
      </c>
      <c r="V90">
        <f>'RESUMEN TOTAL'!AD93</f>
        <v>0</v>
      </c>
      <c r="W90">
        <f>'RESUMEN TOTAL'!AE93</f>
        <v>0</v>
      </c>
      <c r="X90">
        <f>'RESUMEN TOTAL'!AF93</f>
        <v>0</v>
      </c>
      <c r="Y90">
        <f>'RESUMEN TOTAL'!AG93</f>
        <v>0</v>
      </c>
      <c r="Z90">
        <f>'RESUMEN TOTAL'!AH93</f>
        <v>0</v>
      </c>
      <c r="AA90">
        <f>'RESUMEN TOTAL'!AI93</f>
        <v>0</v>
      </c>
      <c r="AB90">
        <f>'RESUMEN TOTAL'!AJ93</f>
        <v>0</v>
      </c>
      <c r="AC90">
        <f>'RESUMEN TOTAL'!AK93</f>
        <v>0</v>
      </c>
      <c r="AD90">
        <f>'RESUMEN TOTAL'!AL93</f>
        <v>0</v>
      </c>
      <c r="AE90">
        <f>'RESUMEN TOTAL'!AM93</f>
        <v>0</v>
      </c>
      <c r="AF90">
        <f>'RESUMEN TOTAL'!AN93</f>
        <v>0</v>
      </c>
      <c r="AG90">
        <f>'RESUMEN TOTAL'!AO93</f>
        <v>0</v>
      </c>
    </row>
    <row r="91" spans="1:33" x14ac:dyDescent="0.25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TOTAL'!N94</f>
        <v>0</v>
      </c>
      <c r="G91">
        <f>'RESUMEN TOTAL'!O94</f>
        <v>0</v>
      </c>
      <c r="H91">
        <f>'RESUMEN TOTAL'!P94</f>
        <v>0</v>
      </c>
      <c r="I91">
        <f>'RESUMEN TOTAL'!Q94</f>
        <v>0</v>
      </c>
      <c r="J91">
        <f>'RESUMEN TOTAL'!R94</f>
        <v>0</v>
      </c>
      <c r="K91">
        <f>'RESUMEN TOTAL'!S94</f>
        <v>0</v>
      </c>
      <c r="L91">
        <f>'RESUMEN TOTAL'!T94</f>
        <v>0</v>
      </c>
      <c r="M91">
        <f>'RESUMEN TOTAL'!U94</f>
        <v>0</v>
      </c>
      <c r="N91">
        <f>'RESUMEN TOTAL'!V94</f>
        <v>0</v>
      </c>
      <c r="O91">
        <f>'RESUMEN TOTAL'!W94</f>
        <v>0</v>
      </c>
      <c r="P91">
        <f>'RESUMEN TOTAL'!X94</f>
        <v>0</v>
      </c>
      <c r="Q91">
        <f>'RESUMEN TOTAL'!Y94</f>
        <v>0</v>
      </c>
      <c r="R91">
        <f>'RESUMEN TOTAL'!Z94</f>
        <v>0</v>
      </c>
      <c r="S91">
        <f>'RESUMEN TOTAL'!AA94</f>
        <v>0</v>
      </c>
      <c r="T91">
        <f>'RESUMEN TOTAL'!AB94</f>
        <v>0</v>
      </c>
      <c r="U91">
        <f>'RESUMEN TOTAL'!AC94</f>
        <v>0</v>
      </c>
      <c r="V91">
        <f>'RESUMEN TOTAL'!AD94</f>
        <v>0</v>
      </c>
      <c r="W91">
        <f>'RESUMEN TOTAL'!AE94</f>
        <v>0</v>
      </c>
      <c r="X91">
        <f>'RESUMEN TOTAL'!AF94</f>
        <v>0</v>
      </c>
      <c r="Y91">
        <f>'RESUMEN TOTAL'!AG94</f>
        <v>0</v>
      </c>
      <c r="Z91">
        <f>'RESUMEN TOTAL'!AH94</f>
        <v>0</v>
      </c>
      <c r="AA91">
        <f>'RESUMEN TOTAL'!AI94</f>
        <v>0</v>
      </c>
      <c r="AB91">
        <f>'RESUMEN TOTAL'!AJ94</f>
        <v>0</v>
      </c>
      <c r="AC91">
        <f>'RESUMEN TOTAL'!AK94</f>
        <v>0</v>
      </c>
      <c r="AD91">
        <f>'RESUMEN TOTAL'!AL94</f>
        <v>0</v>
      </c>
      <c r="AE91">
        <f>'RESUMEN TOTAL'!AM94</f>
        <v>0</v>
      </c>
      <c r="AF91">
        <f>'RESUMEN TOTAL'!AN94</f>
        <v>0</v>
      </c>
      <c r="AG91">
        <f>'RESUMEN TOTAL'!AO94</f>
        <v>0</v>
      </c>
    </row>
    <row r="92" spans="1:33" x14ac:dyDescent="0.25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Fibra Optica</v>
      </c>
      <c r="F92">
        <f>'RESUMEN TOTAL'!N95</f>
        <v>0</v>
      </c>
      <c r="G92">
        <f>'RESUMEN TOTAL'!O95</f>
        <v>0</v>
      </c>
      <c r="H92">
        <f>'RESUMEN TOTAL'!P95</f>
        <v>0</v>
      </c>
      <c r="I92">
        <f>'RESUMEN TOTAL'!Q95</f>
        <v>0</v>
      </c>
      <c r="J92">
        <f>'RESUMEN TOTAL'!R95</f>
        <v>0</v>
      </c>
      <c r="K92">
        <f>'RESUMEN TOTAL'!S95</f>
        <v>0</v>
      </c>
      <c r="L92">
        <f>'RESUMEN TOTAL'!T95</f>
        <v>0</v>
      </c>
      <c r="M92">
        <f>'RESUMEN TOTAL'!U95</f>
        <v>0</v>
      </c>
      <c r="N92">
        <f>'RESUMEN TOTAL'!V95</f>
        <v>0</v>
      </c>
      <c r="O92">
        <f>'RESUMEN TOTAL'!W95</f>
        <v>0</v>
      </c>
      <c r="P92">
        <f>'RESUMEN TOTAL'!X95</f>
        <v>0</v>
      </c>
      <c r="Q92">
        <f>'RESUMEN TOTAL'!Y95</f>
        <v>0</v>
      </c>
      <c r="R92">
        <f>'RESUMEN TOTAL'!Z95</f>
        <v>0</v>
      </c>
      <c r="S92">
        <f>'RESUMEN TOTAL'!AA95</f>
        <v>0</v>
      </c>
      <c r="T92">
        <f>'RESUMEN TOTAL'!AB95</f>
        <v>0</v>
      </c>
      <c r="U92">
        <f>'RESUMEN TOTAL'!AC95</f>
        <v>0</v>
      </c>
      <c r="V92">
        <f>'RESUMEN TOTAL'!AD95</f>
        <v>0</v>
      </c>
      <c r="W92">
        <f>'RESUMEN TOTAL'!AE95</f>
        <v>0</v>
      </c>
      <c r="X92">
        <f>'RESUMEN TOTAL'!AF95</f>
        <v>0</v>
      </c>
      <c r="Y92">
        <f>'RESUMEN TOTAL'!AG95</f>
        <v>0</v>
      </c>
      <c r="Z92">
        <f>'RESUMEN TOTAL'!AH95</f>
        <v>0</v>
      </c>
      <c r="AA92">
        <f>'RESUMEN TOTAL'!AI95</f>
        <v>0</v>
      </c>
      <c r="AB92">
        <f>'RESUMEN TOTAL'!AJ95</f>
        <v>0</v>
      </c>
      <c r="AC92">
        <f>'RESUMEN TOTAL'!AK95</f>
        <v>0</v>
      </c>
      <c r="AD92">
        <f>'RESUMEN TOTAL'!AL95</f>
        <v>0</v>
      </c>
      <c r="AE92">
        <f>'RESUMEN TOTAL'!AM95</f>
        <v>0</v>
      </c>
      <c r="AF92">
        <f>'RESUMEN TOTAL'!AN95</f>
        <v>0</v>
      </c>
      <c r="AG92">
        <f>'RESUMEN TOTAL'!AO95</f>
        <v>0</v>
      </c>
    </row>
    <row r="93" spans="1:33" x14ac:dyDescent="0.25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TOTAL'!N96</f>
        <v>0</v>
      </c>
      <c r="G93">
        <f>'RESUMEN TOTAL'!O96</f>
        <v>0</v>
      </c>
      <c r="H93">
        <f>'RESUMEN TOTAL'!P96</f>
        <v>0</v>
      </c>
      <c r="I93">
        <f>'RESUMEN TOTAL'!Q96</f>
        <v>0</v>
      </c>
      <c r="J93">
        <f>'RESUMEN TOTAL'!R96</f>
        <v>0</v>
      </c>
      <c r="K93">
        <f>'RESUMEN TOTAL'!S96</f>
        <v>0</v>
      </c>
      <c r="L93">
        <f>'RESUMEN TOTAL'!T96</f>
        <v>0</v>
      </c>
      <c r="M93">
        <f>'RESUMEN TOTAL'!U96</f>
        <v>0</v>
      </c>
      <c r="N93">
        <f>'RESUMEN TOTAL'!V96</f>
        <v>0</v>
      </c>
      <c r="O93">
        <f>'RESUMEN TOTAL'!W96</f>
        <v>0</v>
      </c>
      <c r="P93">
        <f>'RESUMEN TOTAL'!X96</f>
        <v>0</v>
      </c>
      <c r="Q93">
        <f>'RESUMEN TOTAL'!Y96</f>
        <v>0</v>
      </c>
      <c r="R93">
        <f>'RESUMEN TOTAL'!Z96</f>
        <v>0</v>
      </c>
      <c r="S93">
        <f>'RESUMEN TOTAL'!AA96</f>
        <v>0</v>
      </c>
      <c r="T93">
        <f>'RESUMEN TOTAL'!AB96</f>
        <v>0</v>
      </c>
      <c r="U93">
        <f>'RESUMEN TOTAL'!AC96</f>
        <v>0</v>
      </c>
      <c r="V93">
        <f>'RESUMEN TOTAL'!AD96</f>
        <v>0</v>
      </c>
      <c r="W93">
        <f>'RESUMEN TOTAL'!AE96</f>
        <v>0</v>
      </c>
      <c r="X93">
        <f>'RESUMEN TOTAL'!AF96</f>
        <v>0</v>
      </c>
      <c r="Y93">
        <f>'RESUMEN TOTAL'!AG96</f>
        <v>0</v>
      </c>
      <c r="Z93">
        <f>'RESUMEN TOTAL'!AH96</f>
        <v>0</v>
      </c>
      <c r="AA93">
        <f>'RESUMEN TOTAL'!AI96</f>
        <v>0</v>
      </c>
      <c r="AB93">
        <f>'RESUMEN TOTAL'!AJ96</f>
        <v>0</v>
      </c>
      <c r="AC93">
        <f>'RESUMEN TOTAL'!AK96</f>
        <v>0</v>
      </c>
      <c r="AD93">
        <f>'RESUMEN TOTAL'!AL96</f>
        <v>0</v>
      </c>
      <c r="AE93">
        <f>'RESUMEN TOTAL'!AM96</f>
        <v>0</v>
      </c>
      <c r="AF93">
        <f>'RESUMEN TOTAL'!AN96</f>
        <v>0</v>
      </c>
      <c r="AG93">
        <f>'RESUMEN TOTAL'!AO96</f>
        <v>0</v>
      </c>
    </row>
    <row r="94" spans="1:33" x14ac:dyDescent="0.25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TOTAL'!N97</f>
        <v>0</v>
      </c>
      <c r="G94">
        <f>'RESUMEN TOTAL'!O97</f>
        <v>0</v>
      </c>
      <c r="H94">
        <f>'RESUMEN TOTAL'!P97</f>
        <v>0</v>
      </c>
      <c r="I94">
        <f>'RESUMEN TOTAL'!Q97</f>
        <v>0</v>
      </c>
      <c r="J94">
        <f>'RESUMEN TOTAL'!R97</f>
        <v>0</v>
      </c>
      <c r="K94">
        <f>'RESUMEN TOTAL'!S97</f>
        <v>0</v>
      </c>
      <c r="L94" t="str">
        <f>'RESUMEN TOTAL'!T97</f>
        <v>APAGADO</v>
      </c>
      <c r="M94">
        <f>'RESUMEN TOTAL'!U97</f>
        <v>0</v>
      </c>
      <c r="N94">
        <f>'RESUMEN TOTAL'!V97</f>
        <v>0</v>
      </c>
      <c r="O94">
        <f>'RESUMEN TOTAL'!W97</f>
        <v>0</v>
      </c>
      <c r="P94">
        <f>'RESUMEN TOTAL'!X97</f>
        <v>0</v>
      </c>
      <c r="Q94">
        <f>'RESUMEN TOTAL'!Y97</f>
        <v>0</v>
      </c>
      <c r="R94">
        <f>'RESUMEN TOTAL'!Z97</f>
        <v>0</v>
      </c>
      <c r="S94">
        <f>'RESUMEN TOTAL'!AA97</f>
        <v>0</v>
      </c>
      <c r="T94">
        <f>'RESUMEN TOTAL'!AB97</f>
        <v>0</v>
      </c>
      <c r="U94">
        <f>'RESUMEN TOTAL'!AC97</f>
        <v>0</v>
      </c>
      <c r="V94">
        <f>'RESUMEN TOTAL'!AD97</f>
        <v>0</v>
      </c>
      <c r="W94">
        <f>'RESUMEN TOTAL'!AE97</f>
        <v>0</v>
      </c>
      <c r="X94">
        <f>'RESUMEN TOTAL'!AF97</f>
        <v>0</v>
      </c>
      <c r="Y94">
        <f>'RESUMEN TOTAL'!AG97</f>
        <v>0</v>
      </c>
      <c r="Z94">
        <f>'RESUMEN TOTAL'!AH97</f>
        <v>0</v>
      </c>
      <c r="AA94">
        <f>'RESUMEN TOTAL'!AI97</f>
        <v>0</v>
      </c>
      <c r="AB94">
        <f>'RESUMEN TOTAL'!AJ97</f>
        <v>0</v>
      </c>
      <c r="AC94">
        <f>'RESUMEN TOTAL'!AK97</f>
        <v>0</v>
      </c>
      <c r="AD94">
        <f>'RESUMEN TOTAL'!AL97</f>
        <v>0</v>
      </c>
      <c r="AE94">
        <f>'RESUMEN TOTAL'!AM97</f>
        <v>0</v>
      </c>
      <c r="AF94">
        <f>'RESUMEN TOTAL'!AN97</f>
        <v>0</v>
      </c>
      <c r="AG94">
        <f>'RESUMEN TOTAL'!AO97</f>
        <v>0</v>
      </c>
    </row>
    <row r="95" spans="1:33" x14ac:dyDescent="0.25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TOTAL'!N98</f>
        <v>0</v>
      </c>
      <c r="G95">
        <f>'RESUMEN TOTAL'!O98</f>
        <v>0</v>
      </c>
      <c r="H95">
        <f>'RESUMEN TOTAL'!P98</f>
        <v>0</v>
      </c>
      <c r="I95">
        <f>'RESUMEN TOTAL'!Q98</f>
        <v>0</v>
      </c>
      <c r="J95">
        <f>'RESUMEN TOTAL'!R98</f>
        <v>0</v>
      </c>
      <c r="K95">
        <f>'RESUMEN TOTAL'!S98</f>
        <v>0</v>
      </c>
      <c r="L95">
        <f>'RESUMEN TOTAL'!T98</f>
        <v>0</v>
      </c>
      <c r="M95">
        <f>'RESUMEN TOTAL'!U98</f>
        <v>0</v>
      </c>
      <c r="N95">
        <f>'RESUMEN TOTAL'!V98</f>
        <v>0</v>
      </c>
      <c r="O95">
        <f>'RESUMEN TOTAL'!W98</f>
        <v>0</v>
      </c>
      <c r="P95">
        <f>'RESUMEN TOTAL'!X98</f>
        <v>0</v>
      </c>
      <c r="Q95">
        <f>'RESUMEN TOTAL'!Y98</f>
        <v>0</v>
      </c>
      <c r="R95">
        <f>'RESUMEN TOTAL'!Z98</f>
        <v>0</v>
      </c>
      <c r="S95">
        <f>'RESUMEN TOTAL'!AA98</f>
        <v>0</v>
      </c>
      <c r="T95">
        <f>'RESUMEN TOTAL'!AB98</f>
        <v>0</v>
      </c>
      <c r="U95">
        <f>'RESUMEN TOTAL'!AC98</f>
        <v>0</v>
      </c>
      <c r="V95">
        <f>'RESUMEN TOTAL'!AD98</f>
        <v>0</v>
      </c>
      <c r="W95">
        <f>'RESUMEN TOTAL'!AE98</f>
        <v>0</v>
      </c>
      <c r="X95">
        <f>'RESUMEN TOTAL'!AF98</f>
        <v>0</v>
      </c>
      <c r="Y95">
        <f>'RESUMEN TOTAL'!AG98</f>
        <v>0</v>
      </c>
      <c r="Z95">
        <f>'RESUMEN TOTAL'!AH98</f>
        <v>0</v>
      </c>
      <c r="AA95">
        <f>'RESUMEN TOTAL'!AI98</f>
        <v>0</v>
      </c>
      <c r="AB95">
        <f>'RESUMEN TOTAL'!AJ98</f>
        <v>0</v>
      </c>
      <c r="AC95">
        <f>'RESUMEN TOTAL'!AK98</f>
        <v>0</v>
      </c>
      <c r="AD95">
        <f>'RESUMEN TOTAL'!AL98</f>
        <v>0</v>
      </c>
      <c r="AE95">
        <f>'RESUMEN TOTAL'!AM98</f>
        <v>0</v>
      </c>
      <c r="AF95">
        <f>'RESUMEN TOTAL'!AN98</f>
        <v>0</v>
      </c>
      <c r="AG95">
        <f>'RESUMEN TOTAL'!AO98</f>
        <v>0</v>
      </c>
    </row>
    <row r="96" spans="1:33" x14ac:dyDescent="0.25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TOTAL'!N99</f>
        <v>0</v>
      </c>
      <c r="G96">
        <f>'RESUMEN TOTAL'!O99</f>
        <v>0</v>
      </c>
      <c r="H96">
        <f>'RESUMEN TOTAL'!P99</f>
        <v>0</v>
      </c>
      <c r="I96">
        <f>'RESUMEN TOTAL'!Q99</f>
        <v>0</v>
      </c>
      <c r="J96">
        <f>'RESUMEN TOTAL'!R99</f>
        <v>0</v>
      </c>
      <c r="K96">
        <f>'RESUMEN TOTAL'!S99</f>
        <v>0</v>
      </c>
      <c r="L96">
        <f>'RESUMEN TOTAL'!T99</f>
        <v>0</v>
      </c>
      <c r="M96">
        <f>'RESUMEN TOTAL'!U99</f>
        <v>0</v>
      </c>
      <c r="N96">
        <f>'RESUMEN TOTAL'!V99</f>
        <v>0</v>
      </c>
      <c r="O96">
        <f>'RESUMEN TOTAL'!W99</f>
        <v>0</v>
      </c>
      <c r="P96">
        <f>'RESUMEN TOTAL'!X99</f>
        <v>0</v>
      </c>
      <c r="Q96">
        <f>'RESUMEN TOTAL'!Y99</f>
        <v>0</v>
      </c>
      <c r="R96">
        <f>'RESUMEN TOTAL'!Z99</f>
        <v>0</v>
      </c>
      <c r="S96">
        <f>'RESUMEN TOTAL'!AA99</f>
        <v>0</v>
      </c>
      <c r="T96">
        <f>'RESUMEN TOTAL'!AB99</f>
        <v>0</v>
      </c>
      <c r="U96">
        <f>'RESUMEN TOTAL'!AC99</f>
        <v>0</v>
      </c>
      <c r="V96">
        <f>'RESUMEN TOTAL'!AD99</f>
        <v>0</v>
      </c>
      <c r="W96">
        <f>'RESUMEN TOTAL'!AE99</f>
        <v>0</v>
      </c>
      <c r="X96">
        <f>'RESUMEN TOTAL'!AF99</f>
        <v>0</v>
      </c>
      <c r="Y96">
        <f>'RESUMEN TOTAL'!AG99</f>
        <v>0</v>
      </c>
      <c r="Z96">
        <f>'RESUMEN TOTAL'!AH99</f>
        <v>0</v>
      </c>
      <c r="AA96">
        <f>'RESUMEN TOTAL'!AI99</f>
        <v>0</v>
      </c>
      <c r="AB96">
        <f>'RESUMEN TOTAL'!AJ99</f>
        <v>0</v>
      </c>
      <c r="AC96">
        <f>'RESUMEN TOTAL'!AK99</f>
        <v>0</v>
      </c>
      <c r="AD96">
        <f>'RESUMEN TOTAL'!AL99</f>
        <v>0</v>
      </c>
      <c r="AE96">
        <f>'RESUMEN TOTAL'!AM99</f>
        <v>0</v>
      </c>
      <c r="AF96">
        <f>'RESUMEN TOTAL'!AN99</f>
        <v>0</v>
      </c>
      <c r="AG96">
        <f>'RESUMEN TOTAL'!AO99</f>
        <v>0</v>
      </c>
    </row>
    <row r="97" spans="1:33" x14ac:dyDescent="0.25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TOTAL'!N100</f>
        <v>0</v>
      </c>
      <c r="G97">
        <f>'RESUMEN TOTAL'!O100</f>
        <v>0</v>
      </c>
      <c r="H97">
        <f>'RESUMEN TOTAL'!P100</f>
        <v>0</v>
      </c>
      <c r="I97">
        <f>'RESUMEN TOTAL'!Q100</f>
        <v>0</v>
      </c>
      <c r="J97">
        <f>'RESUMEN TOTAL'!R100</f>
        <v>0</v>
      </c>
      <c r="K97">
        <f>'RESUMEN TOTAL'!S100</f>
        <v>0</v>
      </c>
      <c r="L97">
        <f>'RESUMEN TOTAL'!T100</f>
        <v>0</v>
      </c>
      <c r="M97">
        <f>'RESUMEN TOTAL'!U100</f>
        <v>0</v>
      </c>
      <c r="N97">
        <f>'RESUMEN TOTAL'!V100</f>
        <v>0</v>
      </c>
      <c r="O97">
        <f>'RESUMEN TOTAL'!W100</f>
        <v>0</v>
      </c>
      <c r="P97">
        <f>'RESUMEN TOTAL'!X100</f>
        <v>0</v>
      </c>
      <c r="Q97">
        <f>'RESUMEN TOTAL'!Y100</f>
        <v>0</v>
      </c>
      <c r="R97">
        <f>'RESUMEN TOTAL'!Z100</f>
        <v>0</v>
      </c>
      <c r="S97">
        <f>'RESUMEN TOTAL'!AA100</f>
        <v>0</v>
      </c>
      <c r="T97">
        <f>'RESUMEN TOTAL'!AB100</f>
        <v>0</v>
      </c>
      <c r="U97">
        <f>'RESUMEN TOTAL'!AC100</f>
        <v>0</v>
      </c>
      <c r="V97">
        <f>'RESUMEN TOTAL'!AD100</f>
        <v>0</v>
      </c>
      <c r="W97">
        <f>'RESUMEN TOTAL'!AE100</f>
        <v>0</v>
      </c>
      <c r="X97">
        <f>'RESUMEN TOTAL'!AF100</f>
        <v>0</v>
      </c>
      <c r="Y97">
        <f>'RESUMEN TOTAL'!AG100</f>
        <v>0</v>
      </c>
      <c r="Z97">
        <f>'RESUMEN TOTAL'!AH100</f>
        <v>0</v>
      </c>
      <c r="AA97">
        <f>'RESUMEN TOTAL'!AI100</f>
        <v>0</v>
      </c>
      <c r="AB97">
        <f>'RESUMEN TOTAL'!AJ100</f>
        <v>0</v>
      </c>
      <c r="AC97">
        <f>'RESUMEN TOTAL'!AK100</f>
        <v>0</v>
      </c>
      <c r="AD97">
        <f>'RESUMEN TOTAL'!AL100</f>
        <v>0</v>
      </c>
      <c r="AE97">
        <f>'RESUMEN TOTAL'!AM100</f>
        <v>0</v>
      </c>
      <c r="AF97">
        <f>'RESUMEN TOTAL'!AN100</f>
        <v>0</v>
      </c>
      <c r="AG97">
        <f>'RESUMEN TOTAL'!AO100</f>
        <v>0</v>
      </c>
    </row>
    <row r="98" spans="1:33" x14ac:dyDescent="0.25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TOTAL'!N101</f>
        <v>0</v>
      </c>
      <c r="G98">
        <f>'RESUMEN TOTAL'!O101</f>
        <v>0</v>
      </c>
      <c r="H98">
        <f>'RESUMEN TOTAL'!P101</f>
        <v>0</v>
      </c>
      <c r="I98">
        <f>'RESUMEN TOTAL'!Q101</f>
        <v>0</v>
      </c>
      <c r="J98">
        <f>'RESUMEN TOTAL'!R101</f>
        <v>0</v>
      </c>
      <c r="K98">
        <f>'RESUMEN TOTAL'!S101</f>
        <v>0</v>
      </c>
      <c r="L98">
        <f>'RESUMEN TOTAL'!T101</f>
        <v>0</v>
      </c>
      <c r="M98">
        <f>'RESUMEN TOTAL'!U101</f>
        <v>0</v>
      </c>
      <c r="N98">
        <f>'RESUMEN TOTAL'!V101</f>
        <v>0</v>
      </c>
      <c r="O98">
        <f>'RESUMEN TOTAL'!W101</f>
        <v>0</v>
      </c>
      <c r="P98">
        <f>'RESUMEN TOTAL'!X101</f>
        <v>0</v>
      </c>
      <c r="Q98">
        <f>'RESUMEN TOTAL'!Y101</f>
        <v>0</v>
      </c>
      <c r="R98">
        <f>'RESUMEN TOTAL'!Z101</f>
        <v>0</v>
      </c>
      <c r="S98">
        <f>'RESUMEN TOTAL'!AA101</f>
        <v>0</v>
      </c>
      <c r="T98">
        <f>'RESUMEN TOTAL'!AB101</f>
        <v>0</v>
      </c>
      <c r="U98">
        <f>'RESUMEN TOTAL'!AC101</f>
        <v>0</v>
      </c>
      <c r="V98">
        <f>'RESUMEN TOTAL'!AD101</f>
        <v>0</v>
      </c>
      <c r="W98">
        <f>'RESUMEN TOTAL'!AE101</f>
        <v>0</v>
      </c>
      <c r="X98">
        <f>'RESUMEN TOTAL'!AF101</f>
        <v>0</v>
      </c>
      <c r="Y98">
        <f>'RESUMEN TOTAL'!AG101</f>
        <v>0</v>
      </c>
      <c r="Z98">
        <f>'RESUMEN TOTAL'!AH101</f>
        <v>0</v>
      </c>
      <c r="AA98">
        <f>'RESUMEN TOTAL'!AI101</f>
        <v>0</v>
      </c>
      <c r="AB98">
        <f>'RESUMEN TOTAL'!AJ101</f>
        <v>0</v>
      </c>
      <c r="AC98">
        <f>'RESUMEN TOTAL'!AK101</f>
        <v>0</v>
      </c>
      <c r="AD98">
        <f>'RESUMEN TOTAL'!AL101</f>
        <v>0</v>
      </c>
      <c r="AE98">
        <f>'RESUMEN TOTAL'!AM101</f>
        <v>0</v>
      </c>
      <c r="AF98">
        <f>'RESUMEN TOTAL'!AN101</f>
        <v>0</v>
      </c>
      <c r="AG98">
        <f>'RESUMEN TOTAL'!AO101</f>
        <v>0</v>
      </c>
    </row>
    <row r="99" spans="1:33" x14ac:dyDescent="0.25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>
        <f>'RESUMEN TOTAL'!N102</f>
        <v>0</v>
      </c>
      <c r="G99">
        <f>'RESUMEN TOTAL'!O102</f>
        <v>0</v>
      </c>
      <c r="H99">
        <f>'RESUMEN TOTAL'!P102</f>
        <v>0</v>
      </c>
      <c r="I99">
        <f>'RESUMEN TOTAL'!Q102</f>
        <v>0</v>
      </c>
      <c r="J99">
        <f>'RESUMEN TOTAL'!R102</f>
        <v>0</v>
      </c>
      <c r="K99">
        <f>'RESUMEN TOTAL'!S102</f>
        <v>0</v>
      </c>
      <c r="L99" t="str">
        <f>'RESUMEN TOTAL'!T102</f>
        <v>APAGADO</v>
      </c>
      <c r="M99">
        <f>'RESUMEN TOTAL'!U102</f>
        <v>0</v>
      </c>
      <c r="N99">
        <f>'RESUMEN TOTAL'!V102</f>
        <v>0</v>
      </c>
      <c r="O99">
        <f>'RESUMEN TOTAL'!W102</f>
        <v>0</v>
      </c>
      <c r="P99">
        <f>'RESUMEN TOTAL'!X102</f>
        <v>0</v>
      </c>
      <c r="Q99">
        <f>'RESUMEN TOTAL'!Y102</f>
        <v>0</v>
      </c>
      <c r="R99">
        <f>'RESUMEN TOTAL'!Z102</f>
        <v>0</v>
      </c>
      <c r="S99">
        <f>'RESUMEN TOTAL'!AA102</f>
        <v>0</v>
      </c>
      <c r="T99">
        <f>'RESUMEN TOTAL'!AB102</f>
        <v>0</v>
      </c>
      <c r="U99">
        <f>'RESUMEN TOTAL'!AC102</f>
        <v>0</v>
      </c>
      <c r="V99">
        <f>'RESUMEN TOTAL'!AD102</f>
        <v>0</v>
      </c>
      <c r="W99">
        <f>'RESUMEN TOTAL'!AE102</f>
        <v>0</v>
      </c>
      <c r="X99">
        <f>'RESUMEN TOTAL'!AF102</f>
        <v>0</v>
      </c>
      <c r="Y99">
        <f>'RESUMEN TOTAL'!AG102</f>
        <v>0</v>
      </c>
      <c r="Z99">
        <f>'RESUMEN TOTAL'!AH102</f>
        <v>0</v>
      </c>
      <c r="AA99">
        <f>'RESUMEN TOTAL'!AI102</f>
        <v>0</v>
      </c>
      <c r="AB99">
        <f>'RESUMEN TOTAL'!AJ102</f>
        <v>0</v>
      </c>
      <c r="AC99">
        <f>'RESUMEN TOTAL'!AK102</f>
        <v>0</v>
      </c>
      <c r="AD99">
        <f>'RESUMEN TOTAL'!AL102</f>
        <v>0</v>
      </c>
      <c r="AE99">
        <f>'RESUMEN TOTAL'!AM102</f>
        <v>0</v>
      </c>
      <c r="AF99">
        <f>'RESUMEN TOTAL'!AN102</f>
        <v>0</v>
      </c>
      <c r="AG99">
        <f>'RESUMEN TOTAL'!AO102</f>
        <v>0</v>
      </c>
    </row>
    <row r="100" spans="1:33" x14ac:dyDescent="0.25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TOTAL'!N103</f>
        <v>0</v>
      </c>
      <c r="G100">
        <f>'RESUMEN TOTAL'!O103</f>
        <v>0</v>
      </c>
      <c r="H100">
        <f>'RESUMEN TOTAL'!P103</f>
        <v>0</v>
      </c>
      <c r="I100">
        <f>'RESUMEN TOTAL'!Q103</f>
        <v>0</v>
      </c>
      <c r="J100">
        <f>'RESUMEN TOTAL'!R103</f>
        <v>0</v>
      </c>
      <c r="K100">
        <f>'RESUMEN TOTAL'!S103</f>
        <v>0</v>
      </c>
      <c r="L100">
        <f>'RESUMEN TOTAL'!T103</f>
        <v>0</v>
      </c>
      <c r="M100">
        <f>'RESUMEN TOTAL'!U103</f>
        <v>0</v>
      </c>
      <c r="N100">
        <f>'RESUMEN TOTAL'!V103</f>
        <v>0</v>
      </c>
      <c r="O100">
        <f>'RESUMEN TOTAL'!W103</f>
        <v>0</v>
      </c>
      <c r="P100">
        <f>'RESUMEN TOTAL'!X103</f>
        <v>0</v>
      </c>
      <c r="Q100">
        <f>'RESUMEN TOTAL'!Y103</f>
        <v>0</v>
      </c>
      <c r="R100">
        <f>'RESUMEN TOTAL'!Z103</f>
        <v>0</v>
      </c>
      <c r="S100">
        <f>'RESUMEN TOTAL'!AA103</f>
        <v>0</v>
      </c>
      <c r="T100">
        <f>'RESUMEN TOTAL'!AB103</f>
        <v>0</v>
      </c>
      <c r="U100">
        <f>'RESUMEN TOTAL'!AC103</f>
        <v>0</v>
      </c>
      <c r="V100">
        <f>'RESUMEN TOTAL'!AD103</f>
        <v>0</v>
      </c>
      <c r="W100">
        <f>'RESUMEN TOTAL'!AE103</f>
        <v>0</v>
      </c>
      <c r="X100">
        <f>'RESUMEN TOTAL'!AF103</f>
        <v>0</v>
      </c>
      <c r="Y100">
        <f>'RESUMEN TOTAL'!AG103</f>
        <v>0</v>
      </c>
      <c r="Z100">
        <f>'RESUMEN TOTAL'!AH103</f>
        <v>0</v>
      </c>
      <c r="AA100">
        <f>'RESUMEN TOTAL'!AI103</f>
        <v>0</v>
      </c>
      <c r="AB100">
        <f>'RESUMEN TOTAL'!AJ103</f>
        <v>0</v>
      </c>
      <c r="AC100">
        <f>'RESUMEN TOTAL'!AK103</f>
        <v>0</v>
      </c>
      <c r="AD100">
        <f>'RESUMEN TOTAL'!AL103</f>
        <v>0</v>
      </c>
      <c r="AE100">
        <f>'RESUMEN TOTAL'!AM103</f>
        <v>0</v>
      </c>
      <c r="AF100">
        <f>'RESUMEN TOTAL'!AN103</f>
        <v>0</v>
      </c>
      <c r="AG100">
        <f>'RESUMEN TOTAL'!AO103</f>
        <v>0</v>
      </c>
    </row>
    <row r="101" spans="1:33" x14ac:dyDescent="0.25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PTP A FO</v>
      </c>
      <c r="F101">
        <f>'RESUMEN TOTAL'!N104</f>
        <v>0</v>
      </c>
      <c r="G101">
        <f>'RESUMEN TOTAL'!O104</f>
        <v>0</v>
      </c>
      <c r="H101">
        <f>'RESUMEN TOTAL'!P104</f>
        <v>0</v>
      </c>
      <c r="I101">
        <f>'RESUMEN TOTAL'!Q104</f>
        <v>0</v>
      </c>
      <c r="J101">
        <f>'RESUMEN TOTAL'!R104</f>
        <v>0</v>
      </c>
      <c r="K101">
        <f>'RESUMEN TOTAL'!S104</f>
        <v>0</v>
      </c>
      <c r="L101">
        <f>'RESUMEN TOTAL'!T104</f>
        <v>0</v>
      </c>
      <c r="M101">
        <f>'RESUMEN TOTAL'!U104</f>
        <v>0</v>
      </c>
      <c r="N101">
        <f>'RESUMEN TOTAL'!V104</f>
        <v>0</v>
      </c>
      <c r="O101">
        <f>'RESUMEN TOTAL'!W104</f>
        <v>0</v>
      </c>
      <c r="P101">
        <f>'RESUMEN TOTAL'!X104</f>
        <v>0</v>
      </c>
      <c r="Q101">
        <f>'RESUMEN TOTAL'!Y104</f>
        <v>0</v>
      </c>
      <c r="R101">
        <f>'RESUMEN TOTAL'!Z104</f>
        <v>0</v>
      </c>
      <c r="S101">
        <f>'RESUMEN TOTAL'!AA104</f>
        <v>0</v>
      </c>
      <c r="T101">
        <f>'RESUMEN TOTAL'!AB104</f>
        <v>0</v>
      </c>
      <c r="U101">
        <f>'RESUMEN TOTAL'!AC104</f>
        <v>0</v>
      </c>
      <c r="V101">
        <f>'RESUMEN TOTAL'!AD104</f>
        <v>0</v>
      </c>
      <c r="W101">
        <f>'RESUMEN TOTAL'!AE104</f>
        <v>0</v>
      </c>
      <c r="X101">
        <f>'RESUMEN TOTAL'!AF104</f>
        <v>0</v>
      </c>
      <c r="Y101">
        <f>'RESUMEN TOTAL'!AG104</f>
        <v>0</v>
      </c>
      <c r="Z101">
        <f>'RESUMEN TOTAL'!AH104</f>
        <v>0</v>
      </c>
      <c r="AA101">
        <f>'RESUMEN TOTAL'!AI104</f>
        <v>0</v>
      </c>
      <c r="AB101">
        <f>'RESUMEN TOTAL'!AJ104</f>
        <v>0</v>
      </c>
      <c r="AC101">
        <f>'RESUMEN TOTAL'!AK104</f>
        <v>0</v>
      </c>
      <c r="AD101">
        <f>'RESUMEN TOTAL'!AL104</f>
        <v>0</v>
      </c>
      <c r="AE101">
        <f>'RESUMEN TOTAL'!AM104</f>
        <v>0</v>
      </c>
      <c r="AF101">
        <f>'RESUMEN TOTAL'!AN104</f>
        <v>0</v>
      </c>
      <c r="AG101">
        <f>'RESUMEN TOTAL'!AO104</f>
        <v>0</v>
      </c>
    </row>
    <row r="102" spans="1:33" x14ac:dyDescent="0.25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PTP A FO</v>
      </c>
      <c r="F102">
        <f>'RESUMEN TOTAL'!N105</f>
        <v>0</v>
      </c>
      <c r="G102">
        <f>'RESUMEN TOTAL'!O105</f>
        <v>0</v>
      </c>
      <c r="H102">
        <f>'RESUMEN TOTAL'!P105</f>
        <v>0</v>
      </c>
      <c r="I102">
        <f>'RESUMEN TOTAL'!Q105</f>
        <v>0</v>
      </c>
      <c r="J102">
        <f>'RESUMEN TOTAL'!R105</f>
        <v>0</v>
      </c>
      <c r="K102">
        <f>'RESUMEN TOTAL'!S105</f>
        <v>0</v>
      </c>
      <c r="L102">
        <f>'RESUMEN TOTAL'!T105</f>
        <v>0</v>
      </c>
      <c r="M102">
        <f>'RESUMEN TOTAL'!U105</f>
        <v>0</v>
      </c>
      <c r="N102">
        <f>'RESUMEN TOTAL'!V105</f>
        <v>0</v>
      </c>
      <c r="O102">
        <f>'RESUMEN TOTAL'!W105</f>
        <v>0</v>
      </c>
      <c r="P102">
        <f>'RESUMEN TOTAL'!X105</f>
        <v>0</v>
      </c>
      <c r="Q102">
        <f>'RESUMEN TOTAL'!Y105</f>
        <v>0</v>
      </c>
      <c r="R102">
        <f>'RESUMEN TOTAL'!Z105</f>
        <v>0</v>
      </c>
      <c r="S102">
        <f>'RESUMEN TOTAL'!AA105</f>
        <v>0</v>
      </c>
      <c r="T102">
        <f>'RESUMEN TOTAL'!AB105</f>
        <v>0</v>
      </c>
      <c r="U102">
        <f>'RESUMEN TOTAL'!AC105</f>
        <v>0</v>
      </c>
      <c r="V102">
        <f>'RESUMEN TOTAL'!AD105</f>
        <v>0</v>
      </c>
      <c r="W102">
        <f>'RESUMEN TOTAL'!AE105</f>
        <v>0</v>
      </c>
      <c r="X102">
        <f>'RESUMEN TOTAL'!AF105</f>
        <v>0</v>
      </c>
      <c r="Y102">
        <f>'RESUMEN TOTAL'!AG105</f>
        <v>0</v>
      </c>
      <c r="Z102">
        <f>'RESUMEN TOTAL'!AH105</f>
        <v>0</v>
      </c>
      <c r="AA102">
        <f>'RESUMEN TOTAL'!AI105</f>
        <v>0</v>
      </c>
      <c r="AB102">
        <f>'RESUMEN TOTAL'!AJ105</f>
        <v>0</v>
      </c>
      <c r="AC102">
        <f>'RESUMEN TOTAL'!AK105</f>
        <v>0</v>
      </c>
      <c r="AD102">
        <f>'RESUMEN TOTAL'!AL105</f>
        <v>0</v>
      </c>
      <c r="AE102">
        <f>'RESUMEN TOTAL'!AM105</f>
        <v>0</v>
      </c>
      <c r="AF102">
        <f>'RESUMEN TOTAL'!AN105</f>
        <v>0</v>
      </c>
      <c r="AG102">
        <f>'RESUMEN TOTAL'!AO105</f>
        <v>0</v>
      </c>
    </row>
    <row r="103" spans="1:33" x14ac:dyDescent="0.25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TOTAL'!N106</f>
        <v>0</v>
      </c>
      <c r="G103" t="str">
        <f>'RESUMEN TOTAL'!O106</f>
        <v>APAGADO</v>
      </c>
      <c r="H103" t="str">
        <f>'RESUMEN TOTAL'!P106</f>
        <v>APAGADO</v>
      </c>
      <c r="I103">
        <f>'RESUMEN TOTAL'!Q106</f>
        <v>0</v>
      </c>
      <c r="J103">
        <f>'RESUMEN TOTAL'!R106</f>
        <v>0</v>
      </c>
      <c r="K103">
        <f>'RESUMEN TOTAL'!S106</f>
        <v>0</v>
      </c>
      <c r="L103">
        <f>'RESUMEN TOTAL'!T106</f>
        <v>0</v>
      </c>
      <c r="M103">
        <f>'RESUMEN TOTAL'!U106</f>
        <v>0</v>
      </c>
      <c r="N103">
        <f>'RESUMEN TOTAL'!V106</f>
        <v>0</v>
      </c>
      <c r="O103">
        <f>'RESUMEN TOTAL'!W106</f>
        <v>0</v>
      </c>
      <c r="P103">
        <f>'RESUMEN TOTAL'!X106</f>
        <v>0</v>
      </c>
      <c r="Q103">
        <f>'RESUMEN TOTAL'!Y106</f>
        <v>0</v>
      </c>
      <c r="R103">
        <f>'RESUMEN TOTAL'!Z106</f>
        <v>0</v>
      </c>
      <c r="S103">
        <f>'RESUMEN TOTAL'!AA106</f>
        <v>0</v>
      </c>
      <c r="T103">
        <f>'RESUMEN TOTAL'!AB106</f>
        <v>0</v>
      </c>
      <c r="U103">
        <f>'RESUMEN TOTAL'!AC106</f>
        <v>0</v>
      </c>
      <c r="V103">
        <f>'RESUMEN TOTAL'!AD106</f>
        <v>0</v>
      </c>
      <c r="W103">
        <f>'RESUMEN TOTAL'!AE106</f>
        <v>0</v>
      </c>
      <c r="X103">
        <f>'RESUMEN TOTAL'!AF106</f>
        <v>0</v>
      </c>
      <c r="Y103">
        <f>'RESUMEN TOTAL'!AG106</f>
        <v>0</v>
      </c>
      <c r="Z103">
        <f>'RESUMEN TOTAL'!AH106</f>
        <v>0</v>
      </c>
      <c r="AA103">
        <f>'RESUMEN TOTAL'!AI106</f>
        <v>0</v>
      </c>
      <c r="AB103">
        <f>'RESUMEN TOTAL'!AJ106</f>
        <v>0</v>
      </c>
      <c r="AC103">
        <f>'RESUMEN TOTAL'!AK106</f>
        <v>0</v>
      </c>
      <c r="AD103">
        <f>'RESUMEN TOTAL'!AL106</f>
        <v>0</v>
      </c>
      <c r="AE103">
        <f>'RESUMEN TOTAL'!AM106</f>
        <v>0</v>
      </c>
      <c r="AF103">
        <f>'RESUMEN TOTAL'!AN106</f>
        <v>0</v>
      </c>
      <c r="AG103">
        <f>'RESUMEN TOTAL'!AO106</f>
        <v>0</v>
      </c>
    </row>
    <row r="104" spans="1:33" x14ac:dyDescent="0.25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TOTAL'!N107</f>
        <v>0</v>
      </c>
      <c r="G104" t="str">
        <f>'RESUMEN TOTAL'!O107</f>
        <v>APAGADO</v>
      </c>
      <c r="H104" t="str">
        <f>'RESUMEN TOTAL'!P107</f>
        <v>APAGADO</v>
      </c>
      <c r="I104">
        <f>'RESUMEN TOTAL'!Q107</f>
        <v>0</v>
      </c>
      <c r="J104">
        <f>'RESUMEN TOTAL'!R107</f>
        <v>0</v>
      </c>
      <c r="K104">
        <f>'RESUMEN TOTAL'!S107</f>
        <v>0</v>
      </c>
      <c r="L104">
        <f>'RESUMEN TOTAL'!T107</f>
        <v>0</v>
      </c>
      <c r="M104">
        <f>'RESUMEN TOTAL'!U107</f>
        <v>0</v>
      </c>
      <c r="N104">
        <f>'RESUMEN TOTAL'!V107</f>
        <v>0</v>
      </c>
      <c r="O104">
        <f>'RESUMEN TOTAL'!W107</f>
        <v>0</v>
      </c>
      <c r="P104">
        <f>'RESUMEN TOTAL'!X107</f>
        <v>0</v>
      </c>
      <c r="Q104">
        <f>'RESUMEN TOTAL'!Y107</f>
        <v>0</v>
      </c>
      <c r="R104">
        <f>'RESUMEN TOTAL'!Z107</f>
        <v>0</v>
      </c>
      <c r="S104">
        <f>'RESUMEN TOTAL'!AA107</f>
        <v>0</v>
      </c>
      <c r="T104">
        <f>'RESUMEN TOTAL'!AB107</f>
        <v>0</v>
      </c>
      <c r="U104">
        <f>'RESUMEN TOTAL'!AC107</f>
        <v>0</v>
      </c>
      <c r="V104">
        <f>'RESUMEN TOTAL'!AD107</f>
        <v>0</v>
      </c>
      <c r="W104">
        <f>'RESUMEN TOTAL'!AE107</f>
        <v>0</v>
      </c>
      <c r="X104">
        <f>'RESUMEN TOTAL'!AF107</f>
        <v>0</v>
      </c>
      <c r="Y104">
        <f>'RESUMEN TOTAL'!AG107</f>
        <v>0</v>
      </c>
      <c r="Z104">
        <f>'RESUMEN TOTAL'!AH107</f>
        <v>0</v>
      </c>
      <c r="AA104">
        <f>'RESUMEN TOTAL'!AI107</f>
        <v>0</v>
      </c>
      <c r="AB104">
        <f>'RESUMEN TOTAL'!AJ107</f>
        <v>0</v>
      </c>
      <c r="AC104">
        <f>'RESUMEN TOTAL'!AK107</f>
        <v>0</v>
      </c>
      <c r="AD104">
        <f>'RESUMEN TOTAL'!AL107</f>
        <v>0</v>
      </c>
      <c r="AE104">
        <f>'RESUMEN TOTAL'!AM107</f>
        <v>0</v>
      </c>
      <c r="AF104">
        <f>'RESUMEN TOTAL'!AN107</f>
        <v>0</v>
      </c>
      <c r="AG104">
        <f>'RESUMEN TOTAL'!AO107</f>
        <v>0</v>
      </c>
    </row>
    <row r="105" spans="1:33" x14ac:dyDescent="0.25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TOTAL'!N108</f>
        <v>0</v>
      </c>
      <c r="G105" t="str">
        <f>'RESUMEN TOTAL'!O108</f>
        <v>APAGADO</v>
      </c>
      <c r="H105" t="str">
        <f>'RESUMEN TOTAL'!P108</f>
        <v>APAGADO</v>
      </c>
      <c r="I105">
        <f>'RESUMEN TOTAL'!Q108</f>
        <v>0</v>
      </c>
      <c r="J105">
        <f>'RESUMEN TOTAL'!R108</f>
        <v>0</v>
      </c>
      <c r="K105">
        <f>'RESUMEN TOTAL'!S108</f>
        <v>0</v>
      </c>
      <c r="L105">
        <f>'RESUMEN TOTAL'!T108</f>
        <v>0</v>
      </c>
      <c r="M105">
        <f>'RESUMEN TOTAL'!U108</f>
        <v>0</v>
      </c>
      <c r="N105">
        <f>'RESUMEN TOTAL'!V108</f>
        <v>0</v>
      </c>
      <c r="O105">
        <f>'RESUMEN TOTAL'!W108</f>
        <v>0</v>
      </c>
      <c r="P105">
        <f>'RESUMEN TOTAL'!X108</f>
        <v>0</v>
      </c>
      <c r="Q105">
        <f>'RESUMEN TOTAL'!Y108</f>
        <v>0</v>
      </c>
      <c r="R105">
        <f>'RESUMEN TOTAL'!Z108</f>
        <v>0</v>
      </c>
      <c r="S105">
        <f>'RESUMEN TOTAL'!AA108</f>
        <v>0</v>
      </c>
      <c r="T105">
        <f>'RESUMEN TOTAL'!AB108</f>
        <v>0</v>
      </c>
      <c r="U105">
        <f>'RESUMEN TOTAL'!AC108</f>
        <v>0</v>
      </c>
      <c r="V105">
        <f>'RESUMEN TOTAL'!AD108</f>
        <v>0</v>
      </c>
      <c r="W105">
        <f>'RESUMEN TOTAL'!AE108</f>
        <v>0</v>
      </c>
      <c r="X105">
        <f>'RESUMEN TOTAL'!AF108</f>
        <v>0</v>
      </c>
      <c r="Y105">
        <f>'RESUMEN TOTAL'!AG108</f>
        <v>0</v>
      </c>
      <c r="Z105">
        <f>'RESUMEN TOTAL'!AH108</f>
        <v>0</v>
      </c>
      <c r="AA105">
        <f>'RESUMEN TOTAL'!AI108</f>
        <v>0</v>
      </c>
      <c r="AB105">
        <f>'RESUMEN TOTAL'!AJ108</f>
        <v>0</v>
      </c>
      <c r="AC105">
        <f>'RESUMEN TOTAL'!AK108</f>
        <v>0</v>
      </c>
      <c r="AD105">
        <f>'RESUMEN TOTAL'!AL108</f>
        <v>0</v>
      </c>
      <c r="AE105">
        <f>'RESUMEN TOTAL'!AM108</f>
        <v>0</v>
      </c>
      <c r="AF105">
        <f>'RESUMEN TOTAL'!AN108</f>
        <v>0</v>
      </c>
      <c r="AG105">
        <f>'RESUMEN TOTAL'!AO108</f>
        <v>0</v>
      </c>
    </row>
    <row r="106" spans="1:33" x14ac:dyDescent="0.25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TOTAL'!N109</f>
        <v>0</v>
      </c>
      <c r="G106" t="str">
        <f>'RESUMEN TOTAL'!O109</f>
        <v>APAGADO</v>
      </c>
      <c r="H106" t="str">
        <f>'RESUMEN TOTAL'!P109</f>
        <v>APAGADO</v>
      </c>
      <c r="I106">
        <f>'RESUMEN TOTAL'!Q109</f>
        <v>0</v>
      </c>
      <c r="J106">
        <f>'RESUMEN TOTAL'!R109</f>
        <v>0</v>
      </c>
      <c r="K106">
        <f>'RESUMEN TOTAL'!S109</f>
        <v>0</v>
      </c>
      <c r="L106">
        <f>'RESUMEN TOTAL'!T109</f>
        <v>0</v>
      </c>
      <c r="M106">
        <f>'RESUMEN TOTAL'!U109</f>
        <v>0</v>
      </c>
      <c r="N106">
        <f>'RESUMEN TOTAL'!V109</f>
        <v>0</v>
      </c>
      <c r="O106">
        <f>'RESUMEN TOTAL'!W109</f>
        <v>0</v>
      </c>
      <c r="P106">
        <f>'RESUMEN TOTAL'!X109</f>
        <v>0</v>
      </c>
      <c r="Q106">
        <f>'RESUMEN TOTAL'!Y109</f>
        <v>0</v>
      </c>
      <c r="R106">
        <f>'RESUMEN TOTAL'!Z109</f>
        <v>0</v>
      </c>
      <c r="S106">
        <f>'RESUMEN TOTAL'!AA109</f>
        <v>0</v>
      </c>
      <c r="T106">
        <f>'RESUMEN TOTAL'!AB109</f>
        <v>0</v>
      </c>
      <c r="U106">
        <f>'RESUMEN TOTAL'!AC109</f>
        <v>0</v>
      </c>
      <c r="V106">
        <f>'RESUMEN TOTAL'!AD109</f>
        <v>0</v>
      </c>
      <c r="W106">
        <f>'RESUMEN TOTAL'!AE109</f>
        <v>0</v>
      </c>
      <c r="X106">
        <f>'RESUMEN TOTAL'!AF109</f>
        <v>0</v>
      </c>
      <c r="Y106">
        <f>'RESUMEN TOTAL'!AG109</f>
        <v>0</v>
      </c>
      <c r="Z106">
        <f>'RESUMEN TOTAL'!AH109</f>
        <v>0</v>
      </c>
      <c r="AA106">
        <f>'RESUMEN TOTAL'!AI109</f>
        <v>0</v>
      </c>
      <c r="AB106">
        <f>'RESUMEN TOTAL'!AJ109</f>
        <v>0</v>
      </c>
      <c r="AC106">
        <f>'RESUMEN TOTAL'!AK109</f>
        <v>0</v>
      </c>
      <c r="AD106">
        <f>'RESUMEN TOTAL'!AL109</f>
        <v>0</v>
      </c>
      <c r="AE106">
        <f>'RESUMEN TOTAL'!AM109</f>
        <v>0</v>
      </c>
      <c r="AF106">
        <f>'RESUMEN TOTAL'!AN109</f>
        <v>0</v>
      </c>
      <c r="AG106">
        <f>'RESUMEN TOTAL'!AO109</f>
        <v>0</v>
      </c>
    </row>
    <row r="107" spans="1:33" x14ac:dyDescent="0.25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PTP A FO</v>
      </c>
      <c r="F107">
        <f>'RESUMEN TOTAL'!N110</f>
        <v>0</v>
      </c>
      <c r="G107">
        <f>'RESUMEN TOTAL'!O110</f>
        <v>0</v>
      </c>
      <c r="H107">
        <f>'RESUMEN TOTAL'!P110</f>
        <v>0</v>
      </c>
      <c r="I107">
        <f>'RESUMEN TOTAL'!Q110</f>
        <v>0</v>
      </c>
      <c r="J107">
        <f>'RESUMEN TOTAL'!R110</f>
        <v>0</v>
      </c>
      <c r="K107">
        <f>'RESUMEN TOTAL'!S110</f>
        <v>0</v>
      </c>
      <c r="L107">
        <f>'RESUMEN TOTAL'!T110</f>
        <v>0</v>
      </c>
      <c r="M107">
        <f>'RESUMEN TOTAL'!U110</f>
        <v>0</v>
      </c>
      <c r="N107">
        <f>'RESUMEN TOTAL'!V110</f>
        <v>0</v>
      </c>
      <c r="O107">
        <f>'RESUMEN TOTAL'!W110</f>
        <v>0</v>
      </c>
      <c r="P107">
        <f>'RESUMEN TOTAL'!X110</f>
        <v>0</v>
      </c>
      <c r="Q107">
        <f>'RESUMEN TOTAL'!Y110</f>
        <v>0</v>
      </c>
      <c r="R107">
        <f>'RESUMEN TOTAL'!Z110</f>
        <v>0</v>
      </c>
      <c r="S107">
        <f>'RESUMEN TOTAL'!AA110</f>
        <v>0</v>
      </c>
      <c r="T107">
        <f>'RESUMEN TOTAL'!AB110</f>
        <v>0</v>
      </c>
      <c r="U107">
        <f>'RESUMEN TOTAL'!AC110</f>
        <v>0</v>
      </c>
      <c r="V107">
        <f>'RESUMEN TOTAL'!AD110</f>
        <v>0</v>
      </c>
      <c r="W107">
        <f>'RESUMEN TOTAL'!AE110</f>
        <v>0</v>
      </c>
      <c r="X107">
        <f>'RESUMEN TOTAL'!AF110</f>
        <v>0</v>
      </c>
      <c r="Y107">
        <f>'RESUMEN TOTAL'!AG110</f>
        <v>0</v>
      </c>
      <c r="Z107">
        <f>'RESUMEN TOTAL'!AH110</f>
        <v>0</v>
      </c>
      <c r="AA107">
        <f>'RESUMEN TOTAL'!AI110</f>
        <v>0</v>
      </c>
      <c r="AB107">
        <f>'RESUMEN TOTAL'!AJ110</f>
        <v>0</v>
      </c>
      <c r="AC107">
        <f>'RESUMEN TOTAL'!AK110</f>
        <v>0</v>
      </c>
      <c r="AD107">
        <f>'RESUMEN TOTAL'!AL110</f>
        <v>0</v>
      </c>
      <c r="AE107">
        <f>'RESUMEN TOTAL'!AM110</f>
        <v>0</v>
      </c>
      <c r="AF107">
        <f>'RESUMEN TOTAL'!AN110</f>
        <v>0</v>
      </c>
      <c r="AG107">
        <f>'RESUMEN TOTAL'!AO110</f>
        <v>0</v>
      </c>
    </row>
    <row r="108" spans="1:33" x14ac:dyDescent="0.25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TOTAL'!N111</f>
        <v>0</v>
      </c>
      <c r="G108">
        <f>'RESUMEN TOTAL'!O111</f>
        <v>0</v>
      </c>
      <c r="H108">
        <f>'RESUMEN TOTAL'!P111</f>
        <v>0</v>
      </c>
      <c r="I108">
        <f>'RESUMEN TOTAL'!Q111</f>
        <v>0</v>
      </c>
      <c r="J108">
        <f>'RESUMEN TOTAL'!R111</f>
        <v>0</v>
      </c>
      <c r="K108">
        <f>'RESUMEN TOTAL'!S111</f>
        <v>0</v>
      </c>
      <c r="L108">
        <f>'RESUMEN TOTAL'!T111</f>
        <v>0</v>
      </c>
      <c r="M108">
        <f>'RESUMEN TOTAL'!U111</f>
        <v>0</v>
      </c>
      <c r="N108">
        <f>'RESUMEN TOTAL'!V111</f>
        <v>0</v>
      </c>
      <c r="O108">
        <f>'RESUMEN TOTAL'!W111</f>
        <v>0</v>
      </c>
      <c r="P108">
        <f>'RESUMEN TOTAL'!X111</f>
        <v>0</v>
      </c>
      <c r="Q108">
        <f>'RESUMEN TOTAL'!Y111</f>
        <v>0</v>
      </c>
      <c r="R108">
        <f>'RESUMEN TOTAL'!Z111</f>
        <v>0</v>
      </c>
      <c r="S108">
        <f>'RESUMEN TOTAL'!AA111</f>
        <v>0</v>
      </c>
      <c r="T108">
        <f>'RESUMEN TOTAL'!AB111</f>
        <v>0</v>
      </c>
      <c r="U108">
        <f>'RESUMEN TOTAL'!AC111</f>
        <v>0</v>
      </c>
      <c r="V108">
        <f>'RESUMEN TOTAL'!AD111</f>
        <v>0</v>
      </c>
      <c r="W108">
        <f>'RESUMEN TOTAL'!AE111</f>
        <v>0</v>
      </c>
      <c r="X108">
        <f>'RESUMEN TOTAL'!AF111</f>
        <v>0</v>
      </c>
      <c r="Y108">
        <f>'RESUMEN TOTAL'!AG111</f>
        <v>0</v>
      </c>
      <c r="Z108">
        <f>'RESUMEN TOTAL'!AH111</f>
        <v>0</v>
      </c>
      <c r="AA108">
        <f>'RESUMEN TOTAL'!AI111</f>
        <v>0</v>
      </c>
      <c r="AB108">
        <f>'RESUMEN TOTAL'!AJ111</f>
        <v>0</v>
      </c>
      <c r="AC108">
        <f>'RESUMEN TOTAL'!AK111</f>
        <v>0</v>
      </c>
      <c r="AD108">
        <f>'RESUMEN TOTAL'!AL111</f>
        <v>0</v>
      </c>
      <c r="AE108">
        <f>'RESUMEN TOTAL'!AM111</f>
        <v>0</v>
      </c>
      <c r="AF108">
        <f>'RESUMEN TOTAL'!AN111</f>
        <v>0</v>
      </c>
      <c r="AG108">
        <f>'RESUMEN TOTAL'!AO111</f>
        <v>0</v>
      </c>
    </row>
    <row r="109" spans="1:33" x14ac:dyDescent="0.25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TOTAL'!N112</f>
        <v>0</v>
      </c>
      <c r="G109">
        <f>'RESUMEN TOTAL'!O112</f>
        <v>0</v>
      </c>
      <c r="H109">
        <f>'RESUMEN TOTAL'!P112</f>
        <v>0</v>
      </c>
      <c r="I109">
        <f>'RESUMEN TOTAL'!Q112</f>
        <v>0</v>
      </c>
      <c r="J109" t="str">
        <f>'RESUMEN TOTAL'!R112</f>
        <v>APAGADO</v>
      </c>
      <c r="K109">
        <f>'RESUMEN TOTAL'!S112</f>
        <v>0</v>
      </c>
      <c r="L109">
        <f>'RESUMEN TOTAL'!T112</f>
        <v>0</v>
      </c>
      <c r="M109">
        <f>'RESUMEN TOTAL'!U112</f>
        <v>0</v>
      </c>
      <c r="N109">
        <f>'RESUMEN TOTAL'!V112</f>
        <v>0</v>
      </c>
      <c r="O109">
        <f>'RESUMEN TOTAL'!W112</f>
        <v>0</v>
      </c>
      <c r="P109">
        <f>'RESUMEN TOTAL'!X112</f>
        <v>0</v>
      </c>
      <c r="Q109">
        <f>'RESUMEN TOTAL'!Y112</f>
        <v>0</v>
      </c>
      <c r="R109">
        <f>'RESUMEN TOTAL'!Z112</f>
        <v>0</v>
      </c>
      <c r="S109">
        <f>'RESUMEN TOTAL'!AA112</f>
        <v>0</v>
      </c>
      <c r="T109">
        <f>'RESUMEN TOTAL'!AB112</f>
        <v>0</v>
      </c>
      <c r="U109">
        <f>'RESUMEN TOTAL'!AC112</f>
        <v>0</v>
      </c>
      <c r="V109">
        <f>'RESUMEN TOTAL'!AD112</f>
        <v>0</v>
      </c>
      <c r="W109">
        <f>'RESUMEN TOTAL'!AE112</f>
        <v>0</v>
      </c>
      <c r="X109">
        <f>'RESUMEN TOTAL'!AF112</f>
        <v>0</v>
      </c>
      <c r="Y109">
        <f>'RESUMEN TOTAL'!AG112</f>
        <v>0</v>
      </c>
      <c r="Z109">
        <f>'RESUMEN TOTAL'!AH112</f>
        <v>0</v>
      </c>
      <c r="AA109">
        <f>'RESUMEN TOTAL'!AI112</f>
        <v>0</v>
      </c>
      <c r="AB109">
        <f>'RESUMEN TOTAL'!AJ112</f>
        <v>0</v>
      </c>
      <c r="AC109">
        <f>'RESUMEN TOTAL'!AK112</f>
        <v>0</v>
      </c>
      <c r="AD109">
        <f>'RESUMEN TOTAL'!AL112</f>
        <v>0</v>
      </c>
      <c r="AE109">
        <f>'RESUMEN TOTAL'!AM112</f>
        <v>0</v>
      </c>
      <c r="AF109">
        <f>'RESUMEN TOTAL'!AN112</f>
        <v>0</v>
      </c>
      <c r="AG109">
        <f>'RESUMEN TOTAL'!AO112</f>
        <v>0</v>
      </c>
    </row>
    <row r="110" spans="1:33" x14ac:dyDescent="0.25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PTP A FO</v>
      </c>
      <c r="F110">
        <f>'RESUMEN TOTAL'!N113</f>
        <v>0</v>
      </c>
      <c r="G110">
        <f>'RESUMEN TOTAL'!O113</f>
        <v>0</v>
      </c>
      <c r="H110">
        <f>'RESUMEN TOTAL'!P113</f>
        <v>0</v>
      </c>
      <c r="I110">
        <f>'RESUMEN TOTAL'!Q113</f>
        <v>0</v>
      </c>
      <c r="J110">
        <f>'RESUMEN TOTAL'!R113</f>
        <v>0</v>
      </c>
      <c r="K110">
        <f>'RESUMEN TOTAL'!S113</f>
        <v>0</v>
      </c>
      <c r="L110">
        <f>'RESUMEN TOTAL'!T113</f>
        <v>0</v>
      </c>
      <c r="M110">
        <f>'RESUMEN TOTAL'!U113</f>
        <v>0</v>
      </c>
      <c r="N110">
        <f>'RESUMEN TOTAL'!V113</f>
        <v>0</v>
      </c>
      <c r="O110">
        <f>'RESUMEN TOTAL'!W113</f>
        <v>0</v>
      </c>
      <c r="P110">
        <f>'RESUMEN TOTAL'!X113</f>
        <v>0</v>
      </c>
      <c r="Q110">
        <f>'RESUMEN TOTAL'!Y113</f>
        <v>0</v>
      </c>
      <c r="R110">
        <f>'RESUMEN TOTAL'!Z113</f>
        <v>0</v>
      </c>
      <c r="S110">
        <f>'RESUMEN TOTAL'!AA113</f>
        <v>0</v>
      </c>
      <c r="T110">
        <f>'RESUMEN TOTAL'!AB113</f>
        <v>0</v>
      </c>
      <c r="U110">
        <f>'RESUMEN TOTAL'!AC113</f>
        <v>0</v>
      </c>
      <c r="V110">
        <f>'RESUMEN TOTAL'!AD113</f>
        <v>0</v>
      </c>
      <c r="W110">
        <f>'RESUMEN TOTAL'!AE113</f>
        <v>0</v>
      </c>
      <c r="X110">
        <f>'RESUMEN TOTAL'!AF113</f>
        <v>0</v>
      </c>
      <c r="Y110">
        <f>'RESUMEN TOTAL'!AG113</f>
        <v>0</v>
      </c>
      <c r="Z110">
        <f>'RESUMEN TOTAL'!AH113</f>
        <v>0</v>
      </c>
      <c r="AA110">
        <f>'RESUMEN TOTAL'!AI113</f>
        <v>0</v>
      </c>
      <c r="AB110">
        <f>'RESUMEN TOTAL'!AJ113</f>
        <v>0</v>
      </c>
      <c r="AC110">
        <f>'RESUMEN TOTAL'!AK113</f>
        <v>0</v>
      </c>
      <c r="AD110">
        <f>'RESUMEN TOTAL'!AL113</f>
        <v>0</v>
      </c>
      <c r="AE110">
        <f>'RESUMEN TOTAL'!AM113</f>
        <v>0</v>
      </c>
      <c r="AF110">
        <f>'RESUMEN TOTAL'!AN113</f>
        <v>0</v>
      </c>
      <c r="AG110">
        <f>'RESUMEN TOTAL'!AO113</f>
        <v>0</v>
      </c>
    </row>
    <row r="111" spans="1:33" x14ac:dyDescent="0.25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PTP A FO</v>
      </c>
      <c r="F111">
        <f>'RESUMEN TOTAL'!N114</f>
        <v>0</v>
      </c>
      <c r="G111">
        <f>'RESUMEN TOTAL'!O114</f>
        <v>0</v>
      </c>
      <c r="H111">
        <f>'RESUMEN TOTAL'!P114</f>
        <v>0</v>
      </c>
      <c r="I111">
        <f>'RESUMEN TOTAL'!Q114</f>
        <v>0</v>
      </c>
      <c r="J111">
        <f>'RESUMEN TOTAL'!R114</f>
        <v>0</v>
      </c>
      <c r="K111">
        <f>'RESUMEN TOTAL'!S114</f>
        <v>0</v>
      </c>
      <c r="L111">
        <f>'RESUMEN TOTAL'!T114</f>
        <v>0</v>
      </c>
      <c r="M111">
        <f>'RESUMEN TOTAL'!U114</f>
        <v>0</v>
      </c>
      <c r="N111">
        <f>'RESUMEN TOTAL'!V114</f>
        <v>0</v>
      </c>
      <c r="O111">
        <f>'RESUMEN TOTAL'!W114</f>
        <v>0</v>
      </c>
      <c r="P111">
        <f>'RESUMEN TOTAL'!X114</f>
        <v>0</v>
      </c>
      <c r="Q111">
        <f>'RESUMEN TOTAL'!Y114</f>
        <v>0</v>
      </c>
      <c r="R111">
        <f>'RESUMEN TOTAL'!Z114</f>
        <v>0</v>
      </c>
      <c r="S111">
        <f>'RESUMEN TOTAL'!AA114</f>
        <v>0</v>
      </c>
      <c r="T111">
        <f>'RESUMEN TOTAL'!AB114</f>
        <v>0</v>
      </c>
      <c r="U111">
        <f>'RESUMEN TOTAL'!AC114</f>
        <v>0</v>
      </c>
      <c r="V111">
        <f>'RESUMEN TOTAL'!AD114</f>
        <v>0</v>
      </c>
      <c r="W111">
        <f>'RESUMEN TOTAL'!AE114</f>
        <v>0</v>
      </c>
      <c r="X111">
        <f>'RESUMEN TOTAL'!AF114</f>
        <v>0</v>
      </c>
      <c r="Y111">
        <f>'RESUMEN TOTAL'!AG114</f>
        <v>0</v>
      </c>
      <c r="Z111">
        <f>'RESUMEN TOTAL'!AH114</f>
        <v>0</v>
      </c>
      <c r="AA111">
        <f>'RESUMEN TOTAL'!AI114</f>
        <v>0</v>
      </c>
      <c r="AB111">
        <f>'RESUMEN TOTAL'!AJ114</f>
        <v>0</v>
      </c>
      <c r="AC111">
        <f>'RESUMEN TOTAL'!AK114</f>
        <v>0</v>
      </c>
      <c r="AD111">
        <f>'RESUMEN TOTAL'!AL114</f>
        <v>0</v>
      </c>
      <c r="AE111">
        <f>'RESUMEN TOTAL'!AM114</f>
        <v>0</v>
      </c>
      <c r="AF111">
        <f>'RESUMEN TOTAL'!AN114</f>
        <v>0</v>
      </c>
      <c r="AG111">
        <f>'RESUMEN TOTAL'!AO114</f>
        <v>0</v>
      </c>
    </row>
    <row r="112" spans="1:33" x14ac:dyDescent="0.25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Fibra Optica</v>
      </c>
      <c r="F112" t="str">
        <f>'RESUMEN TOTAL'!N115</f>
        <v>APAGADO</v>
      </c>
      <c r="G112" t="str">
        <f>'RESUMEN TOTAL'!O115</f>
        <v>APAGADO</v>
      </c>
      <c r="H112" t="str">
        <f>'RESUMEN TOTAL'!P115</f>
        <v>APAGADO</v>
      </c>
      <c r="I112" t="str">
        <f>'RESUMEN TOTAL'!Q115</f>
        <v>APAGADO</v>
      </c>
      <c r="J112" t="str">
        <f>'RESUMEN TOTAL'!R115</f>
        <v>APAGADO</v>
      </c>
      <c r="K112" t="str">
        <f>'RESUMEN TOTAL'!S115</f>
        <v>APAGADO</v>
      </c>
      <c r="L112" t="str">
        <f>'RESUMEN TOTAL'!T115</f>
        <v>APAGADO</v>
      </c>
      <c r="M112">
        <f>'RESUMEN TOTAL'!U115</f>
        <v>0</v>
      </c>
      <c r="N112">
        <f>'RESUMEN TOTAL'!V115</f>
        <v>0</v>
      </c>
      <c r="O112">
        <f>'RESUMEN TOTAL'!W115</f>
        <v>0</v>
      </c>
      <c r="P112">
        <f>'RESUMEN TOTAL'!X115</f>
        <v>0</v>
      </c>
      <c r="Q112">
        <f>'RESUMEN TOTAL'!Y115</f>
        <v>0</v>
      </c>
      <c r="R112">
        <f>'RESUMEN TOTAL'!Z115</f>
        <v>0</v>
      </c>
      <c r="S112">
        <f>'RESUMEN TOTAL'!AA115</f>
        <v>0</v>
      </c>
      <c r="T112">
        <f>'RESUMEN TOTAL'!AB115</f>
        <v>0</v>
      </c>
      <c r="U112">
        <f>'RESUMEN TOTAL'!AC115</f>
        <v>0</v>
      </c>
      <c r="V112">
        <f>'RESUMEN TOTAL'!AD115</f>
        <v>0</v>
      </c>
      <c r="W112">
        <f>'RESUMEN TOTAL'!AE115</f>
        <v>0</v>
      </c>
      <c r="X112">
        <f>'RESUMEN TOTAL'!AF115</f>
        <v>0</v>
      </c>
      <c r="Y112">
        <f>'RESUMEN TOTAL'!AG115</f>
        <v>0</v>
      </c>
      <c r="Z112">
        <f>'RESUMEN TOTAL'!AH115</f>
        <v>0</v>
      </c>
      <c r="AA112">
        <f>'RESUMEN TOTAL'!AI115</f>
        <v>0</v>
      </c>
      <c r="AB112">
        <f>'RESUMEN TOTAL'!AJ115</f>
        <v>0</v>
      </c>
      <c r="AC112">
        <f>'RESUMEN TOTAL'!AK115</f>
        <v>0</v>
      </c>
      <c r="AD112">
        <f>'RESUMEN TOTAL'!AL115</f>
        <v>0</v>
      </c>
      <c r="AE112">
        <f>'RESUMEN TOTAL'!AM115</f>
        <v>0</v>
      </c>
      <c r="AF112">
        <f>'RESUMEN TOTAL'!AN115</f>
        <v>0</v>
      </c>
      <c r="AG112">
        <f>'RESUMEN TOTAL'!AO115</f>
        <v>0</v>
      </c>
    </row>
    <row r="113" spans="1:33" x14ac:dyDescent="0.25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Fibra Optica</v>
      </c>
      <c r="F113" t="str">
        <f>'RESUMEN TOTAL'!N116</f>
        <v>APAGADO</v>
      </c>
      <c r="G113" t="str">
        <f>'RESUMEN TOTAL'!O116</f>
        <v>APAGADO</v>
      </c>
      <c r="H113" t="str">
        <f>'RESUMEN TOTAL'!P116</f>
        <v>APAGADO</v>
      </c>
      <c r="I113" t="str">
        <f>'RESUMEN TOTAL'!Q116</f>
        <v>APAGADO</v>
      </c>
      <c r="J113" t="str">
        <f>'RESUMEN TOTAL'!R116</f>
        <v>APAGADO</v>
      </c>
      <c r="K113" t="str">
        <f>'RESUMEN TOTAL'!S116</f>
        <v>APAGADO</v>
      </c>
      <c r="L113" t="str">
        <f>'RESUMEN TOTAL'!T116</f>
        <v>APAGADO</v>
      </c>
      <c r="M113">
        <f>'RESUMEN TOTAL'!U116</f>
        <v>0</v>
      </c>
      <c r="N113">
        <f>'RESUMEN TOTAL'!V116</f>
        <v>0</v>
      </c>
      <c r="O113">
        <f>'RESUMEN TOTAL'!W116</f>
        <v>0</v>
      </c>
      <c r="P113">
        <f>'RESUMEN TOTAL'!X116</f>
        <v>0</v>
      </c>
      <c r="Q113">
        <f>'RESUMEN TOTAL'!Y116</f>
        <v>0</v>
      </c>
      <c r="R113">
        <f>'RESUMEN TOTAL'!Z116</f>
        <v>0</v>
      </c>
      <c r="S113">
        <f>'RESUMEN TOTAL'!AA116</f>
        <v>0</v>
      </c>
      <c r="T113">
        <f>'RESUMEN TOTAL'!AB116</f>
        <v>0</v>
      </c>
      <c r="U113">
        <f>'RESUMEN TOTAL'!AC116</f>
        <v>0</v>
      </c>
      <c r="V113">
        <f>'RESUMEN TOTAL'!AD116</f>
        <v>0</v>
      </c>
      <c r="W113">
        <f>'RESUMEN TOTAL'!AE116</f>
        <v>0</v>
      </c>
      <c r="X113">
        <f>'RESUMEN TOTAL'!AF116</f>
        <v>0</v>
      </c>
      <c r="Y113">
        <f>'RESUMEN TOTAL'!AG116</f>
        <v>0</v>
      </c>
      <c r="Z113">
        <f>'RESUMEN TOTAL'!AH116</f>
        <v>0</v>
      </c>
      <c r="AA113">
        <f>'RESUMEN TOTAL'!AI116</f>
        <v>0</v>
      </c>
      <c r="AB113">
        <f>'RESUMEN TOTAL'!AJ116</f>
        <v>0</v>
      </c>
      <c r="AC113">
        <f>'RESUMEN TOTAL'!AK116</f>
        <v>0</v>
      </c>
      <c r="AD113">
        <f>'RESUMEN TOTAL'!AL116</f>
        <v>0</v>
      </c>
      <c r="AE113">
        <f>'RESUMEN TOTAL'!AM116</f>
        <v>0</v>
      </c>
      <c r="AF113">
        <f>'RESUMEN TOTAL'!AN116</f>
        <v>0</v>
      </c>
      <c r="AG113">
        <f>'RESUMEN TOTAL'!AO116</f>
        <v>0</v>
      </c>
    </row>
    <row r="114" spans="1:33" x14ac:dyDescent="0.25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TOTAL'!N117</f>
        <v>0</v>
      </c>
      <c r="G114">
        <f>'RESUMEN TOTAL'!O117</f>
        <v>0</v>
      </c>
      <c r="H114">
        <f>'RESUMEN TOTAL'!P117</f>
        <v>0</v>
      </c>
      <c r="I114">
        <f>'RESUMEN TOTAL'!Q117</f>
        <v>0</v>
      </c>
      <c r="J114">
        <f>'RESUMEN TOTAL'!R117</f>
        <v>0</v>
      </c>
      <c r="K114">
        <f>'RESUMEN TOTAL'!S117</f>
        <v>0</v>
      </c>
      <c r="L114">
        <f>'RESUMEN TOTAL'!T117</f>
        <v>0</v>
      </c>
      <c r="M114">
        <f>'RESUMEN TOTAL'!U117</f>
        <v>0</v>
      </c>
      <c r="N114">
        <f>'RESUMEN TOTAL'!V117</f>
        <v>0</v>
      </c>
      <c r="O114">
        <f>'RESUMEN TOTAL'!W117</f>
        <v>0</v>
      </c>
      <c r="P114">
        <f>'RESUMEN TOTAL'!X117</f>
        <v>0</v>
      </c>
      <c r="Q114">
        <f>'RESUMEN TOTAL'!Y117</f>
        <v>0</v>
      </c>
      <c r="R114">
        <f>'RESUMEN TOTAL'!Z117</f>
        <v>0</v>
      </c>
      <c r="S114">
        <f>'RESUMEN TOTAL'!AA117</f>
        <v>0</v>
      </c>
      <c r="T114">
        <f>'RESUMEN TOTAL'!AB117</f>
        <v>0</v>
      </c>
      <c r="U114">
        <f>'RESUMEN TOTAL'!AC117</f>
        <v>0</v>
      </c>
      <c r="V114">
        <f>'RESUMEN TOTAL'!AD117</f>
        <v>0</v>
      </c>
      <c r="W114">
        <f>'RESUMEN TOTAL'!AE117</f>
        <v>0</v>
      </c>
      <c r="X114">
        <f>'RESUMEN TOTAL'!AF117</f>
        <v>0</v>
      </c>
      <c r="Y114">
        <f>'RESUMEN TOTAL'!AG117</f>
        <v>0</v>
      </c>
      <c r="Z114">
        <f>'RESUMEN TOTAL'!AH117</f>
        <v>0</v>
      </c>
      <c r="AA114">
        <f>'RESUMEN TOTAL'!AI117</f>
        <v>0</v>
      </c>
      <c r="AB114">
        <f>'RESUMEN TOTAL'!AJ117</f>
        <v>0</v>
      </c>
      <c r="AC114">
        <f>'RESUMEN TOTAL'!AK117</f>
        <v>0</v>
      </c>
      <c r="AD114">
        <f>'RESUMEN TOTAL'!AL117</f>
        <v>0</v>
      </c>
      <c r="AE114">
        <f>'RESUMEN TOTAL'!AM117</f>
        <v>0</v>
      </c>
      <c r="AF114">
        <f>'RESUMEN TOTAL'!AN117</f>
        <v>0</v>
      </c>
      <c r="AG114">
        <f>'RESUMEN TOTAL'!AO117</f>
        <v>0</v>
      </c>
    </row>
    <row r="115" spans="1:33" x14ac:dyDescent="0.25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TOTAL'!N118</f>
        <v>0</v>
      </c>
      <c r="G115">
        <f>'RESUMEN TOTAL'!O118</f>
        <v>0</v>
      </c>
      <c r="H115">
        <f>'RESUMEN TOTAL'!P118</f>
        <v>0</v>
      </c>
      <c r="I115">
        <f>'RESUMEN TOTAL'!Q118</f>
        <v>0</v>
      </c>
      <c r="J115">
        <f>'RESUMEN TOTAL'!R118</f>
        <v>0</v>
      </c>
      <c r="K115">
        <f>'RESUMEN TOTAL'!S118</f>
        <v>0</v>
      </c>
      <c r="L115">
        <f>'RESUMEN TOTAL'!T118</f>
        <v>0</v>
      </c>
      <c r="M115">
        <f>'RESUMEN TOTAL'!U118</f>
        <v>0</v>
      </c>
      <c r="N115">
        <f>'RESUMEN TOTAL'!V118</f>
        <v>0</v>
      </c>
      <c r="O115">
        <f>'RESUMEN TOTAL'!W118</f>
        <v>0</v>
      </c>
      <c r="P115">
        <f>'RESUMEN TOTAL'!X118</f>
        <v>0</v>
      </c>
      <c r="Q115">
        <f>'RESUMEN TOTAL'!Y118</f>
        <v>0</v>
      </c>
      <c r="R115">
        <f>'RESUMEN TOTAL'!Z118</f>
        <v>0</v>
      </c>
      <c r="S115">
        <f>'RESUMEN TOTAL'!AA118</f>
        <v>0</v>
      </c>
      <c r="T115">
        <f>'RESUMEN TOTAL'!AB118</f>
        <v>0</v>
      </c>
      <c r="U115">
        <f>'RESUMEN TOTAL'!AC118</f>
        <v>0</v>
      </c>
      <c r="V115">
        <f>'RESUMEN TOTAL'!AD118</f>
        <v>0</v>
      </c>
      <c r="W115">
        <f>'RESUMEN TOTAL'!AE118</f>
        <v>0</v>
      </c>
      <c r="X115">
        <f>'RESUMEN TOTAL'!AF118</f>
        <v>0</v>
      </c>
      <c r="Y115">
        <f>'RESUMEN TOTAL'!AG118</f>
        <v>0</v>
      </c>
      <c r="Z115">
        <f>'RESUMEN TOTAL'!AH118</f>
        <v>0</v>
      </c>
      <c r="AA115">
        <f>'RESUMEN TOTAL'!AI118</f>
        <v>0</v>
      </c>
      <c r="AB115">
        <f>'RESUMEN TOTAL'!AJ118</f>
        <v>0</v>
      </c>
      <c r="AC115">
        <f>'RESUMEN TOTAL'!AK118</f>
        <v>0</v>
      </c>
      <c r="AD115">
        <f>'RESUMEN TOTAL'!AL118</f>
        <v>0</v>
      </c>
      <c r="AE115">
        <f>'RESUMEN TOTAL'!AM118</f>
        <v>0</v>
      </c>
      <c r="AF115">
        <f>'RESUMEN TOTAL'!AN118</f>
        <v>0</v>
      </c>
      <c r="AG115">
        <f>'RESUMEN TOTAL'!AO118</f>
        <v>0</v>
      </c>
    </row>
    <row r="116" spans="1:33" x14ac:dyDescent="0.25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TOTAL'!N119</f>
        <v>0</v>
      </c>
      <c r="G116">
        <f>'RESUMEN TOTAL'!O119</f>
        <v>0</v>
      </c>
      <c r="H116">
        <f>'RESUMEN TOTAL'!P119</f>
        <v>0</v>
      </c>
      <c r="I116">
        <f>'RESUMEN TOTAL'!Q119</f>
        <v>0</v>
      </c>
      <c r="J116">
        <f>'RESUMEN TOTAL'!R119</f>
        <v>0</v>
      </c>
      <c r="K116">
        <f>'RESUMEN TOTAL'!S119</f>
        <v>0</v>
      </c>
      <c r="L116">
        <f>'RESUMEN TOTAL'!T119</f>
        <v>0</v>
      </c>
      <c r="M116">
        <f>'RESUMEN TOTAL'!U119</f>
        <v>0</v>
      </c>
      <c r="N116">
        <f>'RESUMEN TOTAL'!V119</f>
        <v>0</v>
      </c>
      <c r="O116">
        <f>'RESUMEN TOTAL'!W119</f>
        <v>0</v>
      </c>
      <c r="P116">
        <f>'RESUMEN TOTAL'!X119</f>
        <v>0</v>
      </c>
      <c r="Q116">
        <f>'RESUMEN TOTAL'!Y119</f>
        <v>0</v>
      </c>
      <c r="R116">
        <f>'RESUMEN TOTAL'!Z119</f>
        <v>0</v>
      </c>
      <c r="S116">
        <f>'RESUMEN TOTAL'!AA119</f>
        <v>0</v>
      </c>
      <c r="T116">
        <f>'RESUMEN TOTAL'!AB119</f>
        <v>0</v>
      </c>
      <c r="U116">
        <f>'RESUMEN TOTAL'!AC119</f>
        <v>0</v>
      </c>
      <c r="V116">
        <f>'RESUMEN TOTAL'!AD119</f>
        <v>0</v>
      </c>
      <c r="W116">
        <f>'RESUMEN TOTAL'!AE119</f>
        <v>0</v>
      </c>
      <c r="X116">
        <f>'RESUMEN TOTAL'!AF119</f>
        <v>0</v>
      </c>
      <c r="Y116">
        <f>'RESUMEN TOTAL'!AG119</f>
        <v>0</v>
      </c>
      <c r="Z116">
        <f>'RESUMEN TOTAL'!AH119</f>
        <v>0</v>
      </c>
      <c r="AA116">
        <f>'RESUMEN TOTAL'!AI119</f>
        <v>0</v>
      </c>
      <c r="AB116">
        <f>'RESUMEN TOTAL'!AJ119</f>
        <v>0</v>
      </c>
      <c r="AC116">
        <f>'RESUMEN TOTAL'!AK119</f>
        <v>0</v>
      </c>
      <c r="AD116">
        <f>'RESUMEN TOTAL'!AL119</f>
        <v>0</v>
      </c>
      <c r="AE116">
        <f>'RESUMEN TOTAL'!AM119</f>
        <v>0</v>
      </c>
      <c r="AF116">
        <f>'RESUMEN TOTAL'!AN119</f>
        <v>0</v>
      </c>
      <c r="AG116">
        <f>'RESUMEN TOTAL'!AO119</f>
        <v>0</v>
      </c>
    </row>
    <row r="117" spans="1:33" x14ac:dyDescent="0.25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TOTAL'!N120</f>
        <v>APAGADO</v>
      </c>
      <c r="G117" t="str">
        <f>'RESUMEN TOTAL'!O120</f>
        <v>APAGADO</v>
      </c>
      <c r="H117" t="str">
        <f>'RESUMEN TOTAL'!P120</f>
        <v>APAGADO</v>
      </c>
      <c r="I117" t="str">
        <f>'RESUMEN TOTAL'!Q120</f>
        <v>APAGADO</v>
      </c>
      <c r="J117" t="str">
        <f>'RESUMEN TOTAL'!R120</f>
        <v>APAGADO</v>
      </c>
      <c r="K117" t="str">
        <f>'RESUMEN TOTAL'!S120</f>
        <v>APAGADO</v>
      </c>
      <c r="L117" t="str">
        <f>'RESUMEN TOTAL'!T120</f>
        <v>APAGADO</v>
      </c>
      <c r="M117">
        <f>'RESUMEN TOTAL'!U120</f>
        <v>0</v>
      </c>
      <c r="N117">
        <f>'RESUMEN TOTAL'!V120</f>
        <v>0</v>
      </c>
      <c r="O117">
        <f>'RESUMEN TOTAL'!W120</f>
        <v>0</v>
      </c>
      <c r="P117">
        <f>'RESUMEN TOTAL'!X120</f>
        <v>0</v>
      </c>
      <c r="Q117">
        <f>'RESUMEN TOTAL'!Y120</f>
        <v>0</v>
      </c>
      <c r="R117">
        <f>'RESUMEN TOTAL'!Z120</f>
        <v>0</v>
      </c>
      <c r="S117">
        <f>'RESUMEN TOTAL'!AA120</f>
        <v>0</v>
      </c>
      <c r="T117">
        <f>'RESUMEN TOTAL'!AB120</f>
        <v>0</v>
      </c>
      <c r="U117">
        <f>'RESUMEN TOTAL'!AC120</f>
        <v>0</v>
      </c>
      <c r="V117">
        <f>'RESUMEN TOTAL'!AD120</f>
        <v>0</v>
      </c>
      <c r="W117">
        <f>'RESUMEN TOTAL'!AE120</f>
        <v>0</v>
      </c>
      <c r="X117">
        <f>'RESUMEN TOTAL'!AF120</f>
        <v>0</v>
      </c>
      <c r="Y117">
        <f>'RESUMEN TOTAL'!AG120</f>
        <v>0</v>
      </c>
      <c r="Z117">
        <f>'RESUMEN TOTAL'!AH120</f>
        <v>0</v>
      </c>
      <c r="AA117">
        <f>'RESUMEN TOTAL'!AI120</f>
        <v>0</v>
      </c>
      <c r="AB117">
        <f>'RESUMEN TOTAL'!AJ120</f>
        <v>0</v>
      </c>
      <c r="AC117">
        <f>'RESUMEN TOTAL'!AK120</f>
        <v>0</v>
      </c>
      <c r="AD117">
        <f>'RESUMEN TOTAL'!AL120</f>
        <v>0</v>
      </c>
      <c r="AE117">
        <f>'RESUMEN TOTAL'!AM120</f>
        <v>0</v>
      </c>
      <c r="AF117">
        <f>'RESUMEN TOTAL'!AN120</f>
        <v>0</v>
      </c>
      <c r="AG117">
        <f>'RESUMEN TOTAL'!AO120</f>
        <v>0</v>
      </c>
    </row>
    <row r="118" spans="1:33" x14ac:dyDescent="0.25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TOTAL'!N121</f>
        <v>APAGADO</v>
      </c>
      <c r="G118" t="str">
        <f>'RESUMEN TOTAL'!O121</f>
        <v>APAGADO</v>
      </c>
      <c r="H118" t="str">
        <f>'RESUMEN TOTAL'!P121</f>
        <v>APAGADO</v>
      </c>
      <c r="I118" t="str">
        <f>'RESUMEN TOTAL'!Q121</f>
        <v>APAGADO</v>
      </c>
      <c r="J118" t="str">
        <f>'RESUMEN TOTAL'!R121</f>
        <v>APAGADO</v>
      </c>
      <c r="K118" t="str">
        <f>'RESUMEN TOTAL'!S121</f>
        <v>APAGADO</v>
      </c>
      <c r="L118" t="str">
        <f>'RESUMEN TOTAL'!T121</f>
        <v>APAGADO</v>
      </c>
      <c r="M118">
        <f>'RESUMEN TOTAL'!U121</f>
        <v>0</v>
      </c>
      <c r="N118">
        <f>'RESUMEN TOTAL'!V121</f>
        <v>0</v>
      </c>
      <c r="O118">
        <f>'RESUMEN TOTAL'!W121</f>
        <v>0</v>
      </c>
      <c r="P118">
        <f>'RESUMEN TOTAL'!X121</f>
        <v>0</v>
      </c>
      <c r="Q118">
        <f>'RESUMEN TOTAL'!Y121</f>
        <v>0</v>
      </c>
      <c r="R118">
        <f>'RESUMEN TOTAL'!Z121</f>
        <v>0</v>
      </c>
      <c r="S118">
        <f>'RESUMEN TOTAL'!AA121</f>
        <v>0</v>
      </c>
      <c r="T118">
        <f>'RESUMEN TOTAL'!AB121</f>
        <v>0</v>
      </c>
      <c r="U118">
        <f>'RESUMEN TOTAL'!AC121</f>
        <v>0</v>
      </c>
      <c r="V118">
        <f>'RESUMEN TOTAL'!AD121</f>
        <v>0</v>
      </c>
      <c r="W118">
        <f>'RESUMEN TOTAL'!AE121</f>
        <v>0</v>
      </c>
      <c r="X118">
        <f>'RESUMEN TOTAL'!AF121</f>
        <v>0</v>
      </c>
      <c r="Y118">
        <f>'RESUMEN TOTAL'!AG121</f>
        <v>0</v>
      </c>
      <c r="Z118">
        <f>'RESUMEN TOTAL'!AH121</f>
        <v>0</v>
      </c>
      <c r="AA118">
        <f>'RESUMEN TOTAL'!AI121</f>
        <v>0</v>
      </c>
      <c r="AB118">
        <f>'RESUMEN TOTAL'!AJ121</f>
        <v>0</v>
      </c>
      <c r="AC118">
        <f>'RESUMEN TOTAL'!AK121</f>
        <v>0</v>
      </c>
      <c r="AD118">
        <f>'RESUMEN TOTAL'!AL121</f>
        <v>0</v>
      </c>
      <c r="AE118">
        <f>'RESUMEN TOTAL'!AM121</f>
        <v>0</v>
      </c>
      <c r="AF118">
        <f>'RESUMEN TOTAL'!AN121</f>
        <v>0</v>
      </c>
      <c r="AG118">
        <f>'RESUMEN TOTAL'!AO121</f>
        <v>0</v>
      </c>
    </row>
    <row r="119" spans="1:33" x14ac:dyDescent="0.25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TOTAL'!N122</f>
        <v>0</v>
      </c>
      <c r="G119" t="str">
        <f>'RESUMEN TOTAL'!O122</f>
        <v>APAGADO</v>
      </c>
      <c r="H119" t="str">
        <f>'RESUMEN TOTAL'!P122</f>
        <v>APAGADO</v>
      </c>
      <c r="I119">
        <f>'RESUMEN TOTAL'!Q122</f>
        <v>0</v>
      </c>
      <c r="J119">
        <f>'RESUMEN TOTAL'!R122</f>
        <v>0</v>
      </c>
      <c r="K119">
        <f>'RESUMEN TOTAL'!S122</f>
        <v>0</v>
      </c>
      <c r="L119" t="str">
        <f>'RESUMEN TOTAL'!T122</f>
        <v>APAGADO</v>
      </c>
      <c r="M119">
        <f>'RESUMEN TOTAL'!U122</f>
        <v>0</v>
      </c>
      <c r="N119">
        <f>'RESUMEN TOTAL'!V122</f>
        <v>0</v>
      </c>
      <c r="O119">
        <f>'RESUMEN TOTAL'!W122</f>
        <v>0</v>
      </c>
      <c r="P119">
        <f>'RESUMEN TOTAL'!X122</f>
        <v>0</v>
      </c>
      <c r="Q119">
        <f>'RESUMEN TOTAL'!Y122</f>
        <v>0</v>
      </c>
      <c r="R119">
        <f>'RESUMEN TOTAL'!Z122</f>
        <v>0</v>
      </c>
      <c r="S119">
        <f>'RESUMEN TOTAL'!AA122</f>
        <v>0</v>
      </c>
      <c r="T119">
        <f>'RESUMEN TOTAL'!AB122</f>
        <v>0</v>
      </c>
      <c r="U119">
        <f>'RESUMEN TOTAL'!AC122</f>
        <v>0</v>
      </c>
      <c r="V119">
        <f>'RESUMEN TOTAL'!AD122</f>
        <v>0</v>
      </c>
      <c r="W119">
        <f>'RESUMEN TOTAL'!AE122</f>
        <v>0</v>
      </c>
      <c r="X119">
        <f>'RESUMEN TOTAL'!AF122</f>
        <v>0</v>
      </c>
      <c r="Y119">
        <f>'RESUMEN TOTAL'!AG122</f>
        <v>0</v>
      </c>
      <c r="Z119">
        <f>'RESUMEN TOTAL'!AH122</f>
        <v>0</v>
      </c>
      <c r="AA119">
        <f>'RESUMEN TOTAL'!AI122</f>
        <v>0</v>
      </c>
      <c r="AB119">
        <f>'RESUMEN TOTAL'!AJ122</f>
        <v>0</v>
      </c>
      <c r="AC119">
        <f>'RESUMEN TOTAL'!AK122</f>
        <v>0</v>
      </c>
      <c r="AD119">
        <f>'RESUMEN TOTAL'!AL122</f>
        <v>0</v>
      </c>
      <c r="AE119">
        <f>'RESUMEN TOTAL'!AM122</f>
        <v>0</v>
      </c>
      <c r="AF119">
        <f>'RESUMEN TOTAL'!AN122</f>
        <v>0</v>
      </c>
      <c r="AG119">
        <f>'RESUMEN TOTAL'!AO122</f>
        <v>0</v>
      </c>
    </row>
    <row r="120" spans="1:33" x14ac:dyDescent="0.25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TOTAL'!N123</f>
        <v>0</v>
      </c>
      <c r="G120" t="str">
        <f>'RESUMEN TOTAL'!O123</f>
        <v>APAGADO</v>
      </c>
      <c r="H120" t="str">
        <f>'RESUMEN TOTAL'!P123</f>
        <v>APAGADO</v>
      </c>
      <c r="I120">
        <f>'RESUMEN TOTAL'!Q123</f>
        <v>0</v>
      </c>
      <c r="J120">
        <f>'RESUMEN TOTAL'!R123</f>
        <v>0</v>
      </c>
      <c r="K120">
        <f>'RESUMEN TOTAL'!S123</f>
        <v>0</v>
      </c>
      <c r="L120" t="str">
        <f>'RESUMEN TOTAL'!T123</f>
        <v>APAGADO</v>
      </c>
      <c r="M120">
        <f>'RESUMEN TOTAL'!U123</f>
        <v>0</v>
      </c>
      <c r="N120">
        <f>'RESUMEN TOTAL'!V123</f>
        <v>0</v>
      </c>
      <c r="O120">
        <f>'RESUMEN TOTAL'!W123</f>
        <v>0</v>
      </c>
      <c r="P120">
        <f>'RESUMEN TOTAL'!X123</f>
        <v>0</v>
      </c>
      <c r="Q120">
        <f>'RESUMEN TOTAL'!Y123</f>
        <v>0</v>
      </c>
      <c r="R120">
        <f>'RESUMEN TOTAL'!Z123</f>
        <v>0</v>
      </c>
      <c r="S120">
        <f>'RESUMEN TOTAL'!AA123</f>
        <v>0</v>
      </c>
      <c r="T120">
        <f>'RESUMEN TOTAL'!AB123</f>
        <v>0</v>
      </c>
      <c r="U120">
        <f>'RESUMEN TOTAL'!AC123</f>
        <v>0</v>
      </c>
      <c r="V120">
        <f>'RESUMEN TOTAL'!AD123</f>
        <v>0</v>
      </c>
      <c r="W120">
        <f>'RESUMEN TOTAL'!AE123</f>
        <v>0</v>
      </c>
      <c r="X120">
        <f>'RESUMEN TOTAL'!AF123</f>
        <v>0</v>
      </c>
      <c r="Y120">
        <f>'RESUMEN TOTAL'!AG123</f>
        <v>0</v>
      </c>
      <c r="Z120">
        <f>'RESUMEN TOTAL'!AH123</f>
        <v>0</v>
      </c>
      <c r="AA120">
        <f>'RESUMEN TOTAL'!AI123</f>
        <v>0</v>
      </c>
      <c r="AB120">
        <f>'RESUMEN TOTAL'!AJ123</f>
        <v>0</v>
      </c>
      <c r="AC120">
        <f>'RESUMEN TOTAL'!AK123</f>
        <v>0</v>
      </c>
      <c r="AD120">
        <f>'RESUMEN TOTAL'!AL123</f>
        <v>0</v>
      </c>
      <c r="AE120">
        <f>'RESUMEN TOTAL'!AM123</f>
        <v>0</v>
      </c>
      <c r="AF120">
        <f>'RESUMEN TOTAL'!AN123</f>
        <v>0</v>
      </c>
      <c r="AG120">
        <f>'RESUMEN TOTAL'!AO123</f>
        <v>0</v>
      </c>
    </row>
    <row r="121" spans="1:33" x14ac:dyDescent="0.25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TOTAL'!N124</f>
        <v>0</v>
      </c>
      <c r="G121">
        <f>'RESUMEN TOTAL'!O124</f>
        <v>0</v>
      </c>
      <c r="H121">
        <f>'RESUMEN TOTAL'!P124</f>
        <v>0</v>
      </c>
      <c r="I121">
        <f>'RESUMEN TOTAL'!Q124</f>
        <v>0</v>
      </c>
      <c r="J121">
        <f>'RESUMEN TOTAL'!R124</f>
        <v>0</v>
      </c>
      <c r="K121">
        <f>'RESUMEN TOTAL'!S124</f>
        <v>0</v>
      </c>
      <c r="L121">
        <f>'RESUMEN TOTAL'!T124</f>
        <v>0</v>
      </c>
      <c r="M121">
        <f>'RESUMEN TOTAL'!U124</f>
        <v>0</v>
      </c>
      <c r="N121">
        <f>'RESUMEN TOTAL'!V124</f>
        <v>0</v>
      </c>
      <c r="O121">
        <f>'RESUMEN TOTAL'!W124</f>
        <v>0</v>
      </c>
      <c r="P121">
        <f>'RESUMEN TOTAL'!X124</f>
        <v>0</v>
      </c>
      <c r="Q121">
        <f>'RESUMEN TOTAL'!Y124</f>
        <v>0</v>
      </c>
      <c r="R121">
        <f>'RESUMEN TOTAL'!Z124</f>
        <v>0</v>
      </c>
      <c r="S121">
        <f>'RESUMEN TOTAL'!AA124</f>
        <v>0</v>
      </c>
      <c r="T121">
        <f>'RESUMEN TOTAL'!AB124</f>
        <v>0</v>
      </c>
      <c r="U121">
        <f>'RESUMEN TOTAL'!AC124</f>
        <v>0</v>
      </c>
      <c r="V121">
        <f>'RESUMEN TOTAL'!AD124</f>
        <v>0</v>
      </c>
      <c r="W121">
        <f>'RESUMEN TOTAL'!AE124</f>
        <v>0</v>
      </c>
      <c r="X121">
        <f>'RESUMEN TOTAL'!AF124</f>
        <v>0</v>
      </c>
      <c r="Y121">
        <f>'RESUMEN TOTAL'!AG124</f>
        <v>0</v>
      </c>
      <c r="Z121">
        <f>'RESUMEN TOTAL'!AH124</f>
        <v>0</v>
      </c>
      <c r="AA121">
        <f>'RESUMEN TOTAL'!AI124</f>
        <v>0</v>
      </c>
      <c r="AB121">
        <f>'RESUMEN TOTAL'!AJ124</f>
        <v>0</v>
      </c>
      <c r="AC121">
        <f>'RESUMEN TOTAL'!AK124</f>
        <v>0</v>
      </c>
      <c r="AD121">
        <f>'RESUMEN TOTAL'!AL124</f>
        <v>0</v>
      </c>
      <c r="AE121">
        <f>'RESUMEN TOTAL'!AM124</f>
        <v>0</v>
      </c>
      <c r="AF121">
        <f>'RESUMEN TOTAL'!AN124</f>
        <v>0</v>
      </c>
      <c r="AG121">
        <f>'RESUMEN TOTAL'!AO124</f>
        <v>0</v>
      </c>
    </row>
    <row r="122" spans="1:33" x14ac:dyDescent="0.25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TOTAL'!N125</f>
        <v>0</v>
      </c>
      <c r="G122">
        <f>'RESUMEN TOTAL'!O125</f>
        <v>0</v>
      </c>
      <c r="H122">
        <f>'RESUMEN TOTAL'!P125</f>
        <v>0</v>
      </c>
      <c r="I122">
        <f>'RESUMEN TOTAL'!Q125</f>
        <v>0</v>
      </c>
      <c r="J122">
        <f>'RESUMEN TOTAL'!R125</f>
        <v>0</v>
      </c>
      <c r="K122">
        <f>'RESUMEN TOTAL'!S125</f>
        <v>0</v>
      </c>
      <c r="L122">
        <f>'RESUMEN TOTAL'!T125</f>
        <v>0</v>
      </c>
      <c r="M122">
        <f>'RESUMEN TOTAL'!U125</f>
        <v>0</v>
      </c>
      <c r="N122">
        <f>'RESUMEN TOTAL'!V125</f>
        <v>0</v>
      </c>
      <c r="O122">
        <f>'RESUMEN TOTAL'!W125</f>
        <v>0</v>
      </c>
      <c r="P122">
        <f>'RESUMEN TOTAL'!X125</f>
        <v>0</v>
      </c>
      <c r="Q122">
        <f>'RESUMEN TOTAL'!Y125</f>
        <v>0</v>
      </c>
      <c r="R122">
        <f>'RESUMEN TOTAL'!Z125</f>
        <v>0</v>
      </c>
      <c r="S122">
        <f>'RESUMEN TOTAL'!AA125</f>
        <v>0</v>
      </c>
      <c r="T122">
        <f>'RESUMEN TOTAL'!AB125</f>
        <v>0</v>
      </c>
      <c r="U122">
        <f>'RESUMEN TOTAL'!AC125</f>
        <v>0</v>
      </c>
      <c r="V122">
        <f>'RESUMEN TOTAL'!AD125</f>
        <v>0</v>
      </c>
      <c r="W122">
        <f>'RESUMEN TOTAL'!AE125</f>
        <v>0</v>
      </c>
      <c r="X122">
        <f>'RESUMEN TOTAL'!AF125</f>
        <v>0</v>
      </c>
      <c r="Y122">
        <f>'RESUMEN TOTAL'!AG125</f>
        <v>0</v>
      </c>
      <c r="Z122">
        <f>'RESUMEN TOTAL'!AH125</f>
        <v>0</v>
      </c>
      <c r="AA122">
        <f>'RESUMEN TOTAL'!AI125</f>
        <v>0</v>
      </c>
      <c r="AB122">
        <f>'RESUMEN TOTAL'!AJ125</f>
        <v>0</v>
      </c>
      <c r="AC122">
        <f>'RESUMEN TOTAL'!AK125</f>
        <v>0</v>
      </c>
      <c r="AD122">
        <f>'RESUMEN TOTAL'!AL125</f>
        <v>0</v>
      </c>
      <c r="AE122">
        <f>'RESUMEN TOTAL'!AM125</f>
        <v>0</v>
      </c>
      <c r="AF122">
        <f>'RESUMEN TOTAL'!AN125</f>
        <v>0</v>
      </c>
      <c r="AG122">
        <f>'RESUMEN TOTAL'!AO125</f>
        <v>0</v>
      </c>
    </row>
    <row r="123" spans="1:33" x14ac:dyDescent="0.25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TOTAL'!N126</f>
        <v>0</v>
      </c>
      <c r="G123">
        <f>'RESUMEN TOTAL'!O126</f>
        <v>0</v>
      </c>
      <c r="H123">
        <f>'RESUMEN TOTAL'!P126</f>
        <v>0</v>
      </c>
      <c r="I123">
        <f>'RESUMEN TOTAL'!Q126</f>
        <v>0</v>
      </c>
      <c r="J123">
        <f>'RESUMEN TOTAL'!R126</f>
        <v>0</v>
      </c>
      <c r="K123">
        <f>'RESUMEN TOTAL'!S126</f>
        <v>0</v>
      </c>
      <c r="L123">
        <f>'RESUMEN TOTAL'!T126</f>
        <v>0</v>
      </c>
      <c r="M123">
        <f>'RESUMEN TOTAL'!U126</f>
        <v>0</v>
      </c>
      <c r="N123">
        <f>'RESUMEN TOTAL'!V126</f>
        <v>0</v>
      </c>
      <c r="O123">
        <f>'RESUMEN TOTAL'!W126</f>
        <v>0</v>
      </c>
      <c r="P123">
        <f>'RESUMEN TOTAL'!X126</f>
        <v>0</v>
      </c>
      <c r="Q123">
        <f>'RESUMEN TOTAL'!Y126</f>
        <v>0</v>
      </c>
      <c r="R123">
        <f>'RESUMEN TOTAL'!Z126</f>
        <v>0</v>
      </c>
      <c r="S123">
        <f>'RESUMEN TOTAL'!AA126</f>
        <v>0</v>
      </c>
      <c r="T123">
        <f>'RESUMEN TOTAL'!AB126</f>
        <v>0</v>
      </c>
      <c r="U123">
        <f>'RESUMEN TOTAL'!AC126</f>
        <v>0</v>
      </c>
      <c r="V123">
        <f>'RESUMEN TOTAL'!AD126</f>
        <v>0</v>
      </c>
      <c r="W123">
        <f>'RESUMEN TOTAL'!AE126</f>
        <v>0</v>
      </c>
      <c r="X123">
        <f>'RESUMEN TOTAL'!AF126</f>
        <v>0</v>
      </c>
      <c r="Y123">
        <f>'RESUMEN TOTAL'!AG126</f>
        <v>0</v>
      </c>
      <c r="Z123">
        <f>'RESUMEN TOTAL'!AH126</f>
        <v>0</v>
      </c>
      <c r="AA123">
        <f>'RESUMEN TOTAL'!AI126</f>
        <v>0</v>
      </c>
      <c r="AB123">
        <f>'RESUMEN TOTAL'!AJ126</f>
        <v>0</v>
      </c>
      <c r="AC123">
        <f>'RESUMEN TOTAL'!AK126</f>
        <v>0</v>
      </c>
      <c r="AD123">
        <f>'RESUMEN TOTAL'!AL126</f>
        <v>0</v>
      </c>
      <c r="AE123">
        <f>'RESUMEN TOTAL'!AM126</f>
        <v>0</v>
      </c>
      <c r="AF123">
        <f>'RESUMEN TOTAL'!AN126</f>
        <v>0</v>
      </c>
      <c r="AG123">
        <f>'RESUMEN TOTAL'!AO126</f>
        <v>0</v>
      </c>
    </row>
    <row r="124" spans="1:33" x14ac:dyDescent="0.25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TOTAL'!N127</f>
        <v>0</v>
      </c>
      <c r="G124">
        <f>'RESUMEN TOTAL'!O127</f>
        <v>0</v>
      </c>
      <c r="H124">
        <f>'RESUMEN TOTAL'!P127</f>
        <v>0</v>
      </c>
      <c r="I124">
        <f>'RESUMEN TOTAL'!Q127</f>
        <v>0</v>
      </c>
      <c r="J124">
        <f>'RESUMEN TOTAL'!R127</f>
        <v>0</v>
      </c>
      <c r="K124">
        <f>'RESUMEN TOTAL'!S127</f>
        <v>0</v>
      </c>
      <c r="L124">
        <f>'RESUMEN TOTAL'!T127</f>
        <v>0</v>
      </c>
      <c r="M124">
        <f>'RESUMEN TOTAL'!U127</f>
        <v>0</v>
      </c>
      <c r="N124">
        <f>'RESUMEN TOTAL'!V127</f>
        <v>0</v>
      </c>
      <c r="O124">
        <f>'RESUMEN TOTAL'!W127</f>
        <v>0</v>
      </c>
      <c r="P124">
        <f>'RESUMEN TOTAL'!X127</f>
        <v>0</v>
      </c>
      <c r="Q124">
        <f>'RESUMEN TOTAL'!Y127</f>
        <v>0</v>
      </c>
      <c r="R124">
        <f>'RESUMEN TOTAL'!Z127</f>
        <v>0</v>
      </c>
      <c r="S124">
        <f>'RESUMEN TOTAL'!AA127</f>
        <v>0</v>
      </c>
      <c r="T124">
        <f>'RESUMEN TOTAL'!AB127</f>
        <v>0</v>
      </c>
      <c r="U124">
        <f>'RESUMEN TOTAL'!AC127</f>
        <v>0</v>
      </c>
      <c r="V124">
        <f>'RESUMEN TOTAL'!AD127</f>
        <v>0</v>
      </c>
      <c r="W124">
        <f>'RESUMEN TOTAL'!AE127</f>
        <v>0</v>
      </c>
      <c r="X124">
        <f>'RESUMEN TOTAL'!AF127</f>
        <v>0</v>
      </c>
      <c r="Y124">
        <f>'RESUMEN TOTAL'!AG127</f>
        <v>0</v>
      </c>
      <c r="Z124">
        <f>'RESUMEN TOTAL'!AH127</f>
        <v>0</v>
      </c>
      <c r="AA124">
        <f>'RESUMEN TOTAL'!AI127</f>
        <v>0</v>
      </c>
      <c r="AB124">
        <f>'RESUMEN TOTAL'!AJ127</f>
        <v>0</v>
      </c>
      <c r="AC124">
        <f>'RESUMEN TOTAL'!AK127</f>
        <v>0</v>
      </c>
      <c r="AD124">
        <f>'RESUMEN TOTAL'!AL127</f>
        <v>0</v>
      </c>
      <c r="AE124">
        <f>'RESUMEN TOTAL'!AM127</f>
        <v>0</v>
      </c>
      <c r="AF124">
        <f>'RESUMEN TOTAL'!AN127</f>
        <v>0</v>
      </c>
      <c r="AG124">
        <f>'RESUMEN TOTAL'!AO127</f>
        <v>0</v>
      </c>
    </row>
    <row r="125" spans="1:33" x14ac:dyDescent="0.25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TOTAL'!N128</f>
        <v>0</v>
      </c>
      <c r="G125">
        <f>'RESUMEN TOTAL'!O128</f>
        <v>0</v>
      </c>
      <c r="H125">
        <f>'RESUMEN TOTAL'!P128</f>
        <v>0</v>
      </c>
      <c r="I125">
        <f>'RESUMEN TOTAL'!Q128</f>
        <v>0</v>
      </c>
      <c r="J125">
        <f>'RESUMEN TOTAL'!R128</f>
        <v>0</v>
      </c>
      <c r="K125">
        <f>'RESUMEN TOTAL'!S128</f>
        <v>0</v>
      </c>
      <c r="L125">
        <f>'RESUMEN TOTAL'!T128</f>
        <v>0</v>
      </c>
      <c r="M125">
        <f>'RESUMEN TOTAL'!U128</f>
        <v>0</v>
      </c>
      <c r="N125">
        <f>'RESUMEN TOTAL'!V128</f>
        <v>0</v>
      </c>
      <c r="O125">
        <f>'RESUMEN TOTAL'!W128</f>
        <v>0</v>
      </c>
      <c r="P125">
        <f>'RESUMEN TOTAL'!X128</f>
        <v>0</v>
      </c>
      <c r="Q125">
        <f>'RESUMEN TOTAL'!Y128</f>
        <v>0</v>
      </c>
      <c r="R125">
        <f>'RESUMEN TOTAL'!Z128</f>
        <v>0</v>
      </c>
      <c r="S125">
        <f>'RESUMEN TOTAL'!AA128</f>
        <v>0</v>
      </c>
      <c r="T125">
        <f>'RESUMEN TOTAL'!AB128</f>
        <v>0</v>
      </c>
      <c r="U125">
        <f>'RESUMEN TOTAL'!AC128</f>
        <v>0</v>
      </c>
      <c r="V125">
        <f>'RESUMEN TOTAL'!AD128</f>
        <v>0</v>
      </c>
      <c r="W125">
        <f>'RESUMEN TOTAL'!AE128</f>
        <v>0</v>
      </c>
      <c r="X125">
        <f>'RESUMEN TOTAL'!AF128</f>
        <v>0</v>
      </c>
      <c r="Y125">
        <f>'RESUMEN TOTAL'!AG128</f>
        <v>0</v>
      </c>
      <c r="Z125">
        <f>'RESUMEN TOTAL'!AH128</f>
        <v>0</v>
      </c>
      <c r="AA125">
        <f>'RESUMEN TOTAL'!AI128</f>
        <v>0</v>
      </c>
      <c r="AB125">
        <f>'RESUMEN TOTAL'!AJ128</f>
        <v>0</v>
      </c>
      <c r="AC125">
        <f>'RESUMEN TOTAL'!AK128</f>
        <v>0</v>
      </c>
      <c r="AD125">
        <f>'RESUMEN TOTAL'!AL128</f>
        <v>0</v>
      </c>
      <c r="AE125">
        <f>'RESUMEN TOTAL'!AM128</f>
        <v>0</v>
      </c>
      <c r="AF125">
        <f>'RESUMEN TOTAL'!AN128</f>
        <v>0</v>
      </c>
      <c r="AG125">
        <f>'RESUMEN TOTAL'!AO128</f>
        <v>0</v>
      </c>
    </row>
    <row r="126" spans="1:33" x14ac:dyDescent="0.25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PTP A FO</v>
      </c>
      <c r="F126">
        <f>'RESUMEN TOTAL'!N129</f>
        <v>0</v>
      </c>
      <c r="G126">
        <f>'RESUMEN TOTAL'!O129</f>
        <v>0</v>
      </c>
      <c r="H126">
        <f>'RESUMEN TOTAL'!P129</f>
        <v>0</v>
      </c>
      <c r="I126">
        <f>'RESUMEN TOTAL'!Q129</f>
        <v>0</v>
      </c>
      <c r="J126" t="str">
        <f>'RESUMEN TOTAL'!R129</f>
        <v>APAGADO</v>
      </c>
      <c r="K126">
        <f>'RESUMEN TOTAL'!S129</f>
        <v>0</v>
      </c>
      <c r="L126">
        <f>'RESUMEN TOTAL'!T129</f>
        <v>0</v>
      </c>
      <c r="M126">
        <f>'RESUMEN TOTAL'!U129</f>
        <v>0</v>
      </c>
      <c r="N126">
        <f>'RESUMEN TOTAL'!V129</f>
        <v>0</v>
      </c>
      <c r="O126">
        <f>'RESUMEN TOTAL'!W129</f>
        <v>0</v>
      </c>
      <c r="P126">
        <f>'RESUMEN TOTAL'!X129</f>
        <v>0</v>
      </c>
      <c r="Q126">
        <f>'RESUMEN TOTAL'!Y129</f>
        <v>0</v>
      </c>
      <c r="R126">
        <f>'RESUMEN TOTAL'!Z129</f>
        <v>0</v>
      </c>
      <c r="S126">
        <f>'RESUMEN TOTAL'!AA129</f>
        <v>0</v>
      </c>
      <c r="T126">
        <f>'RESUMEN TOTAL'!AB129</f>
        <v>0</v>
      </c>
      <c r="U126">
        <f>'RESUMEN TOTAL'!AC129</f>
        <v>0</v>
      </c>
      <c r="V126">
        <f>'RESUMEN TOTAL'!AD129</f>
        <v>0</v>
      </c>
      <c r="W126">
        <f>'RESUMEN TOTAL'!AE129</f>
        <v>0</v>
      </c>
      <c r="X126">
        <f>'RESUMEN TOTAL'!AF129</f>
        <v>0</v>
      </c>
      <c r="Y126">
        <f>'RESUMEN TOTAL'!AG129</f>
        <v>0</v>
      </c>
      <c r="Z126">
        <f>'RESUMEN TOTAL'!AH129</f>
        <v>0</v>
      </c>
      <c r="AA126">
        <f>'RESUMEN TOTAL'!AI129</f>
        <v>0</v>
      </c>
      <c r="AB126">
        <f>'RESUMEN TOTAL'!AJ129</f>
        <v>0</v>
      </c>
      <c r="AC126">
        <f>'RESUMEN TOTAL'!AK129</f>
        <v>0</v>
      </c>
      <c r="AD126">
        <f>'RESUMEN TOTAL'!AL129</f>
        <v>0</v>
      </c>
      <c r="AE126">
        <f>'RESUMEN TOTAL'!AM129</f>
        <v>0</v>
      </c>
      <c r="AF126">
        <f>'RESUMEN TOTAL'!AN129</f>
        <v>0</v>
      </c>
      <c r="AG126">
        <f>'RESUMEN TOTAL'!AO129</f>
        <v>0</v>
      </c>
    </row>
    <row r="127" spans="1:33" x14ac:dyDescent="0.25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PTP A FO</v>
      </c>
      <c r="F127">
        <f>'RESUMEN TOTAL'!N130</f>
        <v>0</v>
      </c>
      <c r="G127">
        <f>'RESUMEN TOTAL'!O130</f>
        <v>0</v>
      </c>
      <c r="H127">
        <f>'RESUMEN TOTAL'!P130</f>
        <v>0</v>
      </c>
      <c r="I127">
        <f>'RESUMEN TOTAL'!Q130</f>
        <v>0</v>
      </c>
      <c r="J127">
        <f>'RESUMEN TOTAL'!R130</f>
        <v>0</v>
      </c>
      <c r="K127">
        <f>'RESUMEN TOTAL'!S130</f>
        <v>0</v>
      </c>
      <c r="L127">
        <f>'RESUMEN TOTAL'!T130</f>
        <v>0</v>
      </c>
      <c r="M127">
        <f>'RESUMEN TOTAL'!U130</f>
        <v>0</v>
      </c>
      <c r="N127">
        <f>'RESUMEN TOTAL'!V130</f>
        <v>0</v>
      </c>
      <c r="O127">
        <f>'RESUMEN TOTAL'!W130</f>
        <v>0</v>
      </c>
      <c r="P127">
        <f>'RESUMEN TOTAL'!X130</f>
        <v>0</v>
      </c>
      <c r="Q127">
        <f>'RESUMEN TOTAL'!Y130</f>
        <v>0</v>
      </c>
      <c r="R127">
        <f>'RESUMEN TOTAL'!Z130</f>
        <v>0</v>
      </c>
      <c r="S127">
        <f>'RESUMEN TOTAL'!AA130</f>
        <v>0</v>
      </c>
      <c r="T127">
        <f>'RESUMEN TOTAL'!AB130</f>
        <v>0</v>
      </c>
      <c r="U127">
        <f>'RESUMEN TOTAL'!AC130</f>
        <v>0</v>
      </c>
      <c r="V127">
        <f>'RESUMEN TOTAL'!AD130</f>
        <v>0</v>
      </c>
      <c r="W127">
        <f>'RESUMEN TOTAL'!AE130</f>
        <v>0</v>
      </c>
      <c r="X127">
        <f>'RESUMEN TOTAL'!AF130</f>
        <v>0</v>
      </c>
      <c r="Y127">
        <f>'RESUMEN TOTAL'!AG130</f>
        <v>0</v>
      </c>
      <c r="Z127">
        <f>'RESUMEN TOTAL'!AH130</f>
        <v>0</v>
      </c>
      <c r="AA127">
        <f>'RESUMEN TOTAL'!AI130</f>
        <v>0</v>
      </c>
      <c r="AB127">
        <f>'RESUMEN TOTAL'!AJ130</f>
        <v>0</v>
      </c>
      <c r="AC127">
        <f>'RESUMEN TOTAL'!AK130</f>
        <v>0</v>
      </c>
      <c r="AD127">
        <f>'RESUMEN TOTAL'!AL130</f>
        <v>0</v>
      </c>
      <c r="AE127">
        <f>'RESUMEN TOTAL'!AM130</f>
        <v>0</v>
      </c>
      <c r="AF127">
        <f>'RESUMEN TOTAL'!AN130</f>
        <v>0</v>
      </c>
      <c r="AG127">
        <f>'RESUMEN TOTAL'!AO130</f>
        <v>0</v>
      </c>
    </row>
    <row r="128" spans="1:33" x14ac:dyDescent="0.25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>
        <f>'RESUMEN TOTAL'!N131</f>
        <v>0</v>
      </c>
      <c r="G128">
        <f>'RESUMEN TOTAL'!O131</f>
        <v>0</v>
      </c>
      <c r="H128">
        <f>'RESUMEN TOTAL'!P131</f>
        <v>0</v>
      </c>
      <c r="I128">
        <f>'RESUMEN TOTAL'!Q131</f>
        <v>0</v>
      </c>
      <c r="J128">
        <f>'RESUMEN TOTAL'!R131</f>
        <v>0</v>
      </c>
      <c r="K128">
        <f>'RESUMEN TOTAL'!S131</f>
        <v>0</v>
      </c>
      <c r="L128">
        <f>'RESUMEN TOTAL'!T131</f>
        <v>0</v>
      </c>
      <c r="M128">
        <f>'RESUMEN TOTAL'!U131</f>
        <v>0</v>
      </c>
      <c r="N128">
        <f>'RESUMEN TOTAL'!V131</f>
        <v>0</v>
      </c>
      <c r="O128">
        <f>'RESUMEN TOTAL'!W131</f>
        <v>0</v>
      </c>
      <c r="P128">
        <f>'RESUMEN TOTAL'!X131</f>
        <v>0</v>
      </c>
      <c r="Q128">
        <f>'RESUMEN TOTAL'!Y131</f>
        <v>0</v>
      </c>
      <c r="R128">
        <f>'RESUMEN TOTAL'!Z131</f>
        <v>0</v>
      </c>
      <c r="S128">
        <f>'RESUMEN TOTAL'!AA131</f>
        <v>0</v>
      </c>
      <c r="T128">
        <f>'RESUMEN TOTAL'!AB131</f>
        <v>0</v>
      </c>
      <c r="U128">
        <f>'RESUMEN TOTAL'!AC131</f>
        <v>0</v>
      </c>
      <c r="V128">
        <f>'RESUMEN TOTAL'!AD131</f>
        <v>0</v>
      </c>
      <c r="W128">
        <f>'RESUMEN TOTAL'!AE131</f>
        <v>0</v>
      </c>
      <c r="X128">
        <f>'RESUMEN TOTAL'!AF131</f>
        <v>0</v>
      </c>
      <c r="Y128">
        <f>'RESUMEN TOTAL'!AG131</f>
        <v>0</v>
      </c>
      <c r="Z128">
        <f>'RESUMEN TOTAL'!AH131</f>
        <v>0</v>
      </c>
      <c r="AA128">
        <f>'RESUMEN TOTAL'!AI131</f>
        <v>0</v>
      </c>
      <c r="AB128">
        <f>'RESUMEN TOTAL'!AJ131</f>
        <v>0</v>
      </c>
      <c r="AC128">
        <f>'RESUMEN TOTAL'!AK131</f>
        <v>0</v>
      </c>
      <c r="AD128">
        <f>'RESUMEN TOTAL'!AL131</f>
        <v>0</v>
      </c>
      <c r="AE128">
        <f>'RESUMEN TOTAL'!AM131</f>
        <v>0</v>
      </c>
      <c r="AF128">
        <f>'RESUMEN TOTAL'!AN131</f>
        <v>0</v>
      </c>
      <c r="AG128">
        <f>'RESUMEN TOTAL'!AO131</f>
        <v>0</v>
      </c>
    </row>
    <row r="129" spans="1:33" x14ac:dyDescent="0.25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TOTAL'!N132</f>
        <v>0</v>
      </c>
      <c r="G129">
        <f>'RESUMEN TOTAL'!O132</f>
        <v>0</v>
      </c>
      <c r="H129">
        <f>'RESUMEN TOTAL'!P132</f>
        <v>0</v>
      </c>
      <c r="I129">
        <f>'RESUMEN TOTAL'!Q132</f>
        <v>0</v>
      </c>
      <c r="J129">
        <f>'RESUMEN TOTAL'!R132</f>
        <v>0</v>
      </c>
      <c r="K129">
        <f>'RESUMEN TOTAL'!S132</f>
        <v>0</v>
      </c>
      <c r="L129">
        <f>'RESUMEN TOTAL'!T132</f>
        <v>0</v>
      </c>
      <c r="M129">
        <f>'RESUMEN TOTAL'!U132</f>
        <v>0</v>
      </c>
      <c r="N129">
        <f>'RESUMEN TOTAL'!V132</f>
        <v>0</v>
      </c>
      <c r="O129">
        <f>'RESUMEN TOTAL'!W132</f>
        <v>0</v>
      </c>
      <c r="P129">
        <f>'RESUMEN TOTAL'!X132</f>
        <v>0</v>
      </c>
      <c r="Q129">
        <f>'RESUMEN TOTAL'!Y132</f>
        <v>0</v>
      </c>
      <c r="R129">
        <f>'RESUMEN TOTAL'!Z132</f>
        <v>0</v>
      </c>
      <c r="S129">
        <f>'RESUMEN TOTAL'!AA132</f>
        <v>0</v>
      </c>
      <c r="T129">
        <f>'RESUMEN TOTAL'!AB132</f>
        <v>0</v>
      </c>
      <c r="U129">
        <f>'RESUMEN TOTAL'!AC132</f>
        <v>0</v>
      </c>
      <c r="V129">
        <f>'RESUMEN TOTAL'!AD132</f>
        <v>0</v>
      </c>
      <c r="W129">
        <f>'RESUMEN TOTAL'!AE132</f>
        <v>0</v>
      </c>
      <c r="X129">
        <f>'RESUMEN TOTAL'!AF132</f>
        <v>0</v>
      </c>
      <c r="Y129">
        <f>'RESUMEN TOTAL'!AG132</f>
        <v>0</v>
      </c>
      <c r="Z129">
        <f>'RESUMEN TOTAL'!AH132</f>
        <v>0</v>
      </c>
      <c r="AA129">
        <f>'RESUMEN TOTAL'!AI132</f>
        <v>0</v>
      </c>
      <c r="AB129">
        <f>'RESUMEN TOTAL'!AJ132</f>
        <v>0</v>
      </c>
      <c r="AC129">
        <f>'RESUMEN TOTAL'!AK132</f>
        <v>0</v>
      </c>
      <c r="AD129">
        <f>'RESUMEN TOTAL'!AL132</f>
        <v>0</v>
      </c>
      <c r="AE129">
        <f>'RESUMEN TOTAL'!AM132</f>
        <v>0</v>
      </c>
      <c r="AF129">
        <f>'RESUMEN TOTAL'!AN132</f>
        <v>0</v>
      </c>
      <c r="AG129">
        <f>'RESUMEN TOTAL'!AO132</f>
        <v>0</v>
      </c>
    </row>
    <row r="130" spans="1:33" x14ac:dyDescent="0.25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TOTAL'!N133</f>
        <v>APAGADO</v>
      </c>
      <c r="G130" t="str">
        <f>'RESUMEN TOTAL'!O133</f>
        <v>APAGADO</v>
      </c>
      <c r="H130" t="str">
        <f>'RESUMEN TOTAL'!P133</f>
        <v>APAGADO</v>
      </c>
      <c r="I130" t="str">
        <f>'RESUMEN TOTAL'!Q133</f>
        <v>APAGADO</v>
      </c>
      <c r="J130" t="str">
        <f>'RESUMEN TOTAL'!R133</f>
        <v>APAGADO</v>
      </c>
      <c r="K130" t="str">
        <f>'RESUMEN TOTAL'!S133</f>
        <v>APAGADO</v>
      </c>
      <c r="L130" t="str">
        <f>'RESUMEN TOTAL'!T133</f>
        <v>APAGADO</v>
      </c>
      <c r="M130">
        <f>'RESUMEN TOTAL'!U133</f>
        <v>0</v>
      </c>
      <c r="N130">
        <f>'RESUMEN TOTAL'!V133</f>
        <v>0</v>
      </c>
      <c r="O130">
        <f>'RESUMEN TOTAL'!W133</f>
        <v>0</v>
      </c>
      <c r="P130">
        <f>'RESUMEN TOTAL'!X133</f>
        <v>0</v>
      </c>
      <c r="Q130">
        <f>'RESUMEN TOTAL'!Y133</f>
        <v>0</v>
      </c>
      <c r="R130">
        <f>'RESUMEN TOTAL'!Z133</f>
        <v>0</v>
      </c>
      <c r="S130">
        <f>'RESUMEN TOTAL'!AA133</f>
        <v>0</v>
      </c>
      <c r="T130">
        <f>'RESUMEN TOTAL'!AB133</f>
        <v>0</v>
      </c>
      <c r="U130">
        <f>'RESUMEN TOTAL'!AC133</f>
        <v>0</v>
      </c>
      <c r="V130">
        <f>'RESUMEN TOTAL'!AD133</f>
        <v>0</v>
      </c>
      <c r="W130">
        <f>'RESUMEN TOTAL'!AE133</f>
        <v>0</v>
      </c>
      <c r="X130">
        <f>'RESUMEN TOTAL'!AF133</f>
        <v>0</v>
      </c>
      <c r="Y130">
        <f>'RESUMEN TOTAL'!AG133</f>
        <v>0</v>
      </c>
      <c r="Z130">
        <f>'RESUMEN TOTAL'!AH133</f>
        <v>0</v>
      </c>
      <c r="AA130">
        <f>'RESUMEN TOTAL'!AI133</f>
        <v>0</v>
      </c>
      <c r="AB130">
        <f>'RESUMEN TOTAL'!AJ133</f>
        <v>0</v>
      </c>
      <c r="AC130">
        <f>'RESUMEN TOTAL'!AK133</f>
        <v>0</v>
      </c>
      <c r="AD130">
        <f>'RESUMEN TOTAL'!AL133</f>
        <v>0</v>
      </c>
      <c r="AE130">
        <f>'RESUMEN TOTAL'!AM133</f>
        <v>0</v>
      </c>
      <c r="AF130">
        <f>'RESUMEN TOTAL'!AN133</f>
        <v>0</v>
      </c>
      <c r="AG130">
        <f>'RESUMEN TOTAL'!AO133</f>
        <v>0</v>
      </c>
    </row>
    <row r="131" spans="1:33" x14ac:dyDescent="0.25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TOTAL'!N134</f>
        <v>0</v>
      </c>
      <c r="G131">
        <f>'RESUMEN TOTAL'!O134</f>
        <v>0</v>
      </c>
      <c r="H131">
        <f>'RESUMEN TOTAL'!P134</f>
        <v>0</v>
      </c>
      <c r="I131">
        <f>'RESUMEN TOTAL'!Q134</f>
        <v>0</v>
      </c>
      <c r="J131" t="str">
        <f>'RESUMEN TOTAL'!R134</f>
        <v>APAGADO</v>
      </c>
      <c r="K131">
        <f>'RESUMEN TOTAL'!S134</f>
        <v>0</v>
      </c>
      <c r="L131">
        <f>'RESUMEN TOTAL'!T134</f>
        <v>0</v>
      </c>
      <c r="M131">
        <f>'RESUMEN TOTAL'!U134</f>
        <v>0</v>
      </c>
      <c r="N131">
        <f>'RESUMEN TOTAL'!V134</f>
        <v>0</v>
      </c>
      <c r="O131">
        <f>'RESUMEN TOTAL'!W134</f>
        <v>0</v>
      </c>
      <c r="P131">
        <f>'RESUMEN TOTAL'!X134</f>
        <v>0</v>
      </c>
      <c r="Q131">
        <f>'RESUMEN TOTAL'!Y134</f>
        <v>0</v>
      </c>
      <c r="R131">
        <f>'RESUMEN TOTAL'!Z134</f>
        <v>0</v>
      </c>
      <c r="S131">
        <f>'RESUMEN TOTAL'!AA134</f>
        <v>0</v>
      </c>
      <c r="T131">
        <f>'RESUMEN TOTAL'!AB134</f>
        <v>0</v>
      </c>
      <c r="U131">
        <f>'RESUMEN TOTAL'!AC134</f>
        <v>0</v>
      </c>
      <c r="V131">
        <f>'RESUMEN TOTAL'!AD134</f>
        <v>0</v>
      </c>
      <c r="W131">
        <f>'RESUMEN TOTAL'!AE134</f>
        <v>0</v>
      </c>
      <c r="X131">
        <f>'RESUMEN TOTAL'!AF134</f>
        <v>0</v>
      </c>
      <c r="Y131">
        <f>'RESUMEN TOTAL'!AG134</f>
        <v>0</v>
      </c>
      <c r="Z131">
        <f>'RESUMEN TOTAL'!AH134</f>
        <v>0</v>
      </c>
      <c r="AA131">
        <f>'RESUMEN TOTAL'!AI134</f>
        <v>0</v>
      </c>
      <c r="AB131">
        <f>'RESUMEN TOTAL'!AJ134</f>
        <v>0</v>
      </c>
      <c r="AC131">
        <f>'RESUMEN TOTAL'!AK134</f>
        <v>0</v>
      </c>
      <c r="AD131">
        <f>'RESUMEN TOTAL'!AL134</f>
        <v>0</v>
      </c>
      <c r="AE131">
        <f>'RESUMEN TOTAL'!AM134</f>
        <v>0</v>
      </c>
      <c r="AF131">
        <f>'RESUMEN TOTAL'!AN134</f>
        <v>0</v>
      </c>
      <c r="AG131">
        <f>'RESUMEN TOTAL'!AO134</f>
        <v>0</v>
      </c>
    </row>
    <row r="132" spans="1:33" x14ac:dyDescent="0.25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>
        <f>'RESUMEN TOTAL'!N135</f>
        <v>0</v>
      </c>
      <c r="G132">
        <f>'RESUMEN TOTAL'!O135</f>
        <v>0</v>
      </c>
      <c r="H132">
        <f>'RESUMEN TOTAL'!P135</f>
        <v>0</v>
      </c>
      <c r="I132">
        <f>'RESUMEN TOTAL'!Q135</f>
        <v>0</v>
      </c>
      <c r="J132">
        <f>'RESUMEN TOTAL'!R135</f>
        <v>0</v>
      </c>
      <c r="K132">
        <f>'RESUMEN TOTAL'!S135</f>
        <v>0</v>
      </c>
      <c r="L132">
        <f>'RESUMEN TOTAL'!T135</f>
        <v>0</v>
      </c>
      <c r="M132">
        <f>'RESUMEN TOTAL'!U135</f>
        <v>0</v>
      </c>
      <c r="N132">
        <f>'RESUMEN TOTAL'!V135</f>
        <v>0</v>
      </c>
      <c r="O132">
        <f>'RESUMEN TOTAL'!W135</f>
        <v>0</v>
      </c>
      <c r="P132">
        <f>'RESUMEN TOTAL'!X135</f>
        <v>0</v>
      </c>
      <c r="Q132">
        <f>'RESUMEN TOTAL'!Y135</f>
        <v>0</v>
      </c>
      <c r="R132">
        <f>'RESUMEN TOTAL'!Z135</f>
        <v>0</v>
      </c>
      <c r="S132">
        <f>'RESUMEN TOTAL'!AA135</f>
        <v>0</v>
      </c>
      <c r="T132">
        <f>'RESUMEN TOTAL'!AB135</f>
        <v>0</v>
      </c>
      <c r="U132">
        <f>'RESUMEN TOTAL'!AC135</f>
        <v>0</v>
      </c>
      <c r="V132">
        <f>'RESUMEN TOTAL'!AD135</f>
        <v>0</v>
      </c>
      <c r="W132">
        <f>'RESUMEN TOTAL'!AE135</f>
        <v>0</v>
      </c>
      <c r="X132">
        <f>'RESUMEN TOTAL'!AF135</f>
        <v>0</v>
      </c>
      <c r="Y132">
        <f>'RESUMEN TOTAL'!AG135</f>
        <v>0</v>
      </c>
      <c r="Z132">
        <f>'RESUMEN TOTAL'!AH135</f>
        <v>0</v>
      </c>
      <c r="AA132">
        <f>'RESUMEN TOTAL'!AI135</f>
        <v>0</v>
      </c>
      <c r="AB132">
        <f>'RESUMEN TOTAL'!AJ135</f>
        <v>0</v>
      </c>
      <c r="AC132">
        <f>'RESUMEN TOTAL'!AK135</f>
        <v>0</v>
      </c>
      <c r="AD132">
        <f>'RESUMEN TOTAL'!AL135</f>
        <v>0</v>
      </c>
      <c r="AE132">
        <f>'RESUMEN TOTAL'!AM135</f>
        <v>0</v>
      </c>
      <c r="AF132">
        <f>'RESUMEN TOTAL'!AN135</f>
        <v>0</v>
      </c>
      <c r="AG132">
        <f>'RESUMEN TOTAL'!AO135</f>
        <v>0</v>
      </c>
    </row>
    <row r="133" spans="1:33" x14ac:dyDescent="0.25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 t="str">
        <f>'RESUMEN TOTAL'!N136</f>
        <v>APAGADO</v>
      </c>
      <c r="G133">
        <f>'RESUMEN TOTAL'!O136</f>
        <v>0</v>
      </c>
      <c r="H133">
        <f>'RESUMEN TOTAL'!P136</f>
        <v>0</v>
      </c>
      <c r="I133">
        <f>'RESUMEN TOTAL'!Q136</f>
        <v>0</v>
      </c>
      <c r="J133">
        <f>'RESUMEN TOTAL'!R136</f>
        <v>0</v>
      </c>
      <c r="K133">
        <f>'RESUMEN TOTAL'!S136</f>
        <v>0</v>
      </c>
      <c r="L133">
        <f>'RESUMEN TOTAL'!T136</f>
        <v>0</v>
      </c>
      <c r="M133">
        <f>'RESUMEN TOTAL'!U136</f>
        <v>0</v>
      </c>
      <c r="N133">
        <f>'RESUMEN TOTAL'!V136</f>
        <v>0</v>
      </c>
      <c r="O133">
        <f>'RESUMEN TOTAL'!W136</f>
        <v>0</v>
      </c>
      <c r="P133">
        <f>'RESUMEN TOTAL'!X136</f>
        <v>0</v>
      </c>
      <c r="Q133">
        <f>'RESUMEN TOTAL'!Y136</f>
        <v>0</v>
      </c>
      <c r="R133">
        <f>'RESUMEN TOTAL'!Z136</f>
        <v>0</v>
      </c>
      <c r="S133">
        <f>'RESUMEN TOTAL'!AA136</f>
        <v>0</v>
      </c>
      <c r="T133">
        <f>'RESUMEN TOTAL'!AB136</f>
        <v>0</v>
      </c>
      <c r="U133">
        <f>'RESUMEN TOTAL'!AC136</f>
        <v>0</v>
      </c>
      <c r="V133">
        <f>'RESUMEN TOTAL'!AD136</f>
        <v>0</v>
      </c>
      <c r="W133">
        <f>'RESUMEN TOTAL'!AE136</f>
        <v>0</v>
      </c>
      <c r="X133">
        <f>'RESUMEN TOTAL'!AF136</f>
        <v>0</v>
      </c>
      <c r="Y133">
        <f>'RESUMEN TOTAL'!AG136</f>
        <v>0</v>
      </c>
      <c r="Z133">
        <f>'RESUMEN TOTAL'!AH136</f>
        <v>0</v>
      </c>
      <c r="AA133">
        <f>'RESUMEN TOTAL'!AI136</f>
        <v>0</v>
      </c>
      <c r="AB133">
        <f>'RESUMEN TOTAL'!AJ136</f>
        <v>0</v>
      </c>
      <c r="AC133">
        <f>'RESUMEN TOTAL'!AK136</f>
        <v>0</v>
      </c>
      <c r="AD133">
        <f>'RESUMEN TOTAL'!AL136</f>
        <v>0</v>
      </c>
      <c r="AE133">
        <f>'RESUMEN TOTAL'!AM136</f>
        <v>0</v>
      </c>
      <c r="AF133">
        <f>'RESUMEN TOTAL'!AN136</f>
        <v>0</v>
      </c>
      <c r="AG133">
        <f>'RESUMEN TOTAL'!AO136</f>
        <v>0</v>
      </c>
    </row>
    <row r="134" spans="1:33" x14ac:dyDescent="0.25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 t="str">
        <f>'RESUMEN TOTAL'!N137</f>
        <v>APAGADO</v>
      </c>
      <c r="G134" t="str">
        <f>'RESUMEN TOTAL'!O137</f>
        <v>APAGADO</v>
      </c>
      <c r="H134" t="str">
        <f>'RESUMEN TOTAL'!P137</f>
        <v>APAGADO</v>
      </c>
      <c r="I134" t="str">
        <f>'RESUMEN TOTAL'!Q137</f>
        <v>APAGADO</v>
      </c>
      <c r="J134">
        <f>'RESUMEN TOTAL'!R137</f>
        <v>0</v>
      </c>
      <c r="K134">
        <f>'RESUMEN TOTAL'!S137</f>
        <v>0</v>
      </c>
      <c r="L134">
        <f>'RESUMEN TOTAL'!T137</f>
        <v>0</v>
      </c>
      <c r="M134">
        <f>'RESUMEN TOTAL'!U137</f>
        <v>0</v>
      </c>
      <c r="N134">
        <f>'RESUMEN TOTAL'!V137</f>
        <v>0</v>
      </c>
      <c r="O134">
        <f>'RESUMEN TOTAL'!W137</f>
        <v>0</v>
      </c>
      <c r="P134">
        <f>'RESUMEN TOTAL'!X137</f>
        <v>0</v>
      </c>
      <c r="Q134">
        <f>'RESUMEN TOTAL'!Y137</f>
        <v>0</v>
      </c>
      <c r="R134">
        <f>'RESUMEN TOTAL'!Z137</f>
        <v>0</v>
      </c>
      <c r="S134">
        <f>'RESUMEN TOTAL'!AA137</f>
        <v>0</v>
      </c>
      <c r="T134">
        <f>'RESUMEN TOTAL'!AB137</f>
        <v>0</v>
      </c>
      <c r="U134">
        <f>'RESUMEN TOTAL'!AC137</f>
        <v>0</v>
      </c>
      <c r="V134">
        <f>'RESUMEN TOTAL'!AD137</f>
        <v>0</v>
      </c>
      <c r="W134">
        <f>'RESUMEN TOTAL'!AE137</f>
        <v>0</v>
      </c>
      <c r="X134">
        <f>'RESUMEN TOTAL'!AF137</f>
        <v>0</v>
      </c>
      <c r="Y134">
        <f>'RESUMEN TOTAL'!AG137</f>
        <v>0</v>
      </c>
      <c r="Z134">
        <f>'RESUMEN TOTAL'!AH137</f>
        <v>0</v>
      </c>
      <c r="AA134">
        <f>'RESUMEN TOTAL'!AI137</f>
        <v>0</v>
      </c>
      <c r="AB134">
        <f>'RESUMEN TOTAL'!AJ137</f>
        <v>0</v>
      </c>
      <c r="AC134">
        <f>'RESUMEN TOTAL'!AK137</f>
        <v>0</v>
      </c>
      <c r="AD134">
        <f>'RESUMEN TOTAL'!AL137</f>
        <v>0</v>
      </c>
      <c r="AE134">
        <f>'RESUMEN TOTAL'!AM137</f>
        <v>0</v>
      </c>
      <c r="AF134">
        <f>'RESUMEN TOTAL'!AN137</f>
        <v>0</v>
      </c>
      <c r="AG134">
        <f>'RESUMEN TOTAL'!AO137</f>
        <v>0</v>
      </c>
    </row>
    <row r="135" spans="1:33" x14ac:dyDescent="0.25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PTP A FO</v>
      </c>
      <c r="F135">
        <f>'RESUMEN TOTAL'!N138</f>
        <v>0</v>
      </c>
      <c r="G135">
        <f>'RESUMEN TOTAL'!O138</f>
        <v>0</v>
      </c>
      <c r="H135">
        <f>'RESUMEN TOTAL'!P138</f>
        <v>0</v>
      </c>
      <c r="I135">
        <f>'RESUMEN TOTAL'!Q138</f>
        <v>0</v>
      </c>
      <c r="J135">
        <f>'RESUMEN TOTAL'!R138</f>
        <v>0</v>
      </c>
      <c r="K135">
        <f>'RESUMEN TOTAL'!S138</f>
        <v>0</v>
      </c>
      <c r="L135">
        <f>'RESUMEN TOTAL'!T138</f>
        <v>0</v>
      </c>
      <c r="M135">
        <f>'RESUMEN TOTAL'!U138</f>
        <v>0</v>
      </c>
      <c r="N135">
        <f>'RESUMEN TOTAL'!V138</f>
        <v>0</v>
      </c>
      <c r="O135">
        <f>'RESUMEN TOTAL'!W138</f>
        <v>0</v>
      </c>
      <c r="P135">
        <f>'RESUMEN TOTAL'!X138</f>
        <v>0</v>
      </c>
      <c r="Q135">
        <f>'RESUMEN TOTAL'!Y138</f>
        <v>0</v>
      </c>
      <c r="R135">
        <f>'RESUMEN TOTAL'!Z138</f>
        <v>0</v>
      </c>
      <c r="S135">
        <f>'RESUMEN TOTAL'!AA138</f>
        <v>0</v>
      </c>
      <c r="T135">
        <f>'RESUMEN TOTAL'!AB138</f>
        <v>0</v>
      </c>
      <c r="U135">
        <f>'RESUMEN TOTAL'!AC138</f>
        <v>0</v>
      </c>
      <c r="V135">
        <f>'RESUMEN TOTAL'!AD138</f>
        <v>0</v>
      </c>
      <c r="W135">
        <f>'RESUMEN TOTAL'!AE138</f>
        <v>0</v>
      </c>
      <c r="X135">
        <f>'RESUMEN TOTAL'!AF138</f>
        <v>0</v>
      </c>
      <c r="Y135">
        <f>'RESUMEN TOTAL'!AG138</f>
        <v>0</v>
      </c>
      <c r="Z135">
        <f>'RESUMEN TOTAL'!AH138</f>
        <v>0</v>
      </c>
      <c r="AA135">
        <f>'RESUMEN TOTAL'!AI138</f>
        <v>0</v>
      </c>
      <c r="AB135">
        <f>'RESUMEN TOTAL'!AJ138</f>
        <v>0</v>
      </c>
      <c r="AC135">
        <f>'RESUMEN TOTAL'!AK138</f>
        <v>0</v>
      </c>
      <c r="AD135">
        <f>'RESUMEN TOTAL'!AL138</f>
        <v>0</v>
      </c>
      <c r="AE135">
        <f>'RESUMEN TOTAL'!AM138</f>
        <v>0</v>
      </c>
      <c r="AF135">
        <f>'RESUMEN TOTAL'!AN138</f>
        <v>0</v>
      </c>
      <c r="AG135">
        <f>'RESUMEN TOTAL'!AO138</f>
        <v>0</v>
      </c>
    </row>
    <row r="136" spans="1:33" x14ac:dyDescent="0.25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PTP A FO</v>
      </c>
      <c r="F136">
        <f>'RESUMEN TOTAL'!N139</f>
        <v>0</v>
      </c>
      <c r="G136">
        <f>'RESUMEN TOTAL'!O139</f>
        <v>0</v>
      </c>
      <c r="H136">
        <f>'RESUMEN TOTAL'!P139</f>
        <v>0</v>
      </c>
      <c r="I136">
        <f>'RESUMEN TOTAL'!Q139</f>
        <v>0</v>
      </c>
      <c r="J136">
        <f>'RESUMEN TOTAL'!R139</f>
        <v>0</v>
      </c>
      <c r="K136">
        <f>'RESUMEN TOTAL'!S139</f>
        <v>0</v>
      </c>
      <c r="L136">
        <f>'RESUMEN TOTAL'!T139</f>
        <v>0</v>
      </c>
      <c r="M136">
        <f>'RESUMEN TOTAL'!U139</f>
        <v>0</v>
      </c>
      <c r="N136">
        <f>'RESUMEN TOTAL'!V139</f>
        <v>0</v>
      </c>
      <c r="O136">
        <f>'RESUMEN TOTAL'!W139</f>
        <v>0</v>
      </c>
      <c r="P136">
        <f>'RESUMEN TOTAL'!X139</f>
        <v>0</v>
      </c>
      <c r="Q136">
        <f>'RESUMEN TOTAL'!Y139</f>
        <v>0</v>
      </c>
      <c r="R136">
        <f>'RESUMEN TOTAL'!Z139</f>
        <v>0</v>
      </c>
      <c r="S136">
        <f>'RESUMEN TOTAL'!AA139</f>
        <v>0</v>
      </c>
      <c r="T136">
        <f>'RESUMEN TOTAL'!AB139</f>
        <v>0</v>
      </c>
      <c r="U136">
        <f>'RESUMEN TOTAL'!AC139</f>
        <v>0</v>
      </c>
      <c r="V136">
        <f>'RESUMEN TOTAL'!AD139</f>
        <v>0</v>
      </c>
      <c r="W136">
        <f>'RESUMEN TOTAL'!AE139</f>
        <v>0</v>
      </c>
      <c r="X136">
        <f>'RESUMEN TOTAL'!AF139</f>
        <v>0</v>
      </c>
      <c r="Y136">
        <f>'RESUMEN TOTAL'!AG139</f>
        <v>0</v>
      </c>
      <c r="Z136">
        <f>'RESUMEN TOTAL'!AH139</f>
        <v>0</v>
      </c>
      <c r="AA136">
        <f>'RESUMEN TOTAL'!AI139</f>
        <v>0</v>
      </c>
      <c r="AB136">
        <f>'RESUMEN TOTAL'!AJ139</f>
        <v>0</v>
      </c>
      <c r="AC136">
        <f>'RESUMEN TOTAL'!AK139</f>
        <v>0</v>
      </c>
      <c r="AD136">
        <f>'RESUMEN TOTAL'!AL139</f>
        <v>0</v>
      </c>
      <c r="AE136">
        <f>'RESUMEN TOTAL'!AM139</f>
        <v>0</v>
      </c>
      <c r="AF136">
        <f>'RESUMEN TOTAL'!AN139</f>
        <v>0</v>
      </c>
      <c r="AG136">
        <f>'RESUMEN TOTAL'!AO139</f>
        <v>0</v>
      </c>
    </row>
    <row r="137" spans="1:33" x14ac:dyDescent="0.25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PTP A FO</v>
      </c>
      <c r="F137">
        <f>'RESUMEN TOTAL'!N140</f>
        <v>0</v>
      </c>
      <c r="G137">
        <f>'RESUMEN TOTAL'!O140</f>
        <v>0</v>
      </c>
      <c r="H137">
        <f>'RESUMEN TOTAL'!P140</f>
        <v>0</v>
      </c>
      <c r="I137">
        <f>'RESUMEN TOTAL'!Q140</f>
        <v>0</v>
      </c>
      <c r="J137">
        <f>'RESUMEN TOTAL'!R140</f>
        <v>0</v>
      </c>
      <c r="K137">
        <f>'RESUMEN TOTAL'!S140</f>
        <v>0</v>
      </c>
      <c r="L137">
        <f>'RESUMEN TOTAL'!T140</f>
        <v>0</v>
      </c>
      <c r="M137">
        <f>'RESUMEN TOTAL'!U140</f>
        <v>0</v>
      </c>
      <c r="N137">
        <f>'RESUMEN TOTAL'!V140</f>
        <v>0</v>
      </c>
      <c r="O137">
        <f>'RESUMEN TOTAL'!W140</f>
        <v>0</v>
      </c>
      <c r="P137">
        <f>'RESUMEN TOTAL'!X140</f>
        <v>0</v>
      </c>
      <c r="Q137">
        <f>'RESUMEN TOTAL'!Y140</f>
        <v>0</v>
      </c>
      <c r="R137">
        <f>'RESUMEN TOTAL'!Z140</f>
        <v>0</v>
      </c>
      <c r="S137">
        <f>'RESUMEN TOTAL'!AA140</f>
        <v>0</v>
      </c>
      <c r="T137">
        <f>'RESUMEN TOTAL'!AB140</f>
        <v>0</v>
      </c>
      <c r="U137">
        <f>'RESUMEN TOTAL'!AC140</f>
        <v>0</v>
      </c>
      <c r="V137">
        <f>'RESUMEN TOTAL'!AD140</f>
        <v>0</v>
      </c>
      <c r="W137">
        <f>'RESUMEN TOTAL'!AE140</f>
        <v>0</v>
      </c>
      <c r="X137">
        <f>'RESUMEN TOTAL'!AF140</f>
        <v>0</v>
      </c>
      <c r="Y137">
        <f>'RESUMEN TOTAL'!AG140</f>
        <v>0</v>
      </c>
      <c r="Z137">
        <f>'RESUMEN TOTAL'!AH140</f>
        <v>0</v>
      </c>
      <c r="AA137">
        <f>'RESUMEN TOTAL'!AI140</f>
        <v>0</v>
      </c>
      <c r="AB137">
        <f>'RESUMEN TOTAL'!AJ140</f>
        <v>0</v>
      </c>
      <c r="AC137">
        <f>'RESUMEN TOTAL'!AK140</f>
        <v>0</v>
      </c>
      <c r="AD137">
        <f>'RESUMEN TOTAL'!AL140</f>
        <v>0</v>
      </c>
      <c r="AE137">
        <f>'RESUMEN TOTAL'!AM140</f>
        <v>0</v>
      </c>
      <c r="AF137">
        <f>'RESUMEN TOTAL'!AN140</f>
        <v>0</v>
      </c>
      <c r="AG137">
        <f>'RESUMEN TOTAL'!AO140</f>
        <v>0</v>
      </c>
    </row>
    <row r="138" spans="1:33" x14ac:dyDescent="0.25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PTP A FO</v>
      </c>
      <c r="F138">
        <f>'RESUMEN TOTAL'!N141</f>
        <v>0</v>
      </c>
      <c r="G138">
        <f>'RESUMEN TOTAL'!O141</f>
        <v>0</v>
      </c>
      <c r="H138">
        <f>'RESUMEN TOTAL'!P141</f>
        <v>0</v>
      </c>
      <c r="I138">
        <f>'RESUMEN TOTAL'!Q141</f>
        <v>0</v>
      </c>
      <c r="J138" t="str">
        <f>'RESUMEN TOTAL'!R141</f>
        <v>APAGADO</v>
      </c>
      <c r="K138">
        <f>'RESUMEN TOTAL'!S141</f>
        <v>0</v>
      </c>
      <c r="L138">
        <f>'RESUMEN TOTAL'!T141</f>
        <v>0</v>
      </c>
      <c r="M138">
        <f>'RESUMEN TOTAL'!U141</f>
        <v>0</v>
      </c>
      <c r="N138">
        <f>'RESUMEN TOTAL'!V141</f>
        <v>0</v>
      </c>
      <c r="O138">
        <f>'RESUMEN TOTAL'!W141</f>
        <v>0</v>
      </c>
      <c r="P138">
        <f>'RESUMEN TOTAL'!X141</f>
        <v>0</v>
      </c>
      <c r="Q138">
        <f>'RESUMEN TOTAL'!Y141</f>
        <v>0</v>
      </c>
      <c r="R138">
        <f>'RESUMEN TOTAL'!Z141</f>
        <v>0</v>
      </c>
      <c r="S138">
        <f>'RESUMEN TOTAL'!AA141</f>
        <v>0</v>
      </c>
      <c r="T138">
        <f>'RESUMEN TOTAL'!AB141</f>
        <v>0</v>
      </c>
      <c r="U138">
        <f>'RESUMEN TOTAL'!AC141</f>
        <v>0</v>
      </c>
      <c r="V138">
        <f>'RESUMEN TOTAL'!AD141</f>
        <v>0</v>
      </c>
      <c r="W138">
        <f>'RESUMEN TOTAL'!AE141</f>
        <v>0</v>
      </c>
      <c r="X138">
        <f>'RESUMEN TOTAL'!AF141</f>
        <v>0</v>
      </c>
      <c r="Y138">
        <f>'RESUMEN TOTAL'!AG141</f>
        <v>0</v>
      </c>
      <c r="Z138">
        <f>'RESUMEN TOTAL'!AH141</f>
        <v>0</v>
      </c>
      <c r="AA138">
        <f>'RESUMEN TOTAL'!AI141</f>
        <v>0</v>
      </c>
      <c r="AB138">
        <f>'RESUMEN TOTAL'!AJ141</f>
        <v>0</v>
      </c>
      <c r="AC138">
        <f>'RESUMEN TOTAL'!AK141</f>
        <v>0</v>
      </c>
      <c r="AD138">
        <f>'RESUMEN TOTAL'!AL141</f>
        <v>0</v>
      </c>
      <c r="AE138">
        <f>'RESUMEN TOTAL'!AM141</f>
        <v>0</v>
      </c>
      <c r="AF138">
        <f>'RESUMEN TOTAL'!AN141</f>
        <v>0</v>
      </c>
      <c r="AG138">
        <f>'RESUMEN TOTAL'!AO141</f>
        <v>0</v>
      </c>
    </row>
    <row r="139" spans="1:33" x14ac:dyDescent="0.25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PTP A FO</v>
      </c>
      <c r="F139">
        <f>'RESUMEN TOTAL'!N142</f>
        <v>0</v>
      </c>
      <c r="G139">
        <f>'RESUMEN TOTAL'!O142</f>
        <v>0</v>
      </c>
      <c r="H139">
        <f>'RESUMEN TOTAL'!P142</f>
        <v>0</v>
      </c>
      <c r="I139">
        <f>'RESUMEN TOTAL'!Q142</f>
        <v>0</v>
      </c>
      <c r="J139">
        <f>'RESUMEN TOTAL'!R142</f>
        <v>0</v>
      </c>
      <c r="K139">
        <f>'RESUMEN TOTAL'!S142</f>
        <v>0</v>
      </c>
      <c r="L139">
        <f>'RESUMEN TOTAL'!T142</f>
        <v>0</v>
      </c>
      <c r="M139">
        <f>'RESUMEN TOTAL'!U142</f>
        <v>0</v>
      </c>
      <c r="N139">
        <f>'RESUMEN TOTAL'!V142</f>
        <v>0</v>
      </c>
      <c r="O139">
        <f>'RESUMEN TOTAL'!W142</f>
        <v>0</v>
      </c>
      <c r="P139">
        <f>'RESUMEN TOTAL'!X142</f>
        <v>0</v>
      </c>
      <c r="Q139">
        <f>'RESUMEN TOTAL'!Y142</f>
        <v>0</v>
      </c>
      <c r="R139">
        <f>'RESUMEN TOTAL'!Z142</f>
        <v>0</v>
      </c>
      <c r="S139">
        <f>'RESUMEN TOTAL'!AA142</f>
        <v>0</v>
      </c>
      <c r="T139">
        <f>'RESUMEN TOTAL'!AB142</f>
        <v>0</v>
      </c>
      <c r="U139">
        <f>'RESUMEN TOTAL'!AC142</f>
        <v>0</v>
      </c>
      <c r="V139">
        <f>'RESUMEN TOTAL'!AD142</f>
        <v>0</v>
      </c>
      <c r="W139">
        <f>'RESUMEN TOTAL'!AE142</f>
        <v>0</v>
      </c>
      <c r="X139">
        <f>'RESUMEN TOTAL'!AF142</f>
        <v>0</v>
      </c>
      <c r="Y139">
        <f>'RESUMEN TOTAL'!AG142</f>
        <v>0</v>
      </c>
      <c r="Z139">
        <f>'RESUMEN TOTAL'!AH142</f>
        <v>0</v>
      </c>
      <c r="AA139">
        <f>'RESUMEN TOTAL'!AI142</f>
        <v>0</v>
      </c>
      <c r="AB139">
        <f>'RESUMEN TOTAL'!AJ142</f>
        <v>0</v>
      </c>
      <c r="AC139">
        <f>'RESUMEN TOTAL'!AK142</f>
        <v>0</v>
      </c>
      <c r="AD139">
        <f>'RESUMEN TOTAL'!AL142</f>
        <v>0</v>
      </c>
      <c r="AE139">
        <f>'RESUMEN TOTAL'!AM142</f>
        <v>0</v>
      </c>
      <c r="AF139">
        <f>'RESUMEN TOTAL'!AN142</f>
        <v>0</v>
      </c>
      <c r="AG139">
        <f>'RESUMEN TOTAL'!AO142</f>
        <v>0</v>
      </c>
    </row>
    <row r="140" spans="1:33" x14ac:dyDescent="0.25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PTP A FO</v>
      </c>
      <c r="F140">
        <f>'RESUMEN TOTAL'!N143</f>
        <v>0</v>
      </c>
      <c r="G140">
        <f>'RESUMEN TOTAL'!O143</f>
        <v>0</v>
      </c>
      <c r="H140">
        <f>'RESUMEN TOTAL'!P143</f>
        <v>0</v>
      </c>
      <c r="I140">
        <f>'RESUMEN TOTAL'!Q143</f>
        <v>0</v>
      </c>
      <c r="J140">
        <f>'RESUMEN TOTAL'!R143</f>
        <v>0</v>
      </c>
      <c r="K140">
        <f>'RESUMEN TOTAL'!S143</f>
        <v>0</v>
      </c>
      <c r="L140">
        <f>'RESUMEN TOTAL'!T143</f>
        <v>0</v>
      </c>
      <c r="M140">
        <f>'RESUMEN TOTAL'!U143</f>
        <v>0</v>
      </c>
      <c r="N140">
        <f>'RESUMEN TOTAL'!V143</f>
        <v>0</v>
      </c>
      <c r="O140">
        <f>'RESUMEN TOTAL'!W143</f>
        <v>0</v>
      </c>
      <c r="P140">
        <f>'RESUMEN TOTAL'!X143</f>
        <v>0</v>
      </c>
      <c r="Q140">
        <f>'RESUMEN TOTAL'!Y143</f>
        <v>0</v>
      </c>
      <c r="R140">
        <f>'RESUMEN TOTAL'!Z143</f>
        <v>0</v>
      </c>
      <c r="S140">
        <f>'RESUMEN TOTAL'!AA143</f>
        <v>0</v>
      </c>
      <c r="T140">
        <f>'RESUMEN TOTAL'!AB143</f>
        <v>0</v>
      </c>
      <c r="U140">
        <f>'RESUMEN TOTAL'!AC143</f>
        <v>0</v>
      </c>
      <c r="V140">
        <f>'RESUMEN TOTAL'!AD143</f>
        <v>0</v>
      </c>
      <c r="W140">
        <f>'RESUMEN TOTAL'!AE143</f>
        <v>0</v>
      </c>
      <c r="X140">
        <f>'RESUMEN TOTAL'!AF143</f>
        <v>0</v>
      </c>
      <c r="Y140">
        <f>'RESUMEN TOTAL'!AG143</f>
        <v>0</v>
      </c>
      <c r="Z140">
        <f>'RESUMEN TOTAL'!AH143</f>
        <v>0</v>
      </c>
      <c r="AA140">
        <f>'RESUMEN TOTAL'!AI143</f>
        <v>0</v>
      </c>
      <c r="AB140">
        <f>'RESUMEN TOTAL'!AJ143</f>
        <v>0</v>
      </c>
      <c r="AC140">
        <f>'RESUMEN TOTAL'!AK143</f>
        <v>0</v>
      </c>
      <c r="AD140">
        <f>'RESUMEN TOTAL'!AL143</f>
        <v>0</v>
      </c>
      <c r="AE140">
        <f>'RESUMEN TOTAL'!AM143</f>
        <v>0</v>
      </c>
      <c r="AF140">
        <f>'RESUMEN TOTAL'!AN143</f>
        <v>0</v>
      </c>
      <c r="AG140">
        <f>'RESUMEN TOTAL'!AO143</f>
        <v>0</v>
      </c>
    </row>
    <row r="141" spans="1:33" x14ac:dyDescent="0.25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PTP A FO</v>
      </c>
      <c r="F141">
        <f>'RESUMEN TOTAL'!N144</f>
        <v>0</v>
      </c>
      <c r="G141">
        <f>'RESUMEN TOTAL'!O144</f>
        <v>0</v>
      </c>
      <c r="H141">
        <f>'RESUMEN TOTAL'!P144</f>
        <v>0</v>
      </c>
      <c r="I141">
        <f>'RESUMEN TOTAL'!Q144</f>
        <v>0</v>
      </c>
      <c r="J141">
        <f>'RESUMEN TOTAL'!R144</f>
        <v>0</v>
      </c>
      <c r="K141">
        <f>'RESUMEN TOTAL'!S144</f>
        <v>0</v>
      </c>
      <c r="L141">
        <f>'RESUMEN TOTAL'!T144</f>
        <v>0</v>
      </c>
      <c r="M141">
        <f>'RESUMEN TOTAL'!U144</f>
        <v>0</v>
      </c>
      <c r="N141">
        <f>'RESUMEN TOTAL'!V144</f>
        <v>0</v>
      </c>
      <c r="O141">
        <f>'RESUMEN TOTAL'!W144</f>
        <v>0</v>
      </c>
      <c r="P141">
        <f>'RESUMEN TOTAL'!X144</f>
        <v>0</v>
      </c>
      <c r="Q141">
        <f>'RESUMEN TOTAL'!Y144</f>
        <v>0</v>
      </c>
      <c r="R141">
        <f>'RESUMEN TOTAL'!Z144</f>
        <v>0</v>
      </c>
      <c r="S141">
        <f>'RESUMEN TOTAL'!AA144</f>
        <v>0</v>
      </c>
      <c r="T141">
        <f>'RESUMEN TOTAL'!AB144</f>
        <v>0</v>
      </c>
      <c r="U141">
        <f>'RESUMEN TOTAL'!AC144</f>
        <v>0</v>
      </c>
      <c r="V141">
        <f>'RESUMEN TOTAL'!AD144</f>
        <v>0</v>
      </c>
      <c r="W141">
        <f>'RESUMEN TOTAL'!AE144</f>
        <v>0</v>
      </c>
      <c r="X141">
        <f>'RESUMEN TOTAL'!AF144</f>
        <v>0</v>
      </c>
      <c r="Y141">
        <f>'RESUMEN TOTAL'!AG144</f>
        <v>0</v>
      </c>
      <c r="Z141">
        <f>'RESUMEN TOTAL'!AH144</f>
        <v>0</v>
      </c>
      <c r="AA141">
        <f>'RESUMEN TOTAL'!AI144</f>
        <v>0</v>
      </c>
      <c r="AB141">
        <f>'RESUMEN TOTAL'!AJ144</f>
        <v>0</v>
      </c>
      <c r="AC141">
        <f>'RESUMEN TOTAL'!AK144</f>
        <v>0</v>
      </c>
      <c r="AD141">
        <f>'RESUMEN TOTAL'!AL144</f>
        <v>0</v>
      </c>
      <c r="AE141">
        <f>'RESUMEN TOTAL'!AM144</f>
        <v>0</v>
      </c>
      <c r="AF141">
        <f>'RESUMEN TOTAL'!AN144</f>
        <v>0</v>
      </c>
      <c r="AG141">
        <f>'RESUMEN TOTAL'!AO144</f>
        <v>0</v>
      </c>
    </row>
    <row r="142" spans="1:33" x14ac:dyDescent="0.25">
      <c r="A142" t="str">
        <f>'RESUMEN TOTAL'!A145</f>
        <v>CHACABUCO</v>
      </c>
      <c r="B142" t="str">
        <f>'RESUMEN TOTAL'!B145</f>
        <v>LPI01</v>
      </c>
      <c r="C142" t="str">
        <f>'RESUMEN TOTAL'!C145</f>
        <v>MaipÃº y Posadas</v>
      </c>
      <c r="D142" t="str">
        <f>'RESUMEN TOTAL'!D145</f>
        <v>Domo</v>
      </c>
      <c r="E142" t="str">
        <f>'RESUMEN TOTAL'!E145</f>
        <v>Radio</v>
      </c>
      <c r="F142">
        <f>'RESUMEN TOTAL'!N145</f>
        <v>0</v>
      </c>
      <c r="G142">
        <f>'RESUMEN TOTAL'!O145</f>
        <v>0</v>
      </c>
      <c r="H142">
        <f>'RESUMEN TOTAL'!P145</f>
        <v>0</v>
      </c>
      <c r="I142">
        <f>'RESUMEN TOTAL'!Q145</f>
        <v>0</v>
      </c>
      <c r="J142">
        <f>'RESUMEN TOTAL'!R145</f>
        <v>0</v>
      </c>
      <c r="K142">
        <f>'RESUMEN TOTAL'!S145</f>
        <v>0</v>
      </c>
      <c r="L142">
        <f>'RESUMEN TOTAL'!T145</f>
        <v>0</v>
      </c>
      <c r="M142">
        <f>'RESUMEN TOTAL'!U145</f>
        <v>0</v>
      </c>
      <c r="N142">
        <f>'RESUMEN TOTAL'!V145</f>
        <v>0</v>
      </c>
      <c r="O142">
        <f>'RESUMEN TOTAL'!W145</f>
        <v>0</v>
      </c>
      <c r="P142">
        <f>'RESUMEN TOTAL'!X145</f>
        <v>0</v>
      </c>
      <c r="Q142">
        <f>'RESUMEN TOTAL'!Y145</f>
        <v>0</v>
      </c>
      <c r="R142">
        <f>'RESUMEN TOTAL'!Z145</f>
        <v>0</v>
      </c>
      <c r="S142">
        <f>'RESUMEN TOTAL'!AA145</f>
        <v>0</v>
      </c>
      <c r="T142">
        <f>'RESUMEN TOTAL'!AB145</f>
        <v>0</v>
      </c>
      <c r="U142">
        <f>'RESUMEN TOTAL'!AC145</f>
        <v>0</v>
      </c>
      <c r="V142">
        <f>'RESUMEN TOTAL'!AD145</f>
        <v>0</v>
      </c>
      <c r="W142">
        <f>'RESUMEN TOTAL'!AE145</f>
        <v>0</v>
      </c>
      <c r="X142">
        <f>'RESUMEN TOTAL'!AF145</f>
        <v>0</v>
      </c>
      <c r="Y142">
        <f>'RESUMEN TOTAL'!AG145</f>
        <v>0</v>
      </c>
      <c r="Z142">
        <f>'RESUMEN TOTAL'!AH145</f>
        <v>0</v>
      </c>
      <c r="AA142">
        <f>'RESUMEN TOTAL'!AI145</f>
        <v>0</v>
      </c>
      <c r="AB142">
        <f>'RESUMEN TOTAL'!AJ145</f>
        <v>0</v>
      </c>
      <c r="AC142">
        <f>'RESUMEN TOTAL'!AK145</f>
        <v>0</v>
      </c>
      <c r="AD142">
        <f>'RESUMEN TOTAL'!AL145</f>
        <v>0</v>
      </c>
      <c r="AE142">
        <f>'RESUMEN TOTAL'!AM145</f>
        <v>0</v>
      </c>
      <c r="AF142">
        <f>'RESUMEN TOTAL'!AN145</f>
        <v>0</v>
      </c>
      <c r="AG142">
        <f>'RESUMEN TOTAL'!AO145</f>
        <v>0</v>
      </c>
    </row>
    <row r="143" spans="1:33" x14ac:dyDescent="0.25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TOTAL'!N146</f>
        <v>0</v>
      </c>
      <c r="G143">
        <f>'RESUMEN TOTAL'!O146</f>
        <v>0</v>
      </c>
      <c r="H143">
        <f>'RESUMEN TOTAL'!P146</f>
        <v>0</v>
      </c>
      <c r="I143" t="str">
        <f>'RESUMEN TOTAL'!Q146</f>
        <v>APAGADO</v>
      </c>
      <c r="J143" t="str">
        <f>'RESUMEN TOTAL'!R146</f>
        <v>APAGADO</v>
      </c>
      <c r="K143" t="str">
        <f>'RESUMEN TOTAL'!S146</f>
        <v>APAGADO</v>
      </c>
      <c r="L143">
        <f>'RESUMEN TOTAL'!T146</f>
        <v>0</v>
      </c>
      <c r="M143">
        <f>'RESUMEN TOTAL'!U146</f>
        <v>0</v>
      </c>
      <c r="N143">
        <f>'RESUMEN TOTAL'!V146</f>
        <v>0</v>
      </c>
      <c r="O143">
        <f>'RESUMEN TOTAL'!W146</f>
        <v>0</v>
      </c>
      <c r="P143">
        <f>'RESUMEN TOTAL'!X146</f>
        <v>0</v>
      </c>
      <c r="Q143">
        <f>'RESUMEN TOTAL'!Y146</f>
        <v>0</v>
      </c>
      <c r="R143">
        <f>'RESUMEN TOTAL'!Z146</f>
        <v>0</v>
      </c>
      <c r="S143">
        <f>'RESUMEN TOTAL'!AA146</f>
        <v>0</v>
      </c>
      <c r="T143">
        <f>'RESUMEN TOTAL'!AB146</f>
        <v>0</v>
      </c>
      <c r="U143">
        <f>'RESUMEN TOTAL'!AC146</f>
        <v>0</v>
      </c>
      <c r="V143">
        <f>'RESUMEN TOTAL'!AD146</f>
        <v>0</v>
      </c>
      <c r="W143">
        <f>'RESUMEN TOTAL'!AE146</f>
        <v>0</v>
      </c>
      <c r="X143">
        <f>'RESUMEN TOTAL'!AF146</f>
        <v>0</v>
      </c>
      <c r="Y143">
        <f>'RESUMEN TOTAL'!AG146</f>
        <v>0</v>
      </c>
      <c r="Z143">
        <f>'RESUMEN TOTAL'!AH146</f>
        <v>0</v>
      </c>
      <c r="AA143">
        <f>'RESUMEN TOTAL'!AI146</f>
        <v>0</v>
      </c>
      <c r="AB143">
        <f>'RESUMEN TOTAL'!AJ146</f>
        <v>0</v>
      </c>
      <c r="AC143">
        <f>'RESUMEN TOTAL'!AK146</f>
        <v>0</v>
      </c>
      <c r="AD143">
        <f>'RESUMEN TOTAL'!AL146</f>
        <v>0</v>
      </c>
      <c r="AE143">
        <f>'RESUMEN TOTAL'!AM146</f>
        <v>0</v>
      </c>
      <c r="AF143">
        <f>'RESUMEN TOTAL'!AN146</f>
        <v>0</v>
      </c>
      <c r="AG143">
        <f>'RESUMEN TOTAL'!AO146</f>
        <v>0</v>
      </c>
    </row>
    <row r="144" spans="1:33" x14ac:dyDescent="0.25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TOTAL'!N147</f>
        <v>0</v>
      </c>
      <c r="G144">
        <f>'RESUMEN TOTAL'!O147</f>
        <v>0</v>
      </c>
      <c r="H144">
        <f>'RESUMEN TOTAL'!P147</f>
        <v>0</v>
      </c>
      <c r="I144">
        <f>'RESUMEN TOTAL'!Q147</f>
        <v>0</v>
      </c>
      <c r="J144">
        <f>'RESUMEN TOTAL'!R147</f>
        <v>0</v>
      </c>
      <c r="K144">
        <f>'RESUMEN TOTAL'!S147</f>
        <v>0</v>
      </c>
      <c r="L144">
        <f>'RESUMEN TOTAL'!T147</f>
        <v>0</v>
      </c>
      <c r="M144">
        <f>'RESUMEN TOTAL'!U147</f>
        <v>0</v>
      </c>
      <c r="N144">
        <f>'RESUMEN TOTAL'!V147</f>
        <v>0</v>
      </c>
      <c r="O144">
        <f>'RESUMEN TOTAL'!W147</f>
        <v>0</v>
      </c>
      <c r="P144">
        <f>'RESUMEN TOTAL'!X147</f>
        <v>0</v>
      </c>
      <c r="Q144">
        <f>'RESUMEN TOTAL'!Y147</f>
        <v>0</v>
      </c>
      <c r="R144">
        <f>'RESUMEN TOTAL'!Z147</f>
        <v>0</v>
      </c>
      <c r="S144">
        <f>'RESUMEN TOTAL'!AA147</f>
        <v>0</v>
      </c>
      <c r="T144">
        <f>'RESUMEN TOTAL'!AB147</f>
        <v>0</v>
      </c>
      <c r="U144">
        <f>'RESUMEN TOTAL'!AC147</f>
        <v>0</v>
      </c>
      <c r="V144">
        <f>'RESUMEN TOTAL'!AD147</f>
        <v>0</v>
      </c>
      <c r="W144">
        <f>'RESUMEN TOTAL'!AE147</f>
        <v>0</v>
      </c>
      <c r="X144">
        <f>'RESUMEN TOTAL'!AF147</f>
        <v>0</v>
      </c>
      <c r="Y144">
        <f>'RESUMEN TOTAL'!AG147</f>
        <v>0</v>
      </c>
      <c r="Z144">
        <f>'RESUMEN TOTAL'!AH147</f>
        <v>0</v>
      </c>
      <c r="AA144">
        <f>'RESUMEN TOTAL'!AI147</f>
        <v>0</v>
      </c>
      <c r="AB144">
        <f>'RESUMEN TOTAL'!AJ147</f>
        <v>0</v>
      </c>
      <c r="AC144">
        <f>'RESUMEN TOTAL'!AK147</f>
        <v>0</v>
      </c>
      <c r="AD144">
        <f>'RESUMEN TOTAL'!AL147</f>
        <v>0</v>
      </c>
      <c r="AE144">
        <f>'RESUMEN TOTAL'!AM147</f>
        <v>0</v>
      </c>
      <c r="AF144">
        <f>'RESUMEN TOTAL'!AN147</f>
        <v>0</v>
      </c>
      <c r="AG144">
        <f>'RESUMEN TOTAL'!AO147</f>
        <v>0</v>
      </c>
    </row>
    <row r="145" spans="1:33" x14ac:dyDescent="0.25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TOTAL'!N148</f>
        <v>0</v>
      </c>
      <c r="G145">
        <f>'RESUMEN TOTAL'!O148</f>
        <v>0</v>
      </c>
      <c r="H145">
        <f>'RESUMEN TOTAL'!P148</f>
        <v>0</v>
      </c>
      <c r="I145">
        <f>'RESUMEN TOTAL'!Q148</f>
        <v>0</v>
      </c>
      <c r="J145">
        <f>'RESUMEN TOTAL'!R148</f>
        <v>0</v>
      </c>
      <c r="K145">
        <f>'RESUMEN TOTAL'!S148</f>
        <v>0</v>
      </c>
      <c r="L145">
        <f>'RESUMEN TOTAL'!T148</f>
        <v>0</v>
      </c>
      <c r="M145">
        <f>'RESUMEN TOTAL'!U148</f>
        <v>0</v>
      </c>
      <c r="N145">
        <f>'RESUMEN TOTAL'!V148</f>
        <v>0</v>
      </c>
      <c r="O145">
        <f>'RESUMEN TOTAL'!W148</f>
        <v>0</v>
      </c>
      <c r="P145">
        <f>'RESUMEN TOTAL'!X148</f>
        <v>0</v>
      </c>
      <c r="Q145">
        <f>'RESUMEN TOTAL'!Y148</f>
        <v>0</v>
      </c>
      <c r="R145">
        <f>'RESUMEN TOTAL'!Z148</f>
        <v>0</v>
      </c>
      <c r="S145">
        <f>'RESUMEN TOTAL'!AA148</f>
        <v>0</v>
      </c>
      <c r="T145">
        <f>'RESUMEN TOTAL'!AB148</f>
        <v>0</v>
      </c>
      <c r="U145">
        <f>'RESUMEN TOTAL'!AC148</f>
        <v>0</v>
      </c>
      <c r="V145">
        <f>'RESUMEN TOTAL'!AD148</f>
        <v>0</v>
      </c>
      <c r="W145">
        <f>'RESUMEN TOTAL'!AE148</f>
        <v>0</v>
      </c>
      <c r="X145">
        <f>'RESUMEN TOTAL'!AF148</f>
        <v>0</v>
      </c>
      <c r="Y145">
        <f>'RESUMEN TOTAL'!AG148</f>
        <v>0</v>
      </c>
      <c r="Z145">
        <f>'RESUMEN TOTAL'!AH148</f>
        <v>0</v>
      </c>
      <c r="AA145">
        <f>'RESUMEN TOTAL'!AI148</f>
        <v>0</v>
      </c>
      <c r="AB145">
        <f>'RESUMEN TOTAL'!AJ148</f>
        <v>0</v>
      </c>
      <c r="AC145">
        <f>'RESUMEN TOTAL'!AK148</f>
        <v>0</v>
      </c>
      <c r="AD145">
        <f>'RESUMEN TOTAL'!AL148</f>
        <v>0</v>
      </c>
      <c r="AE145">
        <f>'RESUMEN TOTAL'!AM148</f>
        <v>0</v>
      </c>
      <c r="AF145">
        <f>'RESUMEN TOTAL'!AN148</f>
        <v>0</v>
      </c>
      <c r="AG145">
        <f>'RESUMEN TOTAL'!AO148</f>
        <v>0</v>
      </c>
    </row>
    <row r="146" spans="1:33" x14ac:dyDescent="0.25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TOTAL'!N149</f>
        <v>APAGADO</v>
      </c>
      <c r="G146" t="str">
        <f>'RESUMEN TOTAL'!O149</f>
        <v>APAGADO</v>
      </c>
      <c r="H146">
        <f>'RESUMEN TOTAL'!P149</f>
        <v>0</v>
      </c>
      <c r="I146">
        <f>'RESUMEN TOTAL'!Q149</f>
        <v>0</v>
      </c>
      <c r="J146">
        <f>'RESUMEN TOTAL'!R149</f>
        <v>0</v>
      </c>
      <c r="K146">
        <f>'RESUMEN TOTAL'!S149</f>
        <v>0</v>
      </c>
      <c r="L146">
        <f>'RESUMEN TOTAL'!T149</f>
        <v>0</v>
      </c>
      <c r="M146">
        <f>'RESUMEN TOTAL'!U149</f>
        <v>0</v>
      </c>
      <c r="N146">
        <f>'RESUMEN TOTAL'!V149</f>
        <v>0</v>
      </c>
      <c r="O146">
        <f>'RESUMEN TOTAL'!W149</f>
        <v>0</v>
      </c>
      <c r="P146">
        <f>'RESUMEN TOTAL'!X149</f>
        <v>0</v>
      </c>
      <c r="Q146">
        <f>'RESUMEN TOTAL'!Y149</f>
        <v>0</v>
      </c>
      <c r="R146">
        <f>'RESUMEN TOTAL'!Z149</f>
        <v>0</v>
      </c>
      <c r="S146">
        <f>'RESUMEN TOTAL'!AA149</f>
        <v>0</v>
      </c>
      <c r="T146">
        <f>'RESUMEN TOTAL'!AB149</f>
        <v>0</v>
      </c>
      <c r="U146">
        <f>'RESUMEN TOTAL'!AC149</f>
        <v>0</v>
      </c>
      <c r="V146">
        <f>'RESUMEN TOTAL'!AD149</f>
        <v>0</v>
      </c>
      <c r="W146">
        <f>'RESUMEN TOTAL'!AE149</f>
        <v>0</v>
      </c>
      <c r="X146">
        <f>'RESUMEN TOTAL'!AF149</f>
        <v>0</v>
      </c>
      <c r="Y146">
        <f>'RESUMEN TOTAL'!AG149</f>
        <v>0</v>
      </c>
      <c r="Z146">
        <f>'RESUMEN TOTAL'!AH149</f>
        <v>0</v>
      </c>
      <c r="AA146">
        <f>'RESUMEN TOTAL'!AI149</f>
        <v>0</v>
      </c>
      <c r="AB146">
        <f>'RESUMEN TOTAL'!AJ149</f>
        <v>0</v>
      </c>
      <c r="AC146">
        <f>'RESUMEN TOTAL'!AK149</f>
        <v>0</v>
      </c>
      <c r="AD146">
        <f>'RESUMEN TOTAL'!AL149</f>
        <v>0</v>
      </c>
      <c r="AE146">
        <f>'RESUMEN TOTAL'!AM149</f>
        <v>0</v>
      </c>
      <c r="AF146">
        <f>'RESUMEN TOTAL'!AN149</f>
        <v>0</v>
      </c>
      <c r="AG146">
        <f>'RESUMEN TOTAL'!AO149</f>
        <v>0</v>
      </c>
    </row>
    <row r="147" spans="1:33" x14ac:dyDescent="0.25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TOTAL'!N150</f>
        <v>APAGADO</v>
      </c>
      <c r="G147" t="str">
        <f>'RESUMEN TOTAL'!O150</f>
        <v>APAGADO</v>
      </c>
      <c r="H147">
        <f>'RESUMEN TOTAL'!P150</f>
        <v>0</v>
      </c>
      <c r="I147">
        <f>'RESUMEN TOTAL'!Q150</f>
        <v>0</v>
      </c>
      <c r="J147">
        <f>'RESUMEN TOTAL'!R150</f>
        <v>0</v>
      </c>
      <c r="K147">
        <f>'RESUMEN TOTAL'!S150</f>
        <v>0</v>
      </c>
      <c r="L147">
        <f>'RESUMEN TOTAL'!T150</f>
        <v>0</v>
      </c>
      <c r="M147">
        <f>'RESUMEN TOTAL'!U150</f>
        <v>0</v>
      </c>
      <c r="N147">
        <f>'RESUMEN TOTAL'!V150</f>
        <v>0</v>
      </c>
      <c r="O147">
        <f>'RESUMEN TOTAL'!W150</f>
        <v>0</v>
      </c>
      <c r="P147">
        <f>'RESUMEN TOTAL'!X150</f>
        <v>0</v>
      </c>
      <c r="Q147">
        <f>'RESUMEN TOTAL'!Y150</f>
        <v>0</v>
      </c>
      <c r="R147">
        <f>'RESUMEN TOTAL'!Z150</f>
        <v>0</v>
      </c>
      <c r="S147">
        <f>'RESUMEN TOTAL'!AA150</f>
        <v>0</v>
      </c>
      <c r="T147">
        <f>'RESUMEN TOTAL'!AB150</f>
        <v>0</v>
      </c>
      <c r="U147">
        <f>'RESUMEN TOTAL'!AC150</f>
        <v>0</v>
      </c>
      <c r="V147">
        <f>'RESUMEN TOTAL'!AD150</f>
        <v>0</v>
      </c>
      <c r="W147">
        <f>'RESUMEN TOTAL'!AE150</f>
        <v>0</v>
      </c>
      <c r="X147">
        <f>'RESUMEN TOTAL'!AF150</f>
        <v>0</v>
      </c>
      <c r="Y147">
        <f>'RESUMEN TOTAL'!AG150</f>
        <v>0</v>
      </c>
      <c r="Z147">
        <f>'RESUMEN TOTAL'!AH150</f>
        <v>0</v>
      </c>
      <c r="AA147">
        <f>'RESUMEN TOTAL'!AI150</f>
        <v>0</v>
      </c>
      <c r="AB147">
        <f>'RESUMEN TOTAL'!AJ150</f>
        <v>0</v>
      </c>
      <c r="AC147">
        <f>'RESUMEN TOTAL'!AK150</f>
        <v>0</v>
      </c>
      <c r="AD147">
        <f>'RESUMEN TOTAL'!AL150</f>
        <v>0</v>
      </c>
      <c r="AE147">
        <f>'RESUMEN TOTAL'!AM150</f>
        <v>0</v>
      </c>
      <c r="AF147">
        <f>'RESUMEN TOTAL'!AN150</f>
        <v>0</v>
      </c>
      <c r="AG147">
        <f>'RESUMEN TOTAL'!AO150</f>
        <v>0</v>
      </c>
    </row>
    <row r="148" spans="1:33" x14ac:dyDescent="0.25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TOTAL'!N151</f>
        <v>APAGADO</v>
      </c>
      <c r="G148" t="str">
        <f>'RESUMEN TOTAL'!O151</f>
        <v>APAGADO</v>
      </c>
      <c r="H148">
        <f>'RESUMEN TOTAL'!P151</f>
        <v>0</v>
      </c>
      <c r="I148">
        <f>'RESUMEN TOTAL'!Q151</f>
        <v>0</v>
      </c>
      <c r="J148">
        <f>'RESUMEN TOTAL'!R151</f>
        <v>0</v>
      </c>
      <c r="K148">
        <f>'RESUMEN TOTAL'!S151</f>
        <v>0</v>
      </c>
      <c r="L148">
        <f>'RESUMEN TOTAL'!T151</f>
        <v>0</v>
      </c>
      <c r="M148">
        <f>'RESUMEN TOTAL'!U151</f>
        <v>0</v>
      </c>
      <c r="N148">
        <f>'RESUMEN TOTAL'!V151</f>
        <v>0</v>
      </c>
      <c r="O148">
        <f>'RESUMEN TOTAL'!W151</f>
        <v>0</v>
      </c>
      <c r="P148">
        <f>'RESUMEN TOTAL'!X151</f>
        <v>0</v>
      </c>
      <c r="Q148">
        <f>'RESUMEN TOTAL'!Y151</f>
        <v>0</v>
      </c>
      <c r="R148">
        <f>'RESUMEN TOTAL'!Z151</f>
        <v>0</v>
      </c>
      <c r="S148">
        <f>'RESUMEN TOTAL'!AA151</f>
        <v>0</v>
      </c>
      <c r="T148">
        <f>'RESUMEN TOTAL'!AB151</f>
        <v>0</v>
      </c>
      <c r="U148">
        <f>'RESUMEN TOTAL'!AC151</f>
        <v>0</v>
      </c>
      <c r="V148">
        <f>'RESUMEN TOTAL'!AD151</f>
        <v>0</v>
      </c>
      <c r="W148">
        <f>'RESUMEN TOTAL'!AE151</f>
        <v>0</v>
      </c>
      <c r="X148">
        <f>'RESUMEN TOTAL'!AF151</f>
        <v>0</v>
      </c>
      <c r="Y148">
        <f>'RESUMEN TOTAL'!AG151</f>
        <v>0</v>
      </c>
      <c r="Z148">
        <f>'RESUMEN TOTAL'!AH151</f>
        <v>0</v>
      </c>
      <c r="AA148">
        <f>'RESUMEN TOTAL'!AI151</f>
        <v>0</v>
      </c>
      <c r="AB148">
        <f>'RESUMEN TOTAL'!AJ151</f>
        <v>0</v>
      </c>
      <c r="AC148">
        <f>'RESUMEN TOTAL'!AK151</f>
        <v>0</v>
      </c>
      <c r="AD148">
        <f>'RESUMEN TOTAL'!AL151</f>
        <v>0</v>
      </c>
      <c r="AE148">
        <f>'RESUMEN TOTAL'!AM151</f>
        <v>0</v>
      </c>
      <c r="AF148">
        <f>'RESUMEN TOTAL'!AN151</f>
        <v>0</v>
      </c>
      <c r="AG148">
        <f>'RESUMEN TOTAL'!AO151</f>
        <v>0</v>
      </c>
    </row>
    <row r="149" spans="1:33" x14ac:dyDescent="0.25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Fibra Optica</v>
      </c>
      <c r="F149">
        <f>'RESUMEN TOTAL'!N152</f>
        <v>0</v>
      </c>
      <c r="G149">
        <f>'RESUMEN TOTAL'!O152</f>
        <v>0</v>
      </c>
      <c r="H149">
        <f>'RESUMEN TOTAL'!P152</f>
        <v>0</v>
      </c>
      <c r="I149">
        <f>'RESUMEN TOTAL'!Q152</f>
        <v>0</v>
      </c>
      <c r="J149">
        <f>'RESUMEN TOTAL'!R152</f>
        <v>0</v>
      </c>
      <c r="K149">
        <f>'RESUMEN TOTAL'!S152</f>
        <v>0</v>
      </c>
      <c r="L149">
        <f>'RESUMEN TOTAL'!T152</f>
        <v>0</v>
      </c>
      <c r="M149">
        <f>'RESUMEN TOTAL'!U152</f>
        <v>0</v>
      </c>
      <c r="N149">
        <f>'RESUMEN TOTAL'!V152</f>
        <v>0</v>
      </c>
      <c r="O149">
        <f>'RESUMEN TOTAL'!W152</f>
        <v>0</v>
      </c>
      <c r="P149">
        <f>'RESUMEN TOTAL'!X152</f>
        <v>0</v>
      </c>
      <c r="Q149">
        <f>'RESUMEN TOTAL'!Y152</f>
        <v>0</v>
      </c>
      <c r="R149">
        <f>'RESUMEN TOTAL'!Z152</f>
        <v>0</v>
      </c>
      <c r="S149">
        <f>'RESUMEN TOTAL'!AA152</f>
        <v>0</v>
      </c>
      <c r="T149">
        <f>'RESUMEN TOTAL'!AB152</f>
        <v>0</v>
      </c>
      <c r="U149">
        <f>'RESUMEN TOTAL'!AC152</f>
        <v>0</v>
      </c>
      <c r="V149">
        <f>'RESUMEN TOTAL'!AD152</f>
        <v>0</v>
      </c>
      <c r="W149">
        <f>'RESUMEN TOTAL'!AE152</f>
        <v>0</v>
      </c>
      <c r="X149">
        <f>'RESUMEN TOTAL'!AF152</f>
        <v>0</v>
      </c>
      <c r="Y149">
        <f>'RESUMEN TOTAL'!AG152</f>
        <v>0</v>
      </c>
      <c r="Z149">
        <f>'RESUMEN TOTAL'!AH152</f>
        <v>0</v>
      </c>
      <c r="AA149">
        <f>'RESUMEN TOTAL'!AI152</f>
        <v>0</v>
      </c>
      <c r="AB149">
        <f>'RESUMEN TOTAL'!AJ152</f>
        <v>0</v>
      </c>
      <c r="AC149">
        <f>'RESUMEN TOTAL'!AK152</f>
        <v>0</v>
      </c>
      <c r="AD149">
        <f>'RESUMEN TOTAL'!AL152</f>
        <v>0</v>
      </c>
      <c r="AE149">
        <f>'RESUMEN TOTAL'!AM152</f>
        <v>0</v>
      </c>
      <c r="AF149">
        <f>'RESUMEN TOTAL'!AN152</f>
        <v>0</v>
      </c>
      <c r="AG149">
        <f>'RESUMEN TOTAL'!AO152</f>
        <v>0</v>
      </c>
    </row>
    <row r="150" spans="1:33" x14ac:dyDescent="0.25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Fibra Optica</v>
      </c>
      <c r="F150">
        <f>'RESUMEN TOTAL'!N153</f>
        <v>0</v>
      </c>
      <c r="G150">
        <f>'RESUMEN TOTAL'!O153</f>
        <v>0</v>
      </c>
      <c r="H150">
        <f>'RESUMEN TOTAL'!P153</f>
        <v>0</v>
      </c>
      <c r="I150">
        <f>'RESUMEN TOTAL'!Q153</f>
        <v>0</v>
      </c>
      <c r="J150">
        <f>'RESUMEN TOTAL'!R153</f>
        <v>0</v>
      </c>
      <c r="K150">
        <f>'RESUMEN TOTAL'!S153</f>
        <v>0</v>
      </c>
      <c r="L150">
        <f>'RESUMEN TOTAL'!T153</f>
        <v>0</v>
      </c>
      <c r="M150">
        <f>'RESUMEN TOTAL'!U153</f>
        <v>0</v>
      </c>
      <c r="N150">
        <f>'RESUMEN TOTAL'!V153</f>
        <v>0</v>
      </c>
      <c r="O150">
        <f>'RESUMEN TOTAL'!W153</f>
        <v>0</v>
      </c>
      <c r="P150">
        <f>'RESUMEN TOTAL'!X153</f>
        <v>0</v>
      </c>
      <c r="Q150">
        <f>'RESUMEN TOTAL'!Y153</f>
        <v>0</v>
      </c>
      <c r="R150">
        <f>'RESUMEN TOTAL'!Z153</f>
        <v>0</v>
      </c>
      <c r="S150">
        <f>'RESUMEN TOTAL'!AA153</f>
        <v>0</v>
      </c>
      <c r="T150">
        <f>'RESUMEN TOTAL'!AB153</f>
        <v>0</v>
      </c>
      <c r="U150">
        <f>'RESUMEN TOTAL'!AC153</f>
        <v>0</v>
      </c>
      <c r="V150">
        <f>'RESUMEN TOTAL'!AD153</f>
        <v>0</v>
      </c>
      <c r="W150">
        <f>'RESUMEN TOTAL'!AE153</f>
        <v>0</v>
      </c>
      <c r="X150">
        <f>'RESUMEN TOTAL'!AF153</f>
        <v>0</v>
      </c>
      <c r="Y150">
        <f>'RESUMEN TOTAL'!AG153</f>
        <v>0</v>
      </c>
      <c r="Z150">
        <f>'RESUMEN TOTAL'!AH153</f>
        <v>0</v>
      </c>
      <c r="AA150">
        <f>'RESUMEN TOTAL'!AI153</f>
        <v>0</v>
      </c>
      <c r="AB150">
        <f>'RESUMEN TOTAL'!AJ153</f>
        <v>0</v>
      </c>
      <c r="AC150">
        <f>'RESUMEN TOTAL'!AK153</f>
        <v>0</v>
      </c>
      <c r="AD150">
        <f>'RESUMEN TOTAL'!AL153</f>
        <v>0</v>
      </c>
      <c r="AE150">
        <f>'RESUMEN TOTAL'!AM153</f>
        <v>0</v>
      </c>
      <c r="AF150">
        <f>'RESUMEN TOTAL'!AN153</f>
        <v>0</v>
      </c>
      <c r="AG150">
        <f>'RESUMEN TOTAL'!AO153</f>
        <v>0</v>
      </c>
    </row>
    <row r="151" spans="1:33" x14ac:dyDescent="0.25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TOTAL'!N154</f>
        <v>0</v>
      </c>
      <c r="G151">
        <f>'RESUMEN TOTAL'!O154</f>
        <v>0</v>
      </c>
      <c r="H151">
        <f>'RESUMEN TOTAL'!P154</f>
        <v>0</v>
      </c>
      <c r="I151">
        <f>'RESUMEN TOTAL'!Q154</f>
        <v>0</v>
      </c>
      <c r="J151">
        <f>'RESUMEN TOTAL'!R154</f>
        <v>0</v>
      </c>
      <c r="K151">
        <f>'RESUMEN TOTAL'!S154</f>
        <v>0</v>
      </c>
      <c r="L151">
        <f>'RESUMEN TOTAL'!T154</f>
        <v>0</v>
      </c>
      <c r="M151">
        <f>'RESUMEN TOTAL'!U154</f>
        <v>0</v>
      </c>
      <c r="N151">
        <f>'RESUMEN TOTAL'!V154</f>
        <v>0</v>
      </c>
      <c r="O151">
        <f>'RESUMEN TOTAL'!W154</f>
        <v>0</v>
      </c>
      <c r="P151">
        <f>'RESUMEN TOTAL'!X154</f>
        <v>0</v>
      </c>
      <c r="Q151">
        <f>'RESUMEN TOTAL'!Y154</f>
        <v>0</v>
      </c>
      <c r="R151">
        <f>'RESUMEN TOTAL'!Z154</f>
        <v>0</v>
      </c>
      <c r="S151">
        <f>'RESUMEN TOTAL'!AA154</f>
        <v>0</v>
      </c>
      <c r="T151">
        <f>'RESUMEN TOTAL'!AB154</f>
        <v>0</v>
      </c>
      <c r="U151">
        <f>'RESUMEN TOTAL'!AC154</f>
        <v>0</v>
      </c>
      <c r="V151">
        <f>'RESUMEN TOTAL'!AD154</f>
        <v>0</v>
      </c>
      <c r="W151">
        <f>'RESUMEN TOTAL'!AE154</f>
        <v>0</v>
      </c>
      <c r="X151">
        <f>'RESUMEN TOTAL'!AF154</f>
        <v>0</v>
      </c>
      <c r="Y151">
        <f>'RESUMEN TOTAL'!AG154</f>
        <v>0</v>
      </c>
      <c r="Z151">
        <f>'RESUMEN TOTAL'!AH154</f>
        <v>0</v>
      </c>
      <c r="AA151">
        <f>'RESUMEN TOTAL'!AI154</f>
        <v>0</v>
      </c>
      <c r="AB151">
        <f>'RESUMEN TOTAL'!AJ154</f>
        <v>0</v>
      </c>
      <c r="AC151">
        <f>'RESUMEN TOTAL'!AK154</f>
        <v>0</v>
      </c>
      <c r="AD151">
        <f>'RESUMEN TOTAL'!AL154</f>
        <v>0</v>
      </c>
      <c r="AE151">
        <f>'RESUMEN TOTAL'!AM154</f>
        <v>0</v>
      </c>
      <c r="AF151">
        <f>'RESUMEN TOTAL'!AN154</f>
        <v>0</v>
      </c>
      <c r="AG151">
        <f>'RESUMEN TOTAL'!AO154</f>
        <v>0</v>
      </c>
    </row>
    <row r="152" spans="1:33" x14ac:dyDescent="0.25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TOTAL'!N155</f>
        <v>0</v>
      </c>
      <c r="G152">
        <f>'RESUMEN TOTAL'!O155</f>
        <v>0</v>
      </c>
      <c r="H152">
        <f>'RESUMEN TOTAL'!P155</f>
        <v>0</v>
      </c>
      <c r="I152">
        <f>'RESUMEN TOTAL'!Q155</f>
        <v>0</v>
      </c>
      <c r="J152">
        <f>'RESUMEN TOTAL'!R155</f>
        <v>0</v>
      </c>
      <c r="K152">
        <f>'RESUMEN TOTAL'!S155</f>
        <v>0</v>
      </c>
      <c r="L152">
        <f>'RESUMEN TOTAL'!T155</f>
        <v>0</v>
      </c>
      <c r="M152">
        <f>'RESUMEN TOTAL'!U155</f>
        <v>0</v>
      </c>
      <c r="N152">
        <f>'RESUMEN TOTAL'!V155</f>
        <v>0</v>
      </c>
      <c r="O152">
        <f>'RESUMEN TOTAL'!W155</f>
        <v>0</v>
      </c>
      <c r="P152">
        <f>'RESUMEN TOTAL'!X155</f>
        <v>0</v>
      </c>
      <c r="Q152">
        <f>'RESUMEN TOTAL'!Y155</f>
        <v>0</v>
      </c>
      <c r="R152">
        <f>'RESUMEN TOTAL'!Z155</f>
        <v>0</v>
      </c>
      <c r="S152">
        <f>'RESUMEN TOTAL'!AA155</f>
        <v>0</v>
      </c>
      <c r="T152">
        <f>'RESUMEN TOTAL'!AB155</f>
        <v>0</v>
      </c>
      <c r="U152">
        <f>'RESUMEN TOTAL'!AC155</f>
        <v>0</v>
      </c>
      <c r="V152">
        <f>'RESUMEN TOTAL'!AD155</f>
        <v>0</v>
      </c>
      <c r="W152">
        <f>'RESUMEN TOTAL'!AE155</f>
        <v>0</v>
      </c>
      <c r="X152">
        <f>'RESUMEN TOTAL'!AF155</f>
        <v>0</v>
      </c>
      <c r="Y152">
        <f>'RESUMEN TOTAL'!AG155</f>
        <v>0</v>
      </c>
      <c r="Z152">
        <f>'RESUMEN TOTAL'!AH155</f>
        <v>0</v>
      </c>
      <c r="AA152">
        <f>'RESUMEN TOTAL'!AI155</f>
        <v>0</v>
      </c>
      <c r="AB152">
        <f>'RESUMEN TOTAL'!AJ155</f>
        <v>0</v>
      </c>
      <c r="AC152">
        <f>'RESUMEN TOTAL'!AK155</f>
        <v>0</v>
      </c>
      <c r="AD152">
        <f>'RESUMEN TOTAL'!AL155</f>
        <v>0</v>
      </c>
      <c r="AE152">
        <f>'RESUMEN TOTAL'!AM155</f>
        <v>0</v>
      </c>
      <c r="AF152">
        <f>'RESUMEN TOTAL'!AN155</f>
        <v>0</v>
      </c>
      <c r="AG152">
        <f>'RESUMEN TOTAL'!AO155</f>
        <v>0</v>
      </c>
    </row>
    <row r="153" spans="1:33" x14ac:dyDescent="0.25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TOTAL'!N156</f>
        <v>0</v>
      </c>
      <c r="G153" t="str">
        <f>'RESUMEN TOTAL'!O156</f>
        <v>APAGADO</v>
      </c>
      <c r="H153" t="str">
        <f>'RESUMEN TOTAL'!P156</f>
        <v>APAGADO</v>
      </c>
      <c r="I153" t="str">
        <f>'RESUMEN TOTAL'!Q156</f>
        <v>APAGADO</v>
      </c>
      <c r="J153" t="str">
        <f>'RESUMEN TOTAL'!R156</f>
        <v>APAGADO</v>
      </c>
      <c r="K153" t="str">
        <f>'RESUMEN TOTAL'!S156</f>
        <v>APAGADO</v>
      </c>
      <c r="L153" t="str">
        <f>'RESUMEN TOTAL'!T156</f>
        <v>APAGADO</v>
      </c>
      <c r="M153">
        <f>'RESUMEN TOTAL'!U156</f>
        <v>0</v>
      </c>
      <c r="N153">
        <f>'RESUMEN TOTAL'!V156</f>
        <v>0</v>
      </c>
      <c r="O153">
        <f>'RESUMEN TOTAL'!W156</f>
        <v>0</v>
      </c>
      <c r="P153">
        <f>'RESUMEN TOTAL'!X156</f>
        <v>0</v>
      </c>
      <c r="Q153">
        <f>'RESUMEN TOTAL'!Y156</f>
        <v>0</v>
      </c>
      <c r="R153">
        <f>'RESUMEN TOTAL'!Z156</f>
        <v>0</v>
      </c>
      <c r="S153">
        <f>'RESUMEN TOTAL'!AA156</f>
        <v>0</v>
      </c>
      <c r="T153">
        <f>'RESUMEN TOTAL'!AB156</f>
        <v>0</v>
      </c>
      <c r="U153">
        <f>'RESUMEN TOTAL'!AC156</f>
        <v>0</v>
      </c>
      <c r="V153">
        <f>'RESUMEN TOTAL'!AD156</f>
        <v>0</v>
      </c>
      <c r="W153">
        <f>'RESUMEN TOTAL'!AE156</f>
        <v>0</v>
      </c>
      <c r="X153">
        <f>'RESUMEN TOTAL'!AF156</f>
        <v>0</v>
      </c>
      <c r="Y153">
        <f>'RESUMEN TOTAL'!AG156</f>
        <v>0</v>
      </c>
      <c r="Z153">
        <f>'RESUMEN TOTAL'!AH156</f>
        <v>0</v>
      </c>
      <c r="AA153">
        <f>'RESUMEN TOTAL'!AI156</f>
        <v>0</v>
      </c>
      <c r="AB153">
        <f>'RESUMEN TOTAL'!AJ156</f>
        <v>0</v>
      </c>
      <c r="AC153">
        <f>'RESUMEN TOTAL'!AK156</f>
        <v>0</v>
      </c>
      <c r="AD153">
        <f>'RESUMEN TOTAL'!AL156</f>
        <v>0</v>
      </c>
      <c r="AE153">
        <f>'RESUMEN TOTAL'!AM156</f>
        <v>0</v>
      </c>
      <c r="AF153">
        <f>'RESUMEN TOTAL'!AN156</f>
        <v>0</v>
      </c>
      <c r="AG153">
        <f>'RESUMEN TOTAL'!AO156</f>
        <v>0</v>
      </c>
    </row>
    <row r="154" spans="1:33" x14ac:dyDescent="0.25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TOTAL'!N157</f>
        <v>0</v>
      </c>
      <c r="G154">
        <f>'RESUMEN TOTAL'!O157</f>
        <v>0</v>
      </c>
      <c r="H154">
        <f>'RESUMEN TOTAL'!P157</f>
        <v>0</v>
      </c>
      <c r="I154">
        <f>'RESUMEN TOTAL'!Q157</f>
        <v>0</v>
      </c>
      <c r="J154">
        <f>'RESUMEN TOTAL'!R157</f>
        <v>0</v>
      </c>
      <c r="K154">
        <f>'RESUMEN TOTAL'!S157</f>
        <v>0</v>
      </c>
      <c r="L154">
        <f>'RESUMEN TOTAL'!T157</f>
        <v>0</v>
      </c>
      <c r="M154">
        <f>'RESUMEN TOTAL'!U157</f>
        <v>0</v>
      </c>
      <c r="N154">
        <f>'RESUMEN TOTAL'!V157</f>
        <v>0</v>
      </c>
      <c r="O154">
        <f>'RESUMEN TOTAL'!W157</f>
        <v>0</v>
      </c>
      <c r="P154">
        <f>'RESUMEN TOTAL'!X157</f>
        <v>0</v>
      </c>
      <c r="Q154">
        <f>'RESUMEN TOTAL'!Y157</f>
        <v>0</v>
      </c>
      <c r="R154">
        <f>'RESUMEN TOTAL'!Z157</f>
        <v>0</v>
      </c>
      <c r="S154">
        <f>'RESUMEN TOTAL'!AA157</f>
        <v>0</v>
      </c>
      <c r="T154">
        <f>'RESUMEN TOTAL'!AB157</f>
        <v>0</v>
      </c>
      <c r="U154">
        <f>'RESUMEN TOTAL'!AC157</f>
        <v>0</v>
      </c>
      <c r="V154">
        <f>'RESUMEN TOTAL'!AD157</f>
        <v>0</v>
      </c>
      <c r="W154">
        <f>'RESUMEN TOTAL'!AE157</f>
        <v>0</v>
      </c>
      <c r="X154">
        <f>'RESUMEN TOTAL'!AF157</f>
        <v>0</v>
      </c>
      <c r="Y154">
        <f>'RESUMEN TOTAL'!AG157</f>
        <v>0</v>
      </c>
      <c r="Z154">
        <f>'RESUMEN TOTAL'!AH157</f>
        <v>0</v>
      </c>
      <c r="AA154">
        <f>'RESUMEN TOTAL'!AI157</f>
        <v>0</v>
      </c>
      <c r="AB154">
        <f>'RESUMEN TOTAL'!AJ157</f>
        <v>0</v>
      </c>
      <c r="AC154">
        <f>'RESUMEN TOTAL'!AK157</f>
        <v>0</v>
      </c>
      <c r="AD154">
        <f>'RESUMEN TOTAL'!AL157</f>
        <v>0</v>
      </c>
      <c r="AE154">
        <f>'RESUMEN TOTAL'!AM157</f>
        <v>0</v>
      </c>
      <c r="AF154">
        <f>'RESUMEN TOTAL'!AN157</f>
        <v>0</v>
      </c>
      <c r="AG154">
        <f>'RESUMEN TOTAL'!AO157</f>
        <v>0</v>
      </c>
    </row>
    <row r="155" spans="1:33" x14ac:dyDescent="0.25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TOTAL'!N158</f>
        <v>0</v>
      </c>
      <c r="G155">
        <f>'RESUMEN TOTAL'!O158</f>
        <v>0</v>
      </c>
      <c r="H155">
        <f>'RESUMEN TOTAL'!P158</f>
        <v>0</v>
      </c>
      <c r="I155">
        <f>'RESUMEN TOTAL'!Q158</f>
        <v>0</v>
      </c>
      <c r="J155">
        <f>'RESUMEN TOTAL'!R158</f>
        <v>0</v>
      </c>
      <c r="K155">
        <f>'RESUMEN TOTAL'!S158</f>
        <v>0</v>
      </c>
      <c r="L155">
        <f>'RESUMEN TOTAL'!T158</f>
        <v>0</v>
      </c>
      <c r="M155">
        <f>'RESUMEN TOTAL'!U158</f>
        <v>0</v>
      </c>
      <c r="N155">
        <f>'RESUMEN TOTAL'!V158</f>
        <v>0</v>
      </c>
      <c r="O155">
        <f>'RESUMEN TOTAL'!W158</f>
        <v>0</v>
      </c>
      <c r="P155">
        <f>'RESUMEN TOTAL'!X158</f>
        <v>0</v>
      </c>
      <c r="Q155">
        <f>'RESUMEN TOTAL'!Y158</f>
        <v>0</v>
      </c>
      <c r="R155">
        <f>'RESUMEN TOTAL'!Z158</f>
        <v>0</v>
      </c>
      <c r="S155">
        <f>'RESUMEN TOTAL'!AA158</f>
        <v>0</v>
      </c>
      <c r="T155">
        <f>'RESUMEN TOTAL'!AB158</f>
        <v>0</v>
      </c>
      <c r="U155">
        <f>'RESUMEN TOTAL'!AC158</f>
        <v>0</v>
      </c>
      <c r="V155">
        <f>'RESUMEN TOTAL'!AD158</f>
        <v>0</v>
      </c>
      <c r="W155">
        <f>'RESUMEN TOTAL'!AE158</f>
        <v>0</v>
      </c>
      <c r="X155">
        <f>'RESUMEN TOTAL'!AF158</f>
        <v>0</v>
      </c>
      <c r="Y155">
        <f>'RESUMEN TOTAL'!AG158</f>
        <v>0</v>
      </c>
      <c r="Z155">
        <f>'RESUMEN TOTAL'!AH158</f>
        <v>0</v>
      </c>
      <c r="AA155">
        <f>'RESUMEN TOTAL'!AI158</f>
        <v>0</v>
      </c>
      <c r="AB155">
        <f>'RESUMEN TOTAL'!AJ158</f>
        <v>0</v>
      </c>
      <c r="AC155">
        <f>'RESUMEN TOTAL'!AK158</f>
        <v>0</v>
      </c>
      <c r="AD155">
        <f>'RESUMEN TOTAL'!AL158</f>
        <v>0</v>
      </c>
      <c r="AE155">
        <f>'RESUMEN TOTAL'!AM158</f>
        <v>0</v>
      </c>
      <c r="AF155">
        <f>'RESUMEN TOTAL'!AN158</f>
        <v>0</v>
      </c>
      <c r="AG155">
        <f>'RESUMEN TOTAL'!AO158</f>
        <v>0</v>
      </c>
    </row>
    <row r="156" spans="1:33" x14ac:dyDescent="0.25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 t="str">
        <f>'RESUMEN TOTAL'!N159</f>
        <v>APAGADO</v>
      </c>
      <c r="G156" t="str">
        <f>'RESUMEN TOTAL'!O159</f>
        <v>APAGADO</v>
      </c>
      <c r="H156" t="str">
        <f>'RESUMEN TOTAL'!P159</f>
        <v>APAGADO</v>
      </c>
      <c r="I156" t="str">
        <f>'RESUMEN TOTAL'!Q159</f>
        <v>APAGADO</v>
      </c>
      <c r="J156" t="str">
        <f>'RESUMEN TOTAL'!R159</f>
        <v>APAGADO</v>
      </c>
      <c r="K156" t="str">
        <f>'RESUMEN TOTAL'!S159</f>
        <v>APAGADO</v>
      </c>
      <c r="L156" t="str">
        <f>'RESUMEN TOTAL'!T159</f>
        <v>APAGADO</v>
      </c>
      <c r="M156">
        <f>'RESUMEN TOTAL'!U159</f>
        <v>0</v>
      </c>
      <c r="N156">
        <f>'RESUMEN TOTAL'!V159</f>
        <v>0</v>
      </c>
      <c r="O156">
        <f>'RESUMEN TOTAL'!W159</f>
        <v>0</v>
      </c>
      <c r="P156">
        <f>'RESUMEN TOTAL'!X159</f>
        <v>0</v>
      </c>
      <c r="Q156">
        <f>'RESUMEN TOTAL'!Y159</f>
        <v>0</v>
      </c>
      <c r="R156">
        <f>'RESUMEN TOTAL'!Z159</f>
        <v>0</v>
      </c>
      <c r="S156">
        <f>'RESUMEN TOTAL'!AA159</f>
        <v>0</v>
      </c>
      <c r="T156">
        <f>'RESUMEN TOTAL'!AB159</f>
        <v>0</v>
      </c>
      <c r="U156">
        <f>'RESUMEN TOTAL'!AC159</f>
        <v>0</v>
      </c>
      <c r="V156">
        <f>'RESUMEN TOTAL'!AD159</f>
        <v>0</v>
      </c>
      <c r="W156">
        <f>'RESUMEN TOTAL'!AE159</f>
        <v>0</v>
      </c>
      <c r="X156">
        <f>'RESUMEN TOTAL'!AF159</f>
        <v>0</v>
      </c>
      <c r="Y156">
        <f>'RESUMEN TOTAL'!AG159</f>
        <v>0</v>
      </c>
      <c r="Z156">
        <f>'RESUMEN TOTAL'!AH159</f>
        <v>0</v>
      </c>
      <c r="AA156">
        <f>'RESUMEN TOTAL'!AI159</f>
        <v>0</v>
      </c>
      <c r="AB156">
        <f>'RESUMEN TOTAL'!AJ159</f>
        <v>0</v>
      </c>
      <c r="AC156">
        <f>'RESUMEN TOTAL'!AK159</f>
        <v>0</v>
      </c>
      <c r="AD156">
        <f>'RESUMEN TOTAL'!AL159</f>
        <v>0</v>
      </c>
      <c r="AE156">
        <f>'RESUMEN TOTAL'!AM159</f>
        <v>0</v>
      </c>
      <c r="AF156">
        <f>'RESUMEN TOTAL'!AN159</f>
        <v>0</v>
      </c>
      <c r="AG156">
        <f>'RESUMEN TOTAL'!AO159</f>
        <v>0</v>
      </c>
    </row>
    <row r="157" spans="1:33" x14ac:dyDescent="0.25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TOTAL'!N160</f>
        <v>0</v>
      </c>
      <c r="G157" t="str">
        <f>'RESUMEN TOTAL'!O160</f>
        <v>APAGADO</v>
      </c>
      <c r="H157" t="str">
        <f>'RESUMEN TOTAL'!P160</f>
        <v>APAGADO</v>
      </c>
      <c r="I157" t="str">
        <f>'RESUMEN TOTAL'!Q160</f>
        <v>APAGADO</v>
      </c>
      <c r="J157" t="str">
        <f>'RESUMEN TOTAL'!R160</f>
        <v>APAGADO</v>
      </c>
      <c r="K157" t="str">
        <f>'RESUMEN TOTAL'!S160</f>
        <v>APAGADO</v>
      </c>
      <c r="L157" t="str">
        <f>'RESUMEN TOTAL'!T160</f>
        <v>APAGADO</v>
      </c>
      <c r="M157">
        <f>'RESUMEN TOTAL'!U160</f>
        <v>0</v>
      </c>
      <c r="N157">
        <f>'RESUMEN TOTAL'!V160</f>
        <v>0</v>
      </c>
      <c r="O157">
        <f>'RESUMEN TOTAL'!W160</f>
        <v>0</v>
      </c>
      <c r="P157">
        <f>'RESUMEN TOTAL'!X160</f>
        <v>0</v>
      </c>
      <c r="Q157">
        <f>'RESUMEN TOTAL'!Y160</f>
        <v>0</v>
      </c>
      <c r="R157">
        <f>'RESUMEN TOTAL'!Z160</f>
        <v>0</v>
      </c>
      <c r="S157">
        <f>'RESUMEN TOTAL'!AA160</f>
        <v>0</v>
      </c>
      <c r="T157">
        <f>'RESUMEN TOTAL'!AB160</f>
        <v>0</v>
      </c>
      <c r="U157">
        <f>'RESUMEN TOTAL'!AC160</f>
        <v>0</v>
      </c>
      <c r="V157">
        <f>'RESUMEN TOTAL'!AD160</f>
        <v>0</v>
      </c>
      <c r="W157">
        <f>'RESUMEN TOTAL'!AE160</f>
        <v>0</v>
      </c>
      <c r="X157">
        <f>'RESUMEN TOTAL'!AF160</f>
        <v>0</v>
      </c>
      <c r="Y157">
        <f>'RESUMEN TOTAL'!AG160</f>
        <v>0</v>
      </c>
      <c r="Z157">
        <f>'RESUMEN TOTAL'!AH160</f>
        <v>0</v>
      </c>
      <c r="AA157">
        <f>'RESUMEN TOTAL'!AI160</f>
        <v>0</v>
      </c>
      <c r="AB157">
        <f>'RESUMEN TOTAL'!AJ160</f>
        <v>0</v>
      </c>
      <c r="AC157">
        <f>'RESUMEN TOTAL'!AK160</f>
        <v>0</v>
      </c>
      <c r="AD157">
        <f>'RESUMEN TOTAL'!AL160</f>
        <v>0</v>
      </c>
      <c r="AE157">
        <f>'RESUMEN TOTAL'!AM160</f>
        <v>0</v>
      </c>
      <c r="AF157">
        <f>'RESUMEN TOTAL'!AN160</f>
        <v>0</v>
      </c>
      <c r="AG157">
        <f>'RESUMEN TOTAL'!AO160</f>
        <v>0</v>
      </c>
    </row>
    <row r="158" spans="1:33" x14ac:dyDescent="0.25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TOTAL'!N161</f>
        <v>0</v>
      </c>
      <c r="G158">
        <f>'RESUMEN TOTAL'!O161</f>
        <v>0</v>
      </c>
      <c r="H158">
        <f>'RESUMEN TOTAL'!P161</f>
        <v>0</v>
      </c>
      <c r="I158">
        <f>'RESUMEN TOTAL'!Q161</f>
        <v>0</v>
      </c>
      <c r="J158">
        <f>'RESUMEN TOTAL'!R161</f>
        <v>0</v>
      </c>
      <c r="K158">
        <f>'RESUMEN TOTAL'!S161</f>
        <v>0</v>
      </c>
      <c r="L158">
        <f>'RESUMEN TOTAL'!T161</f>
        <v>0</v>
      </c>
      <c r="M158">
        <f>'RESUMEN TOTAL'!U161</f>
        <v>0</v>
      </c>
      <c r="N158">
        <f>'RESUMEN TOTAL'!V161</f>
        <v>0</v>
      </c>
      <c r="O158">
        <f>'RESUMEN TOTAL'!W161</f>
        <v>0</v>
      </c>
      <c r="P158">
        <f>'RESUMEN TOTAL'!X161</f>
        <v>0</v>
      </c>
      <c r="Q158">
        <f>'RESUMEN TOTAL'!Y161</f>
        <v>0</v>
      </c>
      <c r="R158">
        <f>'RESUMEN TOTAL'!Z161</f>
        <v>0</v>
      </c>
      <c r="S158">
        <f>'RESUMEN TOTAL'!AA161</f>
        <v>0</v>
      </c>
      <c r="T158">
        <f>'RESUMEN TOTAL'!AB161</f>
        <v>0</v>
      </c>
      <c r="U158">
        <f>'RESUMEN TOTAL'!AC161</f>
        <v>0</v>
      </c>
      <c r="V158">
        <f>'RESUMEN TOTAL'!AD161</f>
        <v>0</v>
      </c>
      <c r="W158">
        <f>'RESUMEN TOTAL'!AE161</f>
        <v>0</v>
      </c>
      <c r="X158">
        <f>'RESUMEN TOTAL'!AF161</f>
        <v>0</v>
      </c>
      <c r="Y158">
        <f>'RESUMEN TOTAL'!AG161</f>
        <v>0</v>
      </c>
      <c r="Z158">
        <f>'RESUMEN TOTAL'!AH161</f>
        <v>0</v>
      </c>
      <c r="AA158">
        <f>'RESUMEN TOTAL'!AI161</f>
        <v>0</v>
      </c>
      <c r="AB158">
        <f>'RESUMEN TOTAL'!AJ161</f>
        <v>0</v>
      </c>
      <c r="AC158">
        <f>'RESUMEN TOTAL'!AK161</f>
        <v>0</v>
      </c>
      <c r="AD158">
        <f>'RESUMEN TOTAL'!AL161</f>
        <v>0</v>
      </c>
      <c r="AE158">
        <f>'RESUMEN TOTAL'!AM161</f>
        <v>0</v>
      </c>
      <c r="AF158">
        <f>'RESUMEN TOTAL'!AN161</f>
        <v>0</v>
      </c>
      <c r="AG158">
        <f>'RESUMEN TOTAL'!AO161</f>
        <v>0</v>
      </c>
    </row>
    <row r="159" spans="1:33" x14ac:dyDescent="0.25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Fibra Optica</v>
      </c>
      <c r="F159">
        <f>'RESUMEN TOTAL'!N162</f>
        <v>0</v>
      </c>
      <c r="G159">
        <f>'RESUMEN TOTAL'!O162</f>
        <v>0</v>
      </c>
      <c r="H159">
        <f>'RESUMEN TOTAL'!P162</f>
        <v>0</v>
      </c>
      <c r="I159">
        <f>'RESUMEN TOTAL'!Q162</f>
        <v>0</v>
      </c>
      <c r="J159">
        <f>'RESUMEN TOTAL'!R162</f>
        <v>0</v>
      </c>
      <c r="K159">
        <f>'RESUMEN TOTAL'!S162</f>
        <v>0</v>
      </c>
      <c r="L159">
        <f>'RESUMEN TOTAL'!T162</f>
        <v>0</v>
      </c>
      <c r="M159">
        <f>'RESUMEN TOTAL'!U162</f>
        <v>0</v>
      </c>
      <c r="N159">
        <f>'RESUMEN TOTAL'!V162</f>
        <v>0</v>
      </c>
      <c r="O159">
        <f>'RESUMEN TOTAL'!W162</f>
        <v>0</v>
      </c>
      <c r="P159">
        <f>'RESUMEN TOTAL'!X162</f>
        <v>0</v>
      </c>
      <c r="Q159">
        <f>'RESUMEN TOTAL'!Y162</f>
        <v>0</v>
      </c>
      <c r="R159">
        <f>'RESUMEN TOTAL'!Z162</f>
        <v>0</v>
      </c>
      <c r="S159">
        <f>'RESUMEN TOTAL'!AA162</f>
        <v>0</v>
      </c>
      <c r="T159">
        <f>'RESUMEN TOTAL'!AB162</f>
        <v>0</v>
      </c>
      <c r="U159">
        <f>'RESUMEN TOTAL'!AC162</f>
        <v>0</v>
      </c>
      <c r="V159">
        <f>'RESUMEN TOTAL'!AD162</f>
        <v>0</v>
      </c>
      <c r="W159">
        <f>'RESUMEN TOTAL'!AE162</f>
        <v>0</v>
      </c>
      <c r="X159">
        <f>'RESUMEN TOTAL'!AF162</f>
        <v>0</v>
      </c>
      <c r="Y159">
        <f>'RESUMEN TOTAL'!AG162</f>
        <v>0</v>
      </c>
      <c r="Z159">
        <f>'RESUMEN TOTAL'!AH162</f>
        <v>0</v>
      </c>
      <c r="AA159">
        <f>'RESUMEN TOTAL'!AI162</f>
        <v>0</v>
      </c>
      <c r="AB159">
        <f>'RESUMEN TOTAL'!AJ162</f>
        <v>0</v>
      </c>
      <c r="AC159">
        <f>'RESUMEN TOTAL'!AK162</f>
        <v>0</v>
      </c>
      <c r="AD159">
        <f>'RESUMEN TOTAL'!AL162</f>
        <v>0</v>
      </c>
      <c r="AE159">
        <f>'RESUMEN TOTAL'!AM162</f>
        <v>0</v>
      </c>
      <c r="AF159">
        <f>'RESUMEN TOTAL'!AN162</f>
        <v>0</v>
      </c>
      <c r="AG159">
        <f>'RESUMEN TOTAL'!AO162</f>
        <v>0</v>
      </c>
    </row>
    <row r="160" spans="1:33" x14ac:dyDescent="0.25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TOTAL'!N163</f>
        <v>0</v>
      </c>
      <c r="G160" t="str">
        <f>'RESUMEN TOTAL'!O163</f>
        <v>APAGADO</v>
      </c>
      <c r="H160" t="str">
        <f>'RESUMEN TOTAL'!P163</f>
        <v>APAGADO</v>
      </c>
      <c r="I160" t="str">
        <f>'RESUMEN TOTAL'!Q163</f>
        <v>APAGADO</v>
      </c>
      <c r="J160" t="str">
        <f>'RESUMEN TOTAL'!R163</f>
        <v>APAGADO</v>
      </c>
      <c r="K160" t="str">
        <f>'RESUMEN TOTAL'!S163</f>
        <v>APAGADO</v>
      </c>
      <c r="L160" t="str">
        <f>'RESUMEN TOTAL'!T163</f>
        <v>APAGADO</v>
      </c>
      <c r="M160">
        <f>'RESUMEN TOTAL'!U163</f>
        <v>0</v>
      </c>
      <c r="N160">
        <f>'RESUMEN TOTAL'!V163</f>
        <v>0</v>
      </c>
      <c r="O160">
        <f>'RESUMEN TOTAL'!W163</f>
        <v>0</v>
      </c>
      <c r="P160">
        <f>'RESUMEN TOTAL'!X163</f>
        <v>0</v>
      </c>
      <c r="Q160">
        <f>'RESUMEN TOTAL'!Y163</f>
        <v>0</v>
      </c>
      <c r="R160">
        <f>'RESUMEN TOTAL'!Z163</f>
        <v>0</v>
      </c>
      <c r="S160">
        <f>'RESUMEN TOTAL'!AA163</f>
        <v>0</v>
      </c>
      <c r="T160">
        <f>'RESUMEN TOTAL'!AB163</f>
        <v>0</v>
      </c>
      <c r="U160">
        <f>'RESUMEN TOTAL'!AC163</f>
        <v>0</v>
      </c>
      <c r="V160">
        <f>'RESUMEN TOTAL'!AD163</f>
        <v>0</v>
      </c>
      <c r="W160">
        <f>'RESUMEN TOTAL'!AE163</f>
        <v>0</v>
      </c>
      <c r="X160">
        <f>'RESUMEN TOTAL'!AF163</f>
        <v>0</v>
      </c>
      <c r="Y160">
        <f>'RESUMEN TOTAL'!AG163</f>
        <v>0</v>
      </c>
      <c r="Z160">
        <f>'RESUMEN TOTAL'!AH163</f>
        <v>0</v>
      </c>
      <c r="AA160">
        <f>'RESUMEN TOTAL'!AI163</f>
        <v>0</v>
      </c>
      <c r="AB160">
        <f>'RESUMEN TOTAL'!AJ163</f>
        <v>0</v>
      </c>
      <c r="AC160">
        <f>'RESUMEN TOTAL'!AK163</f>
        <v>0</v>
      </c>
      <c r="AD160">
        <f>'RESUMEN TOTAL'!AL163</f>
        <v>0</v>
      </c>
      <c r="AE160">
        <f>'RESUMEN TOTAL'!AM163</f>
        <v>0</v>
      </c>
      <c r="AF160">
        <f>'RESUMEN TOTAL'!AN163</f>
        <v>0</v>
      </c>
      <c r="AG160">
        <f>'RESUMEN TOTAL'!AO163</f>
        <v>0</v>
      </c>
    </row>
    <row r="161" spans="1:33" x14ac:dyDescent="0.25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TOTAL'!N164</f>
        <v>0</v>
      </c>
      <c r="G161" t="str">
        <f>'RESUMEN TOTAL'!O164</f>
        <v>APAGADO</v>
      </c>
      <c r="H161" t="str">
        <f>'RESUMEN TOTAL'!P164</f>
        <v>APAGADO</v>
      </c>
      <c r="I161" t="str">
        <f>'RESUMEN TOTAL'!Q164</f>
        <v>APAGADO</v>
      </c>
      <c r="J161" t="str">
        <f>'RESUMEN TOTAL'!R164</f>
        <v>APAGADO</v>
      </c>
      <c r="K161" t="str">
        <f>'RESUMEN TOTAL'!S164</f>
        <v>APAGADO</v>
      </c>
      <c r="L161" t="str">
        <f>'RESUMEN TOTAL'!T164</f>
        <v>APAGADO</v>
      </c>
      <c r="M161">
        <f>'RESUMEN TOTAL'!U164</f>
        <v>0</v>
      </c>
      <c r="N161">
        <f>'RESUMEN TOTAL'!V164</f>
        <v>0</v>
      </c>
      <c r="O161">
        <f>'RESUMEN TOTAL'!W164</f>
        <v>0</v>
      </c>
      <c r="P161">
        <f>'RESUMEN TOTAL'!X164</f>
        <v>0</v>
      </c>
      <c r="Q161">
        <f>'RESUMEN TOTAL'!Y164</f>
        <v>0</v>
      </c>
      <c r="R161">
        <f>'RESUMEN TOTAL'!Z164</f>
        <v>0</v>
      </c>
      <c r="S161">
        <f>'RESUMEN TOTAL'!AA164</f>
        <v>0</v>
      </c>
      <c r="T161">
        <f>'RESUMEN TOTAL'!AB164</f>
        <v>0</v>
      </c>
      <c r="U161">
        <f>'RESUMEN TOTAL'!AC164</f>
        <v>0</v>
      </c>
      <c r="V161">
        <f>'RESUMEN TOTAL'!AD164</f>
        <v>0</v>
      </c>
      <c r="W161">
        <f>'RESUMEN TOTAL'!AE164</f>
        <v>0</v>
      </c>
      <c r="X161">
        <f>'RESUMEN TOTAL'!AF164</f>
        <v>0</v>
      </c>
      <c r="Y161">
        <f>'RESUMEN TOTAL'!AG164</f>
        <v>0</v>
      </c>
      <c r="Z161">
        <f>'RESUMEN TOTAL'!AH164</f>
        <v>0</v>
      </c>
      <c r="AA161">
        <f>'RESUMEN TOTAL'!AI164</f>
        <v>0</v>
      </c>
      <c r="AB161">
        <f>'RESUMEN TOTAL'!AJ164</f>
        <v>0</v>
      </c>
      <c r="AC161">
        <f>'RESUMEN TOTAL'!AK164</f>
        <v>0</v>
      </c>
      <c r="AD161">
        <f>'RESUMEN TOTAL'!AL164</f>
        <v>0</v>
      </c>
      <c r="AE161">
        <f>'RESUMEN TOTAL'!AM164</f>
        <v>0</v>
      </c>
      <c r="AF161">
        <f>'RESUMEN TOTAL'!AN164</f>
        <v>0</v>
      </c>
      <c r="AG161">
        <f>'RESUMEN TOTAL'!AO164</f>
        <v>0</v>
      </c>
    </row>
    <row r="162" spans="1:33" x14ac:dyDescent="0.25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TOTAL'!N165</f>
        <v>0</v>
      </c>
      <c r="G162">
        <f>'RESUMEN TOTAL'!O165</f>
        <v>0</v>
      </c>
      <c r="H162">
        <f>'RESUMEN TOTAL'!P165</f>
        <v>0</v>
      </c>
      <c r="I162">
        <f>'RESUMEN TOTAL'!Q165</f>
        <v>0</v>
      </c>
      <c r="J162">
        <f>'RESUMEN TOTAL'!R165</f>
        <v>0</v>
      </c>
      <c r="K162">
        <f>'RESUMEN TOTAL'!S165</f>
        <v>0</v>
      </c>
      <c r="L162">
        <f>'RESUMEN TOTAL'!T165</f>
        <v>0</v>
      </c>
      <c r="M162">
        <f>'RESUMEN TOTAL'!U165</f>
        <v>0</v>
      </c>
      <c r="N162">
        <f>'RESUMEN TOTAL'!V165</f>
        <v>0</v>
      </c>
      <c r="O162">
        <f>'RESUMEN TOTAL'!W165</f>
        <v>0</v>
      </c>
      <c r="P162">
        <f>'RESUMEN TOTAL'!X165</f>
        <v>0</v>
      </c>
      <c r="Q162">
        <f>'RESUMEN TOTAL'!Y165</f>
        <v>0</v>
      </c>
      <c r="R162">
        <f>'RESUMEN TOTAL'!Z165</f>
        <v>0</v>
      </c>
      <c r="S162">
        <f>'RESUMEN TOTAL'!AA165</f>
        <v>0</v>
      </c>
      <c r="T162">
        <f>'RESUMEN TOTAL'!AB165</f>
        <v>0</v>
      </c>
      <c r="U162">
        <f>'RESUMEN TOTAL'!AC165</f>
        <v>0</v>
      </c>
      <c r="V162">
        <f>'RESUMEN TOTAL'!AD165</f>
        <v>0</v>
      </c>
      <c r="W162">
        <f>'RESUMEN TOTAL'!AE165</f>
        <v>0</v>
      </c>
      <c r="X162">
        <f>'RESUMEN TOTAL'!AF165</f>
        <v>0</v>
      </c>
      <c r="Y162">
        <f>'RESUMEN TOTAL'!AG165</f>
        <v>0</v>
      </c>
      <c r="Z162">
        <f>'RESUMEN TOTAL'!AH165</f>
        <v>0</v>
      </c>
      <c r="AA162">
        <f>'RESUMEN TOTAL'!AI165</f>
        <v>0</v>
      </c>
      <c r="AB162">
        <f>'RESUMEN TOTAL'!AJ165</f>
        <v>0</v>
      </c>
      <c r="AC162">
        <f>'RESUMEN TOTAL'!AK165</f>
        <v>0</v>
      </c>
      <c r="AD162">
        <f>'RESUMEN TOTAL'!AL165</f>
        <v>0</v>
      </c>
      <c r="AE162">
        <f>'RESUMEN TOTAL'!AM165</f>
        <v>0</v>
      </c>
      <c r="AF162">
        <f>'RESUMEN TOTAL'!AN165</f>
        <v>0</v>
      </c>
      <c r="AG162">
        <f>'RESUMEN TOTAL'!AO165</f>
        <v>0</v>
      </c>
    </row>
    <row r="163" spans="1:33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TOTAL'!N166</f>
        <v>0</v>
      </c>
      <c r="G163">
        <f>'RESUMEN TOTAL'!O166</f>
        <v>0</v>
      </c>
      <c r="H163">
        <f>'RESUMEN TOTAL'!P166</f>
        <v>0</v>
      </c>
      <c r="I163">
        <f>'RESUMEN TOTAL'!Q166</f>
        <v>0</v>
      </c>
      <c r="J163" t="str">
        <f>'RESUMEN TOTAL'!R166</f>
        <v>APAGADO</v>
      </c>
      <c r="K163" t="str">
        <f>'RESUMEN TOTAL'!S166</f>
        <v>APAGADO</v>
      </c>
      <c r="L163" t="str">
        <f>'RESUMEN TOTAL'!T166</f>
        <v>APAGADO</v>
      </c>
      <c r="M163">
        <f>'RESUMEN TOTAL'!U166</f>
        <v>0</v>
      </c>
      <c r="N163">
        <f>'RESUMEN TOTAL'!V166</f>
        <v>0</v>
      </c>
      <c r="O163">
        <f>'RESUMEN TOTAL'!W166</f>
        <v>0</v>
      </c>
      <c r="P163">
        <f>'RESUMEN TOTAL'!X166</f>
        <v>0</v>
      </c>
      <c r="Q163">
        <f>'RESUMEN TOTAL'!Y166</f>
        <v>0</v>
      </c>
      <c r="R163">
        <f>'RESUMEN TOTAL'!Z166</f>
        <v>0</v>
      </c>
      <c r="S163">
        <f>'RESUMEN TOTAL'!AA166</f>
        <v>0</v>
      </c>
      <c r="T163">
        <f>'RESUMEN TOTAL'!AB166</f>
        <v>0</v>
      </c>
      <c r="U163">
        <f>'RESUMEN TOTAL'!AC166</f>
        <v>0</v>
      </c>
      <c r="V163">
        <f>'RESUMEN TOTAL'!AD166</f>
        <v>0</v>
      </c>
      <c r="W163">
        <f>'RESUMEN TOTAL'!AE166</f>
        <v>0</v>
      </c>
      <c r="X163">
        <f>'RESUMEN TOTAL'!AF166</f>
        <v>0</v>
      </c>
      <c r="Y163">
        <f>'RESUMEN TOTAL'!AG166</f>
        <v>0</v>
      </c>
      <c r="Z163">
        <f>'RESUMEN TOTAL'!AH166</f>
        <v>0</v>
      </c>
      <c r="AA163">
        <f>'RESUMEN TOTAL'!AI166</f>
        <v>0</v>
      </c>
      <c r="AB163">
        <f>'RESUMEN TOTAL'!AJ166</f>
        <v>0</v>
      </c>
      <c r="AC163">
        <f>'RESUMEN TOTAL'!AK166</f>
        <v>0</v>
      </c>
      <c r="AD163">
        <f>'RESUMEN TOTAL'!AL166</f>
        <v>0</v>
      </c>
      <c r="AE163">
        <f>'RESUMEN TOTAL'!AM166</f>
        <v>0</v>
      </c>
      <c r="AF163">
        <f>'RESUMEN TOTAL'!AN166</f>
        <v>0</v>
      </c>
      <c r="AG163">
        <f>'RESUMEN TOTAL'!AO166</f>
        <v>0</v>
      </c>
    </row>
    <row r="164" spans="1:33" x14ac:dyDescent="0.25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>
        <f>'RESUMEN TOTAL'!N167</f>
        <v>0</v>
      </c>
      <c r="G164">
        <f>'RESUMEN TOTAL'!O167</f>
        <v>0</v>
      </c>
      <c r="H164">
        <f>'RESUMEN TOTAL'!P167</f>
        <v>0</v>
      </c>
      <c r="I164">
        <f>'RESUMEN TOTAL'!Q167</f>
        <v>0</v>
      </c>
      <c r="J164">
        <f>'RESUMEN TOTAL'!R167</f>
        <v>0</v>
      </c>
      <c r="K164">
        <f>'RESUMEN TOTAL'!S167</f>
        <v>0</v>
      </c>
      <c r="L164">
        <f>'RESUMEN TOTAL'!T167</f>
        <v>0</v>
      </c>
      <c r="M164">
        <f>'RESUMEN TOTAL'!U167</f>
        <v>0</v>
      </c>
      <c r="N164">
        <f>'RESUMEN TOTAL'!V167</f>
        <v>0</v>
      </c>
      <c r="O164">
        <f>'RESUMEN TOTAL'!W167</f>
        <v>0</v>
      </c>
      <c r="P164">
        <f>'RESUMEN TOTAL'!X167</f>
        <v>0</v>
      </c>
      <c r="Q164">
        <f>'RESUMEN TOTAL'!Y167</f>
        <v>0</v>
      </c>
      <c r="R164">
        <f>'RESUMEN TOTAL'!Z167</f>
        <v>0</v>
      </c>
      <c r="S164">
        <f>'RESUMEN TOTAL'!AA167</f>
        <v>0</v>
      </c>
      <c r="T164">
        <f>'RESUMEN TOTAL'!AB167</f>
        <v>0</v>
      </c>
      <c r="U164">
        <f>'RESUMEN TOTAL'!AC167</f>
        <v>0</v>
      </c>
      <c r="V164">
        <f>'RESUMEN TOTAL'!AD167</f>
        <v>0</v>
      </c>
      <c r="W164">
        <f>'RESUMEN TOTAL'!AE167</f>
        <v>0</v>
      </c>
      <c r="X164">
        <f>'RESUMEN TOTAL'!AF167</f>
        <v>0</v>
      </c>
      <c r="Y164">
        <f>'RESUMEN TOTAL'!AG167</f>
        <v>0</v>
      </c>
      <c r="Z164">
        <f>'RESUMEN TOTAL'!AH167</f>
        <v>0</v>
      </c>
      <c r="AA164">
        <f>'RESUMEN TOTAL'!AI167</f>
        <v>0</v>
      </c>
      <c r="AB164">
        <f>'RESUMEN TOTAL'!AJ167</f>
        <v>0</v>
      </c>
      <c r="AC164">
        <f>'RESUMEN TOTAL'!AK167</f>
        <v>0</v>
      </c>
      <c r="AD164">
        <f>'RESUMEN TOTAL'!AL167</f>
        <v>0</v>
      </c>
      <c r="AE164">
        <f>'RESUMEN TOTAL'!AM167</f>
        <v>0</v>
      </c>
      <c r="AF164">
        <f>'RESUMEN TOTAL'!AN167</f>
        <v>0</v>
      </c>
      <c r="AG164">
        <f>'RESUMEN TOTAL'!AO167</f>
        <v>0</v>
      </c>
    </row>
    <row r="165" spans="1:33" x14ac:dyDescent="0.25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TOTAL'!N168</f>
        <v>0</v>
      </c>
      <c r="G165">
        <f>'RESUMEN TOTAL'!O168</f>
        <v>0</v>
      </c>
      <c r="H165">
        <f>'RESUMEN TOTAL'!P168</f>
        <v>0</v>
      </c>
      <c r="I165">
        <f>'RESUMEN TOTAL'!Q168</f>
        <v>0</v>
      </c>
      <c r="J165">
        <f>'RESUMEN TOTAL'!R168</f>
        <v>0</v>
      </c>
      <c r="K165">
        <f>'RESUMEN TOTAL'!S168</f>
        <v>0</v>
      </c>
      <c r="L165">
        <f>'RESUMEN TOTAL'!T168</f>
        <v>0</v>
      </c>
      <c r="M165">
        <f>'RESUMEN TOTAL'!U168</f>
        <v>0</v>
      </c>
      <c r="N165">
        <f>'RESUMEN TOTAL'!V168</f>
        <v>0</v>
      </c>
      <c r="O165">
        <f>'RESUMEN TOTAL'!W168</f>
        <v>0</v>
      </c>
      <c r="P165">
        <f>'RESUMEN TOTAL'!X168</f>
        <v>0</v>
      </c>
      <c r="Q165">
        <f>'RESUMEN TOTAL'!Y168</f>
        <v>0</v>
      </c>
      <c r="R165">
        <f>'RESUMEN TOTAL'!Z168</f>
        <v>0</v>
      </c>
      <c r="S165">
        <f>'RESUMEN TOTAL'!AA168</f>
        <v>0</v>
      </c>
      <c r="T165">
        <f>'RESUMEN TOTAL'!AB168</f>
        <v>0</v>
      </c>
      <c r="U165">
        <f>'RESUMEN TOTAL'!AC168</f>
        <v>0</v>
      </c>
      <c r="V165">
        <f>'RESUMEN TOTAL'!AD168</f>
        <v>0</v>
      </c>
      <c r="W165">
        <f>'RESUMEN TOTAL'!AE168</f>
        <v>0</v>
      </c>
      <c r="X165">
        <f>'RESUMEN TOTAL'!AF168</f>
        <v>0</v>
      </c>
      <c r="Y165">
        <f>'RESUMEN TOTAL'!AG168</f>
        <v>0</v>
      </c>
      <c r="Z165">
        <f>'RESUMEN TOTAL'!AH168</f>
        <v>0</v>
      </c>
      <c r="AA165">
        <f>'RESUMEN TOTAL'!AI168</f>
        <v>0</v>
      </c>
      <c r="AB165">
        <f>'RESUMEN TOTAL'!AJ168</f>
        <v>0</v>
      </c>
      <c r="AC165">
        <f>'RESUMEN TOTAL'!AK168</f>
        <v>0</v>
      </c>
      <c r="AD165">
        <f>'RESUMEN TOTAL'!AL168</f>
        <v>0</v>
      </c>
      <c r="AE165">
        <f>'RESUMEN TOTAL'!AM168</f>
        <v>0</v>
      </c>
      <c r="AF165">
        <f>'RESUMEN TOTAL'!AN168</f>
        <v>0</v>
      </c>
      <c r="AG165">
        <f>'RESUMEN TOTAL'!AO168</f>
        <v>0</v>
      </c>
    </row>
    <row r="166" spans="1:33" x14ac:dyDescent="0.25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TOTAL'!N169</f>
        <v>0</v>
      </c>
      <c r="G166" t="str">
        <f>'RESUMEN TOTAL'!O169</f>
        <v>APAGADO</v>
      </c>
      <c r="H166" t="str">
        <f>'RESUMEN TOTAL'!P169</f>
        <v>APAGADO</v>
      </c>
      <c r="I166" t="str">
        <f>'RESUMEN TOTAL'!Q169</f>
        <v>APAGADO</v>
      </c>
      <c r="J166" t="str">
        <f>'RESUMEN TOTAL'!R169</f>
        <v>APAGADO</v>
      </c>
      <c r="K166" t="str">
        <f>'RESUMEN TOTAL'!S169</f>
        <v>APAGADO</v>
      </c>
      <c r="L166" t="str">
        <f>'RESUMEN TOTAL'!T169</f>
        <v>APAGADO</v>
      </c>
      <c r="M166">
        <f>'RESUMEN TOTAL'!U169</f>
        <v>0</v>
      </c>
      <c r="N166">
        <f>'RESUMEN TOTAL'!V169</f>
        <v>0</v>
      </c>
      <c r="O166">
        <f>'RESUMEN TOTAL'!W169</f>
        <v>0</v>
      </c>
      <c r="P166">
        <f>'RESUMEN TOTAL'!X169</f>
        <v>0</v>
      </c>
      <c r="Q166">
        <f>'RESUMEN TOTAL'!Y169</f>
        <v>0</v>
      </c>
      <c r="R166">
        <f>'RESUMEN TOTAL'!Z169</f>
        <v>0</v>
      </c>
      <c r="S166">
        <f>'RESUMEN TOTAL'!AA169</f>
        <v>0</v>
      </c>
      <c r="T166">
        <f>'RESUMEN TOTAL'!AB169</f>
        <v>0</v>
      </c>
      <c r="U166">
        <f>'RESUMEN TOTAL'!AC169</f>
        <v>0</v>
      </c>
      <c r="V166">
        <f>'RESUMEN TOTAL'!AD169</f>
        <v>0</v>
      </c>
      <c r="W166">
        <f>'RESUMEN TOTAL'!AE169</f>
        <v>0</v>
      </c>
      <c r="X166">
        <f>'RESUMEN TOTAL'!AF169</f>
        <v>0</v>
      </c>
      <c r="Y166">
        <f>'RESUMEN TOTAL'!AG169</f>
        <v>0</v>
      </c>
      <c r="Z166">
        <f>'RESUMEN TOTAL'!AH169</f>
        <v>0</v>
      </c>
      <c r="AA166">
        <f>'RESUMEN TOTAL'!AI169</f>
        <v>0</v>
      </c>
      <c r="AB166">
        <f>'RESUMEN TOTAL'!AJ169</f>
        <v>0</v>
      </c>
      <c r="AC166">
        <f>'RESUMEN TOTAL'!AK169</f>
        <v>0</v>
      </c>
      <c r="AD166">
        <f>'RESUMEN TOTAL'!AL169</f>
        <v>0</v>
      </c>
      <c r="AE166">
        <f>'RESUMEN TOTAL'!AM169</f>
        <v>0</v>
      </c>
      <c r="AF166">
        <f>'RESUMEN TOTAL'!AN169</f>
        <v>0</v>
      </c>
      <c r="AG166">
        <f>'RESUMEN TOTAL'!AO169</f>
        <v>0</v>
      </c>
    </row>
    <row r="167" spans="1:33" x14ac:dyDescent="0.25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TOTAL'!N170</f>
        <v>0</v>
      </c>
      <c r="G167">
        <f>'RESUMEN TOTAL'!O170</f>
        <v>0</v>
      </c>
      <c r="H167">
        <f>'RESUMEN TOTAL'!P170</f>
        <v>0</v>
      </c>
      <c r="I167">
        <f>'RESUMEN TOTAL'!Q170</f>
        <v>0</v>
      </c>
      <c r="J167">
        <f>'RESUMEN TOTAL'!R170</f>
        <v>0</v>
      </c>
      <c r="K167">
        <f>'RESUMEN TOTAL'!S170</f>
        <v>0</v>
      </c>
      <c r="L167">
        <f>'RESUMEN TOTAL'!T170</f>
        <v>0</v>
      </c>
      <c r="M167">
        <f>'RESUMEN TOTAL'!U170</f>
        <v>0</v>
      </c>
      <c r="N167">
        <f>'RESUMEN TOTAL'!V170</f>
        <v>0</v>
      </c>
      <c r="O167">
        <f>'RESUMEN TOTAL'!W170</f>
        <v>0</v>
      </c>
      <c r="P167">
        <f>'RESUMEN TOTAL'!X170</f>
        <v>0</v>
      </c>
      <c r="Q167">
        <f>'RESUMEN TOTAL'!Y170</f>
        <v>0</v>
      </c>
      <c r="R167">
        <f>'RESUMEN TOTAL'!Z170</f>
        <v>0</v>
      </c>
      <c r="S167">
        <f>'RESUMEN TOTAL'!AA170</f>
        <v>0</v>
      </c>
      <c r="T167">
        <f>'RESUMEN TOTAL'!AB170</f>
        <v>0</v>
      </c>
      <c r="U167">
        <f>'RESUMEN TOTAL'!AC170</f>
        <v>0</v>
      </c>
      <c r="V167">
        <f>'RESUMEN TOTAL'!AD170</f>
        <v>0</v>
      </c>
      <c r="W167">
        <f>'RESUMEN TOTAL'!AE170</f>
        <v>0</v>
      </c>
      <c r="X167">
        <f>'RESUMEN TOTAL'!AF170</f>
        <v>0</v>
      </c>
      <c r="Y167">
        <f>'RESUMEN TOTAL'!AG170</f>
        <v>0</v>
      </c>
      <c r="Z167">
        <f>'RESUMEN TOTAL'!AH170</f>
        <v>0</v>
      </c>
      <c r="AA167">
        <f>'RESUMEN TOTAL'!AI170</f>
        <v>0</v>
      </c>
      <c r="AB167">
        <f>'RESUMEN TOTAL'!AJ170</f>
        <v>0</v>
      </c>
      <c r="AC167">
        <f>'RESUMEN TOTAL'!AK170</f>
        <v>0</v>
      </c>
      <c r="AD167">
        <f>'RESUMEN TOTAL'!AL170</f>
        <v>0</v>
      </c>
      <c r="AE167">
        <f>'RESUMEN TOTAL'!AM170</f>
        <v>0</v>
      </c>
      <c r="AF167">
        <f>'RESUMEN TOTAL'!AN170</f>
        <v>0</v>
      </c>
      <c r="AG167">
        <f>'RESUMEN TOTAL'!AO170</f>
        <v>0</v>
      </c>
    </row>
    <row r="168" spans="1:33" x14ac:dyDescent="0.25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TOTAL'!N171</f>
        <v>APAGADO</v>
      </c>
      <c r="G168" t="str">
        <f>'RESUMEN TOTAL'!O171</f>
        <v>APAGADO</v>
      </c>
      <c r="H168" t="str">
        <f>'RESUMEN TOTAL'!P171</f>
        <v>APAGADO</v>
      </c>
      <c r="I168" t="str">
        <f>'RESUMEN TOTAL'!Q171</f>
        <v>APAGADO</v>
      </c>
      <c r="J168" t="str">
        <f>'RESUMEN TOTAL'!R171</f>
        <v>APAGADO</v>
      </c>
      <c r="K168" t="str">
        <f>'RESUMEN TOTAL'!S171</f>
        <v>APAGADO</v>
      </c>
      <c r="L168" t="str">
        <f>'RESUMEN TOTAL'!T171</f>
        <v>APAGADO</v>
      </c>
      <c r="M168">
        <f>'RESUMEN TOTAL'!U171</f>
        <v>0</v>
      </c>
      <c r="N168">
        <f>'RESUMEN TOTAL'!V171</f>
        <v>0</v>
      </c>
      <c r="O168">
        <f>'RESUMEN TOTAL'!W171</f>
        <v>0</v>
      </c>
      <c r="P168">
        <f>'RESUMEN TOTAL'!X171</f>
        <v>0</v>
      </c>
      <c r="Q168">
        <f>'RESUMEN TOTAL'!Y171</f>
        <v>0</v>
      </c>
      <c r="R168">
        <f>'RESUMEN TOTAL'!Z171</f>
        <v>0</v>
      </c>
      <c r="S168">
        <f>'RESUMEN TOTAL'!AA171</f>
        <v>0</v>
      </c>
      <c r="T168">
        <f>'RESUMEN TOTAL'!AB171</f>
        <v>0</v>
      </c>
      <c r="U168">
        <f>'RESUMEN TOTAL'!AC171</f>
        <v>0</v>
      </c>
      <c r="V168">
        <f>'RESUMEN TOTAL'!AD171</f>
        <v>0</v>
      </c>
      <c r="W168">
        <f>'RESUMEN TOTAL'!AE171</f>
        <v>0</v>
      </c>
      <c r="X168">
        <f>'RESUMEN TOTAL'!AF171</f>
        <v>0</v>
      </c>
      <c r="Y168">
        <f>'RESUMEN TOTAL'!AG171</f>
        <v>0</v>
      </c>
      <c r="Z168">
        <f>'RESUMEN TOTAL'!AH171</f>
        <v>0</v>
      </c>
      <c r="AA168">
        <f>'RESUMEN TOTAL'!AI171</f>
        <v>0</v>
      </c>
      <c r="AB168">
        <f>'RESUMEN TOTAL'!AJ171</f>
        <v>0</v>
      </c>
      <c r="AC168">
        <f>'RESUMEN TOTAL'!AK171</f>
        <v>0</v>
      </c>
      <c r="AD168">
        <f>'RESUMEN TOTAL'!AL171</f>
        <v>0</v>
      </c>
      <c r="AE168">
        <f>'RESUMEN TOTAL'!AM171</f>
        <v>0</v>
      </c>
      <c r="AF168">
        <f>'RESUMEN TOTAL'!AN171</f>
        <v>0</v>
      </c>
      <c r="AG168">
        <f>'RESUMEN TOTAL'!AO171</f>
        <v>0</v>
      </c>
    </row>
    <row r="169" spans="1:33" x14ac:dyDescent="0.25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Fibra Optica</v>
      </c>
      <c r="F169">
        <f>'RESUMEN TOTAL'!N172</f>
        <v>0</v>
      </c>
      <c r="G169">
        <f>'RESUMEN TOTAL'!O172</f>
        <v>0</v>
      </c>
      <c r="H169">
        <f>'RESUMEN TOTAL'!P172</f>
        <v>0</v>
      </c>
      <c r="I169">
        <f>'RESUMEN TOTAL'!Q172</f>
        <v>0</v>
      </c>
      <c r="J169">
        <f>'RESUMEN TOTAL'!R172</f>
        <v>0</v>
      </c>
      <c r="K169">
        <f>'RESUMEN TOTAL'!S172</f>
        <v>0</v>
      </c>
      <c r="L169">
        <f>'RESUMEN TOTAL'!T172</f>
        <v>0</v>
      </c>
      <c r="M169">
        <f>'RESUMEN TOTAL'!U172</f>
        <v>0</v>
      </c>
      <c r="N169">
        <f>'RESUMEN TOTAL'!V172</f>
        <v>0</v>
      </c>
      <c r="O169">
        <f>'RESUMEN TOTAL'!W172</f>
        <v>0</v>
      </c>
      <c r="P169">
        <f>'RESUMEN TOTAL'!X172</f>
        <v>0</v>
      </c>
      <c r="Q169">
        <f>'RESUMEN TOTAL'!Y172</f>
        <v>0</v>
      </c>
      <c r="R169">
        <f>'RESUMEN TOTAL'!Z172</f>
        <v>0</v>
      </c>
      <c r="S169">
        <f>'RESUMEN TOTAL'!AA172</f>
        <v>0</v>
      </c>
      <c r="T169">
        <f>'RESUMEN TOTAL'!AB172</f>
        <v>0</v>
      </c>
      <c r="U169">
        <f>'RESUMEN TOTAL'!AC172</f>
        <v>0</v>
      </c>
      <c r="V169">
        <f>'RESUMEN TOTAL'!AD172</f>
        <v>0</v>
      </c>
      <c r="W169">
        <f>'RESUMEN TOTAL'!AE172</f>
        <v>0</v>
      </c>
      <c r="X169">
        <f>'RESUMEN TOTAL'!AF172</f>
        <v>0</v>
      </c>
      <c r="Y169">
        <f>'RESUMEN TOTAL'!AG172</f>
        <v>0</v>
      </c>
      <c r="Z169">
        <f>'RESUMEN TOTAL'!AH172</f>
        <v>0</v>
      </c>
      <c r="AA169">
        <f>'RESUMEN TOTAL'!AI172</f>
        <v>0</v>
      </c>
      <c r="AB169">
        <f>'RESUMEN TOTAL'!AJ172</f>
        <v>0</v>
      </c>
      <c r="AC169">
        <f>'RESUMEN TOTAL'!AK172</f>
        <v>0</v>
      </c>
      <c r="AD169">
        <f>'RESUMEN TOTAL'!AL172</f>
        <v>0</v>
      </c>
      <c r="AE169">
        <f>'RESUMEN TOTAL'!AM172</f>
        <v>0</v>
      </c>
      <c r="AF169">
        <f>'RESUMEN TOTAL'!AN172</f>
        <v>0</v>
      </c>
      <c r="AG169">
        <f>'RESUMEN TOTAL'!AO172</f>
        <v>0</v>
      </c>
    </row>
    <row r="170" spans="1:33" x14ac:dyDescent="0.25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Fibra Optica</v>
      </c>
      <c r="F170">
        <f>'RESUMEN TOTAL'!N173</f>
        <v>0</v>
      </c>
      <c r="G170">
        <f>'RESUMEN TOTAL'!O173</f>
        <v>0</v>
      </c>
      <c r="H170">
        <f>'RESUMEN TOTAL'!P173</f>
        <v>0</v>
      </c>
      <c r="I170">
        <f>'RESUMEN TOTAL'!Q173</f>
        <v>0</v>
      </c>
      <c r="J170">
        <f>'RESUMEN TOTAL'!R173</f>
        <v>0</v>
      </c>
      <c r="K170">
        <f>'RESUMEN TOTAL'!S173</f>
        <v>0</v>
      </c>
      <c r="L170">
        <f>'RESUMEN TOTAL'!T173</f>
        <v>0</v>
      </c>
      <c r="M170">
        <f>'RESUMEN TOTAL'!U173</f>
        <v>0</v>
      </c>
      <c r="N170">
        <f>'RESUMEN TOTAL'!V173</f>
        <v>0</v>
      </c>
      <c r="O170">
        <f>'RESUMEN TOTAL'!W173</f>
        <v>0</v>
      </c>
      <c r="P170">
        <f>'RESUMEN TOTAL'!X173</f>
        <v>0</v>
      </c>
      <c r="Q170">
        <f>'RESUMEN TOTAL'!Y173</f>
        <v>0</v>
      </c>
      <c r="R170">
        <f>'RESUMEN TOTAL'!Z173</f>
        <v>0</v>
      </c>
      <c r="S170">
        <f>'RESUMEN TOTAL'!AA173</f>
        <v>0</v>
      </c>
      <c r="T170">
        <f>'RESUMEN TOTAL'!AB173</f>
        <v>0</v>
      </c>
      <c r="U170">
        <f>'RESUMEN TOTAL'!AC173</f>
        <v>0</v>
      </c>
      <c r="V170">
        <f>'RESUMEN TOTAL'!AD173</f>
        <v>0</v>
      </c>
      <c r="W170">
        <f>'RESUMEN TOTAL'!AE173</f>
        <v>0</v>
      </c>
      <c r="X170">
        <f>'RESUMEN TOTAL'!AF173</f>
        <v>0</v>
      </c>
      <c r="Y170">
        <f>'RESUMEN TOTAL'!AG173</f>
        <v>0</v>
      </c>
      <c r="Z170">
        <f>'RESUMEN TOTAL'!AH173</f>
        <v>0</v>
      </c>
      <c r="AA170">
        <f>'RESUMEN TOTAL'!AI173</f>
        <v>0</v>
      </c>
      <c r="AB170">
        <f>'RESUMEN TOTAL'!AJ173</f>
        <v>0</v>
      </c>
      <c r="AC170">
        <f>'RESUMEN TOTAL'!AK173</f>
        <v>0</v>
      </c>
      <c r="AD170">
        <f>'RESUMEN TOTAL'!AL173</f>
        <v>0</v>
      </c>
      <c r="AE170">
        <f>'RESUMEN TOTAL'!AM173</f>
        <v>0</v>
      </c>
      <c r="AF170">
        <f>'RESUMEN TOTAL'!AN173</f>
        <v>0</v>
      </c>
      <c r="AG170">
        <f>'RESUMEN TOTAL'!AO173</f>
        <v>0</v>
      </c>
    </row>
    <row r="171" spans="1:33" x14ac:dyDescent="0.25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Fibra Optica</v>
      </c>
      <c r="F171" t="str">
        <f>'RESUMEN TOTAL'!N174</f>
        <v>APAGADO</v>
      </c>
      <c r="G171" t="str">
        <f>'RESUMEN TOTAL'!O174</f>
        <v>APAGADO</v>
      </c>
      <c r="H171" t="str">
        <f>'RESUMEN TOTAL'!P174</f>
        <v>APAGADO</v>
      </c>
      <c r="I171" t="str">
        <f>'RESUMEN TOTAL'!Q174</f>
        <v>APAGADO</v>
      </c>
      <c r="J171">
        <f>'RESUMEN TOTAL'!R174</f>
        <v>0</v>
      </c>
      <c r="K171" t="str">
        <f>'RESUMEN TOTAL'!S174</f>
        <v>APAGADO</v>
      </c>
      <c r="L171" t="str">
        <f>'RESUMEN TOTAL'!T174</f>
        <v>APAGADO</v>
      </c>
      <c r="M171">
        <f>'RESUMEN TOTAL'!U174</f>
        <v>0</v>
      </c>
      <c r="N171">
        <f>'RESUMEN TOTAL'!V174</f>
        <v>0</v>
      </c>
      <c r="O171">
        <f>'RESUMEN TOTAL'!W174</f>
        <v>0</v>
      </c>
      <c r="P171">
        <f>'RESUMEN TOTAL'!X174</f>
        <v>0</v>
      </c>
      <c r="Q171">
        <f>'RESUMEN TOTAL'!Y174</f>
        <v>0</v>
      </c>
      <c r="R171">
        <f>'RESUMEN TOTAL'!Z174</f>
        <v>0</v>
      </c>
      <c r="S171">
        <f>'RESUMEN TOTAL'!AA174</f>
        <v>0</v>
      </c>
      <c r="T171">
        <f>'RESUMEN TOTAL'!AB174</f>
        <v>0</v>
      </c>
      <c r="U171">
        <f>'RESUMEN TOTAL'!AC174</f>
        <v>0</v>
      </c>
      <c r="V171">
        <f>'RESUMEN TOTAL'!AD174</f>
        <v>0</v>
      </c>
      <c r="W171">
        <f>'RESUMEN TOTAL'!AE174</f>
        <v>0</v>
      </c>
      <c r="X171">
        <f>'RESUMEN TOTAL'!AF174</f>
        <v>0</v>
      </c>
      <c r="Y171">
        <f>'RESUMEN TOTAL'!AG174</f>
        <v>0</v>
      </c>
      <c r="Z171">
        <f>'RESUMEN TOTAL'!AH174</f>
        <v>0</v>
      </c>
      <c r="AA171">
        <f>'RESUMEN TOTAL'!AI174</f>
        <v>0</v>
      </c>
      <c r="AB171">
        <f>'RESUMEN TOTAL'!AJ174</f>
        <v>0</v>
      </c>
      <c r="AC171">
        <f>'RESUMEN TOTAL'!AK174</f>
        <v>0</v>
      </c>
      <c r="AD171">
        <f>'RESUMEN TOTAL'!AL174</f>
        <v>0</v>
      </c>
      <c r="AE171">
        <f>'RESUMEN TOTAL'!AM174</f>
        <v>0</v>
      </c>
      <c r="AF171">
        <f>'RESUMEN TOTAL'!AN174</f>
        <v>0</v>
      </c>
      <c r="AG171">
        <f>'RESUMEN TOTAL'!AO174</f>
        <v>0</v>
      </c>
    </row>
    <row r="172" spans="1:33" x14ac:dyDescent="0.25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TOTAL'!N175</f>
        <v>0</v>
      </c>
      <c r="G172">
        <f>'RESUMEN TOTAL'!O175</f>
        <v>0</v>
      </c>
      <c r="H172">
        <f>'RESUMEN TOTAL'!P175</f>
        <v>0</v>
      </c>
      <c r="I172">
        <f>'RESUMEN TOTAL'!Q175</f>
        <v>0</v>
      </c>
      <c r="J172">
        <f>'RESUMEN TOTAL'!R175</f>
        <v>0</v>
      </c>
      <c r="K172">
        <f>'RESUMEN TOTAL'!S175</f>
        <v>0</v>
      </c>
      <c r="L172">
        <f>'RESUMEN TOTAL'!T175</f>
        <v>0</v>
      </c>
      <c r="M172">
        <f>'RESUMEN TOTAL'!U175</f>
        <v>0</v>
      </c>
      <c r="N172">
        <f>'RESUMEN TOTAL'!V175</f>
        <v>0</v>
      </c>
      <c r="O172">
        <f>'RESUMEN TOTAL'!W175</f>
        <v>0</v>
      </c>
      <c r="P172">
        <f>'RESUMEN TOTAL'!X175</f>
        <v>0</v>
      </c>
      <c r="Q172">
        <f>'RESUMEN TOTAL'!Y175</f>
        <v>0</v>
      </c>
      <c r="R172">
        <f>'RESUMEN TOTAL'!Z175</f>
        <v>0</v>
      </c>
      <c r="S172">
        <f>'RESUMEN TOTAL'!AA175</f>
        <v>0</v>
      </c>
      <c r="T172">
        <f>'RESUMEN TOTAL'!AB175</f>
        <v>0</v>
      </c>
      <c r="U172">
        <f>'RESUMEN TOTAL'!AC175</f>
        <v>0</v>
      </c>
      <c r="V172">
        <f>'RESUMEN TOTAL'!AD175</f>
        <v>0</v>
      </c>
      <c r="W172">
        <f>'RESUMEN TOTAL'!AE175</f>
        <v>0</v>
      </c>
      <c r="X172">
        <f>'RESUMEN TOTAL'!AF175</f>
        <v>0</v>
      </c>
      <c r="Y172">
        <f>'RESUMEN TOTAL'!AG175</f>
        <v>0</v>
      </c>
      <c r="Z172">
        <f>'RESUMEN TOTAL'!AH175</f>
        <v>0</v>
      </c>
      <c r="AA172">
        <f>'RESUMEN TOTAL'!AI175</f>
        <v>0</v>
      </c>
      <c r="AB172">
        <f>'RESUMEN TOTAL'!AJ175</f>
        <v>0</v>
      </c>
      <c r="AC172">
        <f>'RESUMEN TOTAL'!AK175</f>
        <v>0</v>
      </c>
      <c r="AD172">
        <f>'RESUMEN TOTAL'!AL175</f>
        <v>0</v>
      </c>
      <c r="AE172">
        <f>'RESUMEN TOTAL'!AM175</f>
        <v>0</v>
      </c>
      <c r="AF172">
        <f>'RESUMEN TOTAL'!AN175</f>
        <v>0</v>
      </c>
      <c r="AG172">
        <f>'RESUMEN TOTAL'!AO175</f>
        <v>0</v>
      </c>
    </row>
    <row r="173" spans="1:33" x14ac:dyDescent="0.25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TOTAL'!N176</f>
        <v>0</v>
      </c>
      <c r="G173">
        <f>'RESUMEN TOTAL'!O176</f>
        <v>0</v>
      </c>
      <c r="H173">
        <f>'RESUMEN TOTAL'!P176</f>
        <v>0</v>
      </c>
      <c r="I173">
        <f>'RESUMEN TOTAL'!Q176</f>
        <v>0</v>
      </c>
      <c r="J173">
        <f>'RESUMEN TOTAL'!R176</f>
        <v>0</v>
      </c>
      <c r="K173">
        <f>'RESUMEN TOTAL'!S176</f>
        <v>0</v>
      </c>
      <c r="L173">
        <f>'RESUMEN TOTAL'!T176</f>
        <v>0</v>
      </c>
      <c r="M173">
        <f>'RESUMEN TOTAL'!U176</f>
        <v>0</v>
      </c>
      <c r="N173">
        <f>'RESUMEN TOTAL'!V176</f>
        <v>0</v>
      </c>
      <c r="O173">
        <f>'RESUMEN TOTAL'!W176</f>
        <v>0</v>
      </c>
      <c r="P173">
        <f>'RESUMEN TOTAL'!X176</f>
        <v>0</v>
      </c>
      <c r="Q173">
        <f>'RESUMEN TOTAL'!Y176</f>
        <v>0</v>
      </c>
      <c r="R173">
        <f>'RESUMEN TOTAL'!Z176</f>
        <v>0</v>
      </c>
      <c r="S173">
        <f>'RESUMEN TOTAL'!AA176</f>
        <v>0</v>
      </c>
      <c r="T173">
        <f>'RESUMEN TOTAL'!AB176</f>
        <v>0</v>
      </c>
      <c r="U173">
        <f>'RESUMEN TOTAL'!AC176</f>
        <v>0</v>
      </c>
      <c r="V173">
        <f>'RESUMEN TOTAL'!AD176</f>
        <v>0</v>
      </c>
      <c r="W173">
        <f>'RESUMEN TOTAL'!AE176</f>
        <v>0</v>
      </c>
      <c r="X173">
        <f>'RESUMEN TOTAL'!AF176</f>
        <v>0</v>
      </c>
      <c r="Y173">
        <f>'RESUMEN TOTAL'!AG176</f>
        <v>0</v>
      </c>
      <c r="Z173">
        <f>'RESUMEN TOTAL'!AH176</f>
        <v>0</v>
      </c>
      <c r="AA173">
        <f>'RESUMEN TOTAL'!AI176</f>
        <v>0</v>
      </c>
      <c r="AB173">
        <f>'RESUMEN TOTAL'!AJ176</f>
        <v>0</v>
      </c>
      <c r="AC173">
        <f>'RESUMEN TOTAL'!AK176</f>
        <v>0</v>
      </c>
      <c r="AD173">
        <f>'RESUMEN TOTAL'!AL176</f>
        <v>0</v>
      </c>
      <c r="AE173">
        <f>'RESUMEN TOTAL'!AM176</f>
        <v>0</v>
      </c>
      <c r="AF173">
        <f>'RESUMEN TOTAL'!AN176</f>
        <v>0</v>
      </c>
      <c r="AG173">
        <f>'RESUMEN TOTAL'!AO176</f>
        <v>0</v>
      </c>
    </row>
    <row r="174" spans="1:33" x14ac:dyDescent="0.25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TOTAL'!N177</f>
        <v>0</v>
      </c>
      <c r="G174">
        <f>'RESUMEN TOTAL'!O177</f>
        <v>0</v>
      </c>
      <c r="H174">
        <f>'RESUMEN TOTAL'!P177</f>
        <v>0</v>
      </c>
      <c r="I174">
        <f>'RESUMEN TOTAL'!Q177</f>
        <v>0</v>
      </c>
      <c r="J174">
        <f>'RESUMEN TOTAL'!R177</f>
        <v>0</v>
      </c>
      <c r="K174">
        <f>'RESUMEN TOTAL'!S177</f>
        <v>0</v>
      </c>
      <c r="L174">
        <f>'RESUMEN TOTAL'!T177</f>
        <v>0</v>
      </c>
      <c r="M174">
        <f>'RESUMEN TOTAL'!U177</f>
        <v>0</v>
      </c>
      <c r="N174">
        <f>'RESUMEN TOTAL'!V177</f>
        <v>0</v>
      </c>
      <c r="O174">
        <f>'RESUMEN TOTAL'!W177</f>
        <v>0</v>
      </c>
      <c r="P174">
        <f>'RESUMEN TOTAL'!X177</f>
        <v>0</v>
      </c>
      <c r="Q174">
        <f>'RESUMEN TOTAL'!Y177</f>
        <v>0</v>
      </c>
      <c r="R174">
        <f>'RESUMEN TOTAL'!Z177</f>
        <v>0</v>
      </c>
      <c r="S174">
        <f>'RESUMEN TOTAL'!AA177</f>
        <v>0</v>
      </c>
      <c r="T174">
        <f>'RESUMEN TOTAL'!AB177</f>
        <v>0</v>
      </c>
      <c r="U174">
        <f>'RESUMEN TOTAL'!AC177</f>
        <v>0</v>
      </c>
      <c r="V174">
        <f>'RESUMEN TOTAL'!AD177</f>
        <v>0</v>
      </c>
      <c r="W174">
        <f>'RESUMEN TOTAL'!AE177</f>
        <v>0</v>
      </c>
      <c r="X174">
        <f>'RESUMEN TOTAL'!AF177</f>
        <v>0</v>
      </c>
      <c r="Y174">
        <f>'RESUMEN TOTAL'!AG177</f>
        <v>0</v>
      </c>
      <c r="Z174">
        <f>'RESUMEN TOTAL'!AH177</f>
        <v>0</v>
      </c>
      <c r="AA174">
        <f>'RESUMEN TOTAL'!AI177</f>
        <v>0</v>
      </c>
      <c r="AB174">
        <f>'RESUMEN TOTAL'!AJ177</f>
        <v>0</v>
      </c>
      <c r="AC174">
        <f>'RESUMEN TOTAL'!AK177</f>
        <v>0</v>
      </c>
      <c r="AD174">
        <f>'RESUMEN TOTAL'!AL177</f>
        <v>0</v>
      </c>
      <c r="AE174">
        <f>'RESUMEN TOTAL'!AM177</f>
        <v>0</v>
      </c>
      <c r="AF174">
        <f>'RESUMEN TOTAL'!AN177</f>
        <v>0</v>
      </c>
      <c r="AG174">
        <f>'RESUMEN TOTAL'!AO177</f>
        <v>0</v>
      </c>
    </row>
    <row r="175" spans="1:33" x14ac:dyDescent="0.25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TOTAL'!N178</f>
        <v>0</v>
      </c>
      <c r="G175">
        <f>'RESUMEN TOTAL'!O178</f>
        <v>0</v>
      </c>
      <c r="H175">
        <f>'RESUMEN TOTAL'!P178</f>
        <v>0</v>
      </c>
      <c r="I175">
        <f>'RESUMEN TOTAL'!Q178</f>
        <v>0</v>
      </c>
      <c r="J175">
        <f>'RESUMEN TOTAL'!R178</f>
        <v>0</v>
      </c>
      <c r="K175">
        <f>'RESUMEN TOTAL'!S178</f>
        <v>0</v>
      </c>
      <c r="L175">
        <f>'RESUMEN TOTAL'!T178</f>
        <v>0</v>
      </c>
      <c r="M175">
        <f>'RESUMEN TOTAL'!U178</f>
        <v>0</v>
      </c>
      <c r="N175">
        <f>'RESUMEN TOTAL'!V178</f>
        <v>0</v>
      </c>
      <c r="O175">
        <f>'RESUMEN TOTAL'!W178</f>
        <v>0</v>
      </c>
      <c r="P175">
        <f>'RESUMEN TOTAL'!X178</f>
        <v>0</v>
      </c>
      <c r="Q175">
        <f>'RESUMEN TOTAL'!Y178</f>
        <v>0</v>
      </c>
      <c r="R175">
        <f>'RESUMEN TOTAL'!Z178</f>
        <v>0</v>
      </c>
      <c r="S175">
        <f>'RESUMEN TOTAL'!AA178</f>
        <v>0</v>
      </c>
      <c r="T175">
        <f>'RESUMEN TOTAL'!AB178</f>
        <v>0</v>
      </c>
      <c r="U175">
        <f>'RESUMEN TOTAL'!AC178</f>
        <v>0</v>
      </c>
      <c r="V175">
        <f>'RESUMEN TOTAL'!AD178</f>
        <v>0</v>
      </c>
      <c r="W175">
        <f>'RESUMEN TOTAL'!AE178</f>
        <v>0</v>
      </c>
      <c r="X175">
        <f>'RESUMEN TOTAL'!AF178</f>
        <v>0</v>
      </c>
      <c r="Y175">
        <f>'RESUMEN TOTAL'!AG178</f>
        <v>0</v>
      </c>
      <c r="Z175">
        <f>'RESUMEN TOTAL'!AH178</f>
        <v>0</v>
      </c>
      <c r="AA175">
        <f>'RESUMEN TOTAL'!AI178</f>
        <v>0</v>
      </c>
      <c r="AB175">
        <f>'RESUMEN TOTAL'!AJ178</f>
        <v>0</v>
      </c>
      <c r="AC175">
        <f>'RESUMEN TOTAL'!AK178</f>
        <v>0</v>
      </c>
      <c r="AD175">
        <f>'RESUMEN TOTAL'!AL178</f>
        <v>0</v>
      </c>
      <c r="AE175">
        <f>'RESUMEN TOTAL'!AM178</f>
        <v>0</v>
      </c>
      <c r="AF175">
        <f>'RESUMEN TOTAL'!AN178</f>
        <v>0</v>
      </c>
      <c r="AG175">
        <f>'RESUMEN TOTAL'!AO178</f>
        <v>0</v>
      </c>
    </row>
    <row r="176" spans="1:33" x14ac:dyDescent="0.25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TOTAL'!N179</f>
        <v>0</v>
      </c>
      <c r="G176">
        <f>'RESUMEN TOTAL'!O179</f>
        <v>0</v>
      </c>
      <c r="H176">
        <f>'RESUMEN TOTAL'!P179</f>
        <v>0</v>
      </c>
      <c r="I176">
        <f>'RESUMEN TOTAL'!Q179</f>
        <v>0</v>
      </c>
      <c r="J176">
        <f>'RESUMEN TOTAL'!R179</f>
        <v>0</v>
      </c>
      <c r="K176">
        <f>'RESUMEN TOTAL'!S179</f>
        <v>0</v>
      </c>
      <c r="L176">
        <f>'RESUMEN TOTAL'!T179</f>
        <v>0</v>
      </c>
      <c r="M176">
        <f>'RESUMEN TOTAL'!U179</f>
        <v>0</v>
      </c>
      <c r="N176">
        <f>'RESUMEN TOTAL'!V179</f>
        <v>0</v>
      </c>
      <c r="O176">
        <f>'RESUMEN TOTAL'!W179</f>
        <v>0</v>
      </c>
      <c r="P176">
        <f>'RESUMEN TOTAL'!X179</f>
        <v>0</v>
      </c>
      <c r="Q176">
        <f>'RESUMEN TOTAL'!Y179</f>
        <v>0</v>
      </c>
      <c r="R176">
        <f>'RESUMEN TOTAL'!Z179</f>
        <v>0</v>
      </c>
      <c r="S176">
        <f>'RESUMEN TOTAL'!AA179</f>
        <v>0</v>
      </c>
      <c r="T176">
        <f>'RESUMEN TOTAL'!AB179</f>
        <v>0</v>
      </c>
      <c r="U176">
        <f>'RESUMEN TOTAL'!AC179</f>
        <v>0</v>
      </c>
      <c r="V176">
        <f>'RESUMEN TOTAL'!AD179</f>
        <v>0</v>
      </c>
      <c r="W176">
        <f>'RESUMEN TOTAL'!AE179</f>
        <v>0</v>
      </c>
      <c r="X176">
        <f>'RESUMEN TOTAL'!AF179</f>
        <v>0</v>
      </c>
      <c r="Y176">
        <f>'RESUMEN TOTAL'!AG179</f>
        <v>0</v>
      </c>
      <c r="Z176">
        <f>'RESUMEN TOTAL'!AH179</f>
        <v>0</v>
      </c>
      <c r="AA176">
        <f>'RESUMEN TOTAL'!AI179</f>
        <v>0</v>
      </c>
      <c r="AB176">
        <f>'RESUMEN TOTAL'!AJ179</f>
        <v>0</v>
      </c>
      <c r="AC176">
        <f>'RESUMEN TOTAL'!AK179</f>
        <v>0</v>
      </c>
      <c r="AD176">
        <f>'RESUMEN TOTAL'!AL179</f>
        <v>0</v>
      </c>
      <c r="AE176">
        <f>'RESUMEN TOTAL'!AM179</f>
        <v>0</v>
      </c>
      <c r="AF176">
        <f>'RESUMEN TOTAL'!AN179</f>
        <v>0</v>
      </c>
      <c r="AG176">
        <f>'RESUMEN TOTAL'!AO179</f>
        <v>0</v>
      </c>
    </row>
    <row r="177" spans="1:33" x14ac:dyDescent="0.25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 t="str">
        <f>'RESUMEN TOTAL'!N180</f>
        <v>APAGADO</v>
      </c>
      <c r="G177">
        <f>'RESUMEN TOTAL'!O180</f>
        <v>0</v>
      </c>
      <c r="H177">
        <f>'RESUMEN TOTAL'!P180</f>
        <v>0</v>
      </c>
      <c r="I177" t="str">
        <f>'RESUMEN TOTAL'!Q180</f>
        <v>APAGADO</v>
      </c>
      <c r="J177">
        <f>'RESUMEN TOTAL'!R180</f>
        <v>0</v>
      </c>
      <c r="K177">
        <f>'RESUMEN TOTAL'!S180</f>
        <v>0</v>
      </c>
      <c r="L177">
        <f>'RESUMEN TOTAL'!T180</f>
        <v>0</v>
      </c>
      <c r="M177">
        <f>'RESUMEN TOTAL'!U180</f>
        <v>0</v>
      </c>
      <c r="N177">
        <f>'RESUMEN TOTAL'!V180</f>
        <v>0</v>
      </c>
      <c r="O177">
        <f>'RESUMEN TOTAL'!W180</f>
        <v>0</v>
      </c>
      <c r="P177">
        <f>'RESUMEN TOTAL'!X180</f>
        <v>0</v>
      </c>
      <c r="Q177">
        <f>'RESUMEN TOTAL'!Y180</f>
        <v>0</v>
      </c>
      <c r="R177">
        <f>'RESUMEN TOTAL'!Z180</f>
        <v>0</v>
      </c>
      <c r="S177">
        <f>'RESUMEN TOTAL'!AA180</f>
        <v>0</v>
      </c>
      <c r="T177">
        <f>'RESUMEN TOTAL'!AB180</f>
        <v>0</v>
      </c>
      <c r="U177">
        <f>'RESUMEN TOTAL'!AC180</f>
        <v>0</v>
      </c>
      <c r="V177">
        <f>'RESUMEN TOTAL'!AD180</f>
        <v>0</v>
      </c>
      <c r="W177">
        <f>'RESUMEN TOTAL'!AE180</f>
        <v>0</v>
      </c>
      <c r="X177">
        <f>'RESUMEN TOTAL'!AF180</f>
        <v>0</v>
      </c>
      <c r="Y177">
        <f>'RESUMEN TOTAL'!AG180</f>
        <v>0</v>
      </c>
      <c r="Z177">
        <f>'RESUMEN TOTAL'!AH180</f>
        <v>0</v>
      </c>
      <c r="AA177">
        <f>'RESUMEN TOTAL'!AI180</f>
        <v>0</v>
      </c>
      <c r="AB177">
        <f>'RESUMEN TOTAL'!AJ180</f>
        <v>0</v>
      </c>
      <c r="AC177">
        <f>'RESUMEN TOTAL'!AK180</f>
        <v>0</v>
      </c>
      <c r="AD177">
        <f>'RESUMEN TOTAL'!AL180</f>
        <v>0</v>
      </c>
      <c r="AE177">
        <f>'RESUMEN TOTAL'!AM180</f>
        <v>0</v>
      </c>
      <c r="AF177">
        <f>'RESUMEN TOTAL'!AN180</f>
        <v>0</v>
      </c>
      <c r="AG177">
        <f>'RESUMEN TOTAL'!AO180</f>
        <v>0</v>
      </c>
    </row>
    <row r="178" spans="1:33" x14ac:dyDescent="0.25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TOTAL'!N181</f>
        <v>0</v>
      </c>
      <c r="G178">
        <f>'RESUMEN TOTAL'!O181</f>
        <v>0</v>
      </c>
      <c r="H178">
        <f>'RESUMEN TOTAL'!P181</f>
        <v>0</v>
      </c>
      <c r="I178">
        <f>'RESUMEN TOTAL'!Q181</f>
        <v>0</v>
      </c>
      <c r="J178">
        <f>'RESUMEN TOTAL'!R181</f>
        <v>0</v>
      </c>
      <c r="K178">
        <f>'RESUMEN TOTAL'!S181</f>
        <v>0</v>
      </c>
      <c r="L178">
        <f>'RESUMEN TOTAL'!T181</f>
        <v>0</v>
      </c>
      <c r="M178">
        <f>'RESUMEN TOTAL'!U181</f>
        <v>0</v>
      </c>
      <c r="N178">
        <f>'RESUMEN TOTAL'!V181</f>
        <v>0</v>
      </c>
      <c r="O178">
        <f>'RESUMEN TOTAL'!W181</f>
        <v>0</v>
      </c>
      <c r="P178">
        <f>'RESUMEN TOTAL'!X181</f>
        <v>0</v>
      </c>
      <c r="Q178">
        <f>'RESUMEN TOTAL'!Y181</f>
        <v>0</v>
      </c>
      <c r="R178">
        <f>'RESUMEN TOTAL'!Z181</f>
        <v>0</v>
      </c>
      <c r="S178">
        <f>'RESUMEN TOTAL'!AA181</f>
        <v>0</v>
      </c>
      <c r="T178">
        <f>'RESUMEN TOTAL'!AB181</f>
        <v>0</v>
      </c>
      <c r="U178">
        <f>'RESUMEN TOTAL'!AC181</f>
        <v>0</v>
      </c>
      <c r="V178">
        <f>'RESUMEN TOTAL'!AD181</f>
        <v>0</v>
      </c>
      <c r="W178">
        <f>'RESUMEN TOTAL'!AE181</f>
        <v>0</v>
      </c>
      <c r="X178">
        <f>'RESUMEN TOTAL'!AF181</f>
        <v>0</v>
      </c>
      <c r="Y178">
        <f>'RESUMEN TOTAL'!AG181</f>
        <v>0</v>
      </c>
      <c r="Z178">
        <f>'RESUMEN TOTAL'!AH181</f>
        <v>0</v>
      </c>
      <c r="AA178">
        <f>'RESUMEN TOTAL'!AI181</f>
        <v>0</v>
      </c>
      <c r="AB178">
        <f>'RESUMEN TOTAL'!AJ181</f>
        <v>0</v>
      </c>
      <c r="AC178">
        <f>'RESUMEN TOTAL'!AK181</f>
        <v>0</v>
      </c>
      <c r="AD178">
        <f>'RESUMEN TOTAL'!AL181</f>
        <v>0</v>
      </c>
      <c r="AE178">
        <f>'RESUMEN TOTAL'!AM181</f>
        <v>0</v>
      </c>
      <c r="AF178">
        <f>'RESUMEN TOTAL'!AN181</f>
        <v>0</v>
      </c>
      <c r="AG178">
        <f>'RESUMEN TOTAL'!AO181</f>
        <v>0</v>
      </c>
    </row>
    <row r="179" spans="1:33" x14ac:dyDescent="0.25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PTP A FO</v>
      </c>
      <c r="F179">
        <f>'RESUMEN TOTAL'!N182</f>
        <v>0</v>
      </c>
      <c r="G179">
        <f>'RESUMEN TOTAL'!O182</f>
        <v>0</v>
      </c>
      <c r="H179">
        <f>'RESUMEN TOTAL'!P182</f>
        <v>0</v>
      </c>
      <c r="I179">
        <f>'RESUMEN TOTAL'!Q182</f>
        <v>0</v>
      </c>
      <c r="J179">
        <f>'RESUMEN TOTAL'!R182</f>
        <v>0</v>
      </c>
      <c r="K179">
        <f>'RESUMEN TOTAL'!S182</f>
        <v>0</v>
      </c>
      <c r="L179">
        <f>'RESUMEN TOTAL'!T182</f>
        <v>0</v>
      </c>
      <c r="M179">
        <f>'RESUMEN TOTAL'!U182</f>
        <v>0</v>
      </c>
      <c r="N179">
        <f>'RESUMEN TOTAL'!V182</f>
        <v>0</v>
      </c>
      <c r="O179">
        <f>'RESUMEN TOTAL'!W182</f>
        <v>0</v>
      </c>
      <c r="P179">
        <f>'RESUMEN TOTAL'!X182</f>
        <v>0</v>
      </c>
      <c r="Q179">
        <f>'RESUMEN TOTAL'!Y182</f>
        <v>0</v>
      </c>
      <c r="R179">
        <f>'RESUMEN TOTAL'!Z182</f>
        <v>0</v>
      </c>
      <c r="S179">
        <f>'RESUMEN TOTAL'!AA182</f>
        <v>0</v>
      </c>
      <c r="T179">
        <f>'RESUMEN TOTAL'!AB182</f>
        <v>0</v>
      </c>
      <c r="U179">
        <f>'RESUMEN TOTAL'!AC182</f>
        <v>0</v>
      </c>
      <c r="V179">
        <f>'RESUMEN TOTAL'!AD182</f>
        <v>0</v>
      </c>
      <c r="W179">
        <f>'RESUMEN TOTAL'!AE182</f>
        <v>0</v>
      </c>
      <c r="X179">
        <f>'RESUMEN TOTAL'!AF182</f>
        <v>0</v>
      </c>
      <c r="Y179">
        <f>'RESUMEN TOTAL'!AG182</f>
        <v>0</v>
      </c>
      <c r="Z179">
        <f>'RESUMEN TOTAL'!AH182</f>
        <v>0</v>
      </c>
      <c r="AA179">
        <f>'RESUMEN TOTAL'!AI182</f>
        <v>0</v>
      </c>
      <c r="AB179">
        <f>'RESUMEN TOTAL'!AJ182</f>
        <v>0</v>
      </c>
      <c r="AC179">
        <f>'RESUMEN TOTAL'!AK182</f>
        <v>0</v>
      </c>
      <c r="AD179">
        <f>'RESUMEN TOTAL'!AL182</f>
        <v>0</v>
      </c>
      <c r="AE179">
        <f>'RESUMEN TOTAL'!AM182</f>
        <v>0</v>
      </c>
      <c r="AF179">
        <f>'RESUMEN TOTAL'!AN182</f>
        <v>0</v>
      </c>
      <c r="AG179">
        <f>'RESUMEN TOTAL'!AO182</f>
        <v>0</v>
      </c>
    </row>
    <row r="180" spans="1:33" x14ac:dyDescent="0.25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>
        <f>'RESUMEN TOTAL'!N183</f>
        <v>0</v>
      </c>
      <c r="G180">
        <f>'RESUMEN TOTAL'!O183</f>
        <v>0</v>
      </c>
      <c r="H180">
        <f>'RESUMEN TOTAL'!P183</f>
        <v>0</v>
      </c>
      <c r="I180">
        <f>'RESUMEN TOTAL'!Q183</f>
        <v>0</v>
      </c>
      <c r="J180">
        <f>'RESUMEN TOTAL'!R183</f>
        <v>0</v>
      </c>
      <c r="K180">
        <f>'RESUMEN TOTAL'!S183</f>
        <v>0</v>
      </c>
      <c r="L180">
        <f>'RESUMEN TOTAL'!T183</f>
        <v>0</v>
      </c>
      <c r="M180">
        <f>'RESUMEN TOTAL'!U183</f>
        <v>0</v>
      </c>
      <c r="N180">
        <f>'RESUMEN TOTAL'!V183</f>
        <v>0</v>
      </c>
      <c r="O180">
        <f>'RESUMEN TOTAL'!W183</f>
        <v>0</v>
      </c>
      <c r="P180">
        <f>'RESUMEN TOTAL'!X183</f>
        <v>0</v>
      </c>
      <c r="Q180">
        <f>'RESUMEN TOTAL'!Y183</f>
        <v>0</v>
      </c>
      <c r="R180">
        <f>'RESUMEN TOTAL'!Z183</f>
        <v>0</v>
      </c>
      <c r="S180">
        <f>'RESUMEN TOTAL'!AA183</f>
        <v>0</v>
      </c>
      <c r="T180">
        <f>'RESUMEN TOTAL'!AB183</f>
        <v>0</v>
      </c>
      <c r="U180">
        <f>'RESUMEN TOTAL'!AC183</f>
        <v>0</v>
      </c>
      <c r="V180">
        <f>'RESUMEN TOTAL'!AD183</f>
        <v>0</v>
      </c>
      <c r="W180">
        <f>'RESUMEN TOTAL'!AE183</f>
        <v>0</v>
      </c>
      <c r="X180">
        <f>'RESUMEN TOTAL'!AF183</f>
        <v>0</v>
      </c>
      <c r="Y180">
        <f>'RESUMEN TOTAL'!AG183</f>
        <v>0</v>
      </c>
      <c r="Z180">
        <f>'RESUMEN TOTAL'!AH183</f>
        <v>0</v>
      </c>
      <c r="AA180">
        <f>'RESUMEN TOTAL'!AI183</f>
        <v>0</v>
      </c>
      <c r="AB180">
        <f>'RESUMEN TOTAL'!AJ183</f>
        <v>0</v>
      </c>
      <c r="AC180">
        <f>'RESUMEN TOTAL'!AK183</f>
        <v>0</v>
      </c>
      <c r="AD180">
        <f>'RESUMEN TOTAL'!AL183</f>
        <v>0</v>
      </c>
      <c r="AE180">
        <f>'RESUMEN TOTAL'!AM183</f>
        <v>0</v>
      </c>
      <c r="AF180">
        <f>'RESUMEN TOTAL'!AN183</f>
        <v>0</v>
      </c>
      <c r="AG180">
        <f>'RESUMEN TOTAL'!AO183</f>
        <v>0</v>
      </c>
    </row>
    <row r="181" spans="1:33" x14ac:dyDescent="0.25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TOTAL'!N184</f>
        <v>0</v>
      </c>
      <c r="G181">
        <f>'RESUMEN TOTAL'!O184</f>
        <v>0</v>
      </c>
      <c r="H181">
        <f>'RESUMEN TOTAL'!P184</f>
        <v>0</v>
      </c>
      <c r="I181">
        <f>'RESUMEN TOTAL'!Q184</f>
        <v>0</v>
      </c>
      <c r="J181">
        <f>'RESUMEN TOTAL'!R184</f>
        <v>0</v>
      </c>
      <c r="K181">
        <f>'RESUMEN TOTAL'!S184</f>
        <v>0</v>
      </c>
      <c r="L181">
        <f>'RESUMEN TOTAL'!T184</f>
        <v>0</v>
      </c>
      <c r="M181">
        <f>'RESUMEN TOTAL'!U184</f>
        <v>0</v>
      </c>
      <c r="N181">
        <f>'RESUMEN TOTAL'!V184</f>
        <v>0</v>
      </c>
      <c r="O181">
        <f>'RESUMEN TOTAL'!W184</f>
        <v>0</v>
      </c>
      <c r="P181">
        <f>'RESUMEN TOTAL'!X184</f>
        <v>0</v>
      </c>
      <c r="Q181">
        <f>'RESUMEN TOTAL'!Y184</f>
        <v>0</v>
      </c>
      <c r="R181">
        <f>'RESUMEN TOTAL'!Z184</f>
        <v>0</v>
      </c>
      <c r="S181">
        <f>'RESUMEN TOTAL'!AA184</f>
        <v>0</v>
      </c>
      <c r="T181">
        <f>'RESUMEN TOTAL'!AB184</f>
        <v>0</v>
      </c>
      <c r="U181">
        <f>'RESUMEN TOTAL'!AC184</f>
        <v>0</v>
      </c>
      <c r="V181">
        <f>'RESUMEN TOTAL'!AD184</f>
        <v>0</v>
      </c>
      <c r="W181">
        <f>'RESUMEN TOTAL'!AE184</f>
        <v>0</v>
      </c>
      <c r="X181">
        <f>'RESUMEN TOTAL'!AF184</f>
        <v>0</v>
      </c>
      <c r="Y181">
        <f>'RESUMEN TOTAL'!AG184</f>
        <v>0</v>
      </c>
      <c r="Z181">
        <f>'RESUMEN TOTAL'!AH184</f>
        <v>0</v>
      </c>
      <c r="AA181">
        <f>'RESUMEN TOTAL'!AI184</f>
        <v>0</v>
      </c>
      <c r="AB181">
        <f>'RESUMEN TOTAL'!AJ184</f>
        <v>0</v>
      </c>
      <c r="AC181">
        <f>'RESUMEN TOTAL'!AK184</f>
        <v>0</v>
      </c>
      <c r="AD181">
        <f>'RESUMEN TOTAL'!AL184</f>
        <v>0</v>
      </c>
      <c r="AE181">
        <f>'RESUMEN TOTAL'!AM184</f>
        <v>0</v>
      </c>
      <c r="AF181">
        <f>'RESUMEN TOTAL'!AN184</f>
        <v>0</v>
      </c>
      <c r="AG181">
        <f>'RESUMEN TOTAL'!AO184</f>
        <v>0</v>
      </c>
    </row>
    <row r="182" spans="1:33" x14ac:dyDescent="0.25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Fibra Optica</v>
      </c>
      <c r="F182">
        <f>'RESUMEN TOTAL'!N185</f>
        <v>0</v>
      </c>
      <c r="G182">
        <f>'RESUMEN TOTAL'!O185</f>
        <v>0</v>
      </c>
      <c r="H182">
        <f>'RESUMEN TOTAL'!P185</f>
        <v>0</v>
      </c>
      <c r="I182">
        <f>'RESUMEN TOTAL'!Q185</f>
        <v>0</v>
      </c>
      <c r="J182">
        <f>'RESUMEN TOTAL'!R185</f>
        <v>0</v>
      </c>
      <c r="K182">
        <f>'RESUMEN TOTAL'!S185</f>
        <v>0</v>
      </c>
      <c r="L182">
        <f>'RESUMEN TOTAL'!T185</f>
        <v>0</v>
      </c>
      <c r="M182">
        <f>'RESUMEN TOTAL'!U185</f>
        <v>0</v>
      </c>
      <c r="N182">
        <f>'RESUMEN TOTAL'!V185</f>
        <v>0</v>
      </c>
      <c r="O182">
        <f>'RESUMEN TOTAL'!W185</f>
        <v>0</v>
      </c>
      <c r="P182">
        <f>'RESUMEN TOTAL'!X185</f>
        <v>0</v>
      </c>
      <c r="Q182">
        <f>'RESUMEN TOTAL'!Y185</f>
        <v>0</v>
      </c>
      <c r="R182">
        <f>'RESUMEN TOTAL'!Z185</f>
        <v>0</v>
      </c>
      <c r="S182">
        <f>'RESUMEN TOTAL'!AA185</f>
        <v>0</v>
      </c>
      <c r="T182">
        <f>'RESUMEN TOTAL'!AB185</f>
        <v>0</v>
      </c>
      <c r="U182">
        <f>'RESUMEN TOTAL'!AC185</f>
        <v>0</v>
      </c>
      <c r="V182">
        <f>'RESUMEN TOTAL'!AD185</f>
        <v>0</v>
      </c>
      <c r="W182">
        <f>'RESUMEN TOTAL'!AE185</f>
        <v>0</v>
      </c>
      <c r="X182">
        <f>'RESUMEN TOTAL'!AF185</f>
        <v>0</v>
      </c>
      <c r="Y182">
        <f>'RESUMEN TOTAL'!AG185</f>
        <v>0</v>
      </c>
      <c r="Z182">
        <f>'RESUMEN TOTAL'!AH185</f>
        <v>0</v>
      </c>
      <c r="AA182">
        <f>'RESUMEN TOTAL'!AI185</f>
        <v>0</v>
      </c>
      <c r="AB182">
        <f>'RESUMEN TOTAL'!AJ185</f>
        <v>0</v>
      </c>
      <c r="AC182">
        <f>'RESUMEN TOTAL'!AK185</f>
        <v>0</v>
      </c>
      <c r="AD182">
        <f>'RESUMEN TOTAL'!AL185</f>
        <v>0</v>
      </c>
      <c r="AE182">
        <f>'RESUMEN TOTAL'!AM185</f>
        <v>0</v>
      </c>
      <c r="AF182">
        <f>'RESUMEN TOTAL'!AN185</f>
        <v>0</v>
      </c>
      <c r="AG182">
        <f>'RESUMEN TOTAL'!AO185</f>
        <v>0</v>
      </c>
    </row>
    <row r="183" spans="1:33" x14ac:dyDescent="0.25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Fibra Optica</v>
      </c>
      <c r="F183">
        <f>'RESUMEN TOTAL'!N186</f>
        <v>0</v>
      </c>
      <c r="G183">
        <f>'RESUMEN TOTAL'!O186</f>
        <v>0</v>
      </c>
      <c r="H183">
        <f>'RESUMEN TOTAL'!P186</f>
        <v>0</v>
      </c>
      <c r="I183">
        <f>'RESUMEN TOTAL'!Q186</f>
        <v>0</v>
      </c>
      <c r="J183">
        <f>'RESUMEN TOTAL'!R186</f>
        <v>0</v>
      </c>
      <c r="K183">
        <f>'RESUMEN TOTAL'!S186</f>
        <v>0</v>
      </c>
      <c r="L183">
        <f>'RESUMEN TOTAL'!T186</f>
        <v>0</v>
      </c>
      <c r="M183">
        <f>'RESUMEN TOTAL'!U186</f>
        <v>0</v>
      </c>
      <c r="N183">
        <f>'RESUMEN TOTAL'!V186</f>
        <v>0</v>
      </c>
      <c r="O183">
        <f>'RESUMEN TOTAL'!W186</f>
        <v>0</v>
      </c>
      <c r="P183">
        <f>'RESUMEN TOTAL'!X186</f>
        <v>0</v>
      </c>
      <c r="Q183">
        <f>'RESUMEN TOTAL'!Y186</f>
        <v>0</v>
      </c>
      <c r="R183">
        <f>'RESUMEN TOTAL'!Z186</f>
        <v>0</v>
      </c>
      <c r="S183">
        <f>'RESUMEN TOTAL'!AA186</f>
        <v>0</v>
      </c>
      <c r="T183">
        <f>'RESUMEN TOTAL'!AB186</f>
        <v>0</v>
      </c>
      <c r="U183">
        <f>'RESUMEN TOTAL'!AC186</f>
        <v>0</v>
      </c>
      <c r="V183">
        <f>'RESUMEN TOTAL'!AD186</f>
        <v>0</v>
      </c>
      <c r="W183">
        <f>'RESUMEN TOTAL'!AE186</f>
        <v>0</v>
      </c>
      <c r="X183">
        <f>'RESUMEN TOTAL'!AF186</f>
        <v>0</v>
      </c>
      <c r="Y183">
        <f>'RESUMEN TOTAL'!AG186</f>
        <v>0</v>
      </c>
      <c r="Z183">
        <f>'RESUMEN TOTAL'!AH186</f>
        <v>0</v>
      </c>
      <c r="AA183">
        <f>'RESUMEN TOTAL'!AI186</f>
        <v>0</v>
      </c>
      <c r="AB183">
        <f>'RESUMEN TOTAL'!AJ186</f>
        <v>0</v>
      </c>
      <c r="AC183">
        <f>'RESUMEN TOTAL'!AK186</f>
        <v>0</v>
      </c>
      <c r="AD183">
        <f>'RESUMEN TOTAL'!AL186</f>
        <v>0</v>
      </c>
      <c r="AE183">
        <f>'RESUMEN TOTAL'!AM186</f>
        <v>0</v>
      </c>
      <c r="AF183">
        <f>'RESUMEN TOTAL'!AN186</f>
        <v>0</v>
      </c>
      <c r="AG183">
        <f>'RESUMEN TOTAL'!AO186</f>
        <v>0</v>
      </c>
    </row>
    <row r="184" spans="1:33" x14ac:dyDescent="0.25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>
        <f>'RESUMEN TOTAL'!N187</f>
        <v>0</v>
      </c>
      <c r="G184">
        <f>'RESUMEN TOTAL'!O187</f>
        <v>0</v>
      </c>
      <c r="H184">
        <f>'RESUMEN TOTAL'!P187</f>
        <v>0</v>
      </c>
      <c r="I184">
        <f>'RESUMEN TOTAL'!Q187</f>
        <v>0</v>
      </c>
      <c r="J184">
        <f>'RESUMEN TOTAL'!R187</f>
        <v>0</v>
      </c>
      <c r="K184">
        <f>'RESUMEN TOTAL'!S187</f>
        <v>0</v>
      </c>
      <c r="L184">
        <f>'RESUMEN TOTAL'!T187</f>
        <v>0</v>
      </c>
      <c r="M184">
        <f>'RESUMEN TOTAL'!U187</f>
        <v>0</v>
      </c>
      <c r="N184">
        <f>'RESUMEN TOTAL'!V187</f>
        <v>0</v>
      </c>
      <c r="O184">
        <f>'RESUMEN TOTAL'!W187</f>
        <v>0</v>
      </c>
      <c r="P184">
        <f>'RESUMEN TOTAL'!X187</f>
        <v>0</v>
      </c>
      <c r="Q184">
        <f>'RESUMEN TOTAL'!Y187</f>
        <v>0</v>
      </c>
      <c r="R184">
        <f>'RESUMEN TOTAL'!Z187</f>
        <v>0</v>
      </c>
      <c r="S184">
        <f>'RESUMEN TOTAL'!AA187</f>
        <v>0</v>
      </c>
      <c r="T184">
        <f>'RESUMEN TOTAL'!AB187</f>
        <v>0</v>
      </c>
      <c r="U184">
        <f>'RESUMEN TOTAL'!AC187</f>
        <v>0</v>
      </c>
      <c r="V184">
        <f>'RESUMEN TOTAL'!AD187</f>
        <v>0</v>
      </c>
      <c r="W184">
        <f>'RESUMEN TOTAL'!AE187</f>
        <v>0</v>
      </c>
      <c r="X184">
        <f>'RESUMEN TOTAL'!AF187</f>
        <v>0</v>
      </c>
      <c r="Y184">
        <f>'RESUMEN TOTAL'!AG187</f>
        <v>0</v>
      </c>
      <c r="Z184">
        <f>'RESUMEN TOTAL'!AH187</f>
        <v>0</v>
      </c>
      <c r="AA184">
        <f>'RESUMEN TOTAL'!AI187</f>
        <v>0</v>
      </c>
      <c r="AB184">
        <f>'RESUMEN TOTAL'!AJ187</f>
        <v>0</v>
      </c>
      <c r="AC184">
        <f>'RESUMEN TOTAL'!AK187</f>
        <v>0</v>
      </c>
      <c r="AD184">
        <f>'RESUMEN TOTAL'!AL187</f>
        <v>0</v>
      </c>
      <c r="AE184">
        <f>'RESUMEN TOTAL'!AM187</f>
        <v>0</v>
      </c>
      <c r="AF184">
        <f>'RESUMEN TOTAL'!AN187</f>
        <v>0</v>
      </c>
      <c r="AG184">
        <f>'RESUMEN TOTAL'!AO187</f>
        <v>0</v>
      </c>
    </row>
    <row r="185" spans="1:33" x14ac:dyDescent="0.25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>
        <f>'RESUMEN TOTAL'!N188</f>
        <v>0</v>
      </c>
      <c r="G185">
        <f>'RESUMEN TOTAL'!O188</f>
        <v>0</v>
      </c>
      <c r="H185">
        <f>'RESUMEN TOTAL'!P188</f>
        <v>0</v>
      </c>
      <c r="I185">
        <f>'RESUMEN TOTAL'!Q188</f>
        <v>0</v>
      </c>
      <c r="J185">
        <f>'RESUMEN TOTAL'!R188</f>
        <v>0</v>
      </c>
      <c r="K185">
        <f>'RESUMEN TOTAL'!S188</f>
        <v>0</v>
      </c>
      <c r="L185">
        <f>'RESUMEN TOTAL'!T188</f>
        <v>0</v>
      </c>
      <c r="M185">
        <f>'RESUMEN TOTAL'!U188</f>
        <v>0</v>
      </c>
      <c r="N185">
        <f>'RESUMEN TOTAL'!V188</f>
        <v>0</v>
      </c>
      <c r="O185">
        <f>'RESUMEN TOTAL'!W188</f>
        <v>0</v>
      </c>
      <c r="P185">
        <f>'RESUMEN TOTAL'!X188</f>
        <v>0</v>
      </c>
      <c r="Q185">
        <f>'RESUMEN TOTAL'!Y188</f>
        <v>0</v>
      </c>
      <c r="R185">
        <f>'RESUMEN TOTAL'!Z188</f>
        <v>0</v>
      </c>
      <c r="S185">
        <f>'RESUMEN TOTAL'!AA188</f>
        <v>0</v>
      </c>
      <c r="T185">
        <f>'RESUMEN TOTAL'!AB188</f>
        <v>0</v>
      </c>
      <c r="U185">
        <f>'RESUMEN TOTAL'!AC188</f>
        <v>0</v>
      </c>
      <c r="V185">
        <f>'RESUMEN TOTAL'!AD188</f>
        <v>0</v>
      </c>
      <c r="W185">
        <f>'RESUMEN TOTAL'!AE188</f>
        <v>0</v>
      </c>
      <c r="X185">
        <f>'RESUMEN TOTAL'!AF188</f>
        <v>0</v>
      </c>
      <c r="Y185">
        <f>'RESUMEN TOTAL'!AG188</f>
        <v>0</v>
      </c>
      <c r="Z185">
        <f>'RESUMEN TOTAL'!AH188</f>
        <v>0</v>
      </c>
      <c r="AA185">
        <f>'RESUMEN TOTAL'!AI188</f>
        <v>0</v>
      </c>
      <c r="AB185">
        <f>'RESUMEN TOTAL'!AJ188</f>
        <v>0</v>
      </c>
      <c r="AC185">
        <f>'RESUMEN TOTAL'!AK188</f>
        <v>0</v>
      </c>
      <c r="AD185">
        <f>'RESUMEN TOTAL'!AL188</f>
        <v>0</v>
      </c>
      <c r="AE185">
        <f>'RESUMEN TOTAL'!AM188</f>
        <v>0</v>
      </c>
      <c r="AF185">
        <f>'RESUMEN TOTAL'!AN188</f>
        <v>0</v>
      </c>
      <c r="AG185">
        <f>'RESUMEN TOTAL'!AO188</f>
        <v>0</v>
      </c>
    </row>
    <row r="186" spans="1:33" x14ac:dyDescent="0.25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TOTAL'!N189</f>
        <v>0</v>
      </c>
      <c r="G186">
        <f>'RESUMEN TOTAL'!O189</f>
        <v>0</v>
      </c>
      <c r="H186">
        <f>'RESUMEN TOTAL'!P189</f>
        <v>0</v>
      </c>
      <c r="I186">
        <f>'RESUMEN TOTAL'!Q189</f>
        <v>0</v>
      </c>
      <c r="J186">
        <f>'RESUMEN TOTAL'!R189</f>
        <v>0</v>
      </c>
      <c r="K186">
        <f>'RESUMEN TOTAL'!S189</f>
        <v>0</v>
      </c>
      <c r="L186">
        <f>'RESUMEN TOTAL'!T189</f>
        <v>0</v>
      </c>
      <c r="M186">
        <f>'RESUMEN TOTAL'!U189</f>
        <v>0</v>
      </c>
      <c r="N186">
        <f>'RESUMEN TOTAL'!V189</f>
        <v>0</v>
      </c>
      <c r="O186">
        <f>'RESUMEN TOTAL'!W189</f>
        <v>0</v>
      </c>
      <c r="P186">
        <f>'RESUMEN TOTAL'!X189</f>
        <v>0</v>
      </c>
      <c r="Q186">
        <f>'RESUMEN TOTAL'!Y189</f>
        <v>0</v>
      </c>
      <c r="R186">
        <f>'RESUMEN TOTAL'!Z189</f>
        <v>0</v>
      </c>
      <c r="S186">
        <f>'RESUMEN TOTAL'!AA189</f>
        <v>0</v>
      </c>
      <c r="T186">
        <f>'RESUMEN TOTAL'!AB189</f>
        <v>0</v>
      </c>
      <c r="U186">
        <f>'RESUMEN TOTAL'!AC189</f>
        <v>0</v>
      </c>
      <c r="V186">
        <f>'RESUMEN TOTAL'!AD189</f>
        <v>0</v>
      </c>
      <c r="W186">
        <f>'RESUMEN TOTAL'!AE189</f>
        <v>0</v>
      </c>
      <c r="X186">
        <f>'RESUMEN TOTAL'!AF189</f>
        <v>0</v>
      </c>
      <c r="Y186">
        <f>'RESUMEN TOTAL'!AG189</f>
        <v>0</v>
      </c>
      <c r="Z186">
        <f>'RESUMEN TOTAL'!AH189</f>
        <v>0</v>
      </c>
      <c r="AA186">
        <f>'RESUMEN TOTAL'!AI189</f>
        <v>0</v>
      </c>
      <c r="AB186">
        <f>'RESUMEN TOTAL'!AJ189</f>
        <v>0</v>
      </c>
      <c r="AC186">
        <f>'RESUMEN TOTAL'!AK189</f>
        <v>0</v>
      </c>
      <c r="AD186">
        <f>'RESUMEN TOTAL'!AL189</f>
        <v>0</v>
      </c>
      <c r="AE186">
        <f>'RESUMEN TOTAL'!AM189</f>
        <v>0</v>
      </c>
      <c r="AF186">
        <f>'RESUMEN TOTAL'!AN189</f>
        <v>0</v>
      </c>
      <c r="AG186">
        <f>'RESUMEN TOTAL'!AO189</f>
        <v>0</v>
      </c>
    </row>
    <row r="187" spans="1:33" x14ac:dyDescent="0.25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TOTAL'!N190</f>
        <v>0</v>
      </c>
      <c r="G187">
        <f>'RESUMEN TOTAL'!O190</f>
        <v>0</v>
      </c>
      <c r="H187">
        <f>'RESUMEN TOTAL'!P190</f>
        <v>0</v>
      </c>
      <c r="I187">
        <f>'RESUMEN TOTAL'!Q190</f>
        <v>0</v>
      </c>
      <c r="J187">
        <f>'RESUMEN TOTAL'!R190</f>
        <v>0</v>
      </c>
      <c r="K187">
        <f>'RESUMEN TOTAL'!S190</f>
        <v>0</v>
      </c>
      <c r="L187">
        <f>'RESUMEN TOTAL'!T190</f>
        <v>0</v>
      </c>
      <c r="M187">
        <f>'RESUMEN TOTAL'!U190</f>
        <v>0</v>
      </c>
      <c r="N187">
        <f>'RESUMEN TOTAL'!V190</f>
        <v>0</v>
      </c>
      <c r="O187">
        <f>'RESUMEN TOTAL'!W190</f>
        <v>0</v>
      </c>
      <c r="P187">
        <f>'RESUMEN TOTAL'!X190</f>
        <v>0</v>
      </c>
      <c r="Q187">
        <f>'RESUMEN TOTAL'!Y190</f>
        <v>0</v>
      </c>
      <c r="R187">
        <f>'RESUMEN TOTAL'!Z190</f>
        <v>0</v>
      </c>
      <c r="S187">
        <f>'RESUMEN TOTAL'!AA190</f>
        <v>0</v>
      </c>
      <c r="T187">
        <f>'RESUMEN TOTAL'!AB190</f>
        <v>0</v>
      </c>
      <c r="U187">
        <f>'RESUMEN TOTAL'!AC190</f>
        <v>0</v>
      </c>
      <c r="V187">
        <f>'RESUMEN TOTAL'!AD190</f>
        <v>0</v>
      </c>
      <c r="W187">
        <f>'RESUMEN TOTAL'!AE190</f>
        <v>0</v>
      </c>
      <c r="X187">
        <f>'RESUMEN TOTAL'!AF190</f>
        <v>0</v>
      </c>
      <c r="Y187">
        <f>'RESUMEN TOTAL'!AG190</f>
        <v>0</v>
      </c>
      <c r="Z187">
        <f>'RESUMEN TOTAL'!AH190</f>
        <v>0</v>
      </c>
      <c r="AA187">
        <f>'RESUMEN TOTAL'!AI190</f>
        <v>0</v>
      </c>
      <c r="AB187">
        <f>'RESUMEN TOTAL'!AJ190</f>
        <v>0</v>
      </c>
      <c r="AC187">
        <f>'RESUMEN TOTAL'!AK190</f>
        <v>0</v>
      </c>
      <c r="AD187">
        <f>'RESUMEN TOTAL'!AL190</f>
        <v>0</v>
      </c>
      <c r="AE187">
        <f>'RESUMEN TOTAL'!AM190</f>
        <v>0</v>
      </c>
      <c r="AF187">
        <f>'RESUMEN TOTAL'!AN190</f>
        <v>0</v>
      </c>
      <c r="AG187">
        <f>'RESUMEN TOTAL'!AO190</f>
        <v>0</v>
      </c>
    </row>
    <row r="188" spans="1:33" x14ac:dyDescent="0.25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TOTAL'!N191</f>
        <v>APAGADO</v>
      </c>
      <c r="G188" t="str">
        <f>'RESUMEN TOTAL'!O191</f>
        <v>APAGADO</v>
      </c>
      <c r="H188" t="str">
        <f>'RESUMEN TOTAL'!P191</f>
        <v>APAGADO</v>
      </c>
      <c r="I188" t="str">
        <f>'RESUMEN TOTAL'!Q191</f>
        <v>APAGADO</v>
      </c>
      <c r="J188" t="str">
        <f>'RESUMEN TOTAL'!R191</f>
        <v>APAGADO</v>
      </c>
      <c r="K188" t="str">
        <f>'RESUMEN TOTAL'!S191</f>
        <v>APAGADO</v>
      </c>
      <c r="L188" t="str">
        <f>'RESUMEN TOTAL'!T191</f>
        <v>APAGADO</v>
      </c>
      <c r="M188">
        <f>'RESUMEN TOTAL'!U191</f>
        <v>0</v>
      </c>
      <c r="N188">
        <f>'RESUMEN TOTAL'!V191</f>
        <v>0</v>
      </c>
      <c r="O188">
        <f>'RESUMEN TOTAL'!W191</f>
        <v>0</v>
      </c>
      <c r="P188">
        <f>'RESUMEN TOTAL'!X191</f>
        <v>0</v>
      </c>
      <c r="Q188">
        <f>'RESUMEN TOTAL'!Y191</f>
        <v>0</v>
      </c>
      <c r="R188">
        <f>'RESUMEN TOTAL'!Z191</f>
        <v>0</v>
      </c>
      <c r="S188">
        <f>'RESUMEN TOTAL'!AA191</f>
        <v>0</v>
      </c>
      <c r="T188">
        <f>'RESUMEN TOTAL'!AB191</f>
        <v>0</v>
      </c>
      <c r="U188">
        <f>'RESUMEN TOTAL'!AC191</f>
        <v>0</v>
      </c>
      <c r="V188">
        <f>'RESUMEN TOTAL'!AD191</f>
        <v>0</v>
      </c>
      <c r="W188">
        <f>'RESUMEN TOTAL'!AE191</f>
        <v>0</v>
      </c>
      <c r="X188">
        <f>'RESUMEN TOTAL'!AF191</f>
        <v>0</v>
      </c>
      <c r="Y188">
        <f>'RESUMEN TOTAL'!AG191</f>
        <v>0</v>
      </c>
      <c r="Z188">
        <f>'RESUMEN TOTAL'!AH191</f>
        <v>0</v>
      </c>
      <c r="AA188">
        <f>'RESUMEN TOTAL'!AI191</f>
        <v>0</v>
      </c>
      <c r="AB188">
        <f>'RESUMEN TOTAL'!AJ191</f>
        <v>0</v>
      </c>
      <c r="AC188">
        <f>'RESUMEN TOTAL'!AK191</f>
        <v>0</v>
      </c>
      <c r="AD188">
        <f>'RESUMEN TOTAL'!AL191</f>
        <v>0</v>
      </c>
      <c r="AE188">
        <f>'RESUMEN TOTAL'!AM191</f>
        <v>0</v>
      </c>
      <c r="AF188">
        <f>'RESUMEN TOTAL'!AN191</f>
        <v>0</v>
      </c>
      <c r="AG188">
        <f>'RESUMEN TOTAL'!AO191</f>
        <v>0</v>
      </c>
    </row>
    <row r="189" spans="1:33" x14ac:dyDescent="0.25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TOTAL'!N192</f>
        <v>APAGADO</v>
      </c>
      <c r="G189" t="str">
        <f>'RESUMEN TOTAL'!O192</f>
        <v>APAGADO</v>
      </c>
      <c r="H189" t="str">
        <f>'RESUMEN TOTAL'!P192</f>
        <v>APAGADO</v>
      </c>
      <c r="I189" t="str">
        <f>'RESUMEN TOTAL'!Q192</f>
        <v>APAGADO</v>
      </c>
      <c r="J189" t="str">
        <f>'RESUMEN TOTAL'!R192</f>
        <v>APAGADO</v>
      </c>
      <c r="K189" t="str">
        <f>'RESUMEN TOTAL'!S192</f>
        <v>APAGADO</v>
      </c>
      <c r="L189" t="str">
        <f>'RESUMEN TOTAL'!T192</f>
        <v>APAGADO</v>
      </c>
      <c r="M189">
        <f>'RESUMEN TOTAL'!U192</f>
        <v>0</v>
      </c>
      <c r="N189">
        <f>'RESUMEN TOTAL'!V192</f>
        <v>0</v>
      </c>
      <c r="O189">
        <f>'RESUMEN TOTAL'!W192</f>
        <v>0</v>
      </c>
      <c r="P189">
        <f>'RESUMEN TOTAL'!X192</f>
        <v>0</v>
      </c>
      <c r="Q189">
        <f>'RESUMEN TOTAL'!Y192</f>
        <v>0</v>
      </c>
      <c r="R189">
        <f>'RESUMEN TOTAL'!Z192</f>
        <v>0</v>
      </c>
      <c r="S189">
        <f>'RESUMEN TOTAL'!AA192</f>
        <v>0</v>
      </c>
      <c r="T189">
        <f>'RESUMEN TOTAL'!AB192</f>
        <v>0</v>
      </c>
      <c r="U189">
        <f>'RESUMEN TOTAL'!AC192</f>
        <v>0</v>
      </c>
      <c r="V189">
        <f>'RESUMEN TOTAL'!AD192</f>
        <v>0</v>
      </c>
      <c r="W189">
        <f>'RESUMEN TOTAL'!AE192</f>
        <v>0</v>
      </c>
      <c r="X189">
        <f>'RESUMEN TOTAL'!AF192</f>
        <v>0</v>
      </c>
      <c r="Y189">
        <f>'RESUMEN TOTAL'!AG192</f>
        <v>0</v>
      </c>
      <c r="Z189">
        <f>'RESUMEN TOTAL'!AH192</f>
        <v>0</v>
      </c>
      <c r="AA189">
        <f>'RESUMEN TOTAL'!AI192</f>
        <v>0</v>
      </c>
      <c r="AB189">
        <f>'RESUMEN TOTAL'!AJ192</f>
        <v>0</v>
      </c>
      <c r="AC189">
        <f>'RESUMEN TOTAL'!AK192</f>
        <v>0</v>
      </c>
      <c r="AD189">
        <f>'RESUMEN TOTAL'!AL192</f>
        <v>0</v>
      </c>
      <c r="AE189">
        <f>'RESUMEN TOTAL'!AM192</f>
        <v>0</v>
      </c>
      <c r="AF189">
        <f>'RESUMEN TOTAL'!AN192</f>
        <v>0</v>
      </c>
      <c r="AG189">
        <f>'RESUMEN TOTAL'!AO192</f>
        <v>0</v>
      </c>
    </row>
    <row r="190" spans="1:33" x14ac:dyDescent="0.25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TOTAL'!N193</f>
        <v>APAGADO</v>
      </c>
      <c r="G190" t="str">
        <f>'RESUMEN TOTAL'!O193</f>
        <v>APAGADO</v>
      </c>
      <c r="H190" t="str">
        <f>'RESUMEN TOTAL'!P193</f>
        <v>APAGADO</v>
      </c>
      <c r="I190" t="str">
        <f>'RESUMEN TOTAL'!Q193</f>
        <v>APAGADO</v>
      </c>
      <c r="J190" t="str">
        <f>'RESUMEN TOTAL'!R193</f>
        <v>APAGADO</v>
      </c>
      <c r="K190" t="str">
        <f>'RESUMEN TOTAL'!S193</f>
        <v>APAGADO</v>
      </c>
      <c r="L190" t="str">
        <f>'RESUMEN TOTAL'!T193</f>
        <v>APAGADO</v>
      </c>
      <c r="M190">
        <f>'RESUMEN TOTAL'!U193</f>
        <v>0</v>
      </c>
      <c r="N190">
        <f>'RESUMEN TOTAL'!V193</f>
        <v>0</v>
      </c>
      <c r="O190">
        <f>'RESUMEN TOTAL'!W193</f>
        <v>0</v>
      </c>
      <c r="P190">
        <f>'RESUMEN TOTAL'!X193</f>
        <v>0</v>
      </c>
      <c r="Q190">
        <f>'RESUMEN TOTAL'!Y193</f>
        <v>0</v>
      </c>
      <c r="R190">
        <f>'RESUMEN TOTAL'!Z193</f>
        <v>0</v>
      </c>
      <c r="S190">
        <f>'RESUMEN TOTAL'!AA193</f>
        <v>0</v>
      </c>
      <c r="T190">
        <f>'RESUMEN TOTAL'!AB193</f>
        <v>0</v>
      </c>
      <c r="U190">
        <f>'RESUMEN TOTAL'!AC193</f>
        <v>0</v>
      </c>
      <c r="V190">
        <f>'RESUMEN TOTAL'!AD193</f>
        <v>0</v>
      </c>
      <c r="W190">
        <f>'RESUMEN TOTAL'!AE193</f>
        <v>0</v>
      </c>
      <c r="X190">
        <f>'RESUMEN TOTAL'!AF193</f>
        <v>0</v>
      </c>
      <c r="Y190">
        <f>'RESUMEN TOTAL'!AG193</f>
        <v>0</v>
      </c>
      <c r="Z190">
        <f>'RESUMEN TOTAL'!AH193</f>
        <v>0</v>
      </c>
      <c r="AA190">
        <f>'RESUMEN TOTAL'!AI193</f>
        <v>0</v>
      </c>
      <c r="AB190">
        <f>'RESUMEN TOTAL'!AJ193</f>
        <v>0</v>
      </c>
      <c r="AC190">
        <f>'RESUMEN TOTAL'!AK193</f>
        <v>0</v>
      </c>
      <c r="AD190">
        <f>'RESUMEN TOTAL'!AL193</f>
        <v>0</v>
      </c>
      <c r="AE190">
        <f>'RESUMEN TOTAL'!AM193</f>
        <v>0</v>
      </c>
      <c r="AF190">
        <f>'RESUMEN TOTAL'!AN193</f>
        <v>0</v>
      </c>
      <c r="AG190">
        <f>'RESUMEN TOTAL'!AO193</f>
        <v>0</v>
      </c>
    </row>
    <row r="191" spans="1:33" x14ac:dyDescent="0.25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TOTAL'!N194</f>
        <v>APAGADO</v>
      </c>
      <c r="G191" t="str">
        <f>'RESUMEN TOTAL'!O194</f>
        <v>APAGADO</v>
      </c>
      <c r="H191" t="str">
        <f>'RESUMEN TOTAL'!P194</f>
        <v>APAGADO</v>
      </c>
      <c r="I191" t="str">
        <f>'RESUMEN TOTAL'!Q194</f>
        <v>APAGADO</v>
      </c>
      <c r="J191" t="str">
        <f>'RESUMEN TOTAL'!R194</f>
        <v>APAGADO</v>
      </c>
      <c r="K191" t="str">
        <f>'RESUMEN TOTAL'!S194</f>
        <v>APAGADO</v>
      </c>
      <c r="L191" t="str">
        <f>'RESUMEN TOTAL'!T194</f>
        <v>APAGADO</v>
      </c>
      <c r="M191">
        <f>'RESUMEN TOTAL'!U194</f>
        <v>0</v>
      </c>
      <c r="N191">
        <f>'RESUMEN TOTAL'!V194</f>
        <v>0</v>
      </c>
      <c r="O191">
        <f>'RESUMEN TOTAL'!W194</f>
        <v>0</v>
      </c>
      <c r="P191">
        <f>'RESUMEN TOTAL'!X194</f>
        <v>0</v>
      </c>
      <c r="Q191">
        <f>'RESUMEN TOTAL'!Y194</f>
        <v>0</v>
      </c>
      <c r="R191">
        <f>'RESUMEN TOTAL'!Z194</f>
        <v>0</v>
      </c>
      <c r="S191">
        <f>'RESUMEN TOTAL'!AA194</f>
        <v>0</v>
      </c>
      <c r="T191">
        <f>'RESUMEN TOTAL'!AB194</f>
        <v>0</v>
      </c>
      <c r="U191">
        <f>'RESUMEN TOTAL'!AC194</f>
        <v>0</v>
      </c>
      <c r="V191">
        <f>'RESUMEN TOTAL'!AD194</f>
        <v>0</v>
      </c>
      <c r="W191">
        <f>'RESUMEN TOTAL'!AE194</f>
        <v>0</v>
      </c>
      <c r="X191">
        <f>'RESUMEN TOTAL'!AF194</f>
        <v>0</v>
      </c>
      <c r="Y191">
        <f>'RESUMEN TOTAL'!AG194</f>
        <v>0</v>
      </c>
      <c r="Z191">
        <f>'RESUMEN TOTAL'!AH194</f>
        <v>0</v>
      </c>
      <c r="AA191">
        <f>'RESUMEN TOTAL'!AI194</f>
        <v>0</v>
      </c>
      <c r="AB191">
        <f>'RESUMEN TOTAL'!AJ194</f>
        <v>0</v>
      </c>
      <c r="AC191">
        <f>'RESUMEN TOTAL'!AK194</f>
        <v>0</v>
      </c>
      <c r="AD191">
        <f>'RESUMEN TOTAL'!AL194</f>
        <v>0</v>
      </c>
      <c r="AE191">
        <f>'RESUMEN TOTAL'!AM194</f>
        <v>0</v>
      </c>
      <c r="AF191">
        <f>'RESUMEN TOTAL'!AN194</f>
        <v>0</v>
      </c>
      <c r="AG191">
        <f>'RESUMEN TOTAL'!AO194</f>
        <v>0</v>
      </c>
    </row>
    <row r="192" spans="1:33" x14ac:dyDescent="0.25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TOTAL'!N195</f>
        <v>0</v>
      </c>
      <c r="G192" t="str">
        <f>'RESUMEN TOTAL'!O195</f>
        <v>APAGADO</v>
      </c>
      <c r="H192" t="str">
        <f>'RESUMEN TOTAL'!P195</f>
        <v>APAGADO</v>
      </c>
      <c r="I192" t="str">
        <f>'RESUMEN TOTAL'!Q195</f>
        <v>APAGADO</v>
      </c>
      <c r="J192" t="str">
        <f>'RESUMEN TOTAL'!R195</f>
        <v>APAGADO</v>
      </c>
      <c r="K192" t="str">
        <f>'RESUMEN TOTAL'!S195</f>
        <v>APAGADO</v>
      </c>
      <c r="L192" t="str">
        <f>'RESUMEN TOTAL'!T195</f>
        <v>APAGADO</v>
      </c>
      <c r="M192">
        <f>'RESUMEN TOTAL'!U195</f>
        <v>0</v>
      </c>
      <c r="N192">
        <f>'RESUMEN TOTAL'!V195</f>
        <v>0</v>
      </c>
      <c r="O192">
        <f>'RESUMEN TOTAL'!W195</f>
        <v>0</v>
      </c>
      <c r="P192">
        <f>'RESUMEN TOTAL'!X195</f>
        <v>0</v>
      </c>
      <c r="Q192">
        <f>'RESUMEN TOTAL'!Y195</f>
        <v>0</v>
      </c>
      <c r="R192">
        <f>'RESUMEN TOTAL'!Z195</f>
        <v>0</v>
      </c>
      <c r="S192">
        <f>'RESUMEN TOTAL'!AA195</f>
        <v>0</v>
      </c>
      <c r="T192">
        <f>'RESUMEN TOTAL'!AB195</f>
        <v>0</v>
      </c>
      <c r="U192">
        <f>'RESUMEN TOTAL'!AC195</f>
        <v>0</v>
      </c>
      <c r="V192">
        <f>'RESUMEN TOTAL'!AD195</f>
        <v>0</v>
      </c>
      <c r="W192">
        <f>'RESUMEN TOTAL'!AE195</f>
        <v>0</v>
      </c>
      <c r="X192">
        <f>'RESUMEN TOTAL'!AF195</f>
        <v>0</v>
      </c>
      <c r="Y192">
        <f>'RESUMEN TOTAL'!AG195</f>
        <v>0</v>
      </c>
      <c r="Z192">
        <f>'RESUMEN TOTAL'!AH195</f>
        <v>0</v>
      </c>
      <c r="AA192">
        <f>'RESUMEN TOTAL'!AI195</f>
        <v>0</v>
      </c>
      <c r="AB192">
        <f>'RESUMEN TOTAL'!AJ195</f>
        <v>0</v>
      </c>
      <c r="AC192">
        <f>'RESUMEN TOTAL'!AK195</f>
        <v>0</v>
      </c>
      <c r="AD192">
        <f>'RESUMEN TOTAL'!AL195</f>
        <v>0</v>
      </c>
      <c r="AE192">
        <f>'RESUMEN TOTAL'!AM195</f>
        <v>0</v>
      </c>
      <c r="AF192">
        <f>'RESUMEN TOTAL'!AN195</f>
        <v>0</v>
      </c>
      <c r="AG192">
        <f>'RESUMEN TOTAL'!AO195</f>
        <v>0</v>
      </c>
    </row>
    <row r="193" spans="1:33" x14ac:dyDescent="0.25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TOTAL'!N196</f>
        <v>0</v>
      </c>
      <c r="G193" t="str">
        <f>'RESUMEN TOTAL'!O196</f>
        <v>APAGADO</v>
      </c>
      <c r="H193" t="str">
        <f>'RESUMEN TOTAL'!P196</f>
        <v>APAGADO</v>
      </c>
      <c r="I193" t="str">
        <f>'RESUMEN TOTAL'!Q196</f>
        <v>APAGADO</v>
      </c>
      <c r="J193" t="str">
        <f>'RESUMEN TOTAL'!R196</f>
        <v>APAGADO</v>
      </c>
      <c r="K193" t="str">
        <f>'RESUMEN TOTAL'!S196</f>
        <v>APAGADO</v>
      </c>
      <c r="L193" t="str">
        <f>'RESUMEN TOTAL'!T196</f>
        <v>APAGADO</v>
      </c>
      <c r="M193">
        <f>'RESUMEN TOTAL'!U196</f>
        <v>0</v>
      </c>
      <c r="N193">
        <f>'RESUMEN TOTAL'!V196</f>
        <v>0</v>
      </c>
      <c r="O193">
        <f>'RESUMEN TOTAL'!W196</f>
        <v>0</v>
      </c>
      <c r="P193">
        <f>'RESUMEN TOTAL'!X196</f>
        <v>0</v>
      </c>
      <c r="Q193">
        <f>'RESUMEN TOTAL'!Y196</f>
        <v>0</v>
      </c>
      <c r="R193">
        <f>'RESUMEN TOTAL'!Z196</f>
        <v>0</v>
      </c>
      <c r="S193">
        <f>'RESUMEN TOTAL'!AA196</f>
        <v>0</v>
      </c>
      <c r="T193">
        <f>'RESUMEN TOTAL'!AB196</f>
        <v>0</v>
      </c>
      <c r="U193">
        <f>'RESUMEN TOTAL'!AC196</f>
        <v>0</v>
      </c>
      <c r="V193">
        <f>'RESUMEN TOTAL'!AD196</f>
        <v>0</v>
      </c>
      <c r="W193">
        <f>'RESUMEN TOTAL'!AE196</f>
        <v>0</v>
      </c>
      <c r="X193">
        <f>'RESUMEN TOTAL'!AF196</f>
        <v>0</v>
      </c>
      <c r="Y193">
        <f>'RESUMEN TOTAL'!AG196</f>
        <v>0</v>
      </c>
      <c r="Z193">
        <f>'RESUMEN TOTAL'!AH196</f>
        <v>0</v>
      </c>
      <c r="AA193">
        <f>'RESUMEN TOTAL'!AI196</f>
        <v>0</v>
      </c>
      <c r="AB193">
        <f>'RESUMEN TOTAL'!AJ196</f>
        <v>0</v>
      </c>
      <c r="AC193">
        <f>'RESUMEN TOTAL'!AK196</f>
        <v>0</v>
      </c>
      <c r="AD193">
        <f>'RESUMEN TOTAL'!AL196</f>
        <v>0</v>
      </c>
      <c r="AE193">
        <f>'RESUMEN TOTAL'!AM196</f>
        <v>0</v>
      </c>
      <c r="AF193">
        <f>'RESUMEN TOTAL'!AN196</f>
        <v>0</v>
      </c>
      <c r="AG193">
        <f>'RESUMEN TOTAL'!AO196</f>
        <v>0</v>
      </c>
    </row>
    <row r="194" spans="1:33" x14ac:dyDescent="0.25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 t="str">
        <f>'RESUMEN TOTAL'!N197</f>
        <v>APAGADO</v>
      </c>
      <c r="G194" t="str">
        <f>'RESUMEN TOTAL'!O197</f>
        <v>APAGADO</v>
      </c>
      <c r="H194" t="str">
        <f>'RESUMEN TOTAL'!P197</f>
        <v>APAGADO</v>
      </c>
      <c r="I194" t="str">
        <f>'RESUMEN TOTAL'!Q197</f>
        <v>APAGADO</v>
      </c>
      <c r="J194" t="str">
        <f>'RESUMEN TOTAL'!R197</f>
        <v>APAGADO</v>
      </c>
      <c r="K194" t="str">
        <f>'RESUMEN TOTAL'!S197</f>
        <v>APAGADO</v>
      </c>
      <c r="L194">
        <f>'RESUMEN TOTAL'!T197</f>
        <v>0</v>
      </c>
      <c r="M194">
        <f>'RESUMEN TOTAL'!U197</f>
        <v>0</v>
      </c>
      <c r="N194">
        <f>'RESUMEN TOTAL'!V197</f>
        <v>0</v>
      </c>
      <c r="O194">
        <f>'RESUMEN TOTAL'!W197</f>
        <v>0</v>
      </c>
      <c r="P194">
        <f>'RESUMEN TOTAL'!X197</f>
        <v>0</v>
      </c>
      <c r="Q194">
        <f>'RESUMEN TOTAL'!Y197</f>
        <v>0</v>
      </c>
      <c r="R194">
        <f>'RESUMEN TOTAL'!Z197</f>
        <v>0</v>
      </c>
      <c r="S194">
        <f>'RESUMEN TOTAL'!AA197</f>
        <v>0</v>
      </c>
      <c r="T194">
        <f>'RESUMEN TOTAL'!AB197</f>
        <v>0</v>
      </c>
      <c r="U194">
        <f>'RESUMEN TOTAL'!AC197</f>
        <v>0</v>
      </c>
      <c r="V194">
        <f>'RESUMEN TOTAL'!AD197</f>
        <v>0</v>
      </c>
      <c r="W194">
        <f>'RESUMEN TOTAL'!AE197</f>
        <v>0</v>
      </c>
      <c r="X194">
        <f>'RESUMEN TOTAL'!AF197</f>
        <v>0</v>
      </c>
      <c r="Y194">
        <f>'RESUMEN TOTAL'!AG197</f>
        <v>0</v>
      </c>
      <c r="Z194">
        <f>'RESUMEN TOTAL'!AH197</f>
        <v>0</v>
      </c>
      <c r="AA194">
        <f>'RESUMEN TOTAL'!AI197</f>
        <v>0</v>
      </c>
      <c r="AB194">
        <f>'RESUMEN TOTAL'!AJ197</f>
        <v>0</v>
      </c>
      <c r="AC194">
        <f>'RESUMEN TOTAL'!AK197</f>
        <v>0</v>
      </c>
      <c r="AD194">
        <f>'RESUMEN TOTAL'!AL197</f>
        <v>0</v>
      </c>
      <c r="AE194">
        <f>'RESUMEN TOTAL'!AM197</f>
        <v>0</v>
      </c>
      <c r="AF194">
        <f>'RESUMEN TOTAL'!AN197</f>
        <v>0</v>
      </c>
      <c r="AG194">
        <f>'RESUMEN TOTAL'!AO197</f>
        <v>0</v>
      </c>
    </row>
    <row r="195" spans="1:33" x14ac:dyDescent="0.25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TOTAL'!N198</f>
        <v>0</v>
      </c>
      <c r="G195" t="str">
        <f>'RESUMEN TOTAL'!O198</f>
        <v>APAGADO</v>
      </c>
      <c r="H195" t="str">
        <f>'RESUMEN TOTAL'!P198</f>
        <v>APAGADO</v>
      </c>
      <c r="I195">
        <f>'RESUMEN TOTAL'!Q198</f>
        <v>0</v>
      </c>
      <c r="J195">
        <f>'RESUMEN TOTAL'!R198</f>
        <v>0</v>
      </c>
      <c r="K195">
        <f>'RESUMEN TOTAL'!S198</f>
        <v>0</v>
      </c>
      <c r="L195">
        <f>'RESUMEN TOTAL'!T198</f>
        <v>0</v>
      </c>
      <c r="M195">
        <f>'RESUMEN TOTAL'!U198</f>
        <v>0</v>
      </c>
      <c r="N195">
        <f>'RESUMEN TOTAL'!V198</f>
        <v>0</v>
      </c>
      <c r="O195">
        <f>'RESUMEN TOTAL'!W198</f>
        <v>0</v>
      </c>
      <c r="P195">
        <f>'RESUMEN TOTAL'!X198</f>
        <v>0</v>
      </c>
      <c r="Q195">
        <f>'RESUMEN TOTAL'!Y198</f>
        <v>0</v>
      </c>
      <c r="R195">
        <f>'RESUMEN TOTAL'!Z198</f>
        <v>0</v>
      </c>
      <c r="S195">
        <f>'RESUMEN TOTAL'!AA198</f>
        <v>0</v>
      </c>
      <c r="T195">
        <f>'RESUMEN TOTAL'!AB198</f>
        <v>0</v>
      </c>
      <c r="U195">
        <f>'RESUMEN TOTAL'!AC198</f>
        <v>0</v>
      </c>
      <c r="V195">
        <f>'RESUMEN TOTAL'!AD198</f>
        <v>0</v>
      </c>
      <c r="W195">
        <f>'RESUMEN TOTAL'!AE198</f>
        <v>0</v>
      </c>
      <c r="X195">
        <f>'RESUMEN TOTAL'!AF198</f>
        <v>0</v>
      </c>
      <c r="Y195">
        <f>'RESUMEN TOTAL'!AG198</f>
        <v>0</v>
      </c>
      <c r="Z195">
        <f>'RESUMEN TOTAL'!AH198</f>
        <v>0</v>
      </c>
      <c r="AA195">
        <f>'RESUMEN TOTAL'!AI198</f>
        <v>0</v>
      </c>
      <c r="AB195">
        <f>'RESUMEN TOTAL'!AJ198</f>
        <v>0</v>
      </c>
      <c r="AC195">
        <f>'RESUMEN TOTAL'!AK198</f>
        <v>0</v>
      </c>
      <c r="AD195">
        <f>'RESUMEN TOTAL'!AL198</f>
        <v>0</v>
      </c>
      <c r="AE195">
        <f>'RESUMEN TOTAL'!AM198</f>
        <v>0</v>
      </c>
      <c r="AF195">
        <f>'RESUMEN TOTAL'!AN198</f>
        <v>0</v>
      </c>
      <c r="AG195">
        <f>'RESUMEN TOTAL'!AO198</f>
        <v>0</v>
      </c>
    </row>
    <row r="196" spans="1:33" x14ac:dyDescent="0.25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TOTAL'!N199</f>
        <v>0</v>
      </c>
      <c r="G196">
        <f>'RESUMEN TOTAL'!O199</f>
        <v>0</v>
      </c>
      <c r="H196">
        <f>'RESUMEN TOTAL'!P199</f>
        <v>0</v>
      </c>
      <c r="I196">
        <f>'RESUMEN TOTAL'!Q199</f>
        <v>0</v>
      </c>
      <c r="J196">
        <f>'RESUMEN TOTAL'!R199</f>
        <v>0</v>
      </c>
      <c r="K196">
        <f>'RESUMEN TOTAL'!S199</f>
        <v>0</v>
      </c>
      <c r="L196" t="str">
        <f>'RESUMEN TOTAL'!T199</f>
        <v>APAGADO</v>
      </c>
      <c r="M196">
        <f>'RESUMEN TOTAL'!U199</f>
        <v>0</v>
      </c>
      <c r="N196">
        <f>'RESUMEN TOTAL'!V199</f>
        <v>0</v>
      </c>
      <c r="O196">
        <f>'RESUMEN TOTAL'!W199</f>
        <v>0</v>
      </c>
      <c r="P196">
        <f>'RESUMEN TOTAL'!X199</f>
        <v>0</v>
      </c>
      <c r="Q196">
        <f>'RESUMEN TOTAL'!Y199</f>
        <v>0</v>
      </c>
      <c r="R196">
        <f>'RESUMEN TOTAL'!Z199</f>
        <v>0</v>
      </c>
      <c r="S196">
        <f>'RESUMEN TOTAL'!AA199</f>
        <v>0</v>
      </c>
      <c r="T196">
        <f>'RESUMEN TOTAL'!AB199</f>
        <v>0</v>
      </c>
      <c r="U196">
        <f>'RESUMEN TOTAL'!AC199</f>
        <v>0</v>
      </c>
      <c r="V196">
        <f>'RESUMEN TOTAL'!AD199</f>
        <v>0</v>
      </c>
      <c r="W196">
        <f>'RESUMEN TOTAL'!AE199</f>
        <v>0</v>
      </c>
      <c r="X196">
        <f>'RESUMEN TOTAL'!AF199</f>
        <v>0</v>
      </c>
      <c r="Y196">
        <f>'RESUMEN TOTAL'!AG199</f>
        <v>0</v>
      </c>
      <c r="Z196">
        <f>'RESUMEN TOTAL'!AH199</f>
        <v>0</v>
      </c>
      <c r="AA196">
        <f>'RESUMEN TOTAL'!AI199</f>
        <v>0</v>
      </c>
      <c r="AB196">
        <f>'RESUMEN TOTAL'!AJ199</f>
        <v>0</v>
      </c>
      <c r="AC196">
        <f>'RESUMEN TOTAL'!AK199</f>
        <v>0</v>
      </c>
      <c r="AD196">
        <f>'RESUMEN TOTAL'!AL199</f>
        <v>0</v>
      </c>
      <c r="AE196">
        <f>'RESUMEN TOTAL'!AM199</f>
        <v>0</v>
      </c>
      <c r="AF196">
        <f>'RESUMEN TOTAL'!AN199</f>
        <v>0</v>
      </c>
      <c r="AG196">
        <f>'RESUMEN TOTAL'!AO199</f>
        <v>0</v>
      </c>
    </row>
    <row r="197" spans="1:33" x14ac:dyDescent="0.25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TOTAL'!N200</f>
        <v>0</v>
      </c>
      <c r="G197">
        <f>'RESUMEN TOTAL'!O200</f>
        <v>0</v>
      </c>
      <c r="H197">
        <f>'RESUMEN TOTAL'!P200</f>
        <v>0</v>
      </c>
      <c r="I197">
        <f>'RESUMEN TOTAL'!Q200</f>
        <v>0</v>
      </c>
      <c r="J197">
        <f>'RESUMEN TOTAL'!R200</f>
        <v>0</v>
      </c>
      <c r="K197">
        <f>'RESUMEN TOTAL'!S200</f>
        <v>0</v>
      </c>
      <c r="L197" t="str">
        <f>'RESUMEN TOTAL'!T200</f>
        <v>APAGADO</v>
      </c>
      <c r="M197">
        <f>'RESUMEN TOTAL'!U200</f>
        <v>0</v>
      </c>
      <c r="N197">
        <f>'RESUMEN TOTAL'!V200</f>
        <v>0</v>
      </c>
      <c r="O197">
        <f>'RESUMEN TOTAL'!W200</f>
        <v>0</v>
      </c>
      <c r="P197">
        <f>'RESUMEN TOTAL'!X200</f>
        <v>0</v>
      </c>
      <c r="Q197">
        <f>'RESUMEN TOTAL'!Y200</f>
        <v>0</v>
      </c>
      <c r="R197">
        <f>'RESUMEN TOTAL'!Z200</f>
        <v>0</v>
      </c>
      <c r="S197">
        <f>'RESUMEN TOTAL'!AA200</f>
        <v>0</v>
      </c>
      <c r="T197">
        <f>'RESUMEN TOTAL'!AB200</f>
        <v>0</v>
      </c>
      <c r="U197">
        <f>'RESUMEN TOTAL'!AC200</f>
        <v>0</v>
      </c>
      <c r="V197">
        <f>'RESUMEN TOTAL'!AD200</f>
        <v>0</v>
      </c>
      <c r="W197">
        <f>'RESUMEN TOTAL'!AE200</f>
        <v>0</v>
      </c>
      <c r="X197">
        <f>'RESUMEN TOTAL'!AF200</f>
        <v>0</v>
      </c>
      <c r="Y197">
        <f>'RESUMEN TOTAL'!AG200</f>
        <v>0</v>
      </c>
      <c r="Z197">
        <f>'RESUMEN TOTAL'!AH200</f>
        <v>0</v>
      </c>
      <c r="AA197">
        <f>'RESUMEN TOTAL'!AI200</f>
        <v>0</v>
      </c>
      <c r="AB197">
        <f>'RESUMEN TOTAL'!AJ200</f>
        <v>0</v>
      </c>
      <c r="AC197">
        <f>'RESUMEN TOTAL'!AK200</f>
        <v>0</v>
      </c>
      <c r="AD197">
        <f>'RESUMEN TOTAL'!AL200</f>
        <v>0</v>
      </c>
      <c r="AE197">
        <f>'RESUMEN TOTAL'!AM200</f>
        <v>0</v>
      </c>
      <c r="AF197">
        <f>'RESUMEN TOTAL'!AN200</f>
        <v>0</v>
      </c>
      <c r="AG197">
        <f>'RESUMEN TOTAL'!AO200</f>
        <v>0</v>
      </c>
    </row>
    <row r="198" spans="1:33" x14ac:dyDescent="0.25">
      <c r="A198" t="str">
        <f>'RESUMEN TOTAL'!A201</f>
        <v>VILLA ARGENTINA</v>
      </c>
      <c r="B198" t="str">
        <f>'RESUMEN TOTAL'!B201</f>
        <v>PUNTO SEGURO - KM26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TOTAL'!N201</f>
        <v>0</v>
      </c>
      <c r="G198">
        <f>'RESUMEN TOTAL'!O201</f>
        <v>0</v>
      </c>
      <c r="H198">
        <f>'RESUMEN TOTAL'!P201</f>
        <v>0</v>
      </c>
      <c r="I198">
        <f>'RESUMEN TOTAL'!Q201</f>
        <v>0</v>
      </c>
      <c r="J198">
        <f>'RESUMEN TOTAL'!R201</f>
        <v>0</v>
      </c>
      <c r="K198">
        <f>'RESUMEN TOTAL'!S201</f>
        <v>0</v>
      </c>
      <c r="L198">
        <f>'RESUMEN TOTAL'!T201</f>
        <v>0</v>
      </c>
      <c r="M198">
        <f>'RESUMEN TOTAL'!U201</f>
        <v>0</v>
      </c>
      <c r="N198">
        <f>'RESUMEN TOTAL'!V201</f>
        <v>0</v>
      </c>
      <c r="O198">
        <f>'RESUMEN TOTAL'!W201</f>
        <v>0</v>
      </c>
      <c r="P198">
        <f>'RESUMEN TOTAL'!X201</f>
        <v>0</v>
      </c>
      <c r="Q198">
        <f>'RESUMEN TOTAL'!Y201</f>
        <v>0</v>
      </c>
      <c r="R198">
        <f>'RESUMEN TOTAL'!Z201</f>
        <v>0</v>
      </c>
      <c r="S198">
        <f>'RESUMEN TOTAL'!AA201</f>
        <v>0</v>
      </c>
      <c r="T198">
        <f>'RESUMEN TOTAL'!AB201</f>
        <v>0</v>
      </c>
      <c r="U198">
        <f>'RESUMEN TOTAL'!AC201</f>
        <v>0</v>
      </c>
      <c r="V198">
        <f>'RESUMEN TOTAL'!AD201</f>
        <v>0</v>
      </c>
      <c r="W198">
        <f>'RESUMEN TOTAL'!AE201</f>
        <v>0</v>
      </c>
      <c r="X198">
        <f>'RESUMEN TOTAL'!AF201</f>
        <v>0</v>
      </c>
      <c r="Y198">
        <f>'RESUMEN TOTAL'!AG201</f>
        <v>0</v>
      </c>
      <c r="Z198">
        <f>'RESUMEN TOTAL'!AH201</f>
        <v>0</v>
      </c>
      <c r="AA198">
        <f>'RESUMEN TOTAL'!AI201</f>
        <v>0</v>
      </c>
      <c r="AB198">
        <f>'RESUMEN TOTAL'!AJ201</f>
        <v>0</v>
      </c>
      <c r="AC198">
        <f>'RESUMEN TOTAL'!AK201</f>
        <v>0</v>
      </c>
      <c r="AD198">
        <f>'RESUMEN TOTAL'!AL201</f>
        <v>0</v>
      </c>
      <c r="AE198">
        <f>'RESUMEN TOTAL'!AM201</f>
        <v>0</v>
      </c>
      <c r="AF198">
        <f>'RESUMEN TOTAL'!AN201</f>
        <v>0</v>
      </c>
      <c r="AG198">
        <f>'RESUMEN TOTAL'!AO201</f>
        <v>0</v>
      </c>
    </row>
    <row r="199" spans="1:33" x14ac:dyDescent="0.25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TOTAL'!N202</f>
        <v>0</v>
      </c>
      <c r="G199">
        <f>'RESUMEN TOTAL'!O202</f>
        <v>0</v>
      </c>
      <c r="H199">
        <f>'RESUMEN TOTAL'!P202</f>
        <v>0</v>
      </c>
      <c r="I199">
        <f>'RESUMEN TOTAL'!Q202</f>
        <v>0</v>
      </c>
      <c r="J199">
        <f>'RESUMEN TOTAL'!R202</f>
        <v>0</v>
      </c>
      <c r="K199">
        <f>'RESUMEN TOTAL'!S202</f>
        <v>0</v>
      </c>
      <c r="L199">
        <f>'RESUMEN TOTAL'!T202</f>
        <v>0</v>
      </c>
      <c r="M199">
        <f>'RESUMEN TOTAL'!U202</f>
        <v>0</v>
      </c>
      <c r="N199">
        <f>'RESUMEN TOTAL'!V202</f>
        <v>0</v>
      </c>
      <c r="O199">
        <f>'RESUMEN TOTAL'!W202</f>
        <v>0</v>
      </c>
      <c r="P199">
        <f>'RESUMEN TOTAL'!X202</f>
        <v>0</v>
      </c>
      <c r="Q199">
        <f>'RESUMEN TOTAL'!Y202</f>
        <v>0</v>
      </c>
      <c r="R199">
        <f>'RESUMEN TOTAL'!Z202</f>
        <v>0</v>
      </c>
      <c r="S199">
        <f>'RESUMEN TOTAL'!AA202</f>
        <v>0</v>
      </c>
      <c r="T199">
        <f>'RESUMEN TOTAL'!AB202</f>
        <v>0</v>
      </c>
      <c r="U199">
        <f>'RESUMEN TOTAL'!AC202</f>
        <v>0</v>
      </c>
      <c r="V199">
        <f>'RESUMEN TOTAL'!AD202</f>
        <v>0</v>
      </c>
      <c r="W199">
        <f>'RESUMEN TOTAL'!AE202</f>
        <v>0</v>
      </c>
      <c r="X199">
        <f>'RESUMEN TOTAL'!AF202</f>
        <v>0</v>
      </c>
      <c r="Y199">
        <f>'RESUMEN TOTAL'!AG202</f>
        <v>0</v>
      </c>
      <c r="Z199">
        <f>'RESUMEN TOTAL'!AH202</f>
        <v>0</v>
      </c>
      <c r="AA199">
        <f>'RESUMEN TOTAL'!AI202</f>
        <v>0</v>
      </c>
      <c r="AB199">
        <f>'RESUMEN TOTAL'!AJ202</f>
        <v>0</v>
      </c>
      <c r="AC199">
        <f>'RESUMEN TOTAL'!AK202</f>
        <v>0</v>
      </c>
      <c r="AD199">
        <f>'RESUMEN TOTAL'!AL202</f>
        <v>0</v>
      </c>
      <c r="AE199">
        <f>'RESUMEN TOTAL'!AM202</f>
        <v>0</v>
      </c>
      <c r="AF199">
        <f>'RESUMEN TOTAL'!AN202</f>
        <v>0</v>
      </c>
      <c r="AG199">
        <f>'RESUMEN TOTAL'!AO202</f>
        <v>0</v>
      </c>
    </row>
    <row r="200" spans="1:33" x14ac:dyDescent="0.25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TOTAL'!N203</f>
        <v>0</v>
      </c>
      <c r="G200">
        <f>'RESUMEN TOTAL'!O203</f>
        <v>0</v>
      </c>
      <c r="H200">
        <f>'RESUMEN TOTAL'!P203</f>
        <v>0</v>
      </c>
      <c r="I200">
        <f>'RESUMEN TOTAL'!Q203</f>
        <v>0</v>
      </c>
      <c r="J200">
        <f>'RESUMEN TOTAL'!R203</f>
        <v>0</v>
      </c>
      <c r="K200">
        <f>'RESUMEN TOTAL'!S203</f>
        <v>0</v>
      </c>
      <c r="L200">
        <f>'RESUMEN TOTAL'!T203</f>
        <v>0</v>
      </c>
      <c r="M200">
        <f>'RESUMEN TOTAL'!U203</f>
        <v>0</v>
      </c>
      <c r="N200">
        <f>'RESUMEN TOTAL'!V203</f>
        <v>0</v>
      </c>
      <c r="O200">
        <f>'RESUMEN TOTAL'!W203</f>
        <v>0</v>
      </c>
      <c r="P200">
        <f>'RESUMEN TOTAL'!X203</f>
        <v>0</v>
      </c>
      <c r="Q200">
        <f>'RESUMEN TOTAL'!Y203</f>
        <v>0</v>
      </c>
      <c r="R200">
        <f>'RESUMEN TOTAL'!Z203</f>
        <v>0</v>
      </c>
      <c r="S200">
        <f>'RESUMEN TOTAL'!AA203</f>
        <v>0</v>
      </c>
      <c r="T200">
        <f>'RESUMEN TOTAL'!AB203</f>
        <v>0</v>
      </c>
      <c r="U200">
        <f>'RESUMEN TOTAL'!AC203</f>
        <v>0</v>
      </c>
      <c r="V200">
        <f>'RESUMEN TOTAL'!AD203</f>
        <v>0</v>
      </c>
      <c r="W200">
        <f>'RESUMEN TOTAL'!AE203</f>
        <v>0</v>
      </c>
      <c r="X200">
        <f>'RESUMEN TOTAL'!AF203</f>
        <v>0</v>
      </c>
      <c r="Y200">
        <f>'RESUMEN TOTAL'!AG203</f>
        <v>0</v>
      </c>
      <c r="Z200">
        <f>'RESUMEN TOTAL'!AH203</f>
        <v>0</v>
      </c>
      <c r="AA200">
        <f>'RESUMEN TOTAL'!AI203</f>
        <v>0</v>
      </c>
      <c r="AB200">
        <f>'RESUMEN TOTAL'!AJ203</f>
        <v>0</v>
      </c>
      <c r="AC200">
        <f>'RESUMEN TOTAL'!AK203</f>
        <v>0</v>
      </c>
      <c r="AD200">
        <f>'RESUMEN TOTAL'!AL203</f>
        <v>0</v>
      </c>
      <c r="AE200">
        <f>'RESUMEN TOTAL'!AM203</f>
        <v>0</v>
      </c>
      <c r="AF200">
        <f>'RESUMEN TOTAL'!AN203</f>
        <v>0</v>
      </c>
      <c r="AG200">
        <f>'RESUMEN TOTAL'!AO203</f>
        <v>0</v>
      </c>
    </row>
    <row r="201" spans="1:33" x14ac:dyDescent="0.25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 t="str">
        <f>'RESUMEN TOTAL'!N204</f>
        <v>APAGADO</v>
      </c>
      <c r="G201">
        <f>'RESUMEN TOTAL'!O204</f>
        <v>0</v>
      </c>
      <c r="H201">
        <f>'RESUMEN TOTAL'!P204</f>
        <v>0</v>
      </c>
      <c r="I201">
        <f>'RESUMEN TOTAL'!Q204</f>
        <v>0</v>
      </c>
      <c r="J201">
        <f>'RESUMEN TOTAL'!R204</f>
        <v>0</v>
      </c>
      <c r="K201" t="str">
        <f>'RESUMEN TOTAL'!S204</f>
        <v>APAGADO</v>
      </c>
      <c r="L201" t="str">
        <f>'RESUMEN TOTAL'!T204</f>
        <v>APAGADO</v>
      </c>
      <c r="M201">
        <f>'RESUMEN TOTAL'!U204</f>
        <v>0</v>
      </c>
      <c r="N201">
        <f>'RESUMEN TOTAL'!V204</f>
        <v>0</v>
      </c>
      <c r="O201">
        <f>'RESUMEN TOTAL'!W204</f>
        <v>0</v>
      </c>
      <c r="P201">
        <f>'RESUMEN TOTAL'!X204</f>
        <v>0</v>
      </c>
      <c r="Q201">
        <f>'RESUMEN TOTAL'!Y204</f>
        <v>0</v>
      </c>
      <c r="R201">
        <f>'RESUMEN TOTAL'!Z204</f>
        <v>0</v>
      </c>
      <c r="S201">
        <f>'RESUMEN TOTAL'!AA204</f>
        <v>0</v>
      </c>
      <c r="T201">
        <f>'RESUMEN TOTAL'!AB204</f>
        <v>0</v>
      </c>
      <c r="U201">
        <f>'RESUMEN TOTAL'!AC204</f>
        <v>0</v>
      </c>
      <c r="V201">
        <f>'RESUMEN TOTAL'!AD204</f>
        <v>0</v>
      </c>
      <c r="W201">
        <f>'RESUMEN TOTAL'!AE204</f>
        <v>0</v>
      </c>
      <c r="X201">
        <f>'RESUMEN TOTAL'!AF204</f>
        <v>0</v>
      </c>
      <c r="Y201">
        <f>'RESUMEN TOTAL'!AG204</f>
        <v>0</v>
      </c>
      <c r="Z201">
        <f>'RESUMEN TOTAL'!AH204</f>
        <v>0</v>
      </c>
      <c r="AA201">
        <f>'RESUMEN TOTAL'!AI204</f>
        <v>0</v>
      </c>
      <c r="AB201">
        <f>'RESUMEN TOTAL'!AJ204</f>
        <v>0</v>
      </c>
      <c r="AC201">
        <f>'RESUMEN TOTAL'!AK204</f>
        <v>0</v>
      </c>
      <c r="AD201">
        <f>'RESUMEN TOTAL'!AL204</f>
        <v>0</v>
      </c>
      <c r="AE201">
        <f>'RESUMEN TOTAL'!AM204</f>
        <v>0</v>
      </c>
      <c r="AF201">
        <f>'RESUMEN TOTAL'!AN204</f>
        <v>0</v>
      </c>
      <c r="AG201">
        <f>'RESUMEN TOTAL'!AO204</f>
        <v>0</v>
      </c>
    </row>
    <row r="202" spans="1:33" x14ac:dyDescent="0.25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>
        <f>'RESUMEN TOTAL'!N205</f>
        <v>0</v>
      </c>
      <c r="G202">
        <f>'RESUMEN TOTAL'!O205</f>
        <v>0</v>
      </c>
      <c r="H202">
        <f>'RESUMEN TOTAL'!P205</f>
        <v>0</v>
      </c>
      <c r="I202">
        <f>'RESUMEN TOTAL'!Q205</f>
        <v>0</v>
      </c>
      <c r="J202">
        <f>'RESUMEN TOTAL'!R205</f>
        <v>0</v>
      </c>
      <c r="K202" t="str">
        <f>'RESUMEN TOTAL'!S205</f>
        <v>APAGADO</v>
      </c>
      <c r="L202" t="str">
        <f>'RESUMEN TOTAL'!T205</f>
        <v>APAGADO</v>
      </c>
      <c r="M202">
        <f>'RESUMEN TOTAL'!U205</f>
        <v>0</v>
      </c>
      <c r="N202">
        <f>'RESUMEN TOTAL'!V205</f>
        <v>0</v>
      </c>
      <c r="O202">
        <f>'RESUMEN TOTAL'!W205</f>
        <v>0</v>
      </c>
      <c r="P202">
        <f>'RESUMEN TOTAL'!X205</f>
        <v>0</v>
      </c>
      <c r="Q202">
        <f>'RESUMEN TOTAL'!Y205</f>
        <v>0</v>
      </c>
      <c r="R202">
        <f>'RESUMEN TOTAL'!Z205</f>
        <v>0</v>
      </c>
      <c r="S202">
        <f>'RESUMEN TOTAL'!AA205</f>
        <v>0</v>
      </c>
      <c r="T202">
        <f>'RESUMEN TOTAL'!AB205</f>
        <v>0</v>
      </c>
      <c r="U202">
        <f>'RESUMEN TOTAL'!AC205</f>
        <v>0</v>
      </c>
      <c r="V202">
        <f>'RESUMEN TOTAL'!AD205</f>
        <v>0</v>
      </c>
      <c r="W202">
        <f>'RESUMEN TOTAL'!AE205</f>
        <v>0</v>
      </c>
      <c r="X202">
        <f>'RESUMEN TOTAL'!AF205</f>
        <v>0</v>
      </c>
      <c r="Y202">
        <f>'RESUMEN TOTAL'!AG205</f>
        <v>0</v>
      </c>
      <c r="Z202">
        <f>'RESUMEN TOTAL'!AH205</f>
        <v>0</v>
      </c>
      <c r="AA202">
        <f>'RESUMEN TOTAL'!AI205</f>
        <v>0</v>
      </c>
      <c r="AB202">
        <f>'RESUMEN TOTAL'!AJ205</f>
        <v>0</v>
      </c>
      <c r="AC202">
        <f>'RESUMEN TOTAL'!AK205</f>
        <v>0</v>
      </c>
      <c r="AD202">
        <f>'RESUMEN TOTAL'!AL205</f>
        <v>0</v>
      </c>
      <c r="AE202">
        <f>'RESUMEN TOTAL'!AM205</f>
        <v>0</v>
      </c>
      <c r="AF202">
        <f>'RESUMEN TOTAL'!AN205</f>
        <v>0</v>
      </c>
      <c r="AG202">
        <f>'RESUMEN TOTAL'!AO205</f>
        <v>0</v>
      </c>
    </row>
    <row r="203" spans="1:33" x14ac:dyDescent="0.25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TOTAL'!N206</f>
        <v>APAGADO</v>
      </c>
      <c r="G203" t="str">
        <f>'RESUMEN TOTAL'!O206</f>
        <v>APAGADO</v>
      </c>
      <c r="H203" t="str">
        <f>'RESUMEN TOTAL'!P206</f>
        <v>APAGADO</v>
      </c>
      <c r="I203" t="str">
        <f>'RESUMEN TOTAL'!Q206</f>
        <v>APAGADO</v>
      </c>
      <c r="J203" t="str">
        <f>'RESUMEN TOTAL'!R206</f>
        <v>APAGADO</v>
      </c>
      <c r="K203" t="str">
        <f>'RESUMEN TOTAL'!S206</f>
        <v>APAGADO</v>
      </c>
      <c r="L203" t="str">
        <f>'RESUMEN TOTAL'!T206</f>
        <v>APAGADO</v>
      </c>
      <c r="M203">
        <f>'RESUMEN TOTAL'!U206</f>
        <v>0</v>
      </c>
      <c r="N203">
        <f>'RESUMEN TOTAL'!V206</f>
        <v>0</v>
      </c>
      <c r="O203">
        <f>'RESUMEN TOTAL'!W206</f>
        <v>0</v>
      </c>
      <c r="P203">
        <f>'RESUMEN TOTAL'!X206</f>
        <v>0</v>
      </c>
      <c r="Q203">
        <f>'RESUMEN TOTAL'!Y206</f>
        <v>0</v>
      </c>
      <c r="R203">
        <f>'RESUMEN TOTAL'!Z206</f>
        <v>0</v>
      </c>
      <c r="S203">
        <f>'RESUMEN TOTAL'!AA206</f>
        <v>0</v>
      </c>
      <c r="T203">
        <f>'RESUMEN TOTAL'!AB206</f>
        <v>0</v>
      </c>
      <c r="U203">
        <f>'RESUMEN TOTAL'!AC206</f>
        <v>0</v>
      </c>
      <c r="V203">
        <f>'RESUMEN TOTAL'!AD206</f>
        <v>0</v>
      </c>
      <c r="W203">
        <f>'RESUMEN TOTAL'!AE206</f>
        <v>0</v>
      </c>
      <c r="X203">
        <f>'RESUMEN TOTAL'!AF206</f>
        <v>0</v>
      </c>
      <c r="Y203">
        <f>'RESUMEN TOTAL'!AG206</f>
        <v>0</v>
      </c>
      <c r="Z203">
        <f>'RESUMEN TOTAL'!AH206</f>
        <v>0</v>
      </c>
      <c r="AA203">
        <f>'RESUMEN TOTAL'!AI206</f>
        <v>0</v>
      </c>
      <c r="AB203">
        <f>'RESUMEN TOTAL'!AJ206</f>
        <v>0</v>
      </c>
      <c r="AC203">
        <f>'RESUMEN TOTAL'!AK206</f>
        <v>0</v>
      </c>
      <c r="AD203">
        <f>'RESUMEN TOTAL'!AL206</f>
        <v>0</v>
      </c>
      <c r="AE203">
        <f>'RESUMEN TOTAL'!AM206</f>
        <v>0</v>
      </c>
      <c r="AF203">
        <f>'RESUMEN TOTAL'!AN206</f>
        <v>0</v>
      </c>
      <c r="AG203">
        <f>'RESUMEN TOTAL'!AO206</f>
        <v>0</v>
      </c>
    </row>
    <row r="204" spans="1:33" x14ac:dyDescent="0.25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PTP A FO</v>
      </c>
      <c r="F204">
        <f>'RESUMEN TOTAL'!N207</f>
        <v>0</v>
      </c>
      <c r="G204" t="str">
        <f>'RESUMEN TOTAL'!O207</f>
        <v>APAGADO</v>
      </c>
      <c r="H204" t="str">
        <f>'RESUMEN TOTAL'!P207</f>
        <v>APAGADO</v>
      </c>
      <c r="I204">
        <f>'RESUMEN TOTAL'!Q207</f>
        <v>0</v>
      </c>
      <c r="J204">
        <f>'RESUMEN TOTAL'!R207</f>
        <v>0</v>
      </c>
      <c r="K204">
        <f>'RESUMEN TOTAL'!S207</f>
        <v>0</v>
      </c>
      <c r="L204">
        <f>'RESUMEN TOTAL'!T207</f>
        <v>0</v>
      </c>
      <c r="M204">
        <f>'RESUMEN TOTAL'!U207</f>
        <v>0</v>
      </c>
      <c r="N204">
        <f>'RESUMEN TOTAL'!V207</f>
        <v>0</v>
      </c>
      <c r="O204">
        <f>'RESUMEN TOTAL'!W207</f>
        <v>0</v>
      </c>
      <c r="P204">
        <f>'RESUMEN TOTAL'!X207</f>
        <v>0</v>
      </c>
      <c r="Q204">
        <f>'RESUMEN TOTAL'!Y207</f>
        <v>0</v>
      </c>
      <c r="R204">
        <f>'RESUMEN TOTAL'!Z207</f>
        <v>0</v>
      </c>
      <c r="S204">
        <f>'RESUMEN TOTAL'!AA207</f>
        <v>0</v>
      </c>
      <c r="T204">
        <f>'RESUMEN TOTAL'!AB207</f>
        <v>0</v>
      </c>
      <c r="U204">
        <f>'RESUMEN TOTAL'!AC207</f>
        <v>0</v>
      </c>
      <c r="V204">
        <f>'RESUMEN TOTAL'!AD207</f>
        <v>0</v>
      </c>
      <c r="W204">
        <f>'RESUMEN TOTAL'!AE207</f>
        <v>0</v>
      </c>
      <c r="X204">
        <f>'RESUMEN TOTAL'!AF207</f>
        <v>0</v>
      </c>
      <c r="Y204">
        <f>'RESUMEN TOTAL'!AG207</f>
        <v>0</v>
      </c>
      <c r="Z204">
        <f>'RESUMEN TOTAL'!AH207</f>
        <v>0</v>
      </c>
      <c r="AA204">
        <f>'RESUMEN TOTAL'!AI207</f>
        <v>0</v>
      </c>
      <c r="AB204">
        <f>'RESUMEN TOTAL'!AJ207</f>
        <v>0</v>
      </c>
      <c r="AC204">
        <f>'RESUMEN TOTAL'!AK207</f>
        <v>0</v>
      </c>
      <c r="AD204">
        <f>'RESUMEN TOTAL'!AL207</f>
        <v>0</v>
      </c>
      <c r="AE204">
        <f>'RESUMEN TOTAL'!AM207</f>
        <v>0</v>
      </c>
      <c r="AF204">
        <f>'RESUMEN TOTAL'!AN207</f>
        <v>0</v>
      </c>
      <c r="AG204">
        <f>'RESUMEN TOTAL'!AO207</f>
        <v>0</v>
      </c>
    </row>
    <row r="205" spans="1:33" x14ac:dyDescent="0.25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PTP A FO</v>
      </c>
      <c r="F205">
        <f>'RESUMEN TOTAL'!N208</f>
        <v>0</v>
      </c>
      <c r="G205" t="str">
        <f>'RESUMEN TOTAL'!O208</f>
        <v>APAGADO</v>
      </c>
      <c r="H205" t="str">
        <f>'RESUMEN TOTAL'!P208</f>
        <v>APAGADO</v>
      </c>
      <c r="I205">
        <f>'RESUMEN TOTAL'!Q208</f>
        <v>0</v>
      </c>
      <c r="J205">
        <f>'RESUMEN TOTAL'!R208</f>
        <v>0</v>
      </c>
      <c r="K205">
        <f>'RESUMEN TOTAL'!S208</f>
        <v>0</v>
      </c>
      <c r="L205">
        <f>'RESUMEN TOTAL'!T208</f>
        <v>0</v>
      </c>
      <c r="M205">
        <f>'RESUMEN TOTAL'!U208</f>
        <v>0</v>
      </c>
      <c r="N205">
        <f>'RESUMEN TOTAL'!V208</f>
        <v>0</v>
      </c>
      <c r="O205">
        <f>'RESUMEN TOTAL'!W208</f>
        <v>0</v>
      </c>
      <c r="P205">
        <f>'RESUMEN TOTAL'!X208</f>
        <v>0</v>
      </c>
      <c r="Q205">
        <f>'RESUMEN TOTAL'!Y208</f>
        <v>0</v>
      </c>
      <c r="R205">
        <f>'RESUMEN TOTAL'!Z208</f>
        <v>0</v>
      </c>
      <c r="S205">
        <f>'RESUMEN TOTAL'!AA208</f>
        <v>0</v>
      </c>
      <c r="T205">
        <f>'RESUMEN TOTAL'!AB208</f>
        <v>0</v>
      </c>
      <c r="U205">
        <f>'RESUMEN TOTAL'!AC208</f>
        <v>0</v>
      </c>
      <c r="V205">
        <f>'RESUMEN TOTAL'!AD208</f>
        <v>0</v>
      </c>
      <c r="W205">
        <f>'RESUMEN TOTAL'!AE208</f>
        <v>0</v>
      </c>
      <c r="X205">
        <f>'RESUMEN TOTAL'!AF208</f>
        <v>0</v>
      </c>
      <c r="Y205">
        <f>'RESUMEN TOTAL'!AG208</f>
        <v>0</v>
      </c>
      <c r="Z205">
        <f>'RESUMEN TOTAL'!AH208</f>
        <v>0</v>
      </c>
      <c r="AA205">
        <f>'RESUMEN TOTAL'!AI208</f>
        <v>0</v>
      </c>
      <c r="AB205">
        <f>'RESUMEN TOTAL'!AJ208</f>
        <v>0</v>
      </c>
      <c r="AC205">
        <f>'RESUMEN TOTAL'!AK208</f>
        <v>0</v>
      </c>
      <c r="AD205">
        <f>'RESUMEN TOTAL'!AL208</f>
        <v>0</v>
      </c>
      <c r="AE205">
        <f>'RESUMEN TOTAL'!AM208</f>
        <v>0</v>
      </c>
      <c r="AF205">
        <f>'RESUMEN TOTAL'!AN208</f>
        <v>0</v>
      </c>
      <c r="AG205">
        <f>'RESUMEN TOTAL'!AO208</f>
        <v>0</v>
      </c>
    </row>
    <row r="206" spans="1:33" x14ac:dyDescent="0.25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TOTAL'!N209</f>
        <v>0</v>
      </c>
      <c r="G206">
        <f>'RESUMEN TOTAL'!O209</f>
        <v>0</v>
      </c>
      <c r="H206">
        <f>'RESUMEN TOTAL'!P209</f>
        <v>0</v>
      </c>
      <c r="I206">
        <f>'RESUMEN TOTAL'!Q209</f>
        <v>0</v>
      </c>
      <c r="J206">
        <f>'RESUMEN TOTAL'!R209</f>
        <v>0</v>
      </c>
      <c r="K206">
        <f>'RESUMEN TOTAL'!S209</f>
        <v>0</v>
      </c>
      <c r="L206">
        <f>'RESUMEN TOTAL'!T209</f>
        <v>0</v>
      </c>
      <c r="M206">
        <f>'RESUMEN TOTAL'!U209</f>
        <v>0</v>
      </c>
      <c r="N206">
        <f>'RESUMEN TOTAL'!V209</f>
        <v>0</v>
      </c>
      <c r="O206">
        <f>'RESUMEN TOTAL'!W209</f>
        <v>0</v>
      </c>
      <c r="P206">
        <f>'RESUMEN TOTAL'!X209</f>
        <v>0</v>
      </c>
      <c r="Q206">
        <f>'RESUMEN TOTAL'!Y209</f>
        <v>0</v>
      </c>
      <c r="R206">
        <f>'RESUMEN TOTAL'!Z209</f>
        <v>0</v>
      </c>
      <c r="S206">
        <f>'RESUMEN TOTAL'!AA209</f>
        <v>0</v>
      </c>
      <c r="T206">
        <f>'RESUMEN TOTAL'!AB209</f>
        <v>0</v>
      </c>
      <c r="U206">
        <f>'RESUMEN TOTAL'!AC209</f>
        <v>0</v>
      </c>
      <c r="V206">
        <f>'RESUMEN TOTAL'!AD209</f>
        <v>0</v>
      </c>
      <c r="W206">
        <f>'RESUMEN TOTAL'!AE209</f>
        <v>0</v>
      </c>
      <c r="X206">
        <f>'RESUMEN TOTAL'!AF209</f>
        <v>0</v>
      </c>
      <c r="Y206">
        <f>'RESUMEN TOTAL'!AG209</f>
        <v>0</v>
      </c>
      <c r="Z206">
        <f>'RESUMEN TOTAL'!AH209</f>
        <v>0</v>
      </c>
      <c r="AA206">
        <f>'RESUMEN TOTAL'!AI209</f>
        <v>0</v>
      </c>
      <c r="AB206">
        <f>'RESUMEN TOTAL'!AJ209</f>
        <v>0</v>
      </c>
      <c r="AC206">
        <f>'RESUMEN TOTAL'!AK209</f>
        <v>0</v>
      </c>
      <c r="AD206">
        <f>'RESUMEN TOTAL'!AL209</f>
        <v>0</v>
      </c>
      <c r="AE206">
        <f>'RESUMEN TOTAL'!AM209</f>
        <v>0</v>
      </c>
      <c r="AF206">
        <f>'RESUMEN TOTAL'!AN209</f>
        <v>0</v>
      </c>
      <c r="AG206">
        <f>'RESUMEN TOTAL'!AO209</f>
        <v>0</v>
      </c>
    </row>
    <row r="207" spans="1:33" x14ac:dyDescent="0.25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TOTAL'!N210</f>
        <v>0</v>
      </c>
      <c r="G207">
        <f>'RESUMEN TOTAL'!O210</f>
        <v>0</v>
      </c>
      <c r="H207">
        <f>'RESUMEN TOTAL'!P210</f>
        <v>0</v>
      </c>
      <c r="I207">
        <f>'RESUMEN TOTAL'!Q210</f>
        <v>0</v>
      </c>
      <c r="J207">
        <f>'RESUMEN TOTAL'!R210</f>
        <v>0</v>
      </c>
      <c r="K207">
        <f>'RESUMEN TOTAL'!S210</f>
        <v>0</v>
      </c>
      <c r="L207">
        <f>'RESUMEN TOTAL'!T210</f>
        <v>0</v>
      </c>
      <c r="M207">
        <f>'RESUMEN TOTAL'!U210</f>
        <v>0</v>
      </c>
      <c r="N207">
        <f>'RESUMEN TOTAL'!V210</f>
        <v>0</v>
      </c>
      <c r="O207">
        <f>'RESUMEN TOTAL'!W210</f>
        <v>0</v>
      </c>
      <c r="P207">
        <f>'RESUMEN TOTAL'!X210</f>
        <v>0</v>
      </c>
      <c r="Q207">
        <f>'RESUMEN TOTAL'!Y210</f>
        <v>0</v>
      </c>
      <c r="R207">
        <f>'RESUMEN TOTAL'!Z210</f>
        <v>0</v>
      </c>
      <c r="S207">
        <f>'RESUMEN TOTAL'!AA210</f>
        <v>0</v>
      </c>
      <c r="T207">
        <f>'RESUMEN TOTAL'!AB210</f>
        <v>0</v>
      </c>
      <c r="U207">
        <f>'RESUMEN TOTAL'!AC210</f>
        <v>0</v>
      </c>
      <c r="V207">
        <f>'RESUMEN TOTAL'!AD210</f>
        <v>0</v>
      </c>
      <c r="W207">
        <f>'RESUMEN TOTAL'!AE210</f>
        <v>0</v>
      </c>
      <c r="X207">
        <f>'RESUMEN TOTAL'!AF210</f>
        <v>0</v>
      </c>
      <c r="Y207">
        <f>'RESUMEN TOTAL'!AG210</f>
        <v>0</v>
      </c>
      <c r="Z207">
        <f>'RESUMEN TOTAL'!AH210</f>
        <v>0</v>
      </c>
      <c r="AA207">
        <f>'RESUMEN TOTAL'!AI210</f>
        <v>0</v>
      </c>
      <c r="AB207">
        <f>'RESUMEN TOTAL'!AJ210</f>
        <v>0</v>
      </c>
      <c r="AC207">
        <f>'RESUMEN TOTAL'!AK210</f>
        <v>0</v>
      </c>
      <c r="AD207">
        <f>'RESUMEN TOTAL'!AL210</f>
        <v>0</v>
      </c>
      <c r="AE207">
        <f>'RESUMEN TOTAL'!AM210</f>
        <v>0</v>
      </c>
      <c r="AF207">
        <f>'RESUMEN TOTAL'!AN210</f>
        <v>0</v>
      </c>
      <c r="AG207">
        <f>'RESUMEN TOTAL'!AO210</f>
        <v>0</v>
      </c>
    </row>
    <row r="208" spans="1:33" x14ac:dyDescent="0.25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TOTAL'!N211</f>
        <v>0</v>
      </c>
      <c r="G208">
        <f>'RESUMEN TOTAL'!O211</f>
        <v>0</v>
      </c>
      <c r="H208">
        <f>'RESUMEN TOTAL'!P211</f>
        <v>0</v>
      </c>
      <c r="I208">
        <f>'RESUMEN TOTAL'!Q211</f>
        <v>0</v>
      </c>
      <c r="J208">
        <f>'RESUMEN TOTAL'!R211</f>
        <v>0</v>
      </c>
      <c r="K208">
        <f>'RESUMEN TOTAL'!S211</f>
        <v>0</v>
      </c>
      <c r="L208">
        <f>'RESUMEN TOTAL'!T211</f>
        <v>0</v>
      </c>
      <c r="M208">
        <f>'RESUMEN TOTAL'!U211</f>
        <v>0</v>
      </c>
      <c r="N208">
        <f>'RESUMEN TOTAL'!V211</f>
        <v>0</v>
      </c>
      <c r="O208">
        <f>'RESUMEN TOTAL'!W211</f>
        <v>0</v>
      </c>
      <c r="P208">
        <f>'RESUMEN TOTAL'!X211</f>
        <v>0</v>
      </c>
      <c r="Q208">
        <f>'RESUMEN TOTAL'!Y211</f>
        <v>0</v>
      </c>
      <c r="R208">
        <f>'RESUMEN TOTAL'!Z211</f>
        <v>0</v>
      </c>
      <c r="S208">
        <f>'RESUMEN TOTAL'!AA211</f>
        <v>0</v>
      </c>
      <c r="T208">
        <f>'RESUMEN TOTAL'!AB211</f>
        <v>0</v>
      </c>
      <c r="U208">
        <f>'RESUMEN TOTAL'!AC211</f>
        <v>0</v>
      </c>
      <c r="V208">
        <f>'RESUMEN TOTAL'!AD211</f>
        <v>0</v>
      </c>
      <c r="W208">
        <f>'RESUMEN TOTAL'!AE211</f>
        <v>0</v>
      </c>
      <c r="X208">
        <f>'RESUMEN TOTAL'!AF211</f>
        <v>0</v>
      </c>
      <c r="Y208">
        <f>'RESUMEN TOTAL'!AG211</f>
        <v>0</v>
      </c>
      <c r="Z208">
        <f>'RESUMEN TOTAL'!AH211</f>
        <v>0</v>
      </c>
      <c r="AA208">
        <f>'RESUMEN TOTAL'!AI211</f>
        <v>0</v>
      </c>
      <c r="AB208">
        <f>'RESUMEN TOTAL'!AJ211</f>
        <v>0</v>
      </c>
      <c r="AC208">
        <f>'RESUMEN TOTAL'!AK211</f>
        <v>0</v>
      </c>
      <c r="AD208">
        <f>'RESUMEN TOTAL'!AL211</f>
        <v>0</v>
      </c>
      <c r="AE208">
        <f>'RESUMEN TOTAL'!AM211</f>
        <v>0</v>
      </c>
      <c r="AF208">
        <f>'RESUMEN TOTAL'!AN211</f>
        <v>0</v>
      </c>
      <c r="AG208">
        <f>'RESUMEN TOTAL'!AO211</f>
        <v>0</v>
      </c>
    </row>
    <row r="209" spans="1:33" x14ac:dyDescent="0.25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TOTAL'!N212</f>
        <v>0</v>
      </c>
      <c r="G209">
        <f>'RESUMEN TOTAL'!O212</f>
        <v>0</v>
      </c>
      <c r="H209">
        <f>'RESUMEN TOTAL'!P212</f>
        <v>0</v>
      </c>
      <c r="I209">
        <f>'RESUMEN TOTAL'!Q212</f>
        <v>0</v>
      </c>
      <c r="J209">
        <f>'RESUMEN TOTAL'!R212</f>
        <v>0</v>
      </c>
      <c r="K209">
        <f>'RESUMEN TOTAL'!S212</f>
        <v>0</v>
      </c>
      <c r="L209">
        <f>'RESUMEN TOTAL'!T212</f>
        <v>0</v>
      </c>
      <c r="M209">
        <f>'RESUMEN TOTAL'!U212</f>
        <v>0</v>
      </c>
      <c r="N209">
        <f>'RESUMEN TOTAL'!V212</f>
        <v>0</v>
      </c>
      <c r="O209">
        <f>'RESUMEN TOTAL'!W212</f>
        <v>0</v>
      </c>
      <c r="P209">
        <f>'RESUMEN TOTAL'!X212</f>
        <v>0</v>
      </c>
      <c r="Q209">
        <f>'RESUMEN TOTAL'!Y212</f>
        <v>0</v>
      </c>
      <c r="R209">
        <f>'RESUMEN TOTAL'!Z212</f>
        <v>0</v>
      </c>
      <c r="S209">
        <f>'RESUMEN TOTAL'!AA212</f>
        <v>0</v>
      </c>
      <c r="T209">
        <f>'RESUMEN TOTAL'!AB212</f>
        <v>0</v>
      </c>
      <c r="U209">
        <f>'RESUMEN TOTAL'!AC212</f>
        <v>0</v>
      </c>
      <c r="V209">
        <f>'RESUMEN TOTAL'!AD212</f>
        <v>0</v>
      </c>
      <c r="W209">
        <f>'RESUMEN TOTAL'!AE212</f>
        <v>0</v>
      </c>
      <c r="X209">
        <f>'RESUMEN TOTAL'!AF212</f>
        <v>0</v>
      </c>
      <c r="Y209">
        <f>'RESUMEN TOTAL'!AG212</f>
        <v>0</v>
      </c>
      <c r="Z209">
        <f>'RESUMEN TOTAL'!AH212</f>
        <v>0</v>
      </c>
      <c r="AA209">
        <f>'RESUMEN TOTAL'!AI212</f>
        <v>0</v>
      </c>
      <c r="AB209">
        <f>'RESUMEN TOTAL'!AJ212</f>
        <v>0</v>
      </c>
      <c r="AC209">
        <f>'RESUMEN TOTAL'!AK212</f>
        <v>0</v>
      </c>
      <c r="AD209">
        <f>'RESUMEN TOTAL'!AL212</f>
        <v>0</v>
      </c>
      <c r="AE209">
        <f>'RESUMEN TOTAL'!AM212</f>
        <v>0</v>
      </c>
      <c r="AF209">
        <f>'RESUMEN TOTAL'!AN212</f>
        <v>0</v>
      </c>
      <c r="AG209">
        <f>'RESUMEN TOTAL'!AO212</f>
        <v>0</v>
      </c>
    </row>
    <row r="210" spans="1:33" x14ac:dyDescent="0.25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TOTAL'!N213</f>
        <v>0</v>
      </c>
      <c r="G210">
        <f>'RESUMEN TOTAL'!O213</f>
        <v>0</v>
      </c>
      <c r="H210">
        <f>'RESUMEN TOTAL'!P213</f>
        <v>0</v>
      </c>
      <c r="I210">
        <f>'RESUMEN TOTAL'!Q213</f>
        <v>0</v>
      </c>
      <c r="J210">
        <f>'RESUMEN TOTAL'!R213</f>
        <v>0</v>
      </c>
      <c r="K210">
        <f>'RESUMEN TOTAL'!S213</f>
        <v>0</v>
      </c>
      <c r="L210">
        <f>'RESUMEN TOTAL'!T213</f>
        <v>0</v>
      </c>
      <c r="M210">
        <f>'RESUMEN TOTAL'!U213</f>
        <v>0</v>
      </c>
      <c r="N210">
        <f>'RESUMEN TOTAL'!V213</f>
        <v>0</v>
      </c>
      <c r="O210">
        <f>'RESUMEN TOTAL'!W213</f>
        <v>0</v>
      </c>
      <c r="P210">
        <f>'RESUMEN TOTAL'!X213</f>
        <v>0</v>
      </c>
      <c r="Q210">
        <f>'RESUMEN TOTAL'!Y213</f>
        <v>0</v>
      </c>
      <c r="R210">
        <f>'RESUMEN TOTAL'!Z213</f>
        <v>0</v>
      </c>
      <c r="S210">
        <f>'RESUMEN TOTAL'!AA213</f>
        <v>0</v>
      </c>
      <c r="T210">
        <f>'RESUMEN TOTAL'!AB213</f>
        <v>0</v>
      </c>
      <c r="U210">
        <f>'RESUMEN TOTAL'!AC213</f>
        <v>0</v>
      </c>
      <c r="V210">
        <f>'RESUMEN TOTAL'!AD213</f>
        <v>0</v>
      </c>
      <c r="W210">
        <f>'RESUMEN TOTAL'!AE213</f>
        <v>0</v>
      </c>
      <c r="X210">
        <f>'RESUMEN TOTAL'!AF213</f>
        <v>0</v>
      </c>
      <c r="Y210">
        <f>'RESUMEN TOTAL'!AG213</f>
        <v>0</v>
      </c>
      <c r="Z210">
        <f>'RESUMEN TOTAL'!AH213</f>
        <v>0</v>
      </c>
      <c r="AA210">
        <f>'RESUMEN TOTAL'!AI213</f>
        <v>0</v>
      </c>
      <c r="AB210">
        <f>'RESUMEN TOTAL'!AJ213</f>
        <v>0</v>
      </c>
      <c r="AC210">
        <f>'RESUMEN TOTAL'!AK213</f>
        <v>0</v>
      </c>
      <c r="AD210">
        <f>'RESUMEN TOTAL'!AL213</f>
        <v>0</v>
      </c>
      <c r="AE210">
        <f>'RESUMEN TOTAL'!AM213</f>
        <v>0</v>
      </c>
      <c r="AF210">
        <f>'RESUMEN TOTAL'!AN213</f>
        <v>0</v>
      </c>
      <c r="AG210">
        <f>'RESUMEN TOTAL'!AO213</f>
        <v>0</v>
      </c>
    </row>
    <row r="211" spans="1:33" x14ac:dyDescent="0.25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TOTAL'!N214</f>
        <v>0</v>
      </c>
      <c r="G211">
        <f>'RESUMEN TOTAL'!O214</f>
        <v>0</v>
      </c>
      <c r="H211">
        <f>'RESUMEN TOTAL'!P214</f>
        <v>0</v>
      </c>
      <c r="I211">
        <f>'RESUMEN TOTAL'!Q214</f>
        <v>0</v>
      </c>
      <c r="J211">
        <f>'RESUMEN TOTAL'!R214</f>
        <v>0</v>
      </c>
      <c r="K211">
        <f>'RESUMEN TOTAL'!S214</f>
        <v>0</v>
      </c>
      <c r="L211">
        <f>'RESUMEN TOTAL'!T214</f>
        <v>0</v>
      </c>
      <c r="M211">
        <f>'RESUMEN TOTAL'!U214</f>
        <v>0</v>
      </c>
      <c r="N211">
        <f>'RESUMEN TOTAL'!V214</f>
        <v>0</v>
      </c>
      <c r="O211">
        <f>'RESUMEN TOTAL'!W214</f>
        <v>0</v>
      </c>
      <c r="P211">
        <f>'RESUMEN TOTAL'!X214</f>
        <v>0</v>
      </c>
      <c r="Q211">
        <f>'RESUMEN TOTAL'!Y214</f>
        <v>0</v>
      </c>
      <c r="R211">
        <f>'RESUMEN TOTAL'!Z214</f>
        <v>0</v>
      </c>
      <c r="S211">
        <f>'RESUMEN TOTAL'!AA214</f>
        <v>0</v>
      </c>
      <c r="T211">
        <f>'RESUMEN TOTAL'!AB214</f>
        <v>0</v>
      </c>
      <c r="U211">
        <f>'RESUMEN TOTAL'!AC214</f>
        <v>0</v>
      </c>
      <c r="V211">
        <f>'RESUMEN TOTAL'!AD214</f>
        <v>0</v>
      </c>
      <c r="W211">
        <f>'RESUMEN TOTAL'!AE214</f>
        <v>0</v>
      </c>
      <c r="X211">
        <f>'RESUMEN TOTAL'!AF214</f>
        <v>0</v>
      </c>
      <c r="Y211">
        <f>'RESUMEN TOTAL'!AG214</f>
        <v>0</v>
      </c>
      <c r="Z211">
        <f>'RESUMEN TOTAL'!AH214</f>
        <v>0</v>
      </c>
      <c r="AA211">
        <f>'RESUMEN TOTAL'!AI214</f>
        <v>0</v>
      </c>
      <c r="AB211">
        <f>'RESUMEN TOTAL'!AJ214</f>
        <v>0</v>
      </c>
      <c r="AC211">
        <f>'RESUMEN TOTAL'!AK214</f>
        <v>0</v>
      </c>
      <c r="AD211">
        <f>'RESUMEN TOTAL'!AL214</f>
        <v>0</v>
      </c>
      <c r="AE211">
        <f>'RESUMEN TOTAL'!AM214</f>
        <v>0</v>
      </c>
      <c r="AF211">
        <f>'RESUMEN TOTAL'!AN214</f>
        <v>0</v>
      </c>
      <c r="AG211">
        <f>'RESUMEN TOTAL'!AO214</f>
        <v>0</v>
      </c>
    </row>
    <row r="212" spans="1:33" x14ac:dyDescent="0.25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TOTAL'!N215</f>
        <v>0</v>
      </c>
      <c r="G212">
        <f>'RESUMEN TOTAL'!O215</f>
        <v>0</v>
      </c>
      <c r="H212">
        <f>'RESUMEN TOTAL'!P215</f>
        <v>0</v>
      </c>
      <c r="I212">
        <f>'RESUMEN TOTAL'!Q215</f>
        <v>0</v>
      </c>
      <c r="J212">
        <f>'RESUMEN TOTAL'!R215</f>
        <v>0</v>
      </c>
      <c r="K212">
        <f>'RESUMEN TOTAL'!S215</f>
        <v>0</v>
      </c>
      <c r="L212">
        <f>'RESUMEN TOTAL'!T215</f>
        <v>0</v>
      </c>
      <c r="M212">
        <f>'RESUMEN TOTAL'!U215</f>
        <v>0</v>
      </c>
      <c r="N212">
        <f>'RESUMEN TOTAL'!V215</f>
        <v>0</v>
      </c>
      <c r="O212">
        <f>'RESUMEN TOTAL'!W215</f>
        <v>0</v>
      </c>
      <c r="P212">
        <f>'RESUMEN TOTAL'!X215</f>
        <v>0</v>
      </c>
      <c r="Q212">
        <f>'RESUMEN TOTAL'!Y215</f>
        <v>0</v>
      </c>
      <c r="R212">
        <f>'RESUMEN TOTAL'!Z215</f>
        <v>0</v>
      </c>
      <c r="S212">
        <f>'RESUMEN TOTAL'!AA215</f>
        <v>0</v>
      </c>
      <c r="T212">
        <f>'RESUMEN TOTAL'!AB215</f>
        <v>0</v>
      </c>
      <c r="U212">
        <f>'RESUMEN TOTAL'!AC215</f>
        <v>0</v>
      </c>
      <c r="V212">
        <f>'RESUMEN TOTAL'!AD215</f>
        <v>0</v>
      </c>
      <c r="W212">
        <f>'RESUMEN TOTAL'!AE215</f>
        <v>0</v>
      </c>
      <c r="X212">
        <f>'RESUMEN TOTAL'!AF215</f>
        <v>0</v>
      </c>
      <c r="Y212">
        <f>'RESUMEN TOTAL'!AG215</f>
        <v>0</v>
      </c>
      <c r="Z212">
        <f>'RESUMEN TOTAL'!AH215</f>
        <v>0</v>
      </c>
      <c r="AA212">
        <f>'RESUMEN TOTAL'!AI215</f>
        <v>0</v>
      </c>
      <c r="AB212">
        <f>'RESUMEN TOTAL'!AJ215</f>
        <v>0</v>
      </c>
      <c r="AC212">
        <f>'RESUMEN TOTAL'!AK215</f>
        <v>0</v>
      </c>
      <c r="AD212">
        <f>'RESUMEN TOTAL'!AL215</f>
        <v>0</v>
      </c>
      <c r="AE212">
        <f>'RESUMEN TOTAL'!AM215</f>
        <v>0</v>
      </c>
      <c r="AF212">
        <f>'RESUMEN TOTAL'!AN215</f>
        <v>0</v>
      </c>
      <c r="AG212">
        <f>'RESUMEN TOTAL'!AO215</f>
        <v>0</v>
      </c>
    </row>
    <row r="213" spans="1:33" x14ac:dyDescent="0.25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TOTAL'!N216</f>
        <v>0</v>
      </c>
      <c r="G213">
        <f>'RESUMEN TOTAL'!O216</f>
        <v>0</v>
      </c>
      <c r="H213">
        <f>'RESUMEN TOTAL'!P216</f>
        <v>0</v>
      </c>
      <c r="I213">
        <f>'RESUMEN TOTAL'!Q216</f>
        <v>0</v>
      </c>
      <c r="J213">
        <f>'RESUMEN TOTAL'!R216</f>
        <v>0</v>
      </c>
      <c r="K213">
        <f>'RESUMEN TOTAL'!S216</f>
        <v>0</v>
      </c>
      <c r="L213">
        <f>'RESUMEN TOTAL'!T216</f>
        <v>0</v>
      </c>
      <c r="M213">
        <f>'RESUMEN TOTAL'!U216</f>
        <v>0</v>
      </c>
      <c r="N213">
        <f>'RESUMEN TOTAL'!V216</f>
        <v>0</v>
      </c>
      <c r="O213">
        <f>'RESUMEN TOTAL'!W216</f>
        <v>0</v>
      </c>
      <c r="P213">
        <f>'RESUMEN TOTAL'!X216</f>
        <v>0</v>
      </c>
      <c r="Q213">
        <f>'RESUMEN TOTAL'!Y216</f>
        <v>0</v>
      </c>
      <c r="R213">
        <f>'RESUMEN TOTAL'!Z216</f>
        <v>0</v>
      </c>
      <c r="S213">
        <f>'RESUMEN TOTAL'!AA216</f>
        <v>0</v>
      </c>
      <c r="T213">
        <f>'RESUMEN TOTAL'!AB216</f>
        <v>0</v>
      </c>
      <c r="U213">
        <f>'RESUMEN TOTAL'!AC216</f>
        <v>0</v>
      </c>
      <c r="V213">
        <f>'RESUMEN TOTAL'!AD216</f>
        <v>0</v>
      </c>
      <c r="W213">
        <f>'RESUMEN TOTAL'!AE216</f>
        <v>0</v>
      </c>
      <c r="X213">
        <f>'RESUMEN TOTAL'!AF216</f>
        <v>0</v>
      </c>
      <c r="Y213">
        <f>'RESUMEN TOTAL'!AG216</f>
        <v>0</v>
      </c>
      <c r="Z213">
        <f>'RESUMEN TOTAL'!AH216</f>
        <v>0</v>
      </c>
      <c r="AA213">
        <f>'RESUMEN TOTAL'!AI216</f>
        <v>0</v>
      </c>
      <c r="AB213">
        <f>'RESUMEN TOTAL'!AJ216</f>
        <v>0</v>
      </c>
      <c r="AC213">
        <f>'RESUMEN TOTAL'!AK216</f>
        <v>0</v>
      </c>
      <c r="AD213">
        <f>'RESUMEN TOTAL'!AL216</f>
        <v>0</v>
      </c>
      <c r="AE213">
        <f>'RESUMEN TOTAL'!AM216</f>
        <v>0</v>
      </c>
      <c r="AF213">
        <f>'RESUMEN TOTAL'!AN216</f>
        <v>0</v>
      </c>
      <c r="AG213">
        <f>'RESUMEN TOTAL'!AO216</f>
        <v>0</v>
      </c>
    </row>
    <row r="214" spans="1:33" x14ac:dyDescent="0.25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TOTAL'!N217</f>
        <v>0</v>
      </c>
      <c r="G214">
        <f>'RESUMEN TOTAL'!O217</f>
        <v>0</v>
      </c>
      <c r="H214">
        <f>'RESUMEN TOTAL'!P217</f>
        <v>0</v>
      </c>
      <c r="I214">
        <f>'RESUMEN TOTAL'!Q217</f>
        <v>0</v>
      </c>
      <c r="J214">
        <f>'RESUMEN TOTAL'!R217</f>
        <v>0</v>
      </c>
      <c r="K214">
        <f>'RESUMEN TOTAL'!S217</f>
        <v>0</v>
      </c>
      <c r="L214">
        <f>'RESUMEN TOTAL'!T217</f>
        <v>0</v>
      </c>
      <c r="M214">
        <f>'RESUMEN TOTAL'!U217</f>
        <v>0</v>
      </c>
      <c r="N214">
        <f>'RESUMEN TOTAL'!V217</f>
        <v>0</v>
      </c>
      <c r="O214">
        <f>'RESUMEN TOTAL'!W217</f>
        <v>0</v>
      </c>
      <c r="P214">
        <f>'RESUMEN TOTAL'!X217</f>
        <v>0</v>
      </c>
      <c r="Q214">
        <f>'RESUMEN TOTAL'!Y217</f>
        <v>0</v>
      </c>
      <c r="R214">
        <f>'RESUMEN TOTAL'!Z217</f>
        <v>0</v>
      </c>
      <c r="S214">
        <f>'RESUMEN TOTAL'!AA217</f>
        <v>0</v>
      </c>
      <c r="T214">
        <f>'RESUMEN TOTAL'!AB217</f>
        <v>0</v>
      </c>
      <c r="U214">
        <f>'RESUMEN TOTAL'!AC217</f>
        <v>0</v>
      </c>
      <c r="V214">
        <f>'RESUMEN TOTAL'!AD217</f>
        <v>0</v>
      </c>
      <c r="W214">
        <f>'RESUMEN TOTAL'!AE217</f>
        <v>0</v>
      </c>
      <c r="X214">
        <f>'RESUMEN TOTAL'!AF217</f>
        <v>0</v>
      </c>
      <c r="Y214">
        <f>'RESUMEN TOTAL'!AG217</f>
        <v>0</v>
      </c>
      <c r="Z214">
        <f>'RESUMEN TOTAL'!AH217</f>
        <v>0</v>
      </c>
      <c r="AA214">
        <f>'RESUMEN TOTAL'!AI217</f>
        <v>0</v>
      </c>
      <c r="AB214">
        <f>'RESUMEN TOTAL'!AJ217</f>
        <v>0</v>
      </c>
      <c r="AC214">
        <f>'RESUMEN TOTAL'!AK217</f>
        <v>0</v>
      </c>
      <c r="AD214">
        <f>'RESUMEN TOTAL'!AL217</f>
        <v>0</v>
      </c>
      <c r="AE214">
        <f>'RESUMEN TOTAL'!AM217</f>
        <v>0</v>
      </c>
      <c r="AF214">
        <f>'RESUMEN TOTAL'!AN217</f>
        <v>0</v>
      </c>
      <c r="AG214">
        <f>'RESUMEN TOTAL'!AO217</f>
        <v>0</v>
      </c>
    </row>
    <row r="215" spans="1:33" x14ac:dyDescent="0.25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TOTAL'!N218</f>
        <v>0</v>
      </c>
      <c r="G215">
        <f>'RESUMEN TOTAL'!O218</f>
        <v>0</v>
      </c>
      <c r="H215">
        <f>'RESUMEN TOTAL'!P218</f>
        <v>0</v>
      </c>
      <c r="I215">
        <f>'RESUMEN TOTAL'!Q218</f>
        <v>0</v>
      </c>
      <c r="J215">
        <f>'RESUMEN TOTAL'!R218</f>
        <v>0</v>
      </c>
      <c r="K215">
        <f>'RESUMEN TOTAL'!S218</f>
        <v>0</v>
      </c>
      <c r="L215">
        <f>'RESUMEN TOTAL'!T218</f>
        <v>0</v>
      </c>
      <c r="M215">
        <f>'RESUMEN TOTAL'!U218</f>
        <v>0</v>
      </c>
      <c r="N215">
        <f>'RESUMEN TOTAL'!V218</f>
        <v>0</v>
      </c>
      <c r="O215">
        <f>'RESUMEN TOTAL'!W218</f>
        <v>0</v>
      </c>
      <c r="P215">
        <f>'RESUMEN TOTAL'!X218</f>
        <v>0</v>
      </c>
      <c r="Q215">
        <f>'RESUMEN TOTAL'!Y218</f>
        <v>0</v>
      </c>
      <c r="R215">
        <f>'RESUMEN TOTAL'!Z218</f>
        <v>0</v>
      </c>
      <c r="S215">
        <f>'RESUMEN TOTAL'!AA218</f>
        <v>0</v>
      </c>
      <c r="T215">
        <f>'RESUMEN TOTAL'!AB218</f>
        <v>0</v>
      </c>
      <c r="U215">
        <f>'RESUMEN TOTAL'!AC218</f>
        <v>0</v>
      </c>
      <c r="V215">
        <f>'RESUMEN TOTAL'!AD218</f>
        <v>0</v>
      </c>
      <c r="W215">
        <f>'RESUMEN TOTAL'!AE218</f>
        <v>0</v>
      </c>
      <c r="X215">
        <f>'RESUMEN TOTAL'!AF218</f>
        <v>0</v>
      </c>
      <c r="Y215">
        <f>'RESUMEN TOTAL'!AG218</f>
        <v>0</v>
      </c>
      <c r="Z215">
        <f>'RESUMEN TOTAL'!AH218</f>
        <v>0</v>
      </c>
      <c r="AA215">
        <f>'RESUMEN TOTAL'!AI218</f>
        <v>0</v>
      </c>
      <c r="AB215">
        <f>'RESUMEN TOTAL'!AJ218</f>
        <v>0</v>
      </c>
      <c r="AC215">
        <f>'RESUMEN TOTAL'!AK218</f>
        <v>0</v>
      </c>
      <c r="AD215">
        <f>'RESUMEN TOTAL'!AL218</f>
        <v>0</v>
      </c>
      <c r="AE215">
        <f>'RESUMEN TOTAL'!AM218</f>
        <v>0</v>
      </c>
      <c r="AF215">
        <f>'RESUMEN TOTAL'!AN218</f>
        <v>0</v>
      </c>
      <c r="AG215">
        <f>'RESUMEN TOTAL'!AO218</f>
        <v>0</v>
      </c>
    </row>
    <row r="216" spans="1:33" x14ac:dyDescent="0.25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TOTAL'!N219</f>
        <v>0</v>
      </c>
      <c r="G216">
        <f>'RESUMEN TOTAL'!O219</f>
        <v>0</v>
      </c>
      <c r="H216">
        <f>'RESUMEN TOTAL'!P219</f>
        <v>0</v>
      </c>
      <c r="I216">
        <f>'RESUMEN TOTAL'!Q219</f>
        <v>0</v>
      </c>
      <c r="J216">
        <f>'RESUMEN TOTAL'!R219</f>
        <v>0</v>
      </c>
      <c r="K216">
        <f>'RESUMEN TOTAL'!S219</f>
        <v>0</v>
      </c>
      <c r="L216">
        <f>'RESUMEN TOTAL'!T219</f>
        <v>0</v>
      </c>
      <c r="M216">
        <f>'RESUMEN TOTAL'!U219</f>
        <v>0</v>
      </c>
      <c r="N216">
        <f>'RESUMEN TOTAL'!V219</f>
        <v>0</v>
      </c>
      <c r="O216">
        <f>'RESUMEN TOTAL'!W219</f>
        <v>0</v>
      </c>
      <c r="P216">
        <f>'RESUMEN TOTAL'!X219</f>
        <v>0</v>
      </c>
      <c r="Q216">
        <f>'RESUMEN TOTAL'!Y219</f>
        <v>0</v>
      </c>
      <c r="R216">
        <f>'RESUMEN TOTAL'!Z219</f>
        <v>0</v>
      </c>
      <c r="S216">
        <f>'RESUMEN TOTAL'!AA219</f>
        <v>0</v>
      </c>
      <c r="T216">
        <f>'RESUMEN TOTAL'!AB219</f>
        <v>0</v>
      </c>
      <c r="U216">
        <f>'RESUMEN TOTAL'!AC219</f>
        <v>0</v>
      </c>
      <c r="V216">
        <f>'RESUMEN TOTAL'!AD219</f>
        <v>0</v>
      </c>
      <c r="W216">
        <f>'RESUMEN TOTAL'!AE219</f>
        <v>0</v>
      </c>
      <c r="X216">
        <f>'RESUMEN TOTAL'!AF219</f>
        <v>0</v>
      </c>
      <c r="Y216">
        <f>'RESUMEN TOTAL'!AG219</f>
        <v>0</v>
      </c>
      <c r="Z216">
        <f>'RESUMEN TOTAL'!AH219</f>
        <v>0</v>
      </c>
      <c r="AA216">
        <f>'RESUMEN TOTAL'!AI219</f>
        <v>0</v>
      </c>
      <c r="AB216">
        <f>'RESUMEN TOTAL'!AJ219</f>
        <v>0</v>
      </c>
      <c r="AC216">
        <f>'RESUMEN TOTAL'!AK219</f>
        <v>0</v>
      </c>
      <c r="AD216">
        <f>'RESUMEN TOTAL'!AL219</f>
        <v>0</v>
      </c>
      <c r="AE216">
        <f>'RESUMEN TOTAL'!AM219</f>
        <v>0</v>
      </c>
      <c r="AF216">
        <f>'RESUMEN TOTAL'!AN219</f>
        <v>0</v>
      </c>
      <c r="AG216">
        <f>'RESUMEN TOTAL'!AO219</f>
        <v>0</v>
      </c>
    </row>
    <row r="217" spans="1:33" x14ac:dyDescent="0.25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TOTAL'!N220</f>
        <v>0</v>
      </c>
      <c r="G217">
        <f>'RESUMEN TOTAL'!O220</f>
        <v>0</v>
      </c>
      <c r="H217">
        <f>'RESUMEN TOTAL'!P220</f>
        <v>0</v>
      </c>
      <c r="I217">
        <f>'RESUMEN TOTAL'!Q220</f>
        <v>0</v>
      </c>
      <c r="J217">
        <f>'RESUMEN TOTAL'!R220</f>
        <v>0</v>
      </c>
      <c r="K217">
        <f>'RESUMEN TOTAL'!S220</f>
        <v>0</v>
      </c>
      <c r="L217">
        <f>'RESUMEN TOTAL'!T220</f>
        <v>0</v>
      </c>
      <c r="M217">
        <f>'RESUMEN TOTAL'!U220</f>
        <v>0</v>
      </c>
      <c r="N217">
        <f>'RESUMEN TOTAL'!V220</f>
        <v>0</v>
      </c>
      <c r="O217">
        <f>'RESUMEN TOTAL'!W220</f>
        <v>0</v>
      </c>
      <c r="P217">
        <f>'RESUMEN TOTAL'!X220</f>
        <v>0</v>
      </c>
      <c r="Q217">
        <f>'RESUMEN TOTAL'!Y220</f>
        <v>0</v>
      </c>
      <c r="R217">
        <f>'RESUMEN TOTAL'!Z220</f>
        <v>0</v>
      </c>
      <c r="S217">
        <f>'RESUMEN TOTAL'!AA220</f>
        <v>0</v>
      </c>
      <c r="T217">
        <f>'RESUMEN TOTAL'!AB220</f>
        <v>0</v>
      </c>
      <c r="U217">
        <f>'RESUMEN TOTAL'!AC220</f>
        <v>0</v>
      </c>
      <c r="V217">
        <f>'RESUMEN TOTAL'!AD220</f>
        <v>0</v>
      </c>
      <c r="W217">
        <f>'RESUMEN TOTAL'!AE220</f>
        <v>0</v>
      </c>
      <c r="X217">
        <f>'RESUMEN TOTAL'!AF220</f>
        <v>0</v>
      </c>
      <c r="Y217">
        <f>'RESUMEN TOTAL'!AG220</f>
        <v>0</v>
      </c>
      <c r="Z217">
        <f>'RESUMEN TOTAL'!AH220</f>
        <v>0</v>
      </c>
      <c r="AA217">
        <f>'RESUMEN TOTAL'!AI220</f>
        <v>0</v>
      </c>
      <c r="AB217">
        <f>'RESUMEN TOTAL'!AJ220</f>
        <v>0</v>
      </c>
      <c r="AC217">
        <f>'RESUMEN TOTAL'!AK220</f>
        <v>0</v>
      </c>
      <c r="AD217">
        <f>'RESUMEN TOTAL'!AL220</f>
        <v>0</v>
      </c>
      <c r="AE217">
        <f>'RESUMEN TOTAL'!AM220</f>
        <v>0</v>
      </c>
      <c r="AF217">
        <f>'RESUMEN TOTAL'!AN220</f>
        <v>0</v>
      </c>
      <c r="AG217">
        <f>'RESUMEN TOTAL'!AO220</f>
        <v>0</v>
      </c>
    </row>
    <row r="218" spans="1:33" x14ac:dyDescent="0.25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TOTAL'!N221</f>
        <v>0</v>
      </c>
      <c r="G218">
        <f>'RESUMEN TOTAL'!O221</f>
        <v>0</v>
      </c>
      <c r="H218">
        <f>'RESUMEN TOTAL'!P221</f>
        <v>0</v>
      </c>
      <c r="I218">
        <f>'RESUMEN TOTAL'!Q221</f>
        <v>0</v>
      </c>
      <c r="J218">
        <f>'RESUMEN TOTAL'!R221</f>
        <v>0</v>
      </c>
      <c r="K218">
        <f>'RESUMEN TOTAL'!S221</f>
        <v>0</v>
      </c>
      <c r="L218">
        <f>'RESUMEN TOTAL'!T221</f>
        <v>0</v>
      </c>
      <c r="M218">
        <f>'RESUMEN TOTAL'!U221</f>
        <v>0</v>
      </c>
      <c r="N218">
        <f>'RESUMEN TOTAL'!V221</f>
        <v>0</v>
      </c>
      <c r="O218">
        <f>'RESUMEN TOTAL'!W221</f>
        <v>0</v>
      </c>
      <c r="P218">
        <f>'RESUMEN TOTAL'!X221</f>
        <v>0</v>
      </c>
      <c r="Q218">
        <f>'RESUMEN TOTAL'!Y221</f>
        <v>0</v>
      </c>
      <c r="R218">
        <f>'RESUMEN TOTAL'!Z221</f>
        <v>0</v>
      </c>
      <c r="S218">
        <f>'RESUMEN TOTAL'!AA221</f>
        <v>0</v>
      </c>
      <c r="T218">
        <f>'RESUMEN TOTAL'!AB221</f>
        <v>0</v>
      </c>
      <c r="U218">
        <f>'RESUMEN TOTAL'!AC221</f>
        <v>0</v>
      </c>
      <c r="V218">
        <f>'RESUMEN TOTAL'!AD221</f>
        <v>0</v>
      </c>
      <c r="W218">
        <f>'RESUMEN TOTAL'!AE221</f>
        <v>0</v>
      </c>
      <c r="X218">
        <f>'RESUMEN TOTAL'!AF221</f>
        <v>0</v>
      </c>
      <c r="Y218">
        <f>'RESUMEN TOTAL'!AG221</f>
        <v>0</v>
      </c>
      <c r="Z218">
        <f>'RESUMEN TOTAL'!AH221</f>
        <v>0</v>
      </c>
      <c r="AA218">
        <f>'RESUMEN TOTAL'!AI221</f>
        <v>0</v>
      </c>
      <c r="AB218">
        <f>'RESUMEN TOTAL'!AJ221</f>
        <v>0</v>
      </c>
      <c r="AC218">
        <f>'RESUMEN TOTAL'!AK221</f>
        <v>0</v>
      </c>
      <c r="AD218">
        <f>'RESUMEN TOTAL'!AL221</f>
        <v>0</v>
      </c>
      <c r="AE218">
        <f>'RESUMEN TOTAL'!AM221</f>
        <v>0</v>
      </c>
      <c r="AF218">
        <f>'RESUMEN TOTAL'!AN221</f>
        <v>0</v>
      </c>
      <c r="AG218">
        <f>'RESUMEN TOTAL'!AO221</f>
        <v>0</v>
      </c>
    </row>
    <row r="219" spans="1:33" x14ac:dyDescent="0.25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TOTAL'!N222</f>
        <v>0</v>
      </c>
      <c r="G219">
        <f>'RESUMEN TOTAL'!O222</f>
        <v>0</v>
      </c>
      <c r="H219">
        <f>'RESUMEN TOTAL'!P222</f>
        <v>0</v>
      </c>
      <c r="I219">
        <f>'RESUMEN TOTAL'!Q222</f>
        <v>0</v>
      </c>
      <c r="J219">
        <f>'RESUMEN TOTAL'!R222</f>
        <v>0</v>
      </c>
      <c r="K219">
        <f>'RESUMEN TOTAL'!S222</f>
        <v>0</v>
      </c>
      <c r="L219">
        <f>'RESUMEN TOTAL'!T222</f>
        <v>0</v>
      </c>
      <c r="M219">
        <f>'RESUMEN TOTAL'!U222</f>
        <v>0</v>
      </c>
      <c r="N219">
        <f>'RESUMEN TOTAL'!V222</f>
        <v>0</v>
      </c>
      <c r="O219">
        <f>'RESUMEN TOTAL'!W222</f>
        <v>0</v>
      </c>
      <c r="P219">
        <f>'RESUMEN TOTAL'!X222</f>
        <v>0</v>
      </c>
      <c r="Q219">
        <f>'RESUMEN TOTAL'!Y222</f>
        <v>0</v>
      </c>
      <c r="R219">
        <f>'RESUMEN TOTAL'!Z222</f>
        <v>0</v>
      </c>
      <c r="S219">
        <f>'RESUMEN TOTAL'!AA222</f>
        <v>0</v>
      </c>
      <c r="T219">
        <f>'RESUMEN TOTAL'!AB222</f>
        <v>0</v>
      </c>
      <c r="U219">
        <f>'RESUMEN TOTAL'!AC222</f>
        <v>0</v>
      </c>
      <c r="V219">
        <f>'RESUMEN TOTAL'!AD222</f>
        <v>0</v>
      </c>
      <c r="W219">
        <f>'RESUMEN TOTAL'!AE222</f>
        <v>0</v>
      </c>
      <c r="X219">
        <f>'RESUMEN TOTAL'!AF222</f>
        <v>0</v>
      </c>
      <c r="Y219">
        <f>'RESUMEN TOTAL'!AG222</f>
        <v>0</v>
      </c>
      <c r="Z219">
        <f>'RESUMEN TOTAL'!AH222</f>
        <v>0</v>
      </c>
      <c r="AA219">
        <f>'RESUMEN TOTAL'!AI222</f>
        <v>0</v>
      </c>
      <c r="AB219">
        <f>'RESUMEN TOTAL'!AJ222</f>
        <v>0</v>
      </c>
      <c r="AC219">
        <f>'RESUMEN TOTAL'!AK222</f>
        <v>0</v>
      </c>
      <c r="AD219">
        <f>'RESUMEN TOTAL'!AL222</f>
        <v>0</v>
      </c>
      <c r="AE219">
        <f>'RESUMEN TOTAL'!AM222</f>
        <v>0</v>
      </c>
      <c r="AF219">
        <f>'RESUMEN TOTAL'!AN222</f>
        <v>0</v>
      </c>
      <c r="AG219">
        <f>'RESUMEN TOTAL'!AO222</f>
        <v>0</v>
      </c>
    </row>
    <row r="220" spans="1:33" x14ac:dyDescent="0.25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TOTAL'!N223</f>
        <v>0</v>
      </c>
      <c r="G220">
        <f>'RESUMEN TOTAL'!O223</f>
        <v>0</v>
      </c>
      <c r="H220">
        <f>'RESUMEN TOTAL'!P223</f>
        <v>0</v>
      </c>
      <c r="I220">
        <f>'RESUMEN TOTAL'!Q223</f>
        <v>0</v>
      </c>
      <c r="J220">
        <f>'RESUMEN TOTAL'!R223</f>
        <v>0</v>
      </c>
      <c r="K220">
        <f>'RESUMEN TOTAL'!S223</f>
        <v>0</v>
      </c>
      <c r="L220">
        <f>'RESUMEN TOTAL'!T223</f>
        <v>0</v>
      </c>
      <c r="M220">
        <f>'RESUMEN TOTAL'!U223</f>
        <v>0</v>
      </c>
      <c r="N220">
        <f>'RESUMEN TOTAL'!V223</f>
        <v>0</v>
      </c>
      <c r="O220">
        <f>'RESUMEN TOTAL'!W223</f>
        <v>0</v>
      </c>
      <c r="P220">
        <f>'RESUMEN TOTAL'!X223</f>
        <v>0</v>
      </c>
      <c r="Q220">
        <f>'RESUMEN TOTAL'!Y223</f>
        <v>0</v>
      </c>
      <c r="R220">
        <f>'RESUMEN TOTAL'!Z223</f>
        <v>0</v>
      </c>
      <c r="S220">
        <f>'RESUMEN TOTAL'!AA223</f>
        <v>0</v>
      </c>
      <c r="T220">
        <f>'RESUMEN TOTAL'!AB223</f>
        <v>0</v>
      </c>
      <c r="U220">
        <f>'RESUMEN TOTAL'!AC223</f>
        <v>0</v>
      </c>
      <c r="V220">
        <f>'RESUMEN TOTAL'!AD223</f>
        <v>0</v>
      </c>
      <c r="W220">
        <f>'RESUMEN TOTAL'!AE223</f>
        <v>0</v>
      </c>
      <c r="X220">
        <f>'RESUMEN TOTAL'!AF223</f>
        <v>0</v>
      </c>
      <c r="Y220">
        <f>'RESUMEN TOTAL'!AG223</f>
        <v>0</v>
      </c>
      <c r="Z220">
        <f>'RESUMEN TOTAL'!AH223</f>
        <v>0</v>
      </c>
      <c r="AA220">
        <f>'RESUMEN TOTAL'!AI223</f>
        <v>0</v>
      </c>
      <c r="AB220">
        <f>'RESUMEN TOTAL'!AJ223</f>
        <v>0</v>
      </c>
      <c r="AC220">
        <f>'RESUMEN TOTAL'!AK223</f>
        <v>0</v>
      </c>
      <c r="AD220">
        <f>'RESUMEN TOTAL'!AL223</f>
        <v>0</v>
      </c>
      <c r="AE220">
        <f>'RESUMEN TOTAL'!AM223</f>
        <v>0</v>
      </c>
      <c r="AF220">
        <f>'RESUMEN TOTAL'!AN223</f>
        <v>0</v>
      </c>
      <c r="AG220">
        <f>'RESUMEN TOTAL'!AO223</f>
        <v>0</v>
      </c>
    </row>
    <row r="221" spans="1:33" x14ac:dyDescent="0.25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TOTAL'!N224</f>
        <v>APAGADO</v>
      </c>
      <c r="G221" t="str">
        <f>'RESUMEN TOTAL'!O224</f>
        <v>APAGADO</v>
      </c>
      <c r="H221" t="str">
        <f>'RESUMEN TOTAL'!P224</f>
        <v>APAGADO</v>
      </c>
      <c r="I221" t="str">
        <f>'RESUMEN TOTAL'!Q224</f>
        <v>APAGADO</v>
      </c>
      <c r="J221" t="str">
        <f>'RESUMEN TOTAL'!R224</f>
        <v>APAGADO</v>
      </c>
      <c r="K221" t="str">
        <f>'RESUMEN TOTAL'!S224</f>
        <v>APAGADO</v>
      </c>
      <c r="L221" t="str">
        <f>'RESUMEN TOTAL'!T224</f>
        <v>APAGADO</v>
      </c>
      <c r="M221">
        <f>'RESUMEN TOTAL'!U224</f>
        <v>0</v>
      </c>
      <c r="N221">
        <f>'RESUMEN TOTAL'!V224</f>
        <v>0</v>
      </c>
      <c r="O221">
        <f>'RESUMEN TOTAL'!W224</f>
        <v>0</v>
      </c>
      <c r="P221">
        <f>'RESUMEN TOTAL'!X224</f>
        <v>0</v>
      </c>
      <c r="Q221">
        <f>'RESUMEN TOTAL'!Y224</f>
        <v>0</v>
      </c>
      <c r="R221">
        <f>'RESUMEN TOTAL'!Z224</f>
        <v>0</v>
      </c>
      <c r="S221">
        <f>'RESUMEN TOTAL'!AA224</f>
        <v>0</v>
      </c>
      <c r="T221">
        <f>'RESUMEN TOTAL'!AB224</f>
        <v>0</v>
      </c>
      <c r="U221">
        <f>'RESUMEN TOTAL'!AC224</f>
        <v>0</v>
      </c>
      <c r="V221">
        <f>'RESUMEN TOTAL'!AD224</f>
        <v>0</v>
      </c>
      <c r="W221">
        <f>'RESUMEN TOTAL'!AE224</f>
        <v>0</v>
      </c>
      <c r="X221">
        <f>'RESUMEN TOTAL'!AF224</f>
        <v>0</v>
      </c>
      <c r="Y221">
        <f>'RESUMEN TOTAL'!AG224</f>
        <v>0</v>
      </c>
      <c r="Z221">
        <f>'RESUMEN TOTAL'!AH224</f>
        <v>0</v>
      </c>
      <c r="AA221">
        <f>'RESUMEN TOTAL'!AI224</f>
        <v>0</v>
      </c>
      <c r="AB221">
        <f>'RESUMEN TOTAL'!AJ224</f>
        <v>0</v>
      </c>
      <c r="AC221">
        <f>'RESUMEN TOTAL'!AK224</f>
        <v>0</v>
      </c>
      <c r="AD221">
        <f>'RESUMEN TOTAL'!AL224</f>
        <v>0</v>
      </c>
      <c r="AE221">
        <f>'RESUMEN TOTAL'!AM224</f>
        <v>0</v>
      </c>
      <c r="AF221">
        <f>'RESUMEN TOTAL'!AN224</f>
        <v>0</v>
      </c>
      <c r="AG221">
        <f>'RESUMEN TOTAL'!AO224</f>
        <v>0</v>
      </c>
    </row>
    <row r="222" spans="1:33" x14ac:dyDescent="0.25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TOTAL'!N225</f>
        <v>0</v>
      </c>
      <c r="G222">
        <f>'RESUMEN TOTAL'!O225</f>
        <v>0</v>
      </c>
      <c r="H222">
        <f>'RESUMEN TOTAL'!P225</f>
        <v>0</v>
      </c>
      <c r="I222">
        <f>'RESUMEN TOTAL'!Q225</f>
        <v>0</v>
      </c>
      <c r="J222">
        <f>'RESUMEN TOTAL'!R225</f>
        <v>0</v>
      </c>
      <c r="K222">
        <f>'RESUMEN TOTAL'!S225</f>
        <v>0</v>
      </c>
      <c r="L222">
        <f>'RESUMEN TOTAL'!T225</f>
        <v>0</v>
      </c>
      <c r="M222">
        <f>'RESUMEN TOTAL'!U225</f>
        <v>0</v>
      </c>
      <c r="N222">
        <f>'RESUMEN TOTAL'!V225</f>
        <v>0</v>
      </c>
      <c r="O222">
        <f>'RESUMEN TOTAL'!W225</f>
        <v>0</v>
      </c>
      <c r="P222">
        <f>'RESUMEN TOTAL'!X225</f>
        <v>0</v>
      </c>
      <c r="Q222">
        <f>'RESUMEN TOTAL'!Y225</f>
        <v>0</v>
      </c>
      <c r="R222">
        <f>'RESUMEN TOTAL'!Z225</f>
        <v>0</v>
      </c>
      <c r="S222">
        <f>'RESUMEN TOTAL'!AA225</f>
        <v>0</v>
      </c>
      <c r="T222">
        <f>'RESUMEN TOTAL'!AB225</f>
        <v>0</v>
      </c>
      <c r="U222">
        <f>'RESUMEN TOTAL'!AC225</f>
        <v>0</v>
      </c>
      <c r="V222">
        <f>'RESUMEN TOTAL'!AD225</f>
        <v>0</v>
      </c>
      <c r="W222">
        <f>'RESUMEN TOTAL'!AE225</f>
        <v>0</v>
      </c>
      <c r="X222">
        <f>'RESUMEN TOTAL'!AF225</f>
        <v>0</v>
      </c>
      <c r="Y222">
        <f>'RESUMEN TOTAL'!AG225</f>
        <v>0</v>
      </c>
      <c r="Z222">
        <f>'RESUMEN TOTAL'!AH225</f>
        <v>0</v>
      </c>
      <c r="AA222">
        <f>'RESUMEN TOTAL'!AI225</f>
        <v>0</v>
      </c>
      <c r="AB222">
        <f>'RESUMEN TOTAL'!AJ225</f>
        <v>0</v>
      </c>
      <c r="AC222">
        <f>'RESUMEN TOTAL'!AK225</f>
        <v>0</v>
      </c>
      <c r="AD222">
        <f>'RESUMEN TOTAL'!AL225</f>
        <v>0</v>
      </c>
      <c r="AE222">
        <f>'RESUMEN TOTAL'!AM225</f>
        <v>0</v>
      </c>
      <c r="AF222">
        <f>'RESUMEN TOTAL'!AN225</f>
        <v>0</v>
      </c>
      <c r="AG222">
        <f>'RESUMEN TOTAL'!AO225</f>
        <v>0</v>
      </c>
    </row>
    <row r="223" spans="1:33" x14ac:dyDescent="0.25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TOTAL'!N226</f>
        <v>0</v>
      </c>
      <c r="G223">
        <f>'RESUMEN TOTAL'!O226</f>
        <v>0</v>
      </c>
      <c r="H223">
        <f>'RESUMEN TOTAL'!P226</f>
        <v>0</v>
      </c>
      <c r="I223">
        <f>'RESUMEN TOTAL'!Q226</f>
        <v>0</v>
      </c>
      <c r="J223">
        <f>'RESUMEN TOTAL'!R226</f>
        <v>0</v>
      </c>
      <c r="K223">
        <f>'RESUMEN TOTAL'!S226</f>
        <v>0</v>
      </c>
      <c r="L223">
        <f>'RESUMEN TOTAL'!T226</f>
        <v>0</v>
      </c>
      <c r="M223">
        <f>'RESUMEN TOTAL'!U226</f>
        <v>0</v>
      </c>
      <c r="N223">
        <f>'RESUMEN TOTAL'!V226</f>
        <v>0</v>
      </c>
      <c r="O223">
        <f>'RESUMEN TOTAL'!W226</f>
        <v>0</v>
      </c>
      <c r="P223">
        <f>'RESUMEN TOTAL'!X226</f>
        <v>0</v>
      </c>
      <c r="Q223">
        <f>'RESUMEN TOTAL'!Y226</f>
        <v>0</v>
      </c>
      <c r="R223">
        <f>'RESUMEN TOTAL'!Z226</f>
        <v>0</v>
      </c>
      <c r="S223">
        <f>'RESUMEN TOTAL'!AA226</f>
        <v>0</v>
      </c>
      <c r="T223">
        <f>'RESUMEN TOTAL'!AB226</f>
        <v>0</v>
      </c>
      <c r="U223">
        <f>'RESUMEN TOTAL'!AC226</f>
        <v>0</v>
      </c>
      <c r="V223">
        <f>'RESUMEN TOTAL'!AD226</f>
        <v>0</v>
      </c>
      <c r="W223">
        <f>'RESUMEN TOTAL'!AE226</f>
        <v>0</v>
      </c>
      <c r="X223">
        <f>'RESUMEN TOTAL'!AF226</f>
        <v>0</v>
      </c>
      <c r="Y223">
        <f>'RESUMEN TOTAL'!AG226</f>
        <v>0</v>
      </c>
      <c r="Z223">
        <f>'RESUMEN TOTAL'!AH226</f>
        <v>0</v>
      </c>
      <c r="AA223">
        <f>'RESUMEN TOTAL'!AI226</f>
        <v>0</v>
      </c>
      <c r="AB223">
        <f>'RESUMEN TOTAL'!AJ226</f>
        <v>0</v>
      </c>
      <c r="AC223">
        <f>'RESUMEN TOTAL'!AK226</f>
        <v>0</v>
      </c>
      <c r="AD223">
        <f>'RESUMEN TOTAL'!AL226</f>
        <v>0</v>
      </c>
      <c r="AE223">
        <f>'RESUMEN TOTAL'!AM226</f>
        <v>0</v>
      </c>
      <c r="AF223">
        <f>'RESUMEN TOTAL'!AN226</f>
        <v>0</v>
      </c>
      <c r="AG223">
        <f>'RESUMEN TOTAL'!AO226</f>
        <v>0</v>
      </c>
    </row>
    <row r="224" spans="1:33" x14ac:dyDescent="0.25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TOTAL'!N227</f>
        <v>0</v>
      </c>
      <c r="G224">
        <f>'RESUMEN TOTAL'!O227</f>
        <v>0</v>
      </c>
      <c r="H224">
        <f>'RESUMEN TOTAL'!P227</f>
        <v>0</v>
      </c>
      <c r="I224">
        <f>'RESUMEN TOTAL'!Q227</f>
        <v>0</v>
      </c>
      <c r="J224">
        <f>'RESUMEN TOTAL'!R227</f>
        <v>0</v>
      </c>
      <c r="K224">
        <f>'RESUMEN TOTAL'!S227</f>
        <v>0</v>
      </c>
      <c r="L224">
        <f>'RESUMEN TOTAL'!T227</f>
        <v>0</v>
      </c>
      <c r="M224">
        <f>'RESUMEN TOTAL'!U227</f>
        <v>0</v>
      </c>
      <c r="N224">
        <f>'RESUMEN TOTAL'!V227</f>
        <v>0</v>
      </c>
      <c r="O224">
        <f>'RESUMEN TOTAL'!W227</f>
        <v>0</v>
      </c>
      <c r="P224">
        <f>'RESUMEN TOTAL'!X227</f>
        <v>0</v>
      </c>
      <c r="Q224">
        <f>'RESUMEN TOTAL'!Y227</f>
        <v>0</v>
      </c>
      <c r="R224">
        <f>'RESUMEN TOTAL'!Z227</f>
        <v>0</v>
      </c>
      <c r="S224">
        <f>'RESUMEN TOTAL'!AA227</f>
        <v>0</v>
      </c>
      <c r="T224">
        <f>'RESUMEN TOTAL'!AB227</f>
        <v>0</v>
      </c>
      <c r="U224">
        <f>'RESUMEN TOTAL'!AC227</f>
        <v>0</v>
      </c>
      <c r="V224">
        <f>'RESUMEN TOTAL'!AD227</f>
        <v>0</v>
      </c>
      <c r="W224">
        <f>'RESUMEN TOTAL'!AE227</f>
        <v>0</v>
      </c>
      <c r="X224">
        <f>'RESUMEN TOTAL'!AF227</f>
        <v>0</v>
      </c>
      <c r="Y224">
        <f>'RESUMEN TOTAL'!AG227</f>
        <v>0</v>
      </c>
      <c r="Z224">
        <f>'RESUMEN TOTAL'!AH227</f>
        <v>0</v>
      </c>
      <c r="AA224">
        <f>'RESUMEN TOTAL'!AI227</f>
        <v>0</v>
      </c>
      <c r="AB224">
        <f>'RESUMEN TOTAL'!AJ227</f>
        <v>0</v>
      </c>
      <c r="AC224">
        <f>'RESUMEN TOTAL'!AK227</f>
        <v>0</v>
      </c>
      <c r="AD224">
        <f>'RESUMEN TOTAL'!AL227</f>
        <v>0</v>
      </c>
      <c r="AE224">
        <f>'RESUMEN TOTAL'!AM227</f>
        <v>0</v>
      </c>
      <c r="AF224">
        <f>'RESUMEN TOTAL'!AN227</f>
        <v>0</v>
      </c>
      <c r="AG224">
        <f>'RESUMEN TOTAL'!AO227</f>
        <v>0</v>
      </c>
    </row>
    <row r="225" spans="1:33" x14ac:dyDescent="0.25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>
        <f>'RESUMEN TOTAL'!N228</f>
        <v>0</v>
      </c>
      <c r="G225">
        <f>'RESUMEN TOTAL'!O228</f>
        <v>0</v>
      </c>
      <c r="H225">
        <f>'RESUMEN TOTAL'!P228</f>
        <v>0</v>
      </c>
      <c r="I225">
        <f>'RESUMEN TOTAL'!Q228</f>
        <v>0</v>
      </c>
      <c r="J225">
        <f>'RESUMEN TOTAL'!R228</f>
        <v>0</v>
      </c>
      <c r="K225">
        <f>'RESUMEN TOTAL'!S228</f>
        <v>0</v>
      </c>
      <c r="L225">
        <f>'RESUMEN TOTAL'!T228</f>
        <v>0</v>
      </c>
      <c r="M225">
        <f>'RESUMEN TOTAL'!U228</f>
        <v>0</v>
      </c>
      <c r="N225">
        <f>'RESUMEN TOTAL'!V228</f>
        <v>0</v>
      </c>
      <c r="O225">
        <f>'RESUMEN TOTAL'!W228</f>
        <v>0</v>
      </c>
      <c r="P225">
        <f>'RESUMEN TOTAL'!X228</f>
        <v>0</v>
      </c>
      <c r="Q225">
        <f>'RESUMEN TOTAL'!Y228</f>
        <v>0</v>
      </c>
      <c r="R225">
        <f>'RESUMEN TOTAL'!Z228</f>
        <v>0</v>
      </c>
      <c r="S225">
        <f>'RESUMEN TOTAL'!AA228</f>
        <v>0</v>
      </c>
      <c r="T225">
        <f>'RESUMEN TOTAL'!AB228</f>
        <v>0</v>
      </c>
      <c r="U225">
        <f>'RESUMEN TOTAL'!AC228</f>
        <v>0</v>
      </c>
      <c r="V225">
        <f>'RESUMEN TOTAL'!AD228</f>
        <v>0</v>
      </c>
      <c r="W225">
        <f>'RESUMEN TOTAL'!AE228</f>
        <v>0</v>
      </c>
      <c r="X225">
        <f>'RESUMEN TOTAL'!AF228</f>
        <v>0</v>
      </c>
      <c r="Y225">
        <f>'RESUMEN TOTAL'!AG228</f>
        <v>0</v>
      </c>
      <c r="Z225">
        <f>'RESUMEN TOTAL'!AH228</f>
        <v>0</v>
      </c>
      <c r="AA225">
        <f>'RESUMEN TOTAL'!AI228</f>
        <v>0</v>
      </c>
      <c r="AB225">
        <f>'RESUMEN TOTAL'!AJ228</f>
        <v>0</v>
      </c>
      <c r="AC225">
        <f>'RESUMEN TOTAL'!AK228</f>
        <v>0</v>
      </c>
      <c r="AD225">
        <f>'RESUMEN TOTAL'!AL228</f>
        <v>0</v>
      </c>
      <c r="AE225">
        <f>'RESUMEN TOTAL'!AM228</f>
        <v>0</v>
      </c>
      <c r="AF225">
        <f>'RESUMEN TOTAL'!AN228</f>
        <v>0</v>
      </c>
      <c r="AG225">
        <f>'RESUMEN TOTAL'!AO228</f>
        <v>0</v>
      </c>
    </row>
    <row r="226" spans="1:33" x14ac:dyDescent="0.25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TOTAL'!N229</f>
        <v>0</v>
      </c>
      <c r="G226">
        <f>'RESUMEN TOTAL'!O229</f>
        <v>0</v>
      </c>
      <c r="H226">
        <f>'RESUMEN TOTAL'!P229</f>
        <v>0</v>
      </c>
      <c r="I226">
        <f>'RESUMEN TOTAL'!Q229</f>
        <v>0</v>
      </c>
      <c r="J226">
        <f>'RESUMEN TOTAL'!R229</f>
        <v>0</v>
      </c>
      <c r="K226">
        <f>'RESUMEN TOTAL'!S229</f>
        <v>0</v>
      </c>
      <c r="L226">
        <f>'RESUMEN TOTAL'!T229</f>
        <v>0</v>
      </c>
      <c r="M226">
        <f>'RESUMEN TOTAL'!U229</f>
        <v>0</v>
      </c>
      <c r="N226">
        <f>'RESUMEN TOTAL'!V229</f>
        <v>0</v>
      </c>
      <c r="O226">
        <f>'RESUMEN TOTAL'!W229</f>
        <v>0</v>
      </c>
      <c r="P226">
        <f>'RESUMEN TOTAL'!X229</f>
        <v>0</v>
      </c>
      <c r="Q226">
        <f>'RESUMEN TOTAL'!Y229</f>
        <v>0</v>
      </c>
      <c r="R226">
        <f>'RESUMEN TOTAL'!Z229</f>
        <v>0</v>
      </c>
      <c r="S226">
        <f>'RESUMEN TOTAL'!AA229</f>
        <v>0</v>
      </c>
      <c r="T226">
        <f>'RESUMEN TOTAL'!AB229</f>
        <v>0</v>
      </c>
      <c r="U226">
        <f>'RESUMEN TOTAL'!AC229</f>
        <v>0</v>
      </c>
      <c r="V226">
        <f>'RESUMEN TOTAL'!AD229</f>
        <v>0</v>
      </c>
      <c r="W226">
        <f>'RESUMEN TOTAL'!AE229</f>
        <v>0</v>
      </c>
      <c r="X226">
        <f>'RESUMEN TOTAL'!AF229</f>
        <v>0</v>
      </c>
      <c r="Y226">
        <f>'RESUMEN TOTAL'!AG229</f>
        <v>0</v>
      </c>
      <c r="Z226">
        <f>'RESUMEN TOTAL'!AH229</f>
        <v>0</v>
      </c>
      <c r="AA226">
        <f>'RESUMEN TOTAL'!AI229</f>
        <v>0</v>
      </c>
      <c r="AB226">
        <f>'RESUMEN TOTAL'!AJ229</f>
        <v>0</v>
      </c>
      <c r="AC226">
        <f>'RESUMEN TOTAL'!AK229</f>
        <v>0</v>
      </c>
      <c r="AD226">
        <f>'RESUMEN TOTAL'!AL229</f>
        <v>0</v>
      </c>
      <c r="AE226">
        <f>'RESUMEN TOTAL'!AM229</f>
        <v>0</v>
      </c>
      <c r="AF226">
        <f>'RESUMEN TOTAL'!AN229</f>
        <v>0</v>
      </c>
      <c r="AG226">
        <f>'RESUMEN TOTAL'!AO229</f>
        <v>0</v>
      </c>
    </row>
    <row r="227" spans="1:33" x14ac:dyDescent="0.25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Fibra Optica</v>
      </c>
      <c r="F227" t="str">
        <f>'RESUMEN TOTAL'!N230</f>
        <v>APAGADO</v>
      </c>
      <c r="G227">
        <f>'RESUMEN TOTAL'!O230</f>
        <v>0</v>
      </c>
      <c r="H227">
        <f>'RESUMEN TOTAL'!P230</f>
        <v>0</v>
      </c>
      <c r="I227">
        <f>'RESUMEN TOTAL'!Q230</f>
        <v>0</v>
      </c>
      <c r="J227">
        <f>'RESUMEN TOTAL'!R230</f>
        <v>0</v>
      </c>
      <c r="K227">
        <f>'RESUMEN TOTAL'!S230</f>
        <v>0</v>
      </c>
      <c r="L227">
        <f>'RESUMEN TOTAL'!T230</f>
        <v>0</v>
      </c>
      <c r="M227">
        <f>'RESUMEN TOTAL'!U230</f>
        <v>0</v>
      </c>
      <c r="N227">
        <f>'RESUMEN TOTAL'!V230</f>
        <v>0</v>
      </c>
      <c r="O227">
        <f>'RESUMEN TOTAL'!W230</f>
        <v>0</v>
      </c>
      <c r="P227">
        <f>'RESUMEN TOTAL'!X230</f>
        <v>0</v>
      </c>
      <c r="Q227">
        <f>'RESUMEN TOTAL'!Y230</f>
        <v>0</v>
      </c>
      <c r="R227">
        <f>'RESUMEN TOTAL'!Z230</f>
        <v>0</v>
      </c>
      <c r="S227">
        <f>'RESUMEN TOTAL'!AA230</f>
        <v>0</v>
      </c>
      <c r="T227">
        <f>'RESUMEN TOTAL'!AB230</f>
        <v>0</v>
      </c>
      <c r="U227">
        <f>'RESUMEN TOTAL'!AC230</f>
        <v>0</v>
      </c>
      <c r="V227">
        <f>'RESUMEN TOTAL'!AD230</f>
        <v>0</v>
      </c>
      <c r="W227">
        <f>'RESUMEN TOTAL'!AE230</f>
        <v>0</v>
      </c>
      <c r="X227">
        <f>'RESUMEN TOTAL'!AF230</f>
        <v>0</v>
      </c>
      <c r="Y227">
        <f>'RESUMEN TOTAL'!AG230</f>
        <v>0</v>
      </c>
      <c r="Z227">
        <f>'RESUMEN TOTAL'!AH230</f>
        <v>0</v>
      </c>
      <c r="AA227">
        <f>'RESUMEN TOTAL'!AI230</f>
        <v>0</v>
      </c>
      <c r="AB227">
        <f>'RESUMEN TOTAL'!AJ230</f>
        <v>0</v>
      </c>
      <c r="AC227">
        <f>'RESUMEN TOTAL'!AK230</f>
        <v>0</v>
      </c>
      <c r="AD227">
        <f>'RESUMEN TOTAL'!AL230</f>
        <v>0</v>
      </c>
      <c r="AE227">
        <f>'RESUMEN TOTAL'!AM230</f>
        <v>0</v>
      </c>
      <c r="AF227">
        <f>'RESUMEN TOTAL'!AN230</f>
        <v>0</v>
      </c>
      <c r="AG227">
        <f>'RESUMEN TOTAL'!AO230</f>
        <v>0</v>
      </c>
    </row>
    <row r="228" spans="1:33" x14ac:dyDescent="0.25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TOTAL'!N231</f>
        <v>0</v>
      </c>
      <c r="G228">
        <f>'RESUMEN TOTAL'!O231</f>
        <v>0</v>
      </c>
      <c r="H228">
        <f>'RESUMEN TOTAL'!P231</f>
        <v>0</v>
      </c>
      <c r="I228">
        <f>'RESUMEN TOTAL'!Q231</f>
        <v>0</v>
      </c>
      <c r="J228">
        <f>'RESUMEN TOTAL'!R231</f>
        <v>0</v>
      </c>
      <c r="K228">
        <f>'RESUMEN TOTAL'!S231</f>
        <v>0</v>
      </c>
      <c r="L228">
        <f>'RESUMEN TOTAL'!T231</f>
        <v>0</v>
      </c>
      <c r="M228">
        <f>'RESUMEN TOTAL'!U231</f>
        <v>0</v>
      </c>
      <c r="N228">
        <f>'RESUMEN TOTAL'!V231</f>
        <v>0</v>
      </c>
      <c r="O228">
        <f>'RESUMEN TOTAL'!W231</f>
        <v>0</v>
      </c>
      <c r="P228">
        <f>'RESUMEN TOTAL'!X231</f>
        <v>0</v>
      </c>
      <c r="Q228">
        <f>'RESUMEN TOTAL'!Y231</f>
        <v>0</v>
      </c>
      <c r="R228">
        <f>'RESUMEN TOTAL'!Z231</f>
        <v>0</v>
      </c>
      <c r="S228">
        <f>'RESUMEN TOTAL'!AA231</f>
        <v>0</v>
      </c>
      <c r="T228">
        <f>'RESUMEN TOTAL'!AB231</f>
        <v>0</v>
      </c>
      <c r="U228">
        <f>'RESUMEN TOTAL'!AC231</f>
        <v>0</v>
      </c>
      <c r="V228">
        <f>'RESUMEN TOTAL'!AD231</f>
        <v>0</v>
      </c>
      <c r="W228">
        <f>'RESUMEN TOTAL'!AE231</f>
        <v>0</v>
      </c>
      <c r="X228">
        <f>'RESUMEN TOTAL'!AF231</f>
        <v>0</v>
      </c>
      <c r="Y228">
        <f>'RESUMEN TOTAL'!AG231</f>
        <v>0</v>
      </c>
      <c r="Z228">
        <f>'RESUMEN TOTAL'!AH231</f>
        <v>0</v>
      </c>
      <c r="AA228">
        <f>'RESUMEN TOTAL'!AI231</f>
        <v>0</v>
      </c>
      <c r="AB228">
        <f>'RESUMEN TOTAL'!AJ231</f>
        <v>0</v>
      </c>
      <c r="AC228">
        <f>'RESUMEN TOTAL'!AK231</f>
        <v>0</v>
      </c>
      <c r="AD228">
        <f>'RESUMEN TOTAL'!AL231</f>
        <v>0</v>
      </c>
      <c r="AE228">
        <f>'RESUMEN TOTAL'!AM231</f>
        <v>0</v>
      </c>
      <c r="AF228">
        <f>'RESUMEN TOTAL'!AN231</f>
        <v>0</v>
      </c>
      <c r="AG228">
        <f>'RESUMEN TOTAL'!AO231</f>
        <v>0</v>
      </c>
    </row>
    <row r="229" spans="1:33" x14ac:dyDescent="0.25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TOTAL'!N232</f>
        <v>0</v>
      </c>
      <c r="G229">
        <f>'RESUMEN TOTAL'!O232</f>
        <v>0</v>
      </c>
      <c r="H229">
        <f>'RESUMEN TOTAL'!P232</f>
        <v>0</v>
      </c>
      <c r="I229">
        <f>'RESUMEN TOTAL'!Q232</f>
        <v>0</v>
      </c>
      <c r="J229">
        <f>'RESUMEN TOTAL'!R232</f>
        <v>0</v>
      </c>
      <c r="K229">
        <f>'RESUMEN TOTAL'!S232</f>
        <v>0</v>
      </c>
      <c r="L229">
        <f>'RESUMEN TOTAL'!T232</f>
        <v>0</v>
      </c>
      <c r="M229">
        <f>'RESUMEN TOTAL'!U232</f>
        <v>0</v>
      </c>
      <c r="N229">
        <f>'RESUMEN TOTAL'!V232</f>
        <v>0</v>
      </c>
      <c r="O229">
        <f>'RESUMEN TOTAL'!W232</f>
        <v>0</v>
      </c>
      <c r="P229">
        <f>'RESUMEN TOTAL'!X232</f>
        <v>0</v>
      </c>
      <c r="Q229">
        <f>'RESUMEN TOTAL'!Y232</f>
        <v>0</v>
      </c>
      <c r="R229">
        <f>'RESUMEN TOTAL'!Z232</f>
        <v>0</v>
      </c>
      <c r="S229">
        <f>'RESUMEN TOTAL'!AA232</f>
        <v>0</v>
      </c>
      <c r="T229">
        <f>'RESUMEN TOTAL'!AB232</f>
        <v>0</v>
      </c>
      <c r="U229">
        <f>'RESUMEN TOTAL'!AC232</f>
        <v>0</v>
      </c>
      <c r="V229">
        <f>'RESUMEN TOTAL'!AD232</f>
        <v>0</v>
      </c>
      <c r="W229">
        <f>'RESUMEN TOTAL'!AE232</f>
        <v>0</v>
      </c>
      <c r="X229">
        <f>'RESUMEN TOTAL'!AF232</f>
        <v>0</v>
      </c>
      <c r="Y229">
        <f>'RESUMEN TOTAL'!AG232</f>
        <v>0</v>
      </c>
      <c r="Z229">
        <f>'RESUMEN TOTAL'!AH232</f>
        <v>0</v>
      </c>
      <c r="AA229">
        <f>'RESUMEN TOTAL'!AI232</f>
        <v>0</v>
      </c>
      <c r="AB229">
        <f>'RESUMEN TOTAL'!AJ232</f>
        <v>0</v>
      </c>
      <c r="AC229">
        <f>'RESUMEN TOTAL'!AK232</f>
        <v>0</v>
      </c>
      <c r="AD229">
        <f>'RESUMEN TOTAL'!AL232</f>
        <v>0</v>
      </c>
      <c r="AE229">
        <f>'RESUMEN TOTAL'!AM232</f>
        <v>0</v>
      </c>
      <c r="AF229">
        <f>'RESUMEN TOTAL'!AN232</f>
        <v>0</v>
      </c>
      <c r="AG229">
        <f>'RESUMEN TOTAL'!AO232</f>
        <v>0</v>
      </c>
    </row>
    <row r="230" spans="1:33" x14ac:dyDescent="0.25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TOTAL'!N233</f>
        <v>0</v>
      </c>
      <c r="G230">
        <f>'RESUMEN TOTAL'!O233</f>
        <v>0</v>
      </c>
      <c r="H230" t="str">
        <f>'RESUMEN TOTAL'!P233</f>
        <v>APAGADO</v>
      </c>
      <c r="I230">
        <f>'RESUMEN TOTAL'!Q233</f>
        <v>0</v>
      </c>
      <c r="J230">
        <f>'RESUMEN TOTAL'!R233</f>
        <v>0</v>
      </c>
      <c r="K230">
        <f>'RESUMEN TOTAL'!S233</f>
        <v>0</v>
      </c>
      <c r="L230">
        <f>'RESUMEN TOTAL'!T233</f>
        <v>0</v>
      </c>
      <c r="M230">
        <f>'RESUMEN TOTAL'!U233</f>
        <v>0</v>
      </c>
      <c r="N230">
        <f>'RESUMEN TOTAL'!V233</f>
        <v>0</v>
      </c>
      <c r="O230">
        <f>'RESUMEN TOTAL'!W233</f>
        <v>0</v>
      </c>
      <c r="P230">
        <f>'RESUMEN TOTAL'!X233</f>
        <v>0</v>
      </c>
      <c r="Q230">
        <f>'RESUMEN TOTAL'!Y233</f>
        <v>0</v>
      </c>
      <c r="R230">
        <f>'RESUMEN TOTAL'!Z233</f>
        <v>0</v>
      </c>
      <c r="S230">
        <f>'RESUMEN TOTAL'!AA233</f>
        <v>0</v>
      </c>
      <c r="T230">
        <f>'RESUMEN TOTAL'!AB233</f>
        <v>0</v>
      </c>
      <c r="U230">
        <f>'RESUMEN TOTAL'!AC233</f>
        <v>0</v>
      </c>
      <c r="V230">
        <f>'RESUMEN TOTAL'!AD233</f>
        <v>0</v>
      </c>
      <c r="W230">
        <f>'RESUMEN TOTAL'!AE233</f>
        <v>0</v>
      </c>
      <c r="X230">
        <f>'RESUMEN TOTAL'!AF233</f>
        <v>0</v>
      </c>
      <c r="Y230">
        <f>'RESUMEN TOTAL'!AG233</f>
        <v>0</v>
      </c>
      <c r="Z230">
        <f>'RESUMEN TOTAL'!AH233</f>
        <v>0</v>
      </c>
      <c r="AA230">
        <f>'RESUMEN TOTAL'!AI233</f>
        <v>0</v>
      </c>
      <c r="AB230">
        <f>'RESUMEN TOTAL'!AJ233</f>
        <v>0</v>
      </c>
      <c r="AC230">
        <f>'RESUMEN TOTAL'!AK233</f>
        <v>0</v>
      </c>
      <c r="AD230">
        <f>'RESUMEN TOTAL'!AL233</f>
        <v>0</v>
      </c>
      <c r="AE230">
        <f>'RESUMEN TOTAL'!AM233</f>
        <v>0</v>
      </c>
      <c r="AF230">
        <f>'RESUMEN TOTAL'!AN233</f>
        <v>0</v>
      </c>
      <c r="AG230">
        <f>'RESUMEN TOTAL'!AO233</f>
        <v>0</v>
      </c>
    </row>
    <row r="231" spans="1:33" x14ac:dyDescent="0.25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TOTAL'!N234</f>
        <v>0</v>
      </c>
      <c r="G231">
        <f>'RESUMEN TOTAL'!O234</f>
        <v>0</v>
      </c>
      <c r="H231">
        <f>'RESUMEN TOTAL'!P234</f>
        <v>0</v>
      </c>
      <c r="I231">
        <f>'RESUMEN TOTAL'!Q234</f>
        <v>0</v>
      </c>
      <c r="J231">
        <f>'RESUMEN TOTAL'!R234</f>
        <v>0</v>
      </c>
      <c r="K231">
        <f>'RESUMEN TOTAL'!S234</f>
        <v>0</v>
      </c>
      <c r="L231">
        <f>'RESUMEN TOTAL'!T234</f>
        <v>0</v>
      </c>
      <c r="M231">
        <f>'RESUMEN TOTAL'!U234</f>
        <v>0</v>
      </c>
      <c r="N231">
        <f>'RESUMEN TOTAL'!V234</f>
        <v>0</v>
      </c>
      <c r="O231">
        <f>'RESUMEN TOTAL'!W234</f>
        <v>0</v>
      </c>
      <c r="P231">
        <f>'RESUMEN TOTAL'!X234</f>
        <v>0</v>
      </c>
      <c r="Q231">
        <f>'RESUMEN TOTAL'!Y234</f>
        <v>0</v>
      </c>
      <c r="R231">
        <f>'RESUMEN TOTAL'!Z234</f>
        <v>0</v>
      </c>
      <c r="S231">
        <f>'RESUMEN TOTAL'!AA234</f>
        <v>0</v>
      </c>
      <c r="T231">
        <f>'RESUMEN TOTAL'!AB234</f>
        <v>0</v>
      </c>
      <c r="U231">
        <f>'RESUMEN TOTAL'!AC234</f>
        <v>0</v>
      </c>
      <c r="V231">
        <f>'RESUMEN TOTAL'!AD234</f>
        <v>0</v>
      </c>
      <c r="W231">
        <f>'RESUMEN TOTAL'!AE234</f>
        <v>0</v>
      </c>
      <c r="X231">
        <f>'RESUMEN TOTAL'!AF234</f>
        <v>0</v>
      </c>
      <c r="Y231">
        <f>'RESUMEN TOTAL'!AG234</f>
        <v>0</v>
      </c>
      <c r="Z231">
        <f>'RESUMEN TOTAL'!AH234</f>
        <v>0</v>
      </c>
      <c r="AA231">
        <f>'RESUMEN TOTAL'!AI234</f>
        <v>0</v>
      </c>
      <c r="AB231">
        <f>'RESUMEN TOTAL'!AJ234</f>
        <v>0</v>
      </c>
      <c r="AC231">
        <f>'RESUMEN TOTAL'!AK234</f>
        <v>0</v>
      </c>
      <c r="AD231">
        <f>'RESUMEN TOTAL'!AL234</f>
        <v>0</v>
      </c>
      <c r="AE231">
        <f>'RESUMEN TOTAL'!AM234</f>
        <v>0</v>
      </c>
      <c r="AF231">
        <f>'RESUMEN TOTAL'!AN234</f>
        <v>0</v>
      </c>
      <c r="AG231">
        <f>'RESUMEN TOTAL'!AO234</f>
        <v>0</v>
      </c>
    </row>
    <row r="232" spans="1:33" x14ac:dyDescent="0.25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TOTAL'!N235</f>
        <v>0</v>
      </c>
      <c r="G232">
        <f>'RESUMEN TOTAL'!O235</f>
        <v>0</v>
      </c>
      <c r="H232">
        <f>'RESUMEN TOTAL'!P235</f>
        <v>0</v>
      </c>
      <c r="I232">
        <f>'RESUMEN TOTAL'!Q235</f>
        <v>0</v>
      </c>
      <c r="J232">
        <f>'RESUMEN TOTAL'!R235</f>
        <v>0</v>
      </c>
      <c r="K232">
        <f>'RESUMEN TOTAL'!S235</f>
        <v>0</v>
      </c>
      <c r="L232">
        <f>'RESUMEN TOTAL'!T235</f>
        <v>0</v>
      </c>
      <c r="M232">
        <f>'RESUMEN TOTAL'!U235</f>
        <v>0</v>
      </c>
      <c r="N232">
        <f>'RESUMEN TOTAL'!V235</f>
        <v>0</v>
      </c>
      <c r="O232">
        <f>'RESUMEN TOTAL'!W235</f>
        <v>0</v>
      </c>
      <c r="P232">
        <f>'RESUMEN TOTAL'!X235</f>
        <v>0</v>
      </c>
      <c r="Q232">
        <f>'RESUMEN TOTAL'!Y235</f>
        <v>0</v>
      </c>
      <c r="R232">
        <f>'RESUMEN TOTAL'!Z235</f>
        <v>0</v>
      </c>
      <c r="S232">
        <f>'RESUMEN TOTAL'!AA235</f>
        <v>0</v>
      </c>
      <c r="T232">
        <f>'RESUMEN TOTAL'!AB235</f>
        <v>0</v>
      </c>
      <c r="U232">
        <f>'RESUMEN TOTAL'!AC235</f>
        <v>0</v>
      </c>
      <c r="V232">
        <f>'RESUMEN TOTAL'!AD235</f>
        <v>0</v>
      </c>
      <c r="W232">
        <f>'RESUMEN TOTAL'!AE235</f>
        <v>0</v>
      </c>
      <c r="X232">
        <f>'RESUMEN TOTAL'!AF235</f>
        <v>0</v>
      </c>
      <c r="Y232">
        <f>'RESUMEN TOTAL'!AG235</f>
        <v>0</v>
      </c>
      <c r="Z232">
        <f>'RESUMEN TOTAL'!AH235</f>
        <v>0</v>
      </c>
      <c r="AA232">
        <f>'RESUMEN TOTAL'!AI235</f>
        <v>0</v>
      </c>
      <c r="AB232">
        <f>'RESUMEN TOTAL'!AJ235</f>
        <v>0</v>
      </c>
      <c r="AC232">
        <f>'RESUMEN TOTAL'!AK235</f>
        <v>0</v>
      </c>
      <c r="AD232">
        <f>'RESUMEN TOTAL'!AL235</f>
        <v>0</v>
      </c>
      <c r="AE232">
        <f>'RESUMEN TOTAL'!AM235</f>
        <v>0</v>
      </c>
      <c r="AF232">
        <f>'RESUMEN TOTAL'!AN235</f>
        <v>0</v>
      </c>
      <c r="AG232">
        <f>'RESUMEN TOTAL'!AO235</f>
        <v>0</v>
      </c>
    </row>
    <row r="233" spans="1:33" x14ac:dyDescent="0.25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TOTAL'!N236</f>
        <v>0</v>
      </c>
      <c r="G233">
        <f>'RESUMEN TOTAL'!O236</f>
        <v>0</v>
      </c>
      <c r="H233">
        <f>'RESUMEN TOTAL'!P236</f>
        <v>0</v>
      </c>
      <c r="I233">
        <f>'RESUMEN TOTAL'!Q236</f>
        <v>0</v>
      </c>
      <c r="J233">
        <f>'RESUMEN TOTAL'!R236</f>
        <v>0</v>
      </c>
      <c r="K233">
        <f>'RESUMEN TOTAL'!S236</f>
        <v>0</v>
      </c>
      <c r="L233">
        <f>'RESUMEN TOTAL'!T236</f>
        <v>0</v>
      </c>
      <c r="M233">
        <f>'RESUMEN TOTAL'!U236</f>
        <v>0</v>
      </c>
      <c r="N233">
        <f>'RESUMEN TOTAL'!V236</f>
        <v>0</v>
      </c>
      <c r="O233">
        <f>'RESUMEN TOTAL'!W236</f>
        <v>0</v>
      </c>
      <c r="P233">
        <f>'RESUMEN TOTAL'!X236</f>
        <v>0</v>
      </c>
      <c r="Q233">
        <f>'RESUMEN TOTAL'!Y236</f>
        <v>0</v>
      </c>
      <c r="R233">
        <f>'RESUMEN TOTAL'!Z236</f>
        <v>0</v>
      </c>
      <c r="S233">
        <f>'RESUMEN TOTAL'!AA236</f>
        <v>0</v>
      </c>
      <c r="T233">
        <f>'RESUMEN TOTAL'!AB236</f>
        <v>0</v>
      </c>
      <c r="U233">
        <f>'RESUMEN TOTAL'!AC236</f>
        <v>0</v>
      </c>
      <c r="V233">
        <f>'RESUMEN TOTAL'!AD236</f>
        <v>0</v>
      </c>
      <c r="W233">
        <f>'RESUMEN TOTAL'!AE236</f>
        <v>0</v>
      </c>
      <c r="X233">
        <f>'RESUMEN TOTAL'!AF236</f>
        <v>0</v>
      </c>
      <c r="Y233">
        <f>'RESUMEN TOTAL'!AG236</f>
        <v>0</v>
      </c>
      <c r="Z233">
        <f>'RESUMEN TOTAL'!AH236</f>
        <v>0</v>
      </c>
      <c r="AA233">
        <f>'RESUMEN TOTAL'!AI236</f>
        <v>0</v>
      </c>
      <c r="AB233">
        <f>'RESUMEN TOTAL'!AJ236</f>
        <v>0</v>
      </c>
      <c r="AC233">
        <f>'RESUMEN TOTAL'!AK236</f>
        <v>0</v>
      </c>
      <c r="AD233">
        <f>'RESUMEN TOTAL'!AL236</f>
        <v>0</v>
      </c>
      <c r="AE233">
        <f>'RESUMEN TOTAL'!AM236</f>
        <v>0</v>
      </c>
      <c r="AF233">
        <f>'RESUMEN TOTAL'!AN236</f>
        <v>0</v>
      </c>
      <c r="AG233">
        <f>'RESUMEN TOTAL'!AO236</f>
        <v>0</v>
      </c>
    </row>
    <row r="234" spans="1:33" x14ac:dyDescent="0.25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TOTAL'!N237</f>
        <v>0</v>
      </c>
      <c r="G234">
        <f>'RESUMEN TOTAL'!O237</f>
        <v>0</v>
      </c>
      <c r="H234">
        <f>'RESUMEN TOTAL'!P237</f>
        <v>0</v>
      </c>
      <c r="I234">
        <f>'RESUMEN TOTAL'!Q237</f>
        <v>0</v>
      </c>
      <c r="J234">
        <f>'RESUMEN TOTAL'!R237</f>
        <v>0</v>
      </c>
      <c r="K234">
        <f>'RESUMEN TOTAL'!S237</f>
        <v>0</v>
      </c>
      <c r="L234">
        <f>'RESUMEN TOTAL'!T237</f>
        <v>0</v>
      </c>
      <c r="M234">
        <f>'RESUMEN TOTAL'!U237</f>
        <v>0</v>
      </c>
      <c r="N234">
        <f>'RESUMEN TOTAL'!V237</f>
        <v>0</v>
      </c>
      <c r="O234">
        <f>'RESUMEN TOTAL'!W237</f>
        <v>0</v>
      </c>
      <c r="P234">
        <f>'RESUMEN TOTAL'!X237</f>
        <v>0</v>
      </c>
      <c r="Q234">
        <f>'RESUMEN TOTAL'!Y237</f>
        <v>0</v>
      </c>
      <c r="R234">
        <f>'RESUMEN TOTAL'!Z237</f>
        <v>0</v>
      </c>
      <c r="S234">
        <f>'RESUMEN TOTAL'!AA237</f>
        <v>0</v>
      </c>
      <c r="T234">
        <f>'RESUMEN TOTAL'!AB237</f>
        <v>0</v>
      </c>
      <c r="U234">
        <f>'RESUMEN TOTAL'!AC237</f>
        <v>0</v>
      </c>
      <c r="V234">
        <f>'RESUMEN TOTAL'!AD237</f>
        <v>0</v>
      </c>
      <c r="W234">
        <f>'RESUMEN TOTAL'!AE237</f>
        <v>0</v>
      </c>
      <c r="X234">
        <f>'RESUMEN TOTAL'!AF237</f>
        <v>0</v>
      </c>
      <c r="Y234">
        <f>'RESUMEN TOTAL'!AG237</f>
        <v>0</v>
      </c>
      <c r="Z234">
        <f>'RESUMEN TOTAL'!AH237</f>
        <v>0</v>
      </c>
      <c r="AA234">
        <f>'RESUMEN TOTAL'!AI237</f>
        <v>0</v>
      </c>
      <c r="AB234">
        <f>'RESUMEN TOTAL'!AJ237</f>
        <v>0</v>
      </c>
      <c r="AC234">
        <f>'RESUMEN TOTAL'!AK237</f>
        <v>0</v>
      </c>
      <c r="AD234">
        <f>'RESUMEN TOTAL'!AL237</f>
        <v>0</v>
      </c>
      <c r="AE234">
        <f>'RESUMEN TOTAL'!AM237</f>
        <v>0</v>
      </c>
      <c r="AF234">
        <f>'RESUMEN TOTAL'!AN237</f>
        <v>0</v>
      </c>
      <c r="AG234">
        <f>'RESUMEN TOTAL'!AO237</f>
        <v>0</v>
      </c>
    </row>
    <row r="235" spans="1:33" x14ac:dyDescent="0.25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TOTAL'!N238</f>
        <v>APAGADO</v>
      </c>
      <c r="G235" t="str">
        <f>'RESUMEN TOTAL'!O238</f>
        <v>APAGADO</v>
      </c>
      <c r="H235" t="str">
        <f>'RESUMEN TOTAL'!P238</f>
        <v>APAGADO</v>
      </c>
      <c r="I235" t="str">
        <f>'RESUMEN TOTAL'!Q238</f>
        <v>APAGADO</v>
      </c>
      <c r="J235">
        <f>'RESUMEN TOTAL'!R238</f>
        <v>0</v>
      </c>
      <c r="K235">
        <f>'RESUMEN TOTAL'!S238</f>
        <v>0</v>
      </c>
      <c r="L235">
        <f>'RESUMEN TOTAL'!T238</f>
        <v>0</v>
      </c>
      <c r="M235">
        <f>'RESUMEN TOTAL'!U238</f>
        <v>0</v>
      </c>
      <c r="N235">
        <f>'RESUMEN TOTAL'!V238</f>
        <v>0</v>
      </c>
      <c r="O235">
        <f>'RESUMEN TOTAL'!W238</f>
        <v>0</v>
      </c>
      <c r="P235">
        <f>'RESUMEN TOTAL'!X238</f>
        <v>0</v>
      </c>
      <c r="Q235">
        <f>'RESUMEN TOTAL'!Y238</f>
        <v>0</v>
      </c>
      <c r="R235">
        <f>'RESUMEN TOTAL'!Z238</f>
        <v>0</v>
      </c>
      <c r="S235">
        <f>'RESUMEN TOTAL'!AA238</f>
        <v>0</v>
      </c>
      <c r="T235">
        <f>'RESUMEN TOTAL'!AB238</f>
        <v>0</v>
      </c>
      <c r="U235">
        <f>'RESUMEN TOTAL'!AC238</f>
        <v>0</v>
      </c>
      <c r="V235">
        <f>'RESUMEN TOTAL'!AD238</f>
        <v>0</v>
      </c>
      <c r="W235">
        <f>'RESUMEN TOTAL'!AE238</f>
        <v>0</v>
      </c>
      <c r="X235">
        <f>'RESUMEN TOTAL'!AF238</f>
        <v>0</v>
      </c>
      <c r="Y235">
        <f>'RESUMEN TOTAL'!AG238</f>
        <v>0</v>
      </c>
      <c r="Z235">
        <f>'RESUMEN TOTAL'!AH238</f>
        <v>0</v>
      </c>
      <c r="AA235">
        <f>'RESUMEN TOTAL'!AI238</f>
        <v>0</v>
      </c>
      <c r="AB235">
        <f>'RESUMEN TOTAL'!AJ238</f>
        <v>0</v>
      </c>
      <c r="AC235">
        <f>'RESUMEN TOTAL'!AK238</f>
        <v>0</v>
      </c>
      <c r="AD235">
        <f>'RESUMEN TOTAL'!AL238</f>
        <v>0</v>
      </c>
      <c r="AE235">
        <f>'RESUMEN TOTAL'!AM238</f>
        <v>0</v>
      </c>
      <c r="AF235">
        <f>'RESUMEN TOTAL'!AN238</f>
        <v>0</v>
      </c>
      <c r="AG235">
        <f>'RESUMEN TOTAL'!AO238</f>
        <v>0</v>
      </c>
    </row>
    <row r="236" spans="1:33" x14ac:dyDescent="0.25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 t="str">
        <f>'RESUMEN TOTAL'!N239</f>
        <v>APAGADO</v>
      </c>
      <c r="G236" t="str">
        <f>'RESUMEN TOTAL'!O239</f>
        <v>APAGADO</v>
      </c>
      <c r="H236" t="str">
        <f>'RESUMEN TOTAL'!P239</f>
        <v>APAGADO</v>
      </c>
      <c r="I236" t="str">
        <f>'RESUMEN TOTAL'!Q239</f>
        <v>APAGADO</v>
      </c>
      <c r="J236" t="str">
        <f>'RESUMEN TOTAL'!R239</f>
        <v>APAGADO</v>
      </c>
      <c r="K236" t="str">
        <f>'RESUMEN TOTAL'!S239</f>
        <v>APAGADO</v>
      </c>
      <c r="L236" t="str">
        <f>'RESUMEN TOTAL'!T239</f>
        <v>APAGADO</v>
      </c>
      <c r="M236">
        <f>'RESUMEN TOTAL'!U239</f>
        <v>0</v>
      </c>
      <c r="N236">
        <f>'RESUMEN TOTAL'!V239</f>
        <v>0</v>
      </c>
      <c r="O236">
        <f>'RESUMEN TOTAL'!W239</f>
        <v>0</v>
      </c>
      <c r="P236">
        <f>'RESUMEN TOTAL'!X239</f>
        <v>0</v>
      </c>
      <c r="Q236">
        <f>'RESUMEN TOTAL'!Y239</f>
        <v>0</v>
      </c>
      <c r="R236">
        <f>'RESUMEN TOTAL'!Z239</f>
        <v>0</v>
      </c>
      <c r="S236">
        <f>'RESUMEN TOTAL'!AA239</f>
        <v>0</v>
      </c>
      <c r="T236">
        <f>'RESUMEN TOTAL'!AB239</f>
        <v>0</v>
      </c>
      <c r="U236">
        <f>'RESUMEN TOTAL'!AC239</f>
        <v>0</v>
      </c>
      <c r="V236">
        <f>'RESUMEN TOTAL'!AD239</f>
        <v>0</v>
      </c>
      <c r="W236">
        <f>'RESUMEN TOTAL'!AE239</f>
        <v>0</v>
      </c>
      <c r="X236">
        <f>'RESUMEN TOTAL'!AF239</f>
        <v>0</v>
      </c>
      <c r="Y236">
        <f>'RESUMEN TOTAL'!AG239</f>
        <v>0</v>
      </c>
      <c r="Z236">
        <f>'RESUMEN TOTAL'!AH239</f>
        <v>0</v>
      </c>
      <c r="AA236">
        <f>'RESUMEN TOTAL'!AI239</f>
        <v>0</v>
      </c>
      <c r="AB236">
        <f>'RESUMEN TOTAL'!AJ239</f>
        <v>0</v>
      </c>
      <c r="AC236">
        <f>'RESUMEN TOTAL'!AK239</f>
        <v>0</v>
      </c>
      <c r="AD236">
        <f>'RESUMEN TOTAL'!AL239</f>
        <v>0</v>
      </c>
      <c r="AE236">
        <f>'RESUMEN TOTAL'!AM239</f>
        <v>0</v>
      </c>
      <c r="AF236">
        <f>'RESUMEN TOTAL'!AN239</f>
        <v>0</v>
      </c>
      <c r="AG236">
        <f>'RESUMEN TOTAL'!AO239</f>
        <v>0</v>
      </c>
    </row>
    <row r="237" spans="1:33" x14ac:dyDescent="0.25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 t="str">
        <f>'RESUMEN TOTAL'!N240</f>
        <v>APAGADO</v>
      </c>
      <c r="G237" t="str">
        <f>'RESUMEN TOTAL'!O240</f>
        <v>APAGADO</v>
      </c>
      <c r="H237" t="str">
        <f>'RESUMEN TOTAL'!P240</f>
        <v>APAGADO</v>
      </c>
      <c r="I237" t="str">
        <f>'RESUMEN TOTAL'!Q240</f>
        <v>APAGADO</v>
      </c>
      <c r="J237" t="str">
        <f>'RESUMEN TOTAL'!R240</f>
        <v>APAGADO</v>
      </c>
      <c r="K237" t="str">
        <f>'RESUMEN TOTAL'!S240</f>
        <v>APAGADO</v>
      </c>
      <c r="L237" t="str">
        <f>'RESUMEN TOTAL'!T240</f>
        <v>APAGADO</v>
      </c>
      <c r="M237">
        <f>'RESUMEN TOTAL'!U240</f>
        <v>0</v>
      </c>
      <c r="N237">
        <f>'RESUMEN TOTAL'!V240</f>
        <v>0</v>
      </c>
      <c r="O237">
        <f>'RESUMEN TOTAL'!W240</f>
        <v>0</v>
      </c>
      <c r="P237">
        <f>'RESUMEN TOTAL'!X240</f>
        <v>0</v>
      </c>
      <c r="Q237">
        <f>'RESUMEN TOTAL'!Y240</f>
        <v>0</v>
      </c>
      <c r="R237">
        <f>'RESUMEN TOTAL'!Z240</f>
        <v>0</v>
      </c>
      <c r="S237">
        <f>'RESUMEN TOTAL'!AA240</f>
        <v>0</v>
      </c>
      <c r="T237">
        <f>'RESUMEN TOTAL'!AB240</f>
        <v>0</v>
      </c>
      <c r="U237">
        <f>'RESUMEN TOTAL'!AC240</f>
        <v>0</v>
      </c>
      <c r="V237">
        <f>'RESUMEN TOTAL'!AD240</f>
        <v>0</v>
      </c>
      <c r="W237">
        <f>'RESUMEN TOTAL'!AE240</f>
        <v>0</v>
      </c>
      <c r="X237">
        <f>'RESUMEN TOTAL'!AF240</f>
        <v>0</v>
      </c>
      <c r="Y237">
        <f>'RESUMEN TOTAL'!AG240</f>
        <v>0</v>
      </c>
      <c r="Z237">
        <f>'RESUMEN TOTAL'!AH240</f>
        <v>0</v>
      </c>
      <c r="AA237">
        <f>'RESUMEN TOTAL'!AI240</f>
        <v>0</v>
      </c>
      <c r="AB237">
        <f>'RESUMEN TOTAL'!AJ240</f>
        <v>0</v>
      </c>
      <c r="AC237">
        <f>'RESUMEN TOTAL'!AK240</f>
        <v>0</v>
      </c>
      <c r="AD237">
        <f>'RESUMEN TOTAL'!AL240</f>
        <v>0</v>
      </c>
      <c r="AE237">
        <f>'RESUMEN TOTAL'!AM240</f>
        <v>0</v>
      </c>
      <c r="AF237">
        <f>'RESUMEN TOTAL'!AN240</f>
        <v>0</v>
      </c>
      <c r="AG237">
        <f>'RESUMEN TOTAL'!AO240</f>
        <v>0</v>
      </c>
    </row>
    <row r="238" spans="1:33" x14ac:dyDescent="0.25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TOTAL'!N241</f>
        <v>0</v>
      </c>
      <c r="G238">
        <f>'RESUMEN TOTAL'!O241</f>
        <v>0</v>
      </c>
      <c r="H238">
        <f>'RESUMEN TOTAL'!P241</f>
        <v>0</v>
      </c>
      <c r="I238">
        <f>'RESUMEN TOTAL'!Q241</f>
        <v>0</v>
      </c>
      <c r="J238">
        <f>'RESUMEN TOTAL'!R241</f>
        <v>0</v>
      </c>
      <c r="K238">
        <f>'RESUMEN TOTAL'!S241</f>
        <v>0</v>
      </c>
      <c r="L238">
        <f>'RESUMEN TOTAL'!T241</f>
        <v>0</v>
      </c>
      <c r="M238">
        <f>'RESUMEN TOTAL'!U241</f>
        <v>0</v>
      </c>
      <c r="N238">
        <f>'RESUMEN TOTAL'!V241</f>
        <v>0</v>
      </c>
      <c r="O238">
        <f>'RESUMEN TOTAL'!W241</f>
        <v>0</v>
      </c>
      <c r="P238">
        <f>'RESUMEN TOTAL'!X241</f>
        <v>0</v>
      </c>
      <c r="Q238">
        <f>'RESUMEN TOTAL'!Y241</f>
        <v>0</v>
      </c>
      <c r="R238">
        <f>'RESUMEN TOTAL'!Z241</f>
        <v>0</v>
      </c>
      <c r="S238">
        <f>'RESUMEN TOTAL'!AA241</f>
        <v>0</v>
      </c>
      <c r="T238">
        <f>'RESUMEN TOTAL'!AB241</f>
        <v>0</v>
      </c>
      <c r="U238">
        <f>'RESUMEN TOTAL'!AC241</f>
        <v>0</v>
      </c>
      <c r="V238">
        <f>'RESUMEN TOTAL'!AD241</f>
        <v>0</v>
      </c>
      <c r="W238">
        <f>'RESUMEN TOTAL'!AE241</f>
        <v>0</v>
      </c>
      <c r="X238">
        <f>'RESUMEN TOTAL'!AF241</f>
        <v>0</v>
      </c>
      <c r="Y238">
        <f>'RESUMEN TOTAL'!AG241</f>
        <v>0</v>
      </c>
      <c r="Z238">
        <f>'RESUMEN TOTAL'!AH241</f>
        <v>0</v>
      </c>
      <c r="AA238">
        <f>'RESUMEN TOTAL'!AI241</f>
        <v>0</v>
      </c>
      <c r="AB238">
        <f>'RESUMEN TOTAL'!AJ241</f>
        <v>0</v>
      </c>
      <c r="AC238">
        <f>'RESUMEN TOTAL'!AK241</f>
        <v>0</v>
      </c>
      <c r="AD238">
        <f>'RESUMEN TOTAL'!AL241</f>
        <v>0</v>
      </c>
      <c r="AE238">
        <f>'RESUMEN TOTAL'!AM241</f>
        <v>0</v>
      </c>
      <c r="AF238">
        <f>'RESUMEN TOTAL'!AN241</f>
        <v>0</v>
      </c>
      <c r="AG238">
        <f>'RESUMEN TOTAL'!AO241</f>
        <v>0</v>
      </c>
    </row>
    <row r="239" spans="1:33" x14ac:dyDescent="0.25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TOTAL'!N242</f>
        <v>0</v>
      </c>
      <c r="G239">
        <f>'RESUMEN TOTAL'!O242</f>
        <v>0</v>
      </c>
      <c r="H239">
        <f>'RESUMEN TOTAL'!P242</f>
        <v>0</v>
      </c>
      <c r="I239">
        <f>'RESUMEN TOTAL'!Q242</f>
        <v>0</v>
      </c>
      <c r="J239">
        <f>'RESUMEN TOTAL'!R242</f>
        <v>0</v>
      </c>
      <c r="K239">
        <f>'RESUMEN TOTAL'!S242</f>
        <v>0</v>
      </c>
      <c r="L239">
        <f>'RESUMEN TOTAL'!T242</f>
        <v>0</v>
      </c>
      <c r="M239">
        <f>'RESUMEN TOTAL'!U242</f>
        <v>0</v>
      </c>
      <c r="N239">
        <f>'RESUMEN TOTAL'!V242</f>
        <v>0</v>
      </c>
      <c r="O239">
        <f>'RESUMEN TOTAL'!W242</f>
        <v>0</v>
      </c>
      <c r="P239">
        <f>'RESUMEN TOTAL'!X242</f>
        <v>0</v>
      </c>
      <c r="Q239">
        <f>'RESUMEN TOTAL'!Y242</f>
        <v>0</v>
      </c>
      <c r="R239">
        <f>'RESUMEN TOTAL'!Z242</f>
        <v>0</v>
      </c>
      <c r="S239">
        <f>'RESUMEN TOTAL'!AA242</f>
        <v>0</v>
      </c>
      <c r="T239">
        <f>'RESUMEN TOTAL'!AB242</f>
        <v>0</v>
      </c>
      <c r="U239">
        <f>'RESUMEN TOTAL'!AC242</f>
        <v>0</v>
      </c>
      <c r="V239">
        <f>'RESUMEN TOTAL'!AD242</f>
        <v>0</v>
      </c>
      <c r="W239">
        <f>'RESUMEN TOTAL'!AE242</f>
        <v>0</v>
      </c>
      <c r="X239">
        <f>'RESUMEN TOTAL'!AF242</f>
        <v>0</v>
      </c>
      <c r="Y239">
        <f>'RESUMEN TOTAL'!AG242</f>
        <v>0</v>
      </c>
      <c r="Z239">
        <f>'RESUMEN TOTAL'!AH242</f>
        <v>0</v>
      </c>
      <c r="AA239">
        <f>'RESUMEN TOTAL'!AI242</f>
        <v>0</v>
      </c>
      <c r="AB239">
        <f>'RESUMEN TOTAL'!AJ242</f>
        <v>0</v>
      </c>
      <c r="AC239">
        <f>'RESUMEN TOTAL'!AK242</f>
        <v>0</v>
      </c>
      <c r="AD239">
        <f>'RESUMEN TOTAL'!AL242</f>
        <v>0</v>
      </c>
      <c r="AE239">
        <f>'RESUMEN TOTAL'!AM242</f>
        <v>0</v>
      </c>
      <c r="AF239">
        <f>'RESUMEN TOTAL'!AN242</f>
        <v>0</v>
      </c>
      <c r="AG239">
        <f>'RESUMEN TOTAL'!AO242</f>
        <v>0</v>
      </c>
    </row>
    <row r="240" spans="1:33" x14ac:dyDescent="0.25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TOTAL'!N243</f>
        <v>0</v>
      </c>
      <c r="G240">
        <f>'RESUMEN TOTAL'!O243</f>
        <v>0</v>
      </c>
      <c r="H240">
        <f>'RESUMEN TOTAL'!P243</f>
        <v>0</v>
      </c>
      <c r="I240">
        <f>'RESUMEN TOTAL'!Q243</f>
        <v>0</v>
      </c>
      <c r="J240">
        <f>'RESUMEN TOTAL'!R243</f>
        <v>0</v>
      </c>
      <c r="K240">
        <f>'RESUMEN TOTAL'!S243</f>
        <v>0</v>
      </c>
      <c r="L240">
        <f>'RESUMEN TOTAL'!T243</f>
        <v>0</v>
      </c>
      <c r="M240">
        <f>'RESUMEN TOTAL'!U243</f>
        <v>0</v>
      </c>
      <c r="N240">
        <f>'RESUMEN TOTAL'!V243</f>
        <v>0</v>
      </c>
      <c r="O240">
        <f>'RESUMEN TOTAL'!W243</f>
        <v>0</v>
      </c>
      <c r="P240">
        <f>'RESUMEN TOTAL'!X243</f>
        <v>0</v>
      </c>
      <c r="Q240">
        <f>'RESUMEN TOTAL'!Y243</f>
        <v>0</v>
      </c>
      <c r="R240">
        <f>'RESUMEN TOTAL'!Z243</f>
        <v>0</v>
      </c>
      <c r="S240">
        <f>'RESUMEN TOTAL'!AA243</f>
        <v>0</v>
      </c>
      <c r="T240">
        <f>'RESUMEN TOTAL'!AB243</f>
        <v>0</v>
      </c>
      <c r="U240">
        <f>'RESUMEN TOTAL'!AC243</f>
        <v>0</v>
      </c>
      <c r="V240">
        <f>'RESUMEN TOTAL'!AD243</f>
        <v>0</v>
      </c>
      <c r="W240">
        <f>'RESUMEN TOTAL'!AE243</f>
        <v>0</v>
      </c>
      <c r="X240">
        <f>'RESUMEN TOTAL'!AF243</f>
        <v>0</v>
      </c>
      <c r="Y240">
        <f>'RESUMEN TOTAL'!AG243</f>
        <v>0</v>
      </c>
      <c r="Z240">
        <f>'RESUMEN TOTAL'!AH243</f>
        <v>0</v>
      </c>
      <c r="AA240">
        <f>'RESUMEN TOTAL'!AI243</f>
        <v>0</v>
      </c>
      <c r="AB240">
        <f>'RESUMEN TOTAL'!AJ243</f>
        <v>0</v>
      </c>
      <c r="AC240">
        <f>'RESUMEN TOTAL'!AK243</f>
        <v>0</v>
      </c>
      <c r="AD240">
        <f>'RESUMEN TOTAL'!AL243</f>
        <v>0</v>
      </c>
      <c r="AE240">
        <f>'RESUMEN TOTAL'!AM243</f>
        <v>0</v>
      </c>
      <c r="AF240">
        <f>'RESUMEN TOTAL'!AN243</f>
        <v>0</v>
      </c>
      <c r="AG240">
        <f>'RESUMEN TOTAL'!AO243</f>
        <v>0</v>
      </c>
    </row>
    <row r="241" spans="1:33" x14ac:dyDescent="0.25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TOTAL'!N244</f>
        <v>0</v>
      </c>
      <c r="G241">
        <f>'RESUMEN TOTAL'!O244</f>
        <v>0</v>
      </c>
      <c r="H241">
        <f>'RESUMEN TOTAL'!P244</f>
        <v>0</v>
      </c>
      <c r="I241">
        <f>'RESUMEN TOTAL'!Q244</f>
        <v>0</v>
      </c>
      <c r="J241">
        <f>'RESUMEN TOTAL'!R244</f>
        <v>0</v>
      </c>
      <c r="K241">
        <f>'RESUMEN TOTAL'!S244</f>
        <v>0</v>
      </c>
      <c r="L241">
        <f>'RESUMEN TOTAL'!T244</f>
        <v>0</v>
      </c>
      <c r="M241">
        <f>'RESUMEN TOTAL'!U244</f>
        <v>0</v>
      </c>
      <c r="N241">
        <f>'RESUMEN TOTAL'!V244</f>
        <v>0</v>
      </c>
      <c r="O241">
        <f>'RESUMEN TOTAL'!W244</f>
        <v>0</v>
      </c>
      <c r="P241">
        <f>'RESUMEN TOTAL'!X244</f>
        <v>0</v>
      </c>
      <c r="Q241">
        <f>'RESUMEN TOTAL'!Y244</f>
        <v>0</v>
      </c>
      <c r="R241">
        <f>'RESUMEN TOTAL'!Z244</f>
        <v>0</v>
      </c>
      <c r="S241">
        <f>'RESUMEN TOTAL'!AA244</f>
        <v>0</v>
      </c>
      <c r="T241">
        <f>'RESUMEN TOTAL'!AB244</f>
        <v>0</v>
      </c>
      <c r="U241">
        <f>'RESUMEN TOTAL'!AC244</f>
        <v>0</v>
      </c>
      <c r="V241">
        <f>'RESUMEN TOTAL'!AD244</f>
        <v>0</v>
      </c>
      <c r="W241">
        <f>'RESUMEN TOTAL'!AE244</f>
        <v>0</v>
      </c>
      <c r="X241">
        <f>'RESUMEN TOTAL'!AF244</f>
        <v>0</v>
      </c>
      <c r="Y241">
        <f>'RESUMEN TOTAL'!AG244</f>
        <v>0</v>
      </c>
      <c r="Z241">
        <f>'RESUMEN TOTAL'!AH244</f>
        <v>0</v>
      </c>
      <c r="AA241">
        <f>'RESUMEN TOTAL'!AI244</f>
        <v>0</v>
      </c>
      <c r="AB241">
        <f>'RESUMEN TOTAL'!AJ244</f>
        <v>0</v>
      </c>
      <c r="AC241">
        <f>'RESUMEN TOTAL'!AK244</f>
        <v>0</v>
      </c>
      <c r="AD241">
        <f>'RESUMEN TOTAL'!AL244</f>
        <v>0</v>
      </c>
      <c r="AE241">
        <f>'RESUMEN TOTAL'!AM244</f>
        <v>0</v>
      </c>
      <c r="AF241">
        <f>'RESUMEN TOTAL'!AN244</f>
        <v>0</v>
      </c>
      <c r="AG241">
        <f>'RESUMEN TOTAL'!AO244</f>
        <v>0</v>
      </c>
    </row>
    <row r="242" spans="1:33" x14ac:dyDescent="0.25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TOTAL'!N245</f>
        <v>0</v>
      </c>
      <c r="G242">
        <f>'RESUMEN TOTAL'!O245</f>
        <v>0</v>
      </c>
      <c r="H242">
        <f>'RESUMEN TOTAL'!P245</f>
        <v>0</v>
      </c>
      <c r="I242">
        <f>'RESUMEN TOTAL'!Q245</f>
        <v>0</v>
      </c>
      <c r="J242">
        <f>'RESUMEN TOTAL'!R245</f>
        <v>0</v>
      </c>
      <c r="K242">
        <f>'RESUMEN TOTAL'!S245</f>
        <v>0</v>
      </c>
      <c r="L242">
        <f>'RESUMEN TOTAL'!T245</f>
        <v>0</v>
      </c>
      <c r="M242">
        <f>'RESUMEN TOTAL'!U245</f>
        <v>0</v>
      </c>
      <c r="N242">
        <f>'RESUMEN TOTAL'!V245</f>
        <v>0</v>
      </c>
      <c r="O242">
        <f>'RESUMEN TOTAL'!W245</f>
        <v>0</v>
      </c>
      <c r="P242">
        <f>'RESUMEN TOTAL'!X245</f>
        <v>0</v>
      </c>
      <c r="Q242">
        <f>'RESUMEN TOTAL'!Y245</f>
        <v>0</v>
      </c>
      <c r="R242">
        <f>'RESUMEN TOTAL'!Z245</f>
        <v>0</v>
      </c>
      <c r="S242">
        <f>'RESUMEN TOTAL'!AA245</f>
        <v>0</v>
      </c>
      <c r="T242">
        <f>'RESUMEN TOTAL'!AB245</f>
        <v>0</v>
      </c>
      <c r="U242">
        <f>'RESUMEN TOTAL'!AC245</f>
        <v>0</v>
      </c>
      <c r="V242">
        <f>'RESUMEN TOTAL'!AD245</f>
        <v>0</v>
      </c>
      <c r="W242">
        <f>'RESUMEN TOTAL'!AE245</f>
        <v>0</v>
      </c>
      <c r="X242">
        <f>'RESUMEN TOTAL'!AF245</f>
        <v>0</v>
      </c>
      <c r="Y242">
        <f>'RESUMEN TOTAL'!AG245</f>
        <v>0</v>
      </c>
      <c r="Z242">
        <f>'RESUMEN TOTAL'!AH245</f>
        <v>0</v>
      </c>
      <c r="AA242">
        <f>'RESUMEN TOTAL'!AI245</f>
        <v>0</v>
      </c>
      <c r="AB242">
        <f>'RESUMEN TOTAL'!AJ245</f>
        <v>0</v>
      </c>
      <c r="AC242">
        <f>'RESUMEN TOTAL'!AK245</f>
        <v>0</v>
      </c>
      <c r="AD242">
        <f>'RESUMEN TOTAL'!AL245</f>
        <v>0</v>
      </c>
      <c r="AE242">
        <f>'RESUMEN TOTAL'!AM245</f>
        <v>0</v>
      </c>
      <c r="AF242">
        <f>'RESUMEN TOTAL'!AN245</f>
        <v>0</v>
      </c>
      <c r="AG242">
        <f>'RESUMEN TOTAL'!AO245</f>
        <v>0</v>
      </c>
    </row>
    <row r="243" spans="1:33" x14ac:dyDescent="0.25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TOTAL'!N246</f>
        <v>0</v>
      </c>
      <c r="G243">
        <f>'RESUMEN TOTAL'!O246</f>
        <v>0</v>
      </c>
      <c r="H243">
        <f>'RESUMEN TOTAL'!P246</f>
        <v>0</v>
      </c>
      <c r="I243">
        <f>'RESUMEN TOTAL'!Q246</f>
        <v>0</v>
      </c>
      <c r="J243">
        <f>'RESUMEN TOTAL'!R246</f>
        <v>0</v>
      </c>
      <c r="K243">
        <f>'RESUMEN TOTAL'!S246</f>
        <v>0</v>
      </c>
      <c r="L243">
        <f>'RESUMEN TOTAL'!T246</f>
        <v>0</v>
      </c>
      <c r="M243">
        <f>'RESUMEN TOTAL'!U246</f>
        <v>0</v>
      </c>
      <c r="N243">
        <f>'RESUMEN TOTAL'!V246</f>
        <v>0</v>
      </c>
      <c r="O243">
        <f>'RESUMEN TOTAL'!W246</f>
        <v>0</v>
      </c>
      <c r="P243">
        <f>'RESUMEN TOTAL'!X246</f>
        <v>0</v>
      </c>
      <c r="Q243">
        <f>'RESUMEN TOTAL'!Y246</f>
        <v>0</v>
      </c>
      <c r="R243">
        <f>'RESUMEN TOTAL'!Z246</f>
        <v>0</v>
      </c>
      <c r="S243">
        <f>'RESUMEN TOTAL'!AA246</f>
        <v>0</v>
      </c>
      <c r="T243">
        <f>'RESUMEN TOTAL'!AB246</f>
        <v>0</v>
      </c>
      <c r="U243">
        <f>'RESUMEN TOTAL'!AC246</f>
        <v>0</v>
      </c>
      <c r="V243">
        <f>'RESUMEN TOTAL'!AD246</f>
        <v>0</v>
      </c>
      <c r="W243">
        <f>'RESUMEN TOTAL'!AE246</f>
        <v>0</v>
      </c>
      <c r="X243">
        <f>'RESUMEN TOTAL'!AF246</f>
        <v>0</v>
      </c>
      <c r="Y243">
        <f>'RESUMEN TOTAL'!AG246</f>
        <v>0</v>
      </c>
      <c r="Z243">
        <f>'RESUMEN TOTAL'!AH246</f>
        <v>0</v>
      </c>
      <c r="AA243">
        <f>'RESUMEN TOTAL'!AI246</f>
        <v>0</v>
      </c>
      <c r="AB243">
        <f>'RESUMEN TOTAL'!AJ246</f>
        <v>0</v>
      </c>
      <c r="AC243">
        <f>'RESUMEN TOTAL'!AK246</f>
        <v>0</v>
      </c>
      <c r="AD243">
        <f>'RESUMEN TOTAL'!AL246</f>
        <v>0</v>
      </c>
      <c r="AE243">
        <f>'RESUMEN TOTAL'!AM246</f>
        <v>0</v>
      </c>
      <c r="AF243">
        <f>'RESUMEN TOTAL'!AN246</f>
        <v>0</v>
      </c>
      <c r="AG243">
        <f>'RESUMEN TOTAL'!AO246</f>
        <v>0</v>
      </c>
    </row>
    <row r="244" spans="1:33" x14ac:dyDescent="0.25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>
        <f>'RESUMEN TOTAL'!N247</f>
        <v>0</v>
      </c>
      <c r="G244">
        <f>'RESUMEN TOTAL'!O247</f>
        <v>0</v>
      </c>
      <c r="H244">
        <f>'RESUMEN TOTAL'!P247</f>
        <v>0</v>
      </c>
      <c r="I244">
        <f>'RESUMEN TOTAL'!Q247</f>
        <v>0</v>
      </c>
      <c r="J244">
        <f>'RESUMEN TOTAL'!R247</f>
        <v>0</v>
      </c>
      <c r="K244">
        <f>'RESUMEN TOTAL'!S247</f>
        <v>0</v>
      </c>
      <c r="L244">
        <f>'RESUMEN TOTAL'!T247</f>
        <v>0</v>
      </c>
      <c r="M244">
        <f>'RESUMEN TOTAL'!U247</f>
        <v>0</v>
      </c>
      <c r="N244">
        <f>'RESUMEN TOTAL'!V247</f>
        <v>0</v>
      </c>
      <c r="O244">
        <f>'RESUMEN TOTAL'!W247</f>
        <v>0</v>
      </c>
      <c r="P244">
        <f>'RESUMEN TOTAL'!X247</f>
        <v>0</v>
      </c>
      <c r="Q244">
        <f>'RESUMEN TOTAL'!Y247</f>
        <v>0</v>
      </c>
      <c r="R244">
        <f>'RESUMEN TOTAL'!Z247</f>
        <v>0</v>
      </c>
      <c r="S244">
        <f>'RESUMEN TOTAL'!AA247</f>
        <v>0</v>
      </c>
      <c r="T244">
        <f>'RESUMEN TOTAL'!AB247</f>
        <v>0</v>
      </c>
      <c r="U244">
        <f>'RESUMEN TOTAL'!AC247</f>
        <v>0</v>
      </c>
      <c r="V244">
        <f>'RESUMEN TOTAL'!AD247</f>
        <v>0</v>
      </c>
      <c r="W244">
        <f>'RESUMEN TOTAL'!AE247</f>
        <v>0</v>
      </c>
      <c r="X244">
        <f>'RESUMEN TOTAL'!AF247</f>
        <v>0</v>
      </c>
      <c r="Y244">
        <f>'RESUMEN TOTAL'!AG247</f>
        <v>0</v>
      </c>
      <c r="Z244">
        <f>'RESUMEN TOTAL'!AH247</f>
        <v>0</v>
      </c>
      <c r="AA244">
        <f>'RESUMEN TOTAL'!AI247</f>
        <v>0</v>
      </c>
      <c r="AB244">
        <f>'RESUMEN TOTAL'!AJ247</f>
        <v>0</v>
      </c>
      <c r="AC244">
        <f>'RESUMEN TOTAL'!AK247</f>
        <v>0</v>
      </c>
      <c r="AD244">
        <f>'RESUMEN TOTAL'!AL247</f>
        <v>0</v>
      </c>
      <c r="AE244">
        <f>'RESUMEN TOTAL'!AM247</f>
        <v>0</v>
      </c>
      <c r="AF244">
        <f>'RESUMEN TOTAL'!AN247</f>
        <v>0</v>
      </c>
      <c r="AG244">
        <f>'RESUMEN TOTAL'!AO247</f>
        <v>0</v>
      </c>
    </row>
    <row r="245" spans="1:33" x14ac:dyDescent="0.25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TOTAL'!N248</f>
        <v>0</v>
      </c>
      <c r="G245">
        <f>'RESUMEN TOTAL'!O248</f>
        <v>0</v>
      </c>
      <c r="H245">
        <f>'RESUMEN TOTAL'!P248</f>
        <v>0</v>
      </c>
      <c r="I245">
        <f>'RESUMEN TOTAL'!Q248</f>
        <v>0</v>
      </c>
      <c r="J245" t="str">
        <f>'RESUMEN TOTAL'!R248</f>
        <v>APAGADO</v>
      </c>
      <c r="K245">
        <f>'RESUMEN TOTAL'!S248</f>
        <v>0</v>
      </c>
      <c r="L245">
        <f>'RESUMEN TOTAL'!T248</f>
        <v>0</v>
      </c>
      <c r="M245">
        <f>'RESUMEN TOTAL'!U248</f>
        <v>0</v>
      </c>
      <c r="N245">
        <f>'RESUMEN TOTAL'!V248</f>
        <v>0</v>
      </c>
      <c r="O245">
        <f>'RESUMEN TOTAL'!W248</f>
        <v>0</v>
      </c>
      <c r="P245">
        <f>'RESUMEN TOTAL'!X248</f>
        <v>0</v>
      </c>
      <c r="Q245">
        <f>'RESUMEN TOTAL'!Y248</f>
        <v>0</v>
      </c>
      <c r="R245">
        <f>'RESUMEN TOTAL'!Z248</f>
        <v>0</v>
      </c>
      <c r="S245">
        <f>'RESUMEN TOTAL'!AA248</f>
        <v>0</v>
      </c>
      <c r="T245">
        <f>'RESUMEN TOTAL'!AB248</f>
        <v>0</v>
      </c>
      <c r="U245">
        <f>'RESUMEN TOTAL'!AC248</f>
        <v>0</v>
      </c>
      <c r="V245">
        <f>'RESUMEN TOTAL'!AD248</f>
        <v>0</v>
      </c>
      <c r="W245">
        <f>'RESUMEN TOTAL'!AE248</f>
        <v>0</v>
      </c>
      <c r="X245">
        <f>'RESUMEN TOTAL'!AF248</f>
        <v>0</v>
      </c>
      <c r="Y245">
        <f>'RESUMEN TOTAL'!AG248</f>
        <v>0</v>
      </c>
      <c r="Z245">
        <f>'RESUMEN TOTAL'!AH248</f>
        <v>0</v>
      </c>
      <c r="AA245">
        <f>'RESUMEN TOTAL'!AI248</f>
        <v>0</v>
      </c>
      <c r="AB245">
        <f>'RESUMEN TOTAL'!AJ248</f>
        <v>0</v>
      </c>
      <c r="AC245">
        <f>'RESUMEN TOTAL'!AK248</f>
        <v>0</v>
      </c>
      <c r="AD245">
        <f>'RESUMEN TOTAL'!AL248</f>
        <v>0</v>
      </c>
      <c r="AE245">
        <f>'RESUMEN TOTAL'!AM248</f>
        <v>0</v>
      </c>
      <c r="AF245">
        <f>'RESUMEN TOTAL'!AN248</f>
        <v>0</v>
      </c>
      <c r="AG245">
        <f>'RESUMEN TOTAL'!AO248</f>
        <v>0</v>
      </c>
    </row>
    <row r="246" spans="1:33" x14ac:dyDescent="0.25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TOTAL'!N249</f>
        <v>APAGADO</v>
      </c>
      <c r="G246" t="str">
        <f>'RESUMEN TOTAL'!O249</f>
        <v>APAGADO</v>
      </c>
      <c r="H246" t="str">
        <f>'RESUMEN TOTAL'!P249</f>
        <v>APAGADO</v>
      </c>
      <c r="I246" t="str">
        <f>'RESUMEN TOTAL'!Q249</f>
        <v>APAGADO</v>
      </c>
      <c r="J246" t="str">
        <f>'RESUMEN TOTAL'!R249</f>
        <v>APAGADO</v>
      </c>
      <c r="K246" t="str">
        <f>'RESUMEN TOTAL'!S249</f>
        <v>APAGADO</v>
      </c>
      <c r="L246" t="str">
        <f>'RESUMEN TOTAL'!T249</f>
        <v>APAGADO</v>
      </c>
      <c r="M246">
        <f>'RESUMEN TOTAL'!U249</f>
        <v>0</v>
      </c>
      <c r="N246">
        <f>'RESUMEN TOTAL'!V249</f>
        <v>0</v>
      </c>
      <c r="O246">
        <f>'RESUMEN TOTAL'!W249</f>
        <v>0</v>
      </c>
      <c r="P246">
        <f>'RESUMEN TOTAL'!X249</f>
        <v>0</v>
      </c>
      <c r="Q246">
        <f>'RESUMEN TOTAL'!Y249</f>
        <v>0</v>
      </c>
      <c r="R246">
        <f>'RESUMEN TOTAL'!Z249</f>
        <v>0</v>
      </c>
      <c r="S246">
        <f>'RESUMEN TOTAL'!AA249</f>
        <v>0</v>
      </c>
      <c r="T246">
        <f>'RESUMEN TOTAL'!AB249</f>
        <v>0</v>
      </c>
      <c r="U246">
        <f>'RESUMEN TOTAL'!AC249</f>
        <v>0</v>
      </c>
      <c r="V246">
        <f>'RESUMEN TOTAL'!AD249</f>
        <v>0</v>
      </c>
      <c r="W246">
        <f>'RESUMEN TOTAL'!AE249</f>
        <v>0</v>
      </c>
      <c r="X246">
        <f>'RESUMEN TOTAL'!AF249</f>
        <v>0</v>
      </c>
      <c r="Y246">
        <f>'RESUMEN TOTAL'!AG249</f>
        <v>0</v>
      </c>
      <c r="Z246">
        <f>'RESUMEN TOTAL'!AH249</f>
        <v>0</v>
      </c>
      <c r="AA246">
        <f>'RESUMEN TOTAL'!AI249</f>
        <v>0</v>
      </c>
      <c r="AB246">
        <f>'RESUMEN TOTAL'!AJ249</f>
        <v>0</v>
      </c>
      <c r="AC246">
        <f>'RESUMEN TOTAL'!AK249</f>
        <v>0</v>
      </c>
      <c r="AD246">
        <f>'RESUMEN TOTAL'!AL249</f>
        <v>0</v>
      </c>
      <c r="AE246">
        <f>'RESUMEN TOTAL'!AM249</f>
        <v>0</v>
      </c>
      <c r="AF246">
        <f>'RESUMEN TOTAL'!AN249</f>
        <v>0</v>
      </c>
      <c r="AG246">
        <f>'RESUMEN TOTAL'!AO249</f>
        <v>0</v>
      </c>
    </row>
    <row r="247" spans="1:33" x14ac:dyDescent="0.25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TOTAL'!N250</f>
        <v>APAGADO</v>
      </c>
      <c r="G247" t="str">
        <f>'RESUMEN TOTAL'!O250</f>
        <v>APAGADO</v>
      </c>
      <c r="H247" t="str">
        <f>'RESUMEN TOTAL'!P250</f>
        <v>APAGADO</v>
      </c>
      <c r="I247" t="str">
        <f>'RESUMEN TOTAL'!Q250</f>
        <v>APAGADO</v>
      </c>
      <c r="J247" t="str">
        <f>'RESUMEN TOTAL'!R250</f>
        <v>APAGADO</v>
      </c>
      <c r="K247" t="str">
        <f>'RESUMEN TOTAL'!S250</f>
        <v>APAGADO</v>
      </c>
      <c r="L247" t="str">
        <f>'RESUMEN TOTAL'!T250</f>
        <v>APAGADO</v>
      </c>
      <c r="M247">
        <f>'RESUMEN TOTAL'!U250</f>
        <v>0</v>
      </c>
      <c r="N247">
        <f>'RESUMEN TOTAL'!V250</f>
        <v>0</v>
      </c>
      <c r="O247">
        <f>'RESUMEN TOTAL'!W250</f>
        <v>0</v>
      </c>
      <c r="P247">
        <f>'RESUMEN TOTAL'!X250</f>
        <v>0</v>
      </c>
      <c r="Q247">
        <f>'RESUMEN TOTAL'!Y250</f>
        <v>0</v>
      </c>
      <c r="R247">
        <f>'RESUMEN TOTAL'!Z250</f>
        <v>0</v>
      </c>
      <c r="S247">
        <f>'RESUMEN TOTAL'!AA250</f>
        <v>0</v>
      </c>
      <c r="T247">
        <f>'RESUMEN TOTAL'!AB250</f>
        <v>0</v>
      </c>
      <c r="U247">
        <f>'RESUMEN TOTAL'!AC250</f>
        <v>0</v>
      </c>
      <c r="V247">
        <f>'RESUMEN TOTAL'!AD250</f>
        <v>0</v>
      </c>
      <c r="W247">
        <f>'RESUMEN TOTAL'!AE250</f>
        <v>0</v>
      </c>
      <c r="X247">
        <f>'RESUMEN TOTAL'!AF250</f>
        <v>0</v>
      </c>
      <c r="Y247">
        <f>'RESUMEN TOTAL'!AG250</f>
        <v>0</v>
      </c>
      <c r="Z247">
        <f>'RESUMEN TOTAL'!AH250</f>
        <v>0</v>
      </c>
      <c r="AA247">
        <f>'RESUMEN TOTAL'!AI250</f>
        <v>0</v>
      </c>
      <c r="AB247">
        <f>'RESUMEN TOTAL'!AJ250</f>
        <v>0</v>
      </c>
      <c r="AC247">
        <f>'RESUMEN TOTAL'!AK250</f>
        <v>0</v>
      </c>
      <c r="AD247">
        <f>'RESUMEN TOTAL'!AL250</f>
        <v>0</v>
      </c>
      <c r="AE247">
        <f>'RESUMEN TOTAL'!AM250</f>
        <v>0</v>
      </c>
      <c r="AF247">
        <f>'RESUMEN TOTAL'!AN250</f>
        <v>0</v>
      </c>
      <c r="AG247">
        <f>'RESUMEN TOTAL'!AO250</f>
        <v>0</v>
      </c>
    </row>
    <row r="248" spans="1:33" x14ac:dyDescent="0.25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TOTAL'!N251</f>
        <v>APAGADO</v>
      </c>
      <c r="G248" t="str">
        <f>'RESUMEN TOTAL'!O251</f>
        <v>APAGADO</v>
      </c>
      <c r="H248" t="str">
        <f>'RESUMEN TOTAL'!P251</f>
        <v>APAGADO</v>
      </c>
      <c r="I248" t="str">
        <f>'RESUMEN TOTAL'!Q251</f>
        <v>APAGADO</v>
      </c>
      <c r="J248" t="str">
        <f>'RESUMEN TOTAL'!R251</f>
        <v>APAGADO</v>
      </c>
      <c r="K248" t="str">
        <f>'RESUMEN TOTAL'!S251</f>
        <v>APAGADO</v>
      </c>
      <c r="L248" t="str">
        <f>'RESUMEN TOTAL'!T251</f>
        <v>APAGADO</v>
      </c>
      <c r="M248">
        <f>'RESUMEN TOTAL'!U251</f>
        <v>0</v>
      </c>
      <c r="N248">
        <f>'RESUMEN TOTAL'!V251</f>
        <v>0</v>
      </c>
      <c r="O248">
        <f>'RESUMEN TOTAL'!W251</f>
        <v>0</v>
      </c>
      <c r="P248">
        <f>'RESUMEN TOTAL'!X251</f>
        <v>0</v>
      </c>
      <c r="Q248">
        <f>'RESUMEN TOTAL'!Y251</f>
        <v>0</v>
      </c>
      <c r="R248">
        <f>'RESUMEN TOTAL'!Z251</f>
        <v>0</v>
      </c>
      <c r="S248">
        <f>'RESUMEN TOTAL'!AA251</f>
        <v>0</v>
      </c>
      <c r="T248">
        <f>'RESUMEN TOTAL'!AB251</f>
        <v>0</v>
      </c>
      <c r="U248">
        <f>'RESUMEN TOTAL'!AC251</f>
        <v>0</v>
      </c>
      <c r="V248">
        <f>'RESUMEN TOTAL'!AD251</f>
        <v>0</v>
      </c>
      <c r="W248">
        <f>'RESUMEN TOTAL'!AE251</f>
        <v>0</v>
      </c>
      <c r="X248">
        <f>'RESUMEN TOTAL'!AF251</f>
        <v>0</v>
      </c>
      <c r="Y248">
        <f>'RESUMEN TOTAL'!AG251</f>
        <v>0</v>
      </c>
      <c r="Z248">
        <f>'RESUMEN TOTAL'!AH251</f>
        <v>0</v>
      </c>
      <c r="AA248">
        <f>'RESUMEN TOTAL'!AI251</f>
        <v>0</v>
      </c>
      <c r="AB248">
        <f>'RESUMEN TOTAL'!AJ251</f>
        <v>0</v>
      </c>
      <c r="AC248">
        <f>'RESUMEN TOTAL'!AK251</f>
        <v>0</v>
      </c>
      <c r="AD248">
        <f>'RESUMEN TOTAL'!AL251</f>
        <v>0</v>
      </c>
      <c r="AE248">
        <f>'RESUMEN TOTAL'!AM251</f>
        <v>0</v>
      </c>
      <c r="AF248">
        <f>'RESUMEN TOTAL'!AN251</f>
        <v>0</v>
      </c>
      <c r="AG248">
        <f>'RESUMEN TOTAL'!AO251</f>
        <v>0</v>
      </c>
    </row>
    <row r="249" spans="1:33" x14ac:dyDescent="0.25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TOTAL'!N252</f>
        <v>APAGADO</v>
      </c>
      <c r="G249" t="str">
        <f>'RESUMEN TOTAL'!O252</f>
        <v>APAGADO</v>
      </c>
      <c r="H249" t="str">
        <f>'RESUMEN TOTAL'!P252</f>
        <v>APAGADO</v>
      </c>
      <c r="I249" t="str">
        <f>'RESUMEN TOTAL'!Q252</f>
        <v>APAGADO</v>
      </c>
      <c r="J249" t="str">
        <f>'RESUMEN TOTAL'!R252</f>
        <v>APAGADO</v>
      </c>
      <c r="K249" t="str">
        <f>'RESUMEN TOTAL'!S252</f>
        <v>APAGADO</v>
      </c>
      <c r="L249" t="str">
        <f>'RESUMEN TOTAL'!T252</f>
        <v>APAGADO</v>
      </c>
      <c r="M249">
        <f>'RESUMEN TOTAL'!U252</f>
        <v>0</v>
      </c>
      <c r="N249">
        <f>'RESUMEN TOTAL'!V252</f>
        <v>0</v>
      </c>
      <c r="O249">
        <f>'RESUMEN TOTAL'!W252</f>
        <v>0</v>
      </c>
      <c r="P249">
        <f>'RESUMEN TOTAL'!X252</f>
        <v>0</v>
      </c>
      <c r="Q249">
        <f>'RESUMEN TOTAL'!Y252</f>
        <v>0</v>
      </c>
      <c r="R249">
        <f>'RESUMEN TOTAL'!Z252</f>
        <v>0</v>
      </c>
      <c r="S249">
        <f>'RESUMEN TOTAL'!AA252</f>
        <v>0</v>
      </c>
      <c r="T249">
        <f>'RESUMEN TOTAL'!AB252</f>
        <v>0</v>
      </c>
      <c r="U249">
        <f>'RESUMEN TOTAL'!AC252</f>
        <v>0</v>
      </c>
      <c r="V249">
        <f>'RESUMEN TOTAL'!AD252</f>
        <v>0</v>
      </c>
      <c r="W249">
        <f>'RESUMEN TOTAL'!AE252</f>
        <v>0</v>
      </c>
      <c r="X249">
        <f>'RESUMEN TOTAL'!AF252</f>
        <v>0</v>
      </c>
      <c r="Y249">
        <f>'RESUMEN TOTAL'!AG252</f>
        <v>0</v>
      </c>
      <c r="Z249">
        <f>'RESUMEN TOTAL'!AH252</f>
        <v>0</v>
      </c>
      <c r="AA249">
        <f>'RESUMEN TOTAL'!AI252</f>
        <v>0</v>
      </c>
      <c r="AB249">
        <f>'RESUMEN TOTAL'!AJ252</f>
        <v>0</v>
      </c>
      <c r="AC249">
        <f>'RESUMEN TOTAL'!AK252</f>
        <v>0</v>
      </c>
      <c r="AD249">
        <f>'RESUMEN TOTAL'!AL252</f>
        <v>0</v>
      </c>
      <c r="AE249">
        <f>'RESUMEN TOTAL'!AM252</f>
        <v>0</v>
      </c>
      <c r="AF249">
        <f>'RESUMEN TOTAL'!AN252</f>
        <v>0</v>
      </c>
      <c r="AG249">
        <f>'RESUMEN TOTAL'!AO252</f>
        <v>0</v>
      </c>
    </row>
    <row r="250" spans="1:33" x14ac:dyDescent="0.25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TOTAL'!N253</f>
        <v>0</v>
      </c>
      <c r="G250">
        <f>'RESUMEN TOTAL'!O253</f>
        <v>0</v>
      </c>
      <c r="H250">
        <f>'RESUMEN TOTAL'!P253</f>
        <v>0</v>
      </c>
      <c r="I250">
        <f>'RESUMEN TOTAL'!Q253</f>
        <v>0</v>
      </c>
      <c r="J250">
        <f>'RESUMEN TOTAL'!R253</f>
        <v>0</v>
      </c>
      <c r="K250">
        <f>'RESUMEN TOTAL'!S253</f>
        <v>0</v>
      </c>
      <c r="L250">
        <f>'RESUMEN TOTAL'!T253</f>
        <v>0</v>
      </c>
      <c r="M250">
        <f>'RESUMEN TOTAL'!U253</f>
        <v>0</v>
      </c>
      <c r="N250">
        <f>'RESUMEN TOTAL'!V253</f>
        <v>0</v>
      </c>
      <c r="O250">
        <f>'RESUMEN TOTAL'!W253</f>
        <v>0</v>
      </c>
      <c r="P250">
        <f>'RESUMEN TOTAL'!X253</f>
        <v>0</v>
      </c>
      <c r="Q250">
        <f>'RESUMEN TOTAL'!Y253</f>
        <v>0</v>
      </c>
      <c r="R250">
        <f>'RESUMEN TOTAL'!Z253</f>
        <v>0</v>
      </c>
      <c r="S250">
        <f>'RESUMEN TOTAL'!AA253</f>
        <v>0</v>
      </c>
      <c r="T250">
        <f>'RESUMEN TOTAL'!AB253</f>
        <v>0</v>
      </c>
      <c r="U250">
        <f>'RESUMEN TOTAL'!AC253</f>
        <v>0</v>
      </c>
      <c r="V250">
        <f>'RESUMEN TOTAL'!AD253</f>
        <v>0</v>
      </c>
      <c r="W250">
        <f>'RESUMEN TOTAL'!AE253</f>
        <v>0</v>
      </c>
      <c r="X250">
        <f>'RESUMEN TOTAL'!AF253</f>
        <v>0</v>
      </c>
      <c r="Y250">
        <f>'RESUMEN TOTAL'!AG253</f>
        <v>0</v>
      </c>
      <c r="Z250">
        <f>'RESUMEN TOTAL'!AH253</f>
        <v>0</v>
      </c>
      <c r="AA250">
        <f>'RESUMEN TOTAL'!AI253</f>
        <v>0</v>
      </c>
      <c r="AB250">
        <f>'RESUMEN TOTAL'!AJ253</f>
        <v>0</v>
      </c>
      <c r="AC250">
        <f>'RESUMEN TOTAL'!AK253</f>
        <v>0</v>
      </c>
      <c r="AD250">
        <f>'RESUMEN TOTAL'!AL253</f>
        <v>0</v>
      </c>
      <c r="AE250">
        <f>'RESUMEN TOTAL'!AM253</f>
        <v>0</v>
      </c>
      <c r="AF250">
        <f>'RESUMEN TOTAL'!AN253</f>
        <v>0</v>
      </c>
      <c r="AG250">
        <f>'RESUMEN TOTAL'!AO253</f>
        <v>0</v>
      </c>
    </row>
    <row r="251" spans="1:33" x14ac:dyDescent="0.25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TOTAL'!N254</f>
        <v>0</v>
      </c>
      <c r="G251">
        <f>'RESUMEN TOTAL'!O254</f>
        <v>0</v>
      </c>
      <c r="H251">
        <f>'RESUMEN TOTAL'!P254</f>
        <v>0</v>
      </c>
      <c r="I251">
        <f>'RESUMEN TOTAL'!Q254</f>
        <v>0</v>
      </c>
      <c r="J251">
        <f>'RESUMEN TOTAL'!R254</f>
        <v>0</v>
      </c>
      <c r="K251">
        <f>'RESUMEN TOTAL'!S254</f>
        <v>0</v>
      </c>
      <c r="L251">
        <f>'RESUMEN TOTAL'!T254</f>
        <v>0</v>
      </c>
      <c r="M251">
        <f>'RESUMEN TOTAL'!U254</f>
        <v>0</v>
      </c>
      <c r="N251">
        <f>'RESUMEN TOTAL'!V254</f>
        <v>0</v>
      </c>
      <c r="O251">
        <f>'RESUMEN TOTAL'!W254</f>
        <v>0</v>
      </c>
      <c r="P251">
        <f>'RESUMEN TOTAL'!X254</f>
        <v>0</v>
      </c>
      <c r="Q251">
        <f>'RESUMEN TOTAL'!Y254</f>
        <v>0</v>
      </c>
      <c r="R251">
        <f>'RESUMEN TOTAL'!Z254</f>
        <v>0</v>
      </c>
      <c r="S251">
        <f>'RESUMEN TOTAL'!AA254</f>
        <v>0</v>
      </c>
      <c r="T251">
        <f>'RESUMEN TOTAL'!AB254</f>
        <v>0</v>
      </c>
      <c r="U251">
        <f>'RESUMEN TOTAL'!AC254</f>
        <v>0</v>
      </c>
      <c r="V251">
        <f>'RESUMEN TOTAL'!AD254</f>
        <v>0</v>
      </c>
      <c r="W251">
        <f>'RESUMEN TOTAL'!AE254</f>
        <v>0</v>
      </c>
      <c r="X251">
        <f>'RESUMEN TOTAL'!AF254</f>
        <v>0</v>
      </c>
      <c r="Y251">
        <f>'RESUMEN TOTAL'!AG254</f>
        <v>0</v>
      </c>
      <c r="Z251">
        <f>'RESUMEN TOTAL'!AH254</f>
        <v>0</v>
      </c>
      <c r="AA251">
        <f>'RESUMEN TOTAL'!AI254</f>
        <v>0</v>
      </c>
      <c r="AB251">
        <f>'RESUMEN TOTAL'!AJ254</f>
        <v>0</v>
      </c>
      <c r="AC251">
        <f>'RESUMEN TOTAL'!AK254</f>
        <v>0</v>
      </c>
      <c r="AD251">
        <f>'RESUMEN TOTAL'!AL254</f>
        <v>0</v>
      </c>
      <c r="AE251">
        <f>'RESUMEN TOTAL'!AM254</f>
        <v>0</v>
      </c>
      <c r="AF251">
        <f>'RESUMEN TOTAL'!AN254</f>
        <v>0</v>
      </c>
      <c r="AG251">
        <f>'RESUMEN TOTAL'!AO254</f>
        <v>0</v>
      </c>
    </row>
    <row r="252" spans="1:33" x14ac:dyDescent="0.25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TOTAL'!N255</f>
        <v>0</v>
      </c>
      <c r="G252">
        <f>'RESUMEN TOTAL'!O255</f>
        <v>0</v>
      </c>
      <c r="H252">
        <f>'RESUMEN TOTAL'!P255</f>
        <v>0</v>
      </c>
      <c r="I252">
        <f>'RESUMEN TOTAL'!Q255</f>
        <v>0</v>
      </c>
      <c r="J252">
        <f>'RESUMEN TOTAL'!R255</f>
        <v>0</v>
      </c>
      <c r="K252">
        <f>'RESUMEN TOTAL'!S255</f>
        <v>0</v>
      </c>
      <c r="L252">
        <f>'RESUMEN TOTAL'!T255</f>
        <v>0</v>
      </c>
      <c r="M252">
        <f>'RESUMEN TOTAL'!U255</f>
        <v>0</v>
      </c>
      <c r="N252">
        <f>'RESUMEN TOTAL'!V255</f>
        <v>0</v>
      </c>
      <c r="O252">
        <f>'RESUMEN TOTAL'!W255</f>
        <v>0</v>
      </c>
      <c r="P252">
        <f>'RESUMEN TOTAL'!X255</f>
        <v>0</v>
      </c>
      <c r="Q252">
        <f>'RESUMEN TOTAL'!Y255</f>
        <v>0</v>
      </c>
      <c r="R252">
        <f>'RESUMEN TOTAL'!Z255</f>
        <v>0</v>
      </c>
      <c r="S252">
        <f>'RESUMEN TOTAL'!AA255</f>
        <v>0</v>
      </c>
      <c r="T252">
        <f>'RESUMEN TOTAL'!AB255</f>
        <v>0</v>
      </c>
      <c r="U252">
        <f>'RESUMEN TOTAL'!AC255</f>
        <v>0</v>
      </c>
      <c r="V252">
        <f>'RESUMEN TOTAL'!AD255</f>
        <v>0</v>
      </c>
      <c r="W252">
        <f>'RESUMEN TOTAL'!AE255</f>
        <v>0</v>
      </c>
      <c r="X252">
        <f>'RESUMEN TOTAL'!AF255</f>
        <v>0</v>
      </c>
      <c r="Y252">
        <f>'RESUMEN TOTAL'!AG255</f>
        <v>0</v>
      </c>
      <c r="Z252">
        <f>'RESUMEN TOTAL'!AH255</f>
        <v>0</v>
      </c>
      <c r="AA252">
        <f>'RESUMEN TOTAL'!AI255</f>
        <v>0</v>
      </c>
      <c r="AB252">
        <f>'RESUMEN TOTAL'!AJ255</f>
        <v>0</v>
      </c>
      <c r="AC252">
        <f>'RESUMEN TOTAL'!AK255</f>
        <v>0</v>
      </c>
      <c r="AD252">
        <f>'RESUMEN TOTAL'!AL255</f>
        <v>0</v>
      </c>
      <c r="AE252">
        <f>'RESUMEN TOTAL'!AM255</f>
        <v>0</v>
      </c>
      <c r="AF252">
        <f>'RESUMEN TOTAL'!AN255</f>
        <v>0</v>
      </c>
      <c r="AG252">
        <f>'RESUMEN TOTAL'!AO255</f>
        <v>0</v>
      </c>
    </row>
    <row r="253" spans="1:33" x14ac:dyDescent="0.25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TOTAL'!N256</f>
        <v>0</v>
      </c>
      <c r="G253">
        <f>'RESUMEN TOTAL'!O256</f>
        <v>0</v>
      </c>
      <c r="H253">
        <f>'RESUMEN TOTAL'!P256</f>
        <v>0</v>
      </c>
      <c r="I253">
        <f>'RESUMEN TOTAL'!Q256</f>
        <v>0</v>
      </c>
      <c r="J253">
        <f>'RESUMEN TOTAL'!R256</f>
        <v>0</v>
      </c>
      <c r="K253">
        <f>'RESUMEN TOTAL'!S256</f>
        <v>0</v>
      </c>
      <c r="L253">
        <f>'RESUMEN TOTAL'!T256</f>
        <v>0</v>
      </c>
      <c r="M253">
        <f>'RESUMEN TOTAL'!U256</f>
        <v>0</v>
      </c>
      <c r="N253">
        <f>'RESUMEN TOTAL'!V256</f>
        <v>0</v>
      </c>
      <c r="O253">
        <f>'RESUMEN TOTAL'!W256</f>
        <v>0</v>
      </c>
      <c r="P253">
        <f>'RESUMEN TOTAL'!X256</f>
        <v>0</v>
      </c>
      <c r="Q253">
        <f>'RESUMEN TOTAL'!Y256</f>
        <v>0</v>
      </c>
      <c r="R253">
        <f>'RESUMEN TOTAL'!Z256</f>
        <v>0</v>
      </c>
      <c r="S253">
        <f>'RESUMEN TOTAL'!AA256</f>
        <v>0</v>
      </c>
      <c r="T253">
        <f>'RESUMEN TOTAL'!AB256</f>
        <v>0</v>
      </c>
      <c r="U253">
        <f>'RESUMEN TOTAL'!AC256</f>
        <v>0</v>
      </c>
      <c r="V253">
        <f>'RESUMEN TOTAL'!AD256</f>
        <v>0</v>
      </c>
      <c r="W253">
        <f>'RESUMEN TOTAL'!AE256</f>
        <v>0</v>
      </c>
      <c r="X253">
        <f>'RESUMEN TOTAL'!AF256</f>
        <v>0</v>
      </c>
      <c r="Y253">
        <f>'RESUMEN TOTAL'!AG256</f>
        <v>0</v>
      </c>
      <c r="Z253">
        <f>'RESUMEN TOTAL'!AH256</f>
        <v>0</v>
      </c>
      <c r="AA253">
        <f>'RESUMEN TOTAL'!AI256</f>
        <v>0</v>
      </c>
      <c r="AB253">
        <f>'RESUMEN TOTAL'!AJ256</f>
        <v>0</v>
      </c>
      <c r="AC253">
        <f>'RESUMEN TOTAL'!AK256</f>
        <v>0</v>
      </c>
      <c r="AD253">
        <f>'RESUMEN TOTAL'!AL256</f>
        <v>0</v>
      </c>
      <c r="AE253">
        <f>'RESUMEN TOTAL'!AM256</f>
        <v>0</v>
      </c>
      <c r="AF253">
        <f>'RESUMEN TOTAL'!AN256</f>
        <v>0</v>
      </c>
      <c r="AG253">
        <f>'RESUMEN TOTAL'!AO256</f>
        <v>0</v>
      </c>
    </row>
    <row r="254" spans="1:33" x14ac:dyDescent="0.25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TOTAL'!N257</f>
        <v>0</v>
      </c>
      <c r="G254">
        <f>'RESUMEN TOTAL'!O257</f>
        <v>0</v>
      </c>
      <c r="H254">
        <f>'RESUMEN TOTAL'!P257</f>
        <v>0</v>
      </c>
      <c r="I254">
        <f>'RESUMEN TOTAL'!Q257</f>
        <v>0</v>
      </c>
      <c r="J254">
        <f>'RESUMEN TOTAL'!R257</f>
        <v>0</v>
      </c>
      <c r="K254">
        <f>'RESUMEN TOTAL'!S257</f>
        <v>0</v>
      </c>
      <c r="L254">
        <f>'RESUMEN TOTAL'!T257</f>
        <v>0</v>
      </c>
      <c r="M254">
        <f>'RESUMEN TOTAL'!U257</f>
        <v>0</v>
      </c>
      <c r="N254">
        <f>'RESUMEN TOTAL'!V257</f>
        <v>0</v>
      </c>
      <c r="O254">
        <f>'RESUMEN TOTAL'!W257</f>
        <v>0</v>
      </c>
      <c r="P254">
        <f>'RESUMEN TOTAL'!X257</f>
        <v>0</v>
      </c>
      <c r="Q254">
        <f>'RESUMEN TOTAL'!Y257</f>
        <v>0</v>
      </c>
      <c r="R254">
        <f>'RESUMEN TOTAL'!Z257</f>
        <v>0</v>
      </c>
      <c r="S254">
        <f>'RESUMEN TOTAL'!AA257</f>
        <v>0</v>
      </c>
      <c r="T254">
        <f>'RESUMEN TOTAL'!AB257</f>
        <v>0</v>
      </c>
      <c r="U254">
        <f>'RESUMEN TOTAL'!AC257</f>
        <v>0</v>
      </c>
      <c r="V254">
        <f>'RESUMEN TOTAL'!AD257</f>
        <v>0</v>
      </c>
      <c r="W254">
        <f>'RESUMEN TOTAL'!AE257</f>
        <v>0</v>
      </c>
      <c r="X254">
        <f>'RESUMEN TOTAL'!AF257</f>
        <v>0</v>
      </c>
      <c r="Y254">
        <f>'RESUMEN TOTAL'!AG257</f>
        <v>0</v>
      </c>
      <c r="Z254">
        <f>'RESUMEN TOTAL'!AH257</f>
        <v>0</v>
      </c>
      <c r="AA254">
        <f>'RESUMEN TOTAL'!AI257</f>
        <v>0</v>
      </c>
      <c r="AB254">
        <f>'RESUMEN TOTAL'!AJ257</f>
        <v>0</v>
      </c>
      <c r="AC254">
        <f>'RESUMEN TOTAL'!AK257</f>
        <v>0</v>
      </c>
      <c r="AD254">
        <f>'RESUMEN TOTAL'!AL257</f>
        <v>0</v>
      </c>
      <c r="AE254">
        <f>'RESUMEN TOTAL'!AM257</f>
        <v>0</v>
      </c>
      <c r="AF254">
        <f>'RESUMEN TOTAL'!AN257</f>
        <v>0</v>
      </c>
      <c r="AG254">
        <f>'RESUMEN TOTAL'!AO257</f>
        <v>0</v>
      </c>
    </row>
    <row r="255" spans="1:33" x14ac:dyDescent="0.25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TOTAL'!N258</f>
        <v>0</v>
      </c>
      <c r="G255">
        <f>'RESUMEN TOTAL'!O258</f>
        <v>0</v>
      </c>
      <c r="H255">
        <f>'RESUMEN TOTAL'!P258</f>
        <v>0</v>
      </c>
      <c r="I255">
        <f>'RESUMEN TOTAL'!Q258</f>
        <v>0</v>
      </c>
      <c r="J255">
        <f>'RESUMEN TOTAL'!R258</f>
        <v>0</v>
      </c>
      <c r="K255">
        <f>'RESUMEN TOTAL'!S258</f>
        <v>0</v>
      </c>
      <c r="L255">
        <f>'RESUMEN TOTAL'!T258</f>
        <v>0</v>
      </c>
      <c r="M255">
        <f>'RESUMEN TOTAL'!U258</f>
        <v>0</v>
      </c>
      <c r="N255">
        <f>'RESUMEN TOTAL'!V258</f>
        <v>0</v>
      </c>
      <c r="O255">
        <f>'RESUMEN TOTAL'!W258</f>
        <v>0</v>
      </c>
      <c r="P255">
        <f>'RESUMEN TOTAL'!X258</f>
        <v>0</v>
      </c>
      <c r="Q255">
        <f>'RESUMEN TOTAL'!Y258</f>
        <v>0</v>
      </c>
      <c r="R255">
        <f>'RESUMEN TOTAL'!Z258</f>
        <v>0</v>
      </c>
      <c r="S255">
        <f>'RESUMEN TOTAL'!AA258</f>
        <v>0</v>
      </c>
      <c r="T255">
        <f>'RESUMEN TOTAL'!AB258</f>
        <v>0</v>
      </c>
      <c r="U255">
        <f>'RESUMEN TOTAL'!AC258</f>
        <v>0</v>
      </c>
      <c r="V255">
        <f>'RESUMEN TOTAL'!AD258</f>
        <v>0</v>
      </c>
      <c r="W255">
        <f>'RESUMEN TOTAL'!AE258</f>
        <v>0</v>
      </c>
      <c r="X255">
        <f>'RESUMEN TOTAL'!AF258</f>
        <v>0</v>
      </c>
      <c r="Y255">
        <f>'RESUMEN TOTAL'!AG258</f>
        <v>0</v>
      </c>
      <c r="Z255">
        <f>'RESUMEN TOTAL'!AH258</f>
        <v>0</v>
      </c>
      <c r="AA255">
        <f>'RESUMEN TOTAL'!AI258</f>
        <v>0</v>
      </c>
      <c r="AB255">
        <f>'RESUMEN TOTAL'!AJ258</f>
        <v>0</v>
      </c>
      <c r="AC255">
        <f>'RESUMEN TOTAL'!AK258</f>
        <v>0</v>
      </c>
      <c r="AD255">
        <f>'RESUMEN TOTAL'!AL258</f>
        <v>0</v>
      </c>
      <c r="AE255">
        <f>'RESUMEN TOTAL'!AM258</f>
        <v>0</v>
      </c>
      <c r="AF255">
        <f>'RESUMEN TOTAL'!AN258</f>
        <v>0</v>
      </c>
      <c r="AG255">
        <f>'RESUMEN TOTAL'!AO258</f>
        <v>0</v>
      </c>
    </row>
    <row r="256" spans="1:33" x14ac:dyDescent="0.25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TOTAL'!N259</f>
        <v>APAGADO</v>
      </c>
      <c r="G256" t="str">
        <f>'RESUMEN TOTAL'!O259</f>
        <v>APAGADO</v>
      </c>
      <c r="H256" t="str">
        <f>'RESUMEN TOTAL'!P259</f>
        <v>APAGADO</v>
      </c>
      <c r="I256" t="str">
        <f>'RESUMEN TOTAL'!Q259</f>
        <v>APAGADO</v>
      </c>
      <c r="J256" t="str">
        <f>'RESUMEN TOTAL'!R259</f>
        <v>APAGADO</v>
      </c>
      <c r="K256" t="str">
        <f>'RESUMEN TOTAL'!S259</f>
        <v>APAGADO</v>
      </c>
      <c r="L256" t="str">
        <f>'RESUMEN TOTAL'!T259</f>
        <v>APAGADO</v>
      </c>
      <c r="M256">
        <f>'RESUMEN TOTAL'!U259</f>
        <v>0</v>
      </c>
      <c r="N256">
        <f>'RESUMEN TOTAL'!V259</f>
        <v>0</v>
      </c>
      <c r="O256">
        <f>'RESUMEN TOTAL'!W259</f>
        <v>0</v>
      </c>
      <c r="P256">
        <f>'RESUMEN TOTAL'!X259</f>
        <v>0</v>
      </c>
      <c r="Q256">
        <f>'RESUMEN TOTAL'!Y259</f>
        <v>0</v>
      </c>
      <c r="R256">
        <f>'RESUMEN TOTAL'!Z259</f>
        <v>0</v>
      </c>
      <c r="S256">
        <f>'RESUMEN TOTAL'!AA259</f>
        <v>0</v>
      </c>
      <c r="T256">
        <f>'RESUMEN TOTAL'!AB259</f>
        <v>0</v>
      </c>
      <c r="U256">
        <f>'RESUMEN TOTAL'!AC259</f>
        <v>0</v>
      </c>
      <c r="V256">
        <f>'RESUMEN TOTAL'!AD259</f>
        <v>0</v>
      </c>
      <c r="W256">
        <f>'RESUMEN TOTAL'!AE259</f>
        <v>0</v>
      </c>
      <c r="X256">
        <f>'RESUMEN TOTAL'!AF259</f>
        <v>0</v>
      </c>
      <c r="Y256">
        <f>'RESUMEN TOTAL'!AG259</f>
        <v>0</v>
      </c>
      <c r="Z256">
        <f>'RESUMEN TOTAL'!AH259</f>
        <v>0</v>
      </c>
      <c r="AA256">
        <f>'RESUMEN TOTAL'!AI259</f>
        <v>0</v>
      </c>
      <c r="AB256">
        <f>'RESUMEN TOTAL'!AJ259</f>
        <v>0</v>
      </c>
      <c r="AC256">
        <f>'RESUMEN TOTAL'!AK259</f>
        <v>0</v>
      </c>
      <c r="AD256">
        <f>'RESUMEN TOTAL'!AL259</f>
        <v>0</v>
      </c>
      <c r="AE256">
        <f>'RESUMEN TOTAL'!AM259</f>
        <v>0</v>
      </c>
      <c r="AF256">
        <f>'RESUMEN TOTAL'!AN259</f>
        <v>0</v>
      </c>
      <c r="AG256">
        <f>'RESUMEN TOTAL'!AO259</f>
        <v>0</v>
      </c>
    </row>
    <row r="257" spans="1:33" x14ac:dyDescent="0.25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PTP A FO</v>
      </c>
      <c r="F257">
        <f>'RESUMEN TOTAL'!N260</f>
        <v>0</v>
      </c>
      <c r="G257">
        <f>'RESUMEN TOTAL'!O260</f>
        <v>0</v>
      </c>
      <c r="H257">
        <f>'RESUMEN TOTAL'!P260</f>
        <v>0</v>
      </c>
      <c r="I257">
        <f>'RESUMEN TOTAL'!Q260</f>
        <v>0</v>
      </c>
      <c r="J257">
        <f>'RESUMEN TOTAL'!R260</f>
        <v>0</v>
      </c>
      <c r="K257">
        <f>'RESUMEN TOTAL'!S260</f>
        <v>0</v>
      </c>
      <c r="L257">
        <f>'RESUMEN TOTAL'!T260</f>
        <v>0</v>
      </c>
      <c r="M257">
        <f>'RESUMEN TOTAL'!U260</f>
        <v>0</v>
      </c>
      <c r="N257">
        <f>'RESUMEN TOTAL'!V260</f>
        <v>0</v>
      </c>
      <c r="O257">
        <f>'RESUMEN TOTAL'!W260</f>
        <v>0</v>
      </c>
      <c r="P257">
        <f>'RESUMEN TOTAL'!X260</f>
        <v>0</v>
      </c>
      <c r="Q257">
        <f>'RESUMEN TOTAL'!Y260</f>
        <v>0</v>
      </c>
      <c r="R257">
        <f>'RESUMEN TOTAL'!Z260</f>
        <v>0</v>
      </c>
      <c r="S257">
        <f>'RESUMEN TOTAL'!AA260</f>
        <v>0</v>
      </c>
      <c r="T257">
        <f>'RESUMEN TOTAL'!AB260</f>
        <v>0</v>
      </c>
      <c r="U257">
        <f>'RESUMEN TOTAL'!AC260</f>
        <v>0</v>
      </c>
      <c r="V257">
        <f>'RESUMEN TOTAL'!AD260</f>
        <v>0</v>
      </c>
      <c r="W257">
        <f>'RESUMEN TOTAL'!AE260</f>
        <v>0</v>
      </c>
      <c r="X257">
        <f>'RESUMEN TOTAL'!AF260</f>
        <v>0</v>
      </c>
      <c r="Y257">
        <f>'RESUMEN TOTAL'!AG260</f>
        <v>0</v>
      </c>
      <c r="Z257">
        <f>'RESUMEN TOTAL'!AH260</f>
        <v>0</v>
      </c>
      <c r="AA257">
        <f>'RESUMEN TOTAL'!AI260</f>
        <v>0</v>
      </c>
      <c r="AB257">
        <f>'RESUMEN TOTAL'!AJ260</f>
        <v>0</v>
      </c>
      <c r="AC257">
        <f>'RESUMEN TOTAL'!AK260</f>
        <v>0</v>
      </c>
      <c r="AD257">
        <f>'RESUMEN TOTAL'!AL260</f>
        <v>0</v>
      </c>
      <c r="AE257">
        <f>'RESUMEN TOTAL'!AM260</f>
        <v>0</v>
      </c>
      <c r="AF257">
        <f>'RESUMEN TOTAL'!AN260</f>
        <v>0</v>
      </c>
      <c r="AG257">
        <f>'RESUMEN TOTAL'!AO260</f>
        <v>0</v>
      </c>
    </row>
    <row r="258" spans="1:33" x14ac:dyDescent="0.25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TOTAL'!N261</f>
        <v>0</v>
      </c>
      <c r="G258">
        <f>'RESUMEN TOTAL'!O261</f>
        <v>0</v>
      </c>
      <c r="H258">
        <f>'RESUMEN TOTAL'!P261</f>
        <v>0</v>
      </c>
      <c r="I258">
        <f>'RESUMEN TOTAL'!Q261</f>
        <v>0</v>
      </c>
      <c r="J258">
        <f>'RESUMEN TOTAL'!R261</f>
        <v>0</v>
      </c>
      <c r="K258">
        <f>'RESUMEN TOTAL'!S261</f>
        <v>0</v>
      </c>
      <c r="L258">
        <f>'RESUMEN TOTAL'!T261</f>
        <v>0</v>
      </c>
      <c r="M258">
        <f>'RESUMEN TOTAL'!U261</f>
        <v>0</v>
      </c>
      <c r="N258">
        <f>'RESUMEN TOTAL'!V261</f>
        <v>0</v>
      </c>
      <c r="O258">
        <f>'RESUMEN TOTAL'!W261</f>
        <v>0</v>
      </c>
      <c r="P258">
        <f>'RESUMEN TOTAL'!X261</f>
        <v>0</v>
      </c>
      <c r="Q258">
        <f>'RESUMEN TOTAL'!Y261</f>
        <v>0</v>
      </c>
      <c r="R258">
        <f>'RESUMEN TOTAL'!Z261</f>
        <v>0</v>
      </c>
      <c r="S258">
        <f>'RESUMEN TOTAL'!AA261</f>
        <v>0</v>
      </c>
      <c r="T258">
        <f>'RESUMEN TOTAL'!AB261</f>
        <v>0</v>
      </c>
      <c r="U258">
        <f>'RESUMEN TOTAL'!AC261</f>
        <v>0</v>
      </c>
      <c r="V258">
        <f>'RESUMEN TOTAL'!AD261</f>
        <v>0</v>
      </c>
      <c r="W258">
        <f>'RESUMEN TOTAL'!AE261</f>
        <v>0</v>
      </c>
      <c r="X258">
        <f>'RESUMEN TOTAL'!AF261</f>
        <v>0</v>
      </c>
      <c r="Y258">
        <f>'RESUMEN TOTAL'!AG261</f>
        <v>0</v>
      </c>
      <c r="Z258">
        <f>'RESUMEN TOTAL'!AH261</f>
        <v>0</v>
      </c>
      <c r="AA258">
        <f>'RESUMEN TOTAL'!AI261</f>
        <v>0</v>
      </c>
      <c r="AB258">
        <f>'RESUMEN TOTAL'!AJ261</f>
        <v>0</v>
      </c>
      <c r="AC258">
        <f>'RESUMEN TOTAL'!AK261</f>
        <v>0</v>
      </c>
      <c r="AD258">
        <f>'RESUMEN TOTAL'!AL261</f>
        <v>0</v>
      </c>
      <c r="AE258">
        <f>'RESUMEN TOTAL'!AM261</f>
        <v>0</v>
      </c>
      <c r="AF258">
        <f>'RESUMEN TOTAL'!AN261</f>
        <v>0</v>
      </c>
      <c r="AG258">
        <f>'RESUMEN TOTAL'!AO261</f>
        <v>0</v>
      </c>
    </row>
    <row r="259" spans="1:33" x14ac:dyDescent="0.25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TOTAL'!N262</f>
        <v>0</v>
      </c>
      <c r="G259">
        <f>'RESUMEN TOTAL'!O262</f>
        <v>0</v>
      </c>
      <c r="H259">
        <f>'RESUMEN TOTAL'!P262</f>
        <v>0</v>
      </c>
      <c r="I259">
        <f>'RESUMEN TOTAL'!Q262</f>
        <v>0</v>
      </c>
      <c r="J259">
        <f>'RESUMEN TOTAL'!R262</f>
        <v>0</v>
      </c>
      <c r="K259">
        <f>'RESUMEN TOTAL'!S262</f>
        <v>0</v>
      </c>
      <c r="L259">
        <f>'RESUMEN TOTAL'!T262</f>
        <v>0</v>
      </c>
      <c r="M259">
        <f>'RESUMEN TOTAL'!U262</f>
        <v>0</v>
      </c>
      <c r="N259">
        <f>'RESUMEN TOTAL'!V262</f>
        <v>0</v>
      </c>
      <c r="O259">
        <f>'RESUMEN TOTAL'!W262</f>
        <v>0</v>
      </c>
      <c r="P259">
        <f>'RESUMEN TOTAL'!X262</f>
        <v>0</v>
      </c>
      <c r="Q259">
        <f>'RESUMEN TOTAL'!Y262</f>
        <v>0</v>
      </c>
      <c r="R259">
        <f>'RESUMEN TOTAL'!Z262</f>
        <v>0</v>
      </c>
      <c r="S259">
        <f>'RESUMEN TOTAL'!AA262</f>
        <v>0</v>
      </c>
      <c r="T259">
        <f>'RESUMEN TOTAL'!AB262</f>
        <v>0</v>
      </c>
      <c r="U259">
        <f>'RESUMEN TOTAL'!AC262</f>
        <v>0</v>
      </c>
      <c r="V259">
        <f>'RESUMEN TOTAL'!AD262</f>
        <v>0</v>
      </c>
      <c r="W259">
        <f>'RESUMEN TOTAL'!AE262</f>
        <v>0</v>
      </c>
      <c r="X259">
        <f>'RESUMEN TOTAL'!AF262</f>
        <v>0</v>
      </c>
      <c r="Y259">
        <f>'RESUMEN TOTAL'!AG262</f>
        <v>0</v>
      </c>
      <c r="Z259">
        <f>'RESUMEN TOTAL'!AH262</f>
        <v>0</v>
      </c>
      <c r="AA259">
        <f>'RESUMEN TOTAL'!AI262</f>
        <v>0</v>
      </c>
      <c r="AB259">
        <f>'RESUMEN TOTAL'!AJ262</f>
        <v>0</v>
      </c>
      <c r="AC259">
        <f>'RESUMEN TOTAL'!AK262</f>
        <v>0</v>
      </c>
      <c r="AD259">
        <f>'RESUMEN TOTAL'!AL262</f>
        <v>0</v>
      </c>
      <c r="AE259">
        <f>'RESUMEN TOTAL'!AM262</f>
        <v>0</v>
      </c>
      <c r="AF259">
        <f>'RESUMEN TOTAL'!AN262</f>
        <v>0</v>
      </c>
      <c r="AG259">
        <f>'RESUMEN TOTAL'!AO262</f>
        <v>0</v>
      </c>
    </row>
    <row r="260" spans="1:33" x14ac:dyDescent="0.25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TOTAL'!N263</f>
        <v>0</v>
      </c>
      <c r="G260" t="str">
        <f>'RESUMEN TOTAL'!O263</f>
        <v>APAGADO</v>
      </c>
      <c r="H260" t="str">
        <f>'RESUMEN TOTAL'!P263</f>
        <v>APAGADO</v>
      </c>
      <c r="I260" t="str">
        <f>'RESUMEN TOTAL'!Q263</f>
        <v>APAGADO</v>
      </c>
      <c r="J260" t="str">
        <f>'RESUMEN TOTAL'!R263</f>
        <v>APAGADO</v>
      </c>
      <c r="K260" t="str">
        <f>'RESUMEN TOTAL'!S263</f>
        <v>APAGADO</v>
      </c>
      <c r="L260" t="str">
        <f>'RESUMEN TOTAL'!T263</f>
        <v>APAGADO</v>
      </c>
      <c r="M260">
        <f>'RESUMEN TOTAL'!U263</f>
        <v>0</v>
      </c>
      <c r="N260">
        <f>'RESUMEN TOTAL'!V263</f>
        <v>0</v>
      </c>
      <c r="O260">
        <f>'RESUMEN TOTAL'!W263</f>
        <v>0</v>
      </c>
      <c r="P260">
        <f>'RESUMEN TOTAL'!X263</f>
        <v>0</v>
      </c>
      <c r="Q260">
        <f>'RESUMEN TOTAL'!Y263</f>
        <v>0</v>
      </c>
      <c r="R260">
        <f>'RESUMEN TOTAL'!Z263</f>
        <v>0</v>
      </c>
      <c r="S260">
        <f>'RESUMEN TOTAL'!AA263</f>
        <v>0</v>
      </c>
      <c r="T260">
        <f>'RESUMEN TOTAL'!AB263</f>
        <v>0</v>
      </c>
      <c r="U260">
        <f>'RESUMEN TOTAL'!AC263</f>
        <v>0</v>
      </c>
      <c r="V260">
        <f>'RESUMEN TOTAL'!AD263</f>
        <v>0</v>
      </c>
      <c r="W260">
        <f>'RESUMEN TOTAL'!AE263</f>
        <v>0</v>
      </c>
      <c r="X260">
        <f>'RESUMEN TOTAL'!AF263</f>
        <v>0</v>
      </c>
      <c r="Y260">
        <f>'RESUMEN TOTAL'!AG263</f>
        <v>0</v>
      </c>
      <c r="Z260">
        <f>'RESUMEN TOTAL'!AH263</f>
        <v>0</v>
      </c>
      <c r="AA260">
        <f>'RESUMEN TOTAL'!AI263</f>
        <v>0</v>
      </c>
      <c r="AB260">
        <f>'RESUMEN TOTAL'!AJ263</f>
        <v>0</v>
      </c>
      <c r="AC260">
        <f>'RESUMEN TOTAL'!AK263</f>
        <v>0</v>
      </c>
      <c r="AD260">
        <f>'RESUMEN TOTAL'!AL263</f>
        <v>0</v>
      </c>
      <c r="AE260">
        <f>'RESUMEN TOTAL'!AM263</f>
        <v>0</v>
      </c>
      <c r="AF260">
        <f>'RESUMEN TOTAL'!AN263</f>
        <v>0</v>
      </c>
      <c r="AG260">
        <f>'RESUMEN TOTAL'!AO263</f>
        <v>0</v>
      </c>
    </row>
    <row r="261" spans="1:33" x14ac:dyDescent="0.25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TOTAL'!N264</f>
        <v>0</v>
      </c>
      <c r="G261" t="str">
        <f>'RESUMEN TOTAL'!O264</f>
        <v>APAGADO</v>
      </c>
      <c r="H261" t="str">
        <f>'RESUMEN TOTAL'!P264</f>
        <v>APAGADO</v>
      </c>
      <c r="I261" t="str">
        <f>'RESUMEN TOTAL'!Q264</f>
        <v>APAGADO</v>
      </c>
      <c r="J261" t="str">
        <f>'RESUMEN TOTAL'!R264</f>
        <v>APAGADO</v>
      </c>
      <c r="K261" t="str">
        <f>'RESUMEN TOTAL'!S264</f>
        <v>APAGADO</v>
      </c>
      <c r="L261" t="str">
        <f>'RESUMEN TOTAL'!T264</f>
        <v>APAGADO</v>
      </c>
      <c r="M261">
        <f>'RESUMEN TOTAL'!U264</f>
        <v>0</v>
      </c>
      <c r="N261">
        <f>'RESUMEN TOTAL'!V264</f>
        <v>0</v>
      </c>
      <c r="O261">
        <f>'RESUMEN TOTAL'!W264</f>
        <v>0</v>
      </c>
      <c r="P261">
        <f>'RESUMEN TOTAL'!X264</f>
        <v>0</v>
      </c>
      <c r="Q261">
        <f>'RESUMEN TOTAL'!Y264</f>
        <v>0</v>
      </c>
      <c r="R261">
        <f>'RESUMEN TOTAL'!Z264</f>
        <v>0</v>
      </c>
      <c r="S261">
        <f>'RESUMEN TOTAL'!AA264</f>
        <v>0</v>
      </c>
      <c r="T261">
        <f>'RESUMEN TOTAL'!AB264</f>
        <v>0</v>
      </c>
      <c r="U261">
        <f>'RESUMEN TOTAL'!AC264</f>
        <v>0</v>
      </c>
      <c r="V261">
        <f>'RESUMEN TOTAL'!AD264</f>
        <v>0</v>
      </c>
      <c r="W261">
        <f>'RESUMEN TOTAL'!AE264</f>
        <v>0</v>
      </c>
      <c r="X261">
        <f>'RESUMEN TOTAL'!AF264</f>
        <v>0</v>
      </c>
      <c r="Y261">
        <f>'RESUMEN TOTAL'!AG264</f>
        <v>0</v>
      </c>
      <c r="Z261">
        <f>'RESUMEN TOTAL'!AH264</f>
        <v>0</v>
      </c>
      <c r="AA261">
        <f>'RESUMEN TOTAL'!AI264</f>
        <v>0</v>
      </c>
      <c r="AB261">
        <f>'RESUMEN TOTAL'!AJ264</f>
        <v>0</v>
      </c>
      <c r="AC261">
        <f>'RESUMEN TOTAL'!AK264</f>
        <v>0</v>
      </c>
      <c r="AD261">
        <f>'RESUMEN TOTAL'!AL264</f>
        <v>0</v>
      </c>
      <c r="AE261">
        <f>'RESUMEN TOTAL'!AM264</f>
        <v>0</v>
      </c>
      <c r="AF261">
        <f>'RESUMEN TOTAL'!AN264</f>
        <v>0</v>
      </c>
      <c r="AG261">
        <f>'RESUMEN TOTAL'!AO264</f>
        <v>0</v>
      </c>
    </row>
    <row r="262" spans="1:33" x14ac:dyDescent="0.25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TOTAL'!N265</f>
        <v>0</v>
      </c>
      <c r="G262">
        <f>'RESUMEN TOTAL'!O265</f>
        <v>0</v>
      </c>
      <c r="H262">
        <f>'RESUMEN TOTAL'!P265</f>
        <v>0</v>
      </c>
      <c r="I262">
        <f>'RESUMEN TOTAL'!Q265</f>
        <v>0</v>
      </c>
      <c r="J262">
        <f>'RESUMEN TOTAL'!R265</f>
        <v>0</v>
      </c>
      <c r="K262">
        <f>'RESUMEN TOTAL'!S265</f>
        <v>0</v>
      </c>
      <c r="L262">
        <f>'RESUMEN TOTAL'!T265</f>
        <v>0</v>
      </c>
      <c r="M262">
        <f>'RESUMEN TOTAL'!U265</f>
        <v>0</v>
      </c>
      <c r="N262">
        <f>'RESUMEN TOTAL'!V265</f>
        <v>0</v>
      </c>
      <c r="O262">
        <f>'RESUMEN TOTAL'!W265</f>
        <v>0</v>
      </c>
      <c r="P262">
        <f>'RESUMEN TOTAL'!X265</f>
        <v>0</v>
      </c>
      <c r="Q262">
        <f>'RESUMEN TOTAL'!Y265</f>
        <v>0</v>
      </c>
      <c r="R262">
        <f>'RESUMEN TOTAL'!Z265</f>
        <v>0</v>
      </c>
      <c r="S262">
        <f>'RESUMEN TOTAL'!AA265</f>
        <v>0</v>
      </c>
      <c r="T262">
        <f>'RESUMEN TOTAL'!AB265</f>
        <v>0</v>
      </c>
      <c r="U262">
        <f>'RESUMEN TOTAL'!AC265</f>
        <v>0</v>
      </c>
      <c r="V262">
        <f>'RESUMEN TOTAL'!AD265</f>
        <v>0</v>
      </c>
      <c r="W262">
        <f>'RESUMEN TOTAL'!AE265</f>
        <v>0</v>
      </c>
      <c r="X262">
        <f>'RESUMEN TOTAL'!AF265</f>
        <v>0</v>
      </c>
      <c r="Y262">
        <f>'RESUMEN TOTAL'!AG265</f>
        <v>0</v>
      </c>
      <c r="Z262">
        <f>'RESUMEN TOTAL'!AH265</f>
        <v>0</v>
      </c>
      <c r="AA262">
        <f>'RESUMEN TOTAL'!AI265</f>
        <v>0</v>
      </c>
      <c r="AB262">
        <f>'RESUMEN TOTAL'!AJ265</f>
        <v>0</v>
      </c>
      <c r="AC262">
        <f>'RESUMEN TOTAL'!AK265</f>
        <v>0</v>
      </c>
      <c r="AD262">
        <f>'RESUMEN TOTAL'!AL265</f>
        <v>0</v>
      </c>
      <c r="AE262">
        <f>'RESUMEN TOTAL'!AM265</f>
        <v>0</v>
      </c>
      <c r="AF262">
        <f>'RESUMEN TOTAL'!AN265</f>
        <v>0</v>
      </c>
      <c r="AG262">
        <f>'RESUMEN TOTAL'!AO265</f>
        <v>0</v>
      </c>
    </row>
    <row r="263" spans="1:33" x14ac:dyDescent="0.25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TOTAL'!N266</f>
        <v>0</v>
      </c>
      <c r="G263">
        <f>'RESUMEN TOTAL'!O266</f>
        <v>0</v>
      </c>
      <c r="H263">
        <f>'RESUMEN TOTAL'!P266</f>
        <v>0</v>
      </c>
      <c r="I263">
        <f>'RESUMEN TOTAL'!Q266</f>
        <v>0</v>
      </c>
      <c r="J263">
        <f>'RESUMEN TOTAL'!R266</f>
        <v>0</v>
      </c>
      <c r="K263">
        <f>'RESUMEN TOTAL'!S266</f>
        <v>0</v>
      </c>
      <c r="L263">
        <f>'RESUMEN TOTAL'!T266</f>
        <v>0</v>
      </c>
      <c r="M263">
        <f>'RESUMEN TOTAL'!U266</f>
        <v>0</v>
      </c>
      <c r="N263">
        <f>'RESUMEN TOTAL'!V266</f>
        <v>0</v>
      </c>
      <c r="O263">
        <f>'RESUMEN TOTAL'!W266</f>
        <v>0</v>
      </c>
      <c r="P263">
        <f>'RESUMEN TOTAL'!X266</f>
        <v>0</v>
      </c>
      <c r="Q263">
        <f>'RESUMEN TOTAL'!Y266</f>
        <v>0</v>
      </c>
      <c r="R263">
        <f>'RESUMEN TOTAL'!Z266</f>
        <v>0</v>
      </c>
      <c r="S263">
        <f>'RESUMEN TOTAL'!AA266</f>
        <v>0</v>
      </c>
      <c r="T263">
        <f>'RESUMEN TOTAL'!AB266</f>
        <v>0</v>
      </c>
      <c r="U263">
        <f>'RESUMEN TOTAL'!AC266</f>
        <v>0</v>
      </c>
      <c r="V263">
        <f>'RESUMEN TOTAL'!AD266</f>
        <v>0</v>
      </c>
      <c r="W263">
        <f>'RESUMEN TOTAL'!AE266</f>
        <v>0</v>
      </c>
      <c r="X263">
        <f>'RESUMEN TOTAL'!AF266</f>
        <v>0</v>
      </c>
      <c r="Y263">
        <f>'RESUMEN TOTAL'!AG266</f>
        <v>0</v>
      </c>
      <c r="Z263">
        <f>'RESUMEN TOTAL'!AH266</f>
        <v>0</v>
      </c>
      <c r="AA263">
        <f>'RESUMEN TOTAL'!AI266</f>
        <v>0</v>
      </c>
      <c r="AB263">
        <f>'RESUMEN TOTAL'!AJ266</f>
        <v>0</v>
      </c>
      <c r="AC263">
        <f>'RESUMEN TOTAL'!AK266</f>
        <v>0</v>
      </c>
      <c r="AD263">
        <f>'RESUMEN TOTAL'!AL266</f>
        <v>0</v>
      </c>
      <c r="AE263">
        <f>'RESUMEN TOTAL'!AM266</f>
        <v>0</v>
      </c>
      <c r="AF263">
        <f>'RESUMEN TOTAL'!AN266</f>
        <v>0</v>
      </c>
      <c r="AG263">
        <f>'RESUMEN TOTAL'!AO266</f>
        <v>0</v>
      </c>
    </row>
    <row r="264" spans="1:33" x14ac:dyDescent="0.25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TOTAL'!N267</f>
        <v>0</v>
      </c>
      <c r="G264">
        <f>'RESUMEN TOTAL'!O267</f>
        <v>0</v>
      </c>
      <c r="H264">
        <f>'RESUMEN TOTAL'!P267</f>
        <v>0</v>
      </c>
      <c r="I264">
        <f>'RESUMEN TOTAL'!Q267</f>
        <v>0</v>
      </c>
      <c r="J264">
        <f>'RESUMEN TOTAL'!R267</f>
        <v>0</v>
      </c>
      <c r="K264">
        <f>'RESUMEN TOTAL'!S267</f>
        <v>0</v>
      </c>
      <c r="L264">
        <f>'RESUMEN TOTAL'!T267</f>
        <v>0</v>
      </c>
      <c r="M264">
        <f>'RESUMEN TOTAL'!U267</f>
        <v>0</v>
      </c>
      <c r="N264">
        <f>'RESUMEN TOTAL'!V267</f>
        <v>0</v>
      </c>
      <c r="O264">
        <f>'RESUMEN TOTAL'!W267</f>
        <v>0</v>
      </c>
      <c r="P264">
        <f>'RESUMEN TOTAL'!X267</f>
        <v>0</v>
      </c>
      <c r="Q264">
        <f>'RESUMEN TOTAL'!Y267</f>
        <v>0</v>
      </c>
      <c r="R264">
        <f>'RESUMEN TOTAL'!Z267</f>
        <v>0</v>
      </c>
      <c r="S264">
        <f>'RESUMEN TOTAL'!AA267</f>
        <v>0</v>
      </c>
      <c r="T264">
        <f>'RESUMEN TOTAL'!AB267</f>
        <v>0</v>
      </c>
      <c r="U264">
        <f>'RESUMEN TOTAL'!AC267</f>
        <v>0</v>
      </c>
      <c r="V264">
        <f>'RESUMEN TOTAL'!AD267</f>
        <v>0</v>
      </c>
      <c r="W264">
        <f>'RESUMEN TOTAL'!AE267</f>
        <v>0</v>
      </c>
      <c r="X264">
        <f>'RESUMEN TOTAL'!AF267</f>
        <v>0</v>
      </c>
      <c r="Y264">
        <f>'RESUMEN TOTAL'!AG267</f>
        <v>0</v>
      </c>
      <c r="Z264">
        <f>'RESUMEN TOTAL'!AH267</f>
        <v>0</v>
      </c>
      <c r="AA264">
        <f>'RESUMEN TOTAL'!AI267</f>
        <v>0</v>
      </c>
      <c r="AB264">
        <f>'RESUMEN TOTAL'!AJ267</f>
        <v>0</v>
      </c>
      <c r="AC264">
        <f>'RESUMEN TOTAL'!AK267</f>
        <v>0</v>
      </c>
      <c r="AD264">
        <f>'RESUMEN TOTAL'!AL267</f>
        <v>0</v>
      </c>
      <c r="AE264">
        <f>'RESUMEN TOTAL'!AM267</f>
        <v>0</v>
      </c>
      <c r="AF264">
        <f>'RESUMEN TOTAL'!AN267</f>
        <v>0</v>
      </c>
      <c r="AG264">
        <f>'RESUMEN TOTAL'!AO267</f>
        <v>0</v>
      </c>
    </row>
    <row r="265" spans="1:33" x14ac:dyDescent="0.25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TOTAL'!N268</f>
        <v>0</v>
      </c>
      <c r="G265">
        <f>'RESUMEN TOTAL'!O268</f>
        <v>0</v>
      </c>
      <c r="H265">
        <f>'RESUMEN TOTAL'!P268</f>
        <v>0</v>
      </c>
      <c r="I265">
        <f>'RESUMEN TOTAL'!Q268</f>
        <v>0</v>
      </c>
      <c r="J265">
        <f>'RESUMEN TOTAL'!R268</f>
        <v>0</v>
      </c>
      <c r="K265">
        <f>'RESUMEN TOTAL'!S268</f>
        <v>0</v>
      </c>
      <c r="L265">
        <f>'RESUMEN TOTAL'!T268</f>
        <v>0</v>
      </c>
      <c r="M265">
        <f>'RESUMEN TOTAL'!U268</f>
        <v>0</v>
      </c>
      <c r="N265">
        <f>'RESUMEN TOTAL'!V268</f>
        <v>0</v>
      </c>
      <c r="O265">
        <f>'RESUMEN TOTAL'!W268</f>
        <v>0</v>
      </c>
      <c r="P265">
        <f>'RESUMEN TOTAL'!X268</f>
        <v>0</v>
      </c>
      <c r="Q265">
        <f>'RESUMEN TOTAL'!Y268</f>
        <v>0</v>
      </c>
      <c r="R265">
        <f>'RESUMEN TOTAL'!Z268</f>
        <v>0</v>
      </c>
      <c r="S265">
        <f>'RESUMEN TOTAL'!AA268</f>
        <v>0</v>
      </c>
      <c r="T265">
        <f>'RESUMEN TOTAL'!AB268</f>
        <v>0</v>
      </c>
      <c r="U265">
        <f>'RESUMEN TOTAL'!AC268</f>
        <v>0</v>
      </c>
      <c r="V265">
        <f>'RESUMEN TOTAL'!AD268</f>
        <v>0</v>
      </c>
      <c r="W265">
        <f>'RESUMEN TOTAL'!AE268</f>
        <v>0</v>
      </c>
      <c r="X265">
        <f>'RESUMEN TOTAL'!AF268</f>
        <v>0</v>
      </c>
      <c r="Y265">
        <f>'RESUMEN TOTAL'!AG268</f>
        <v>0</v>
      </c>
      <c r="Z265">
        <f>'RESUMEN TOTAL'!AH268</f>
        <v>0</v>
      </c>
      <c r="AA265">
        <f>'RESUMEN TOTAL'!AI268</f>
        <v>0</v>
      </c>
      <c r="AB265">
        <f>'RESUMEN TOTAL'!AJ268</f>
        <v>0</v>
      </c>
      <c r="AC265">
        <f>'RESUMEN TOTAL'!AK268</f>
        <v>0</v>
      </c>
      <c r="AD265">
        <f>'RESUMEN TOTAL'!AL268</f>
        <v>0</v>
      </c>
      <c r="AE265">
        <f>'RESUMEN TOTAL'!AM268</f>
        <v>0</v>
      </c>
      <c r="AF265">
        <f>'RESUMEN TOTAL'!AN268</f>
        <v>0</v>
      </c>
      <c r="AG265">
        <f>'RESUMEN TOTAL'!AO268</f>
        <v>0</v>
      </c>
    </row>
    <row r="266" spans="1:33" x14ac:dyDescent="0.25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TOTAL'!N269</f>
        <v>0</v>
      </c>
      <c r="G266">
        <f>'RESUMEN TOTAL'!O269</f>
        <v>0</v>
      </c>
      <c r="H266">
        <f>'RESUMEN TOTAL'!P269</f>
        <v>0</v>
      </c>
      <c r="I266">
        <f>'RESUMEN TOTAL'!Q269</f>
        <v>0</v>
      </c>
      <c r="J266">
        <f>'RESUMEN TOTAL'!R269</f>
        <v>0</v>
      </c>
      <c r="K266">
        <f>'RESUMEN TOTAL'!S269</f>
        <v>0</v>
      </c>
      <c r="L266">
        <f>'RESUMEN TOTAL'!T269</f>
        <v>0</v>
      </c>
      <c r="M266">
        <f>'RESUMEN TOTAL'!U269</f>
        <v>0</v>
      </c>
      <c r="N266">
        <f>'RESUMEN TOTAL'!V269</f>
        <v>0</v>
      </c>
      <c r="O266">
        <f>'RESUMEN TOTAL'!W269</f>
        <v>0</v>
      </c>
      <c r="P266">
        <f>'RESUMEN TOTAL'!X269</f>
        <v>0</v>
      </c>
      <c r="Q266">
        <f>'RESUMEN TOTAL'!Y269</f>
        <v>0</v>
      </c>
      <c r="R266">
        <f>'RESUMEN TOTAL'!Z269</f>
        <v>0</v>
      </c>
      <c r="S266">
        <f>'RESUMEN TOTAL'!AA269</f>
        <v>0</v>
      </c>
      <c r="T266">
        <f>'RESUMEN TOTAL'!AB269</f>
        <v>0</v>
      </c>
      <c r="U266">
        <f>'RESUMEN TOTAL'!AC269</f>
        <v>0</v>
      </c>
      <c r="V266">
        <f>'RESUMEN TOTAL'!AD269</f>
        <v>0</v>
      </c>
      <c r="W266">
        <f>'RESUMEN TOTAL'!AE269</f>
        <v>0</v>
      </c>
      <c r="X266">
        <f>'RESUMEN TOTAL'!AF269</f>
        <v>0</v>
      </c>
      <c r="Y266">
        <f>'RESUMEN TOTAL'!AG269</f>
        <v>0</v>
      </c>
      <c r="Z266">
        <f>'RESUMEN TOTAL'!AH269</f>
        <v>0</v>
      </c>
      <c r="AA266">
        <f>'RESUMEN TOTAL'!AI269</f>
        <v>0</v>
      </c>
      <c r="AB266">
        <f>'RESUMEN TOTAL'!AJ269</f>
        <v>0</v>
      </c>
      <c r="AC266">
        <f>'RESUMEN TOTAL'!AK269</f>
        <v>0</v>
      </c>
      <c r="AD266">
        <f>'RESUMEN TOTAL'!AL269</f>
        <v>0</v>
      </c>
      <c r="AE266">
        <f>'RESUMEN TOTAL'!AM269</f>
        <v>0</v>
      </c>
      <c r="AF266">
        <f>'RESUMEN TOTAL'!AN269</f>
        <v>0</v>
      </c>
      <c r="AG266">
        <f>'RESUMEN TOTAL'!AO269</f>
        <v>0</v>
      </c>
    </row>
    <row r="267" spans="1:33" x14ac:dyDescent="0.25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>
        <f>'RESUMEN TOTAL'!N270</f>
        <v>0</v>
      </c>
      <c r="G267">
        <f>'RESUMEN TOTAL'!O270</f>
        <v>0</v>
      </c>
      <c r="H267">
        <f>'RESUMEN TOTAL'!P270</f>
        <v>0</v>
      </c>
      <c r="I267">
        <f>'RESUMEN TOTAL'!Q270</f>
        <v>0</v>
      </c>
      <c r="J267">
        <f>'RESUMEN TOTAL'!R270</f>
        <v>0</v>
      </c>
      <c r="K267">
        <f>'RESUMEN TOTAL'!S270</f>
        <v>0</v>
      </c>
      <c r="L267">
        <f>'RESUMEN TOTAL'!T270</f>
        <v>0</v>
      </c>
      <c r="M267">
        <f>'RESUMEN TOTAL'!U270</f>
        <v>0</v>
      </c>
      <c r="N267">
        <f>'RESUMEN TOTAL'!V270</f>
        <v>0</v>
      </c>
      <c r="O267">
        <f>'RESUMEN TOTAL'!W270</f>
        <v>0</v>
      </c>
      <c r="P267">
        <f>'RESUMEN TOTAL'!X270</f>
        <v>0</v>
      </c>
      <c r="Q267">
        <f>'RESUMEN TOTAL'!Y270</f>
        <v>0</v>
      </c>
      <c r="R267">
        <f>'RESUMEN TOTAL'!Z270</f>
        <v>0</v>
      </c>
      <c r="S267">
        <f>'RESUMEN TOTAL'!AA270</f>
        <v>0</v>
      </c>
      <c r="T267">
        <f>'RESUMEN TOTAL'!AB270</f>
        <v>0</v>
      </c>
      <c r="U267">
        <f>'RESUMEN TOTAL'!AC270</f>
        <v>0</v>
      </c>
      <c r="V267">
        <f>'RESUMEN TOTAL'!AD270</f>
        <v>0</v>
      </c>
      <c r="W267">
        <f>'RESUMEN TOTAL'!AE270</f>
        <v>0</v>
      </c>
      <c r="X267">
        <f>'RESUMEN TOTAL'!AF270</f>
        <v>0</v>
      </c>
      <c r="Y267">
        <f>'RESUMEN TOTAL'!AG270</f>
        <v>0</v>
      </c>
      <c r="Z267">
        <f>'RESUMEN TOTAL'!AH270</f>
        <v>0</v>
      </c>
      <c r="AA267">
        <f>'RESUMEN TOTAL'!AI270</f>
        <v>0</v>
      </c>
      <c r="AB267">
        <f>'RESUMEN TOTAL'!AJ270</f>
        <v>0</v>
      </c>
      <c r="AC267">
        <f>'RESUMEN TOTAL'!AK270</f>
        <v>0</v>
      </c>
      <c r="AD267">
        <f>'RESUMEN TOTAL'!AL270</f>
        <v>0</v>
      </c>
      <c r="AE267">
        <f>'RESUMEN TOTAL'!AM270</f>
        <v>0</v>
      </c>
      <c r="AF267">
        <f>'RESUMEN TOTAL'!AN270</f>
        <v>0</v>
      </c>
      <c r="AG267">
        <f>'RESUMEN TOTAL'!AO270</f>
        <v>0</v>
      </c>
    </row>
    <row r="268" spans="1:33" x14ac:dyDescent="0.25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TOTAL'!N271</f>
        <v>APAGADO</v>
      </c>
      <c r="G268" t="str">
        <f>'RESUMEN TOTAL'!O271</f>
        <v>APAGADO</v>
      </c>
      <c r="H268" t="str">
        <f>'RESUMEN TOTAL'!P271</f>
        <v>APAGADO</v>
      </c>
      <c r="I268" t="str">
        <f>'RESUMEN TOTAL'!Q271</f>
        <v>APAGADO</v>
      </c>
      <c r="J268" t="str">
        <f>'RESUMEN TOTAL'!R271</f>
        <v>APAGADO</v>
      </c>
      <c r="K268" t="str">
        <f>'RESUMEN TOTAL'!S271</f>
        <v>APAGADO</v>
      </c>
      <c r="L268">
        <f>'RESUMEN TOTAL'!T271</f>
        <v>0</v>
      </c>
      <c r="M268">
        <f>'RESUMEN TOTAL'!U271</f>
        <v>0</v>
      </c>
      <c r="N268">
        <f>'RESUMEN TOTAL'!V271</f>
        <v>0</v>
      </c>
      <c r="O268">
        <f>'RESUMEN TOTAL'!W271</f>
        <v>0</v>
      </c>
      <c r="P268">
        <f>'RESUMEN TOTAL'!X271</f>
        <v>0</v>
      </c>
      <c r="Q268">
        <f>'RESUMEN TOTAL'!Y271</f>
        <v>0</v>
      </c>
      <c r="R268">
        <f>'RESUMEN TOTAL'!Z271</f>
        <v>0</v>
      </c>
      <c r="S268">
        <f>'RESUMEN TOTAL'!AA271</f>
        <v>0</v>
      </c>
      <c r="T268">
        <f>'RESUMEN TOTAL'!AB271</f>
        <v>0</v>
      </c>
      <c r="U268">
        <f>'RESUMEN TOTAL'!AC271</f>
        <v>0</v>
      </c>
      <c r="V268">
        <f>'RESUMEN TOTAL'!AD271</f>
        <v>0</v>
      </c>
      <c r="W268">
        <f>'RESUMEN TOTAL'!AE271</f>
        <v>0</v>
      </c>
      <c r="X268">
        <f>'RESUMEN TOTAL'!AF271</f>
        <v>0</v>
      </c>
      <c r="Y268">
        <f>'RESUMEN TOTAL'!AG271</f>
        <v>0</v>
      </c>
      <c r="Z268">
        <f>'RESUMEN TOTAL'!AH271</f>
        <v>0</v>
      </c>
      <c r="AA268">
        <f>'RESUMEN TOTAL'!AI271</f>
        <v>0</v>
      </c>
      <c r="AB268">
        <f>'RESUMEN TOTAL'!AJ271</f>
        <v>0</v>
      </c>
      <c r="AC268">
        <f>'RESUMEN TOTAL'!AK271</f>
        <v>0</v>
      </c>
      <c r="AD268">
        <f>'RESUMEN TOTAL'!AL271</f>
        <v>0</v>
      </c>
      <c r="AE268">
        <f>'RESUMEN TOTAL'!AM271</f>
        <v>0</v>
      </c>
      <c r="AF268">
        <f>'RESUMEN TOTAL'!AN271</f>
        <v>0</v>
      </c>
      <c r="AG268">
        <f>'RESUMEN TOTAL'!AO271</f>
        <v>0</v>
      </c>
    </row>
    <row r="269" spans="1:33" x14ac:dyDescent="0.25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TOTAL'!N272</f>
        <v>APAGADO</v>
      </c>
      <c r="G269" t="str">
        <f>'RESUMEN TOTAL'!O272</f>
        <v>APAGADO</v>
      </c>
      <c r="H269" t="str">
        <f>'RESUMEN TOTAL'!P272</f>
        <v>APAGADO</v>
      </c>
      <c r="I269" t="str">
        <f>'RESUMEN TOTAL'!Q272</f>
        <v>APAGADO</v>
      </c>
      <c r="J269" t="str">
        <f>'RESUMEN TOTAL'!R272</f>
        <v>APAGADO</v>
      </c>
      <c r="K269" t="str">
        <f>'RESUMEN TOTAL'!S272</f>
        <v>APAGADO</v>
      </c>
      <c r="L269">
        <f>'RESUMEN TOTAL'!T272</f>
        <v>0</v>
      </c>
      <c r="M269">
        <f>'RESUMEN TOTAL'!U272</f>
        <v>0</v>
      </c>
      <c r="N269">
        <f>'RESUMEN TOTAL'!V272</f>
        <v>0</v>
      </c>
      <c r="O269">
        <f>'RESUMEN TOTAL'!W272</f>
        <v>0</v>
      </c>
      <c r="P269">
        <f>'RESUMEN TOTAL'!X272</f>
        <v>0</v>
      </c>
      <c r="Q269">
        <f>'RESUMEN TOTAL'!Y272</f>
        <v>0</v>
      </c>
      <c r="R269">
        <f>'RESUMEN TOTAL'!Z272</f>
        <v>0</v>
      </c>
      <c r="S269">
        <f>'RESUMEN TOTAL'!AA272</f>
        <v>0</v>
      </c>
      <c r="T269">
        <f>'RESUMEN TOTAL'!AB272</f>
        <v>0</v>
      </c>
      <c r="U269">
        <f>'RESUMEN TOTAL'!AC272</f>
        <v>0</v>
      </c>
      <c r="V269">
        <f>'RESUMEN TOTAL'!AD272</f>
        <v>0</v>
      </c>
      <c r="W269">
        <f>'RESUMEN TOTAL'!AE272</f>
        <v>0</v>
      </c>
      <c r="X269">
        <f>'RESUMEN TOTAL'!AF272</f>
        <v>0</v>
      </c>
      <c r="Y269">
        <f>'RESUMEN TOTAL'!AG272</f>
        <v>0</v>
      </c>
      <c r="Z269">
        <f>'RESUMEN TOTAL'!AH272</f>
        <v>0</v>
      </c>
      <c r="AA269">
        <f>'RESUMEN TOTAL'!AI272</f>
        <v>0</v>
      </c>
      <c r="AB269">
        <f>'RESUMEN TOTAL'!AJ272</f>
        <v>0</v>
      </c>
      <c r="AC269">
        <f>'RESUMEN TOTAL'!AK272</f>
        <v>0</v>
      </c>
      <c r="AD269">
        <f>'RESUMEN TOTAL'!AL272</f>
        <v>0</v>
      </c>
      <c r="AE269">
        <f>'RESUMEN TOTAL'!AM272</f>
        <v>0</v>
      </c>
      <c r="AF269">
        <f>'RESUMEN TOTAL'!AN272</f>
        <v>0</v>
      </c>
      <c r="AG269">
        <f>'RESUMEN TOTAL'!AO272</f>
        <v>0</v>
      </c>
    </row>
    <row r="270" spans="1:33" x14ac:dyDescent="0.25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TOTAL'!N273</f>
        <v>0</v>
      </c>
      <c r="G270">
        <f>'RESUMEN TOTAL'!O273</f>
        <v>0</v>
      </c>
      <c r="H270">
        <f>'RESUMEN TOTAL'!P273</f>
        <v>0</v>
      </c>
      <c r="I270">
        <f>'RESUMEN TOTAL'!Q273</f>
        <v>0</v>
      </c>
      <c r="J270">
        <f>'RESUMEN TOTAL'!R273</f>
        <v>0</v>
      </c>
      <c r="K270">
        <f>'RESUMEN TOTAL'!S273</f>
        <v>0</v>
      </c>
      <c r="L270">
        <f>'RESUMEN TOTAL'!T273</f>
        <v>0</v>
      </c>
      <c r="M270">
        <f>'RESUMEN TOTAL'!U273</f>
        <v>0</v>
      </c>
      <c r="N270">
        <f>'RESUMEN TOTAL'!V273</f>
        <v>0</v>
      </c>
      <c r="O270">
        <f>'RESUMEN TOTAL'!W273</f>
        <v>0</v>
      </c>
      <c r="P270">
        <f>'RESUMEN TOTAL'!X273</f>
        <v>0</v>
      </c>
      <c r="Q270">
        <f>'RESUMEN TOTAL'!Y273</f>
        <v>0</v>
      </c>
      <c r="R270">
        <f>'RESUMEN TOTAL'!Z273</f>
        <v>0</v>
      </c>
      <c r="S270">
        <f>'RESUMEN TOTAL'!AA273</f>
        <v>0</v>
      </c>
      <c r="T270">
        <f>'RESUMEN TOTAL'!AB273</f>
        <v>0</v>
      </c>
      <c r="U270">
        <f>'RESUMEN TOTAL'!AC273</f>
        <v>0</v>
      </c>
      <c r="V270">
        <f>'RESUMEN TOTAL'!AD273</f>
        <v>0</v>
      </c>
      <c r="W270">
        <f>'RESUMEN TOTAL'!AE273</f>
        <v>0</v>
      </c>
      <c r="X270">
        <f>'RESUMEN TOTAL'!AF273</f>
        <v>0</v>
      </c>
      <c r="Y270">
        <f>'RESUMEN TOTAL'!AG273</f>
        <v>0</v>
      </c>
      <c r="Z270">
        <f>'RESUMEN TOTAL'!AH273</f>
        <v>0</v>
      </c>
      <c r="AA270">
        <f>'RESUMEN TOTAL'!AI273</f>
        <v>0</v>
      </c>
      <c r="AB270">
        <f>'RESUMEN TOTAL'!AJ273</f>
        <v>0</v>
      </c>
      <c r="AC270">
        <f>'RESUMEN TOTAL'!AK273</f>
        <v>0</v>
      </c>
      <c r="AD270">
        <f>'RESUMEN TOTAL'!AL273</f>
        <v>0</v>
      </c>
      <c r="AE270">
        <f>'RESUMEN TOTAL'!AM273</f>
        <v>0</v>
      </c>
      <c r="AF270">
        <f>'RESUMEN TOTAL'!AN273</f>
        <v>0</v>
      </c>
      <c r="AG270">
        <f>'RESUMEN TOTAL'!AO273</f>
        <v>0</v>
      </c>
    </row>
    <row r="271" spans="1:33" x14ac:dyDescent="0.25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TOTAL'!N274</f>
        <v>0</v>
      </c>
      <c r="G271">
        <f>'RESUMEN TOTAL'!O274</f>
        <v>0</v>
      </c>
      <c r="H271">
        <f>'RESUMEN TOTAL'!P274</f>
        <v>0</v>
      </c>
      <c r="I271">
        <f>'RESUMEN TOTAL'!Q274</f>
        <v>0</v>
      </c>
      <c r="J271">
        <f>'RESUMEN TOTAL'!R274</f>
        <v>0</v>
      </c>
      <c r="K271">
        <f>'RESUMEN TOTAL'!S274</f>
        <v>0</v>
      </c>
      <c r="L271">
        <f>'RESUMEN TOTAL'!T274</f>
        <v>0</v>
      </c>
      <c r="M271">
        <f>'RESUMEN TOTAL'!U274</f>
        <v>0</v>
      </c>
      <c r="N271">
        <f>'RESUMEN TOTAL'!V274</f>
        <v>0</v>
      </c>
      <c r="O271">
        <f>'RESUMEN TOTAL'!W274</f>
        <v>0</v>
      </c>
      <c r="P271">
        <f>'RESUMEN TOTAL'!X274</f>
        <v>0</v>
      </c>
      <c r="Q271">
        <f>'RESUMEN TOTAL'!Y274</f>
        <v>0</v>
      </c>
      <c r="R271">
        <f>'RESUMEN TOTAL'!Z274</f>
        <v>0</v>
      </c>
      <c r="S271">
        <f>'RESUMEN TOTAL'!AA274</f>
        <v>0</v>
      </c>
      <c r="T271">
        <f>'RESUMEN TOTAL'!AB274</f>
        <v>0</v>
      </c>
      <c r="U271">
        <f>'RESUMEN TOTAL'!AC274</f>
        <v>0</v>
      </c>
      <c r="V271">
        <f>'RESUMEN TOTAL'!AD274</f>
        <v>0</v>
      </c>
      <c r="W271">
        <f>'RESUMEN TOTAL'!AE274</f>
        <v>0</v>
      </c>
      <c r="X271">
        <f>'RESUMEN TOTAL'!AF274</f>
        <v>0</v>
      </c>
      <c r="Y271">
        <f>'RESUMEN TOTAL'!AG274</f>
        <v>0</v>
      </c>
      <c r="Z271">
        <f>'RESUMEN TOTAL'!AH274</f>
        <v>0</v>
      </c>
      <c r="AA271">
        <f>'RESUMEN TOTAL'!AI274</f>
        <v>0</v>
      </c>
      <c r="AB271">
        <f>'RESUMEN TOTAL'!AJ274</f>
        <v>0</v>
      </c>
      <c r="AC271">
        <f>'RESUMEN TOTAL'!AK274</f>
        <v>0</v>
      </c>
      <c r="AD271">
        <f>'RESUMEN TOTAL'!AL274</f>
        <v>0</v>
      </c>
      <c r="AE271">
        <f>'RESUMEN TOTAL'!AM274</f>
        <v>0</v>
      </c>
      <c r="AF271">
        <f>'RESUMEN TOTAL'!AN274</f>
        <v>0</v>
      </c>
      <c r="AG271">
        <f>'RESUMEN TOTAL'!AO274</f>
        <v>0</v>
      </c>
    </row>
    <row r="272" spans="1:33" x14ac:dyDescent="0.25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TOTAL'!N275</f>
        <v>0</v>
      </c>
      <c r="G272">
        <f>'RESUMEN TOTAL'!O275</f>
        <v>0</v>
      </c>
      <c r="H272">
        <f>'RESUMEN TOTAL'!P275</f>
        <v>0</v>
      </c>
      <c r="I272">
        <f>'RESUMEN TOTAL'!Q275</f>
        <v>0</v>
      </c>
      <c r="J272">
        <f>'RESUMEN TOTAL'!R275</f>
        <v>0</v>
      </c>
      <c r="K272">
        <f>'RESUMEN TOTAL'!S275</f>
        <v>0</v>
      </c>
      <c r="L272">
        <f>'RESUMEN TOTAL'!T275</f>
        <v>0</v>
      </c>
      <c r="M272">
        <f>'RESUMEN TOTAL'!U275</f>
        <v>0</v>
      </c>
      <c r="N272">
        <f>'RESUMEN TOTAL'!V275</f>
        <v>0</v>
      </c>
      <c r="O272">
        <f>'RESUMEN TOTAL'!W275</f>
        <v>0</v>
      </c>
      <c r="P272">
        <f>'RESUMEN TOTAL'!X275</f>
        <v>0</v>
      </c>
      <c r="Q272">
        <f>'RESUMEN TOTAL'!Y275</f>
        <v>0</v>
      </c>
      <c r="R272">
        <f>'RESUMEN TOTAL'!Z275</f>
        <v>0</v>
      </c>
      <c r="S272">
        <f>'RESUMEN TOTAL'!AA275</f>
        <v>0</v>
      </c>
      <c r="T272">
        <f>'RESUMEN TOTAL'!AB275</f>
        <v>0</v>
      </c>
      <c r="U272">
        <f>'RESUMEN TOTAL'!AC275</f>
        <v>0</v>
      </c>
      <c r="V272">
        <f>'RESUMEN TOTAL'!AD275</f>
        <v>0</v>
      </c>
      <c r="W272">
        <f>'RESUMEN TOTAL'!AE275</f>
        <v>0</v>
      </c>
      <c r="X272">
        <f>'RESUMEN TOTAL'!AF275</f>
        <v>0</v>
      </c>
      <c r="Y272">
        <f>'RESUMEN TOTAL'!AG275</f>
        <v>0</v>
      </c>
      <c r="Z272">
        <f>'RESUMEN TOTAL'!AH275</f>
        <v>0</v>
      </c>
      <c r="AA272">
        <f>'RESUMEN TOTAL'!AI275</f>
        <v>0</v>
      </c>
      <c r="AB272">
        <f>'RESUMEN TOTAL'!AJ275</f>
        <v>0</v>
      </c>
      <c r="AC272">
        <f>'RESUMEN TOTAL'!AK275</f>
        <v>0</v>
      </c>
      <c r="AD272">
        <f>'RESUMEN TOTAL'!AL275</f>
        <v>0</v>
      </c>
      <c r="AE272">
        <f>'RESUMEN TOTAL'!AM275</f>
        <v>0</v>
      </c>
      <c r="AF272">
        <f>'RESUMEN TOTAL'!AN275</f>
        <v>0</v>
      </c>
      <c r="AG272">
        <f>'RESUMEN TOTAL'!AO275</f>
        <v>0</v>
      </c>
    </row>
    <row r="273" spans="1:33" x14ac:dyDescent="0.25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TOTAL'!N276</f>
        <v>0</v>
      </c>
      <c r="G273" t="str">
        <f>'RESUMEN TOTAL'!O276</f>
        <v>APAGADO</v>
      </c>
      <c r="H273" t="str">
        <f>'RESUMEN TOTAL'!P276</f>
        <v>APAGADO</v>
      </c>
      <c r="I273" t="str">
        <f>'RESUMEN TOTAL'!Q276</f>
        <v>APAGADO</v>
      </c>
      <c r="J273">
        <f>'RESUMEN TOTAL'!R276</f>
        <v>0</v>
      </c>
      <c r="K273">
        <f>'RESUMEN TOTAL'!S276</f>
        <v>0</v>
      </c>
      <c r="L273">
        <f>'RESUMEN TOTAL'!T276</f>
        <v>0</v>
      </c>
      <c r="M273">
        <f>'RESUMEN TOTAL'!U276</f>
        <v>0</v>
      </c>
      <c r="N273">
        <f>'RESUMEN TOTAL'!V276</f>
        <v>0</v>
      </c>
      <c r="O273">
        <f>'RESUMEN TOTAL'!W276</f>
        <v>0</v>
      </c>
      <c r="P273">
        <f>'RESUMEN TOTAL'!X276</f>
        <v>0</v>
      </c>
      <c r="Q273">
        <f>'RESUMEN TOTAL'!Y276</f>
        <v>0</v>
      </c>
      <c r="R273">
        <f>'RESUMEN TOTAL'!Z276</f>
        <v>0</v>
      </c>
      <c r="S273">
        <f>'RESUMEN TOTAL'!AA276</f>
        <v>0</v>
      </c>
      <c r="T273">
        <f>'RESUMEN TOTAL'!AB276</f>
        <v>0</v>
      </c>
      <c r="U273">
        <f>'RESUMEN TOTAL'!AC276</f>
        <v>0</v>
      </c>
      <c r="V273">
        <f>'RESUMEN TOTAL'!AD276</f>
        <v>0</v>
      </c>
      <c r="W273">
        <f>'RESUMEN TOTAL'!AE276</f>
        <v>0</v>
      </c>
      <c r="X273">
        <f>'RESUMEN TOTAL'!AF276</f>
        <v>0</v>
      </c>
      <c r="Y273">
        <f>'RESUMEN TOTAL'!AG276</f>
        <v>0</v>
      </c>
      <c r="Z273">
        <f>'RESUMEN TOTAL'!AH276</f>
        <v>0</v>
      </c>
      <c r="AA273">
        <f>'RESUMEN TOTAL'!AI276</f>
        <v>0</v>
      </c>
      <c r="AB273">
        <f>'RESUMEN TOTAL'!AJ276</f>
        <v>0</v>
      </c>
      <c r="AC273">
        <f>'RESUMEN TOTAL'!AK276</f>
        <v>0</v>
      </c>
      <c r="AD273">
        <f>'RESUMEN TOTAL'!AL276</f>
        <v>0</v>
      </c>
      <c r="AE273">
        <f>'RESUMEN TOTAL'!AM276</f>
        <v>0</v>
      </c>
      <c r="AF273">
        <f>'RESUMEN TOTAL'!AN276</f>
        <v>0</v>
      </c>
      <c r="AG273">
        <f>'RESUMEN TOTAL'!AO276</f>
        <v>0</v>
      </c>
    </row>
    <row r="274" spans="1:33" x14ac:dyDescent="0.25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TOTAL'!N277</f>
        <v>APAGADO</v>
      </c>
      <c r="G274" t="str">
        <f>'RESUMEN TOTAL'!O277</f>
        <v>APAGADO</v>
      </c>
      <c r="H274" t="str">
        <f>'RESUMEN TOTAL'!P277</f>
        <v>APAGADO</v>
      </c>
      <c r="I274" t="str">
        <f>'RESUMEN TOTAL'!Q277</f>
        <v>APAGADO</v>
      </c>
      <c r="J274">
        <f>'RESUMEN TOTAL'!R277</f>
        <v>0</v>
      </c>
      <c r="K274">
        <f>'RESUMEN TOTAL'!S277</f>
        <v>0</v>
      </c>
      <c r="L274">
        <f>'RESUMEN TOTAL'!T277</f>
        <v>0</v>
      </c>
      <c r="M274">
        <f>'RESUMEN TOTAL'!U277</f>
        <v>0</v>
      </c>
      <c r="N274">
        <f>'RESUMEN TOTAL'!V277</f>
        <v>0</v>
      </c>
      <c r="O274">
        <f>'RESUMEN TOTAL'!W277</f>
        <v>0</v>
      </c>
      <c r="P274">
        <f>'RESUMEN TOTAL'!X277</f>
        <v>0</v>
      </c>
      <c r="Q274">
        <f>'RESUMEN TOTAL'!Y277</f>
        <v>0</v>
      </c>
      <c r="R274">
        <f>'RESUMEN TOTAL'!Z277</f>
        <v>0</v>
      </c>
      <c r="S274">
        <f>'RESUMEN TOTAL'!AA277</f>
        <v>0</v>
      </c>
      <c r="T274">
        <f>'RESUMEN TOTAL'!AB277</f>
        <v>0</v>
      </c>
      <c r="U274">
        <f>'RESUMEN TOTAL'!AC277</f>
        <v>0</v>
      </c>
      <c r="V274">
        <f>'RESUMEN TOTAL'!AD277</f>
        <v>0</v>
      </c>
      <c r="W274">
        <f>'RESUMEN TOTAL'!AE277</f>
        <v>0</v>
      </c>
      <c r="X274">
        <f>'RESUMEN TOTAL'!AF277</f>
        <v>0</v>
      </c>
      <c r="Y274">
        <f>'RESUMEN TOTAL'!AG277</f>
        <v>0</v>
      </c>
      <c r="Z274">
        <f>'RESUMEN TOTAL'!AH277</f>
        <v>0</v>
      </c>
      <c r="AA274">
        <f>'RESUMEN TOTAL'!AI277</f>
        <v>0</v>
      </c>
      <c r="AB274">
        <f>'RESUMEN TOTAL'!AJ277</f>
        <v>0</v>
      </c>
      <c r="AC274">
        <f>'RESUMEN TOTAL'!AK277</f>
        <v>0</v>
      </c>
      <c r="AD274">
        <f>'RESUMEN TOTAL'!AL277</f>
        <v>0</v>
      </c>
      <c r="AE274">
        <f>'RESUMEN TOTAL'!AM277</f>
        <v>0</v>
      </c>
      <c r="AF274">
        <f>'RESUMEN TOTAL'!AN277</f>
        <v>0</v>
      </c>
      <c r="AG274">
        <f>'RESUMEN TOTAL'!AO277</f>
        <v>0</v>
      </c>
    </row>
    <row r="275" spans="1:33" x14ac:dyDescent="0.25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TOTAL'!N278</f>
        <v>0</v>
      </c>
      <c r="G275">
        <f>'RESUMEN TOTAL'!O278</f>
        <v>0</v>
      </c>
      <c r="H275">
        <f>'RESUMEN TOTAL'!P278</f>
        <v>0</v>
      </c>
      <c r="I275">
        <f>'RESUMEN TOTAL'!Q278</f>
        <v>0</v>
      </c>
      <c r="J275">
        <f>'RESUMEN TOTAL'!R278</f>
        <v>0</v>
      </c>
      <c r="K275">
        <f>'RESUMEN TOTAL'!S278</f>
        <v>0</v>
      </c>
      <c r="L275">
        <f>'RESUMEN TOTAL'!T278</f>
        <v>0</v>
      </c>
      <c r="M275">
        <f>'RESUMEN TOTAL'!U278</f>
        <v>0</v>
      </c>
      <c r="N275">
        <f>'RESUMEN TOTAL'!V278</f>
        <v>0</v>
      </c>
      <c r="O275">
        <f>'RESUMEN TOTAL'!W278</f>
        <v>0</v>
      </c>
      <c r="P275">
        <f>'RESUMEN TOTAL'!X278</f>
        <v>0</v>
      </c>
      <c r="Q275">
        <f>'RESUMEN TOTAL'!Y278</f>
        <v>0</v>
      </c>
      <c r="R275">
        <f>'RESUMEN TOTAL'!Z278</f>
        <v>0</v>
      </c>
      <c r="S275">
        <f>'RESUMEN TOTAL'!AA278</f>
        <v>0</v>
      </c>
      <c r="T275">
        <f>'RESUMEN TOTAL'!AB278</f>
        <v>0</v>
      </c>
      <c r="U275">
        <f>'RESUMEN TOTAL'!AC278</f>
        <v>0</v>
      </c>
      <c r="V275">
        <f>'RESUMEN TOTAL'!AD278</f>
        <v>0</v>
      </c>
      <c r="W275">
        <f>'RESUMEN TOTAL'!AE278</f>
        <v>0</v>
      </c>
      <c r="X275">
        <f>'RESUMEN TOTAL'!AF278</f>
        <v>0</v>
      </c>
      <c r="Y275">
        <f>'RESUMEN TOTAL'!AG278</f>
        <v>0</v>
      </c>
      <c r="Z275">
        <f>'RESUMEN TOTAL'!AH278</f>
        <v>0</v>
      </c>
      <c r="AA275">
        <f>'RESUMEN TOTAL'!AI278</f>
        <v>0</v>
      </c>
      <c r="AB275">
        <f>'RESUMEN TOTAL'!AJ278</f>
        <v>0</v>
      </c>
      <c r="AC275">
        <f>'RESUMEN TOTAL'!AK278</f>
        <v>0</v>
      </c>
      <c r="AD275">
        <f>'RESUMEN TOTAL'!AL278</f>
        <v>0</v>
      </c>
      <c r="AE275">
        <f>'RESUMEN TOTAL'!AM278</f>
        <v>0</v>
      </c>
      <c r="AF275">
        <f>'RESUMEN TOTAL'!AN278</f>
        <v>0</v>
      </c>
      <c r="AG275">
        <f>'RESUMEN TOTAL'!AO278</f>
        <v>0</v>
      </c>
    </row>
    <row r="276" spans="1:33" x14ac:dyDescent="0.25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>
        <f>'RESUMEN TOTAL'!N279</f>
        <v>0</v>
      </c>
      <c r="G276">
        <f>'RESUMEN TOTAL'!O279</f>
        <v>0</v>
      </c>
      <c r="H276">
        <f>'RESUMEN TOTAL'!P279</f>
        <v>0</v>
      </c>
      <c r="I276">
        <f>'RESUMEN TOTAL'!Q279</f>
        <v>0</v>
      </c>
      <c r="J276">
        <f>'RESUMEN TOTAL'!R279</f>
        <v>0</v>
      </c>
      <c r="K276">
        <f>'RESUMEN TOTAL'!S279</f>
        <v>0</v>
      </c>
      <c r="L276">
        <f>'RESUMEN TOTAL'!T279</f>
        <v>0</v>
      </c>
      <c r="M276">
        <f>'RESUMEN TOTAL'!U279</f>
        <v>0</v>
      </c>
      <c r="N276">
        <f>'RESUMEN TOTAL'!V279</f>
        <v>0</v>
      </c>
      <c r="O276">
        <f>'RESUMEN TOTAL'!W279</f>
        <v>0</v>
      </c>
      <c r="P276">
        <f>'RESUMEN TOTAL'!X279</f>
        <v>0</v>
      </c>
      <c r="Q276">
        <f>'RESUMEN TOTAL'!Y279</f>
        <v>0</v>
      </c>
      <c r="R276">
        <f>'RESUMEN TOTAL'!Z279</f>
        <v>0</v>
      </c>
      <c r="S276">
        <f>'RESUMEN TOTAL'!AA279</f>
        <v>0</v>
      </c>
      <c r="T276">
        <f>'RESUMEN TOTAL'!AB279</f>
        <v>0</v>
      </c>
      <c r="U276">
        <f>'RESUMEN TOTAL'!AC279</f>
        <v>0</v>
      </c>
      <c r="V276">
        <f>'RESUMEN TOTAL'!AD279</f>
        <v>0</v>
      </c>
      <c r="W276">
        <f>'RESUMEN TOTAL'!AE279</f>
        <v>0</v>
      </c>
      <c r="X276">
        <f>'RESUMEN TOTAL'!AF279</f>
        <v>0</v>
      </c>
      <c r="Y276">
        <f>'RESUMEN TOTAL'!AG279</f>
        <v>0</v>
      </c>
      <c r="Z276">
        <f>'RESUMEN TOTAL'!AH279</f>
        <v>0</v>
      </c>
      <c r="AA276">
        <f>'RESUMEN TOTAL'!AI279</f>
        <v>0</v>
      </c>
      <c r="AB276">
        <f>'RESUMEN TOTAL'!AJ279</f>
        <v>0</v>
      </c>
      <c r="AC276">
        <f>'RESUMEN TOTAL'!AK279</f>
        <v>0</v>
      </c>
      <c r="AD276">
        <f>'RESUMEN TOTAL'!AL279</f>
        <v>0</v>
      </c>
      <c r="AE276">
        <f>'RESUMEN TOTAL'!AM279</f>
        <v>0</v>
      </c>
      <c r="AF276">
        <f>'RESUMEN TOTAL'!AN279</f>
        <v>0</v>
      </c>
      <c r="AG276">
        <f>'RESUMEN TOTAL'!AO279</f>
        <v>0</v>
      </c>
    </row>
    <row r="277" spans="1:33" x14ac:dyDescent="0.25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TOTAL'!N280</f>
        <v>APAGADO</v>
      </c>
      <c r="G277" t="str">
        <f>'RESUMEN TOTAL'!O280</f>
        <v>APAGADO</v>
      </c>
      <c r="H277" t="str">
        <f>'RESUMEN TOTAL'!P280</f>
        <v>APAGADO</v>
      </c>
      <c r="I277" t="str">
        <f>'RESUMEN TOTAL'!Q280</f>
        <v>APAGADO</v>
      </c>
      <c r="J277">
        <f>'RESUMEN TOTAL'!R280</f>
        <v>0</v>
      </c>
      <c r="K277">
        <f>'RESUMEN TOTAL'!S280</f>
        <v>0</v>
      </c>
      <c r="L277" t="str">
        <f>'RESUMEN TOTAL'!T280</f>
        <v>APAGADO</v>
      </c>
      <c r="M277">
        <f>'RESUMEN TOTAL'!U280</f>
        <v>0</v>
      </c>
      <c r="N277">
        <f>'RESUMEN TOTAL'!V280</f>
        <v>0</v>
      </c>
      <c r="O277">
        <f>'RESUMEN TOTAL'!W280</f>
        <v>0</v>
      </c>
      <c r="P277">
        <f>'RESUMEN TOTAL'!X280</f>
        <v>0</v>
      </c>
      <c r="Q277">
        <f>'RESUMEN TOTAL'!Y280</f>
        <v>0</v>
      </c>
      <c r="R277">
        <f>'RESUMEN TOTAL'!Z280</f>
        <v>0</v>
      </c>
      <c r="S277">
        <f>'RESUMEN TOTAL'!AA280</f>
        <v>0</v>
      </c>
      <c r="T277">
        <f>'RESUMEN TOTAL'!AB280</f>
        <v>0</v>
      </c>
      <c r="U277">
        <f>'RESUMEN TOTAL'!AC280</f>
        <v>0</v>
      </c>
      <c r="V277">
        <f>'RESUMEN TOTAL'!AD280</f>
        <v>0</v>
      </c>
      <c r="W277">
        <f>'RESUMEN TOTAL'!AE280</f>
        <v>0</v>
      </c>
      <c r="X277">
        <f>'RESUMEN TOTAL'!AF280</f>
        <v>0</v>
      </c>
      <c r="Y277">
        <f>'RESUMEN TOTAL'!AG280</f>
        <v>0</v>
      </c>
      <c r="Z277">
        <f>'RESUMEN TOTAL'!AH280</f>
        <v>0</v>
      </c>
      <c r="AA277">
        <f>'RESUMEN TOTAL'!AI280</f>
        <v>0</v>
      </c>
      <c r="AB277">
        <f>'RESUMEN TOTAL'!AJ280</f>
        <v>0</v>
      </c>
      <c r="AC277">
        <f>'RESUMEN TOTAL'!AK280</f>
        <v>0</v>
      </c>
      <c r="AD277">
        <f>'RESUMEN TOTAL'!AL280</f>
        <v>0</v>
      </c>
      <c r="AE277">
        <f>'RESUMEN TOTAL'!AM280</f>
        <v>0</v>
      </c>
      <c r="AF277">
        <f>'RESUMEN TOTAL'!AN280</f>
        <v>0</v>
      </c>
      <c r="AG277">
        <f>'RESUMEN TOTAL'!AO280</f>
        <v>0</v>
      </c>
    </row>
    <row r="278" spans="1:33" x14ac:dyDescent="0.25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TOTAL'!N281</f>
        <v>0</v>
      </c>
      <c r="G278">
        <f>'RESUMEN TOTAL'!O281</f>
        <v>0</v>
      </c>
      <c r="H278">
        <f>'RESUMEN TOTAL'!P281</f>
        <v>0</v>
      </c>
      <c r="I278">
        <f>'RESUMEN TOTAL'!Q281</f>
        <v>0</v>
      </c>
      <c r="J278">
        <f>'RESUMEN TOTAL'!R281</f>
        <v>0</v>
      </c>
      <c r="K278">
        <f>'RESUMEN TOTAL'!S281</f>
        <v>0</v>
      </c>
      <c r="L278">
        <f>'RESUMEN TOTAL'!T281</f>
        <v>0</v>
      </c>
      <c r="M278">
        <f>'RESUMEN TOTAL'!U281</f>
        <v>0</v>
      </c>
      <c r="N278">
        <f>'RESUMEN TOTAL'!V281</f>
        <v>0</v>
      </c>
      <c r="O278">
        <f>'RESUMEN TOTAL'!W281</f>
        <v>0</v>
      </c>
      <c r="P278">
        <f>'RESUMEN TOTAL'!X281</f>
        <v>0</v>
      </c>
      <c r="Q278">
        <f>'RESUMEN TOTAL'!Y281</f>
        <v>0</v>
      </c>
      <c r="R278">
        <f>'RESUMEN TOTAL'!Z281</f>
        <v>0</v>
      </c>
      <c r="S278">
        <f>'RESUMEN TOTAL'!AA281</f>
        <v>0</v>
      </c>
      <c r="T278">
        <f>'RESUMEN TOTAL'!AB281</f>
        <v>0</v>
      </c>
      <c r="U278">
        <f>'RESUMEN TOTAL'!AC281</f>
        <v>0</v>
      </c>
      <c r="V278">
        <f>'RESUMEN TOTAL'!AD281</f>
        <v>0</v>
      </c>
      <c r="W278">
        <f>'RESUMEN TOTAL'!AE281</f>
        <v>0</v>
      </c>
      <c r="X278">
        <f>'RESUMEN TOTAL'!AF281</f>
        <v>0</v>
      </c>
      <c r="Y278">
        <f>'RESUMEN TOTAL'!AG281</f>
        <v>0</v>
      </c>
      <c r="Z278">
        <f>'RESUMEN TOTAL'!AH281</f>
        <v>0</v>
      </c>
      <c r="AA278">
        <f>'RESUMEN TOTAL'!AI281</f>
        <v>0</v>
      </c>
      <c r="AB278">
        <f>'RESUMEN TOTAL'!AJ281</f>
        <v>0</v>
      </c>
      <c r="AC278">
        <f>'RESUMEN TOTAL'!AK281</f>
        <v>0</v>
      </c>
      <c r="AD278">
        <f>'RESUMEN TOTAL'!AL281</f>
        <v>0</v>
      </c>
      <c r="AE278">
        <f>'RESUMEN TOTAL'!AM281</f>
        <v>0</v>
      </c>
      <c r="AF278">
        <f>'RESUMEN TOTAL'!AN281</f>
        <v>0</v>
      </c>
      <c r="AG278">
        <f>'RESUMEN TOTAL'!AO281</f>
        <v>0</v>
      </c>
    </row>
    <row r="279" spans="1:33" x14ac:dyDescent="0.25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TOTAL'!N282</f>
        <v>0</v>
      </c>
      <c r="G279">
        <f>'RESUMEN TOTAL'!O282</f>
        <v>0</v>
      </c>
      <c r="H279">
        <f>'RESUMEN TOTAL'!P282</f>
        <v>0</v>
      </c>
      <c r="I279">
        <f>'RESUMEN TOTAL'!Q282</f>
        <v>0</v>
      </c>
      <c r="J279">
        <f>'RESUMEN TOTAL'!R282</f>
        <v>0</v>
      </c>
      <c r="K279">
        <f>'RESUMEN TOTAL'!S282</f>
        <v>0</v>
      </c>
      <c r="L279">
        <f>'RESUMEN TOTAL'!T282</f>
        <v>0</v>
      </c>
      <c r="M279">
        <f>'RESUMEN TOTAL'!U282</f>
        <v>0</v>
      </c>
      <c r="N279">
        <f>'RESUMEN TOTAL'!V282</f>
        <v>0</v>
      </c>
      <c r="O279">
        <f>'RESUMEN TOTAL'!W282</f>
        <v>0</v>
      </c>
      <c r="P279">
        <f>'RESUMEN TOTAL'!X282</f>
        <v>0</v>
      </c>
      <c r="Q279">
        <f>'RESUMEN TOTAL'!Y282</f>
        <v>0</v>
      </c>
      <c r="R279">
        <f>'RESUMEN TOTAL'!Z282</f>
        <v>0</v>
      </c>
      <c r="S279">
        <f>'RESUMEN TOTAL'!AA282</f>
        <v>0</v>
      </c>
      <c r="T279">
        <f>'RESUMEN TOTAL'!AB282</f>
        <v>0</v>
      </c>
      <c r="U279">
        <f>'RESUMEN TOTAL'!AC282</f>
        <v>0</v>
      </c>
      <c r="V279">
        <f>'RESUMEN TOTAL'!AD282</f>
        <v>0</v>
      </c>
      <c r="W279">
        <f>'RESUMEN TOTAL'!AE282</f>
        <v>0</v>
      </c>
      <c r="X279">
        <f>'RESUMEN TOTAL'!AF282</f>
        <v>0</v>
      </c>
      <c r="Y279">
        <f>'RESUMEN TOTAL'!AG282</f>
        <v>0</v>
      </c>
      <c r="Z279">
        <f>'RESUMEN TOTAL'!AH282</f>
        <v>0</v>
      </c>
      <c r="AA279">
        <f>'RESUMEN TOTAL'!AI282</f>
        <v>0</v>
      </c>
      <c r="AB279">
        <f>'RESUMEN TOTAL'!AJ282</f>
        <v>0</v>
      </c>
      <c r="AC279">
        <f>'RESUMEN TOTAL'!AK282</f>
        <v>0</v>
      </c>
      <c r="AD279">
        <f>'RESUMEN TOTAL'!AL282</f>
        <v>0</v>
      </c>
      <c r="AE279">
        <f>'RESUMEN TOTAL'!AM282</f>
        <v>0</v>
      </c>
      <c r="AF279">
        <f>'RESUMEN TOTAL'!AN282</f>
        <v>0</v>
      </c>
      <c r="AG279">
        <f>'RESUMEN TOTAL'!AO282</f>
        <v>0</v>
      </c>
    </row>
    <row r="280" spans="1:33" x14ac:dyDescent="0.25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TOTAL'!N283</f>
        <v>0</v>
      </c>
      <c r="G280">
        <f>'RESUMEN TOTAL'!O283</f>
        <v>0</v>
      </c>
      <c r="H280">
        <f>'RESUMEN TOTAL'!P283</f>
        <v>0</v>
      </c>
      <c r="I280">
        <f>'RESUMEN TOTAL'!Q283</f>
        <v>0</v>
      </c>
      <c r="J280">
        <f>'RESUMEN TOTAL'!R283</f>
        <v>0</v>
      </c>
      <c r="K280">
        <f>'RESUMEN TOTAL'!S283</f>
        <v>0</v>
      </c>
      <c r="L280">
        <f>'RESUMEN TOTAL'!T283</f>
        <v>0</v>
      </c>
      <c r="M280">
        <f>'RESUMEN TOTAL'!U283</f>
        <v>0</v>
      </c>
      <c r="N280">
        <f>'RESUMEN TOTAL'!V283</f>
        <v>0</v>
      </c>
      <c r="O280">
        <f>'RESUMEN TOTAL'!W283</f>
        <v>0</v>
      </c>
      <c r="P280">
        <f>'RESUMEN TOTAL'!X283</f>
        <v>0</v>
      </c>
      <c r="Q280">
        <f>'RESUMEN TOTAL'!Y283</f>
        <v>0</v>
      </c>
      <c r="R280">
        <f>'RESUMEN TOTAL'!Z283</f>
        <v>0</v>
      </c>
      <c r="S280">
        <f>'RESUMEN TOTAL'!AA283</f>
        <v>0</v>
      </c>
      <c r="T280">
        <f>'RESUMEN TOTAL'!AB283</f>
        <v>0</v>
      </c>
      <c r="U280">
        <f>'RESUMEN TOTAL'!AC283</f>
        <v>0</v>
      </c>
      <c r="V280">
        <f>'RESUMEN TOTAL'!AD283</f>
        <v>0</v>
      </c>
      <c r="W280">
        <f>'RESUMEN TOTAL'!AE283</f>
        <v>0</v>
      </c>
      <c r="X280">
        <f>'RESUMEN TOTAL'!AF283</f>
        <v>0</v>
      </c>
      <c r="Y280">
        <f>'RESUMEN TOTAL'!AG283</f>
        <v>0</v>
      </c>
      <c r="Z280">
        <f>'RESUMEN TOTAL'!AH283</f>
        <v>0</v>
      </c>
      <c r="AA280">
        <f>'RESUMEN TOTAL'!AI283</f>
        <v>0</v>
      </c>
      <c r="AB280">
        <f>'RESUMEN TOTAL'!AJ283</f>
        <v>0</v>
      </c>
      <c r="AC280">
        <f>'RESUMEN TOTAL'!AK283</f>
        <v>0</v>
      </c>
      <c r="AD280">
        <f>'RESUMEN TOTAL'!AL283</f>
        <v>0</v>
      </c>
      <c r="AE280">
        <f>'RESUMEN TOTAL'!AM283</f>
        <v>0</v>
      </c>
      <c r="AF280">
        <f>'RESUMEN TOTAL'!AN283</f>
        <v>0</v>
      </c>
      <c r="AG280">
        <f>'RESUMEN TOTAL'!AO283</f>
        <v>0</v>
      </c>
    </row>
    <row r="281" spans="1:33" x14ac:dyDescent="0.25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TOTAL'!N284</f>
        <v>0</v>
      </c>
      <c r="G281">
        <f>'RESUMEN TOTAL'!O284</f>
        <v>0</v>
      </c>
      <c r="H281">
        <f>'RESUMEN TOTAL'!P284</f>
        <v>0</v>
      </c>
      <c r="I281">
        <f>'RESUMEN TOTAL'!Q284</f>
        <v>0</v>
      </c>
      <c r="J281">
        <f>'RESUMEN TOTAL'!R284</f>
        <v>0</v>
      </c>
      <c r="K281">
        <f>'RESUMEN TOTAL'!S284</f>
        <v>0</v>
      </c>
      <c r="L281">
        <f>'RESUMEN TOTAL'!T284</f>
        <v>0</v>
      </c>
      <c r="M281">
        <f>'RESUMEN TOTAL'!U284</f>
        <v>0</v>
      </c>
      <c r="N281">
        <f>'RESUMEN TOTAL'!V284</f>
        <v>0</v>
      </c>
      <c r="O281">
        <f>'RESUMEN TOTAL'!W284</f>
        <v>0</v>
      </c>
      <c r="P281">
        <f>'RESUMEN TOTAL'!X284</f>
        <v>0</v>
      </c>
      <c r="Q281">
        <f>'RESUMEN TOTAL'!Y284</f>
        <v>0</v>
      </c>
      <c r="R281">
        <f>'RESUMEN TOTAL'!Z284</f>
        <v>0</v>
      </c>
      <c r="S281">
        <f>'RESUMEN TOTAL'!AA284</f>
        <v>0</v>
      </c>
      <c r="T281">
        <f>'RESUMEN TOTAL'!AB284</f>
        <v>0</v>
      </c>
      <c r="U281">
        <f>'RESUMEN TOTAL'!AC284</f>
        <v>0</v>
      </c>
      <c r="V281">
        <f>'RESUMEN TOTAL'!AD284</f>
        <v>0</v>
      </c>
      <c r="W281">
        <f>'RESUMEN TOTAL'!AE284</f>
        <v>0</v>
      </c>
      <c r="X281">
        <f>'RESUMEN TOTAL'!AF284</f>
        <v>0</v>
      </c>
      <c r="Y281">
        <f>'RESUMEN TOTAL'!AG284</f>
        <v>0</v>
      </c>
      <c r="Z281">
        <f>'RESUMEN TOTAL'!AH284</f>
        <v>0</v>
      </c>
      <c r="AA281">
        <f>'RESUMEN TOTAL'!AI284</f>
        <v>0</v>
      </c>
      <c r="AB281">
        <f>'RESUMEN TOTAL'!AJ284</f>
        <v>0</v>
      </c>
      <c r="AC281">
        <f>'RESUMEN TOTAL'!AK284</f>
        <v>0</v>
      </c>
      <c r="AD281">
        <f>'RESUMEN TOTAL'!AL284</f>
        <v>0</v>
      </c>
      <c r="AE281">
        <f>'RESUMEN TOTAL'!AM284</f>
        <v>0</v>
      </c>
      <c r="AF281">
        <f>'RESUMEN TOTAL'!AN284</f>
        <v>0</v>
      </c>
      <c r="AG281">
        <f>'RESUMEN TOTAL'!AO284</f>
        <v>0</v>
      </c>
    </row>
    <row r="282" spans="1:33" x14ac:dyDescent="0.25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TOTAL'!N285</f>
        <v>0</v>
      </c>
      <c r="G282">
        <f>'RESUMEN TOTAL'!O285</f>
        <v>0</v>
      </c>
      <c r="H282">
        <f>'RESUMEN TOTAL'!P285</f>
        <v>0</v>
      </c>
      <c r="I282">
        <f>'RESUMEN TOTAL'!Q285</f>
        <v>0</v>
      </c>
      <c r="J282">
        <f>'RESUMEN TOTAL'!R285</f>
        <v>0</v>
      </c>
      <c r="K282">
        <f>'RESUMEN TOTAL'!S285</f>
        <v>0</v>
      </c>
      <c r="L282">
        <f>'RESUMEN TOTAL'!T285</f>
        <v>0</v>
      </c>
      <c r="M282">
        <f>'RESUMEN TOTAL'!U285</f>
        <v>0</v>
      </c>
      <c r="N282">
        <f>'RESUMEN TOTAL'!V285</f>
        <v>0</v>
      </c>
      <c r="O282">
        <f>'RESUMEN TOTAL'!W285</f>
        <v>0</v>
      </c>
      <c r="P282">
        <f>'RESUMEN TOTAL'!X285</f>
        <v>0</v>
      </c>
      <c r="Q282">
        <f>'RESUMEN TOTAL'!Y285</f>
        <v>0</v>
      </c>
      <c r="R282">
        <f>'RESUMEN TOTAL'!Z285</f>
        <v>0</v>
      </c>
      <c r="S282">
        <f>'RESUMEN TOTAL'!AA285</f>
        <v>0</v>
      </c>
      <c r="T282">
        <f>'RESUMEN TOTAL'!AB285</f>
        <v>0</v>
      </c>
      <c r="U282">
        <f>'RESUMEN TOTAL'!AC285</f>
        <v>0</v>
      </c>
      <c r="V282">
        <f>'RESUMEN TOTAL'!AD285</f>
        <v>0</v>
      </c>
      <c r="W282">
        <f>'RESUMEN TOTAL'!AE285</f>
        <v>0</v>
      </c>
      <c r="X282">
        <f>'RESUMEN TOTAL'!AF285</f>
        <v>0</v>
      </c>
      <c r="Y282">
        <f>'RESUMEN TOTAL'!AG285</f>
        <v>0</v>
      </c>
      <c r="Z282">
        <f>'RESUMEN TOTAL'!AH285</f>
        <v>0</v>
      </c>
      <c r="AA282">
        <f>'RESUMEN TOTAL'!AI285</f>
        <v>0</v>
      </c>
      <c r="AB282">
        <f>'RESUMEN TOTAL'!AJ285</f>
        <v>0</v>
      </c>
      <c r="AC282">
        <f>'RESUMEN TOTAL'!AK285</f>
        <v>0</v>
      </c>
      <c r="AD282">
        <f>'RESUMEN TOTAL'!AL285</f>
        <v>0</v>
      </c>
      <c r="AE282">
        <f>'RESUMEN TOTAL'!AM285</f>
        <v>0</v>
      </c>
      <c r="AF282">
        <f>'RESUMEN TOTAL'!AN285</f>
        <v>0</v>
      </c>
      <c r="AG282">
        <f>'RESUMEN TOTAL'!AO285</f>
        <v>0</v>
      </c>
    </row>
    <row r="283" spans="1:33" x14ac:dyDescent="0.25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PTP A FO</v>
      </c>
      <c r="F283">
        <f>'RESUMEN TOTAL'!N286</f>
        <v>0</v>
      </c>
      <c r="G283">
        <f>'RESUMEN TOTAL'!O286</f>
        <v>0</v>
      </c>
      <c r="H283">
        <f>'RESUMEN TOTAL'!P286</f>
        <v>0</v>
      </c>
      <c r="I283">
        <f>'RESUMEN TOTAL'!Q286</f>
        <v>0</v>
      </c>
      <c r="J283">
        <f>'RESUMEN TOTAL'!R286</f>
        <v>0</v>
      </c>
      <c r="K283">
        <f>'RESUMEN TOTAL'!S286</f>
        <v>0</v>
      </c>
      <c r="L283">
        <f>'RESUMEN TOTAL'!T286</f>
        <v>0</v>
      </c>
      <c r="M283">
        <f>'RESUMEN TOTAL'!U286</f>
        <v>0</v>
      </c>
      <c r="N283">
        <f>'RESUMEN TOTAL'!V286</f>
        <v>0</v>
      </c>
      <c r="O283">
        <f>'RESUMEN TOTAL'!W286</f>
        <v>0</v>
      </c>
      <c r="P283">
        <f>'RESUMEN TOTAL'!X286</f>
        <v>0</v>
      </c>
      <c r="Q283">
        <f>'RESUMEN TOTAL'!Y286</f>
        <v>0</v>
      </c>
      <c r="R283">
        <f>'RESUMEN TOTAL'!Z286</f>
        <v>0</v>
      </c>
      <c r="S283">
        <f>'RESUMEN TOTAL'!AA286</f>
        <v>0</v>
      </c>
      <c r="T283">
        <f>'RESUMEN TOTAL'!AB286</f>
        <v>0</v>
      </c>
      <c r="U283">
        <f>'RESUMEN TOTAL'!AC286</f>
        <v>0</v>
      </c>
      <c r="V283">
        <f>'RESUMEN TOTAL'!AD286</f>
        <v>0</v>
      </c>
      <c r="W283">
        <f>'RESUMEN TOTAL'!AE286</f>
        <v>0</v>
      </c>
      <c r="X283">
        <f>'RESUMEN TOTAL'!AF286</f>
        <v>0</v>
      </c>
      <c r="Y283">
        <f>'RESUMEN TOTAL'!AG286</f>
        <v>0</v>
      </c>
      <c r="Z283">
        <f>'RESUMEN TOTAL'!AH286</f>
        <v>0</v>
      </c>
      <c r="AA283">
        <f>'RESUMEN TOTAL'!AI286</f>
        <v>0</v>
      </c>
      <c r="AB283">
        <f>'RESUMEN TOTAL'!AJ286</f>
        <v>0</v>
      </c>
      <c r="AC283">
        <f>'RESUMEN TOTAL'!AK286</f>
        <v>0</v>
      </c>
      <c r="AD283">
        <f>'RESUMEN TOTAL'!AL286</f>
        <v>0</v>
      </c>
      <c r="AE283">
        <f>'RESUMEN TOTAL'!AM286</f>
        <v>0</v>
      </c>
      <c r="AF283">
        <f>'RESUMEN TOTAL'!AN286</f>
        <v>0</v>
      </c>
      <c r="AG283">
        <f>'RESUMEN TOTAL'!AO286</f>
        <v>0</v>
      </c>
    </row>
    <row r="284" spans="1:33" x14ac:dyDescent="0.25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TOTAL'!N287</f>
        <v>0</v>
      </c>
      <c r="G284">
        <f>'RESUMEN TOTAL'!O287</f>
        <v>0</v>
      </c>
      <c r="H284">
        <f>'RESUMEN TOTAL'!P287</f>
        <v>0</v>
      </c>
      <c r="I284">
        <f>'RESUMEN TOTAL'!Q287</f>
        <v>0</v>
      </c>
      <c r="J284">
        <f>'RESUMEN TOTAL'!R287</f>
        <v>0</v>
      </c>
      <c r="K284">
        <f>'RESUMEN TOTAL'!S287</f>
        <v>0</v>
      </c>
      <c r="L284">
        <f>'RESUMEN TOTAL'!T287</f>
        <v>0</v>
      </c>
      <c r="M284">
        <f>'RESUMEN TOTAL'!U287</f>
        <v>0</v>
      </c>
      <c r="N284">
        <f>'RESUMEN TOTAL'!V287</f>
        <v>0</v>
      </c>
      <c r="O284">
        <f>'RESUMEN TOTAL'!W287</f>
        <v>0</v>
      </c>
      <c r="P284">
        <f>'RESUMEN TOTAL'!X287</f>
        <v>0</v>
      </c>
      <c r="Q284">
        <f>'RESUMEN TOTAL'!Y287</f>
        <v>0</v>
      </c>
      <c r="R284">
        <f>'RESUMEN TOTAL'!Z287</f>
        <v>0</v>
      </c>
      <c r="S284">
        <f>'RESUMEN TOTAL'!AA287</f>
        <v>0</v>
      </c>
      <c r="T284">
        <f>'RESUMEN TOTAL'!AB287</f>
        <v>0</v>
      </c>
      <c r="U284">
        <f>'RESUMEN TOTAL'!AC287</f>
        <v>0</v>
      </c>
      <c r="V284">
        <f>'RESUMEN TOTAL'!AD287</f>
        <v>0</v>
      </c>
      <c r="W284">
        <f>'RESUMEN TOTAL'!AE287</f>
        <v>0</v>
      </c>
      <c r="X284">
        <f>'RESUMEN TOTAL'!AF287</f>
        <v>0</v>
      </c>
      <c r="Y284">
        <f>'RESUMEN TOTAL'!AG287</f>
        <v>0</v>
      </c>
      <c r="Z284">
        <f>'RESUMEN TOTAL'!AH287</f>
        <v>0</v>
      </c>
      <c r="AA284">
        <f>'RESUMEN TOTAL'!AI287</f>
        <v>0</v>
      </c>
      <c r="AB284">
        <f>'RESUMEN TOTAL'!AJ287</f>
        <v>0</v>
      </c>
      <c r="AC284">
        <f>'RESUMEN TOTAL'!AK287</f>
        <v>0</v>
      </c>
      <c r="AD284">
        <f>'RESUMEN TOTAL'!AL287</f>
        <v>0</v>
      </c>
      <c r="AE284">
        <f>'RESUMEN TOTAL'!AM287</f>
        <v>0</v>
      </c>
      <c r="AF284">
        <f>'RESUMEN TOTAL'!AN287</f>
        <v>0</v>
      </c>
      <c r="AG284">
        <f>'RESUMEN TOTAL'!AO287</f>
        <v>0</v>
      </c>
    </row>
    <row r="285" spans="1:33" x14ac:dyDescent="0.25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TOTAL'!N288</f>
        <v>0</v>
      </c>
      <c r="G285">
        <f>'RESUMEN TOTAL'!O288</f>
        <v>0</v>
      </c>
      <c r="H285">
        <f>'RESUMEN TOTAL'!P288</f>
        <v>0</v>
      </c>
      <c r="I285">
        <f>'RESUMEN TOTAL'!Q288</f>
        <v>0</v>
      </c>
      <c r="J285">
        <f>'RESUMEN TOTAL'!R288</f>
        <v>0</v>
      </c>
      <c r="K285">
        <f>'RESUMEN TOTAL'!S288</f>
        <v>0</v>
      </c>
      <c r="L285">
        <f>'RESUMEN TOTAL'!T288</f>
        <v>0</v>
      </c>
      <c r="M285">
        <f>'RESUMEN TOTAL'!U288</f>
        <v>0</v>
      </c>
      <c r="N285">
        <f>'RESUMEN TOTAL'!V288</f>
        <v>0</v>
      </c>
      <c r="O285">
        <f>'RESUMEN TOTAL'!W288</f>
        <v>0</v>
      </c>
      <c r="P285">
        <f>'RESUMEN TOTAL'!X288</f>
        <v>0</v>
      </c>
      <c r="Q285">
        <f>'RESUMEN TOTAL'!Y288</f>
        <v>0</v>
      </c>
      <c r="R285">
        <f>'RESUMEN TOTAL'!Z288</f>
        <v>0</v>
      </c>
      <c r="S285">
        <f>'RESUMEN TOTAL'!AA288</f>
        <v>0</v>
      </c>
      <c r="T285">
        <f>'RESUMEN TOTAL'!AB288</f>
        <v>0</v>
      </c>
      <c r="U285">
        <f>'RESUMEN TOTAL'!AC288</f>
        <v>0</v>
      </c>
      <c r="V285">
        <f>'RESUMEN TOTAL'!AD288</f>
        <v>0</v>
      </c>
      <c r="W285">
        <f>'RESUMEN TOTAL'!AE288</f>
        <v>0</v>
      </c>
      <c r="X285">
        <f>'RESUMEN TOTAL'!AF288</f>
        <v>0</v>
      </c>
      <c r="Y285">
        <f>'RESUMEN TOTAL'!AG288</f>
        <v>0</v>
      </c>
      <c r="Z285">
        <f>'RESUMEN TOTAL'!AH288</f>
        <v>0</v>
      </c>
      <c r="AA285">
        <f>'RESUMEN TOTAL'!AI288</f>
        <v>0</v>
      </c>
      <c r="AB285">
        <f>'RESUMEN TOTAL'!AJ288</f>
        <v>0</v>
      </c>
      <c r="AC285">
        <f>'RESUMEN TOTAL'!AK288</f>
        <v>0</v>
      </c>
      <c r="AD285">
        <f>'RESUMEN TOTAL'!AL288</f>
        <v>0</v>
      </c>
      <c r="AE285">
        <f>'RESUMEN TOTAL'!AM288</f>
        <v>0</v>
      </c>
      <c r="AF285">
        <f>'RESUMEN TOTAL'!AN288</f>
        <v>0</v>
      </c>
      <c r="AG285">
        <f>'RESUMEN TOTAL'!AO288</f>
        <v>0</v>
      </c>
    </row>
    <row r="286" spans="1:33" x14ac:dyDescent="0.25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TOTAL'!N289</f>
        <v>0</v>
      </c>
      <c r="G286">
        <f>'RESUMEN TOTAL'!O289</f>
        <v>0</v>
      </c>
      <c r="H286">
        <f>'RESUMEN TOTAL'!P289</f>
        <v>0</v>
      </c>
      <c r="I286">
        <f>'RESUMEN TOTAL'!Q289</f>
        <v>0</v>
      </c>
      <c r="J286">
        <f>'RESUMEN TOTAL'!R289</f>
        <v>0</v>
      </c>
      <c r="K286">
        <f>'RESUMEN TOTAL'!S289</f>
        <v>0</v>
      </c>
      <c r="L286">
        <f>'RESUMEN TOTAL'!T289</f>
        <v>0</v>
      </c>
      <c r="M286">
        <f>'RESUMEN TOTAL'!U289</f>
        <v>0</v>
      </c>
      <c r="N286">
        <f>'RESUMEN TOTAL'!V289</f>
        <v>0</v>
      </c>
      <c r="O286">
        <f>'RESUMEN TOTAL'!W289</f>
        <v>0</v>
      </c>
      <c r="P286">
        <f>'RESUMEN TOTAL'!X289</f>
        <v>0</v>
      </c>
      <c r="Q286">
        <f>'RESUMEN TOTAL'!Y289</f>
        <v>0</v>
      </c>
      <c r="R286">
        <f>'RESUMEN TOTAL'!Z289</f>
        <v>0</v>
      </c>
      <c r="S286">
        <f>'RESUMEN TOTAL'!AA289</f>
        <v>0</v>
      </c>
      <c r="T286">
        <f>'RESUMEN TOTAL'!AB289</f>
        <v>0</v>
      </c>
      <c r="U286">
        <f>'RESUMEN TOTAL'!AC289</f>
        <v>0</v>
      </c>
      <c r="V286">
        <f>'RESUMEN TOTAL'!AD289</f>
        <v>0</v>
      </c>
      <c r="W286">
        <f>'RESUMEN TOTAL'!AE289</f>
        <v>0</v>
      </c>
      <c r="X286">
        <f>'RESUMEN TOTAL'!AF289</f>
        <v>0</v>
      </c>
      <c r="Y286">
        <f>'RESUMEN TOTAL'!AG289</f>
        <v>0</v>
      </c>
      <c r="Z286">
        <f>'RESUMEN TOTAL'!AH289</f>
        <v>0</v>
      </c>
      <c r="AA286">
        <f>'RESUMEN TOTAL'!AI289</f>
        <v>0</v>
      </c>
      <c r="AB286">
        <f>'RESUMEN TOTAL'!AJ289</f>
        <v>0</v>
      </c>
      <c r="AC286">
        <f>'RESUMEN TOTAL'!AK289</f>
        <v>0</v>
      </c>
      <c r="AD286">
        <f>'RESUMEN TOTAL'!AL289</f>
        <v>0</v>
      </c>
      <c r="AE286">
        <f>'RESUMEN TOTAL'!AM289</f>
        <v>0</v>
      </c>
      <c r="AF286">
        <f>'RESUMEN TOTAL'!AN289</f>
        <v>0</v>
      </c>
      <c r="AG286">
        <f>'RESUMEN TOTAL'!AO289</f>
        <v>0</v>
      </c>
    </row>
    <row r="287" spans="1:33" x14ac:dyDescent="0.25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TOTAL'!N290</f>
        <v>0</v>
      </c>
      <c r="G287">
        <f>'RESUMEN TOTAL'!O290</f>
        <v>0</v>
      </c>
      <c r="H287">
        <f>'RESUMEN TOTAL'!P290</f>
        <v>0</v>
      </c>
      <c r="I287">
        <f>'RESUMEN TOTAL'!Q290</f>
        <v>0</v>
      </c>
      <c r="J287">
        <f>'RESUMEN TOTAL'!R290</f>
        <v>0</v>
      </c>
      <c r="K287">
        <f>'RESUMEN TOTAL'!S290</f>
        <v>0</v>
      </c>
      <c r="L287">
        <f>'RESUMEN TOTAL'!T290</f>
        <v>0</v>
      </c>
      <c r="M287">
        <f>'RESUMEN TOTAL'!U290</f>
        <v>0</v>
      </c>
      <c r="N287">
        <f>'RESUMEN TOTAL'!V290</f>
        <v>0</v>
      </c>
      <c r="O287">
        <f>'RESUMEN TOTAL'!W290</f>
        <v>0</v>
      </c>
      <c r="P287">
        <f>'RESUMEN TOTAL'!X290</f>
        <v>0</v>
      </c>
      <c r="Q287">
        <f>'RESUMEN TOTAL'!Y290</f>
        <v>0</v>
      </c>
      <c r="R287">
        <f>'RESUMEN TOTAL'!Z290</f>
        <v>0</v>
      </c>
      <c r="S287">
        <f>'RESUMEN TOTAL'!AA290</f>
        <v>0</v>
      </c>
      <c r="T287">
        <f>'RESUMEN TOTAL'!AB290</f>
        <v>0</v>
      </c>
      <c r="U287">
        <f>'RESUMEN TOTAL'!AC290</f>
        <v>0</v>
      </c>
      <c r="V287">
        <f>'RESUMEN TOTAL'!AD290</f>
        <v>0</v>
      </c>
      <c r="W287">
        <f>'RESUMEN TOTAL'!AE290</f>
        <v>0</v>
      </c>
      <c r="X287">
        <f>'RESUMEN TOTAL'!AF290</f>
        <v>0</v>
      </c>
      <c r="Y287">
        <f>'RESUMEN TOTAL'!AG290</f>
        <v>0</v>
      </c>
      <c r="Z287">
        <f>'RESUMEN TOTAL'!AH290</f>
        <v>0</v>
      </c>
      <c r="AA287">
        <f>'RESUMEN TOTAL'!AI290</f>
        <v>0</v>
      </c>
      <c r="AB287">
        <f>'RESUMEN TOTAL'!AJ290</f>
        <v>0</v>
      </c>
      <c r="AC287">
        <f>'RESUMEN TOTAL'!AK290</f>
        <v>0</v>
      </c>
      <c r="AD287">
        <f>'RESUMEN TOTAL'!AL290</f>
        <v>0</v>
      </c>
      <c r="AE287">
        <f>'RESUMEN TOTAL'!AM290</f>
        <v>0</v>
      </c>
      <c r="AF287">
        <f>'RESUMEN TOTAL'!AN290</f>
        <v>0</v>
      </c>
      <c r="AG287">
        <f>'RESUMEN TOTAL'!AO290</f>
        <v>0</v>
      </c>
    </row>
    <row r="288" spans="1:33" x14ac:dyDescent="0.25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TOTAL'!N291</f>
        <v>0</v>
      </c>
      <c r="G288">
        <f>'RESUMEN TOTAL'!O291</f>
        <v>0</v>
      </c>
      <c r="H288">
        <f>'RESUMEN TOTAL'!P291</f>
        <v>0</v>
      </c>
      <c r="I288">
        <f>'RESUMEN TOTAL'!Q291</f>
        <v>0</v>
      </c>
      <c r="J288">
        <f>'RESUMEN TOTAL'!R291</f>
        <v>0</v>
      </c>
      <c r="K288">
        <f>'RESUMEN TOTAL'!S291</f>
        <v>0</v>
      </c>
      <c r="L288">
        <f>'RESUMEN TOTAL'!T291</f>
        <v>0</v>
      </c>
      <c r="M288">
        <f>'RESUMEN TOTAL'!U291</f>
        <v>0</v>
      </c>
      <c r="N288">
        <f>'RESUMEN TOTAL'!V291</f>
        <v>0</v>
      </c>
      <c r="O288">
        <f>'RESUMEN TOTAL'!W291</f>
        <v>0</v>
      </c>
      <c r="P288">
        <f>'RESUMEN TOTAL'!X291</f>
        <v>0</v>
      </c>
      <c r="Q288">
        <f>'RESUMEN TOTAL'!Y291</f>
        <v>0</v>
      </c>
      <c r="R288">
        <f>'RESUMEN TOTAL'!Z291</f>
        <v>0</v>
      </c>
      <c r="S288">
        <f>'RESUMEN TOTAL'!AA291</f>
        <v>0</v>
      </c>
      <c r="T288">
        <f>'RESUMEN TOTAL'!AB291</f>
        <v>0</v>
      </c>
      <c r="U288">
        <f>'RESUMEN TOTAL'!AC291</f>
        <v>0</v>
      </c>
      <c r="V288">
        <f>'RESUMEN TOTAL'!AD291</f>
        <v>0</v>
      </c>
      <c r="W288">
        <f>'RESUMEN TOTAL'!AE291</f>
        <v>0</v>
      </c>
      <c r="X288">
        <f>'RESUMEN TOTAL'!AF291</f>
        <v>0</v>
      </c>
      <c r="Y288">
        <f>'RESUMEN TOTAL'!AG291</f>
        <v>0</v>
      </c>
      <c r="Z288">
        <f>'RESUMEN TOTAL'!AH291</f>
        <v>0</v>
      </c>
      <c r="AA288">
        <f>'RESUMEN TOTAL'!AI291</f>
        <v>0</v>
      </c>
      <c r="AB288">
        <f>'RESUMEN TOTAL'!AJ291</f>
        <v>0</v>
      </c>
      <c r="AC288">
        <f>'RESUMEN TOTAL'!AK291</f>
        <v>0</v>
      </c>
      <c r="AD288">
        <f>'RESUMEN TOTAL'!AL291</f>
        <v>0</v>
      </c>
      <c r="AE288">
        <f>'RESUMEN TOTAL'!AM291</f>
        <v>0</v>
      </c>
      <c r="AF288">
        <f>'RESUMEN TOTAL'!AN291</f>
        <v>0</v>
      </c>
      <c r="AG288">
        <f>'RESUMEN TOTAL'!AO291</f>
        <v>0</v>
      </c>
    </row>
    <row r="289" spans="1:33" x14ac:dyDescent="0.25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TOTAL'!N292</f>
        <v>0</v>
      </c>
      <c r="G289">
        <f>'RESUMEN TOTAL'!O292</f>
        <v>0</v>
      </c>
      <c r="H289">
        <f>'RESUMEN TOTAL'!P292</f>
        <v>0</v>
      </c>
      <c r="I289">
        <f>'RESUMEN TOTAL'!Q292</f>
        <v>0</v>
      </c>
      <c r="J289">
        <f>'RESUMEN TOTAL'!R292</f>
        <v>0</v>
      </c>
      <c r="K289">
        <f>'RESUMEN TOTAL'!S292</f>
        <v>0</v>
      </c>
      <c r="L289">
        <f>'RESUMEN TOTAL'!T292</f>
        <v>0</v>
      </c>
      <c r="M289">
        <f>'RESUMEN TOTAL'!U292</f>
        <v>0</v>
      </c>
      <c r="N289">
        <f>'RESUMEN TOTAL'!V292</f>
        <v>0</v>
      </c>
      <c r="O289">
        <f>'RESUMEN TOTAL'!W292</f>
        <v>0</v>
      </c>
      <c r="P289">
        <f>'RESUMEN TOTAL'!X292</f>
        <v>0</v>
      </c>
      <c r="Q289">
        <f>'RESUMEN TOTAL'!Y292</f>
        <v>0</v>
      </c>
      <c r="R289">
        <f>'RESUMEN TOTAL'!Z292</f>
        <v>0</v>
      </c>
      <c r="S289">
        <f>'RESUMEN TOTAL'!AA292</f>
        <v>0</v>
      </c>
      <c r="T289">
        <f>'RESUMEN TOTAL'!AB292</f>
        <v>0</v>
      </c>
      <c r="U289">
        <f>'RESUMEN TOTAL'!AC292</f>
        <v>0</v>
      </c>
      <c r="V289">
        <f>'RESUMEN TOTAL'!AD292</f>
        <v>0</v>
      </c>
      <c r="W289">
        <f>'RESUMEN TOTAL'!AE292</f>
        <v>0</v>
      </c>
      <c r="X289">
        <f>'RESUMEN TOTAL'!AF292</f>
        <v>0</v>
      </c>
      <c r="Y289">
        <f>'RESUMEN TOTAL'!AG292</f>
        <v>0</v>
      </c>
      <c r="Z289">
        <f>'RESUMEN TOTAL'!AH292</f>
        <v>0</v>
      </c>
      <c r="AA289">
        <f>'RESUMEN TOTAL'!AI292</f>
        <v>0</v>
      </c>
      <c r="AB289">
        <f>'RESUMEN TOTAL'!AJ292</f>
        <v>0</v>
      </c>
      <c r="AC289">
        <f>'RESUMEN TOTAL'!AK292</f>
        <v>0</v>
      </c>
      <c r="AD289">
        <f>'RESUMEN TOTAL'!AL292</f>
        <v>0</v>
      </c>
      <c r="AE289">
        <f>'RESUMEN TOTAL'!AM292</f>
        <v>0</v>
      </c>
      <c r="AF289">
        <f>'RESUMEN TOTAL'!AN292</f>
        <v>0</v>
      </c>
      <c r="AG289">
        <f>'RESUMEN TOTAL'!AO292</f>
        <v>0</v>
      </c>
    </row>
    <row r="290" spans="1:33" x14ac:dyDescent="0.25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PTP A FO</v>
      </c>
      <c r="F290">
        <f>'RESUMEN TOTAL'!N293</f>
        <v>0</v>
      </c>
      <c r="G290">
        <f>'RESUMEN TOTAL'!O293</f>
        <v>0</v>
      </c>
      <c r="H290">
        <f>'RESUMEN TOTAL'!P293</f>
        <v>0</v>
      </c>
      <c r="I290">
        <f>'RESUMEN TOTAL'!Q293</f>
        <v>0</v>
      </c>
      <c r="J290">
        <f>'RESUMEN TOTAL'!R293</f>
        <v>0</v>
      </c>
      <c r="K290">
        <f>'RESUMEN TOTAL'!S293</f>
        <v>0</v>
      </c>
      <c r="L290">
        <f>'RESUMEN TOTAL'!T293</f>
        <v>0</v>
      </c>
      <c r="M290">
        <f>'RESUMEN TOTAL'!U293</f>
        <v>0</v>
      </c>
      <c r="N290">
        <f>'RESUMEN TOTAL'!V293</f>
        <v>0</v>
      </c>
      <c r="O290">
        <f>'RESUMEN TOTAL'!W293</f>
        <v>0</v>
      </c>
      <c r="P290">
        <f>'RESUMEN TOTAL'!X293</f>
        <v>0</v>
      </c>
      <c r="Q290">
        <f>'RESUMEN TOTAL'!Y293</f>
        <v>0</v>
      </c>
      <c r="R290">
        <f>'RESUMEN TOTAL'!Z293</f>
        <v>0</v>
      </c>
      <c r="S290">
        <f>'RESUMEN TOTAL'!AA293</f>
        <v>0</v>
      </c>
      <c r="T290">
        <f>'RESUMEN TOTAL'!AB293</f>
        <v>0</v>
      </c>
      <c r="U290">
        <f>'RESUMEN TOTAL'!AC293</f>
        <v>0</v>
      </c>
      <c r="V290">
        <f>'RESUMEN TOTAL'!AD293</f>
        <v>0</v>
      </c>
      <c r="W290">
        <f>'RESUMEN TOTAL'!AE293</f>
        <v>0</v>
      </c>
      <c r="X290">
        <f>'RESUMEN TOTAL'!AF293</f>
        <v>0</v>
      </c>
      <c r="Y290">
        <f>'RESUMEN TOTAL'!AG293</f>
        <v>0</v>
      </c>
      <c r="Z290">
        <f>'RESUMEN TOTAL'!AH293</f>
        <v>0</v>
      </c>
      <c r="AA290">
        <f>'RESUMEN TOTAL'!AI293</f>
        <v>0</v>
      </c>
      <c r="AB290">
        <f>'RESUMEN TOTAL'!AJ293</f>
        <v>0</v>
      </c>
      <c r="AC290">
        <f>'RESUMEN TOTAL'!AK293</f>
        <v>0</v>
      </c>
      <c r="AD290">
        <f>'RESUMEN TOTAL'!AL293</f>
        <v>0</v>
      </c>
      <c r="AE290">
        <f>'RESUMEN TOTAL'!AM293</f>
        <v>0</v>
      </c>
      <c r="AF290">
        <f>'RESUMEN TOTAL'!AN293</f>
        <v>0</v>
      </c>
      <c r="AG290">
        <f>'RESUMEN TOTAL'!AO293</f>
        <v>0</v>
      </c>
    </row>
    <row r="291" spans="1:33" x14ac:dyDescent="0.25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PTP A FO</v>
      </c>
      <c r="F291">
        <f>'RESUMEN TOTAL'!N294</f>
        <v>0</v>
      </c>
      <c r="G291">
        <f>'RESUMEN TOTAL'!O294</f>
        <v>0</v>
      </c>
      <c r="H291">
        <f>'RESUMEN TOTAL'!P294</f>
        <v>0</v>
      </c>
      <c r="I291">
        <f>'RESUMEN TOTAL'!Q294</f>
        <v>0</v>
      </c>
      <c r="J291">
        <f>'RESUMEN TOTAL'!R294</f>
        <v>0</v>
      </c>
      <c r="K291">
        <f>'RESUMEN TOTAL'!S294</f>
        <v>0</v>
      </c>
      <c r="L291">
        <f>'RESUMEN TOTAL'!T294</f>
        <v>0</v>
      </c>
      <c r="M291">
        <f>'RESUMEN TOTAL'!U294</f>
        <v>0</v>
      </c>
      <c r="N291">
        <f>'RESUMEN TOTAL'!V294</f>
        <v>0</v>
      </c>
      <c r="O291">
        <f>'RESUMEN TOTAL'!W294</f>
        <v>0</v>
      </c>
      <c r="P291">
        <f>'RESUMEN TOTAL'!X294</f>
        <v>0</v>
      </c>
      <c r="Q291">
        <f>'RESUMEN TOTAL'!Y294</f>
        <v>0</v>
      </c>
      <c r="R291">
        <f>'RESUMEN TOTAL'!Z294</f>
        <v>0</v>
      </c>
      <c r="S291">
        <f>'RESUMEN TOTAL'!AA294</f>
        <v>0</v>
      </c>
      <c r="T291">
        <f>'RESUMEN TOTAL'!AB294</f>
        <v>0</v>
      </c>
      <c r="U291">
        <f>'RESUMEN TOTAL'!AC294</f>
        <v>0</v>
      </c>
      <c r="V291">
        <f>'RESUMEN TOTAL'!AD294</f>
        <v>0</v>
      </c>
      <c r="W291">
        <f>'RESUMEN TOTAL'!AE294</f>
        <v>0</v>
      </c>
      <c r="X291">
        <f>'RESUMEN TOTAL'!AF294</f>
        <v>0</v>
      </c>
      <c r="Y291">
        <f>'RESUMEN TOTAL'!AG294</f>
        <v>0</v>
      </c>
      <c r="Z291">
        <f>'RESUMEN TOTAL'!AH294</f>
        <v>0</v>
      </c>
      <c r="AA291">
        <f>'RESUMEN TOTAL'!AI294</f>
        <v>0</v>
      </c>
      <c r="AB291">
        <f>'RESUMEN TOTAL'!AJ294</f>
        <v>0</v>
      </c>
      <c r="AC291">
        <f>'RESUMEN TOTAL'!AK294</f>
        <v>0</v>
      </c>
      <c r="AD291">
        <f>'RESUMEN TOTAL'!AL294</f>
        <v>0</v>
      </c>
      <c r="AE291">
        <f>'RESUMEN TOTAL'!AM294</f>
        <v>0</v>
      </c>
      <c r="AF291">
        <f>'RESUMEN TOTAL'!AN294</f>
        <v>0</v>
      </c>
      <c r="AG291">
        <f>'RESUMEN TOTAL'!AO294</f>
        <v>0</v>
      </c>
    </row>
    <row r="292" spans="1:33" x14ac:dyDescent="0.25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>
        <f>'RESUMEN TOTAL'!N295</f>
        <v>0</v>
      </c>
      <c r="G292">
        <f>'RESUMEN TOTAL'!O295</f>
        <v>0</v>
      </c>
      <c r="H292">
        <f>'RESUMEN TOTAL'!P295</f>
        <v>0</v>
      </c>
      <c r="I292">
        <f>'RESUMEN TOTAL'!Q295</f>
        <v>0</v>
      </c>
      <c r="J292">
        <f>'RESUMEN TOTAL'!R295</f>
        <v>0</v>
      </c>
      <c r="K292" t="str">
        <f>'RESUMEN TOTAL'!S295</f>
        <v>APAGADO</v>
      </c>
      <c r="L292">
        <f>'RESUMEN TOTAL'!T295</f>
        <v>0</v>
      </c>
      <c r="M292">
        <f>'RESUMEN TOTAL'!U295</f>
        <v>0</v>
      </c>
      <c r="N292">
        <f>'RESUMEN TOTAL'!V295</f>
        <v>0</v>
      </c>
      <c r="O292">
        <f>'RESUMEN TOTAL'!W295</f>
        <v>0</v>
      </c>
      <c r="P292">
        <f>'RESUMEN TOTAL'!X295</f>
        <v>0</v>
      </c>
      <c r="Q292">
        <f>'RESUMEN TOTAL'!Y295</f>
        <v>0</v>
      </c>
      <c r="R292">
        <f>'RESUMEN TOTAL'!Z295</f>
        <v>0</v>
      </c>
      <c r="S292">
        <f>'RESUMEN TOTAL'!AA295</f>
        <v>0</v>
      </c>
      <c r="T292">
        <f>'RESUMEN TOTAL'!AB295</f>
        <v>0</v>
      </c>
      <c r="U292">
        <f>'RESUMEN TOTAL'!AC295</f>
        <v>0</v>
      </c>
      <c r="V292">
        <f>'RESUMEN TOTAL'!AD295</f>
        <v>0</v>
      </c>
      <c r="W292">
        <f>'RESUMEN TOTAL'!AE295</f>
        <v>0</v>
      </c>
      <c r="X292">
        <f>'RESUMEN TOTAL'!AF295</f>
        <v>0</v>
      </c>
      <c r="Y292">
        <f>'RESUMEN TOTAL'!AG295</f>
        <v>0</v>
      </c>
      <c r="Z292">
        <f>'RESUMEN TOTAL'!AH295</f>
        <v>0</v>
      </c>
      <c r="AA292">
        <f>'RESUMEN TOTAL'!AI295</f>
        <v>0</v>
      </c>
      <c r="AB292">
        <f>'RESUMEN TOTAL'!AJ295</f>
        <v>0</v>
      </c>
      <c r="AC292">
        <f>'RESUMEN TOTAL'!AK295</f>
        <v>0</v>
      </c>
      <c r="AD292">
        <f>'RESUMEN TOTAL'!AL295</f>
        <v>0</v>
      </c>
      <c r="AE292">
        <f>'RESUMEN TOTAL'!AM295</f>
        <v>0</v>
      </c>
      <c r="AF292">
        <f>'RESUMEN TOTAL'!AN295</f>
        <v>0</v>
      </c>
      <c r="AG292">
        <f>'RESUMEN TOTAL'!AO295</f>
        <v>0</v>
      </c>
    </row>
    <row r="293" spans="1:33" x14ac:dyDescent="0.25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TOTAL'!N296</f>
        <v>0</v>
      </c>
      <c r="G293">
        <f>'RESUMEN TOTAL'!O296</f>
        <v>0</v>
      </c>
      <c r="H293">
        <f>'RESUMEN TOTAL'!P296</f>
        <v>0</v>
      </c>
      <c r="I293">
        <f>'RESUMEN TOTAL'!Q296</f>
        <v>0</v>
      </c>
      <c r="J293">
        <f>'RESUMEN TOTAL'!R296</f>
        <v>0</v>
      </c>
      <c r="K293">
        <f>'RESUMEN TOTAL'!S296</f>
        <v>0</v>
      </c>
      <c r="L293">
        <f>'RESUMEN TOTAL'!T296</f>
        <v>0</v>
      </c>
      <c r="M293">
        <f>'RESUMEN TOTAL'!U296</f>
        <v>0</v>
      </c>
      <c r="N293">
        <f>'RESUMEN TOTAL'!V296</f>
        <v>0</v>
      </c>
      <c r="O293">
        <f>'RESUMEN TOTAL'!W296</f>
        <v>0</v>
      </c>
      <c r="P293">
        <f>'RESUMEN TOTAL'!X296</f>
        <v>0</v>
      </c>
      <c r="Q293">
        <f>'RESUMEN TOTAL'!Y296</f>
        <v>0</v>
      </c>
      <c r="R293">
        <f>'RESUMEN TOTAL'!Z296</f>
        <v>0</v>
      </c>
      <c r="S293">
        <f>'RESUMEN TOTAL'!AA296</f>
        <v>0</v>
      </c>
      <c r="T293">
        <f>'RESUMEN TOTAL'!AB296</f>
        <v>0</v>
      </c>
      <c r="U293">
        <f>'RESUMEN TOTAL'!AC296</f>
        <v>0</v>
      </c>
      <c r="V293">
        <f>'RESUMEN TOTAL'!AD296</f>
        <v>0</v>
      </c>
      <c r="W293">
        <f>'RESUMEN TOTAL'!AE296</f>
        <v>0</v>
      </c>
      <c r="X293">
        <f>'RESUMEN TOTAL'!AF296</f>
        <v>0</v>
      </c>
      <c r="Y293">
        <f>'RESUMEN TOTAL'!AG296</f>
        <v>0</v>
      </c>
      <c r="Z293">
        <f>'RESUMEN TOTAL'!AH296</f>
        <v>0</v>
      </c>
      <c r="AA293">
        <f>'RESUMEN TOTAL'!AI296</f>
        <v>0</v>
      </c>
      <c r="AB293">
        <f>'RESUMEN TOTAL'!AJ296</f>
        <v>0</v>
      </c>
      <c r="AC293">
        <f>'RESUMEN TOTAL'!AK296</f>
        <v>0</v>
      </c>
      <c r="AD293">
        <f>'RESUMEN TOTAL'!AL296</f>
        <v>0</v>
      </c>
      <c r="AE293">
        <f>'RESUMEN TOTAL'!AM296</f>
        <v>0</v>
      </c>
      <c r="AF293">
        <f>'RESUMEN TOTAL'!AN296</f>
        <v>0</v>
      </c>
      <c r="AG293">
        <f>'RESUMEN TOTAL'!AO296</f>
        <v>0</v>
      </c>
    </row>
    <row r="294" spans="1:33" x14ac:dyDescent="0.25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TOTAL'!N297</f>
        <v>0</v>
      </c>
      <c r="G294">
        <f>'RESUMEN TOTAL'!O297</f>
        <v>0</v>
      </c>
      <c r="H294">
        <f>'RESUMEN TOTAL'!P297</f>
        <v>0</v>
      </c>
      <c r="I294">
        <f>'RESUMEN TOTAL'!Q297</f>
        <v>0</v>
      </c>
      <c r="J294">
        <f>'RESUMEN TOTAL'!R297</f>
        <v>0</v>
      </c>
      <c r="K294">
        <f>'RESUMEN TOTAL'!S297</f>
        <v>0</v>
      </c>
      <c r="L294">
        <f>'RESUMEN TOTAL'!T297</f>
        <v>0</v>
      </c>
      <c r="M294">
        <f>'RESUMEN TOTAL'!U297</f>
        <v>0</v>
      </c>
      <c r="N294">
        <f>'RESUMEN TOTAL'!V297</f>
        <v>0</v>
      </c>
      <c r="O294">
        <f>'RESUMEN TOTAL'!W297</f>
        <v>0</v>
      </c>
      <c r="P294">
        <f>'RESUMEN TOTAL'!X297</f>
        <v>0</v>
      </c>
      <c r="Q294">
        <f>'RESUMEN TOTAL'!Y297</f>
        <v>0</v>
      </c>
      <c r="R294">
        <f>'RESUMEN TOTAL'!Z297</f>
        <v>0</v>
      </c>
      <c r="S294">
        <f>'RESUMEN TOTAL'!AA297</f>
        <v>0</v>
      </c>
      <c r="T294">
        <f>'RESUMEN TOTAL'!AB297</f>
        <v>0</v>
      </c>
      <c r="U294">
        <f>'RESUMEN TOTAL'!AC297</f>
        <v>0</v>
      </c>
      <c r="V294">
        <f>'RESUMEN TOTAL'!AD297</f>
        <v>0</v>
      </c>
      <c r="W294">
        <f>'RESUMEN TOTAL'!AE297</f>
        <v>0</v>
      </c>
      <c r="X294">
        <f>'RESUMEN TOTAL'!AF297</f>
        <v>0</v>
      </c>
      <c r="Y294">
        <f>'RESUMEN TOTAL'!AG297</f>
        <v>0</v>
      </c>
      <c r="Z294">
        <f>'RESUMEN TOTAL'!AH297</f>
        <v>0</v>
      </c>
      <c r="AA294">
        <f>'RESUMEN TOTAL'!AI297</f>
        <v>0</v>
      </c>
      <c r="AB294">
        <f>'RESUMEN TOTAL'!AJ297</f>
        <v>0</v>
      </c>
      <c r="AC294">
        <f>'RESUMEN TOTAL'!AK297</f>
        <v>0</v>
      </c>
      <c r="AD294">
        <f>'RESUMEN TOTAL'!AL297</f>
        <v>0</v>
      </c>
      <c r="AE294">
        <f>'RESUMEN TOTAL'!AM297</f>
        <v>0</v>
      </c>
      <c r="AF294">
        <f>'RESUMEN TOTAL'!AN297</f>
        <v>0</v>
      </c>
      <c r="AG294">
        <f>'RESUMEN TOTAL'!AO297</f>
        <v>0</v>
      </c>
    </row>
    <row r="295" spans="1:33" x14ac:dyDescent="0.25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TOTAL'!N298</f>
        <v>0</v>
      </c>
      <c r="G295">
        <f>'RESUMEN TOTAL'!O298</f>
        <v>0</v>
      </c>
      <c r="H295">
        <f>'RESUMEN TOTAL'!P298</f>
        <v>0</v>
      </c>
      <c r="I295">
        <f>'RESUMEN TOTAL'!Q298</f>
        <v>0</v>
      </c>
      <c r="J295">
        <f>'RESUMEN TOTAL'!R298</f>
        <v>0</v>
      </c>
      <c r="K295">
        <f>'RESUMEN TOTAL'!S298</f>
        <v>0</v>
      </c>
      <c r="L295">
        <f>'RESUMEN TOTAL'!T298</f>
        <v>0</v>
      </c>
      <c r="M295">
        <f>'RESUMEN TOTAL'!U298</f>
        <v>0</v>
      </c>
      <c r="N295">
        <f>'RESUMEN TOTAL'!V298</f>
        <v>0</v>
      </c>
      <c r="O295">
        <f>'RESUMEN TOTAL'!W298</f>
        <v>0</v>
      </c>
      <c r="P295">
        <f>'RESUMEN TOTAL'!X298</f>
        <v>0</v>
      </c>
      <c r="Q295">
        <f>'RESUMEN TOTAL'!Y298</f>
        <v>0</v>
      </c>
      <c r="R295">
        <f>'RESUMEN TOTAL'!Z298</f>
        <v>0</v>
      </c>
      <c r="S295">
        <f>'RESUMEN TOTAL'!AA298</f>
        <v>0</v>
      </c>
      <c r="T295">
        <f>'RESUMEN TOTAL'!AB298</f>
        <v>0</v>
      </c>
      <c r="U295">
        <f>'RESUMEN TOTAL'!AC298</f>
        <v>0</v>
      </c>
      <c r="V295">
        <f>'RESUMEN TOTAL'!AD298</f>
        <v>0</v>
      </c>
      <c r="W295">
        <f>'RESUMEN TOTAL'!AE298</f>
        <v>0</v>
      </c>
      <c r="X295">
        <f>'RESUMEN TOTAL'!AF298</f>
        <v>0</v>
      </c>
      <c r="Y295">
        <f>'RESUMEN TOTAL'!AG298</f>
        <v>0</v>
      </c>
      <c r="Z295">
        <f>'RESUMEN TOTAL'!AH298</f>
        <v>0</v>
      </c>
      <c r="AA295">
        <f>'RESUMEN TOTAL'!AI298</f>
        <v>0</v>
      </c>
      <c r="AB295">
        <f>'RESUMEN TOTAL'!AJ298</f>
        <v>0</v>
      </c>
      <c r="AC295">
        <f>'RESUMEN TOTAL'!AK298</f>
        <v>0</v>
      </c>
      <c r="AD295">
        <f>'RESUMEN TOTAL'!AL298</f>
        <v>0</v>
      </c>
      <c r="AE295">
        <f>'RESUMEN TOTAL'!AM298</f>
        <v>0</v>
      </c>
      <c r="AF295">
        <f>'RESUMEN TOTAL'!AN298</f>
        <v>0</v>
      </c>
      <c r="AG295">
        <f>'RESUMEN TOTAL'!AO298</f>
        <v>0</v>
      </c>
    </row>
    <row r="296" spans="1:33" x14ac:dyDescent="0.25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TOTAL'!N299</f>
        <v>0</v>
      </c>
      <c r="G296">
        <f>'RESUMEN TOTAL'!O299</f>
        <v>0</v>
      </c>
      <c r="H296">
        <f>'RESUMEN TOTAL'!P299</f>
        <v>0</v>
      </c>
      <c r="I296">
        <f>'RESUMEN TOTAL'!Q299</f>
        <v>0</v>
      </c>
      <c r="J296">
        <f>'RESUMEN TOTAL'!R299</f>
        <v>0</v>
      </c>
      <c r="K296">
        <f>'RESUMEN TOTAL'!S299</f>
        <v>0</v>
      </c>
      <c r="L296">
        <f>'RESUMEN TOTAL'!T299</f>
        <v>0</v>
      </c>
      <c r="M296">
        <f>'RESUMEN TOTAL'!U299</f>
        <v>0</v>
      </c>
      <c r="N296">
        <f>'RESUMEN TOTAL'!V299</f>
        <v>0</v>
      </c>
      <c r="O296">
        <f>'RESUMEN TOTAL'!W299</f>
        <v>0</v>
      </c>
      <c r="P296">
        <f>'RESUMEN TOTAL'!X299</f>
        <v>0</v>
      </c>
      <c r="Q296">
        <f>'RESUMEN TOTAL'!Y299</f>
        <v>0</v>
      </c>
      <c r="R296">
        <f>'RESUMEN TOTAL'!Z299</f>
        <v>0</v>
      </c>
      <c r="S296">
        <f>'RESUMEN TOTAL'!AA299</f>
        <v>0</v>
      </c>
      <c r="T296">
        <f>'RESUMEN TOTAL'!AB299</f>
        <v>0</v>
      </c>
      <c r="U296">
        <f>'RESUMEN TOTAL'!AC299</f>
        <v>0</v>
      </c>
      <c r="V296">
        <f>'RESUMEN TOTAL'!AD299</f>
        <v>0</v>
      </c>
      <c r="W296">
        <f>'RESUMEN TOTAL'!AE299</f>
        <v>0</v>
      </c>
      <c r="X296">
        <f>'RESUMEN TOTAL'!AF299</f>
        <v>0</v>
      </c>
      <c r="Y296">
        <f>'RESUMEN TOTAL'!AG299</f>
        <v>0</v>
      </c>
      <c r="Z296">
        <f>'RESUMEN TOTAL'!AH299</f>
        <v>0</v>
      </c>
      <c r="AA296">
        <f>'RESUMEN TOTAL'!AI299</f>
        <v>0</v>
      </c>
      <c r="AB296">
        <f>'RESUMEN TOTAL'!AJ299</f>
        <v>0</v>
      </c>
      <c r="AC296">
        <f>'RESUMEN TOTAL'!AK299</f>
        <v>0</v>
      </c>
      <c r="AD296">
        <f>'RESUMEN TOTAL'!AL299</f>
        <v>0</v>
      </c>
      <c r="AE296">
        <f>'RESUMEN TOTAL'!AM299</f>
        <v>0</v>
      </c>
      <c r="AF296">
        <f>'RESUMEN TOTAL'!AN299</f>
        <v>0</v>
      </c>
      <c r="AG296">
        <f>'RESUMEN TOTAL'!AO299</f>
        <v>0</v>
      </c>
    </row>
    <row r="297" spans="1:33" x14ac:dyDescent="0.25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TOTAL'!N300</f>
        <v>0</v>
      </c>
      <c r="G297">
        <f>'RESUMEN TOTAL'!O300</f>
        <v>0</v>
      </c>
      <c r="H297">
        <f>'RESUMEN TOTAL'!P300</f>
        <v>0</v>
      </c>
      <c r="I297">
        <f>'RESUMEN TOTAL'!Q300</f>
        <v>0</v>
      </c>
      <c r="J297">
        <f>'RESUMEN TOTAL'!R300</f>
        <v>0</v>
      </c>
      <c r="K297">
        <f>'RESUMEN TOTAL'!S300</f>
        <v>0</v>
      </c>
      <c r="L297">
        <f>'RESUMEN TOTAL'!T300</f>
        <v>0</v>
      </c>
      <c r="M297">
        <f>'RESUMEN TOTAL'!U300</f>
        <v>0</v>
      </c>
      <c r="N297">
        <f>'RESUMEN TOTAL'!V300</f>
        <v>0</v>
      </c>
      <c r="O297">
        <f>'RESUMEN TOTAL'!W300</f>
        <v>0</v>
      </c>
      <c r="P297">
        <f>'RESUMEN TOTAL'!X300</f>
        <v>0</v>
      </c>
      <c r="Q297">
        <f>'RESUMEN TOTAL'!Y300</f>
        <v>0</v>
      </c>
      <c r="R297">
        <f>'RESUMEN TOTAL'!Z300</f>
        <v>0</v>
      </c>
      <c r="S297">
        <f>'RESUMEN TOTAL'!AA300</f>
        <v>0</v>
      </c>
      <c r="T297">
        <f>'RESUMEN TOTAL'!AB300</f>
        <v>0</v>
      </c>
      <c r="U297">
        <f>'RESUMEN TOTAL'!AC300</f>
        <v>0</v>
      </c>
      <c r="V297">
        <f>'RESUMEN TOTAL'!AD300</f>
        <v>0</v>
      </c>
      <c r="W297">
        <f>'RESUMEN TOTAL'!AE300</f>
        <v>0</v>
      </c>
      <c r="X297">
        <f>'RESUMEN TOTAL'!AF300</f>
        <v>0</v>
      </c>
      <c r="Y297">
        <f>'RESUMEN TOTAL'!AG300</f>
        <v>0</v>
      </c>
      <c r="Z297">
        <f>'RESUMEN TOTAL'!AH300</f>
        <v>0</v>
      </c>
      <c r="AA297">
        <f>'RESUMEN TOTAL'!AI300</f>
        <v>0</v>
      </c>
      <c r="AB297">
        <f>'RESUMEN TOTAL'!AJ300</f>
        <v>0</v>
      </c>
      <c r="AC297">
        <f>'RESUMEN TOTAL'!AK300</f>
        <v>0</v>
      </c>
      <c r="AD297">
        <f>'RESUMEN TOTAL'!AL300</f>
        <v>0</v>
      </c>
      <c r="AE297">
        <f>'RESUMEN TOTAL'!AM300</f>
        <v>0</v>
      </c>
      <c r="AF297">
        <f>'RESUMEN TOTAL'!AN300</f>
        <v>0</v>
      </c>
      <c r="AG297">
        <f>'RESUMEN TOTAL'!AO300</f>
        <v>0</v>
      </c>
    </row>
    <row r="298" spans="1:33" x14ac:dyDescent="0.25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TOTAL'!N301</f>
        <v>0</v>
      </c>
      <c r="G298">
        <f>'RESUMEN TOTAL'!O301</f>
        <v>0</v>
      </c>
      <c r="H298">
        <f>'RESUMEN TOTAL'!P301</f>
        <v>0</v>
      </c>
      <c r="I298">
        <f>'RESUMEN TOTAL'!Q301</f>
        <v>0</v>
      </c>
      <c r="J298">
        <f>'RESUMEN TOTAL'!R301</f>
        <v>0</v>
      </c>
      <c r="K298">
        <f>'RESUMEN TOTAL'!S301</f>
        <v>0</v>
      </c>
      <c r="L298">
        <f>'RESUMEN TOTAL'!T301</f>
        <v>0</v>
      </c>
      <c r="M298">
        <f>'RESUMEN TOTAL'!U301</f>
        <v>0</v>
      </c>
      <c r="N298">
        <f>'RESUMEN TOTAL'!V301</f>
        <v>0</v>
      </c>
      <c r="O298">
        <f>'RESUMEN TOTAL'!W301</f>
        <v>0</v>
      </c>
      <c r="P298">
        <f>'RESUMEN TOTAL'!X301</f>
        <v>0</v>
      </c>
      <c r="Q298">
        <f>'RESUMEN TOTAL'!Y301</f>
        <v>0</v>
      </c>
      <c r="R298">
        <f>'RESUMEN TOTAL'!Z301</f>
        <v>0</v>
      </c>
      <c r="S298">
        <f>'RESUMEN TOTAL'!AA301</f>
        <v>0</v>
      </c>
      <c r="T298">
        <f>'RESUMEN TOTAL'!AB301</f>
        <v>0</v>
      </c>
      <c r="U298">
        <f>'RESUMEN TOTAL'!AC301</f>
        <v>0</v>
      </c>
      <c r="V298">
        <f>'RESUMEN TOTAL'!AD301</f>
        <v>0</v>
      </c>
      <c r="W298">
        <f>'RESUMEN TOTAL'!AE301</f>
        <v>0</v>
      </c>
      <c r="X298">
        <f>'RESUMEN TOTAL'!AF301</f>
        <v>0</v>
      </c>
      <c r="Y298">
        <f>'RESUMEN TOTAL'!AG301</f>
        <v>0</v>
      </c>
      <c r="Z298">
        <f>'RESUMEN TOTAL'!AH301</f>
        <v>0</v>
      </c>
      <c r="AA298">
        <f>'RESUMEN TOTAL'!AI301</f>
        <v>0</v>
      </c>
      <c r="AB298">
        <f>'RESUMEN TOTAL'!AJ301</f>
        <v>0</v>
      </c>
      <c r="AC298">
        <f>'RESUMEN TOTAL'!AK301</f>
        <v>0</v>
      </c>
      <c r="AD298">
        <f>'RESUMEN TOTAL'!AL301</f>
        <v>0</v>
      </c>
      <c r="AE298">
        <f>'RESUMEN TOTAL'!AM301</f>
        <v>0</v>
      </c>
      <c r="AF298">
        <f>'RESUMEN TOTAL'!AN301</f>
        <v>0</v>
      </c>
      <c r="AG298">
        <f>'RESUMEN TOTAL'!AO301</f>
        <v>0</v>
      </c>
    </row>
    <row r="299" spans="1:33" x14ac:dyDescent="0.25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Fibra Optica</v>
      </c>
      <c r="F299">
        <f>'RESUMEN TOTAL'!N302</f>
        <v>0</v>
      </c>
      <c r="G299">
        <f>'RESUMEN TOTAL'!O302</f>
        <v>0</v>
      </c>
      <c r="H299">
        <f>'RESUMEN TOTAL'!P302</f>
        <v>0</v>
      </c>
      <c r="I299">
        <f>'RESUMEN TOTAL'!Q302</f>
        <v>0</v>
      </c>
      <c r="J299">
        <f>'RESUMEN TOTAL'!R302</f>
        <v>0</v>
      </c>
      <c r="K299">
        <f>'RESUMEN TOTAL'!S302</f>
        <v>0</v>
      </c>
      <c r="L299">
        <f>'RESUMEN TOTAL'!T302</f>
        <v>0</v>
      </c>
      <c r="M299">
        <f>'RESUMEN TOTAL'!U302</f>
        <v>0</v>
      </c>
      <c r="N299">
        <f>'RESUMEN TOTAL'!V302</f>
        <v>0</v>
      </c>
      <c r="O299">
        <f>'RESUMEN TOTAL'!W302</f>
        <v>0</v>
      </c>
      <c r="P299">
        <f>'RESUMEN TOTAL'!X302</f>
        <v>0</v>
      </c>
      <c r="Q299">
        <f>'RESUMEN TOTAL'!Y302</f>
        <v>0</v>
      </c>
      <c r="R299">
        <f>'RESUMEN TOTAL'!Z302</f>
        <v>0</v>
      </c>
      <c r="S299">
        <f>'RESUMEN TOTAL'!AA302</f>
        <v>0</v>
      </c>
      <c r="T299">
        <f>'RESUMEN TOTAL'!AB302</f>
        <v>0</v>
      </c>
      <c r="U299">
        <f>'RESUMEN TOTAL'!AC302</f>
        <v>0</v>
      </c>
      <c r="V299">
        <f>'RESUMEN TOTAL'!AD302</f>
        <v>0</v>
      </c>
      <c r="W299">
        <f>'RESUMEN TOTAL'!AE302</f>
        <v>0</v>
      </c>
      <c r="X299">
        <f>'RESUMEN TOTAL'!AF302</f>
        <v>0</v>
      </c>
      <c r="Y299">
        <f>'RESUMEN TOTAL'!AG302</f>
        <v>0</v>
      </c>
      <c r="Z299">
        <f>'RESUMEN TOTAL'!AH302</f>
        <v>0</v>
      </c>
      <c r="AA299">
        <f>'RESUMEN TOTAL'!AI302</f>
        <v>0</v>
      </c>
      <c r="AB299">
        <f>'RESUMEN TOTAL'!AJ302</f>
        <v>0</v>
      </c>
      <c r="AC299">
        <f>'RESUMEN TOTAL'!AK302</f>
        <v>0</v>
      </c>
      <c r="AD299">
        <f>'RESUMEN TOTAL'!AL302</f>
        <v>0</v>
      </c>
      <c r="AE299">
        <f>'RESUMEN TOTAL'!AM302</f>
        <v>0</v>
      </c>
      <c r="AF299">
        <f>'RESUMEN TOTAL'!AN302</f>
        <v>0</v>
      </c>
      <c r="AG299">
        <f>'RESUMEN TOTAL'!AO302</f>
        <v>0</v>
      </c>
    </row>
    <row r="300" spans="1:33" x14ac:dyDescent="0.25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Fibra Optica</v>
      </c>
      <c r="F300">
        <f>'RESUMEN TOTAL'!N303</f>
        <v>0</v>
      </c>
      <c r="G300">
        <f>'RESUMEN TOTAL'!O303</f>
        <v>0</v>
      </c>
      <c r="H300">
        <f>'RESUMEN TOTAL'!P303</f>
        <v>0</v>
      </c>
      <c r="I300">
        <f>'RESUMEN TOTAL'!Q303</f>
        <v>0</v>
      </c>
      <c r="J300">
        <f>'RESUMEN TOTAL'!R303</f>
        <v>0</v>
      </c>
      <c r="K300">
        <f>'RESUMEN TOTAL'!S303</f>
        <v>0</v>
      </c>
      <c r="L300">
        <f>'RESUMEN TOTAL'!T303</f>
        <v>0</v>
      </c>
      <c r="M300">
        <f>'RESUMEN TOTAL'!U303</f>
        <v>0</v>
      </c>
      <c r="N300">
        <f>'RESUMEN TOTAL'!V303</f>
        <v>0</v>
      </c>
      <c r="O300">
        <f>'RESUMEN TOTAL'!W303</f>
        <v>0</v>
      </c>
      <c r="P300">
        <f>'RESUMEN TOTAL'!X303</f>
        <v>0</v>
      </c>
      <c r="Q300">
        <f>'RESUMEN TOTAL'!Y303</f>
        <v>0</v>
      </c>
      <c r="R300">
        <f>'RESUMEN TOTAL'!Z303</f>
        <v>0</v>
      </c>
      <c r="S300">
        <f>'RESUMEN TOTAL'!AA303</f>
        <v>0</v>
      </c>
      <c r="T300">
        <f>'RESUMEN TOTAL'!AB303</f>
        <v>0</v>
      </c>
      <c r="U300">
        <f>'RESUMEN TOTAL'!AC303</f>
        <v>0</v>
      </c>
      <c r="V300">
        <f>'RESUMEN TOTAL'!AD303</f>
        <v>0</v>
      </c>
      <c r="W300">
        <f>'RESUMEN TOTAL'!AE303</f>
        <v>0</v>
      </c>
      <c r="X300">
        <f>'RESUMEN TOTAL'!AF303</f>
        <v>0</v>
      </c>
      <c r="Y300">
        <f>'RESUMEN TOTAL'!AG303</f>
        <v>0</v>
      </c>
      <c r="Z300">
        <f>'RESUMEN TOTAL'!AH303</f>
        <v>0</v>
      </c>
      <c r="AA300">
        <f>'RESUMEN TOTAL'!AI303</f>
        <v>0</v>
      </c>
      <c r="AB300">
        <f>'RESUMEN TOTAL'!AJ303</f>
        <v>0</v>
      </c>
      <c r="AC300">
        <f>'RESUMEN TOTAL'!AK303</f>
        <v>0</v>
      </c>
      <c r="AD300">
        <f>'RESUMEN TOTAL'!AL303</f>
        <v>0</v>
      </c>
      <c r="AE300">
        <f>'RESUMEN TOTAL'!AM303</f>
        <v>0</v>
      </c>
      <c r="AF300">
        <f>'RESUMEN TOTAL'!AN303</f>
        <v>0</v>
      </c>
      <c r="AG300">
        <f>'RESUMEN TOTAL'!AO303</f>
        <v>0</v>
      </c>
    </row>
    <row r="301" spans="1:33" x14ac:dyDescent="0.25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Fibra Optica</v>
      </c>
      <c r="F301">
        <f>'RESUMEN TOTAL'!N304</f>
        <v>0</v>
      </c>
      <c r="G301">
        <f>'RESUMEN TOTAL'!O304</f>
        <v>0</v>
      </c>
      <c r="H301">
        <f>'RESUMEN TOTAL'!P304</f>
        <v>0</v>
      </c>
      <c r="I301">
        <f>'RESUMEN TOTAL'!Q304</f>
        <v>0</v>
      </c>
      <c r="J301">
        <f>'RESUMEN TOTAL'!R304</f>
        <v>0</v>
      </c>
      <c r="K301">
        <f>'RESUMEN TOTAL'!S304</f>
        <v>0</v>
      </c>
      <c r="L301">
        <f>'RESUMEN TOTAL'!T304</f>
        <v>0</v>
      </c>
      <c r="M301">
        <f>'RESUMEN TOTAL'!U304</f>
        <v>0</v>
      </c>
      <c r="N301">
        <f>'RESUMEN TOTAL'!V304</f>
        <v>0</v>
      </c>
      <c r="O301">
        <f>'RESUMEN TOTAL'!W304</f>
        <v>0</v>
      </c>
      <c r="P301">
        <f>'RESUMEN TOTAL'!X304</f>
        <v>0</v>
      </c>
      <c r="Q301">
        <f>'RESUMEN TOTAL'!Y304</f>
        <v>0</v>
      </c>
      <c r="R301">
        <f>'RESUMEN TOTAL'!Z304</f>
        <v>0</v>
      </c>
      <c r="S301">
        <f>'RESUMEN TOTAL'!AA304</f>
        <v>0</v>
      </c>
      <c r="T301">
        <f>'RESUMEN TOTAL'!AB304</f>
        <v>0</v>
      </c>
      <c r="U301">
        <f>'RESUMEN TOTAL'!AC304</f>
        <v>0</v>
      </c>
      <c r="V301">
        <f>'RESUMEN TOTAL'!AD304</f>
        <v>0</v>
      </c>
      <c r="W301">
        <f>'RESUMEN TOTAL'!AE304</f>
        <v>0</v>
      </c>
      <c r="X301">
        <f>'RESUMEN TOTAL'!AF304</f>
        <v>0</v>
      </c>
      <c r="Y301">
        <f>'RESUMEN TOTAL'!AG304</f>
        <v>0</v>
      </c>
      <c r="Z301">
        <f>'RESUMEN TOTAL'!AH304</f>
        <v>0</v>
      </c>
      <c r="AA301">
        <f>'RESUMEN TOTAL'!AI304</f>
        <v>0</v>
      </c>
      <c r="AB301">
        <f>'RESUMEN TOTAL'!AJ304</f>
        <v>0</v>
      </c>
      <c r="AC301">
        <f>'RESUMEN TOTAL'!AK304</f>
        <v>0</v>
      </c>
      <c r="AD301">
        <f>'RESUMEN TOTAL'!AL304</f>
        <v>0</v>
      </c>
      <c r="AE301">
        <f>'RESUMEN TOTAL'!AM304</f>
        <v>0</v>
      </c>
      <c r="AF301">
        <f>'RESUMEN TOTAL'!AN304</f>
        <v>0</v>
      </c>
      <c r="AG301">
        <f>'RESUMEN TOTAL'!AO304</f>
        <v>0</v>
      </c>
    </row>
    <row r="302" spans="1:33" x14ac:dyDescent="0.25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Fibra Optica</v>
      </c>
      <c r="F302">
        <f>'RESUMEN TOTAL'!N305</f>
        <v>0</v>
      </c>
      <c r="G302">
        <f>'RESUMEN TOTAL'!O305</f>
        <v>0</v>
      </c>
      <c r="H302">
        <f>'RESUMEN TOTAL'!P305</f>
        <v>0</v>
      </c>
      <c r="I302">
        <f>'RESUMEN TOTAL'!Q305</f>
        <v>0</v>
      </c>
      <c r="J302">
        <f>'RESUMEN TOTAL'!R305</f>
        <v>0</v>
      </c>
      <c r="K302">
        <f>'RESUMEN TOTAL'!S305</f>
        <v>0</v>
      </c>
      <c r="L302">
        <f>'RESUMEN TOTAL'!T305</f>
        <v>0</v>
      </c>
      <c r="M302">
        <f>'RESUMEN TOTAL'!U305</f>
        <v>0</v>
      </c>
      <c r="N302">
        <f>'RESUMEN TOTAL'!V305</f>
        <v>0</v>
      </c>
      <c r="O302">
        <f>'RESUMEN TOTAL'!W305</f>
        <v>0</v>
      </c>
      <c r="P302">
        <f>'RESUMEN TOTAL'!X305</f>
        <v>0</v>
      </c>
      <c r="Q302">
        <f>'RESUMEN TOTAL'!Y305</f>
        <v>0</v>
      </c>
      <c r="R302">
        <f>'RESUMEN TOTAL'!Z305</f>
        <v>0</v>
      </c>
      <c r="S302">
        <f>'RESUMEN TOTAL'!AA305</f>
        <v>0</v>
      </c>
      <c r="T302">
        <f>'RESUMEN TOTAL'!AB305</f>
        <v>0</v>
      </c>
      <c r="U302">
        <f>'RESUMEN TOTAL'!AC305</f>
        <v>0</v>
      </c>
      <c r="V302">
        <f>'RESUMEN TOTAL'!AD305</f>
        <v>0</v>
      </c>
      <c r="W302">
        <f>'RESUMEN TOTAL'!AE305</f>
        <v>0</v>
      </c>
      <c r="X302">
        <f>'RESUMEN TOTAL'!AF305</f>
        <v>0</v>
      </c>
      <c r="Y302">
        <f>'RESUMEN TOTAL'!AG305</f>
        <v>0</v>
      </c>
      <c r="Z302">
        <f>'RESUMEN TOTAL'!AH305</f>
        <v>0</v>
      </c>
      <c r="AA302">
        <f>'RESUMEN TOTAL'!AI305</f>
        <v>0</v>
      </c>
      <c r="AB302">
        <f>'RESUMEN TOTAL'!AJ305</f>
        <v>0</v>
      </c>
      <c r="AC302">
        <f>'RESUMEN TOTAL'!AK305</f>
        <v>0</v>
      </c>
      <c r="AD302">
        <f>'RESUMEN TOTAL'!AL305</f>
        <v>0</v>
      </c>
      <c r="AE302">
        <f>'RESUMEN TOTAL'!AM305</f>
        <v>0</v>
      </c>
      <c r="AF302">
        <f>'RESUMEN TOTAL'!AN305</f>
        <v>0</v>
      </c>
      <c r="AG302">
        <f>'RESUMEN TOTAL'!AO305</f>
        <v>0</v>
      </c>
    </row>
    <row r="303" spans="1:33" x14ac:dyDescent="0.25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PTP A FO</v>
      </c>
      <c r="F303" t="str">
        <f>'RESUMEN TOTAL'!N306</f>
        <v>APAGADO</v>
      </c>
      <c r="G303" t="str">
        <f>'RESUMEN TOTAL'!O306</f>
        <v>APAGADO</v>
      </c>
      <c r="H303">
        <f>'RESUMEN TOTAL'!P306</f>
        <v>0</v>
      </c>
      <c r="I303">
        <f>'RESUMEN TOTAL'!Q306</f>
        <v>0</v>
      </c>
      <c r="J303" t="str">
        <f>'RESUMEN TOTAL'!R306</f>
        <v>APAGADO</v>
      </c>
      <c r="K303">
        <f>'RESUMEN TOTAL'!S306</f>
        <v>0</v>
      </c>
      <c r="L303">
        <f>'RESUMEN TOTAL'!T306</f>
        <v>0</v>
      </c>
      <c r="M303">
        <f>'RESUMEN TOTAL'!U306</f>
        <v>0</v>
      </c>
      <c r="N303">
        <f>'RESUMEN TOTAL'!V306</f>
        <v>0</v>
      </c>
      <c r="O303">
        <f>'RESUMEN TOTAL'!W306</f>
        <v>0</v>
      </c>
      <c r="P303">
        <f>'RESUMEN TOTAL'!X306</f>
        <v>0</v>
      </c>
      <c r="Q303">
        <f>'RESUMEN TOTAL'!Y306</f>
        <v>0</v>
      </c>
      <c r="R303">
        <f>'RESUMEN TOTAL'!Z306</f>
        <v>0</v>
      </c>
      <c r="S303">
        <f>'RESUMEN TOTAL'!AA306</f>
        <v>0</v>
      </c>
      <c r="T303">
        <f>'RESUMEN TOTAL'!AB306</f>
        <v>0</v>
      </c>
      <c r="U303">
        <f>'RESUMEN TOTAL'!AC306</f>
        <v>0</v>
      </c>
      <c r="V303">
        <f>'RESUMEN TOTAL'!AD306</f>
        <v>0</v>
      </c>
      <c r="W303">
        <f>'RESUMEN TOTAL'!AE306</f>
        <v>0</v>
      </c>
      <c r="X303">
        <f>'RESUMEN TOTAL'!AF306</f>
        <v>0</v>
      </c>
      <c r="Y303">
        <f>'RESUMEN TOTAL'!AG306</f>
        <v>0</v>
      </c>
      <c r="Z303">
        <f>'RESUMEN TOTAL'!AH306</f>
        <v>0</v>
      </c>
      <c r="AA303">
        <f>'RESUMEN TOTAL'!AI306</f>
        <v>0</v>
      </c>
      <c r="AB303">
        <f>'RESUMEN TOTAL'!AJ306</f>
        <v>0</v>
      </c>
      <c r="AC303">
        <f>'RESUMEN TOTAL'!AK306</f>
        <v>0</v>
      </c>
      <c r="AD303">
        <f>'RESUMEN TOTAL'!AL306</f>
        <v>0</v>
      </c>
      <c r="AE303">
        <f>'RESUMEN TOTAL'!AM306</f>
        <v>0</v>
      </c>
      <c r="AF303">
        <f>'RESUMEN TOTAL'!AN306</f>
        <v>0</v>
      </c>
      <c r="AG303">
        <f>'RESUMEN TOTAL'!AO306</f>
        <v>0</v>
      </c>
    </row>
    <row r="304" spans="1:33" x14ac:dyDescent="0.25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PTP A FO</v>
      </c>
      <c r="F304">
        <f>'RESUMEN TOTAL'!N307</f>
        <v>0</v>
      </c>
      <c r="G304">
        <f>'RESUMEN TOTAL'!O307</f>
        <v>0</v>
      </c>
      <c r="H304">
        <f>'RESUMEN TOTAL'!P307</f>
        <v>0</v>
      </c>
      <c r="I304">
        <f>'RESUMEN TOTAL'!Q307</f>
        <v>0</v>
      </c>
      <c r="J304">
        <f>'RESUMEN TOTAL'!R307</f>
        <v>0</v>
      </c>
      <c r="K304">
        <f>'RESUMEN TOTAL'!S307</f>
        <v>0</v>
      </c>
      <c r="L304">
        <f>'RESUMEN TOTAL'!T307</f>
        <v>0</v>
      </c>
      <c r="M304">
        <f>'RESUMEN TOTAL'!U307</f>
        <v>0</v>
      </c>
      <c r="N304">
        <f>'RESUMEN TOTAL'!V307</f>
        <v>0</v>
      </c>
      <c r="O304">
        <f>'RESUMEN TOTAL'!W307</f>
        <v>0</v>
      </c>
      <c r="P304">
        <f>'RESUMEN TOTAL'!X307</f>
        <v>0</v>
      </c>
      <c r="Q304">
        <f>'RESUMEN TOTAL'!Y307</f>
        <v>0</v>
      </c>
      <c r="R304">
        <f>'RESUMEN TOTAL'!Z307</f>
        <v>0</v>
      </c>
      <c r="S304">
        <f>'RESUMEN TOTAL'!AA307</f>
        <v>0</v>
      </c>
      <c r="T304">
        <f>'RESUMEN TOTAL'!AB307</f>
        <v>0</v>
      </c>
      <c r="U304">
        <f>'RESUMEN TOTAL'!AC307</f>
        <v>0</v>
      </c>
      <c r="V304">
        <f>'RESUMEN TOTAL'!AD307</f>
        <v>0</v>
      </c>
      <c r="W304">
        <f>'RESUMEN TOTAL'!AE307</f>
        <v>0</v>
      </c>
      <c r="X304">
        <f>'RESUMEN TOTAL'!AF307</f>
        <v>0</v>
      </c>
      <c r="Y304">
        <f>'RESUMEN TOTAL'!AG307</f>
        <v>0</v>
      </c>
      <c r="Z304">
        <f>'RESUMEN TOTAL'!AH307</f>
        <v>0</v>
      </c>
      <c r="AA304">
        <f>'RESUMEN TOTAL'!AI307</f>
        <v>0</v>
      </c>
      <c r="AB304">
        <f>'RESUMEN TOTAL'!AJ307</f>
        <v>0</v>
      </c>
      <c r="AC304">
        <f>'RESUMEN TOTAL'!AK307</f>
        <v>0</v>
      </c>
      <c r="AD304">
        <f>'RESUMEN TOTAL'!AL307</f>
        <v>0</v>
      </c>
      <c r="AE304">
        <f>'RESUMEN TOTAL'!AM307</f>
        <v>0</v>
      </c>
      <c r="AF304">
        <f>'RESUMEN TOTAL'!AN307</f>
        <v>0</v>
      </c>
      <c r="AG304">
        <f>'RESUMEN TOTAL'!AO307</f>
        <v>0</v>
      </c>
    </row>
    <row r="305" spans="1:33" x14ac:dyDescent="0.25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PTP A FO</v>
      </c>
      <c r="F305">
        <f>'RESUMEN TOTAL'!N308</f>
        <v>0</v>
      </c>
      <c r="G305">
        <f>'RESUMEN TOTAL'!O308</f>
        <v>0</v>
      </c>
      <c r="H305">
        <f>'RESUMEN TOTAL'!P308</f>
        <v>0</v>
      </c>
      <c r="I305">
        <f>'RESUMEN TOTAL'!Q308</f>
        <v>0</v>
      </c>
      <c r="J305">
        <f>'RESUMEN TOTAL'!R308</f>
        <v>0</v>
      </c>
      <c r="K305">
        <f>'RESUMEN TOTAL'!S308</f>
        <v>0</v>
      </c>
      <c r="L305">
        <f>'RESUMEN TOTAL'!T308</f>
        <v>0</v>
      </c>
      <c r="M305">
        <f>'RESUMEN TOTAL'!U308</f>
        <v>0</v>
      </c>
      <c r="N305">
        <f>'RESUMEN TOTAL'!V308</f>
        <v>0</v>
      </c>
      <c r="O305">
        <f>'RESUMEN TOTAL'!W308</f>
        <v>0</v>
      </c>
      <c r="P305">
        <f>'RESUMEN TOTAL'!X308</f>
        <v>0</v>
      </c>
      <c r="Q305">
        <f>'RESUMEN TOTAL'!Y308</f>
        <v>0</v>
      </c>
      <c r="R305">
        <f>'RESUMEN TOTAL'!Z308</f>
        <v>0</v>
      </c>
      <c r="S305">
        <f>'RESUMEN TOTAL'!AA308</f>
        <v>0</v>
      </c>
      <c r="T305">
        <f>'RESUMEN TOTAL'!AB308</f>
        <v>0</v>
      </c>
      <c r="U305">
        <f>'RESUMEN TOTAL'!AC308</f>
        <v>0</v>
      </c>
      <c r="V305">
        <f>'RESUMEN TOTAL'!AD308</f>
        <v>0</v>
      </c>
      <c r="W305">
        <f>'RESUMEN TOTAL'!AE308</f>
        <v>0</v>
      </c>
      <c r="X305">
        <f>'RESUMEN TOTAL'!AF308</f>
        <v>0</v>
      </c>
      <c r="Y305">
        <f>'RESUMEN TOTAL'!AG308</f>
        <v>0</v>
      </c>
      <c r="Z305">
        <f>'RESUMEN TOTAL'!AH308</f>
        <v>0</v>
      </c>
      <c r="AA305">
        <f>'RESUMEN TOTAL'!AI308</f>
        <v>0</v>
      </c>
      <c r="AB305">
        <f>'RESUMEN TOTAL'!AJ308</f>
        <v>0</v>
      </c>
      <c r="AC305">
        <f>'RESUMEN TOTAL'!AK308</f>
        <v>0</v>
      </c>
      <c r="AD305">
        <f>'RESUMEN TOTAL'!AL308</f>
        <v>0</v>
      </c>
      <c r="AE305">
        <f>'RESUMEN TOTAL'!AM308</f>
        <v>0</v>
      </c>
      <c r="AF305">
        <f>'RESUMEN TOTAL'!AN308</f>
        <v>0</v>
      </c>
      <c r="AG305">
        <f>'RESUMEN TOTAL'!AO308</f>
        <v>0</v>
      </c>
    </row>
    <row r="306" spans="1:33" x14ac:dyDescent="0.25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PTP A FO</v>
      </c>
      <c r="F306">
        <f>'RESUMEN TOTAL'!N309</f>
        <v>0</v>
      </c>
      <c r="G306">
        <f>'RESUMEN TOTAL'!O309</f>
        <v>0</v>
      </c>
      <c r="H306">
        <f>'RESUMEN TOTAL'!P309</f>
        <v>0</v>
      </c>
      <c r="I306">
        <f>'RESUMEN TOTAL'!Q309</f>
        <v>0</v>
      </c>
      <c r="J306">
        <f>'RESUMEN TOTAL'!R309</f>
        <v>0</v>
      </c>
      <c r="K306">
        <f>'RESUMEN TOTAL'!S309</f>
        <v>0</v>
      </c>
      <c r="L306">
        <f>'RESUMEN TOTAL'!T309</f>
        <v>0</v>
      </c>
      <c r="M306">
        <f>'RESUMEN TOTAL'!U309</f>
        <v>0</v>
      </c>
      <c r="N306">
        <f>'RESUMEN TOTAL'!V309</f>
        <v>0</v>
      </c>
      <c r="O306">
        <f>'RESUMEN TOTAL'!W309</f>
        <v>0</v>
      </c>
      <c r="P306">
        <f>'RESUMEN TOTAL'!X309</f>
        <v>0</v>
      </c>
      <c r="Q306">
        <f>'RESUMEN TOTAL'!Y309</f>
        <v>0</v>
      </c>
      <c r="R306">
        <f>'RESUMEN TOTAL'!Z309</f>
        <v>0</v>
      </c>
      <c r="S306">
        <f>'RESUMEN TOTAL'!AA309</f>
        <v>0</v>
      </c>
      <c r="T306">
        <f>'RESUMEN TOTAL'!AB309</f>
        <v>0</v>
      </c>
      <c r="U306">
        <f>'RESUMEN TOTAL'!AC309</f>
        <v>0</v>
      </c>
      <c r="V306">
        <f>'RESUMEN TOTAL'!AD309</f>
        <v>0</v>
      </c>
      <c r="W306">
        <f>'RESUMEN TOTAL'!AE309</f>
        <v>0</v>
      </c>
      <c r="X306">
        <f>'RESUMEN TOTAL'!AF309</f>
        <v>0</v>
      </c>
      <c r="Y306">
        <f>'RESUMEN TOTAL'!AG309</f>
        <v>0</v>
      </c>
      <c r="Z306">
        <f>'RESUMEN TOTAL'!AH309</f>
        <v>0</v>
      </c>
      <c r="AA306">
        <f>'RESUMEN TOTAL'!AI309</f>
        <v>0</v>
      </c>
      <c r="AB306">
        <f>'RESUMEN TOTAL'!AJ309</f>
        <v>0</v>
      </c>
      <c r="AC306">
        <f>'RESUMEN TOTAL'!AK309</f>
        <v>0</v>
      </c>
      <c r="AD306">
        <f>'RESUMEN TOTAL'!AL309</f>
        <v>0</v>
      </c>
      <c r="AE306">
        <f>'RESUMEN TOTAL'!AM309</f>
        <v>0</v>
      </c>
      <c r="AF306">
        <f>'RESUMEN TOTAL'!AN309</f>
        <v>0</v>
      </c>
      <c r="AG306">
        <f>'RESUMEN TOTAL'!AO309</f>
        <v>0</v>
      </c>
    </row>
    <row r="307" spans="1:33" x14ac:dyDescent="0.25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PTP A FO</v>
      </c>
      <c r="F307">
        <f>'RESUMEN TOTAL'!N310</f>
        <v>0</v>
      </c>
      <c r="G307">
        <f>'RESUMEN TOTAL'!O310</f>
        <v>0</v>
      </c>
      <c r="H307">
        <f>'RESUMEN TOTAL'!P310</f>
        <v>0</v>
      </c>
      <c r="I307">
        <f>'RESUMEN TOTAL'!Q310</f>
        <v>0</v>
      </c>
      <c r="J307">
        <f>'RESUMEN TOTAL'!R310</f>
        <v>0</v>
      </c>
      <c r="K307">
        <f>'RESUMEN TOTAL'!S310</f>
        <v>0</v>
      </c>
      <c r="L307">
        <f>'RESUMEN TOTAL'!T310</f>
        <v>0</v>
      </c>
      <c r="M307">
        <f>'RESUMEN TOTAL'!U310</f>
        <v>0</v>
      </c>
      <c r="N307">
        <f>'RESUMEN TOTAL'!V310</f>
        <v>0</v>
      </c>
      <c r="O307">
        <f>'RESUMEN TOTAL'!W310</f>
        <v>0</v>
      </c>
      <c r="P307">
        <f>'RESUMEN TOTAL'!X310</f>
        <v>0</v>
      </c>
      <c r="Q307">
        <f>'RESUMEN TOTAL'!Y310</f>
        <v>0</v>
      </c>
      <c r="R307">
        <f>'RESUMEN TOTAL'!Z310</f>
        <v>0</v>
      </c>
      <c r="S307">
        <f>'RESUMEN TOTAL'!AA310</f>
        <v>0</v>
      </c>
      <c r="T307">
        <f>'RESUMEN TOTAL'!AB310</f>
        <v>0</v>
      </c>
      <c r="U307">
        <f>'RESUMEN TOTAL'!AC310</f>
        <v>0</v>
      </c>
      <c r="V307">
        <f>'RESUMEN TOTAL'!AD310</f>
        <v>0</v>
      </c>
      <c r="W307">
        <f>'RESUMEN TOTAL'!AE310</f>
        <v>0</v>
      </c>
      <c r="X307">
        <f>'RESUMEN TOTAL'!AF310</f>
        <v>0</v>
      </c>
      <c r="Y307">
        <f>'RESUMEN TOTAL'!AG310</f>
        <v>0</v>
      </c>
      <c r="Z307">
        <f>'RESUMEN TOTAL'!AH310</f>
        <v>0</v>
      </c>
      <c r="AA307">
        <f>'RESUMEN TOTAL'!AI310</f>
        <v>0</v>
      </c>
      <c r="AB307">
        <f>'RESUMEN TOTAL'!AJ310</f>
        <v>0</v>
      </c>
      <c r="AC307">
        <f>'RESUMEN TOTAL'!AK310</f>
        <v>0</v>
      </c>
      <c r="AD307">
        <f>'RESUMEN TOTAL'!AL310</f>
        <v>0</v>
      </c>
      <c r="AE307">
        <f>'RESUMEN TOTAL'!AM310</f>
        <v>0</v>
      </c>
      <c r="AF307">
        <f>'RESUMEN TOTAL'!AN310</f>
        <v>0</v>
      </c>
      <c r="AG307">
        <f>'RESUMEN TOTAL'!AO310</f>
        <v>0</v>
      </c>
    </row>
    <row r="308" spans="1:33" x14ac:dyDescent="0.25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PTP A FO</v>
      </c>
      <c r="F308">
        <f>'RESUMEN TOTAL'!N311</f>
        <v>0</v>
      </c>
      <c r="G308">
        <f>'RESUMEN TOTAL'!O311</f>
        <v>0</v>
      </c>
      <c r="H308">
        <f>'RESUMEN TOTAL'!P311</f>
        <v>0</v>
      </c>
      <c r="I308">
        <f>'RESUMEN TOTAL'!Q311</f>
        <v>0</v>
      </c>
      <c r="J308">
        <f>'RESUMEN TOTAL'!R311</f>
        <v>0</v>
      </c>
      <c r="K308">
        <f>'RESUMEN TOTAL'!S311</f>
        <v>0</v>
      </c>
      <c r="L308">
        <f>'RESUMEN TOTAL'!T311</f>
        <v>0</v>
      </c>
      <c r="M308">
        <f>'RESUMEN TOTAL'!U311</f>
        <v>0</v>
      </c>
      <c r="N308">
        <f>'RESUMEN TOTAL'!V311</f>
        <v>0</v>
      </c>
      <c r="O308">
        <f>'RESUMEN TOTAL'!W311</f>
        <v>0</v>
      </c>
      <c r="P308">
        <f>'RESUMEN TOTAL'!X311</f>
        <v>0</v>
      </c>
      <c r="Q308">
        <f>'RESUMEN TOTAL'!Y311</f>
        <v>0</v>
      </c>
      <c r="R308">
        <f>'RESUMEN TOTAL'!Z311</f>
        <v>0</v>
      </c>
      <c r="S308">
        <f>'RESUMEN TOTAL'!AA311</f>
        <v>0</v>
      </c>
      <c r="T308">
        <f>'RESUMEN TOTAL'!AB311</f>
        <v>0</v>
      </c>
      <c r="U308">
        <f>'RESUMEN TOTAL'!AC311</f>
        <v>0</v>
      </c>
      <c r="V308">
        <f>'RESUMEN TOTAL'!AD311</f>
        <v>0</v>
      </c>
      <c r="W308">
        <f>'RESUMEN TOTAL'!AE311</f>
        <v>0</v>
      </c>
      <c r="X308">
        <f>'RESUMEN TOTAL'!AF311</f>
        <v>0</v>
      </c>
      <c r="Y308">
        <f>'RESUMEN TOTAL'!AG311</f>
        <v>0</v>
      </c>
      <c r="Z308">
        <f>'RESUMEN TOTAL'!AH311</f>
        <v>0</v>
      </c>
      <c r="AA308">
        <f>'RESUMEN TOTAL'!AI311</f>
        <v>0</v>
      </c>
      <c r="AB308">
        <f>'RESUMEN TOTAL'!AJ311</f>
        <v>0</v>
      </c>
      <c r="AC308">
        <f>'RESUMEN TOTAL'!AK311</f>
        <v>0</v>
      </c>
      <c r="AD308">
        <f>'RESUMEN TOTAL'!AL311</f>
        <v>0</v>
      </c>
      <c r="AE308">
        <f>'RESUMEN TOTAL'!AM311</f>
        <v>0</v>
      </c>
      <c r="AF308">
        <f>'RESUMEN TOTAL'!AN311</f>
        <v>0</v>
      </c>
      <c r="AG308">
        <f>'RESUMEN TOTAL'!AO311</f>
        <v>0</v>
      </c>
    </row>
    <row r="309" spans="1:33" x14ac:dyDescent="0.25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TOTAL'!N312</f>
        <v>0</v>
      </c>
      <c r="G309">
        <f>'RESUMEN TOTAL'!O312</f>
        <v>0</v>
      </c>
      <c r="H309">
        <f>'RESUMEN TOTAL'!P312</f>
        <v>0</v>
      </c>
      <c r="I309">
        <f>'RESUMEN TOTAL'!Q312</f>
        <v>0</v>
      </c>
      <c r="J309">
        <f>'RESUMEN TOTAL'!R312</f>
        <v>0</v>
      </c>
      <c r="K309">
        <f>'RESUMEN TOTAL'!S312</f>
        <v>0</v>
      </c>
      <c r="L309">
        <f>'RESUMEN TOTAL'!T312</f>
        <v>0</v>
      </c>
      <c r="M309">
        <f>'RESUMEN TOTAL'!U312</f>
        <v>0</v>
      </c>
      <c r="N309">
        <f>'RESUMEN TOTAL'!V312</f>
        <v>0</v>
      </c>
      <c r="O309">
        <f>'RESUMEN TOTAL'!W312</f>
        <v>0</v>
      </c>
      <c r="P309">
        <f>'RESUMEN TOTAL'!X312</f>
        <v>0</v>
      </c>
      <c r="Q309">
        <f>'RESUMEN TOTAL'!Y312</f>
        <v>0</v>
      </c>
      <c r="R309">
        <f>'RESUMEN TOTAL'!Z312</f>
        <v>0</v>
      </c>
      <c r="S309">
        <f>'RESUMEN TOTAL'!AA312</f>
        <v>0</v>
      </c>
      <c r="T309">
        <f>'RESUMEN TOTAL'!AB312</f>
        <v>0</v>
      </c>
      <c r="U309">
        <f>'RESUMEN TOTAL'!AC312</f>
        <v>0</v>
      </c>
      <c r="V309">
        <f>'RESUMEN TOTAL'!AD312</f>
        <v>0</v>
      </c>
      <c r="W309">
        <f>'RESUMEN TOTAL'!AE312</f>
        <v>0</v>
      </c>
      <c r="X309">
        <f>'RESUMEN TOTAL'!AF312</f>
        <v>0</v>
      </c>
      <c r="Y309">
        <f>'RESUMEN TOTAL'!AG312</f>
        <v>0</v>
      </c>
      <c r="Z309">
        <f>'RESUMEN TOTAL'!AH312</f>
        <v>0</v>
      </c>
      <c r="AA309">
        <f>'RESUMEN TOTAL'!AI312</f>
        <v>0</v>
      </c>
      <c r="AB309">
        <f>'RESUMEN TOTAL'!AJ312</f>
        <v>0</v>
      </c>
      <c r="AC309">
        <f>'RESUMEN TOTAL'!AK312</f>
        <v>0</v>
      </c>
      <c r="AD309">
        <f>'RESUMEN TOTAL'!AL312</f>
        <v>0</v>
      </c>
      <c r="AE309">
        <f>'RESUMEN TOTAL'!AM312</f>
        <v>0</v>
      </c>
      <c r="AF309">
        <f>'RESUMEN TOTAL'!AN312</f>
        <v>0</v>
      </c>
      <c r="AG309">
        <f>'RESUMEN TOTAL'!AO312</f>
        <v>0</v>
      </c>
    </row>
    <row r="310" spans="1:33" x14ac:dyDescent="0.25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TOTAL'!N313</f>
        <v>0</v>
      </c>
      <c r="G310">
        <f>'RESUMEN TOTAL'!O313</f>
        <v>0</v>
      </c>
      <c r="H310">
        <f>'RESUMEN TOTAL'!P313</f>
        <v>0</v>
      </c>
      <c r="I310">
        <f>'RESUMEN TOTAL'!Q313</f>
        <v>0</v>
      </c>
      <c r="J310">
        <f>'RESUMEN TOTAL'!R313</f>
        <v>0</v>
      </c>
      <c r="K310">
        <f>'RESUMEN TOTAL'!S313</f>
        <v>0</v>
      </c>
      <c r="L310">
        <f>'RESUMEN TOTAL'!T313</f>
        <v>0</v>
      </c>
      <c r="M310">
        <f>'RESUMEN TOTAL'!U313</f>
        <v>0</v>
      </c>
      <c r="N310">
        <f>'RESUMEN TOTAL'!V313</f>
        <v>0</v>
      </c>
      <c r="O310">
        <f>'RESUMEN TOTAL'!W313</f>
        <v>0</v>
      </c>
      <c r="P310">
        <f>'RESUMEN TOTAL'!X313</f>
        <v>0</v>
      </c>
      <c r="Q310">
        <f>'RESUMEN TOTAL'!Y313</f>
        <v>0</v>
      </c>
      <c r="R310">
        <f>'RESUMEN TOTAL'!Z313</f>
        <v>0</v>
      </c>
      <c r="S310">
        <f>'RESUMEN TOTAL'!AA313</f>
        <v>0</v>
      </c>
      <c r="T310">
        <f>'RESUMEN TOTAL'!AB313</f>
        <v>0</v>
      </c>
      <c r="U310">
        <f>'RESUMEN TOTAL'!AC313</f>
        <v>0</v>
      </c>
      <c r="V310">
        <f>'RESUMEN TOTAL'!AD313</f>
        <v>0</v>
      </c>
      <c r="W310">
        <f>'RESUMEN TOTAL'!AE313</f>
        <v>0</v>
      </c>
      <c r="X310">
        <f>'RESUMEN TOTAL'!AF313</f>
        <v>0</v>
      </c>
      <c r="Y310">
        <f>'RESUMEN TOTAL'!AG313</f>
        <v>0</v>
      </c>
      <c r="Z310">
        <f>'RESUMEN TOTAL'!AH313</f>
        <v>0</v>
      </c>
      <c r="AA310">
        <f>'RESUMEN TOTAL'!AI313</f>
        <v>0</v>
      </c>
      <c r="AB310">
        <f>'RESUMEN TOTAL'!AJ313</f>
        <v>0</v>
      </c>
      <c r="AC310">
        <f>'RESUMEN TOTAL'!AK313</f>
        <v>0</v>
      </c>
      <c r="AD310">
        <f>'RESUMEN TOTAL'!AL313</f>
        <v>0</v>
      </c>
      <c r="AE310">
        <f>'RESUMEN TOTAL'!AM313</f>
        <v>0</v>
      </c>
      <c r="AF310">
        <f>'RESUMEN TOTAL'!AN313</f>
        <v>0</v>
      </c>
      <c r="AG310">
        <f>'RESUMEN TOTAL'!AO313</f>
        <v>0</v>
      </c>
    </row>
    <row r="311" spans="1:33" x14ac:dyDescent="0.25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TOTAL'!N314</f>
        <v>0</v>
      </c>
      <c r="G311">
        <f>'RESUMEN TOTAL'!O314</f>
        <v>0</v>
      </c>
      <c r="H311">
        <f>'RESUMEN TOTAL'!P314</f>
        <v>0</v>
      </c>
      <c r="I311">
        <f>'RESUMEN TOTAL'!Q314</f>
        <v>0</v>
      </c>
      <c r="J311">
        <f>'RESUMEN TOTAL'!R314</f>
        <v>0</v>
      </c>
      <c r="K311">
        <f>'RESUMEN TOTAL'!S314</f>
        <v>0</v>
      </c>
      <c r="L311">
        <f>'RESUMEN TOTAL'!T314</f>
        <v>0</v>
      </c>
      <c r="M311">
        <f>'RESUMEN TOTAL'!U314</f>
        <v>0</v>
      </c>
      <c r="N311">
        <f>'RESUMEN TOTAL'!V314</f>
        <v>0</v>
      </c>
      <c r="O311">
        <f>'RESUMEN TOTAL'!W314</f>
        <v>0</v>
      </c>
      <c r="P311">
        <f>'RESUMEN TOTAL'!X314</f>
        <v>0</v>
      </c>
      <c r="Q311">
        <f>'RESUMEN TOTAL'!Y314</f>
        <v>0</v>
      </c>
      <c r="R311">
        <f>'RESUMEN TOTAL'!Z314</f>
        <v>0</v>
      </c>
      <c r="S311">
        <f>'RESUMEN TOTAL'!AA314</f>
        <v>0</v>
      </c>
      <c r="T311">
        <f>'RESUMEN TOTAL'!AB314</f>
        <v>0</v>
      </c>
      <c r="U311">
        <f>'RESUMEN TOTAL'!AC314</f>
        <v>0</v>
      </c>
      <c r="V311">
        <f>'RESUMEN TOTAL'!AD314</f>
        <v>0</v>
      </c>
      <c r="W311">
        <f>'RESUMEN TOTAL'!AE314</f>
        <v>0</v>
      </c>
      <c r="X311">
        <f>'RESUMEN TOTAL'!AF314</f>
        <v>0</v>
      </c>
      <c r="Y311">
        <f>'RESUMEN TOTAL'!AG314</f>
        <v>0</v>
      </c>
      <c r="Z311">
        <f>'RESUMEN TOTAL'!AH314</f>
        <v>0</v>
      </c>
      <c r="AA311">
        <f>'RESUMEN TOTAL'!AI314</f>
        <v>0</v>
      </c>
      <c r="AB311">
        <f>'RESUMEN TOTAL'!AJ314</f>
        <v>0</v>
      </c>
      <c r="AC311">
        <f>'RESUMEN TOTAL'!AK314</f>
        <v>0</v>
      </c>
      <c r="AD311">
        <f>'RESUMEN TOTAL'!AL314</f>
        <v>0</v>
      </c>
      <c r="AE311">
        <f>'RESUMEN TOTAL'!AM314</f>
        <v>0</v>
      </c>
      <c r="AF311">
        <f>'RESUMEN TOTAL'!AN314</f>
        <v>0</v>
      </c>
      <c r="AG311">
        <f>'RESUMEN TOTAL'!AO314</f>
        <v>0</v>
      </c>
    </row>
    <row r="312" spans="1:33" x14ac:dyDescent="0.25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TOTAL'!N315</f>
        <v>0</v>
      </c>
      <c r="G312">
        <f>'RESUMEN TOTAL'!O315</f>
        <v>0</v>
      </c>
      <c r="H312">
        <f>'RESUMEN TOTAL'!P315</f>
        <v>0</v>
      </c>
      <c r="I312">
        <f>'RESUMEN TOTAL'!Q315</f>
        <v>0</v>
      </c>
      <c r="J312">
        <f>'RESUMEN TOTAL'!R315</f>
        <v>0</v>
      </c>
      <c r="K312">
        <f>'RESUMEN TOTAL'!S315</f>
        <v>0</v>
      </c>
      <c r="L312">
        <f>'RESUMEN TOTAL'!T315</f>
        <v>0</v>
      </c>
      <c r="M312">
        <f>'RESUMEN TOTAL'!U315</f>
        <v>0</v>
      </c>
      <c r="N312">
        <f>'RESUMEN TOTAL'!V315</f>
        <v>0</v>
      </c>
      <c r="O312">
        <f>'RESUMEN TOTAL'!W315</f>
        <v>0</v>
      </c>
      <c r="P312">
        <f>'RESUMEN TOTAL'!X315</f>
        <v>0</v>
      </c>
      <c r="Q312">
        <f>'RESUMEN TOTAL'!Y315</f>
        <v>0</v>
      </c>
      <c r="R312">
        <f>'RESUMEN TOTAL'!Z315</f>
        <v>0</v>
      </c>
      <c r="S312">
        <f>'RESUMEN TOTAL'!AA315</f>
        <v>0</v>
      </c>
      <c r="T312">
        <f>'RESUMEN TOTAL'!AB315</f>
        <v>0</v>
      </c>
      <c r="U312">
        <f>'RESUMEN TOTAL'!AC315</f>
        <v>0</v>
      </c>
      <c r="V312">
        <f>'RESUMEN TOTAL'!AD315</f>
        <v>0</v>
      </c>
      <c r="W312">
        <f>'RESUMEN TOTAL'!AE315</f>
        <v>0</v>
      </c>
      <c r="X312">
        <f>'RESUMEN TOTAL'!AF315</f>
        <v>0</v>
      </c>
      <c r="Y312">
        <f>'RESUMEN TOTAL'!AG315</f>
        <v>0</v>
      </c>
      <c r="Z312">
        <f>'RESUMEN TOTAL'!AH315</f>
        <v>0</v>
      </c>
      <c r="AA312">
        <f>'RESUMEN TOTAL'!AI315</f>
        <v>0</v>
      </c>
      <c r="AB312">
        <f>'RESUMEN TOTAL'!AJ315</f>
        <v>0</v>
      </c>
      <c r="AC312">
        <f>'RESUMEN TOTAL'!AK315</f>
        <v>0</v>
      </c>
      <c r="AD312">
        <f>'RESUMEN TOTAL'!AL315</f>
        <v>0</v>
      </c>
      <c r="AE312">
        <f>'RESUMEN TOTAL'!AM315</f>
        <v>0</v>
      </c>
      <c r="AF312">
        <f>'RESUMEN TOTAL'!AN315</f>
        <v>0</v>
      </c>
      <c r="AG312">
        <f>'RESUMEN TOTAL'!AO315</f>
        <v>0</v>
      </c>
    </row>
    <row r="313" spans="1:33" x14ac:dyDescent="0.25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TOTAL'!N316</f>
        <v>0</v>
      </c>
      <c r="G313">
        <f>'RESUMEN TOTAL'!O316</f>
        <v>0</v>
      </c>
      <c r="H313">
        <f>'RESUMEN TOTAL'!P316</f>
        <v>0</v>
      </c>
      <c r="I313">
        <f>'RESUMEN TOTAL'!Q316</f>
        <v>0</v>
      </c>
      <c r="J313">
        <f>'RESUMEN TOTAL'!R316</f>
        <v>0</v>
      </c>
      <c r="K313">
        <f>'RESUMEN TOTAL'!S316</f>
        <v>0</v>
      </c>
      <c r="L313">
        <f>'RESUMEN TOTAL'!T316</f>
        <v>0</v>
      </c>
      <c r="M313">
        <f>'RESUMEN TOTAL'!U316</f>
        <v>0</v>
      </c>
      <c r="N313">
        <f>'RESUMEN TOTAL'!V316</f>
        <v>0</v>
      </c>
      <c r="O313">
        <f>'RESUMEN TOTAL'!W316</f>
        <v>0</v>
      </c>
      <c r="P313">
        <f>'RESUMEN TOTAL'!X316</f>
        <v>0</v>
      </c>
      <c r="Q313">
        <f>'RESUMEN TOTAL'!Y316</f>
        <v>0</v>
      </c>
      <c r="R313">
        <f>'RESUMEN TOTAL'!Z316</f>
        <v>0</v>
      </c>
      <c r="S313">
        <f>'RESUMEN TOTAL'!AA316</f>
        <v>0</v>
      </c>
      <c r="T313">
        <f>'RESUMEN TOTAL'!AB316</f>
        <v>0</v>
      </c>
      <c r="U313">
        <f>'RESUMEN TOTAL'!AC316</f>
        <v>0</v>
      </c>
      <c r="V313">
        <f>'RESUMEN TOTAL'!AD316</f>
        <v>0</v>
      </c>
      <c r="W313">
        <f>'RESUMEN TOTAL'!AE316</f>
        <v>0</v>
      </c>
      <c r="X313">
        <f>'RESUMEN TOTAL'!AF316</f>
        <v>0</v>
      </c>
      <c r="Y313">
        <f>'RESUMEN TOTAL'!AG316</f>
        <v>0</v>
      </c>
      <c r="Z313">
        <f>'RESUMEN TOTAL'!AH316</f>
        <v>0</v>
      </c>
      <c r="AA313">
        <f>'RESUMEN TOTAL'!AI316</f>
        <v>0</v>
      </c>
      <c r="AB313">
        <f>'RESUMEN TOTAL'!AJ316</f>
        <v>0</v>
      </c>
      <c r="AC313">
        <f>'RESUMEN TOTAL'!AK316</f>
        <v>0</v>
      </c>
      <c r="AD313">
        <f>'RESUMEN TOTAL'!AL316</f>
        <v>0</v>
      </c>
      <c r="AE313">
        <f>'RESUMEN TOTAL'!AM316</f>
        <v>0</v>
      </c>
      <c r="AF313">
        <f>'RESUMEN TOTAL'!AN316</f>
        <v>0</v>
      </c>
      <c r="AG313">
        <f>'RESUMEN TOTAL'!AO316</f>
        <v>0</v>
      </c>
    </row>
    <row r="314" spans="1:33" x14ac:dyDescent="0.25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TOTAL'!N317</f>
        <v>0</v>
      </c>
      <c r="G314">
        <f>'RESUMEN TOTAL'!O317</f>
        <v>0</v>
      </c>
      <c r="H314">
        <f>'RESUMEN TOTAL'!P317</f>
        <v>0</v>
      </c>
      <c r="I314">
        <f>'RESUMEN TOTAL'!Q317</f>
        <v>0</v>
      </c>
      <c r="J314">
        <f>'RESUMEN TOTAL'!R317</f>
        <v>0</v>
      </c>
      <c r="K314">
        <f>'RESUMEN TOTAL'!S317</f>
        <v>0</v>
      </c>
      <c r="L314">
        <f>'RESUMEN TOTAL'!T317</f>
        <v>0</v>
      </c>
      <c r="M314">
        <f>'RESUMEN TOTAL'!U317</f>
        <v>0</v>
      </c>
      <c r="N314">
        <f>'RESUMEN TOTAL'!V317</f>
        <v>0</v>
      </c>
      <c r="O314">
        <f>'RESUMEN TOTAL'!W317</f>
        <v>0</v>
      </c>
      <c r="P314">
        <f>'RESUMEN TOTAL'!X317</f>
        <v>0</v>
      </c>
      <c r="Q314">
        <f>'RESUMEN TOTAL'!Y317</f>
        <v>0</v>
      </c>
      <c r="R314">
        <f>'RESUMEN TOTAL'!Z317</f>
        <v>0</v>
      </c>
      <c r="S314">
        <f>'RESUMEN TOTAL'!AA317</f>
        <v>0</v>
      </c>
      <c r="T314">
        <f>'RESUMEN TOTAL'!AB317</f>
        <v>0</v>
      </c>
      <c r="U314">
        <f>'RESUMEN TOTAL'!AC317</f>
        <v>0</v>
      </c>
      <c r="V314">
        <f>'RESUMEN TOTAL'!AD317</f>
        <v>0</v>
      </c>
      <c r="W314">
        <f>'RESUMEN TOTAL'!AE317</f>
        <v>0</v>
      </c>
      <c r="X314">
        <f>'RESUMEN TOTAL'!AF317</f>
        <v>0</v>
      </c>
      <c r="Y314">
        <f>'RESUMEN TOTAL'!AG317</f>
        <v>0</v>
      </c>
      <c r="Z314">
        <f>'RESUMEN TOTAL'!AH317</f>
        <v>0</v>
      </c>
      <c r="AA314">
        <f>'RESUMEN TOTAL'!AI317</f>
        <v>0</v>
      </c>
      <c r="AB314">
        <f>'RESUMEN TOTAL'!AJ317</f>
        <v>0</v>
      </c>
      <c r="AC314">
        <f>'RESUMEN TOTAL'!AK317</f>
        <v>0</v>
      </c>
      <c r="AD314">
        <f>'RESUMEN TOTAL'!AL317</f>
        <v>0</v>
      </c>
      <c r="AE314">
        <f>'RESUMEN TOTAL'!AM317</f>
        <v>0</v>
      </c>
      <c r="AF314">
        <f>'RESUMEN TOTAL'!AN317</f>
        <v>0</v>
      </c>
      <c r="AG314">
        <f>'RESUMEN TOTAL'!AO317</f>
        <v>0</v>
      </c>
    </row>
    <row r="315" spans="1:33" x14ac:dyDescent="0.25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TOTAL'!N318</f>
        <v>0</v>
      </c>
      <c r="G315">
        <f>'RESUMEN TOTAL'!O318</f>
        <v>0</v>
      </c>
      <c r="H315">
        <f>'RESUMEN TOTAL'!P318</f>
        <v>0</v>
      </c>
      <c r="I315">
        <f>'RESUMEN TOTAL'!Q318</f>
        <v>0</v>
      </c>
      <c r="J315">
        <f>'RESUMEN TOTAL'!R318</f>
        <v>0</v>
      </c>
      <c r="K315">
        <f>'RESUMEN TOTAL'!S318</f>
        <v>0</v>
      </c>
      <c r="L315">
        <f>'RESUMEN TOTAL'!T318</f>
        <v>0</v>
      </c>
      <c r="M315">
        <f>'RESUMEN TOTAL'!U318</f>
        <v>0</v>
      </c>
      <c r="N315">
        <f>'RESUMEN TOTAL'!V318</f>
        <v>0</v>
      </c>
      <c r="O315">
        <f>'RESUMEN TOTAL'!W318</f>
        <v>0</v>
      </c>
      <c r="P315">
        <f>'RESUMEN TOTAL'!X318</f>
        <v>0</v>
      </c>
      <c r="Q315">
        <f>'RESUMEN TOTAL'!Y318</f>
        <v>0</v>
      </c>
      <c r="R315">
        <f>'RESUMEN TOTAL'!Z318</f>
        <v>0</v>
      </c>
      <c r="S315">
        <f>'RESUMEN TOTAL'!AA318</f>
        <v>0</v>
      </c>
      <c r="T315">
        <f>'RESUMEN TOTAL'!AB318</f>
        <v>0</v>
      </c>
      <c r="U315">
        <f>'RESUMEN TOTAL'!AC318</f>
        <v>0</v>
      </c>
      <c r="V315">
        <f>'RESUMEN TOTAL'!AD318</f>
        <v>0</v>
      </c>
      <c r="W315">
        <f>'RESUMEN TOTAL'!AE318</f>
        <v>0</v>
      </c>
      <c r="X315">
        <f>'RESUMEN TOTAL'!AF318</f>
        <v>0</v>
      </c>
      <c r="Y315">
        <f>'RESUMEN TOTAL'!AG318</f>
        <v>0</v>
      </c>
      <c r="Z315">
        <f>'RESUMEN TOTAL'!AH318</f>
        <v>0</v>
      </c>
      <c r="AA315">
        <f>'RESUMEN TOTAL'!AI318</f>
        <v>0</v>
      </c>
      <c r="AB315">
        <f>'RESUMEN TOTAL'!AJ318</f>
        <v>0</v>
      </c>
      <c r="AC315">
        <f>'RESUMEN TOTAL'!AK318</f>
        <v>0</v>
      </c>
      <c r="AD315">
        <f>'RESUMEN TOTAL'!AL318</f>
        <v>0</v>
      </c>
      <c r="AE315">
        <f>'RESUMEN TOTAL'!AM318</f>
        <v>0</v>
      </c>
      <c r="AF315">
        <f>'RESUMEN TOTAL'!AN318</f>
        <v>0</v>
      </c>
      <c r="AG315">
        <f>'RESUMEN TOTAL'!AO318</f>
        <v>0</v>
      </c>
    </row>
    <row r="316" spans="1:33" x14ac:dyDescent="0.25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TOTAL'!N319</f>
        <v>APAGADO</v>
      </c>
      <c r="G316" t="str">
        <f>'RESUMEN TOTAL'!O319</f>
        <v>APAGADO</v>
      </c>
      <c r="H316" t="str">
        <f>'RESUMEN TOTAL'!P319</f>
        <v>APAGADO</v>
      </c>
      <c r="I316" t="str">
        <f>'RESUMEN TOTAL'!Q319</f>
        <v>APAGADO</v>
      </c>
      <c r="J316" t="str">
        <f>'RESUMEN TOTAL'!R319</f>
        <v>APAGADO</v>
      </c>
      <c r="K316" t="str">
        <f>'RESUMEN TOTAL'!S319</f>
        <v>APAGADO</v>
      </c>
      <c r="L316" t="str">
        <f>'RESUMEN TOTAL'!T319</f>
        <v>APAGADO</v>
      </c>
      <c r="M316">
        <f>'RESUMEN TOTAL'!U319</f>
        <v>0</v>
      </c>
      <c r="N316">
        <f>'RESUMEN TOTAL'!V319</f>
        <v>0</v>
      </c>
      <c r="O316">
        <f>'RESUMEN TOTAL'!W319</f>
        <v>0</v>
      </c>
      <c r="P316">
        <f>'RESUMEN TOTAL'!X319</f>
        <v>0</v>
      </c>
      <c r="Q316">
        <f>'RESUMEN TOTAL'!Y319</f>
        <v>0</v>
      </c>
      <c r="R316">
        <f>'RESUMEN TOTAL'!Z319</f>
        <v>0</v>
      </c>
      <c r="S316">
        <f>'RESUMEN TOTAL'!AA319</f>
        <v>0</v>
      </c>
      <c r="T316">
        <f>'RESUMEN TOTAL'!AB319</f>
        <v>0</v>
      </c>
      <c r="U316">
        <f>'RESUMEN TOTAL'!AC319</f>
        <v>0</v>
      </c>
      <c r="V316">
        <f>'RESUMEN TOTAL'!AD319</f>
        <v>0</v>
      </c>
      <c r="W316">
        <f>'RESUMEN TOTAL'!AE319</f>
        <v>0</v>
      </c>
      <c r="X316">
        <f>'RESUMEN TOTAL'!AF319</f>
        <v>0</v>
      </c>
      <c r="Y316">
        <f>'RESUMEN TOTAL'!AG319</f>
        <v>0</v>
      </c>
      <c r="Z316">
        <f>'RESUMEN TOTAL'!AH319</f>
        <v>0</v>
      </c>
      <c r="AA316">
        <f>'RESUMEN TOTAL'!AI319</f>
        <v>0</v>
      </c>
      <c r="AB316">
        <f>'RESUMEN TOTAL'!AJ319</f>
        <v>0</v>
      </c>
      <c r="AC316">
        <f>'RESUMEN TOTAL'!AK319</f>
        <v>0</v>
      </c>
      <c r="AD316">
        <f>'RESUMEN TOTAL'!AL319</f>
        <v>0</v>
      </c>
      <c r="AE316">
        <f>'RESUMEN TOTAL'!AM319</f>
        <v>0</v>
      </c>
      <c r="AF316">
        <f>'RESUMEN TOTAL'!AN319</f>
        <v>0</v>
      </c>
      <c r="AG316">
        <f>'RESUMEN TOTAL'!AO319</f>
        <v>0</v>
      </c>
    </row>
    <row r="317" spans="1:33" x14ac:dyDescent="0.25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PTP A FO</v>
      </c>
      <c r="F317" t="str">
        <f>'RESUMEN TOTAL'!N320</f>
        <v>APAGADO</v>
      </c>
      <c r="G317" t="str">
        <f>'RESUMEN TOTAL'!O320</f>
        <v>APAGADO</v>
      </c>
      <c r="H317" t="str">
        <f>'RESUMEN TOTAL'!P320</f>
        <v>APAGADO</v>
      </c>
      <c r="I317" t="str">
        <f>'RESUMEN TOTAL'!Q320</f>
        <v>APAGADO</v>
      </c>
      <c r="J317" t="str">
        <f>'RESUMEN TOTAL'!R320</f>
        <v>APAGADO</v>
      </c>
      <c r="K317" t="str">
        <f>'RESUMEN TOTAL'!S320</f>
        <v>APAGADO</v>
      </c>
      <c r="L317" t="str">
        <f>'RESUMEN TOTAL'!T320</f>
        <v>APAGADO</v>
      </c>
      <c r="M317">
        <f>'RESUMEN TOTAL'!U320</f>
        <v>0</v>
      </c>
      <c r="N317">
        <f>'RESUMEN TOTAL'!V320</f>
        <v>0</v>
      </c>
      <c r="O317">
        <f>'RESUMEN TOTAL'!W320</f>
        <v>0</v>
      </c>
      <c r="P317">
        <f>'RESUMEN TOTAL'!X320</f>
        <v>0</v>
      </c>
      <c r="Q317">
        <f>'RESUMEN TOTAL'!Y320</f>
        <v>0</v>
      </c>
      <c r="R317">
        <f>'RESUMEN TOTAL'!Z320</f>
        <v>0</v>
      </c>
      <c r="S317">
        <f>'RESUMEN TOTAL'!AA320</f>
        <v>0</v>
      </c>
      <c r="T317">
        <f>'RESUMEN TOTAL'!AB320</f>
        <v>0</v>
      </c>
      <c r="U317">
        <f>'RESUMEN TOTAL'!AC320</f>
        <v>0</v>
      </c>
      <c r="V317">
        <f>'RESUMEN TOTAL'!AD320</f>
        <v>0</v>
      </c>
      <c r="W317">
        <f>'RESUMEN TOTAL'!AE320</f>
        <v>0</v>
      </c>
      <c r="X317">
        <f>'RESUMEN TOTAL'!AF320</f>
        <v>0</v>
      </c>
      <c r="Y317">
        <f>'RESUMEN TOTAL'!AG320</f>
        <v>0</v>
      </c>
      <c r="Z317">
        <f>'RESUMEN TOTAL'!AH320</f>
        <v>0</v>
      </c>
      <c r="AA317">
        <f>'RESUMEN TOTAL'!AI320</f>
        <v>0</v>
      </c>
      <c r="AB317">
        <f>'RESUMEN TOTAL'!AJ320</f>
        <v>0</v>
      </c>
      <c r="AC317">
        <f>'RESUMEN TOTAL'!AK320</f>
        <v>0</v>
      </c>
      <c r="AD317">
        <f>'RESUMEN TOTAL'!AL320</f>
        <v>0</v>
      </c>
      <c r="AE317">
        <f>'RESUMEN TOTAL'!AM320</f>
        <v>0</v>
      </c>
      <c r="AF317">
        <f>'RESUMEN TOTAL'!AN320</f>
        <v>0</v>
      </c>
      <c r="AG317">
        <f>'RESUMEN TOTAL'!AO320</f>
        <v>0</v>
      </c>
    </row>
    <row r="318" spans="1:33" x14ac:dyDescent="0.25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Fibra Optica</v>
      </c>
      <c r="F318">
        <f>'RESUMEN TOTAL'!N321</f>
        <v>0</v>
      </c>
      <c r="G318">
        <f>'RESUMEN TOTAL'!O321</f>
        <v>0</v>
      </c>
      <c r="H318">
        <f>'RESUMEN TOTAL'!P321</f>
        <v>0</v>
      </c>
      <c r="I318">
        <f>'RESUMEN TOTAL'!Q321</f>
        <v>0</v>
      </c>
      <c r="J318">
        <f>'RESUMEN TOTAL'!R321</f>
        <v>0</v>
      </c>
      <c r="K318">
        <f>'RESUMEN TOTAL'!S321</f>
        <v>0</v>
      </c>
      <c r="L318">
        <f>'RESUMEN TOTAL'!T321</f>
        <v>0</v>
      </c>
      <c r="M318">
        <f>'RESUMEN TOTAL'!U321</f>
        <v>0</v>
      </c>
      <c r="N318">
        <f>'RESUMEN TOTAL'!V321</f>
        <v>0</v>
      </c>
      <c r="O318">
        <f>'RESUMEN TOTAL'!W321</f>
        <v>0</v>
      </c>
      <c r="P318">
        <f>'RESUMEN TOTAL'!X321</f>
        <v>0</v>
      </c>
      <c r="Q318">
        <f>'RESUMEN TOTAL'!Y321</f>
        <v>0</v>
      </c>
      <c r="R318">
        <f>'RESUMEN TOTAL'!Z321</f>
        <v>0</v>
      </c>
      <c r="S318">
        <f>'RESUMEN TOTAL'!AA321</f>
        <v>0</v>
      </c>
      <c r="T318">
        <f>'RESUMEN TOTAL'!AB321</f>
        <v>0</v>
      </c>
      <c r="U318">
        <f>'RESUMEN TOTAL'!AC321</f>
        <v>0</v>
      </c>
      <c r="V318">
        <f>'RESUMEN TOTAL'!AD321</f>
        <v>0</v>
      </c>
      <c r="W318">
        <f>'RESUMEN TOTAL'!AE321</f>
        <v>0</v>
      </c>
      <c r="X318">
        <f>'RESUMEN TOTAL'!AF321</f>
        <v>0</v>
      </c>
      <c r="Y318">
        <f>'RESUMEN TOTAL'!AG321</f>
        <v>0</v>
      </c>
      <c r="Z318">
        <f>'RESUMEN TOTAL'!AH321</f>
        <v>0</v>
      </c>
      <c r="AA318">
        <f>'RESUMEN TOTAL'!AI321</f>
        <v>0</v>
      </c>
      <c r="AB318">
        <f>'RESUMEN TOTAL'!AJ321</f>
        <v>0</v>
      </c>
      <c r="AC318">
        <f>'RESUMEN TOTAL'!AK321</f>
        <v>0</v>
      </c>
      <c r="AD318">
        <f>'RESUMEN TOTAL'!AL321</f>
        <v>0</v>
      </c>
      <c r="AE318">
        <f>'RESUMEN TOTAL'!AM321</f>
        <v>0</v>
      </c>
      <c r="AF318">
        <f>'RESUMEN TOTAL'!AN321</f>
        <v>0</v>
      </c>
      <c r="AG318">
        <f>'RESUMEN TOTAL'!AO321</f>
        <v>0</v>
      </c>
    </row>
    <row r="319" spans="1:33" x14ac:dyDescent="0.25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TOTAL'!N322</f>
        <v>0</v>
      </c>
      <c r="G319">
        <f>'RESUMEN TOTAL'!O322</f>
        <v>0</v>
      </c>
      <c r="H319">
        <f>'RESUMEN TOTAL'!P322</f>
        <v>0</v>
      </c>
      <c r="I319">
        <f>'RESUMEN TOTAL'!Q322</f>
        <v>0</v>
      </c>
      <c r="J319">
        <f>'RESUMEN TOTAL'!R322</f>
        <v>0</v>
      </c>
      <c r="K319">
        <f>'RESUMEN TOTAL'!S322</f>
        <v>0</v>
      </c>
      <c r="L319">
        <f>'RESUMEN TOTAL'!T322</f>
        <v>0</v>
      </c>
      <c r="M319">
        <f>'RESUMEN TOTAL'!U322</f>
        <v>0</v>
      </c>
      <c r="N319">
        <f>'RESUMEN TOTAL'!V322</f>
        <v>0</v>
      </c>
      <c r="O319">
        <f>'RESUMEN TOTAL'!W322</f>
        <v>0</v>
      </c>
      <c r="P319">
        <f>'RESUMEN TOTAL'!X322</f>
        <v>0</v>
      </c>
      <c r="Q319">
        <f>'RESUMEN TOTAL'!Y322</f>
        <v>0</v>
      </c>
      <c r="R319">
        <f>'RESUMEN TOTAL'!Z322</f>
        <v>0</v>
      </c>
      <c r="S319">
        <f>'RESUMEN TOTAL'!AA322</f>
        <v>0</v>
      </c>
      <c r="T319">
        <f>'RESUMEN TOTAL'!AB322</f>
        <v>0</v>
      </c>
      <c r="U319">
        <f>'RESUMEN TOTAL'!AC322</f>
        <v>0</v>
      </c>
      <c r="V319">
        <f>'RESUMEN TOTAL'!AD322</f>
        <v>0</v>
      </c>
      <c r="W319">
        <f>'RESUMEN TOTAL'!AE322</f>
        <v>0</v>
      </c>
      <c r="X319">
        <f>'RESUMEN TOTAL'!AF322</f>
        <v>0</v>
      </c>
      <c r="Y319">
        <f>'RESUMEN TOTAL'!AG322</f>
        <v>0</v>
      </c>
      <c r="Z319">
        <f>'RESUMEN TOTAL'!AH322</f>
        <v>0</v>
      </c>
      <c r="AA319">
        <f>'RESUMEN TOTAL'!AI322</f>
        <v>0</v>
      </c>
      <c r="AB319">
        <f>'RESUMEN TOTAL'!AJ322</f>
        <v>0</v>
      </c>
      <c r="AC319">
        <f>'RESUMEN TOTAL'!AK322</f>
        <v>0</v>
      </c>
      <c r="AD319">
        <f>'RESUMEN TOTAL'!AL322</f>
        <v>0</v>
      </c>
      <c r="AE319">
        <f>'RESUMEN TOTAL'!AM322</f>
        <v>0</v>
      </c>
      <c r="AF319">
        <f>'RESUMEN TOTAL'!AN322</f>
        <v>0</v>
      </c>
      <c r="AG319">
        <f>'RESUMEN TOTAL'!AO322</f>
        <v>0</v>
      </c>
    </row>
    <row r="320" spans="1:33" x14ac:dyDescent="0.25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TOTAL'!N323</f>
        <v>0</v>
      </c>
      <c r="G320">
        <f>'RESUMEN TOTAL'!O323</f>
        <v>0</v>
      </c>
      <c r="H320">
        <f>'RESUMEN TOTAL'!P323</f>
        <v>0</v>
      </c>
      <c r="I320">
        <f>'RESUMEN TOTAL'!Q323</f>
        <v>0</v>
      </c>
      <c r="J320">
        <f>'RESUMEN TOTAL'!R323</f>
        <v>0</v>
      </c>
      <c r="K320">
        <f>'RESUMEN TOTAL'!S323</f>
        <v>0</v>
      </c>
      <c r="L320">
        <f>'RESUMEN TOTAL'!T323</f>
        <v>0</v>
      </c>
      <c r="M320">
        <f>'RESUMEN TOTAL'!U323</f>
        <v>0</v>
      </c>
      <c r="N320">
        <f>'RESUMEN TOTAL'!V323</f>
        <v>0</v>
      </c>
      <c r="O320">
        <f>'RESUMEN TOTAL'!W323</f>
        <v>0</v>
      </c>
      <c r="P320">
        <f>'RESUMEN TOTAL'!X323</f>
        <v>0</v>
      </c>
      <c r="Q320">
        <f>'RESUMEN TOTAL'!Y323</f>
        <v>0</v>
      </c>
      <c r="R320">
        <f>'RESUMEN TOTAL'!Z323</f>
        <v>0</v>
      </c>
      <c r="S320">
        <f>'RESUMEN TOTAL'!AA323</f>
        <v>0</v>
      </c>
      <c r="T320">
        <f>'RESUMEN TOTAL'!AB323</f>
        <v>0</v>
      </c>
      <c r="U320">
        <f>'RESUMEN TOTAL'!AC323</f>
        <v>0</v>
      </c>
      <c r="V320">
        <f>'RESUMEN TOTAL'!AD323</f>
        <v>0</v>
      </c>
      <c r="W320">
        <f>'RESUMEN TOTAL'!AE323</f>
        <v>0</v>
      </c>
      <c r="X320">
        <f>'RESUMEN TOTAL'!AF323</f>
        <v>0</v>
      </c>
      <c r="Y320">
        <f>'RESUMEN TOTAL'!AG323</f>
        <v>0</v>
      </c>
      <c r="Z320">
        <f>'RESUMEN TOTAL'!AH323</f>
        <v>0</v>
      </c>
      <c r="AA320">
        <f>'RESUMEN TOTAL'!AI323</f>
        <v>0</v>
      </c>
      <c r="AB320">
        <f>'RESUMEN TOTAL'!AJ323</f>
        <v>0</v>
      </c>
      <c r="AC320">
        <f>'RESUMEN TOTAL'!AK323</f>
        <v>0</v>
      </c>
      <c r="AD320">
        <f>'RESUMEN TOTAL'!AL323</f>
        <v>0</v>
      </c>
      <c r="AE320">
        <f>'RESUMEN TOTAL'!AM323</f>
        <v>0</v>
      </c>
      <c r="AF320">
        <f>'RESUMEN TOTAL'!AN323</f>
        <v>0</v>
      </c>
      <c r="AG320">
        <f>'RESUMEN TOTAL'!AO323</f>
        <v>0</v>
      </c>
    </row>
    <row r="321" spans="1:33" x14ac:dyDescent="0.25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TOTAL'!N324</f>
        <v>0</v>
      </c>
      <c r="G321">
        <f>'RESUMEN TOTAL'!O324</f>
        <v>0</v>
      </c>
      <c r="H321">
        <f>'RESUMEN TOTAL'!P324</f>
        <v>0</v>
      </c>
      <c r="I321">
        <f>'RESUMEN TOTAL'!Q324</f>
        <v>0</v>
      </c>
      <c r="J321">
        <f>'RESUMEN TOTAL'!R324</f>
        <v>0</v>
      </c>
      <c r="K321">
        <f>'RESUMEN TOTAL'!S324</f>
        <v>0</v>
      </c>
      <c r="L321">
        <f>'RESUMEN TOTAL'!T324</f>
        <v>0</v>
      </c>
      <c r="M321">
        <f>'RESUMEN TOTAL'!U324</f>
        <v>0</v>
      </c>
      <c r="N321">
        <f>'RESUMEN TOTAL'!V324</f>
        <v>0</v>
      </c>
      <c r="O321">
        <f>'RESUMEN TOTAL'!W324</f>
        <v>0</v>
      </c>
      <c r="P321">
        <f>'RESUMEN TOTAL'!X324</f>
        <v>0</v>
      </c>
      <c r="Q321">
        <f>'RESUMEN TOTAL'!Y324</f>
        <v>0</v>
      </c>
      <c r="R321">
        <f>'RESUMEN TOTAL'!Z324</f>
        <v>0</v>
      </c>
      <c r="S321">
        <f>'RESUMEN TOTAL'!AA324</f>
        <v>0</v>
      </c>
      <c r="T321">
        <f>'RESUMEN TOTAL'!AB324</f>
        <v>0</v>
      </c>
      <c r="U321">
        <f>'RESUMEN TOTAL'!AC324</f>
        <v>0</v>
      </c>
      <c r="V321">
        <f>'RESUMEN TOTAL'!AD324</f>
        <v>0</v>
      </c>
      <c r="W321">
        <f>'RESUMEN TOTAL'!AE324</f>
        <v>0</v>
      </c>
      <c r="X321">
        <f>'RESUMEN TOTAL'!AF324</f>
        <v>0</v>
      </c>
      <c r="Y321">
        <f>'RESUMEN TOTAL'!AG324</f>
        <v>0</v>
      </c>
      <c r="Z321">
        <f>'RESUMEN TOTAL'!AH324</f>
        <v>0</v>
      </c>
      <c r="AA321">
        <f>'RESUMEN TOTAL'!AI324</f>
        <v>0</v>
      </c>
      <c r="AB321">
        <f>'RESUMEN TOTAL'!AJ324</f>
        <v>0</v>
      </c>
      <c r="AC321">
        <f>'RESUMEN TOTAL'!AK324</f>
        <v>0</v>
      </c>
      <c r="AD321">
        <f>'RESUMEN TOTAL'!AL324</f>
        <v>0</v>
      </c>
      <c r="AE321">
        <f>'RESUMEN TOTAL'!AM324</f>
        <v>0</v>
      </c>
      <c r="AF321">
        <f>'RESUMEN TOTAL'!AN324</f>
        <v>0</v>
      </c>
      <c r="AG321">
        <f>'RESUMEN TOTAL'!AO324</f>
        <v>0</v>
      </c>
    </row>
    <row r="322" spans="1:33" x14ac:dyDescent="0.25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Fibra Optica</v>
      </c>
      <c r="F322">
        <f>'RESUMEN TOTAL'!N325</f>
        <v>0</v>
      </c>
      <c r="G322">
        <f>'RESUMEN TOTAL'!O325</f>
        <v>0</v>
      </c>
      <c r="H322">
        <f>'RESUMEN TOTAL'!P325</f>
        <v>0</v>
      </c>
      <c r="I322">
        <f>'RESUMEN TOTAL'!Q325</f>
        <v>0</v>
      </c>
      <c r="J322">
        <f>'RESUMEN TOTAL'!R325</f>
        <v>0</v>
      </c>
      <c r="K322">
        <f>'RESUMEN TOTAL'!S325</f>
        <v>0</v>
      </c>
      <c r="L322">
        <f>'RESUMEN TOTAL'!T325</f>
        <v>0</v>
      </c>
      <c r="M322">
        <f>'RESUMEN TOTAL'!U325</f>
        <v>0</v>
      </c>
      <c r="N322">
        <f>'RESUMEN TOTAL'!V325</f>
        <v>0</v>
      </c>
      <c r="O322">
        <f>'RESUMEN TOTAL'!W325</f>
        <v>0</v>
      </c>
      <c r="P322">
        <f>'RESUMEN TOTAL'!X325</f>
        <v>0</v>
      </c>
      <c r="Q322">
        <f>'RESUMEN TOTAL'!Y325</f>
        <v>0</v>
      </c>
      <c r="R322">
        <f>'RESUMEN TOTAL'!Z325</f>
        <v>0</v>
      </c>
      <c r="S322">
        <f>'RESUMEN TOTAL'!AA325</f>
        <v>0</v>
      </c>
      <c r="T322">
        <f>'RESUMEN TOTAL'!AB325</f>
        <v>0</v>
      </c>
      <c r="U322">
        <f>'RESUMEN TOTAL'!AC325</f>
        <v>0</v>
      </c>
      <c r="V322">
        <f>'RESUMEN TOTAL'!AD325</f>
        <v>0</v>
      </c>
      <c r="W322">
        <f>'RESUMEN TOTAL'!AE325</f>
        <v>0</v>
      </c>
      <c r="X322">
        <f>'RESUMEN TOTAL'!AF325</f>
        <v>0</v>
      </c>
      <c r="Y322">
        <f>'RESUMEN TOTAL'!AG325</f>
        <v>0</v>
      </c>
      <c r="Z322">
        <f>'RESUMEN TOTAL'!AH325</f>
        <v>0</v>
      </c>
      <c r="AA322">
        <f>'RESUMEN TOTAL'!AI325</f>
        <v>0</v>
      </c>
      <c r="AB322">
        <f>'RESUMEN TOTAL'!AJ325</f>
        <v>0</v>
      </c>
      <c r="AC322">
        <f>'RESUMEN TOTAL'!AK325</f>
        <v>0</v>
      </c>
      <c r="AD322">
        <f>'RESUMEN TOTAL'!AL325</f>
        <v>0</v>
      </c>
      <c r="AE322">
        <f>'RESUMEN TOTAL'!AM325</f>
        <v>0</v>
      </c>
      <c r="AF322">
        <f>'RESUMEN TOTAL'!AN325</f>
        <v>0</v>
      </c>
      <c r="AG322">
        <f>'RESUMEN TOTAL'!AO325</f>
        <v>0</v>
      </c>
    </row>
    <row r="323" spans="1:33" x14ac:dyDescent="0.25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TOTAL'!N326</f>
        <v>0</v>
      </c>
      <c r="G323">
        <f>'RESUMEN TOTAL'!O326</f>
        <v>0</v>
      </c>
      <c r="H323">
        <f>'RESUMEN TOTAL'!P326</f>
        <v>0</v>
      </c>
      <c r="I323">
        <f>'RESUMEN TOTAL'!Q326</f>
        <v>0</v>
      </c>
      <c r="J323">
        <f>'RESUMEN TOTAL'!R326</f>
        <v>0</v>
      </c>
      <c r="K323">
        <f>'RESUMEN TOTAL'!S326</f>
        <v>0</v>
      </c>
      <c r="L323">
        <f>'RESUMEN TOTAL'!T326</f>
        <v>0</v>
      </c>
      <c r="M323">
        <f>'RESUMEN TOTAL'!U326</f>
        <v>0</v>
      </c>
      <c r="N323">
        <f>'RESUMEN TOTAL'!V326</f>
        <v>0</v>
      </c>
      <c r="O323">
        <f>'RESUMEN TOTAL'!W326</f>
        <v>0</v>
      </c>
      <c r="P323">
        <f>'RESUMEN TOTAL'!X326</f>
        <v>0</v>
      </c>
      <c r="Q323">
        <f>'RESUMEN TOTAL'!Y326</f>
        <v>0</v>
      </c>
      <c r="R323">
        <f>'RESUMEN TOTAL'!Z326</f>
        <v>0</v>
      </c>
      <c r="S323">
        <f>'RESUMEN TOTAL'!AA326</f>
        <v>0</v>
      </c>
      <c r="T323">
        <f>'RESUMEN TOTAL'!AB326</f>
        <v>0</v>
      </c>
      <c r="U323">
        <f>'RESUMEN TOTAL'!AC326</f>
        <v>0</v>
      </c>
      <c r="V323">
        <f>'RESUMEN TOTAL'!AD326</f>
        <v>0</v>
      </c>
      <c r="W323">
        <f>'RESUMEN TOTAL'!AE326</f>
        <v>0</v>
      </c>
      <c r="X323">
        <f>'RESUMEN TOTAL'!AF326</f>
        <v>0</v>
      </c>
      <c r="Y323">
        <f>'RESUMEN TOTAL'!AG326</f>
        <v>0</v>
      </c>
      <c r="Z323">
        <f>'RESUMEN TOTAL'!AH326</f>
        <v>0</v>
      </c>
      <c r="AA323">
        <f>'RESUMEN TOTAL'!AI326</f>
        <v>0</v>
      </c>
      <c r="AB323">
        <f>'RESUMEN TOTAL'!AJ326</f>
        <v>0</v>
      </c>
      <c r="AC323">
        <f>'RESUMEN TOTAL'!AK326</f>
        <v>0</v>
      </c>
      <c r="AD323">
        <f>'RESUMEN TOTAL'!AL326</f>
        <v>0</v>
      </c>
      <c r="AE323">
        <f>'RESUMEN TOTAL'!AM326</f>
        <v>0</v>
      </c>
      <c r="AF323">
        <f>'RESUMEN TOTAL'!AN326</f>
        <v>0</v>
      </c>
      <c r="AG323">
        <f>'RESUMEN TOTAL'!AO326</f>
        <v>0</v>
      </c>
    </row>
    <row r="324" spans="1:33" x14ac:dyDescent="0.25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TOTAL'!N327</f>
        <v>0</v>
      </c>
      <c r="G324">
        <f>'RESUMEN TOTAL'!O327</f>
        <v>0</v>
      </c>
      <c r="H324">
        <f>'RESUMEN TOTAL'!P327</f>
        <v>0</v>
      </c>
      <c r="I324">
        <f>'RESUMEN TOTAL'!Q327</f>
        <v>0</v>
      </c>
      <c r="J324">
        <f>'RESUMEN TOTAL'!R327</f>
        <v>0</v>
      </c>
      <c r="K324">
        <f>'RESUMEN TOTAL'!S327</f>
        <v>0</v>
      </c>
      <c r="L324">
        <f>'RESUMEN TOTAL'!T327</f>
        <v>0</v>
      </c>
      <c r="M324">
        <f>'RESUMEN TOTAL'!U327</f>
        <v>0</v>
      </c>
      <c r="N324">
        <f>'RESUMEN TOTAL'!V327</f>
        <v>0</v>
      </c>
      <c r="O324">
        <f>'RESUMEN TOTAL'!W327</f>
        <v>0</v>
      </c>
      <c r="P324">
        <f>'RESUMEN TOTAL'!X327</f>
        <v>0</v>
      </c>
      <c r="Q324">
        <f>'RESUMEN TOTAL'!Y327</f>
        <v>0</v>
      </c>
      <c r="R324">
        <f>'RESUMEN TOTAL'!Z327</f>
        <v>0</v>
      </c>
      <c r="S324">
        <f>'RESUMEN TOTAL'!AA327</f>
        <v>0</v>
      </c>
      <c r="T324">
        <f>'RESUMEN TOTAL'!AB327</f>
        <v>0</v>
      </c>
      <c r="U324">
        <f>'RESUMEN TOTAL'!AC327</f>
        <v>0</v>
      </c>
      <c r="V324">
        <f>'RESUMEN TOTAL'!AD327</f>
        <v>0</v>
      </c>
      <c r="W324">
        <f>'RESUMEN TOTAL'!AE327</f>
        <v>0</v>
      </c>
      <c r="X324">
        <f>'RESUMEN TOTAL'!AF327</f>
        <v>0</v>
      </c>
      <c r="Y324">
        <f>'RESUMEN TOTAL'!AG327</f>
        <v>0</v>
      </c>
      <c r="Z324">
        <f>'RESUMEN TOTAL'!AH327</f>
        <v>0</v>
      </c>
      <c r="AA324">
        <f>'RESUMEN TOTAL'!AI327</f>
        <v>0</v>
      </c>
      <c r="AB324">
        <f>'RESUMEN TOTAL'!AJ327</f>
        <v>0</v>
      </c>
      <c r="AC324">
        <f>'RESUMEN TOTAL'!AK327</f>
        <v>0</v>
      </c>
      <c r="AD324">
        <f>'RESUMEN TOTAL'!AL327</f>
        <v>0</v>
      </c>
      <c r="AE324">
        <f>'RESUMEN TOTAL'!AM327</f>
        <v>0</v>
      </c>
      <c r="AF324">
        <f>'RESUMEN TOTAL'!AN327</f>
        <v>0</v>
      </c>
      <c r="AG324">
        <f>'RESUMEN TOTAL'!AO327</f>
        <v>0</v>
      </c>
    </row>
    <row r="325" spans="1:33" x14ac:dyDescent="0.25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TOTAL'!N328</f>
        <v>0</v>
      </c>
      <c r="G325" t="str">
        <f>'RESUMEN TOTAL'!O328</f>
        <v>APAGADO</v>
      </c>
      <c r="H325" t="str">
        <f>'RESUMEN TOTAL'!P328</f>
        <v>APAGADO</v>
      </c>
      <c r="I325" t="str">
        <f>'RESUMEN TOTAL'!Q328</f>
        <v>APAGADO</v>
      </c>
      <c r="J325" t="str">
        <f>'RESUMEN TOTAL'!R328</f>
        <v>APAGADO</v>
      </c>
      <c r="K325" t="str">
        <f>'RESUMEN TOTAL'!S328</f>
        <v>APAGADO</v>
      </c>
      <c r="L325" t="str">
        <f>'RESUMEN TOTAL'!T328</f>
        <v>APAGADO</v>
      </c>
      <c r="M325">
        <f>'RESUMEN TOTAL'!U328</f>
        <v>0</v>
      </c>
      <c r="N325">
        <f>'RESUMEN TOTAL'!V328</f>
        <v>0</v>
      </c>
      <c r="O325">
        <f>'RESUMEN TOTAL'!W328</f>
        <v>0</v>
      </c>
      <c r="P325">
        <f>'RESUMEN TOTAL'!X328</f>
        <v>0</v>
      </c>
      <c r="Q325">
        <f>'RESUMEN TOTAL'!Y328</f>
        <v>0</v>
      </c>
      <c r="R325">
        <f>'RESUMEN TOTAL'!Z328</f>
        <v>0</v>
      </c>
      <c r="S325">
        <f>'RESUMEN TOTAL'!AA328</f>
        <v>0</v>
      </c>
      <c r="T325">
        <f>'RESUMEN TOTAL'!AB328</f>
        <v>0</v>
      </c>
      <c r="U325">
        <f>'RESUMEN TOTAL'!AC328</f>
        <v>0</v>
      </c>
      <c r="V325">
        <f>'RESUMEN TOTAL'!AD328</f>
        <v>0</v>
      </c>
      <c r="W325">
        <f>'RESUMEN TOTAL'!AE328</f>
        <v>0</v>
      </c>
      <c r="X325">
        <f>'RESUMEN TOTAL'!AF328</f>
        <v>0</v>
      </c>
      <c r="Y325">
        <f>'RESUMEN TOTAL'!AG328</f>
        <v>0</v>
      </c>
      <c r="Z325">
        <f>'RESUMEN TOTAL'!AH328</f>
        <v>0</v>
      </c>
      <c r="AA325">
        <f>'RESUMEN TOTAL'!AI328</f>
        <v>0</v>
      </c>
      <c r="AB325">
        <f>'RESUMEN TOTAL'!AJ328</f>
        <v>0</v>
      </c>
      <c r="AC325">
        <f>'RESUMEN TOTAL'!AK328</f>
        <v>0</v>
      </c>
      <c r="AD325">
        <f>'RESUMEN TOTAL'!AL328</f>
        <v>0</v>
      </c>
      <c r="AE325">
        <f>'RESUMEN TOTAL'!AM328</f>
        <v>0</v>
      </c>
      <c r="AF325">
        <f>'RESUMEN TOTAL'!AN328</f>
        <v>0</v>
      </c>
      <c r="AG325">
        <f>'RESUMEN TOTAL'!AO328</f>
        <v>0</v>
      </c>
    </row>
    <row r="326" spans="1:33" x14ac:dyDescent="0.25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TOTAL'!N329</f>
        <v>0</v>
      </c>
      <c r="G326" t="str">
        <f>'RESUMEN TOTAL'!O329</f>
        <v>APAGADO</v>
      </c>
      <c r="H326" t="str">
        <f>'RESUMEN TOTAL'!P329</f>
        <v>APAGADO</v>
      </c>
      <c r="I326" t="str">
        <f>'RESUMEN TOTAL'!Q329</f>
        <v>APAGADO</v>
      </c>
      <c r="J326" t="str">
        <f>'RESUMEN TOTAL'!R329</f>
        <v>APAGADO</v>
      </c>
      <c r="K326" t="str">
        <f>'RESUMEN TOTAL'!S329</f>
        <v>APAGADO</v>
      </c>
      <c r="L326" t="str">
        <f>'RESUMEN TOTAL'!T329</f>
        <v>APAGADO</v>
      </c>
      <c r="M326">
        <f>'RESUMEN TOTAL'!U329</f>
        <v>0</v>
      </c>
      <c r="N326">
        <f>'RESUMEN TOTAL'!V329</f>
        <v>0</v>
      </c>
      <c r="O326">
        <f>'RESUMEN TOTAL'!W329</f>
        <v>0</v>
      </c>
      <c r="P326">
        <f>'RESUMEN TOTAL'!X329</f>
        <v>0</v>
      </c>
      <c r="Q326">
        <f>'RESUMEN TOTAL'!Y329</f>
        <v>0</v>
      </c>
      <c r="R326">
        <f>'RESUMEN TOTAL'!Z329</f>
        <v>0</v>
      </c>
      <c r="S326">
        <f>'RESUMEN TOTAL'!AA329</f>
        <v>0</v>
      </c>
      <c r="T326">
        <f>'RESUMEN TOTAL'!AB329</f>
        <v>0</v>
      </c>
      <c r="U326">
        <f>'RESUMEN TOTAL'!AC329</f>
        <v>0</v>
      </c>
      <c r="V326">
        <f>'RESUMEN TOTAL'!AD329</f>
        <v>0</v>
      </c>
      <c r="W326">
        <f>'RESUMEN TOTAL'!AE329</f>
        <v>0</v>
      </c>
      <c r="X326">
        <f>'RESUMEN TOTAL'!AF329</f>
        <v>0</v>
      </c>
      <c r="Y326">
        <f>'RESUMEN TOTAL'!AG329</f>
        <v>0</v>
      </c>
      <c r="Z326">
        <f>'RESUMEN TOTAL'!AH329</f>
        <v>0</v>
      </c>
      <c r="AA326">
        <f>'RESUMEN TOTAL'!AI329</f>
        <v>0</v>
      </c>
      <c r="AB326">
        <f>'RESUMEN TOTAL'!AJ329</f>
        <v>0</v>
      </c>
      <c r="AC326">
        <f>'RESUMEN TOTAL'!AK329</f>
        <v>0</v>
      </c>
      <c r="AD326">
        <f>'RESUMEN TOTAL'!AL329</f>
        <v>0</v>
      </c>
      <c r="AE326">
        <f>'RESUMEN TOTAL'!AM329</f>
        <v>0</v>
      </c>
      <c r="AF326">
        <f>'RESUMEN TOTAL'!AN329</f>
        <v>0</v>
      </c>
      <c r="AG326">
        <f>'RESUMEN TOTAL'!AO329</f>
        <v>0</v>
      </c>
    </row>
    <row r="327" spans="1:33" x14ac:dyDescent="0.25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TOTAL'!N330</f>
        <v>0</v>
      </c>
      <c r="G327">
        <f>'RESUMEN TOTAL'!O330</f>
        <v>0</v>
      </c>
      <c r="H327">
        <f>'RESUMEN TOTAL'!P330</f>
        <v>0</v>
      </c>
      <c r="I327">
        <f>'RESUMEN TOTAL'!Q330</f>
        <v>0</v>
      </c>
      <c r="J327">
        <f>'RESUMEN TOTAL'!R330</f>
        <v>0</v>
      </c>
      <c r="K327">
        <f>'RESUMEN TOTAL'!S330</f>
        <v>0</v>
      </c>
      <c r="L327">
        <f>'RESUMEN TOTAL'!T330</f>
        <v>0</v>
      </c>
      <c r="M327">
        <f>'RESUMEN TOTAL'!U330</f>
        <v>0</v>
      </c>
      <c r="N327">
        <f>'RESUMEN TOTAL'!V330</f>
        <v>0</v>
      </c>
      <c r="O327">
        <f>'RESUMEN TOTAL'!W330</f>
        <v>0</v>
      </c>
      <c r="P327">
        <f>'RESUMEN TOTAL'!X330</f>
        <v>0</v>
      </c>
      <c r="Q327">
        <f>'RESUMEN TOTAL'!Y330</f>
        <v>0</v>
      </c>
      <c r="R327">
        <f>'RESUMEN TOTAL'!Z330</f>
        <v>0</v>
      </c>
      <c r="S327">
        <f>'RESUMEN TOTAL'!AA330</f>
        <v>0</v>
      </c>
      <c r="T327">
        <f>'RESUMEN TOTAL'!AB330</f>
        <v>0</v>
      </c>
      <c r="U327">
        <f>'RESUMEN TOTAL'!AC330</f>
        <v>0</v>
      </c>
      <c r="V327">
        <f>'RESUMEN TOTAL'!AD330</f>
        <v>0</v>
      </c>
      <c r="W327">
        <f>'RESUMEN TOTAL'!AE330</f>
        <v>0</v>
      </c>
      <c r="X327">
        <f>'RESUMEN TOTAL'!AF330</f>
        <v>0</v>
      </c>
      <c r="Y327">
        <f>'RESUMEN TOTAL'!AG330</f>
        <v>0</v>
      </c>
      <c r="Z327">
        <f>'RESUMEN TOTAL'!AH330</f>
        <v>0</v>
      </c>
      <c r="AA327">
        <f>'RESUMEN TOTAL'!AI330</f>
        <v>0</v>
      </c>
      <c r="AB327">
        <f>'RESUMEN TOTAL'!AJ330</f>
        <v>0</v>
      </c>
      <c r="AC327">
        <f>'RESUMEN TOTAL'!AK330</f>
        <v>0</v>
      </c>
      <c r="AD327">
        <f>'RESUMEN TOTAL'!AL330</f>
        <v>0</v>
      </c>
      <c r="AE327">
        <f>'RESUMEN TOTAL'!AM330</f>
        <v>0</v>
      </c>
      <c r="AF327">
        <f>'RESUMEN TOTAL'!AN330</f>
        <v>0</v>
      </c>
      <c r="AG327">
        <f>'RESUMEN TOTAL'!AO330</f>
        <v>0</v>
      </c>
    </row>
    <row r="328" spans="1:33" x14ac:dyDescent="0.25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 t="str">
        <f>'RESUMEN TOTAL'!N331</f>
        <v>APAGADO</v>
      </c>
      <c r="G328" t="str">
        <f>'RESUMEN TOTAL'!O331</f>
        <v>APAGADO</v>
      </c>
      <c r="H328" t="str">
        <f>'RESUMEN TOTAL'!P331</f>
        <v>APAGADO</v>
      </c>
      <c r="I328" t="str">
        <f>'RESUMEN TOTAL'!Q331</f>
        <v>APAGADO</v>
      </c>
      <c r="J328" t="str">
        <f>'RESUMEN TOTAL'!R331</f>
        <v>APAGADO</v>
      </c>
      <c r="K328" t="str">
        <f>'RESUMEN TOTAL'!S331</f>
        <v>APAGADO</v>
      </c>
      <c r="L328" t="str">
        <f>'RESUMEN TOTAL'!T331</f>
        <v>APAGADO</v>
      </c>
      <c r="M328">
        <f>'RESUMEN TOTAL'!U331</f>
        <v>0</v>
      </c>
      <c r="N328">
        <f>'RESUMEN TOTAL'!V331</f>
        <v>0</v>
      </c>
      <c r="O328">
        <f>'RESUMEN TOTAL'!W331</f>
        <v>0</v>
      </c>
      <c r="P328">
        <f>'RESUMEN TOTAL'!X331</f>
        <v>0</v>
      </c>
      <c r="Q328">
        <f>'RESUMEN TOTAL'!Y331</f>
        <v>0</v>
      </c>
      <c r="R328">
        <f>'RESUMEN TOTAL'!Z331</f>
        <v>0</v>
      </c>
      <c r="S328">
        <f>'RESUMEN TOTAL'!AA331</f>
        <v>0</v>
      </c>
      <c r="T328">
        <f>'RESUMEN TOTAL'!AB331</f>
        <v>0</v>
      </c>
      <c r="U328">
        <f>'RESUMEN TOTAL'!AC331</f>
        <v>0</v>
      </c>
      <c r="V328">
        <f>'RESUMEN TOTAL'!AD331</f>
        <v>0</v>
      </c>
      <c r="W328">
        <f>'RESUMEN TOTAL'!AE331</f>
        <v>0</v>
      </c>
      <c r="X328">
        <f>'RESUMEN TOTAL'!AF331</f>
        <v>0</v>
      </c>
      <c r="Y328">
        <f>'RESUMEN TOTAL'!AG331</f>
        <v>0</v>
      </c>
      <c r="Z328">
        <f>'RESUMEN TOTAL'!AH331</f>
        <v>0</v>
      </c>
      <c r="AA328">
        <f>'RESUMEN TOTAL'!AI331</f>
        <v>0</v>
      </c>
      <c r="AB328">
        <f>'RESUMEN TOTAL'!AJ331</f>
        <v>0</v>
      </c>
      <c r="AC328">
        <f>'RESUMEN TOTAL'!AK331</f>
        <v>0</v>
      </c>
      <c r="AD328">
        <f>'RESUMEN TOTAL'!AL331</f>
        <v>0</v>
      </c>
      <c r="AE328">
        <f>'RESUMEN TOTAL'!AM331</f>
        <v>0</v>
      </c>
      <c r="AF328">
        <f>'RESUMEN TOTAL'!AN331</f>
        <v>0</v>
      </c>
      <c r="AG328">
        <f>'RESUMEN TOTAL'!AO331</f>
        <v>0</v>
      </c>
    </row>
    <row r="329" spans="1:33" x14ac:dyDescent="0.25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TOTAL'!N332</f>
        <v>0</v>
      </c>
      <c r="G329">
        <f>'RESUMEN TOTAL'!O332</f>
        <v>0</v>
      </c>
      <c r="H329">
        <f>'RESUMEN TOTAL'!P332</f>
        <v>0</v>
      </c>
      <c r="I329">
        <f>'RESUMEN TOTAL'!Q332</f>
        <v>0</v>
      </c>
      <c r="J329">
        <f>'RESUMEN TOTAL'!R332</f>
        <v>0</v>
      </c>
      <c r="K329">
        <f>'RESUMEN TOTAL'!S332</f>
        <v>0</v>
      </c>
      <c r="L329">
        <f>'RESUMEN TOTAL'!T332</f>
        <v>0</v>
      </c>
      <c r="M329">
        <f>'RESUMEN TOTAL'!U332</f>
        <v>0</v>
      </c>
      <c r="N329">
        <f>'RESUMEN TOTAL'!V332</f>
        <v>0</v>
      </c>
      <c r="O329">
        <f>'RESUMEN TOTAL'!W332</f>
        <v>0</v>
      </c>
      <c r="P329">
        <f>'RESUMEN TOTAL'!X332</f>
        <v>0</v>
      </c>
      <c r="Q329">
        <f>'RESUMEN TOTAL'!Y332</f>
        <v>0</v>
      </c>
      <c r="R329">
        <f>'RESUMEN TOTAL'!Z332</f>
        <v>0</v>
      </c>
      <c r="S329">
        <f>'RESUMEN TOTAL'!AA332</f>
        <v>0</v>
      </c>
      <c r="T329">
        <f>'RESUMEN TOTAL'!AB332</f>
        <v>0</v>
      </c>
      <c r="U329">
        <f>'RESUMEN TOTAL'!AC332</f>
        <v>0</v>
      </c>
      <c r="V329">
        <f>'RESUMEN TOTAL'!AD332</f>
        <v>0</v>
      </c>
      <c r="W329">
        <f>'RESUMEN TOTAL'!AE332</f>
        <v>0</v>
      </c>
      <c r="X329">
        <f>'RESUMEN TOTAL'!AF332</f>
        <v>0</v>
      </c>
      <c r="Y329">
        <f>'RESUMEN TOTAL'!AG332</f>
        <v>0</v>
      </c>
      <c r="Z329">
        <f>'RESUMEN TOTAL'!AH332</f>
        <v>0</v>
      </c>
      <c r="AA329">
        <f>'RESUMEN TOTAL'!AI332</f>
        <v>0</v>
      </c>
      <c r="AB329">
        <f>'RESUMEN TOTAL'!AJ332</f>
        <v>0</v>
      </c>
      <c r="AC329">
        <f>'RESUMEN TOTAL'!AK332</f>
        <v>0</v>
      </c>
      <c r="AD329">
        <f>'RESUMEN TOTAL'!AL332</f>
        <v>0</v>
      </c>
      <c r="AE329">
        <f>'RESUMEN TOTAL'!AM332</f>
        <v>0</v>
      </c>
      <c r="AF329">
        <f>'RESUMEN TOTAL'!AN332</f>
        <v>0</v>
      </c>
      <c r="AG329">
        <f>'RESUMEN TOTAL'!AO332</f>
        <v>0</v>
      </c>
    </row>
    <row r="330" spans="1:33" x14ac:dyDescent="0.25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>
        <f>'RESUMEN TOTAL'!N333</f>
        <v>0</v>
      </c>
      <c r="G330">
        <f>'RESUMEN TOTAL'!O333</f>
        <v>0</v>
      </c>
      <c r="H330">
        <f>'RESUMEN TOTAL'!P333</f>
        <v>0</v>
      </c>
      <c r="I330">
        <f>'RESUMEN TOTAL'!Q333</f>
        <v>0</v>
      </c>
      <c r="J330">
        <f>'RESUMEN TOTAL'!R333</f>
        <v>0</v>
      </c>
      <c r="K330">
        <f>'RESUMEN TOTAL'!S333</f>
        <v>0</v>
      </c>
      <c r="L330">
        <f>'RESUMEN TOTAL'!T333</f>
        <v>0</v>
      </c>
      <c r="M330">
        <f>'RESUMEN TOTAL'!U333</f>
        <v>0</v>
      </c>
      <c r="N330">
        <f>'RESUMEN TOTAL'!V333</f>
        <v>0</v>
      </c>
      <c r="O330">
        <f>'RESUMEN TOTAL'!W333</f>
        <v>0</v>
      </c>
      <c r="P330">
        <f>'RESUMEN TOTAL'!X333</f>
        <v>0</v>
      </c>
      <c r="Q330">
        <f>'RESUMEN TOTAL'!Y333</f>
        <v>0</v>
      </c>
      <c r="R330">
        <f>'RESUMEN TOTAL'!Z333</f>
        <v>0</v>
      </c>
      <c r="S330">
        <f>'RESUMEN TOTAL'!AA333</f>
        <v>0</v>
      </c>
      <c r="T330">
        <f>'RESUMEN TOTAL'!AB333</f>
        <v>0</v>
      </c>
      <c r="U330">
        <f>'RESUMEN TOTAL'!AC333</f>
        <v>0</v>
      </c>
      <c r="V330">
        <f>'RESUMEN TOTAL'!AD333</f>
        <v>0</v>
      </c>
      <c r="W330">
        <f>'RESUMEN TOTAL'!AE333</f>
        <v>0</v>
      </c>
      <c r="X330">
        <f>'RESUMEN TOTAL'!AF333</f>
        <v>0</v>
      </c>
      <c r="Y330">
        <f>'RESUMEN TOTAL'!AG333</f>
        <v>0</v>
      </c>
      <c r="Z330">
        <f>'RESUMEN TOTAL'!AH333</f>
        <v>0</v>
      </c>
      <c r="AA330">
        <f>'RESUMEN TOTAL'!AI333</f>
        <v>0</v>
      </c>
      <c r="AB330">
        <f>'RESUMEN TOTAL'!AJ333</f>
        <v>0</v>
      </c>
      <c r="AC330">
        <f>'RESUMEN TOTAL'!AK333</f>
        <v>0</v>
      </c>
      <c r="AD330">
        <f>'RESUMEN TOTAL'!AL333</f>
        <v>0</v>
      </c>
      <c r="AE330">
        <f>'RESUMEN TOTAL'!AM333</f>
        <v>0</v>
      </c>
      <c r="AF330">
        <f>'RESUMEN TOTAL'!AN333</f>
        <v>0</v>
      </c>
      <c r="AG330">
        <f>'RESUMEN TOTAL'!AO333</f>
        <v>0</v>
      </c>
    </row>
    <row r="331" spans="1:33" x14ac:dyDescent="0.25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TOTAL'!N334</f>
        <v>0</v>
      </c>
      <c r="G331">
        <f>'RESUMEN TOTAL'!O334</f>
        <v>0</v>
      </c>
      <c r="H331">
        <f>'RESUMEN TOTAL'!P334</f>
        <v>0</v>
      </c>
      <c r="I331">
        <f>'RESUMEN TOTAL'!Q334</f>
        <v>0</v>
      </c>
      <c r="J331">
        <f>'RESUMEN TOTAL'!R334</f>
        <v>0</v>
      </c>
      <c r="K331">
        <f>'RESUMEN TOTAL'!S334</f>
        <v>0</v>
      </c>
      <c r="L331">
        <f>'RESUMEN TOTAL'!T334</f>
        <v>0</v>
      </c>
      <c r="M331">
        <f>'RESUMEN TOTAL'!U334</f>
        <v>0</v>
      </c>
      <c r="N331">
        <f>'RESUMEN TOTAL'!V334</f>
        <v>0</v>
      </c>
      <c r="O331">
        <f>'RESUMEN TOTAL'!W334</f>
        <v>0</v>
      </c>
      <c r="P331">
        <f>'RESUMEN TOTAL'!X334</f>
        <v>0</v>
      </c>
      <c r="Q331">
        <f>'RESUMEN TOTAL'!Y334</f>
        <v>0</v>
      </c>
      <c r="R331">
        <f>'RESUMEN TOTAL'!Z334</f>
        <v>0</v>
      </c>
      <c r="S331">
        <f>'RESUMEN TOTAL'!AA334</f>
        <v>0</v>
      </c>
      <c r="T331">
        <f>'RESUMEN TOTAL'!AB334</f>
        <v>0</v>
      </c>
      <c r="U331">
        <f>'RESUMEN TOTAL'!AC334</f>
        <v>0</v>
      </c>
      <c r="V331">
        <f>'RESUMEN TOTAL'!AD334</f>
        <v>0</v>
      </c>
      <c r="W331">
        <f>'RESUMEN TOTAL'!AE334</f>
        <v>0</v>
      </c>
      <c r="X331">
        <f>'RESUMEN TOTAL'!AF334</f>
        <v>0</v>
      </c>
      <c r="Y331">
        <f>'RESUMEN TOTAL'!AG334</f>
        <v>0</v>
      </c>
      <c r="Z331">
        <f>'RESUMEN TOTAL'!AH334</f>
        <v>0</v>
      </c>
      <c r="AA331">
        <f>'RESUMEN TOTAL'!AI334</f>
        <v>0</v>
      </c>
      <c r="AB331">
        <f>'RESUMEN TOTAL'!AJ334</f>
        <v>0</v>
      </c>
      <c r="AC331">
        <f>'RESUMEN TOTAL'!AK334</f>
        <v>0</v>
      </c>
      <c r="AD331">
        <f>'RESUMEN TOTAL'!AL334</f>
        <v>0</v>
      </c>
      <c r="AE331">
        <f>'RESUMEN TOTAL'!AM334</f>
        <v>0</v>
      </c>
      <c r="AF331">
        <f>'RESUMEN TOTAL'!AN334</f>
        <v>0</v>
      </c>
      <c r="AG331">
        <f>'RESUMEN TOTAL'!AO334</f>
        <v>0</v>
      </c>
    </row>
    <row r="332" spans="1:33" x14ac:dyDescent="0.25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>
        <f>'RESUMEN TOTAL'!N335</f>
        <v>0</v>
      </c>
      <c r="G332">
        <f>'RESUMEN TOTAL'!O335</f>
        <v>0</v>
      </c>
      <c r="H332">
        <f>'RESUMEN TOTAL'!P335</f>
        <v>0</v>
      </c>
      <c r="I332">
        <f>'RESUMEN TOTAL'!Q335</f>
        <v>0</v>
      </c>
      <c r="J332">
        <f>'RESUMEN TOTAL'!R335</f>
        <v>0</v>
      </c>
      <c r="K332">
        <f>'RESUMEN TOTAL'!S335</f>
        <v>0</v>
      </c>
      <c r="L332">
        <f>'RESUMEN TOTAL'!T335</f>
        <v>0</v>
      </c>
      <c r="M332">
        <f>'RESUMEN TOTAL'!U335</f>
        <v>0</v>
      </c>
      <c r="N332">
        <f>'RESUMEN TOTAL'!V335</f>
        <v>0</v>
      </c>
      <c r="O332">
        <f>'RESUMEN TOTAL'!W335</f>
        <v>0</v>
      </c>
      <c r="P332">
        <f>'RESUMEN TOTAL'!X335</f>
        <v>0</v>
      </c>
      <c r="Q332">
        <f>'RESUMEN TOTAL'!Y335</f>
        <v>0</v>
      </c>
      <c r="R332">
        <f>'RESUMEN TOTAL'!Z335</f>
        <v>0</v>
      </c>
      <c r="S332">
        <f>'RESUMEN TOTAL'!AA335</f>
        <v>0</v>
      </c>
      <c r="T332">
        <f>'RESUMEN TOTAL'!AB335</f>
        <v>0</v>
      </c>
      <c r="U332">
        <f>'RESUMEN TOTAL'!AC335</f>
        <v>0</v>
      </c>
      <c r="V332">
        <f>'RESUMEN TOTAL'!AD335</f>
        <v>0</v>
      </c>
      <c r="W332">
        <f>'RESUMEN TOTAL'!AE335</f>
        <v>0</v>
      </c>
      <c r="X332">
        <f>'RESUMEN TOTAL'!AF335</f>
        <v>0</v>
      </c>
      <c r="Y332">
        <f>'RESUMEN TOTAL'!AG335</f>
        <v>0</v>
      </c>
      <c r="Z332">
        <f>'RESUMEN TOTAL'!AH335</f>
        <v>0</v>
      </c>
      <c r="AA332">
        <f>'RESUMEN TOTAL'!AI335</f>
        <v>0</v>
      </c>
      <c r="AB332">
        <f>'RESUMEN TOTAL'!AJ335</f>
        <v>0</v>
      </c>
      <c r="AC332">
        <f>'RESUMEN TOTAL'!AK335</f>
        <v>0</v>
      </c>
      <c r="AD332">
        <f>'RESUMEN TOTAL'!AL335</f>
        <v>0</v>
      </c>
      <c r="AE332">
        <f>'RESUMEN TOTAL'!AM335</f>
        <v>0</v>
      </c>
      <c r="AF332">
        <f>'RESUMEN TOTAL'!AN335</f>
        <v>0</v>
      </c>
      <c r="AG332">
        <f>'RESUMEN TOTAL'!AO335</f>
        <v>0</v>
      </c>
    </row>
    <row r="333" spans="1:33" x14ac:dyDescent="0.25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>
        <f>'RESUMEN TOTAL'!N336</f>
        <v>0</v>
      </c>
      <c r="G333">
        <f>'RESUMEN TOTAL'!O336</f>
        <v>0</v>
      </c>
      <c r="H333">
        <f>'RESUMEN TOTAL'!P336</f>
        <v>0</v>
      </c>
      <c r="I333">
        <f>'RESUMEN TOTAL'!Q336</f>
        <v>0</v>
      </c>
      <c r="J333">
        <f>'RESUMEN TOTAL'!R336</f>
        <v>0</v>
      </c>
      <c r="K333">
        <f>'RESUMEN TOTAL'!S336</f>
        <v>0</v>
      </c>
      <c r="L333">
        <f>'RESUMEN TOTAL'!T336</f>
        <v>0</v>
      </c>
      <c r="M333">
        <f>'RESUMEN TOTAL'!U336</f>
        <v>0</v>
      </c>
      <c r="N333">
        <f>'RESUMEN TOTAL'!V336</f>
        <v>0</v>
      </c>
      <c r="O333">
        <f>'RESUMEN TOTAL'!W336</f>
        <v>0</v>
      </c>
      <c r="P333">
        <f>'RESUMEN TOTAL'!X336</f>
        <v>0</v>
      </c>
      <c r="Q333">
        <f>'RESUMEN TOTAL'!Y336</f>
        <v>0</v>
      </c>
      <c r="R333">
        <f>'RESUMEN TOTAL'!Z336</f>
        <v>0</v>
      </c>
      <c r="S333">
        <f>'RESUMEN TOTAL'!AA336</f>
        <v>0</v>
      </c>
      <c r="T333">
        <f>'RESUMEN TOTAL'!AB336</f>
        <v>0</v>
      </c>
      <c r="U333">
        <f>'RESUMEN TOTAL'!AC336</f>
        <v>0</v>
      </c>
      <c r="V333">
        <f>'RESUMEN TOTAL'!AD336</f>
        <v>0</v>
      </c>
      <c r="W333">
        <f>'RESUMEN TOTAL'!AE336</f>
        <v>0</v>
      </c>
      <c r="X333">
        <f>'RESUMEN TOTAL'!AF336</f>
        <v>0</v>
      </c>
      <c r="Y333">
        <f>'RESUMEN TOTAL'!AG336</f>
        <v>0</v>
      </c>
      <c r="Z333">
        <f>'RESUMEN TOTAL'!AH336</f>
        <v>0</v>
      </c>
      <c r="AA333">
        <f>'RESUMEN TOTAL'!AI336</f>
        <v>0</v>
      </c>
      <c r="AB333">
        <f>'RESUMEN TOTAL'!AJ336</f>
        <v>0</v>
      </c>
      <c r="AC333">
        <f>'RESUMEN TOTAL'!AK336</f>
        <v>0</v>
      </c>
      <c r="AD333">
        <f>'RESUMEN TOTAL'!AL336</f>
        <v>0</v>
      </c>
      <c r="AE333">
        <f>'RESUMEN TOTAL'!AM336</f>
        <v>0</v>
      </c>
      <c r="AF333">
        <f>'RESUMEN TOTAL'!AN336</f>
        <v>0</v>
      </c>
      <c r="AG333">
        <f>'RESUMEN TOTAL'!AO336</f>
        <v>0</v>
      </c>
    </row>
    <row r="334" spans="1:33" x14ac:dyDescent="0.25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TOTAL'!N337</f>
        <v>0</v>
      </c>
      <c r="G334">
        <f>'RESUMEN TOTAL'!O337</f>
        <v>0</v>
      </c>
      <c r="H334">
        <f>'RESUMEN TOTAL'!P337</f>
        <v>0</v>
      </c>
      <c r="I334">
        <f>'RESUMEN TOTAL'!Q337</f>
        <v>0</v>
      </c>
      <c r="J334">
        <f>'RESUMEN TOTAL'!R337</f>
        <v>0</v>
      </c>
      <c r="K334">
        <f>'RESUMEN TOTAL'!S337</f>
        <v>0</v>
      </c>
      <c r="L334">
        <f>'RESUMEN TOTAL'!T337</f>
        <v>0</v>
      </c>
      <c r="M334">
        <f>'RESUMEN TOTAL'!U337</f>
        <v>0</v>
      </c>
      <c r="N334">
        <f>'RESUMEN TOTAL'!V337</f>
        <v>0</v>
      </c>
      <c r="O334">
        <f>'RESUMEN TOTAL'!W337</f>
        <v>0</v>
      </c>
      <c r="P334">
        <f>'RESUMEN TOTAL'!X337</f>
        <v>0</v>
      </c>
      <c r="Q334">
        <f>'RESUMEN TOTAL'!Y337</f>
        <v>0</v>
      </c>
      <c r="R334">
        <f>'RESUMEN TOTAL'!Z337</f>
        <v>0</v>
      </c>
      <c r="S334">
        <f>'RESUMEN TOTAL'!AA337</f>
        <v>0</v>
      </c>
      <c r="T334">
        <f>'RESUMEN TOTAL'!AB337</f>
        <v>0</v>
      </c>
      <c r="U334">
        <f>'RESUMEN TOTAL'!AC337</f>
        <v>0</v>
      </c>
      <c r="V334">
        <f>'RESUMEN TOTAL'!AD337</f>
        <v>0</v>
      </c>
      <c r="W334">
        <f>'RESUMEN TOTAL'!AE337</f>
        <v>0</v>
      </c>
      <c r="X334">
        <f>'RESUMEN TOTAL'!AF337</f>
        <v>0</v>
      </c>
      <c r="Y334">
        <f>'RESUMEN TOTAL'!AG337</f>
        <v>0</v>
      </c>
      <c r="Z334">
        <f>'RESUMEN TOTAL'!AH337</f>
        <v>0</v>
      </c>
      <c r="AA334">
        <f>'RESUMEN TOTAL'!AI337</f>
        <v>0</v>
      </c>
      <c r="AB334">
        <f>'RESUMEN TOTAL'!AJ337</f>
        <v>0</v>
      </c>
      <c r="AC334">
        <f>'RESUMEN TOTAL'!AK337</f>
        <v>0</v>
      </c>
      <c r="AD334">
        <f>'RESUMEN TOTAL'!AL337</f>
        <v>0</v>
      </c>
      <c r="AE334">
        <f>'RESUMEN TOTAL'!AM337</f>
        <v>0</v>
      </c>
      <c r="AF334">
        <f>'RESUMEN TOTAL'!AN337</f>
        <v>0</v>
      </c>
      <c r="AG334">
        <f>'RESUMEN TOTAL'!AO337</f>
        <v>0</v>
      </c>
    </row>
    <row r="335" spans="1:33" x14ac:dyDescent="0.25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TOTAL'!N338</f>
        <v>0</v>
      </c>
      <c r="G335">
        <f>'RESUMEN TOTAL'!O338</f>
        <v>0</v>
      </c>
      <c r="H335">
        <f>'RESUMEN TOTAL'!P338</f>
        <v>0</v>
      </c>
      <c r="I335">
        <f>'RESUMEN TOTAL'!Q338</f>
        <v>0</v>
      </c>
      <c r="J335">
        <f>'RESUMEN TOTAL'!R338</f>
        <v>0</v>
      </c>
      <c r="K335">
        <f>'RESUMEN TOTAL'!S338</f>
        <v>0</v>
      </c>
      <c r="L335">
        <f>'RESUMEN TOTAL'!T338</f>
        <v>0</v>
      </c>
      <c r="M335">
        <f>'RESUMEN TOTAL'!U338</f>
        <v>0</v>
      </c>
      <c r="N335">
        <f>'RESUMEN TOTAL'!V338</f>
        <v>0</v>
      </c>
      <c r="O335">
        <f>'RESUMEN TOTAL'!W338</f>
        <v>0</v>
      </c>
      <c r="P335">
        <f>'RESUMEN TOTAL'!X338</f>
        <v>0</v>
      </c>
      <c r="Q335">
        <f>'RESUMEN TOTAL'!Y338</f>
        <v>0</v>
      </c>
      <c r="R335">
        <f>'RESUMEN TOTAL'!Z338</f>
        <v>0</v>
      </c>
      <c r="S335">
        <f>'RESUMEN TOTAL'!AA338</f>
        <v>0</v>
      </c>
      <c r="T335">
        <f>'RESUMEN TOTAL'!AB338</f>
        <v>0</v>
      </c>
      <c r="U335">
        <f>'RESUMEN TOTAL'!AC338</f>
        <v>0</v>
      </c>
      <c r="V335">
        <f>'RESUMEN TOTAL'!AD338</f>
        <v>0</v>
      </c>
      <c r="W335">
        <f>'RESUMEN TOTAL'!AE338</f>
        <v>0</v>
      </c>
      <c r="X335">
        <f>'RESUMEN TOTAL'!AF338</f>
        <v>0</v>
      </c>
      <c r="Y335">
        <f>'RESUMEN TOTAL'!AG338</f>
        <v>0</v>
      </c>
      <c r="Z335">
        <f>'RESUMEN TOTAL'!AH338</f>
        <v>0</v>
      </c>
      <c r="AA335">
        <f>'RESUMEN TOTAL'!AI338</f>
        <v>0</v>
      </c>
      <c r="AB335">
        <f>'RESUMEN TOTAL'!AJ338</f>
        <v>0</v>
      </c>
      <c r="AC335">
        <f>'RESUMEN TOTAL'!AK338</f>
        <v>0</v>
      </c>
      <c r="AD335">
        <f>'RESUMEN TOTAL'!AL338</f>
        <v>0</v>
      </c>
      <c r="AE335">
        <f>'RESUMEN TOTAL'!AM338</f>
        <v>0</v>
      </c>
      <c r="AF335">
        <f>'RESUMEN TOTAL'!AN338</f>
        <v>0</v>
      </c>
      <c r="AG335">
        <f>'RESUMEN TOTAL'!AO338</f>
        <v>0</v>
      </c>
    </row>
    <row r="336" spans="1:33" x14ac:dyDescent="0.25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TOTAL'!N339</f>
        <v>0</v>
      </c>
      <c r="G336">
        <f>'RESUMEN TOTAL'!O339</f>
        <v>0</v>
      </c>
      <c r="H336">
        <f>'RESUMEN TOTAL'!P339</f>
        <v>0</v>
      </c>
      <c r="I336">
        <f>'RESUMEN TOTAL'!Q339</f>
        <v>0</v>
      </c>
      <c r="J336">
        <f>'RESUMEN TOTAL'!R339</f>
        <v>0</v>
      </c>
      <c r="K336">
        <f>'RESUMEN TOTAL'!S339</f>
        <v>0</v>
      </c>
      <c r="L336">
        <f>'RESUMEN TOTAL'!T339</f>
        <v>0</v>
      </c>
      <c r="M336">
        <f>'RESUMEN TOTAL'!U339</f>
        <v>0</v>
      </c>
      <c r="N336">
        <f>'RESUMEN TOTAL'!V339</f>
        <v>0</v>
      </c>
      <c r="O336">
        <f>'RESUMEN TOTAL'!W339</f>
        <v>0</v>
      </c>
      <c r="P336">
        <f>'RESUMEN TOTAL'!X339</f>
        <v>0</v>
      </c>
      <c r="Q336">
        <f>'RESUMEN TOTAL'!Y339</f>
        <v>0</v>
      </c>
      <c r="R336">
        <f>'RESUMEN TOTAL'!Z339</f>
        <v>0</v>
      </c>
      <c r="S336">
        <f>'RESUMEN TOTAL'!AA339</f>
        <v>0</v>
      </c>
      <c r="T336">
        <f>'RESUMEN TOTAL'!AB339</f>
        <v>0</v>
      </c>
      <c r="U336">
        <f>'RESUMEN TOTAL'!AC339</f>
        <v>0</v>
      </c>
      <c r="V336">
        <f>'RESUMEN TOTAL'!AD339</f>
        <v>0</v>
      </c>
      <c r="W336">
        <f>'RESUMEN TOTAL'!AE339</f>
        <v>0</v>
      </c>
      <c r="X336">
        <f>'RESUMEN TOTAL'!AF339</f>
        <v>0</v>
      </c>
      <c r="Y336">
        <f>'RESUMEN TOTAL'!AG339</f>
        <v>0</v>
      </c>
      <c r="Z336">
        <f>'RESUMEN TOTAL'!AH339</f>
        <v>0</v>
      </c>
      <c r="AA336">
        <f>'RESUMEN TOTAL'!AI339</f>
        <v>0</v>
      </c>
      <c r="AB336">
        <f>'RESUMEN TOTAL'!AJ339</f>
        <v>0</v>
      </c>
      <c r="AC336">
        <f>'RESUMEN TOTAL'!AK339</f>
        <v>0</v>
      </c>
      <c r="AD336">
        <f>'RESUMEN TOTAL'!AL339</f>
        <v>0</v>
      </c>
      <c r="AE336">
        <f>'RESUMEN TOTAL'!AM339</f>
        <v>0</v>
      </c>
      <c r="AF336">
        <f>'RESUMEN TOTAL'!AN339</f>
        <v>0</v>
      </c>
      <c r="AG336">
        <f>'RESUMEN TOTAL'!AO339</f>
        <v>0</v>
      </c>
    </row>
    <row r="337" spans="1:33" x14ac:dyDescent="0.25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TOTAL'!N340</f>
        <v>0</v>
      </c>
      <c r="G337">
        <f>'RESUMEN TOTAL'!O340</f>
        <v>0</v>
      </c>
      <c r="H337">
        <f>'RESUMEN TOTAL'!P340</f>
        <v>0</v>
      </c>
      <c r="I337">
        <f>'RESUMEN TOTAL'!Q340</f>
        <v>0</v>
      </c>
      <c r="J337">
        <f>'RESUMEN TOTAL'!R340</f>
        <v>0</v>
      </c>
      <c r="K337">
        <f>'RESUMEN TOTAL'!S340</f>
        <v>0</v>
      </c>
      <c r="L337">
        <f>'RESUMEN TOTAL'!T340</f>
        <v>0</v>
      </c>
      <c r="M337">
        <f>'RESUMEN TOTAL'!U340</f>
        <v>0</v>
      </c>
      <c r="N337">
        <f>'RESUMEN TOTAL'!V340</f>
        <v>0</v>
      </c>
      <c r="O337">
        <f>'RESUMEN TOTAL'!W340</f>
        <v>0</v>
      </c>
      <c r="P337">
        <f>'RESUMEN TOTAL'!X340</f>
        <v>0</v>
      </c>
      <c r="Q337">
        <f>'RESUMEN TOTAL'!Y340</f>
        <v>0</v>
      </c>
      <c r="R337">
        <f>'RESUMEN TOTAL'!Z340</f>
        <v>0</v>
      </c>
      <c r="S337">
        <f>'RESUMEN TOTAL'!AA340</f>
        <v>0</v>
      </c>
      <c r="T337">
        <f>'RESUMEN TOTAL'!AB340</f>
        <v>0</v>
      </c>
      <c r="U337">
        <f>'RESUMEN TOTAL'!AC340</f>
        <v>0</v>
      </c>
      <c r="V337">
        <f>'RESUMEN TOTAL'!AD340</f>
        <v>0</v>
      </c>
      <c r="W337">
        <f>'RESUMEN TOTAL'!AE340</f>
        <v>0</v>
      </c>
      <c r="X337">
        <f>'RESUMEN TOTAL'!AF340</f>
        <v>0</v>
      </c>
      <c r="Y337">
        <f>'RESUMEN TOTAL'!AG340</f>
        <v>0</v>
      </c>
      <c r="Z337">
        <f>'RESUMEN TOTAL'!AH340</f>
        <v>0</v>
      </c>
      <c r="AA337">
        <f>'RESUMEN TOTAL'!AI340</f>
        <v>0</v>
      </c>
      <c r="AB337">
        <f>'RESUMEN TOTAL'!AJ340</f>
        <v>0</v>
      </c>
      <c r="AC337">
        <f>'RESUMEN TOTAL'!AK340</f>
        <v>0</v>
      </c>
      <c r="AD337">
        <f>'RESUMEN TOTAL'!AL340</f>
        <v>0</v>
      </c>
      <c r="AE337">
        <f>'RESUMEN TOTAL'!AM340</f>
        <v>0</v>
      </c>
      <c r="AF337">
        <f>'RESUMEN TOTAL'!AN340</f>
        <v>0</v>
      </c>
      <c r="AG337">
        <f>'RESUMEN TOTAL'!AO340</f>
        <v>0</v>
      </c>
    </row>
    <row r="338" spans="1:33" x14ac:dyDescent="0.25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PTP A FO</v>
      </c>
      <c r="F338">
        <f>'RESUMEN TOTAL'!N341</f>
        <v>0</v>
      </c>
      <c r="G338">
        <f>'RESUMEN TOTAL'!O341</f>
        <v>0</v>
      </c>
      <c r="H338">
        <f>'RESUMEN TOTAL'!P341</f>
        <v>0</v>
      </c>
      <c r="I338">
        <f>'RESUMEN TOTAL'!Q341</f>
        <v>0</v>
      </c>
      <c r="J338">
        <f>'RESUMEN TOTAL'!R341</f>
        <v>0</v>
      </c>
      <c r="K338">
        <f>'RESUMEN TOTAL'!S341</f>
        <v>0</v>
      </c>
      <c r="L338">
        <f>'RESUMEN TOTAL'!T341</f>
        <v>0</v>
      </c>
      <c r="M338">
        <f>'RESUMEN TOTAL'!U341</f>
        <v>0</v>
      </c>
      <c r="N338">
        <f>'RESUMEN TOTAL'!V341</f>
        <v>0</v>
      </c>
      <c r="O338">
        <f>'RESUMEN TOTAL'!W341</f>
        <v>0</v>
      </c>
      <c r="P338">
        <f>'RESUMEN TOTAL'!X341</f>
        <v>0</v>
      </c>
      <c r="Q338">
        <f>'RESUMEN TOTAL'!Y341</f>
        <v>0</v>
      </c>
      <c r="R338">
        <f>'RESUMEN TOTAL'!Z341</f>
        <v>0</v>
      </c>
      <c r="S338">
        <f>'RESUMEN TOTAL'!AA341</f>
        <v>0</v>
      </c>
      <c r="T338">
        <f>'RESUMEN TOTAL'!AB341</f>
        <v>0</v>
      </c>
      <c r="U338">
        <f>'RESUMEN TOTAL'!AC341</f>
        <v>0</v>
      </c>
      <c r="V338">
        <f>'RESUMEN TOTAL'!AD341</f>
        <v>0</v>
      </c>
      <c r="W338">
        <f>'RESUMEN TOTAL'!AE341</f>
        <v>0</v>
      </c>
      <c r="X338">
        <f>'RESUMEN TOTAL'!AF341</f>
        <v>0</v>
      </c>
      <c r="Y338">
        <f>'RESUMEN TOTAL'!AG341</f>
        <v>0</v>
      </c>
      <c r="Z338">
        <f>'RESUMEN TOTAL'!AH341</f>
        <v>0</v>
      </c>
      <c r="AA338">
        <f>'RESUMEN TOTAL'!AI341</f>
        <v>0</v>
      </c>
      <c r="AB338">
        <f>'RESUMEN TOTAL'!AJ341</f>
        <v>0</v>
      </c>
      <c r="AC338">
        <f>'RESUMEN TOTAL'!AK341</f>
        <v>0</v>
      </c>
      <c r="AD338">
        <f>'RESUMEN TOTAL'!AL341</f>
        <v>0</v>
      </c>
      <c r="AE338">
        <f>'RESUMEN TOTAL'!AM341</f>
        <v>0</v>
      </c>
      <c r="AF338">
        <f>'RESUMEN TOTAL'!AN341</f>
        <v>0</v>
      </c>
      <c r="AG338">
        <f>'RESUMEN TOTAL'!AO341</f>
        <v>0</v>
      </c>
    </row>
    <row r="339" spans="1:33" x14ac:dyDescent="0.25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TOTAL'!N342</f>
        <v>0</v>
      </c>
      <c r="G339">
        <f>'RESUMEN TOTAL'!O342</f>
        <v>0</v>
      </c>
      <c r="H339">
        <f>'RESUMEN TOTAL'!P342</f>
        <v>0</v>
      </c>
      <c r="I339">
        <f>'RESUMEN TOTAL'!Q342</f>
        <v>0</v>
      </c>
      <c r="J339">
        <f>'RESUMEN TOTAL'!R342</f>
        <v>0</v>
      </c>
      <c r="K339">
        <f>'RESUMEN TOTAL'!S342</f>
        <v>0</v>
      </c>
      <c r="L339">
        <f>'RESUMEN TOTAL'!T342</f>
        <v>0</v>
      </c>
      <c r="M339">
        <f>'RESUMEN TOTAL'!U342</f>
        <v>0</v>
      </c>
      <c r="N339">
        <f>'RESUMEN TOTAL'!V342</f>
        <v>0</v>
      </c>
      <c r="O339">
        <f>'RESUMEN TOTAL'!W342</f>
        <v>0</v>
      </c>
      <c r="P339">
        <f>'RESUMEN TOTAL'!X342</f>
        <v>0</v>
      </c>
      <c r="Q339">
        <f>'RESUMEN TOTAL'!Y342</f>
        <v>0</v>
      </c>
      <c r="R339">
        <f>'RESUMEN TOTAL'!Z342</f>
        <v>0</v>
      </c>
      <c r="S339">
        <f>'RESUMEN TOTAL'!AA342</f>
        <v>0</v>
      </c>
      <c r="T339">
        <f>'RESUMEN TOTAL'!AB342</f>
        <v>0</v>
      </c>
      <c r="U339">
        <f>'RESUMEN TOTAL'!AC342</f>
        <v>0</v>
      </c>
      <c r="V339">
        <f>'RESUMEN TOTAL'!AD342</f>
        <v>0</v>
      </c>
      <c r="W339">
        <f>'RESUMEN TOTAL'!AE342</f>
        <v>0</v>
      </c>
      <c r="X339">
        <f>'RESUMEN TOTAL'!AF342</f>
        <v>0</v>
      </c>
      <c r="Y339">
        <f>'RESUMEN TOTAL'!AG342</f>
        <v>0</v>
      </c>
      <c r="Z339">
        <f>'RESUMEN TOTAL'!AH342</f>
        <v>0</v>
      </c>
      <c r="AA339">
        <f>'RESUMEN TOTAL'!AI342</f>
        <v>0</v>
      </c>
      <c r="AB339">
        <f>'RESUMEN TOTAL'!AJ342</f>
        <v>0</v>
      </c>
      <c r="AC339">
        <f>'RESUMEN TOTAL'!AK342</f>
        <v>0</v>
      </c>
      <c r="AD339">
        <f>'RESUMEN TOTAL'!AL342</f>
        <v>0</v>
      </c>
      <c r="AE339">
        <f>'RESUMEN TOTAL'!AM342</f>
        <v>0</v>
      </c>
      <c r="AF339">
        <f>'RESUMEN TOTAL'!AN342</f>
        <v>0</v>
      </c>
      <c r="AG339">
        <f>'RESUMEN TOTAL'!AO342</f>
        <v>0</v>
      </c>
    </row>
    <row r="340" spans="1:33" x14ac:dyDescent="0.25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TOTAL'!N343</f>
        <v>0</v>
      </c>
      <c r="G340">
        <f>'RESUMEN TOTAL'!O343</f>
        <v>0</v>
      </c>
      <c r="H340">
        <f>'RESUMEN TOTAL'!P343</f>
        <v>0</v>
      </c>
      <c r="I340">
        <f>'RESUMEN TOTAL'!Q343</f>
        <v>0</v>
      </c>
      <c r="J340">
        <f>'RESUMEN TOTAL'!R343</f>
        <v>0</v>
      </c>
      <c r="K340">
        <f>'RESUMEN TOTAL'!S343</f>
        <v>0</v>
      </c>
      <c r="L340">
        <f>'RESUMEN TOTAL'!T343</f>
        <v>0</v>
      </c>
      <c r="M340">
        <f>'RESUMEN TOTAL'!U343</f>
        <v>0</v>
      </c>
      <c r="N340">
        <f>'RESUMEN TOTAL'!V343</f>
        <v>0</v>
      </c>
      <c r="O340">
        <f>'RESUMEN TOTAL'!W343</f>
        <v>0</v>
      </c>
      <c r="P340">
        <f>'RESUMEN TOTAL'!X343</f>
        <v>0</v>
      </c>
      <c r="Q340">
        <f>'RESUMEN TOTAL'!Y343</f>
        <v>0</v>
      </c>
      <c r="R340">
        <f>'RESUMEN TOTAL'!Z343</f>
        <v>0</v>
      </c>
      <c r="S340">
        <f>'RESUMEN TOTAL'!AA343</f>
        <v>0</v>
      </c>
      <c r="T340">
        <f>'RESUMEN TOTAL'!AB343</f>
        <v>0</v>
      </c>
      <c r="U340">
        <f>'RESUMEN TOTAL'!AC343</f>
        <v>0</v>
      </c>
      <c r="V340">
        <f>'RESUMEN TOTAL'!AD343</f>
        <v>0</v>
      </c>
      <c r="W340">
        <f>'RESUMEN TOTAL'!AE343</f>
        <v>0</v>
      </c>
      <c r="X340">
        <f>'RESUMEN TOTAL'!AF343</f>
        <v>0</v>
      </c>
      <c r="Y340">
        <f>'RESUMEN TOTAL'!AG343</f>
        <v>0</v>
      </c>
      <c r="Z340">
        <f>'RESUMEN TOTAL'!AH343</f>
        <v>0</v>
      </c>
      <c r="AA340">
        <f>'RESUMEN TOTAL'!AI343</f>
        <v>0</v>
      </c>
      <c r="AB340">
        <f>'RESUMEN TOTAL'!AJ343</f>
        <v>0</v>
      </c>
      <c r="AC340">
        <f>'RESUMEN TOTAL'!AK343</f>
        <v>0</v>
      </c>
      <c r="AD340">
        <f>'RESUMEN TOTAL'!AL343</f>
        <v>0</v>
      </c>
      <c r="AE340">
        <f>'RESUMEN TOTAL'!AM343</f>
        <v>0</v>
      </c>
      <c r="AF340">
        <f>'RESUMEN TOTAL'!AN343</f>
        <v>0</v>
      </c>
      <c r="AG340">
        <f>'RESUMEN TOTAL'!AO343</f>
        <v>0</v>
      </c>
    </row>
    <row r="341" spans="1:33" x14ac:dyDescent="0.25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TOTAL'!N344</f>
        <v>0</v>
      </c>
      <c r="G341">
        <f>'RESUMEN TOTAL'!O344</f>
        <v>0</v>
      </c>
      <c r="H341">
        <f>'RESUMEN TOTAL'!P344</f>
        <v>0</v>
      </c>
      <c r="I341">
        <f>'RESUMEN TOTAL'!Q344</f>
        <v>0</v>
      </c>
      <c r="J341">
        <f>'RESUMEN TOTAL'!R344</f>
        <v>0</v>
      </c>
      <c r="K341">
        <f>'RESUMEN TOTAL'!S344</f>
        <v>0</v>
      </c>
      <c r="L341">
        <f>'RESUMEN TOTAL'!T344</f>
        <v>0</v>
      </c>
      <c r="M341">
        <f>'RESUMEN TOTAL'!U344</f>
        <v>0</v>
      </c>
      <c r="N341">
        <f>'RESUMEN TOTAL'!V344</f>
        <v>0</v>
      </c>
      <c r="O341">
        <f>'RESUMEN TOTAL'!W344</f>
        <v>0</v>
      </c>
      <c r="P341">
        <f>'RESUMEN TOTAL'!X344</f>
        <v>0</v>
      </c>
      <c r="Q341">
        <f>'RESUMEN TOTAL'!Y344</f>
        <v>0</v>
      </c>
      <c r="R341">
        <f>'RESUMEN TOTAL'!Z344</f>
        <v>0</v>
      </c>
      <c r="S341">
        <f>'RESUMEN TOTAL'!AA344</f>
        <v>0</v>
      </c>
      <c r="T341">
        <f>'RESUMEN TOTAL'!AB344</f>
        <v>0</v>
      </c>
      <c r="U341">
        <f>'RESUMEN TOTAL'!AC344</f>
        <v>0</v>
      </c>
      <c r="V341">
        <f>'RESUMEN TOTAL'!AD344</f>
        <v>0</v>
      </c>
      <c r="W341">
        <f>'RESUMEN TOTAL'!AE344</f>
        <v>0</v>
      </c>
      <c r="X341">
        <f>'RESUMEN TOTAL'!AF344</f>
        <v>0</v>
      </c>
      <c r="Y341">
        <f>'RESUMEN TOTAL'!AG344</f>
        <v>0</v>
      </c>
      <c r="Z341">
        <f>'RESUMEN TOTAL'!AH344</f>
        <v>0</v>
      </c>
      <c r="AA341">
        <f>'RESUMEN TOTAL'!AI344</f>
        <v>0</v>
      </c>
      <c r="AB341">
        <f>'RESUMEN TOTAL'!AJ344</f>
        <v>0</v>
      </c>
      <c r="AC341">
        <f>'RESUMEN TOTAL'!AK344</f>
        <v>0</v>
      </c>
      <c r="AD341">
        <f>'RESUMEN TOTAL'!AL344</f>
        <v>0</v>
      </c>
      <c r="AE341">
        <f>'RESUMEN TOTAL'!AM344</f>
        <v>0</v>
      </c>
      <c r="AF341">
        <f>'RESUMEN TOTAL'!AN344</f>
        <v>0</v>
      </c>
      <c r="AG341">
        <f>'RESUMEN TOTAL'!AO344</f>
        <v>0</v>
      </c>
    </row>
    <row r="342" spans="1:33" x14ac:dyDescent="0.25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TOTAL'!N345</f>
        <v>APAGADO</v>
      </c>
      <c r="G342" t="str">
        <f>'RESUMEN TOTAL'!O345</f>
        <v>APAGADO</v>
      </c>
      <c r="H342" t="str">
        <f>'RESUMEN TOTAL'!P345</f>
        <v>APAGADO</v>
      </c>
      <c r="I342" t="str">
        <f>'RESUMEN TOTAL'!Q345</f>
        <v>APAGADO</v>
      </c>
      <c r="J342" t="str">
        <f>'RESUMEN TOTAL'!R345</f>
        <v>APAGADO</v>
      </c>
      <c r="K342" t="str">
        <f>'RESUMEN TOTAL'!S345</f>
        <v>APAGADO</v>
      </c>
      <c r="L342" t="str">
        <f>'RESUMEN TOTAL'!T345</f>
        <v>APAGADO</v>
      </c>
      <c r="M342">
        <f>'RESUMEN TOTAL'!U345</f>
        <v>0</v>
      </c>
      <c r="N342">
        <f>'RESUMEN TOTAL'!V345</f>
        <v>0</v>
      </c>
      <c r="O342">
        <f>'RESUMEN TOTAL'!W345</f>
        <v>0</v>
      </c>
      <c r="P342">
        <f>'RESUMEN TOTAL'!X345</f>
        <v>0</v>
      </c>
      <c r="Q342">
        <f>'RESUMEN TOTAL'!Y345</f>
        <v>0</v>
      </c>
      <c r="R342">
        <f>'RESUMEN TOTAL'!Z345</f>
        <v>0</v>
      </c>
      <c r="S342">
        <f>'RESUMEN TOTAL'!AA345</f>
        <v>0</v>
      </c>
      <c r="T342">
        <f>'RESUMEN TOTAL'!AB345</f>
        <v>0</v>
      </c>
      <c r="U342">
        <f>'RESUMEN TOTAL'!AC345</f>
        <v>0</v>
      </c>
      <c r="V342">
        <f>'RESUMEN TOTAL'!AD345</f>
        <v>0</v>
      </c>
      <c r="W342">
        <f>'RESUMEN TOTAL'!AE345</f>
        <v>0</v>
      </c>
      <c r="X342">
        <f>'RESUMEN TOTAL'!AF345</f>
        <v>0</v>
      </c>
      <c r="Y342">
        <f>'RESUMEN TOTAL'!AG345</f>
        <v>0</v>
      </c>
      <c r="Z342">
        <f>'RESUMEN TOTAL'!AH345</f>
        <v>0</v>
      </c>
      <c r="AA342">
        <f>'RESUMEN TOTAL'!AI345</f>
        <v>0</v>
      </c>
      <c r="AB342">
        <f>'RESUMEN TOTAL'!AJ345</f>
        <v>0</v>
      </c>
      <c r="AC342">
        <f>'RESUMEN TOTAL'!AK345</f>
        <v>0</v>
      </c>
      <c r="AD342">
        <f>'RESUMEN TOTAL'!AL345</f>
        <v>0</v>
      </c>
      <c r="AE342">
        <f>'RESUMEN TOTAL'!AM345</f>
        <v>0</v>
      </c>
      <c r="AF342">
        <f>'RESUMEN TOTAL'!AN345</f>
        <v>0</v>
      </c>
      <c r="AG342">
        <f>'RESUMEN TOTAL'!AO345</f>
        <v>0</v>
      </c>
    </row>
    <row r="343" spans="1:33" x14ac:dyDescent="0.25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TOTAL'!N346</f>
        <v>APAGADO</v>
      </c>
      <c r="G343" t="str">
        <f>'RESUMEN TOTAL'!O346</f>
        <v>APAGADO</v>
      </c>
      <c r="H343" t="str">
        <f>'RESUMEN TOTAL'!P346</f>
        <v>APAGADO</v>
      </c>
      <c r="I343" t="str">
        <f>'RESUMEN TOTAL'!Q346</f>
        <v>APAGADO</v>
      </c>
      <c r="J343" t="str">
        <f>'RESUMEN TOTAL'!R346</f>
        <v>APAGADO</v>
      </c>
      <c r="K343" t="str">
        <f>'RESUMEN TOTAL'!S346</f>
        <v>APAGADO</v>
      </c>
      <c r="L343" t="str">
        <f>'RESUMEN TOTAL'!T346</f>
        <v>APAGADO</v>
      </c>
      <c r="M343">
        <f>'RESUMEN TOTAL'!U346</f>
        <v>0</v>
      </c>
      <c r="N343">
        <f>'RESUMEN TOTAL'!V346</f>
        <v>0</v>
      </c>
      <c r="O343">
        <f>'RESUMEN TOTAL'!W346</f>
        <v>0</v>
      </c>
      <c r="P343">
        <f>'RESUMEN TOTAL'!X346</f>
        <v>0</v>
      </c>
      <c r="Q343">
        <f>'RESUMEN TOTAL'!Y346</f>
        <v>0</v>
      </c>
      <c r="R343">
        <f>'RESUMEN TOTAL'!Z346</f>
        <v>0</v>
      </c>
      <c r="S343">
        <f>'RESUMEN TOTAL'!AA346</f>
        <v>0</v>
      </c>
      <c r="T343">
        <f>'RESUMEN TOTAL'!AB346</f>
        <v>0</v>
      </c>
      <c r="U343">
        <f>'RESUMEN TOTAL'!AC346</f>
        <v>0</v>
      </c>
      <c r="V343">
        <f>'RESUMEN TOTAL'!AD346</f>
        <v>0</v>
      </c>
      <c r="W343">
        <f>'RESUMEN TOTAL'!AE346</f>
        <v>0</v>
      </c>
      <c r="X343">
        <f>'RESUMEN TOTAL'!AF346</f>
        <v>0</v>
      </c>
      <c r="Y343">
        <f>'RESUMEN TOTAL'!AG346</f>
        <v>0</v>
      </c>
      <c r="Z343">
        <f>'RESUMEN TOTAL'!AH346</f>
        <v>0</v>
      </c>
      <c r="AA343">
        <f>'RESUMEN TOTAL'!AI346</f>
        <v>0</v>
      </c>
      <c r="AB343">
        <f>'RESUMEN TOTAL'!AJ346</f>
        <v>0</v>
      </c>
      <c r="AC343">
        <f>'RESUMEN TOTAL'!AK346</f>
        <v>0</v>
      </c>
      <c r="AD343">
        <f>'RESUMEN TOTAL'!AL346</f>
        <v>0</v>
      </c>
      <c r="AE343">
        <f>'RESUMEN TOTAL'!AM346</f>
        <v>0</v>
      </c>
      <c r="AF343">
        <f>'RESUMEN TOTAL'!AN346</f>
        <v>0</v>
      </c>
      <c r="AG343">
        <f>'RESUMEN TOTAL'!AO346</f>
        <v>0</v>
      </c>
    </row>
    <row r="344" spans="1:33" x14ac:dyDescent="0.25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TOTAL'!N347</f>
        <v>APAGADO</v>
      </c>
      <c r="G344" t="str">
        <f>'RESUMEN TOTAL'!O347</f>
        <v>APAGADO</v>
      </c>
      <c r="H344" t="str">
        <f>'RESUMEN TOTAL'!P347</f>
        <v>APAGADO</v>
      </c>
      <c r="I344" t="str">
        <f>'RESUMEN TOTAL'!Q347</f>
        <v>APAGADO</v>
      </c>
      <c r="J344" t="str">
        <f>'RESUMEN TOTAL'!R347</f>
        <v>APAGADO</v>
      </c>
      <c r="K344" t="str">
        <f>'RESUMEN TOTAL'!S347</f>
        <v>APAGADO</v>
      </c>
      <c r="L344" t="str">
        <f>'RESUMEN TOTAL'!T347</f>
        <v>APAGADO</v>
      </c>
      <c r="M344">
        <f>'RESUMEN TOTAL'!U347</f>
        <v>0</v>
      </c>
      <c r="N344">
        <f>'RESUMEN TOTAL'!V347</f>
        <v>0</v>
      </c>
      <c r="O344">
        <f>'RESUMEN TOTAL'!W347</f>
        <v>0</v>
      </c>
      <c r="P344">
        <f>'RESUMEN TOTAL'!X347</f>
        <v>0</v>
      </c>
      <c r="Q344">
        <f>'RESUMEN TOTAL'!Y347</f>
        <v>0</v>
      </c>
      <c r="R344">
        <f>'RESUMEN TOTAL'!Z347</f>
        <v>0</v>
      </c>
      <c r="S344">
        <f>'RESUMEN TOTAL'!AA347</f>
        <v>0</v>
      </c>
      <c r="T344">
        <f>'RESUMEN TOTAL'!AB347</f>
        <v>0</v>
      </c>
      <c r="U344">
        <f>'RESUMEN TOTAL'!AC347</f>
        <v>0</v>
      </c>
      <c r="V344">
        <f>'RESUMEN TOTAL'!AD347</f>
        <v>0</v>
      </c>
      <c r="W344">
        <f>'RESUMEN TOTAL'!AE347</f>
        <v>0</v>
      </c>
      <c r="X344">
        <f>'RESUMEN TOTAL'!AF347</f>
        <v>0</v>
      </c>
      <c r="Y344">
        <f>'RESUMEN TOTAL'!AG347</f>
        <v>0</v>
      </c>
      <c r="Z344">
        <f>'RESUMEN TOTAL'!AH347</f>
        <v>0</v>
      </c>
      <c r="AA344">
        <f>'RESUMEN TOTAL'!AI347</f>
        <v>0</v>
      </c>
      <c r="AB344">
        <f>'RESUMEN TOTAL'!AJ347</f>
        <v>0</v>
      </c>
      <c r="AC344">
        <f>'RESUMEN TOTAL'!AK347</f>
        <v>0</v>
      </c>
      <c r="AD344">
        <f>'RESUMEN TOTAL'!AL347</f>
        <v>0</v>
      </c>
      <c r="AE344">
        <f>'RESUMEN TOTAL'!AM347</f>
        <v>0</v>
      </c>
      <c r="AF344">
        <f>'RESUMEN TOTAL'!AN347</f>
        <v>0</v>
      </c>
      <c r="AG344">
        <f>'RESUMEN TOTAL'!AO347</f>
        <v>0</v>
      </c>
    </row>
    <row r="345" spans="1:33" x14ac:dyDescent="0.25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TOTAL'!N348</f>
        <v>APAGADO</v>
      </c>
      <c r="G345" t="str">
        <f>'RESUMEN TOTAL'!O348</f>
        <v>APAGADO</v>
      </c>
      <c r="H345" t="str">
        <f>'RESUMEN TOTAL'!P348</f>
        <v>APAGADO</v>
      </c>
      <c r="I345" t="str">
        <f>'RESUMEN TOTAL'!Q348</f>
        <v>APAGADO</v>
      </c>
      <c r="J345">
        <f>'RESUMEN TOTAL'!R348</f>
        <v>0</v>
      </c>
      <c r="K345" t="str">
        <f>'RESUMEN TOTAL'!S348</f>
        <v>APAGADO</v>
      </c>
      <c r="L345" t="str">
        <f>'RESUMEN TOTAL'!T348</f>
        <v>APAGADO</v>
      </c>
      <c r="M345">
        <f>'RESUMEN TOTAL'!U348</f>
        <v>0</v>
      </c>
      <c r="N345">
        <f>'RESUMEN TOTAL'!V348</f>
        <v>0</v>
      </c>
      <c r="O345">
        <f>'RESUMEN TOTAL'!W348</f>
        <v>0</v>
      </c>
      <c r="P345">
        <f>'RESUMEN TOTAL'!X348</f>
        <v>0</v>
      </c>
      <c r="Q345">
        <f>'RESUMEN TOTAL'!Y348</f>
        <v>0</v>
      </c>
      <c r="R345">
        <f>'RESUMEN TOTAL'!Z348</f>
        <v>0</v>
      </c>
      <c r="S345">
        <f>'RESUMEN TOTAL'!AA348</f>
        <v>0</v>
      </c>
      <c r="T345">
        <f>'RESUMEN TOTAL'!AB348</f>
        <v>0</v>
      </c>
      <c r="U345">
        <f>'RESUMEN TOTAL'!AC348</f>
        <v>0</v>
      </c>
      <c r="V345">
        <f>'RESUMEN TOTAL'!AD348</f>
        <v>0</v>
      </c>
      <c r="W345">
        <f>'RESUMEN TOTAL'!AE348</f>
        <v>0</v>
      </c>
      <c r="X345">
        <f>'RESUMEN TOTAL'!AF348</f>
        <v>0</v>
      </c>
      <c r="Y345">
        <f>'RESUMEN TOTAL'!AG348</f>
        <v>0</v>
      </c>
      <c r="Z345">
        <f>'RESUMEN TOTAL'!AH348</f>
        <v>0</v>
      </c>
      <c r="AA345">
        <f>'RESUMEN TOTAL'!AI348</f>
        <v>0</v>
      </c>
      <c r="AB345">
        <f>'RESUMEN TOTAL'!AJ348</f>
        <v>0</v>
      </c>
      <c r="AC345">
        <f>'RESUMEN TOTAL'!AK348</f>
        <v>0</v>
      </c>
      <c r="AD345">
        <f>'RESUMEN TOTAL'!AL348</f>
        <v>0</v>
      </c>
      <c r="AE345">
        <f>'RESUMEN TOTAL'!AM348</f>
        <v>0</v>
      </c>
      <c r="AF345">
        <f>'RESUMEN TOTAL'!AN348</f>
        <v>0</v>
      </c>
      <c r="AG345">
        <f>'RESUMEN TOTAL'!AO348</f>
        <v>0</v>
      </c>
    </row>
    <row r="346" spans="1:33" x14ac:dyDescent="0.25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TOTAL'!N349</f>
        <v>APAGADO</v>
      </c>
      <c r="G346" t="str">
        <f>'RESUMEN TOTAL'!O349</f>
        <v>APAGADO</v>
      </c>
      <c r="H346" t="str">
        <f>'RESUMEN TOTAL'!P349</f>
        <v>APAGADO</v>
      </c>
      <c r="I346" t="str">
        <f>'RESUMEN TOTAL'!Q349</f>
        <v>APAGADO</v>
      </c>
      <c r="J346" t="str">
        <f>'RESUMEN TOTAL'!R349</f>
        <v>APAGADO</v>
      </c>
      <c r="K346" t="str">
        <f>'RESUMEN TOTAL'!S349</f>
        <v>APAGADO</v>
      </c>
      <c r="L346" t="str">
        <f>'RESUMEN TOTAL'!T349</f>
        <v>APAGADO</v>
      </c>
      <c r="M346">
        <f>'RESUMEN TOTAL'!U349</f>
        <v>0</v>
      </c>
      <c r="N346">
        <f>'RESUMEN TOTAL'!V349</f>
        <v>0</v>
      </c>
      <c r="O346">
        <f>'RESUMEN TOTAL'!W349</f>
        <v>0</v>
      </c>
      <c r="P346">
        <f>'RESUMEN TOTAL'!X349</f>
        <v>0</v>
      </c>
      <c r="Q346">
        <f>'RESUMEN TOTAL'!Y349</f>
        <v>0</v>
      </c>
      <c r="R346">
        <f>'RESUMEN TOTAL'!Z349</f>
        <v>0</v>
      </c>
      <c r="S346">
        <f>'RESUMEN TOTAL'!AA349</f>
        <v>0</v>
      </c>
      <c r="T346">
        <f>'RESUMEN TOTAL'!AB349</f>
        <v>0</v>
      </c>
      <c r="U346">
        <f>'RESUMEN TOTAL'!AC349</f>
        <v>0</v>
      </c>
      <c r="V346">
        <f>'RESUMEN TOTAL'!AD349</f>
        <v>0</v>
      </c>
      <c r="W346">
        <f>'RESUMEN TOTAL'!AE349</f>
        <v>0</v>
      </c>
      <c r="X346">
        <f>'RESUMEN TOTAL'!AF349</f>
        <v>0</v>
      </c>
      <c r="Y346">
        <f>'RESUMEN TOTAL'!AG349</f>
        <v>0</v>
      </c>
      <c r="Z346">
        <f>'RESUMEN TOTAL'!AH349</f>
        <v>0</v>
      </c>
      <c r="AA346">
        <f>'RESUMEN TOTAL'!AI349</f>
        <v>0</v>
      </c>
      <c r="AB346">
        <f>'RESUMEN TOTAL'!AJ349</f>
        <v>0</v>
      </c>
      <c r="AC346">
        <f>'RESUMEN TOTAL'!AK349</f>
        <v>0</v>
      </c>
      <c r="AD346">
        <f>'RESUMEN TOTAL'!AL349</f>
        <v>0</v>
      </c>
      <c r="AE346">
        <f>'RESUMEN TOTAL'!AM349</f>
        <v>0</v>
      </c>
      <c r="AF346">
        <f>'RESUMEN TOTAL'!AN349</f>
        <v>0</v>
      </c>
      <c r="AG346">
        <f>'RESUMEN TOTAL'!AO349</f>
        <v>0</v>
      </c>
    </row>
    <row r="347" spans="1:33" x14ac:dyDescent="0.25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TOTAL'!N350</f>
        <v>0</v>
      </c>
      <c r="G347">
        <f>'RESUMEN TOTAL'!O350</f>
        <v>0</v>
      </c>
      <c r="H347">
        <f>'RESUMEN TOTAL'!P350</f>
        <v>0</v>
      </c>
      <c r="I347">
        <f>'RESUMEN TOTAL'!Q350</f>
        <v>0</v>
      </c>
      <c r="J347">
        <f>'RESUMEN TOTAL'!R350</f>
        <v>0</v>
      </c>
      <c r="K347">
        <f>'RESUMEN TOTAL'!S350</f>
        <v>0</v>
      </c>
      <c r="L347">
        <f>'RESUMEN TOTAL'!T350</f>
        <v>0</v>
      </c>
      <c r="M347">
        <f>'RESUMEN TOTAL'!U350</f>
        <v>0</v>
      </c>
      <c r="N347">
        <f>'RESUMEN TOTAL'!V350</f>
        <v>0</v>
      </c>
      <c r="O347">
        <f>'RESUMEN TOTAL'!W350</f>
        <v>0</v>
      </c>
      <c r="P347">
        <f>'RESUMEN TOTAL'!X350</f>
        <v>0</v>
      </c>
      <c r="Q347">
        <f>'RESUMEN TOTAL'!Y350</f>
        <v>0</v>
      </c>
      <c r="R347">
        <f>'RESUMEN TOTAL'!Z350</f>
        <v>0</v>
      </c>
      <c r="S347">
        <f>'RESUMEN TOTAL'!AA350</f>
        <v>0</v>
      </c>
      <c r="T347">
        <f>'RESUMEN TOTAL'!AB350</f>
        <v>0</v>
      </c>
      <c r="U347">
        <f>'RESUMEN TOTAL'!AC350</f>
        <v>0</v>
      </c>
      <c r="V347">
        <f>'RESUMEN TOTAL'!AD350</f>
        <v>0</v>
      </c>
      <c r="W347">
        <f>'RESUMEN TOTAL'!AE350</f>
        <v>0</v>
      </c>
      <c r="X347">
        <f>'RESUMEN TOTAL'!AF350</f>
        <v>0</v>
      </c>
      <c r="Y347">
        <f>'RESUMEN TOTAL'!AG350</f>
        <v>0</v>
      </c>
      <c r="Z347">
        <f>'RESUMEN TOTAL'!AH350</f>
        <v>0</v>
      </c>
      <c r="AA347">
        <f>'RESUMEN TOTAL'!AI350</f>
        <v>0</v>
      </c>
      <c r="AB347">
        <f>'RESUMEN TOTAL'!AJ350</f>
        <v>0</v>
      </c>
      <c r="AC347">
        <f>'RESUMEN TOTAL'!AK350</f>
        <v>0</v>
      </c>
      <c r="AD347">
        <f>'RESUMEN TOTAL'!AL350</f>
        <v>0</v>
      </c>
      <c r="AE347">
        <f>'RESUMEN TOTAL'!AM350</f>
        <v>0</v>
      </c>
      <c r="AF347">
        <f>'RESUMEN TOTAL'!AN350</f>
        <v>0</v>
      </c>
      <c r="AG347">
        <f>'RESUMEN TOTAL'!AO350</f>
        <v>0</v>
      </c>
    </row>
    <row r="348" spans="1:33" x14ac:dyDescent="0.25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TOTAL'!N351</f>
        <v>0</v>
      </c>
      <c r="G348">
        <f>'RESUMEN TOTAL'!O351</f>
        <v>0</v>
      </c>
      <c r="H348">
        <f>'RESUMEN TOTAL'!P351</f>
        <v>0</v>
      </c>
      <c r="I348">
        <f>'RESUMEN TOTAL'!Q351</f>
        <v>0</v>
      </c>
      <c r="J348">
        <f>'RESUMEN TOTAL'!R351</f>
        <v>0</v>
      </c>
      <c r="K348">
        <f>'RESUMEN TOTAL'!S351</f>
        <v>0</v>
      </c>
      <c r="L348">
        <f>'RESUMEN TOTAL'!T351</f>
        <v>0</v>
      </c>
      <c r="M348">
        <f>'RESUMEN TOTAL'!U351</f>
        <v>0</v>
      </c>
      <c r="N348">
        <f>'RESUMEN TOTAL'!V351</f>
        <v>0</v>
      </c>
      <c r="O348">
        <f>'RESUMEN TOTAL'!W351</f>
        <v>0</v>
      </c>
      <c r="P348">
        <f>'RESUMEN TOTAL'!X351</f>
        <v>0</v>
      </c>
      <c r="Q348">
        <f>'RESUMEN TOTAL'!Y351</f>
        <v>0</v>
      </c>
      <c r="R348">
        <f>'RESUMEN TOTAL'!Z351</f>
        <v>0</v>
      </c>
      <c r="S348">
        <f>'RESUMEN TOTAL'!AA351</f>
        <v>0</v>
      </c>
      <c r="T348">
        <f>'RESUMEN TOTAL'!AB351</f>
        <v>0</v>
      </c>
      <c r="U348">
        <f>'RESUMEN TOTAL'!AC351</f>
        <v>0</v>
      </c>
      <c r="V348">
        <f>'RESUMEN TOTAL'!AD351</f>
        <v>0</v>
      </c>
      <c r="W348">
        <f>'RESUMEN TOTAL'!AE351</f>
        <v>0</v>
      </c>
      <c r="X348">
        <f>'RESUMEN TOTAL'!AF351</f>
        <v>0</v>
      </c>
      <c r="Y348">
        <f>'RESUMEN TOTAL'!AG351</f>
        <v>0</v>
      </c>
      <c r="Z348">
        <f>'RESUMEN TOTAL'!AH351</f>
        <v>0</v>
      </c>
      <c r="AA348">
        <f>'RESUMEN TOTAL'!AI351</f>
        <v>0</v>
      </c>
      <c r="AB348">
        <f>'RESUMEN TOTAL'!AJ351</f>
        <v>0</v>
      </c>
      <c r="AC348">
        <f>'RESUMEN TOTAL'!AK351</f>
        <v>0</v>
      </c>
      <c r="AD348">
        <f>'RESUMEN TOTAL'!AL351</f>
        <v>0</v>
      </c>
      <c r="AE348">
        <f>'RESUMEN TOTAL'!AM351</f>
        <v>0</v>
      </c>
      <c r="AF348">
        <f>'RESUMEN TOTAL'!AN351</f>
        <v>0</v>
      </c>
      <c r="AG348">
        <f>'RESUMEN TOTAL'!AO351</f>
        <v>0</v>
      </c>
    </row>
    <row r="349" spans="1:33" x14ac:dyDescent="0.25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TOTAL'!N352</f>
        <v>0</v>
      </c>
      <c r="G349">
        <f>'RESUMEN TOTAL'!O352</f>
        <v>0</v>
      </c>
      <c r="H349">
        <f>'RESUMEN TOTAL'!P352</f>
        <v>0</v>
      </c>
      <c r="I349">
        <f>'RESUMEN TOTAL'!Q352</f>
        <v>0</v>
      </c>
      <c r="J349">
        <f>'RESUMEN TOTAL'!R352</f>
        <v>0</v>
      </c>
      <c r="K349">
        <f>'RESUMEN TOTAL'!S352</f>
        <v>0</v>
      </c>
      <c r="L349">
        <f>'RESUMEN TOTAL'!T352</f>
        <v>0</v>
      </c>
      <c r="M349">
        <f>'RESUMEN TOTAL'!U352</f>
        <v>0</v>
      </c>
      <c r="N349">
        <f>'RESUMEN TOTAL'!V352</f>
        <v>0</v>
      </c>
      <c r="O349">
        <f>'RESUMEN TOTAL'!W352</f>
        <v>0</v>
      </c>
      <c r="P349">
        <f>'RESUMEN TOTAL'!X352</f>
        <v>0</v>
      </c>
      <c r="Q349">
        <f>'RESUMEN TOTAL'!Y352</f>
        <v>0</v>
      </c>
      <c r="R349">
        <f>'RESUMEN TOTAL'!Z352</f>
        <v>0</v>
      </c>
      <c r="S349">
        <f>'RESUMEN TOTAL'!AA352</f>
        <v>0</v>
      </c>
      <c r="T349">
        <f>'RESUMEN TOTAL'!AB352</f>
        <v>0</v>
      </c>
      <c r="U349">
        <f>'RESUMEN TOTAL'!AC352</f>
        <v>0</v>
      </c>
      <c r="V349">
        <f>'RESUMEN TOTAL'!AD352</f>
        <v>0</v>
      </c>
      <c r="W349">
        <f>'RESUMEN TOTAL'!AE352</f>
        <v>0</v>
      </c>
      <c r="X349">
        <f>'RESUMEN TOTAL'!AF352</f>
        <v>0</v>
      </c>
      <c r="Y349">
        <f>'RESUMEN TOTAL'!AG352</f>
        <v>0</v>
      </c>
      <c r="Z349">
        <f>'RESUMEN TOTAL'!AH352</f>
        <v>0</v>
      </c>
      <c r="AA349">
        <f>'RESUMEN TOTAL'!AI352</f>
        <v>0</v>
      </c>
      <c r="AB349">
        <f>'RESUMEN TOTAL'!AJ352</f>
        <v>0</v>
      </c>
      <c r="AC349">
        <f>'RESUMEN TOTAL'!AK352</f>
        <v>0</v>
      </c>
      <c r="AD349">
        <f>'RESUMEN TOTAL'!AL352</f>
        <v>0</v>
      </c>
      <c r="AE349">
        <f>'RESUMEN TOTAL'!AM352</f>
        <v>0</v>
      </c>
      <c r="AF349">
        <f>'RESUMEN TOTAL'!AN352</f>
        <v>0</v>
      </c>
      <c r="AG349">
        <f>'RESUMEN TOTAL'!AO352</f>
        <v>0</v>
      </c>
    </row>
    <row r="350" spans="1:33" x14ac:dyDescent="0.25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>
        <f>'RESUMEN TOTAL'!N353</f>
        <v>0</v>
      </c>
      <c r="G350">
        <f>'RESUMEN TOTAL'!O353</f>
        <v>0</v>
      </c>
      <c r="H350">
        <f>'RESUMEN TOTAL'!P353</f>
        <v>0</v>
      </c>
      <c r="I350">
        <f>'RESUMEN TOTAL'!Q353</f>
        <v>0</v>
      </c>
      <c r="J350" t="str">
        <f>'RESUMEN TOTAL'!R353</f>
        <v>APAGADO</v>
      </c>
      <c r="K350" t="str">
        <f>'RESUMEN TOTAL'!S353</f>
        <v>APAGADO</v>
      </c>
      <c r="L350">
        <f>'RESUMEN TOTAL'!T353</f>
        <v>0</v>
      </c>
      <c r="M350">
        <f>'RESUMEN TOTAL'!U353</f>
        <v>0</v>
      </c>
      <c r="N350">
        <f>'RESUMEN TOTAL'!V353</f>
        <v>0</v>
      </c>
      <c r="O350">
        <f>'RESUMEN TOTAL'!W353</f>
        <v>0</v>
      </c>
      <c r="P350">
        <f>'RESUMEN TOTAL'!X353</f>
        <v>0</v>
      </c>
      <c r="Q350">
        <f>'RESUMEN TOTAL'!Y353</f>
        <v>0</v>
      </c>
      <c r="R350">
        <f>'RESUMEN TOTAL'!Z353</f>
        <v>0</v>
      </c>
      <c r="S350">
        <f>'RESUMEN TOTAL'!AA353</f>
        <v>0</v>
      </c>
      <c r="T350">
        <f>'RESUMEN TOTAL'!AB353</f>
        <v>0</v>
      </c>
      <c r="U350">
        <f>'RESUMEN TOTAL'!AC353</f>
        <v>0</v>
      </c>
      <c r="V350">
        <f>'RESUMEN TOTAL'!AD353</f>
        <v>0</v>
      </c>
      <c r="W350">
        <f>'RESUMEN TOTAL'!AE353</f>
        <v>0</v>
      </c>
      <c r="X350">
        <f>'RESUMEN TOTAL'!AF353</f>
        <v>0</v>
      </c>
      <c r="Y350">
        <f>'RESUMEN TOTAL'!AG353</f>
        <v>0</v>
      </c>
      <c r="Z350">
        <f>'RESUMEN TOTAL'!AH353</f>
        <v>0</v>
      </c>
      <c r="AA350">
        <f>'RESUMEN TOTAL'!AI353</f>
        <v>0</v>
      </c>
      <c r="AB350">
        <f>'RESUMEN TOTAL'!AJ353</f>
        <v>0</v>
      </c>
      <c r="AC350">
        <f>'RESUMEN TOTAL'!AK353</f>
        <v>0</v>
      </c>
      <c r="AD350">
        <f>'RESUMEN TOTAL'!AL353</f>
        <v>0</v>
      </c>
      <c r="AE350">
        <f>'RESUMEN TOTAL'!AM353</f>
        <v>0</v>
      </c>
      <c r="AF350">
        <f>'RESUMEN TOTAL'!AN353</f>
        <v>0</v>
      </c>
      <c r="AG350">
        <f>'RESUMEN TOTAL'!AO353</f>
        <v>0</v>
      </c>
    </row>
    <row r="351" spans="1:33" x14ac:dyDescent="0.25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TOTAL'!N354</f>
        <v>0</v>
      </c>
      <c r="G351">
        <f>'RESUMEN TOTAL'!O354</f>
        <v>0</v>
      </c>
      <c r="H351">
        <f>'RESUMEN TOTAL'!P354</f>
        <v>0</v>
      </c>
      <c r="I351">
        <f>'RESUMEN TOTAL'!Q354</f>
        <v>0</v>
      </c>
      <c r="J351">
        <f>'RESUMEN TOTAL'!R354</f>
        <v>0</v>
      </c>
      <c r="K351">
        <f>'RESUMEN TOTAL'!S354</f>
        <v>0</v>
      </c>
      <c r="L351">
        <f>'RESUMEN TOTAL'!T354</f>
        <v>0</v>
      </c>
      <c r="M351">
        <f>'RESUMEN TOTAL'!U354</f>
        <v>0</v>
      </c>
      <c r="N351">
        <f>'RESUMEN TOTAL'!V354</f>
        <v>0</v>
      </c>
      <c r="O351">
        <f>'RESUMEN TOTAL'!W354</f>
        <v>0</v>
      </c>
      <c r="P351">
        <f>'RESUMEN TOTAL'!X354</f>
        <v>0</v>
      </c>
      <c r="Q351">
        <f>'RESUMEN TOTAL'!Y354</f>
        <v>0</v>
      </c>
      <c r="R351">
        <f>'RESUMEN TOTAL'!Z354</f>
        <v>0</v>
      </c>
      <c r="S351">
        <f>'RESUMEN TOTAL'!AA354</f>
        <v>0</v>
      </c>
      <c r="T351">
        <f>'RESUMEN TOTAL'!AB354</f>
        <v>0</v>
      </c>
      <c r="U351">
        <f>'RESUMEN TOTAL'!AC354</f>
        <v>0</v>
      </c>
      <c r="V351">
        <f>'RESUMEN TOTAL'!AD354</f>
        <v>0</v>
      </c>
      <c r="W351">
        <f>'RESUMEN TOTAL'!AE354</f>
        <v>0</v>
      </c>
      <c r="X351">
        <f>'RESUMEN TOTAL'!AF354</f>
        <v>0</v>
      </c>
      <c r="Y351">
        <f>'RESUMEN TOTAL'!AG354</f>
        <v>0</v>
      </c>
      <c r="Z351">
        <f>'RESUMEN TOTAL'!AH354</f>
        <v>0</v>
      </c>
      <c r="AA351">
        <f>'RESUMEN TOTAL'!AI354</f>
        <v>0</v>
      </c>
      <c r="AB351">
        <f>'RESUMEN TOTAL'!AJ354</f>
        <v>0</v>
      </c>
      <c r="AC351">
        <f>'RESUMEN TOTAL'!AK354</f>
        <v>0</v>
      </c>
      <c r="AD351">
        <f>'RESUMEN TOTAL'!AL354</f>
        <v>0</v>
      </c>
      <c r="AE351">
        <f>'RESUMEN TOTAL'!AM354</f>
        <v>0</v>
      </c>
      <c r="AF351">
        <f>'RESUMEN TOTAL'!AN354</f>
        <v>0</v>
      </c>
      <c r="AG351">
        <f>'RESUMEN TOTAL'!AO354</f>
        <v>0</v>
      </c>
    </row>
    <row r="352" spans="1:33" x14ac:dyDescent="0.25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TOTAL'!N355</f>
        <v>0</v>
      </c>
      <c r="G352">
        <f>'RESUMEN TOTAL'!O355</f>
        <v>0</v>
      </c>
      <c r="H352">
        <f>'RESUMEN TOTAL'!P355</f>
        <v>0</v>
      </c>
      <c r="I352">
        <f>'RESUMEN TOTAL'!Q355</f>
        <v>0</v>
      </c>
      <c r="J352">
        <f>'RESUMEN TOTAL'!R355</f>
        <v>0</v>
      </c>
      <c r="K352">
        <f>'RESUMEN TOTAL'!S355</f>
        <v>0</v>
      </c>
      <c r="L352">
        <f>'RESUMEN TOTAL'!T355</f>
        <v>0</v>
      </c>
      <c r="M352">
        <f>'RESUMEN TOTAL'!U355</f>
        <v>0</v>
      </c>
      <c r="N352">
        <f>'RESUMEN TOTAL'!V355</f>
        <v>0</v>
      </c>
      <c r="O352">
        <f>'RESUMEN TOTAL'!W355</f>
        <v>0</v>
      </c>
      <c r="P352">
        <f>'RESUMEN TOTAL'!X355</f>
        <v>0</v>
      </c>
      <c r="Q352">
        <f>'RESUMEN TOTAL'!Y355</f>
        <v>0</v>
      </c>
      <c r="R352">
        <f>'RESUMEN TOTAL'!Z355</f>
        <v>0</v>
      </c>
      <c r="S352">
        <f>'RESUMEN TOTAL'!AA355</f>
        <v>0</v>
      </c>
      <c r="T352">
        <f>'RESUMEN TOTAL'!AB355</f>
        <v>0</v>
      </c>
      <c r="U352">
        <f>'RESUMEN TOTAL'!AC355</f>
        <v>0</v>
      </c>
      <c r="V352">
        <f>'RESUMEN TOTAL'!AD355</f>
        <v>0</v>
      </c>
      <c r="W352">
        <f>'RESUMEN TOTAL'!AE355</f>
        <v>0</v>
      </c>
      <c r="X352">
        <f>'RESUMEN TOTAL'!AF355</f>
        <v>0</v>
      </c>
      <c r="Y352">
        <f>'RESUMEN TOTAL'!AG355</f>
        <v>0</v>
      </c>
      <c r="Z352">
        <f>'RESUMEN TOTAL'!AH355</f>
        <v>0</v>
      </c>
      <c r="AA352">
        <f>'RESUMEN TOTAL'!AI355</f>
        <v>0</v>
      </c>
      <c r="AB352">
        <f>'RESUMEN TOTAL'!AJ355</f>
        <v>0</v>
      </c>
      <c r="AC352">
        <f>'RESUMEN TOTAL'!AK355</f>
        <v>0</v>
      </c>
      <c r="AD352">
        <f>'RESUMEN TOTAL'!AL355</f>
        <v>0</v>
      </c>
      <c r="AE352">
        <f>'RESUMEN TOTAL'!AM355</f>
        <v>0</v>
      </c>
      <c r="AF352">
        <f>'RESUMEN TOTAL'!AN355</f>
        <v>0</v>
      </c>
      <c r="AG352">
        <f>'RESUMEN TOTAL'!AO355</f>
        <v>0</v>
      </c>
    </row>
    <row r="353" spans="1:33" x14ac:dyDescent="0.25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TOTAL'!N356</f>
        <v>0</v>
      </c>
      <c r="G353">
        <f>'RESUMEN TOTAL'!O356</f>
        <v>0</v>
      </c>
      <c r="H353">
        <f>'RESUMEN TOTAL'!P356</f>
        <v>0</v>
      </c>
      <c r="I353">
        <f>'RESUMEN TOTAL'!Q356</f>
        <v>0</v>
      </c>
      <c r="J353">
        <f>'RESUMEN TOTAL'!R356</f>
        <v>0</v>
      </c>
      <c r="K353">
        <f>'RESUMEN TOTAL'!S356</f>
        <v>0</v>
      </c>
      <c r="L353">
        <f>'RESUMEN TOTAL'!T356</f>
        <v>0</v>
      </c>
      <c r="M353">
        <f>'RESUMEN TOTAL'!U356</f>
        <v>0</v>
      </c>
      <c r="N353">
        <f>'RESUMEN TOTAL'!V356</f>
        <v>0</v>
      </c>
      <c r="O353">
        <f>'RESUMEN TOTAL'!W356</f>
        <v>0</v>
      </c>
      <c r="P353">
        <f>'RESUMEN TOTAL'!X356</f>
        <v>0</v>
      </c>
      <c r="Q353">
        <f>'RESUMEN TOTAL'!Y356</f>
        <v>0</v>
      </c>
      <c r="R353">
        <f>'RESUMEN TOTAL'!Z356</f>
        <v>0</v>
      </c>
      <c r="S353">
        <f>'RESUMEN TOTAL'!AA356</f>
        <v>0</v>
      </c>
      <c r="T353">
        <f>'RESUMEN TOTAL'!AB356</f>
        <v>0</v>
      </c>
      <c r="U353">
        <f>'RESUMEN TOTAL'!AC356</f>
        <v>0</v>
      </c>
      <c r="V353">
        <f>'RESUMEN TOTAL'!AD356</f>
        <v>0</v>
      </c>
      <c r="W353">
        <f>'RESUMEN TOTAL'!AE356</f>
        <v>0</v>
      </c>
      <c r="X353">
        <f>'RESUMEN TOTAL'!AF356</f>
        <v>0</v>
      </c>
      <c r="Y353">
        <f>'RESUMEN TOTAL'!AG356</f>
        <v>0</v>
      </c>
      <c r="Z353">
        <f>'RESUMEN TOTAL'!AH356</f>
        <v>0</v>
      </c>
      <c r="AA353">
        <f>'RESUMEN TOTAL'!AI356</f>
        <v>0</v>
      </c>
      <c r="AB353">
        <f>'RESUMEN TOTAL'!AJ356</f>
        <v>0</v>
      </c>
      <c r="AC353">
        <f>'RESUMEN TOTAL'!AK356</f>
        <v>0</v>
      </c>
      <c r="AD353">
        <f>'RESUMEN TOTAL'!AL356</f>
        <v>0</v>
      </c>
      <c r="AE353">
        <f>'RESUMEN TOTAL'!AM356</f>
        <v>0</v>
      </c>
      <c r="AF353">
        <f>'RESUMEN TOTAL'!AN356</f>
        <v>0</v>
      </c>
      <c r="AG353">
        <f>'RESUMEN TOTAL'!AO356</f>
        <v>0</v>
      </c>
    </row>
    <row r="354" spans="1:33" x14ac:dyDescent="0.25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TOTAL'!N357</f>
        <v>0</v>
      </c>
      <c r="G354">
        <f>'RESUMEN TOTAL'!O357</f>
        <v>0</v>
      </c>
      <c r="H354">
        <f>'RESUMEN TOTAL'!P357</f>
        <v>0</v>
      </c>
      <c r="I354">
        <f>'RESUMEN TOTAL'!Q357</f>
        <v>0</v>
      </c>
      <c r="J354">
        <f>'RESUMEN TOTAL'!R357</f>
        <v>0</v>
      </c>
      <c r="K354">
        <f>'RESUMEN TOTAL'!S357</f>
        <v>0</v>
      </c>
      <c r="L354">
        <f>'RESUMEN TOTAL'!T357</f>
        <v>0</v>
      </c>
      <c r="M354">
        <f>'RESUMEN TOTAL'!U357</f>
        <v>0</v>
      </c>
      <c r="N354">
        <f>'RESUMEN TOTAL'!V357</f>
        <v>0</v>
      </c>
      <c r="O354">
        <f>'RESUMEN TOTAL'!W357</f>
        <v>0</v>
      </c>
      <c r="P354">
        <f>'RESUMEN TOTAL'!X357</f>
        <v>0</v>
      </c>
      <c r="Q354">
        <f>'RESUMEN TOTAL'!Y357</f>
        <v>0</v>
      </c>
      <c r="R354">
        <f>'RESUMEN TOTAL'!Z357</f>
        <v>0</v>
      </c>
      <c r="S354">
        <f>'RESUMEN TOTAL'!AA357</f>
        <v>0</v>
      </c>
      <c r="T354">
        <f>'RESUMEN TOTAL'!AB357</f>
        <v>0</v>
      </c>
      <c r="U354">
        <f>'RESUMEN TOTAL'!AC357</f>
        <v>0</v>
      </c>
      <c r="V354">
        <f>'RESUMEN TOTAL'!AD357</f>
        <v>0</v>
      </c>
      <c r="W354">
        <f>'RESUMEN TOTAL'!AE357</f>
        <v>0</v>
      </c>
      <c r="X354">
        <f>'RESUMEN TOTAL'!AF357</f>
        <v>0</v>
      </c>
      <c r="Y354">
        <f>'RESUMEN TOTAL'!AG357</f>
        <v>0</v>
      </c>
      <c r="Z354">
        <f>'RESUMEN TOTAL'!AH357</f>
        <v>0</v>
      </c>
      <c r="AA354">
        <f>'RESUMEN TOTAL'!AI357</f>
        <v>0</v>
      </c>
      <c r="AB354">
        <f>'RESUMEN TOTAL'!AJ357</f>
        <v>0</v>
      </c>
      <c r="AC354">
        <f>'RESUMEN TOTAL'!AK357</f>
        <v>0</v>
      </c>
      <c r="AD354">
        <f>'RESUMEN TOTAL'!AL357</f>
        <v>0</v>
      </c>
      <c r="AE354">
        <f>'RESUMEN TOTAL'!AM357</f>
        <v>0</v>
      </c>
      <c r="AF354">
        <f>'RESUMEN TOTAL'!AN357</f>
        <v>0</v>
      </c>
      <c r="AG354">
        <f>'RESUMEN TOTAL'!AO357</f>
        <v>0</v>
      </c>
    </row>
    <row r="355" spans="1:33" x14ac:dyDescent="0.25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TOTAL'!N358</f>
        <v>0</v>
      </c>
      <c r="G355">
        <f>'RESUMEN TOTAL'!O358</f>
        <v>0</v>
      </c>
      <c r="H355">
        <f>'RESUMEN TOTAL'!P358</f>
        <v>0</v>
      </c>
      <c r="I355">
        <f>'RESUMEN TOTAL'!Q358</f>
        <v>0</v>
      </c>
      <c r="J355">
        <f>'RESUMEN TOTAL'!R358</f>
        <v>0</v>
      </c>
      <c r="K355">
        <f>'RESUMEN TOTAL'!S358</f>
        <v>0</v>
      </c>
      <c r="L355">
        <f>'RESUMEN TOTAL'!T358</f>
        <v>0</v>
      </c>
      <c r="M355">
        <f>'RESUMEN TOTAL'!U358</f>
        <v>0</v>
      </c>
      <c r="N355">
        <f>'RESUMEN TOTAL'!V358</f>
        <v>0</v>
      </c>
      <c r="O355">
        <f>'RESUMEN TOTAL'!W358</f>
        <v>0</v>
      </c>
      <c r="P355">
        <f>'RESUMEN TOTAL'!X358</f>
        <v>0</v>
      </c>
      <c r="Q355">
        <f>'RESUMEN TOTAL'!Y358</f>
        <v>0</v>
      </c>
      <c r="R355">
        <f>'RESUMEN TOTAL'!Z358</f>
        <v>0</v>
      </c>
      <c r="S355">
        <f>'RESUMEN TOTAL'!AA358</f>
        <v>0</v>
      </c>
      <c r="T355">
        <f>'RESUMEN TOTAL'!AB358</f>
        <v>0</v>
      </c>
      <c r="U355">
        <f>'RESUMEN TOTAL'!AC358</f>
        <v>0</v>
      </c>
      <c r="V355">
        <f>'RESUMEN TOTAL'!AD358</f>
        <v>0</v>
      </c>
      <c r="W355">
        <f>'RESUMEN TOTAL'!AE358</f>
        <v>0</v>
      </c>
      <c r="X355">
        <f>'RESUMEN TOTAL'!AF358</f>
        <v>0</v>
      </c>
      <c r="Y355">
        <f>'RESUMEN TOTAL'!AG358</f>
        <v>0</v>
      </c>
      <c r="Z355">
        <f>'RESUMEN TOTAL'!AH358</f>
        <v>0</v>
      </c>
      <c r="AA355">
        <f>'RESUMEN TOTAL'!AI358</f>
        <v>0</v>
      </c>
      <c r="AB355">
        <f>'RESUMEN TOTAL'!AJ358</f>
        <v>0</v>
      </c>
      <c r="AC355">
        <f>'RESUMEN TOTAL'!AK358</f>
        <v>0</v>
      </c>
      <c r="AD355">
        <f>'RESUMEN TOTAL'!AL358</f>
        <v>0</v>
      </c>
      <c r="AE355">
        <f>'RESUMEN TOTAL'!AM358</f>
        <v>0</v>
      </c>
      <c r="AF355">
        <f>'RESUMEN TOTAL'!AN358</f>
        <v>0</v>
      </c>
      <c r="AG355">
        <f>'RESUMEN TOTAL'!AO358</f>
        <v>0</v>
      </c>
    </row>
    <row r="356" spans="1:33" x14ac:dyDescent="0.25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>
        <f>'RESUMEN TOTAL'!N359</f>
        <v>0</v>
      </c>
      <c r="G356">
        <f>'RESUMEN TOTAL'!O359</f>
        <v>0</v>
      </c>
      <c r="H356">
        <f>'RESUMEN TOTAL'!P359</f>
        <v>0</v>
      </c>
      <c r="I356">
        <f>'RESUMEN TOTAL'!Q359</f>
        <v>0</v>
      </c>
      <c r="J356">
        <f>'RESUMEN TOTAL'!R359</f>
        <v>0</v>
      </c>
      <c r="K356">
        <f>'RESUMEN TOTAL'!S359</f>
        <v>0</v>
      </c>
      <c r="L356">
        <f>'RESUMEN TOTAL'!T359</f>
        <v>0</v>
      </c>
      <c r="M356">
        <f>'RESUMEN TOTAL'!U359</f>
        <v>0</v>
      </c>
      <c r="N356">
        <f>'RESUMEN TOTAL'!V359</f>
        <v>0</v>
      </c>
      <c r="O356">
        <f>'RESUMEN TOTAL'!W359</f>
        <v>0</v>
      </c>
      <c r="P356">
        <f>'RESUMEN TOTAL'!X359</f>
        <v>0</v>
      </c>
      <c r="Q356">
        <f>'RESUMEN TOTAL'!Y359</f>
        <v>0</v>
      </c>
      <c r="R356">
        <f>'RESUMEN TOTAL'!Z359</f>
        <v>0</v>
      </c>
      <c r="S356">
        <f>'RESUMEN TOTAL'!AA359</f>
        <v>0</v>
      </c>
      <c r="T356">
        <f>'RESUMEN TOTAL'!AB359</f>
        <v>0</v>
      </c>
      <c r="U356">
        <f>'RESUMEN TOTAL'!AC359</f>
        <v>0</v>
      </c>
      <c r="V356">
        <f>'RESUMEN TOTAL'!AD359</f>
        <v>0</v>
      </c>
      <c r="W356">
        <f>'RESUMEN TOTAL'!AE359</f>
        <v>0</v>
      </c>
      <c r="X356">
        <f>'RESUMEN TOTAL'!AF359</f>
        <v>0</v>
      </c>
      <c r="Y356">
        <f>'RESUMEN TOTAL'!AG359</f>
        <v>0</v>
      </c>
      <c r="Z356">
        <f>'RESUMEN TOTAL'!AH359</f>
        <v>0</v>
      </c>
      <c r="AA356">
        <f>'RESUMEN TOTAL'!AI359</f>
        <v>0</v>
      </c>
      <c r="AB356">
        <f>'RESUMEN TOTAL'!AJ359</f>
        <v>0</v>
      </c>
      <c r="AC356">
        <f>'RESUMEN TOTAL'!AK359</f>
        <v>0</v>
      </c>
      <c r="AD356">
        <f>'RESUMEN TOTAL'!AL359</f>
        <v>0</v>
      </c>
      <c r="AE356">
        <f>'RESUMEN TOTAL'!AM359</f>
        <v>0</v>
      </c>
      <c r="AF356">
        <f>'RESUMEN TOTAL'!AN359</f>
        <v>0</v>
      </c>
      <c r="AG356">
        <f>'RESUMEN TOTAL'!AO359</f>
        <v>0</v>
      </c>
    </row>
    <row r="357" spans="1:33" x14ac:dyDescent="0.25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>
        <f>'RESUMEN TOTAL'!N360</f>
        <v>0</v>
      </c>
      <c r="G357">
        <f>'RESUMEN TOTAL'!O360</f>
        <v>0</v>
      </c>
      <c r="H357">
        <f>'RESUMEN TOTAL'!P360</f>
        <v>0</v>
      </c>
      <c r="I357">
        <f>'RESUMEN TOTAL'!Q360</f>
        <v>0</v>
      </c>
      <c r="J357">
        <f>'RESUMEN TOTAL'!R360</f>
        <v>0</v>
      </c>
      <c r="K357">
        <f>'RESUMEN TOTAL'!S360</f>
        <v>0</v>
      </c>
      <c r="L357">
        <f>'RESUMEN TOTAL'!T360</f>
        <v>0</v>
      </c>
      <c r="M357">
        <f>'RESUMEN TOTAL'!U360</f>
        <v>0</v>
      </c>
      <c r="N357">
        <f>'RESUMEN TOTAL'!V360</f>
        <v>0</v>
      </c>
      <c r="O357">
        <f>'RESUMEN TOTAL'!W360</f>
        <v>0</v>
      </c>
      <c r="P357">
        <f>'RESUMEN TOTAL'!X360</f>
        <v>0</v>
      </c>
      <c r="Q357">
        <f>'RESUMEN TOTAL'!Y360</f>
        <v>0</v>
      </c>
      <c r="R357">
        <f>'RESUMEN TOTAL'!Z360</f>
        <v>0</v>
      </c>
      <c r="S357">
        <f>'RESUMEN TOTAL'!AA360</f>
        <v>0</v>
      </c>
      <c r="T357">
        <f>'RESUMEN TOTAL'!AB360</f>
        <v>0</v>
      </c>
      <c r="U357">
        <f>'RESUMEN TOTAL'!AC360</f>
        <v>0</v>
      </c>
      <c r="V357">
        <f>'RESUMEN TOTAL'!AD360</f>
        <v>0</v>
      </c>
      <c r="W357">
        <f>'RESUMEN TOTAL'!AE360</f>
        <v>0</v>
      </c>
      <c r="X357">
        <f>'RESUMEN TOTAL'!AF360</f>
        <v>0</v>
      </c>
      <c r="Y357">
        <f>'RESUMEN TOTAL'!AG360</f>
        <v>0</v>
      </c>
      <c r="Z357">
        <f>'RESUMEN TOTAL'!AH360</f>
        <v>0</v>
      </c>
      <c r="AA357">
        <f>'RESUMEN TOTAL'!AI360</f>
        <v>0</v>
      </c>
      <c r="AB357">
        <f>'RESUMEN TOTAL'!AJ360</f>
        <v>0</v>
      </c>
      <c r="AC357">
        <f>'RESUMEN TOTAL'!AK360</f>
        <v>0</v>
      </c>
      <c r="AD357">
        <f>'RESUMEN TOTAL'!AL360</f>
        <v>0</v>
      </c>
      <c r="AE357">
        <f>'RESUMEN TOTAL'!AM360</f>
        <v>0</v>
      </c>
      <c r="AF357">
        <f>'RESUMEN TOTAL'!AN360</f>
        <v>0</v>
      </c>
      <c r="AG357">
        <f>'RESUMEN TOTAL'!AO360</f>
        <v>0</v>
      </c>
    </row>
    <row r="358" spans="1:33" x14ac:dyDescent="0.25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TOTAL'!N361</f>
        <v>0</v>
      </c>
      <c r="G358">
        <f>'RESUMEN TOTAL'!O361</f>
        <v>0</v>
      </c>
      <c r="H358">
        <f>'RESUMEN TOTAL'!P361</f>
        <v>0</v>
      </c>
      <c r="I358">
        <f>'RESUMEN TOTAL'!Q361</f>
        <v>0</v>
      </c>
      <c r="J358">
        <f>'RESUMEN TOTAL'!R361</f>
        <v>0</v>
      </c>
      <c r="K358">
        <f>'RESUMEN TOTAL'!S361</f>
        <v>0</v>
      </c>
      <c r="L358">
        <f>'RESUMEN TOTAL'!T361</f>
        <v>0</v>
      </c>
      <c r="M358">
        <f>'RESUMEN TOTAL'!U361</f>
        <v>0</v>
      </c>
      <c r="N358">
        <f>'RESUMEN TOTAL'!V361</f>
        <v>0</v>
      </c>
      <c r="O358">
        <f>'RESUMEN TOTAL'!W361</f>
        <v>0</v>
      </c>
      <c r="P358">
        <f>'RESUMEN TOTAL'!X361</f>
        <v>0</v>
      </c>
      <c r="Q358">
        <f>'RESUMEN TOTAL'!Y361</f>
        <v>0</v>
      </c>
      <c r="R358">
        <f>'RESUMEN TOTAL'!Z361</f>
        <v>0</v>
      </c>
      <c r="S358">
        <f>'RESUMEN TOTAL'!AA361</f>
        <v>0</v>
      </c>
      <c r="T358">
        <f>'RESUMEN TOTAL'!AB361</f>
        <v>0</v>
      </c>
      <c r="U358">
        <f>'RESUMEN TOTAL'!AC361</f>
        <v>0</v>
      </c>
      <c r="V358">
        <f>'RESUMEN TOTAL'!AD361</f>
        <v>0</v>
      </c>
      <c r="W358">
        <f>'RESUMEN TOTAL'!AE361</f>
        <v>0</v>
      </c>
      <c r="X358">
        <f>'RESUMEN TOTAL'!AF361</f>
        <v>0</v>
      </c>
      <c r="Y358">
        <f>'RESUMEN TOTAL'!AG361</f>
        <v>0</v>
      </c>
      <c r="Z358">
        <f>'RESUMEN TOTAL'!AH361</f>
        <v>0</v>
      </c>
      <c r="AA358">
        <f>'RESUMEN TOTAL'!AI361</f>
        <v>0</v>
      </c>
      <c r="AB358">
        <f>'RESUMEN TOTAL'!AJ361</f>
        <v>0</v>
      </c>
      <c r="AC358">
        <f>'RESUMEN TOTAL'!AK361</f>
        <v>0</v>
      </c>
      <c r="AD358">
        <f>'RESUMEN TOTAL'!AL361</f>
        <v>0</v>
      </c>
      <c r="AE358">
        <f>'RESUMEN TOTAL'!AM361</f>
        <v>0</v>
      </c>
      <c r="AF358">
        <f>'RESUMEN TOTAL'!AN361</f>
        <v>0</v>
      </c>
      <c r="AG358">
        <f>'RESUMEN TOTAL'!AO361</f>
        <v>0</v>
      </c>
    </row>
    <row r="359" spans="1:33" x14ac:dyDescent="0.25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TOTAL'!N362</f>
        <v>0</v>
      </c>
      <c r="G359">
        <f>'RESUMEN TOTAL'!O362</f>
        <v>0</v>
      </c>
      <c r="H359">
        <f>'RESUMEN TOTAL'!P362</f>
        <v>0</v>
      </c>
      <c r="I359">
        <f>'RESUMEN TOTAL'!Q362</f>
        <v>0</v>
      </c>
      <c r="J359">
        <f>'RESUMEN TOTAL'!R362</f>
        <v>0</v>
      </c>
      <c r="K359">
        <f>'RESUMEN TOTAL'!S362</f>
        <v>0</v>
      </c>
      <c r="L359" t="str">
        <f>'RESUMEN TOTAL'!T362</f>
        <v>APAGADO</v>
      </c>
      <c r="M359">
        <f>'RESUMEN TOTAL'!U362</f>
        <v>0</v>
      </c>
      <c r="N359">
        <f>'RESUMEN TOTAL'!V362</f>
        <v>0</v>
      </c>
      <c r="O359">
        <f>'RESUMEN TOTAL'!W362</f>
        <v>0</v>
      </c>
      <c r="P359">
        <f>'RESUMEN TOTAL'!X362</f>
        <v>0</v>
      </c>
      <c r="Q359">
        <f>'RESUMEN TOTAL'!Y362</f>
        <v>0</v>
      </c>
      <c r="R359">
        <f>'RESUMEN TOTAL'!Z362</f>
        <v>0</v>
      </c>
      <c r="S359">
        <f>'RESUMEN TOTAL'!AA362</f>
        <v>0</v>
      </c>
      <c r="T359">
        <f>'RESUMEN TOTAL'!AB362</f>
        <v>0</v>
      </c>
      <c r="U359">
        <f>'RESUMEN TOTAL'!AC362</f>
        <v>0</v>
      </c>
      <c r="V359">
        <f>'RESUMEN TOTAL'!AD362</f>
        <v>0</v>
      </c>
      <c r="W359">
        <f>'RESUMEN TOTAL'!AE362</f>
        <v>0</v>
      </c>
      <c r="X359">
        <f>'RESUMEN TOTAL'!AF362</f>
        <v>0</v>
      </c>
      <c r="Y359">
        <f>'RESUMEN TOTAL'!AG362</f>
        <v>0</v>
      </c>
      <c r="Z359">
        <f>'RESUMEN TOTAL'!AH362</f>
        <v>0</v>
      </c>
      <c r="AA359">
        <f>'RESUMEN TOTAL'!AI362</f>
        <v>0</v>
      </c>
      <c r="AB359">
        <f>'RESUMEN TOTAL'!AJ362</f>
        <v>0</v>
      </c>
      <c r="AC359">
        <f>'RESUMEN TOTAL'!AK362</f>
        <v>0</v>
      </c>
      <c r="AD359">
        <f>'RESUMEN TOTAL'!AL362</f>
        <v>0</v>
      </c>
      <c r="AE359">
        <f>'RESUMEN TOTAL'!AM362</f>
        <v>0</v>
      </c>
      <c r="AF359">
        <f>'RESUMEN TOTAL'!AN362</f>
        <v>0</v>
      </c>
      <c r="AG359">
        <f>'RESUMEN TOTAL'!AO362</f>
        <v>0</v>
      </c>
    </row>
    <row r="360" spans="1:33" x14ac:dyDescent="0.25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TOTAL'!N363</f>
        <v>0</v>
      </c>
      <c r="G360">
        <f>'RESUMEN TOTAL'!O363</f>
        <v>0</v>
      </c>
      <c r="H360">
        <f>'RESUMEN TOTAL'!P363</f>
        <v>0</v>
      </c>
      <c r="I360">
        <f>'RESUMEN TOTAL'!Q363</f>
        <v>0</v>
      </c>
      <c r="J360">
        <f>'RESUMEN TOTAL'!R363</f>
        <v>0</v>
      </c>
      <c r="K360">
        <f>'RESUMEN TOTAL'!S363</f>
        <v>0</v>
      </c>
      <c r="L360">
        <f>'RESUMEN TOTAL'!T363</f>
        <v>0</v>
      </c>
      <c r="M360">
        <f>'RESUMEN TOTAL'!U363</f>
        <v>0</v>
      </c>
      <c r="N360">
        <f>'RESUMEN TOTAL'!V363</f>
        <v>0</v>
      </c>
      <c r="O360">
        <f>'RESUMEN TOTAL'!W363</f>
        <v>0</v>
      </c>
      <c r="P360">
        <f>'RESUMEN TOTAL'!X363</f>
        <v>0</v>
      </c>
      <c r="Q360">
        <f>'RESUMEN TOTAL'!Y363</f>
        <v>0</v>
      </c>
      <c r="R360">
        <f>'RESUMEN TOTAL'!Z363</f>
        <v>0</v>
      </c>
      <c r="S360">
        <f>'RESUMEN TOTAL'!AA363</f>
        <v>0</v>
      </c>
      <c r="T360">
        <f>'RESUMEN TOTAL'!AB363</f>
        <v>0</v>
      </c>
      <c r="U360">
        <f>'RESUMEN TOTAL'!AC363</f>
        <v>0</v>
      </c>
      <c r="V360">
        <f>'RESUMEN TOTAL'!AD363</f>
        <v>0</v>
      </c>
      <c r="W360">
        <f>'RESUMEN TOTAL'!AE363</f>
        <v>0</v>
      </c>
      <c r="X360">
        <f>'RESUMEN TOTAL'!AF363</f>
        <v>0</v>
      </c>
      <c r="Y360">
        <f>'RESUMEN TOTAL'!AG363</f>
        <v>0</v>
      </c>
      <c r="Z360">
        <f>'RESUMEN TOTAL'!AH363</f>
        <v>0</v>
      </c>
      <c r="AA360">
        <f>'RESUMEN TOTAL'!AI363</f>
        <v>0</v>
      </c>
      <c r="AB360">
        <f>'RESUMEN TOTAL'!AJ363</f>
        <v>0</v>
      </c>
      <c r="AC360">
        <f>'RESUMEN TOTAL'!AK363</f>
        <v>0</v>
      </c>
      <c r="AD360">
        <f>'RESUMEN TOTAL'!AL363</f>
        <v>0</v>
      </c>
      <c r="AE360">
        <f>'RESUMEN TOTAL'!AM363</f>
        <v>0</v>
      </c>
      <c r="AF360">
        <f>'RESUMEN TOTAL'!AN363</f>
        <v>0</v>
      </c>
      <c r="AG360">
        <f>'RESUMEN TOTAL'!AO363</f>
        <v>0</v>
      </c>
    </row>
    <row r="361" spans="1:33" x14ac:dyDescent="0.25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TOTAL'!N364</f>
        <v>0</v>
      </c>
      <c r="G361">
        <f>'RESUMEN TOTAL'!O364</f>
        <v>0</v>
      </c>
      <c r="H361">
        <f>'RESUMEN TOTAL'!P364</f>
        <v>0</v>
      </c>
      <c r="I361">
        <f>'RESUMEN TOTAL'!Q364</f>
        <v>0</v>
      </c>
      <c r="J361">
        <f>'RESUMEN TOTAL'!R364</f>
        <v>0</v>
      </c>
      <c r="K361">
        <f>'RESUMEN TOTAL'!S364</f>
        <v>0</v>
      </c>
      <c r="L361">
        <f>'RESUMEN TOTAL'!T364</f>
        <v>0</v>
      </c>
      <c r="M361">
        <f>'RESUMEN TOTAL'!U364</f>
        <v>0</v>
      </c>
      <c r="N361">
        <f>'RESUMEN TOTAL'!V364</f>
        <v>0</v>
      </c>
      <c r="O361">
        <f>'RESUMEN TOTAL'!W364</f>
        <v>0</v>
      </c>
      <c r="P361">
        <f>'RESUMEN TOTAL'!X364</f>
        <v>0</v>
      </c>
      <c r="Q361">
        <f>'RESUMEN TOTAL'!Y364</f>
        <v>0</v>
      </c>
      <c r="R361">
        <f>'RESUMEN TOTAL'!Z364</f>
        <v>0</v>
      </c>
      <c r="S361">
        <f>'RESUMEN TOTAL'!AA364</f>
        <v>0</v>
      </c>
      <c r="T361">
        <f>'RESUMEN TOTAL'!AB364</f>
        <v>0</v>
      </c>
      <c r="U361">
        <f>'RESUMEN TOTAL'!AC364</f>
        <v>0</v>
      </c>
      <c r="V361">
        <f>'RESUMEN TOTAL'!AD364</f>
        <v>0</v>
      </c>
      <c r="W361">
        <f>'RESUMEN TOTAL'!AE364</f>
        <v>0</v>
      </c>
      <c r="X361">
        <f>'RESUMEN TOTAL'!AF364</f>
        <v>0</v>
      </c>
      <c r="Y361">
        <f>'RESUMEN TOTAL'!AG364</f>
        <v>0</v>
      </c>
      <c r="Z361">
        <f>'RESUMEN TOTAL'!AH364</f>
        <v>0</v>
      </c>
      <c r="AA361">
        <f>'RESUMEN TOTAL'!AI364</f>
        <v>0</v>
      </c>
      <c r="AB361">
        <f>'RESUMEN TOTAL'!AJ364</f>
        <v>0</v>
      </c>
      <c r="AC361">
        <f>'RESUMEN TOTAL'!AK364</f>
        <v>0</v>
      </c>
      <c r="AD361">
        <f>'RESUMEN TOTAL'!AL364</f>
        <v>0</v>
      </c>
      <c r="AE361">
        <f>'RESUMEN TOTAL'!AM364</f>
        <v>0</v>
      </c>
      <c r="AF361">
        <f>'RESUMEN TOTAL'!AN364</f>
        <v>0</v>
      </c>
      <c r="AG361">
        <f>'RESUMEN TOTAL'!AO364</f>
        <v>0</v>
      </c>
    </row>
    <row r="362" spans="1:33" x14ac:dyDescent="0.25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TOTAL'!N365</f>
        <v>0</v>
      </c>
      <c r="G362">
        <f>'RESUMEN TOTAL'!O365</f>
        <v>0</v>
      </c>
      <c r="H362">
        <f>'RESUMEN TOTAL'!P365</f>
        <v>0</v>
      </c>
      <c r="I362">
        <f>'RESUMEN TOTAL'!Q365</f>
        <v>0</v>
      </c>
      <c r="J362">
        <f>'RESUMEN TOTAL'!R365</f>
        <v>0</v>
      </c>
      <c r="K362">
        <f>'RESUMEN TOTAL'!S365</f>
        <v>0</v>
      </c>
      <c r="L362">
        <f>'RESUMEN TOTAL'!T365</f>
        <v>0</v>
      </c>
      <c r="M362">
        <f>'RESUMEN TOTAL'!U365</f>
        <v>0</v>
      </c>
      <c r="N362">
        <f>'RESUMEN TOTAL'!V365</f>
        <v>0</v>
      </c>
      <c r="O362">
        <f>'RESUMEN TOTAL'!W365</f>
        <v>0</v>
      </c>
      <c r="P362">
        <f>'RESUMEN TOTAL'!X365</f>
        <v>0</v>
      </c>
      <c r="Q362">
        <f>'RESUMEN TOTAL'!Y365</f>
        <v>0</v>
      </c>
      <c r="R362">
        <f>'RESUMEN TOTAL'!Z365</f>
        <v>0</v>
      </c>
      <c r="S362">
        <f>'RESUMEN TOTAL'!AA365</f>
        <v>0</v>
      </c>
      <c r="T362">
        <f>'RESUMEN TOTAL'!AB365</f>
        <v>0</v>
      </c>
      <c r="U362">
        <f>'RESUMEN TOTAL'!AC365</f>
        <v>0</v>
      </c>
      <c r="V362">
        <f>'RESUMEN TOTAL'!AD365</f>
        <v>0</v>
      </c>
      <c r="W362">
        <f>'RESUMEN TOTAL'!AE365</f>
        <v>0</v>
      </c>
      <c r="X362">
        <f>'RESUMEN TOTAL'!AF365</f>
        <v>0</v>
      </c>
      <c r="Y362">
        <f>'RESUMEN TOTAL'!AG365</f>
        <v>0</v>
      </c>
      <c r="Z362">
        <f>'RESUMEN TOTAL'!AH365</f>
        <v>0</v>
      </c>
      <c r="AA362">
        <f>'RESUMEN TOTAL'!AI365</f>
        <v>0</v>
      </c>
      <c r="AB362">
        <f>'RESUMEN TOTAL'!AJ365</f>
        <v>0</v>
      </c>
      <c r="AC362">
        <f>'RESUMEN TOTAL'!AK365</f>
        <v>0</v>
      </c>
      <c r="AD362">
        <f>'RESUMEN TOTAL'!AL365</f>
        <v>0</v>
      </c>
      <c r="AE362">
        <f>'RESUMEN TOTAL'!AM365</f>
        <v>0</v>
      </c>
      <c r="AF362">
        <f>'RESUMEN TOTAL'!AN365</f>
        <v>0</v>
      </c>
      <c r="AG362">
        <f>'RESUMEN TOTAL'!AO365</f>
        <v>0</v>
      </c>
    </row>
    <row r="363" spans="1:33" x14ac:dyDescent="0.25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TOTAL'!N366</f>
        <v>0</v>
      </c>
      <c r="G363">
        <f>'RESUMEN TOTAL'!O366</f>
        <v>0</v>
      </c>
      <c r="H363">
        <f>'RESUMEN TOTAL'!P366</f>
        <v>0</v>
      </c>
      <c r="I363">
        <f>'RESUMEN TOTAL'!Q366</f>
        <v>0</v>
      </c>
      <c r="J363">
        <f>'RESUMEN TOTAL'!R366</f>
        <v>0</v>
      </c>
      <c r="K363">
        <f>'RESUMEN TOTAL'!S366</f>
        <v>0</v>
      </c>
      <c r="L363">
        <f>'RESUMEN TOTAL'!T366</f>
        <v>0</v>
      </c>
      <c r="M363">
        <f>'RESUMEN TOTAL'!U366</f>
        <v>0</v>
      </c>
      <c r="N363">
        <f>'RESUMEN TOTAL'!V366</f>
        <v>0</v>
      </c>
      <c r="O363">
        <f>'RESUMEN TOTAL'!W366</f>
        <v>0</v>
      </c>
      <c r="P363">
        <f>'RESUMEN TOTAL'!X366</f>
        <v>0</v>
      </c>
      <c r="Q363">
        <f>'RESUMEN TOTAL'!Y366</f>
        <v>0</v>
      </c>
      <c r="R363">
        <f>'RESUMEN TOTAL'!Z366</f>
        <v>0</v>
      </c>
      <c r="S363">
        <f>'RESUMEN TOTAL'!AA366</f>
        <v>0</v>
      </c>
      <c r="T363">
        <f>'RESUMEN TOTAL'!AB366</f>
        <v>0</v>
      </c>
      <c r="U363">
        <f>'RESUMEN TOTAL'!AC366</f>
        <v>0</v>
      </c>
      <c r="V363">
        <f>'RESUMEN TOTAL'!AD366</f>
        <v>0</v>
      </c>
      <c r="W363">
        <f>'RESUMEN TOTAL'!AE366</f>
        <v>0</v>
      </c>
      <c r="X363">
        <f>'RESUMEN TOTAL'!AF366</f>
        <v>0</v>
      </c>
      <c r="Y363">
        <f>'RESUMEN TOTAL'!AG366</f>
        <v>0</v>
      </c>
      <c r="Z363">
        <f>'RESUMEN TOTAL'!AH366</f>
        <v>0</v>
      </c>
      <c r="AA363">
        <f>'RESUMEN TOTAL'!AI366</f>
        <v>0</v>
      </c>
      <c r="AB363">
        <f>'RESUMEN TOTAL'!AJ366</f>
        <v>0</v>
      </c>
      <c r="AC363">
        <f>'RESUMEN TOTAL'!AK366</f>
        <v>0</v>
      </c>
      <c r="AD363">
        <f>'RESUMEN TOTAL'!AL366</f>
        <v>0</v>
      </c>
      <c r="AE363">
        <f>'RESUMEN TOTAL'!AM366</f>
        <v>0</v>
      </c>
      <c r="AF363">
        <f>'RESUMEN TOTAL'!AN366</f>
        <v>0</v>
      </c>
      <c r="AG363">
        <f>'RESUMEN TOTAL'!AO366</f>
        <v>0</v>
      </c>
    </row>
    <row r="364" spans="1:33" x14ac:dyDescent="0.25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TOTAL'!N367</f>
        <v>APAGADO</v>
      </c>
      <c r="G364" t="str">
        <f>'RESUMEN TOTAL'!O367</f>
        <v>APAGADO</v>
      </c>
      <c r="H364" t="str">
        <f>'RESUMEN TOTAL'!P367</f>
        <v>APAGADO</v>
      </c>
      <c r="I364" t="str">
        <f>'RESUMEN TOTAL'!Q367</f>
        <v>APAGADO</v>
      </c>
      <c r="J364" t="str">
        <f>'RESUMEN TOTAL'!R367</f>
        <v>APAGADO</v>
      </c>
      <c r="K364" t="str">
        <f>'RESUMEN TOTAL'!S367</f>
        <v>APAGADO</v>
      </c>
      <c r="L364" t="str">
        <f>'RESUMEN TOTAL'!T367</f>
        <v>APAGADO</v>
      </c>
      <c r="M364">
        <f>'RESUMEN TOTAL'!U367</f>
        <v>0</v>
      </c>
      <c r="N364">
        <f>'RESUMEN TOTAL'!V367</f>
        <v>0</v>
      </c>
      <c r="O364">
        <f>'RESUMEN TOTAL'!W367</f>
        <v>0</v>
      </c>
      <c r="P364">
        <f>'RESUMEN TOTAL'!X367</f>
        <v>0</v>
      </c>
      <c r="Q364">
        <f>'RESUMEN TOTAL'!Y367</f>
        <v>0</v>
      </c>
      <c r="R364">
        <f>'RESUMEN TOTAL'!Z367</f>
        <v>0</v>
      </c>
      <c r="S364">
        <f>'RESUMEN TOTAL'!AA367</f>
        <v>0</v>
      </c>
      <c r="T364">
        <f>'RESUMEN TOTAL'!AB367</f>
        <v>0</v>
      </c>
      <c r="U364">
        <f>'RESUMEN TOTAL'!AC367</f>
        <v>0</v>
      </c>
      <c r="V364">
        <f>'RESUMEN TOTAL'!AD367</f>
        <v>0</v>
      </c>
      <c r="W364">
        <f>'RESUMEN TOTAL'!AE367</f>
        <v>0</v>
      </c>
      <c r="X364">
        <f>'RESUMEN TOTAL'!AF367</f>
        <v>0</v>
      </c>
      <c r="Y364">
        <f>'RESUMEN TOTAL'!AG367</f>
        <v>0</v>
      </c>
      <c r="Z364">
        <f>'RESUMEN TOTAL'!AH367</f>
        <v>0</v>
      </c>
      <c r="AA364">
        <f>'RESUMEN TOTAL'!AI367</f>
        <v>0</v>
      </c>
      <c r="AB364">
        <f>'RESUMEN TOTAL'!AJ367</f>
        <v>0</v>
      </c>
      <c r="AC364">
        <f>'RESUMEN TOTAL'!AK367</f>
        <v>0</v>
      </c>
      <c r="AD364">
        <f>'RESUMEN TOTAL'!AL367</f>
        <v>0</v>
      </c>
      <c r="AE364">
        <f>'RESUMEN TOTAL'!AM367</f>
        <v>0</v>
      </c>
      <c r="AF364">
        <f>'RESUMEN TOTAL'!AN367</f>
        <v>0</v>
      </c>
      <c r="AG364">
        <f>'RESUMEN TOTAL'!AO367</f>
        <v>0</v>
      </c>
    </row>
    <row r="365" spans="1:33" x14ac:dyDescent="0.25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TOTAL'!N368</f>
        <v>0</v>
      </c>
      <c r="G365">
        <f>'RESUMEN TOTAL'!O368</f>
        <v>0</v>
      </c>
      <c r="H365">
        <f>'RESUMEN TOTAL'!P368</f>
        <v>0</v>
      </c>
      <c r="I365">
        <f>'RESUMEN TOTAL'!Q368</f>
        <v>0</v>
      </c>
      <c r="J365">
        <f>'RESUMEN TOTAL'!R368</f>
        <v>0</v>
      </c>
      <c r="K365">
        <f>'RESUMEN TOTAL'!S368</f>
        <v>0</v>
      </c>
      <c r="L365">
        <f>'RESUMEN TOTAL'!T368</f>
        <v>0</v>
      </c>
      <c r="M365">
        <f>'RESUMEN TOTAL'!U368</f>
        <v>0</v>
      </c>
      <c r="N365">
        <f>'RESUMEN TOTAL'!V368</f>
        <v>0</v>
      </c>
      <c r="O365">
        <f>'RESUMEN TOTAL'!W368</f>
        <v>0</v>
      </c>
      <c r="P365">
        <f>'RESUMEN TOTAL'!X368</f>
        <v>0</v>
      </c>
      <c r="Q365">
        <f>'RESUMEN TOTAL'!Y368</f>
        <v>0</v>
      </c>
      <c r="R365">
        <f>'RESUMEN TOTAL'!Z368</f>
        <v>0</v>
      </c>
      <c r="S365">
        <f>'RESUMEN TOTAL'!AA368</f>
        <v>0</v>
      </c>
      <c r="T365">
        <f>'RESUMEN TOTAL'!AB368</f>
        <v>0</v>
      </c>
      <c r="U365">
        <f>'RESUMEN TOTAL'!AC368</f>
        <v>0</v>
      </c>
      <c r="V365">
        <f>'RESUMEN TOTAL'!AD368</f>
        <v>0</v>
      </c>
      <c r="W365">
        <f>'RESUMEN TOTAL'!AE368</f>
        <v>0</v>
      </c>
      <c r="X365">
        <f>'RESUMEN TOTAL'!AF368</f>
        <v>0</v>
      </c>
      <c r="Y365">
        <f>'RESUMEN TOTAL'!AG368</f>
        <v>0</v>
      </c>
      <c r="Z365">
        <f>'RESUMEN TOTAL'!AH368</f>
        <v>0</v>
      </c>
      <c r="AA365">
        <f>'RESUMEN TOTAL'!AI368</f>
        <v>0</v>
      </c>
      <c r="AB365">
        <f>'RESUMEN TOTAL'!AJ368</f>
        <v>0</v>
      </c>
      <c r="AC365">
        <f>'RESUMEN TOTAL'!AK368</f>
        <v>0</v>
      </c>
      <c r="AD365">
        <f>'RESUMEN TOTAL'!AL368</f>
        <v>0</v>
      </c>
      <c r="AE365">
        <f>'RESUMEN TOTAL'!AM368</f>
        <v>0</v>
      </c>
      <c r="AF365">
        <f>'RESUMEN TOTAL'!AN368</f>
        <v>0</v>
      </c>
      <c r="AG365">
        <f>'RESUMEN TOTAL'!AO368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:Z365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7" t="s">
        <v>937</v>
      </c>
      <c r="F1" s="27">
        <f t="shared" ref="F1:AC1" si="0">COUNTIF(F3:F366, "APAGADO")</f>
        <v>62</v>
      </c>
      <c r="G1" s="27">
        <f t="shared" si="0"/>
        <v>80</v>
      </c>
      <c r="H1" s="27">
        <f t="shared" si="0"/>
        <v>77</v>
      </c>
      <c r="I1" s="27">
        <f t="shared" si="0"/>
        <v>70</v>
      </c>
      <c r="J1" s="27">
        <f t="shared" si="0"/>
        <v>70</v>
      </c>
      <c r="K1" s="27">
        <f t="shared" si="0"/>
        <v>69</v>
      </c>
      <c r="L1" s="27">
        <f t="shared" si="0"/>
        <v>71</v>
      </c>
      <c r="M1" s="27">
        <f t="shared" si="0"/>
        <v>0</v>
      </c>
      <c r="N1" s="27">
        <f t="shared" si="0"/>
        <v>0</v>
      </c>
      <c r="O1" s="27">
        <f t="shared" si="0"/>
        <v>0</v>
      </c>
      <c r="P1" s="27">
        <f t="shared" si="0"/>
        <v>0</v>
      </c>
      <c r="Q1" s="27">
        <f t="shared" si="0"/>
        <v>0</v>
      </c>
      <c r="R1" s="27">
        <f t="shared" si="0"/>
        <v>0</v>
      </c>
      <c r="S1" s="27">
        <f t="shared" si="0"/>
        <v>0</v>
      </c>
      <c r="T1" s="27">
        <f t="shared" si="0"/>
        <v>0</v>
      </c>
      <c r="U1" s="27">
        <f t="shared" si="0"/>
        <v>0</v>
      </c>
      <c r="V1" s="27">
        <f t="shared" si="0"/>
        <v>0</v>
      </c>
      <c r="W1" s="27">
        <f t="shared" si="0"/>
        <v>0</v>
      </c>
      <c r="X1" s="27">
        <f t="shared" si="0"/>
        <v>0</v>
      </c>
      <c r="Y1" s="27">
        <f t="shared" si="0"/>
        <v>0</v>
      </c>
      <c r="Z1" s="27">
        <f t="shared" si="0"/>
        <v>0</v>
      </c>
      <c r="AA1" s="27">
        <f t="shared" si="0"/>
        <v>0</v>
      </c>
      <c r="AB1" s="27">
        <f t="shared" si="0"/>
        <v>0</v>
      </c>
      <c r="AC1" s="27">
        <f t="shared" si="0"/>
        <v>0</v>
      </c>
      <c r="AD1" s="27">
        <f>COUNTIF(AD3:AD366, "APAGADO")</f>
        <v>0</v>
      </c>
      <c r="AE1" s="27">
        <f t="shared" ref="AE1:AG1" si="1">COUNTIF(AE3:AE366, "APAGADO")</f>
        <v>0</v>
      </c>
      <c r="AF1" s="27">
        <f t="shared" si="1"/>
        <v>0</v>
      </c>
      <c r="AG1" s="27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 t="str">
        <f>ESTADISTICA!L260</f>
        <v>APAGADO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 t="str">
        <f>ESTADISTICA!L326</f>
        <v>APAGADO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 t="str">
        <f>ESTADISTICA!L359</f>
        <v>APAGADO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2CD2C71F-307D-4E12-901F-A6B69A40CA8C}"/>
  <conditionalFormatting sqref="F3:AG366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6"/>
  <sheetViews>
    <sheetView workbookViewId="0">
      <pane xSplit="5" ySplit="7" topLeftCell="AD8" activePane="bottomRight" state="frozen"/>
      <selection pane="topRight" activeCell="F1" sqref="F1"/>
      <selection pane="bottomLeft" activeCell="A8" sqref="A8"/>
      <selection pane="bottomRight" activeCell="AG1" sqref="AG1:AJ1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7" t="s">
        <v>937</v>
      </c>
      <c r="F1" s="27">
        <f>COUNTIFS(F3:F366, "=APAGADO",E3:E366,"=Fibra Optica")</f>
        <v>52</v>
      </c>
      <c r="G1" s="27">
        <f>COUNTIFS(G3:G366, "=APAGADO",E3:E366,"=Fibra Optica")</f>
        <v>69</v>
      </c>
      <c r="H1" s="27">
        <f>COUNTIFS(H3:H366, "=APAGADO",E3:E366,"=Fibra Optica")</f>
        <v>66</v>
      </c>
      <c r="I1" s="27">
        <f>COUNTIFS(I3:I366, "=APAGADO",E3:E366,"=Fibra Optica")</f>
        <v>60</v>
      </c>
      <c r="J1" s="27">
        <f>COUNTIFS(J3:J366, "=APAGADO",E3:E366,"=Fibra Optica")</f>
        <v>56</v>
      </c>
      <c r="K1" s="27">
        <f>COUNTIFS(K3:K366, "=APAGADO",E3:E366,"=Fibra Optica")</f>
        <v>60</v>
      </c>
      <c r="L1" s="27">
        <f>COUNTIFS(L3:L366, "=APAGADO",E3:E366,"=Fibra Optica")</f>
        <v>61</v>
      </c>
      <c r="M1" s="27">
        <f>COUNTIFS(M3:M366, "=APAGADO",E3:E366,"=Fibra Optica")</f>
        <v>0</v>
      </c>
      <c r="N1" s="27">
        <f>COUNTIFS(N3:N366, "=APAGADO",E3:E366,"=Fibra Optica")</f>
        <v>0</v>
      </c>
      <c r="O1" s="27">
        <f>COUNTIFS(O3:O366, "=APAGADO",E3:E366,"=Fibra Optica")</f>
        <v>0</v>
      </c>
      <c r="P1" s="27">
        <f>COUNTIFS(P3:P366, "=APAGADO",E3:E366,"=Fibra Optica")</f>
        <v>0</v>
      </c>
      <c r="Q1" s="27">
        <f>COUNTIFS(Q3:Q366, "=APAGADO",E3:E366,"=Fibra Optica")</f>
        <v>0</v>
      </c>
      <c r="R1" s="27">
        <f>COUNTIFS(R3:R366, "=APAGADO",E3:E366,"=Fibra Optica")</f>
        <v>0</v>
      </c>
      <c r="S1" s="27">
        <f>COUNTIFS(S3:S366, "=APAGADO",E3:E366,"=Fibra Optica")</f>
        <v>0</v>
      </c>
      <c r="T1" s="27">
        <f>COUNTIFS(T3:T366, "=APAGADO",E3:E366,"=Fibra Optica")</f>
        <v>0</v>
      </c>
      <c r="U1" s="27">
        <f>COUNTIFS(U3:U366, "=APAGADO",E3:E366,"=Fibra Optica")</f>
        <v>0</v>
      </c>
      <c r="V1" s="27">
        <f>COUNTIFS(V3:V366, "=APAGADO",E3:E366,"=Fibra Optica")</f>
        <v>0</v>
      </c>
      <c r="W1" s="27">
        <f>COUNTIFS(W3:W366, "=APAGADO",E3:E366,"=Fibra Optica")</f>
        <v>0</v>
      </c>
      <c r="X1" s="27">
        <f>COUNTIFS(X3:X366, "=APAGADO",E3:E366,"=Fibra Optica")</f>
        <v>0</v>
      </c>
      <c r="Y1" s="27">
        <f>COUNTIFS(Y3:Y366, "=APAGADO",E3:E366,"=Fibra Optica")</f>
        <v>0</v>
      </c>
      <c r="Z1" s="27">
        <f>COUNTIFS(Z3:Z366, "=APAGADO",E3:E366,"=Fibra Optica")</f>
        <v>0</v>
      </c>
      <c r="AA1" s="27">
        <f>COUNTIFS(AA3:AA366, "=APAGADO",E3:E366,"=Fibra Optica")</f>
        <v>0</v>
      </c>
      <c r="AB1" s="27">
        <f>COUNTIFS(AB3:AB366, "=APAGADO",E3:E366,"=Fibra Optica")</f>
        <v>0</v>
      </c>
      <c r="AC1" s="27">
        <f>COUNTIFS(AC3:AC366, "=APAGADO",E3:E366,"=Fibra Optica")</f>
        <v>0</v>
      </c>
      <c r="AD1" s="27">
        <f t="shared" ref="AD1" si="0">COUNTIFS(AD3:AD366, "=APAGADO",AC3:AC366,"=Fibra Optica")</f>
        <v>0</v>
      </c>
      <c r="AE1" s="27">
        <f t="shared" ref="AE1" si="1">COUNTIFS(AE3:AE366, "=APAGADO",AC3:AC366,"=Fibra Optica")</f>
        <v>0</v>
      </c>
      <c r="AF1" s="27">
        <f t="shared" ref="AF1" si="2">COUNTIFS(AF3:AF366, "=APAGADO",AC3:AC366,"=Fibra Optica")</f>
        <v>0</v>
      </c>
      <c r="AG1" s="27">
        <f t="shared" ref="AG1" si="3">COUNTIFS(AG3:AG366, "=APAGADO",AC3:AC366,"=Fibra Optica")</f>
        <v>0</v>
      </c>
      <c r="AH1" s="27">
        <f t="shared" ref="AH1" si="4">COUNTIFS(AH3:AH366, "=APAGADO",AD3:AD366,"=Fibra Optica")</f>
        <v>0</v>
      </c>
      <c r="AI1" s="27">
        <f t="shared" ref="AI1" si="5">COUNTIFS(AI3:AI366, "=APAGADO",AE3:AE366,"=Fibra Optica")</f>
        <v>0</v>
      </c>
      <c r="AJ1" s="27">
        <f t="shared" ref="AJ1" si="6">COUNTIFS(AJ3:AJ366, "=APAGADO",AF3:AF366,"=Fibra Optica")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 t="str">
        <f>ESTADISTICA!L260</f>
        <v>APAGADO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 t="str">
        <f>ESTADISTICA!L326</f>
        <v>APAGADO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 t="str">
        <f>ESTADISTICA!L359</f>
        <v>APAGADO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01697DCC-74FC-4E40-B9A4-100C171A67C1}">
    <filterColumn colId="4">
      <filters>
        <filter val="Fibra Optica"/>
      </filters>
    </filterColumn>
  </autoFilter>
  <conditionalFormatting sqref="F8:AG359">
    <cfRule type="containsText" dxfId="4" priority="1" operator="containsText" text="APAGADO">
      <formula>NOT(ISERROR(SEARCH("APAGADO",F8)))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6"/>
  <sheetViews>
    <sheetView workbookViewId="0">
      <pane xSplit="5" ySplit="2" topLeftCell="AB3" activePane="bottomRight" state="frozenSplit"/>
      <selection pane="topRight" activeCell="F1" sqref="F1"/>
      <selection pane="bottomLeft" activeCell="A3" sqref="A3"/>
      <selection pane="bottomRight" activeCell="AG1" sqref="AG1:AJ1"/>
    </sheetView>
  </sheetViews>
  <sheetFormatPr baseColWidth="10" defaultRowHeight="15" x14ac:dyDescent="0.25"/>
  <cols>
    <col min="2" max="2" width="13.7109375" customWidth="1"/>
    <col min="5" max="5" width="21.28515625" customWidth="1"/>
  </cols>
  <sheetData>
    <row r="1" spans="1:36" ht="21" x14ac:dyDescent="0.35">
      <c r="E1" s="27" t="s">
        <v>937</v>
      </c>
      <c r="F1" s="27">
        <f>COUNTIFS(F3:F366, "=APAGADO",E3:E366,"=PTP A FO")</f>
        <v>2</v>
      </c>
      <c r="G1" s="27">
        <f>COUNTIFS(G3:G366, "=APAGADO",E3:E366,"=PTP A FO")</f>
        <v>4</v>
      </c>
      <c r="H1" s="27">
        <f>COUNTIFS(H3:H366, "=APAGADO",E3:E366,"=PTP A FO")</f>
        <v>3</v>
      </c>
      <c r="I1" s="27">
        <f>COUNTIFS(I3:I366, "=APAGADO",E3:E366,"=PTP A FO")</f>
        <v>1</v>
      </c>
      <c r="J1" s="27">
        <f>COUNTIFS(J3:J366, "=APAGADO",E3:E366,"=PTP A FO")</f>
        <v>4</v>
      </c>
      <c r="K1" s="27">
        <f>COUNTIFS(K3:K366, "=APAGADO",E3:E366,"=PTP A FO")</f>
        <v>1</v>
      </c>
      <c r="L1" s="27">
        <f>COUNTIFS(L3:L366, "=APAGADO",E3:E366,"=PTP A FO")</f>
        <v>1</v>
      </c>
      <c r="M1" s="27">
        <f>COUNTIFS(M3:M366, "=APAGADO",E3:E366,"=PTP A FO")</f>
        <v>0</v>
      </c>
      <c r="N1" s="27">
        <f>COUNTIFS(N3:N366, "=APAGADO",E3:E366,"=PTP A FO")</f>
        <v>0</v>
      </c>
      <c r="O1" s="27">
        <f>COUNTIFS(O3:O366,"APAGADO", E3:E366,"=PTP A FO" )</f>
        <v>0</v>
      </c>
      <c r="P1" s="27">
        <f>COUNTIFS(P3:P366, "=APAGADO",E3:E366,"=PTP A FO")</f>
        <v>0</v>
      </c>
      <c r="Q1" s="27">
        <f>COUNTIFS(Q3:Q366, "=APAGADO",E3:E366,"=PTP A FO")</f>
        <v>0</v>
      </c>
      <c r="R1" s="27">
        <f>COUNTIFS(R3:R366, "=APAGADO",E3:E366,"=PTP A FO")</f>
        <v>0</v>
      </c>
      <c r="S1" s="27">
        <f>COUNTIFS(S3:S366, "=APAGADO",E3:E366,"=PTP A FO")</f>
        <v>0</v>
      </c>
      <c r="T1" s="27">
        <f>COUNTIFS(T3:T366, "=APAGADO",E3:E366,"=PTP A FO")</f>
        <v>0</v>
      </c>
      <c r="U1" s="27">
        <f>COUNTIFS(U3:U366, "=APAGADO",E3:E366,"=PTP A FO")</f>
        <v>0</v>
      </c>
      <c r="V1" s="27">
        <f>COUNTIFS(V3:V366, "=APAGADO",E3:E366,"=PTP A FO")</f>
        <v>0</v>
      </c>
      <c r="W1" s="27">
        <f>COUNTIFS(W3:W366, "=APAGADO",E3:E366,"=PTP A FO")</f>
        <v>0</v>
      </c>
      <c r="X1" s="27">
        <f>COUNTIFS(X3:X366, "=APAGADO",E3:E366,"=PTP A FO")</f>
        <v>0</v>
      </c>
      <c r="Y1" s="27">
        <f>COUNTIFS(Y3:Y366, "=APAGADO",E3:E366,"=PTP A FO")</f>
        <v>0</v>
      </c>
      <c r="Z1" s="27">
        <f>COUNTIFS(Z3:Z366, "=APAGADO",E3:E366,"=PTP A FO")</f>
        <v>0</v>
      </c>
      <c r="AA1" s="27">
        <f>COUNTIFS(AA3:AA366, "=APAGADO",E3:E366,"=PTP A FO")</f>
        <v>0</v>
      </c>
      <c r="AB1" s="27">
        <f>COUNTIFS(AB3:AB366, "=APAGADO",E3:E366,"=PTP A FO")</f>
        <v>0</v>
      </c>
      <c r="AC1" s="27">
        <f>COUNTIFS(AC3:AC366, "=APAGADO",E3:E366,"=PTP A FO")</f>
        <v>0</v>
      </c>
      <c r="AD1" s="27">
        <f>COUNTIFS(AD3:AD366, "=APAGADO",E3:E366,"=PTP A FO")</f>
        <v>0</v>
      </c>
      <c r="AE1" s="27">
        <f>COUNTIFS(AE3:AE366, "=APAGADO",E3:E366,"=PTP A FO")</f>
        <v>0</v>
      </c>
      <c r="AF1" s="27">
        <f>COUNTIFS(AF3:AF366, "=APAGADO",E3:E366,"=PTP A FO")</f>
        <v>0</v>
      </c>
      <c r="AG1" s="27">
        <f>COUNTIFS(AG3:AG366, "=APAGADO",E3:E366,"=PTP A FO")</f>
        <v>0</v>
      </c>
      <c r="AH1" s="27">
        <f t="shared" ref="AH1:AJ1" si="0">COUNTIFS(AH3:AH366, "=APAGADO",F3:F366,"=PTP A FO")</f>
        <v>0</v>
      </c>
      <c r="AI1" s="27">
        <f t="shared" si="0"/>
        <v>0</v>
      </c>
      <c r="AJ1" s="27">
        <f t="shared" si="0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 t="str">
        <f>ESTADISTICA!L260</f>
        <v>APAGADO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">
        <v>943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 t="str">
        <f>ESTADISTICA!L326</f>
        <v>APAGADO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 t="str">
        <f>ESTADISTICA!L359</f>
        <v>APAGADO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PTP A FO"/>
      </filters>
    </filterColumn>
  </autoFilter>
  <conditionalFormatting sqref="AE2:AE1048576">
    <cfRule type="containsText" dxfId="3" priority="2" operator="containsText" text="APAGADO">
      <formula>NOT(ISERROR(SEARCH("APAGADO",AE2)))</formula>
    </cfRule>
  </conditionalFormatting>
  <conditionalFormatting sqref="F3:AG369">
    <cfRule type="containsText" dxfId="2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6"/>
  <sheetViews>
    <sheetView workbookViewId="0">
      <pane xSplit="5" ySplit="2" topLeftCell="AB3" activePane="bottomRight" state="frozenSplit"/>
      <selection pane="topRight" activeCell="F1" sqref="F1"/>
      <selection pane="bottomLeft" activeCell="A3" sqref="A3"/>
      <selection pane="bottomRight" activeCell="AG1" sqref="AG1:AJ1"/>
    </sheetView>
  </sheetViews>
  <sheetFormatPr baseColWidth="10" defaultRowHeight="15" x14ac:dyDescent="0.25"/>
  <cols>
    <col min="2" max="2" width="13.7109375" customWidth="1"/>
    <col min="5" max="5" width="21.28515625" customWidth="1"/>
  </cols>
  <sheetData>
    <row r="1" spans="1:36" ht="21" x14ac:dyDescent="0.35">
      <c r="E1" s="27" t="s">
        <v>937</v>
      </c>
      <c r="F1" s="27">
        <f>COUNTIFS(F3:F366, "=APAGADO",E3:E366,"=radio")</f>
        <v>8</v>
      </c>
      <c r="G1" s="27">
        <f>COUNTIFS(G3:G366, "=APAGADO",E3:E366,"=radio")</f>
        <v>7</v>
      </c>
      <c r="H1" s="27">
        <f>COUNTIFS(H3:H366, "=APAGADO",E3:E366,"=radio")</f>
        <v>8</v>
      </c>
      <c r="I1" s="27">
        <f>COUNTIFS(I3:I366, "=APAGADO",E3:E366,"=radio")</f>
        <v>9</v>
      </c>
      <c r="J1" s="27">
        <f>COUNTIFS(J3:J366, "=APAGADO",E3:E366,"=radio")</f>
        <v>9</v>
      </c>
      <c r="K1" s="27">
        <f>COUNTIFS(K3:K366, "=APAGADO",E3:E366,"=radio")</f>
        <v>7</v>
      </c>
      <c r="L1" s="27">
        <f>COUNTIFS(L3:L366, "=APAGADO",E3:E366,"=radio")</f>
        <v>9</v>
      </c>
      <c r="M1" s="27">
        <f>COUNTIFS(M3:M366, "=APAGADO",E3:E366,"=radio")</f>
        <v>0</v>
      </c>
      <c r="N1" s="27">
        <f>COUNTIFS(N3:N366, "=APAGADO",E3:E366,"=radio")</f>
        <v>0</v>
      </c>
      <c r="O1" s="27">
        <f>COUNTIFS(O3:O366, "=APAGADO",E3:E366,"=radio",E3:E366,"=PTP A FO" )</f>
        <v>0</v>
      </c>
      <c r="P1" s="27">
        <f>COUNTIFS(P3:P366, "=APAGADO",E3:E366,"=radio")</f>
        <v>0</v>
      </c>
      <c r="Q1" s="27">
        <f>COUNTIFS(Q3:Q366, "=APAGADO",E3:E366,"=radio")</f>
        <v>0</v>
      </c>
      <c r="R1" s="27">
        <f>COUNTIFS(R3:R366, "=APAGADO",E3:E366,"=radio")</f>
        <v>0</v>
      </c>
      <c r="S1" s="27">
        <f>COUNTIFS(S3:S366, "=APAGADO",E3:E366,"=radio")</f>
        <v>0</v>
      </c>
      <c r="T1" s="27">
        <f>COUNTIFS(T3:T366, "=APAGADO",E3:E366,"=radio")</f>
        <v>0</v>
      </c>
      <c r="U1" s="27">
        <f>COUNTIFS(U3:U366, "=APAGADO",E3:E366,"=radio")</f>
        <v>0</v>
      </c>
      <c r="V1" s="27">
        <f>COUNTIFS(V3:V366, "=APAGADO",E3:E366,"=radio")</f>
        <v>0</v>
      </c>
      <c r="W1" s="27">
        <f>COUNTIFS(W3:W366, "=APAGADO",E3:E366,"=radio")</f>
        <v>0</v>
      </c>
      <c r="X1" s="27">
        <f>COUNTIFS(X3:X366, "=APAGADO",E3:E366,"=radio")</f>
        <v>0</v>
      </c>
      <c r="Y1" s="27">
        <f>COUNTIFS(Y3:Y366, "=APAGADO",E3:E366,"=radio")</f>
        <v>0</v>
      </c>
      <c r="Z1" s="27">
        <f>COUNTIFS(Z3:Z366, "=APAGADO",E3:E366,"=radio")</f>
        <v>0</v>
      </c>
      <c r="AA1" s="27">
        <f>COUNTIFS(AA3:AA366, "=APAGADO",E3:E366,"=radio")</f>
        <v>0</v>
      </c>
      <c r="AB1" s="27">
        <f>COUNTIFS(AB3:AB366, "=APAGADO",E3:E366,"=radio")</f>
        <v>0</v>
      </c>
      <c r="AC1" s="27">
        <f>COUNTIFS(AC3:AC366, "=APAGADO",E3:E366,"=radio")</f>
        <v>0</v>
      </c>
      <c r="AD1" s="27">
        <f>COUNTIFS(AD3:AD366, "=APAGADO",E3:E366,"=radio")</f>
        <v>0</v>
      </c>
      <c r="AE1" s="27">
        <f>COUNTIFS(AE3:AE366, "=APAGADO",E3:E366,"=radio")</f>
        <v>0</v>
      </c>
      <c r="AF1" s="27">
        <f>COUNTIFS(AF3:AF366, "=APAGADO",E3:E366,"=radio")</f>
        <v>0</v>
      </c>
      <c r="AG1" s="27">
        <f>COUNTIFS(AG3:AG366, "=APAGADO",E3:E366,"=radio")</f>
        <v>0</v>
      </c>
      <c r="AH1" s="27">
        <f t="shared" ref="AH1:AJ1" si="0">COUNTIFS(AH3:AH366, "=APAGADO",F3:F366,"=radio")</f>
        <v>0</v>
      </c>
      <c r="AI1" s="27">
        <f t="shared" si="0"/>
        <v>0</v>
      </c>
      <c r="AJ1" s="27">
        <f t="shared" si="0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 t="str">
        <f>ESTADISTICA!L260</f>
        <v>APAGADO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">
        <v>943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 t="str">
        <f>ESTADISTICA!L326</f>
        <v>APAGADO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 t="str">
        <f>ESTADISTICA!L359</f>
        <v>APAGADO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Radio"/>
      </filters>
    </filterColumn>
  </autoFilter>
  <conditionalFormatting sqref="AE2:AE1048576">
    <cfRule type="containsText" dxfId="1" priority="2" operator="containsText" text="APAGADO">
      <formula>NOT(ISERROR(SEARCH("APAGADO",AE2)))</formula>
    </cfRule>
  </conditionalFormatting>
  <conditionalFormatting sqref="F3:AG369">
    <cfRule type="containsText" dxfId="0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Q11" sqref="Q1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R17" sqref="R1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topLeftCell="A5" workbookViewId="0">
      <selection sqref="A1:B32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938</v>
      </c>
      <c r="B1" t="s">
        <v>20</v>
      </c>
      <c r="C1" t="s">
        <v>939</v>
      </c>
      <c r="D1" t="s">
        <v>1316</v>
      </c>
      <c r="E1" t="s">
        <v>941</v>
      </c>
      <c r="F1" t="s">
        <v>940</v>
      </c>
    </row>
    <row r="2" spans="1:6" x14ac:dyDescent="0.25">
      <c r="A2" s="26">
        <f>'APAGADOS RADIO'!F2</f>
        <v>44621</v>
      </c>
      <c r="B2">
        <f>'APAGADOS RADIO'!F1+D2</f>
        <v>10</v>
      </c>
      <c r="C2">
        <f>'APAGADOS FIBRA'!F1</f>
        <v>52</v>
      </c>
      <c r="D2">
        <f>'APAGADOS ANTENA'!F1</f>
        <v>2</v>
      </c>
      <c r="E2">
        <f>B2+C2</f>
        <v>62</v>
      </c>
      <c r="F2">
        <f>'RESUMEN TOTAL'!B1</f>
        <v>366</v>
      </c>
    </row>
    <row r="3" spans="1:6" x14ac:dyDescent="0.25">
      <c r="A3" s="26">
        <f>'APAGADOS RADIO'!G2</f>
        <v>44622</v>
      </c>
      <c r="B3">
        <f>'APAGADOS RADIO'!G1+D3</f>
        <v>11</v>
      </c>
      <c r="C3" s="31">
        <f>'APAGADOS FIBRA'!G1</f>
        <v>69</v>
      </c>
      <c r="D3">
        <f>'APAGADOS ANTENA'!G1</f>
        <v>4</v>
      </c>
      <c r="E3">
        <f t="shared" ref="E3" si="0">B3+C3</f>
        <v>80</v>
      </c>
      <c r="F3">
        <f>'RESUMEN TOTAL'!B1</f>
        <v>366</v>
      </c>
    </row>
    <row r="4" spans="1:6" x14ac:dyDescent="0.25">
      <c r="A4" s="26">
        <f>'APAGADOS RADIO'!H2</f>
        <v>44623</v>
      </c>
      <c r="F4">
        <f>'RESUMEN TOTAL'!B1</f>
        <v>366</v>
      </c>
    </row>
    <row r="5" spans="1:6" x14ac:dyDescent="0.25">
      <c r="A5" s="26">
        <f>'APAGADOS RADIO'!I2</f>
        <v>44624</v>
      </c>
      <c r="F5">
        <f>'RESUMEN TOTAL'!B1</f>
        <v>366</v>
      </c>
    </row>
    <row r="6" spans="1:6" x14ac:dyDescent="0.25">
      <c r="A6" s="26">
        <f>'APAGADOS RADIO'!J2</f>
        <v>44625</v>
      </c>
      <c r="F6">
        <f>'RESUMEN TOTAL'!B1</f>
        <v>366</v>
      </c>
    </row>
    <row r="7" spans="1:6" x14ac:dyDescent="0.25">
      <c r="A7" s="26">
        <f>'APAGADOS RADIO'!K2</f>
        <v>44626</v>
      </c>
      <c r="F7">
        <f>'RESUMEN TOTAL'!B1</f>
        <v>366</v>
      </c>
    </row>
    <row r="8" spans="1:6" x14ac:dyDescent="0.25">
      <c r="A8" s="26">
        <f>'APAGADOS RADIO'!L2</f>
        <v>44627</v>
      </c>
      <c r="F8">
        <f>'RESUMEN TOTAL'!B1</f>
        <v>366</v>
      </c>
    </row>
    <row r="9" spans="1:6" x14ac:dyDescent="0.25">
      <c r="A9" s="26">
        <f>'APAGADOS RADIO'!M2</f>
        <v>44628</v>
      </c>
      <c r="F9">
        <f>'RESUMEN TOTAL'!B1</f>
        <v>366</v>
      </c>
    </row>
    <row r="10" spans="1:6" x14ac:dyDescent="0.25">
      <c r="A10" s="26">
        <f>'APAGADOS RADIO'!N2</f>
        <v>44629</v>
      </c>
      <c r="F10">
        <f>'RESUMEN TOTAL'!B1</f>
        <v>366</v>
      </c>
    </row>
    <row r="11" spans="1:6" x14ac:dyDescent="0.25">
      <c r="A11" s="26">
        <f>'APAGADOS RADIO'!O2</f>
        <v>44630</v>
      </c>
      <c r="F11">
        <f>'RESUMEN TOTAL'!B1</f>
        <v>366</v>
      </c>
    </row>
    <row r="12" spans="1:6" x14ac:dyDescent="0.25">
      <c r="A12" s="26">
        <f>'APAGADOS RADIO'!P2</f>
        <v>44631</v>
      </c>
      <c r="F12">
        <f>'RESUMEN TOTAL'!B1</f>
        <v>366</v>
      </c>
    </row>
    <row r="13" spans="1:6" x14ac:dyDescent="0.25">
      <c r="A13" s="26">
        <f>'APAGADOS RADIO'!Q2</f>
        <v>44632</v>
      </c>
      <c r="F13">
        <f>'RESUMEN TOTAL'!B1</f>
        <v>366</v>
      </c>
    </row>
    <row r="14" spans="1:6" x14ac:dyDescent="0.25">
      <c r="A14" s="26">
        <f>'APAGADOS RADIO'!R2</f>
        <v>44633</v>
      </c>
      <c r="F14">
        <f>'RESUMEN TOTAL'!B1</f>
        <v>366</v>
      </c>
    </row>
    <row r="15" spans="1:6" x14ac:dyDescent="0.25">
      <c r="A15" s="26">
        <f>'APAGADOS RADIO'!S2</f>
        <v>44634</v>
      </c>
      <c r="F15">
        <f>'RESUMEN TOTAL'!B1</f>
        <v>366</v>
      </c>
    </row>
    <row r="16" spans="1:6" x14ac:dyDescent="0.25">
      <c r="A16" s="26">
        <f>'APAGADOS RADIO'!T2</f>
        <v>44635</v>
      </c>
      <c r="F16">
        <f>'RESUMEN TOTAL'!B1</f>
        <v>366</v>
      </c>
    </row>
    <row r="17" spans="1:6" x14ac:dyDescent="0.25">
      <c r="A17" s="26">
        <f>'APAGADOS RADIO'!U2</f>
        <v>44636</v>
      </c>
      <c r="F17">
        <f>'RESUMEN TOTAL'!B1</f>
        <v>366</v>
      </c>
    </row>
    <row r="18" spans="1:6" x14ac:dyDescent="0.25">
      <c r="A18" s="26">
        <f>'APAGADOS RADIO'!V2</f>
        <v>44637</v>
      </c>
      <c r="F18">
        <f>'RESUMEN TOTAL'!B1</f>
        <v>366</v>
      </c>
    </row>
    <row r="19" spans="1:6" x14ac:dyDescent="0.25">
      <c r="A19" s="26">
        <f>'APAGADOS RADIO'!W2</f>
        <v>44638</v>
      </c>
      <c r="F19">
        <f>'RESUMEN TOTAL'!B1</f>
        <v>366</v>
      </c>
    </row>
    <row r="20" spans="1:6" x14ac:dyDescent="0.25">
      <c r="A20" s="26">
        <f>'APAGADOS RADIO'!X2</f>
        <v>44639</v>
      </c>
      <c r="C20" s="31"/>
      <c r="F20">
        <f>'RESUMEN TOTAL'!B1</f>
        <v>366</v>
      </c>
    </row>
    <row r="21" spans="1:6" x14ac:dyDescent="0.25">
      <c r="A21" s="26">
        <f>'APAGADOS RADIO'!Y2</f>
        <v>44640</v>
      </c>
      <c r="F21">
        <f>'RESUMEN TOTAL'!B1</f>
        <v>366</v>
      </c>
    </row>
    <row r="22" spans="1:6" x14ac:dyDescent="0.25">
      <c r="A22" s="26">
        <f>'APAGADOS RADIO'!Z2</f>
        <v>44641</v>
      </c>
      <c r="B22" s="31"/>
      <c r="C22" s="31"/>
      <c r="F22">
        <f>'RESUMEN TOTAL'!B1</f>
        <v>366</v>
      </c>
    </row>
    <row r="23" spans="1:6" x14ac:dyDescent="0.25">
      <c r="A23" s="26">
        <f>'APAGADOS RADIO'!AA2</f>
        <v>44642</v>
      </c>
      <c r="B23" s="31"/>
      <c r="C23" s="31"/>
      <c r="F23">
        <f>'RESUMEN TOTAL'!B1</f>
        <v>366</v>
      </c>
    </row>
    <row r="24" spans="1:6" x14ac:dyDescent="0.25">
      <c r="A24" s="26">
        <f>'APAGADOS RADIO'!AB2</f>
        <v>44643</v>
      </c>
      <c r="B24" s="31"/>
      <c r="C24" s="31"/>
      <c r="F24">
        <f>'RESUMEN TOTAL'!B1</f>
        <v>366</v>
      </c>
    </row>
    <row r="25" spans="1:6" x14ac:dyDescent="0.25">
      <c r="A25" s="26">
        <f>'APAGADOS RADIO'!AC2</f>
        <v>44644</v>
      </c>
      <c r="B25" s="31"/>
      <c r="C25" s="31"/>
      <c r="F25">
        <f>'RESUMEN TOTAL'!B1</f>
        <v>366</v>
      </c>
    </row>
    <row r="26" spans="1:6" x14ac:dyDescent="0.25">
      <c r="A26" s="26">
        <f>'APAGADOS RADIO'!AD2</f>
        <v>44645</v>
      </c>
      <c r="B26" s="31"/>
      <c r="C26" s="31"/>
      <c r="F26">
        <f>'RESUMEN TOTAL'!B1</f>
        <v>366</v>
      </c>
    </row>
    <row r="27" spans="1:6" x14ac:dyDescent="0.25">
      <c r="A27" s="26">
        <f>'APAGADOS RADIO'!AE2</f>
        <v>44646</v>
      </c>
      <c r="F27">
        <f>'RESUMEN TOTAL'!B1</f>
        <v>366</v>
      </c>
    </row>
    <row r="28" spans="1:6" x14ac:dyDescent="0.25">
      <c r="A28" s="26">
        <f>'APAGADOS RADIO'!AF2</f>
        <v>44647</v>
      </c>
      <c r="F28">
        <f>'RESUMEN TOTAL'!B1</f>
        <v>366</v>
      </c>
    </row>
    <row r="29" spans="1:6" x14ac:dyDescent="0.25">
      <c r="A29" s="26">
        <f>'APAGADOS RADIO'!AG2</f>
        <v>44648</v>
      </c>
      <c r="F29">
        <f>'RESUMEN TOTAL'!B1</f>
        <v>366</v>
      </c>
    </row>
    <row r="30" spans="1:6" x14ac:dyDescent="0.25">
      <c r="A30" s="26">
        <f>'APAGADOS RADIO'!AH2</f>
        <v>44649</v>
      </c>
      <c r="F30">
        <f>'RESUMEN TOTAL'!B1</f>
        <v>366</v>
      </c>
    </row>
    <row r="31" spans="1:6" x14ac:dyDescent="0.25">
      <c r="A31" s="26">
        <f>'APAGADOS RADIO'!AI2</f>
        <v>44650</v>
      </c>
      <c r="F31">
        <f>'RESUMEN TOTAL'!B1</f>
        <v>366</v>
      </c>
    </row>
    <row r="32" spans="1:6" x14ac:dyDescent="0.25">
      <c r="A32" s="26">
        <f>'APAGADOS RADIO'!AJ2</f>
        <v>44651</v>
      </c>
      <c r="F32">
        <f>'RESUMEN TOTAL'!B1</f>
        <v>366</v>
      </c>
    </row>
    <row r="34" spans="1:30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31" customFormat="1" x14ac:dyDescent="0.25"/>
    <row r="36" spans="1:30" s="31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2022-03-07T17:07:26Z</dcterms:modified>
</cp:coreProperties>
</file>