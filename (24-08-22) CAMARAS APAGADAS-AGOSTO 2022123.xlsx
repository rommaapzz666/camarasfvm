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3A64E2B8-5055-4A1A-914A-2F71DA3C699E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25" l="1"/>
  <c r="AD5" i="25"/>
  <c r="D38" i="24"/>
  <c r="C39" i="24"/>
  <c r="D39" i="24" s="1"/>
  <c r="D33" i="24"/>
  <c r="C34" i="24"/>
  <c r="C35" i="24" s="1"/>
  <c r="D28" i="24"/>
  <c r="C29" i="24"/>
  <c r="D29" i="24" s="1"/>
  <c r="X3" i="25"/>
  <c r="X5" i="25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AD6" i="25" l="1"/>
  <c r="AD4" i="25"/>
  <c r="C40" i="24"/>
  <c r="D34" i="24"/>
  <c r="D35" i="24"/>
  <c r="C36" i="24"/>
  <c r="D36" i="24" s="1"/>
  <c r="X4" i="25"/>
  <c r="X6" i="25"/>
  <c r="C30" i="24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40" i="24" l="1"/>
  <c r="C41" i="24"/>
  <c r="D41" i="24" s="1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24" i="14" l="1"/>
  <c r="F25" i="14"/>
  <c r="F23" i="14"/>
  <c r="F22" i="14"/>
  <c r="F21" i="14"/>
  <c r="F20" i="14"/>
  <c r="F18" i="14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D25" i="14" s="1"/>
  <c r="U2" i="21"/>
  <c r="D17" i="14" s="1"/>
  <c r="M2" i="21"/>
  <c r="D9" i="14" s="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C23" i="14" s="1"/>
  <c r="AB2" i="10"/>
  <c r="C24" i="14" s="1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B24" i="14" s="1"/>
  <c r="E24" i="14" s="1"/>
  <c r="G24" i="14" s="1"/>
  <c r="V2" i="11"/>
  <c r="B18" i="14" s="1"/>
  <c r="B3" i="14"/>
  <c r="Q2" i="11"/>
  <c r="B13" i="14" s="1"/>
  <c r="E13" i="14" s="1"/>
  <c r="G13" i="14" s="1"/>
  <c r="AA2" i="11"/>
  <c r="B23" i="14" s="1"/>
  <c r="E23" i="14" s="1"/>
  <c r="G23" i="14" s="1"/>
  <c r="AC2" i="11"/>
  <c r="B25" i="14" s="1"/>
  <c r="E25" i="14" s="1"/>
  <c r="G25" i="14" s="1"/>
  <c r="U2" i="11"/>
  <c r="B17" i="14" s="1"/>
  <c r="E17" i="14" s="1"/>
  <c r="G17" i="14" s="1"/>
  <c r="AE2" i="11"/>
  <c r="AF2" i="11"/>
  <c r="X2" i="11"/>
  <c r="B20" i="14" s="1"/>
  <c r="E20" i="14" s="1"/>
  <c r="G20" i="14" s="1"/>
  <c r="AD2" i="1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s="1"/>
  <c r="G19" i="14" s="1"/>
  <c r="E18" i="14" l="1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<sst xmlns="http://schemas.openxmlformats.org/spreadsheetml/2006/main" count="3862" uniqueCount="1209">
  <si>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</si>
  <si>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</si>
  <si>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</si>
  <si>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</si>
  <si>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</si>
  <si>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</si>
  <si>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</si>
  <si>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</si>
  <si>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</si>
  <si>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</si>
  <si>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</si>
  <si>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</si>
  <si>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</si>
  <si>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</si>
  <si>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</si>
  <si>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</si>
  <si>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</si>
  <si>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</si>
  <si>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</si>
  <si>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</si>
  <si>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</si>
  <si>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</si>
  <si>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</si>
  <si>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</si>
  <si>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</si>
  <si>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</si>
  <si>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</si>
  <si>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</si>
  <si>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</si>
  <si>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</si>
  <si>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</si>
  <si>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</si>
  <si>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</si>
  <si>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</si>
  <si>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</si>
  <si>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</si>
  <si>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</si>
  <si>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</si>
  <si>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</si>
  <si>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</si>
  <si>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</si>
  <si>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</si>
  <si>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</si>
  <si>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</si>
  <si>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</si>
  <si>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</si>
  <si>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</si>
  <si>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</si>
  <si>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</si>
  <si>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</si>
  <si>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</si>
  <si>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</si>
  <si>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</si>
  <si>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</si>
  <si>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</si>
  <si>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</si>
  <si>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</si>
  <si>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</si>
  <si>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</si>
  <si>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</si>
  <si>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</si>
  <si>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</si>
  <si>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</si>
  <si>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</si>
  <si>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</si>
  <si>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</si>
  <si>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</si>
  <si>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</si>
  <si>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</si>
  <si>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</si>
  <si>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</si>
  <si>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</si>
  <si>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</si>
  <si>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</si>
  <si>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</si>
  <si>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</si>
  <si>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</si>
  <si>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</si>
  <si>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</si>
  <si>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</si>
  <si>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</si>
  <si>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</si>
  <si>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</si>
  <si>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</si>
  <si>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</si>
  <si>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</si>
  <si>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</si>
  <si>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</si>
  <si>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</si>
  <si>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</si>
  <si>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</si>
  <si>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</si>
  <si>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</si>
  <si>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</si>
  <si>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</si>
  <si>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</si>
  <si>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</si>
  <si>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</si>
  <si>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</si>
  <si>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</si>
  <si>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</si>
  <si>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</si>
  <si>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</si>
  <si>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</si>
  <si>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</si>
  <si>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</si>
  <si>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</si>
  <si>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</si>
  <si>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</si>
  <si>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</si>
  <si>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</si>
  <si>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</si>
  <si>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</si>
  <si>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</si>
  <si>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</si>
  <si>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</si>
  <si>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</si>
  <si>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</si>
  <si>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</si>
  <si>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</si>
  <si>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</si>
  <si>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</si>
  <si>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</si>
  <si>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</si>
  <si>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</si>
  <si>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</si>
  <si>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</si>
  <si>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</si>
  <si>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</si>
  <si>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</si>
  <si>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</si>
  <si>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</si>
  <si>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</si>
  <si>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</si>
  <si>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</si>
  <si>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</si>
  <si>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</si>
  <si>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</si>
  <si>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</si>
  <si>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</si>
  <si>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</si>
  <si>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</si>
  <si>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</si>
  <si>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</si>
  <si>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</si>
  <si>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</si>
  <si>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</si>
  <si>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</si>
  <si>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</si>
  <si>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</si>
  <si>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</si>
  <si>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</si>
  <si>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</si>
  <si>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</si>
  <si>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</si>
  <si>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</si>
  <si>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</si>
  <si>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</si>
  <si>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</si>
  <si>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</si>
  <si>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</si>
  <si>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</si>
  <si>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</si>
  <si>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</si>
  <si>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</si>
  <si>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</si>
  <si>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</si>
  <si>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</si>
  <si>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</si>
  <si>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</si>
  <si>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</si>
  <si>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</si>
  <si>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</si>
  <si>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</si>
  <si>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</si>
  <si>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</si>
  <si>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</si>
  <si>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</si>
  <si>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</si>
  <si>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</si>
  <si>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</si>
  <si>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</si>
  <si>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</si>
  <si>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</si>
  <si>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</si>
  <si>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</si>
  <si>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</si>
  <si>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</si>
  <si>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</si>
  <si>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</si>
  <si>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</si>
  <si>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</si>
  <si>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</si>
  <si>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</si>
  <si>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</si>
  <si>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</si>
  <si>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</si>
  <si>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</si>
  <si>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</si>
  <si>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</si>
  <si>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</si>
  <si>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</si>
  <si>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</si>
  <si>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</si>
  <si>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</si>
  <si>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</si>
  <si>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</si>
  <si>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</si>
  <si>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</si>
  <si>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</si>
  <si>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</si>
  <si>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</si>
  <si>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</si>
  <si>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</si>
  <si>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</si>
  <si>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</si>
  <si>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</si>
  <si>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</si>
  <si>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</si>
  <si>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</si>
  <si>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</si>
  <si>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</si>
  <si>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</si>
  <si>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</si>
  <si>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</si>
  <si>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</si>
  <si>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</si>
  <si>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</si>
  <si>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</si>
  <si>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</si>
  <si>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</si>
  <si>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</si>
  <si>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</si>
  <si>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</si>
  <si>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</si>
  <si>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</si>
  <si>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</si>
  <si>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</si>
  <si>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</si>
  <si>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</si>
  <si>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</si>
  <si>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</si>
  <si>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</si>
  <si>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</si>
  <si>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</si>
  <si>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</si>
  <si>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</si>
  <si>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</si>
  <si>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</si>
  <si>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</si>
  <si>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</si>
  <si>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</si>
  <si>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</si>
  <si>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</si>
  <si>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</si>
  <si>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</si>
  <si>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</si>
  <si>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</si>
  <si>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</si>
  <si>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</si>
  <si>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</si>
  <si>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</si>
  <si>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</si>
  <si>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</si>
  <si>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</si>
  <si>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</si>
  <si>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</si>
  <si>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</si>
  <si>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</si>
  <si>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</si>
  <si>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</si>
  <si>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</si>
  <si>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</si>
  <si>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</si>
  <si>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</si>
  <si>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</si>
  <si>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</si>
  <si>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</si>
  <si>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</si>
  <si>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</si>
  <si>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</si>
  <si>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</si>
  <si>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</si>
  <si>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</si>
  <si>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</si>
  <si>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</si>
  <si>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</si>
  <si>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</si>
  <si>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</si>
  <si>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</si>
  <si>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</si>
  <si>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</si>
  <si>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</si>
  <si>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</si>
  <si>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</si>
  <si>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</si>
  <si>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</si>
  <si>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</si>
  <si>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</si>
  <si>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</si>
  <si>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</si>
  <si>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</si>
  <si>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</si>
  <si>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</si>
  <si>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</si>
  <si>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</si>
  <si>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</si>
  <si>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</si>
  <si>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</si>
  <si>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</si>
  <si>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</si>
  <si>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</si>
  <si>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</si>
  <si>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</si>
  <si>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</si>
  <si>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</si>
  <si>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</si>
  <si>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</si>
  <si>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</si>
  <si>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</si>
  <si>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</si>
  <si>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</si>
  <si>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</si>
  <si>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</si>
  <si>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</si>
  <si>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</si>
  <si>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</si>
  <si>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</si>
  <si>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</si>
  <si>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</si>
  <si>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</si>
  <si>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</si>
  <si>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</si>
  <si>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</si>
  <si>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</si>
  <si>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</si>
  <si>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</si>
  <si>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</si>
  <si>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</si>
  <si>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</si>
  <si>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</si>
  <si>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</si>
  <si>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</si>
  <si>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</si>
  <si>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</si>
  <si>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</si>
  <si>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</si>
  <si>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</si>
  <si>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</si>
  <si>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</si>
  <si>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</si>
  <si>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</si>
  <si>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</si>
  <si>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</si>
  <si>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</si>
  <si>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</si>
  <si>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</si>
  <si>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</si>
  <si>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</si>
  <si>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</si>
  <si>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</si>
  <si>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</si>
  <si>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</si>
  <si>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</si>
  <si>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</si>
  <si>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</si>
  <si>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</si>
  <si>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</si>
  <si>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</si>
  <si>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</si>
  <si>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</si>
  <si>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</si>
  <si>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</si>
  <si>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</si>
  <si>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</si>
  <si>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</si>
  <si>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</si>
  <si>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</si>
  <si>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</si>
  <si>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</si>
  <si>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</si>
  <si>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</si>
  <si>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</si>
  <si>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</si>
  <si>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</si>
  <si>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</si>
  <si>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</si>
  <si>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</si>
  <si>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</si>
  <si>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</si>
  <si>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</si>
  <si>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</si>
  <si>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</si>
  <si>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</si>
  <si>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</si>
  <si>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</si>
  <si>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</si>
  <si>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</si>
  <si>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</si>
  <si>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</si>
  <si>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</si>
  <si>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</si>
  <si>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</si>
  <si>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</si>
  <si>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</si>
  <si>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</si>
  <si>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</si>
  <si>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</si>
  <si>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</si>
  <si>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</si>
  <si>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</si>
  <si>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</si>
  <si>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</si>
  <si>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</si>
  <si>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</si>
  <si>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</si>
  <si>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</si>
  <si>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</si>
  <si>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</si>
  <si>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</si>
  <si>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</si>
  <si>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</si>
  <si>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</si>
  <si>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</si>
  <si>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</si>
  <si>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</si>
  <si>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</si>
  <si>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</si>
  <si>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</si>
  <si>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</si>
  <si>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</si>
  <si>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</si>
  <si>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</si>
  <si>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</si>
  <si>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</si>
  <si>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</si>
  <si>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</si>
  <si>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</si>
  <si>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</si>
  <si>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</si>
  <si>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</si>
  <si>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</si>
  <si>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</si>
  <si>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</si>
  <si>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</si>
  <si>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</si>
  <si>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</si>
  <si>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</si>
  <si>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</si>
  <si>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</si>
  <si>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</si>
  <si>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</si>
  <si>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</si>
  <si>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</si>
  <si>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</si>
  <si>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</si>
  <si>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</si>
  <si>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</si>
  <si>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</si>
  <si>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</si>
  <si>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</si>
  <si>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</si>
  <si>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</si>
  <si>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</si>
  <si>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</si>
  <si>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</si>
  <si>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</si>
  <si>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</si>
  <si>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</si>
  <si>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</si>
  <si>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</si>
  <si>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</si>
  <si>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</si>
  <si>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</si>
  <si>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</si>
  <si>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</si>
  <si>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</si>
  <si>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</si>
  <si>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</si>
  <si>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</si>
  <si>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</si>
  <si>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</si>
  <si>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</si>
  <si>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</si>
  <si>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</si>
  <si>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</si>
  <si>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</si>
  <si>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</si>
  <si>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</si>
  <si>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</si>
  <si>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</si>
  <si>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</si>
  <si>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</si>
  <si>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</si>
  <si>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</si>
  <si>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</si>
  <si>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</si>
  <si>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</si>
  <si>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</si>
  <si>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</si>
  <si>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</si>
  <si>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</si>
  <si>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</si>
  <si>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</si>
  <si>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</si>
  <si>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</si>
  <si>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</si>
  <si>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</si>
  <si>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</si>
  <si>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</si>
  <si>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</si>
  <si>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</si>
  <si>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</si>
  <si>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</si>
  <si>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</si>
  <si>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</si>
  <si>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</si>
  <si>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</si>
  <si>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</si>
  <si>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</si>
  <si>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</si>
  <si>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</si>
  <si>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</si>
  <si>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</si>
  <si>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</si>
  <si>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</si>
  <si>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</si>
  <si>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</si>
  <si>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</si>
  <si>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</si>
  <si>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</si>
  <si>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</si>
  <si>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</si>
  <si>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</si>
  <si>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</si>
  <si>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</si>
  <si>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</si>
  <si>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</si>
  <si>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</si>
  <si>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</si>
  <si>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</si>
  <si>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</si>
  <si>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</si>
  <si>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</si>
  <si>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</si>
  <si>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</si>
  <si>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</si>
  <si>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</si>
  <si>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</si>
  <si>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</si>
  <si>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</si>
  <si>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</si>
  <si>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</si>
  <si>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</si>
  <si>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</si>
  <si>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</si>
  <si>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</si>
  <si>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</si>
  <si>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</si>
  <si>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</si>
  <si>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</si>
  <si>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</si>
  <si>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</si>
  <si>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</si>
  <si>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</si>
  <si>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</si>
  <si>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</si>
  <si>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</si>
  <si>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</si>
  <si>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</si>
  <si>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</si>
  <si>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</si>
  <si>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</si>
  <si>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</si>
  <si>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</si>
  <si>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</si>
  <si>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</si>
  <si>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</si>
  <si>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</si>
  <si>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</si>
  <si>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</si>
  <si>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</si>
  <si>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</si>
  <si>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</si>
  <si>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</si>
  <si>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</si>
  <si>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</si>
  <si>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</si>
  <si>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</si>
  <si>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</si>
  <si>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</si>
  <si>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</si>
  <si>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</si>
  <si>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</si>
  <si>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</si>
  <si>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</si>
  <si>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</si>
  <si>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</si>
  <si>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</si>
  <si>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</si>
  <si>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</si>
  <si>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</si>
  <si>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</si>
  <si>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</si>
  <si>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</si>
  <si>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</si>
  <si>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</si>
  <si>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</si>
  <si>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</si>
  <si>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</si>
  <si>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</si>
  <si>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</si>
  <si>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</si>
  <si>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</si>
  <si>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</si>
  <si>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</si>
  <si>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</si>
  <si>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</si>
  <si>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</si>
  <si>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</si>
  <si>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</si>
  <si>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</si>
  <si>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</si>
  <si>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</si>
  <si>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</si>
  <si>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</si>
  <si>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</si>
  <si>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</si>
  <si>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</si>
  <si>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</si>
  <si>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</si>
  <si>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</si>
  <si>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</si>
  <si>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</si>
  <si>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</si>
  <si>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</si>
  <si>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</si>
  <si>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</si>
  <si>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</si>
  <si>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</si>
  <si>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</si>
  <si>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</si>
  <si>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</si>
  <si>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</si>
  <si>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</si>
  <si>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</si>
  <si>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</si>
  <si>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</si>
  <si>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</si>
  <si>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</si>
  <si>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</si>
  <si>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</si>
  <si>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</si>
  <si>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</si>
  <si>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</si>
  <si>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</si>
  <si>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</si>
  <si>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</si>
  <si>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</si>
  <si>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</si>
  <si>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</si>
  <si>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</si>
  <si>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</si>
  <si>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</si>
  <si>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</si>
  <si>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</si>
  <si>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</si>
  <si>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</si>
  <si>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</si>
  <si>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</si>
  <si>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</si>
  <si>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</si>
  <si>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</si>
  <si>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</si>
  <si>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</si>
  <si>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</si>
  <si>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</si>
  <si>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</si>
  <si>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</si>
  <si>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</si>
  <si>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</si>
  <si>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</si>
  <si>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</si>
  <si>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</si>
  <si>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</si>
  <si>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</si>
  <si>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</si>
  <si>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</si>
  <si>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</si>
  <si>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</si>
  <si>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</si>
  <si>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</si>
  <si>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</si>
  <si>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</si>
  <si>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</si>
  <si>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</si>
  <si>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</si>
  <si>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</si>
  <si>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</si>
  <si>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</si>
  <si>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</si>
  <si>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</si>
  <si>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</si>
  <si>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</si>
  <si>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</si>
  <si>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</si>
  <si>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</si>
  <si>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</si>
  <si>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</si>
  <si>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</si>
  <si>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</si>
  <si>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</si>
  <si>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</si>
  <si>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</si>
  <si>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</si>
  <si>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</si>
  <si>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</si>
  <si>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</si>
  <si>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</si>
  <si>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</si>
  <si>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</si>
  <si>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</si>
  <si>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</si>
  <si>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</si>
  <si>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</si>
  <si>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</si>
  <si>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</si>
  <si>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</si>
  <si>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</si>
  <si>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</si>
  <si>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</si>
  <si>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</si>
  <si>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</si>
  <si>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</si>
  <si>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</si>
  <si>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</si>
  <si>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</si>
  <si>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</si>
  <si>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</si>
  <si>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</si>
  <si>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</si>
  <si>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</si>
  <si>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</si>
  <si>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</si>
  <si>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</si>
  <si>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</si>
  <si>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</si>
  <si>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</si>
  <si>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</si>
  <si>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</si>
  <si>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</si>
  <si>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</si>
  <si>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</si>
  <si>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</si>
  <si>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</si>
  <si>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</si>
  <si>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</si>
  <si>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</si>
  <si>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</si>
  <si>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</si>
  <si>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</si>
  <si>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</si>
  <si>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</si>
  <si>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</si>
  <si>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</si>
  <si>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</si>
  <si>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</si>
  <si>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</si>
  <si>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</si>
  <si>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</si>
  <si>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</si>
  <si>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</si>
  <si>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</si>
  <si>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</si>
  <si>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</si>
  <si>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</si>
  <si>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</si>
  <si>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</si>
  <si>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</si>
  <si>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</si>
  <si>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</si>
  <si>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</si>
  <si>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</si>
  <si>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</si>
  <si>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</si>
  <si>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</si>
  <si>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</si>
  <si>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</si>
  <si>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</si>
  <si>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</si>
  <si>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</si>
  <si>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</si>
  <si>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</si>
  <si>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</si>
  <si>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</si>
  <si>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</si>
  <si>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</si>
  <si>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</si>
  <si>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</si>
  <si>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</si>
  <si>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</si>
  <si>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</si>
  <si>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</si>
  <si>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</si>
  <si>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</si>
  <si>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</si>
  <si>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</si>
  <si>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</si>
  <si>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</si>
  <si>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</si>
  <si>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</si>
  <si>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</si>
  <si>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</si>
  <si>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</si>
  <si>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</si>
  <si>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</si>
  <si>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</si>
  <si>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</si>
  <si>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</si>
  <si>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</si>
  <si>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</si>
  <si>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</si>
  <si>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</si>
  <si>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</si>
  <si>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</si>
  <si>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</si>
  <si>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</si>
  <si>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</si>
  <si>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</si>
  <si>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</si>
  <si>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</si>
  <si>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</si>
  <si>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</si>
  <si>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</si>
  <si>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</si>
  <si>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</si>
  <si>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</si>
  <si>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</si>
  <si>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</si>
  <si>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</si>
  <si>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</si>
  <si>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</si>
  <si>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</si>
  <si>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</si>
  <si>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</si>
  <si>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</si>
  <si>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</si>
  <si>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</si>
  <si>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</si>
  <si>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</si>
  <si>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</si>
  <si>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</si>
  <si>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</si>
  <si>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</si>
  <si>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</si>
  <si>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</si>
  <si>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</si>
  <si>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</si>
  <si>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</si>
  <si>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</si>
  <si>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</si>
  <si>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</si>
  <si>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</si>
  <si>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</si>
  <si>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</si>
  <si>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</si>
  <si>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</si>
  <si>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</si>
  <si>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</si>
  <si>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</si>
  <si>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</si>
  <si>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</si>
  <si>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</si>
  <si>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</si>
  <si>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</si>
  <si>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</si>
  <si>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</si>
  <si>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</si>
  <si>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</si>
  <si>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</si>
  <si>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</si>
  <si>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</si>
  <si>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</si>
  <si>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</si>
  <si>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</si>
  <si>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</si>
  <si>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</si>
  <si>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</si>
  <si>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</si>
  <si>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</si>
  <si>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</si>
  <si>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</si>
  <si>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</si>
  <si>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</si>
  <si>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</si>
  <si>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</si>
  <si>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</si>
  <si>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</si>
  <si>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</si>
  <si>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</si>
  <si>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</si>
  <si>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</si>
  <si>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</si>
  <si>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</si>
  <si>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</si>
  <si>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</si>
  <si>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</si>
  <si>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</si>
  <si>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</si>
  <si>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</si>
  <si>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</si>
  <si>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</si>
  <si>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</si>
  <si>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</si>
  <si>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</si>
  <si>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</si>
  <si>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</si>
  <si>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</si>
  <si>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</si>
  <si>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</si>
  <si>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</si>
  <si>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</si>
  <si>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</si>
  <si>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</si>
  <si>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</si>
  <si>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</si>
  <si>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</si>
  <si>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</si>
  <si>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</si>
  <si>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</si>
  <si>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</si>
  <si>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</si>
  <si>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</si>
  <si>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</si>
  <si>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</si>
  <si>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</si>
  <si>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</si>
  <si>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</si>
  <si>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</si>
  <si>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</si>
  <si>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</si>
  <si>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</si>
  <si>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</si>
  <si>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</si>
  <si>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</si>
  <si>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</si>
  <si>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</si>
  <si>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</si>
  <si>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</si>
  <si>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</si>
  <si>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</si>
  <si>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</si>
  <si>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</si>
  <si>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</si>
  <si>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</si>
  <si>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</si>
  <si>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</si>
  <si>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</si>
  <si>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</si>
  <si>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</si>
  <si>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</si>
  <si>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</si>
  <si>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</si>
  <si>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</si>
  <si>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</si>
  <si>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</si>
  <si>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</si>
  <si>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</si>
  <si>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</si>
  <si>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</si>
  <si>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</si>
  <si>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</si>
  <si>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</si>
  <si>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</si>
  <si>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</si>
  <si>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</si>
  <si>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</si>
  <si>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</si>
  <si>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</si>
  <si>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</si>
  <si>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</si>
  <si>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</si>
  <si>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</si>
  <si>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</si>
  <si>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</si>
  <si>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</si>
  <si>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</si>
  <si>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</si>
  <si>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</si>
  <si>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</si>
  <si>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</si>
  <si>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</si>
  <si>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</si>
  <si>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</si>
  <si>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</si>
  <si>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</si>
  <si>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</si>
  <si>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</si>
  <si>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</si>
  <si>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</si>
  <si>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</si>
  <si>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</si>
  <si>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</si>
  <si>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</si>
  <si>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</si>
  <si>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</si>
  <si>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</si>
  <si>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</si>
  <si>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</si>
  <si>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</si>
  <si>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</si>
  <si>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</si>
  <si>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</si>
  <si>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</si>
  <si>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</si>
  <si>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</si>
  <si>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</si>
  <si>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</si>
  <si>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</si>
  <si>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</si>
  <si>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</si>
  <si>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</si>
  <si>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</si>
  <si>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</si>
  <si>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</si>
  <si>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</si>
  <si>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</si>
  <si>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</si>
  <si>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</si>
  <si>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</si>
  <si>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</si>
  <si>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</si>
  <si>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</si>
  <si>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</si>
  <si>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</si>
  <si>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</si>
  <si>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</si>
  <si>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</si>
  <si>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</si>
  <si>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</si>
  <si>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</si>
  <si>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</si>
  <si>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</si>
  <si>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</si>
  <si>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</si>
  <si>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</si>
  <si>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</si>
  <si>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</si>
  <si>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</si>
  <si>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</si>
  <si>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</si>
  <si>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</si>
  <si>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</si>
  <si>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</si>
  <si>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</si>
  <si>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</si>
  <si>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</si>
  <si>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</si>
  <si>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</si>
  <si>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</si>
  <si>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</si>
  <si>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</si>
  <si>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</si>
  <si>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</si>
  <si>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</si>
  <si>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</si>
  <si>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</si>
  <si>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</si>
  <si>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</si>
  <si>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</si>
  <si>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</si>
  <si>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</si>
  <si>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</si>
  <si>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</si>
  <si>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</si>
  <si>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</si>
  <si>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</si>
  <si>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</si>
  <si>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</si>
  <si>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</si>
  <si>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</si>
  <si>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</si>
  <si>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</si>
  <si>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</si>
  <si>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</si>
  <si>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</si>
  <si>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</si>
  <si>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</si>
  <si>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</si>
  <si>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</si>
  <si>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</si>
  <si>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</si>
  <si>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</si>
  <si>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</si>
  <si>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</si>
  <si>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</si>
  <si>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</si>
  <si>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</si>
  <si>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</si>
  <si>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</si>
  <si>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</si>
  <si>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</si>
  <si>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</si>
  <si>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</si>
  <si>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</si>
  <si>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</si>
  <si>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</si>
  <si>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</si>
  <si>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</si>
  <si>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</si>
  <si>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</si>
  <si>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</si>
  <si>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</si>
  <si>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</si>
  <si>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</si>
  <si>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</si>
  <si>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</si>
  <si>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</si>
  <si>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</si>
  <si>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</si>
  <si>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</si>
  <si>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</si>
  <si>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</si>
  <si>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</si>
  <si>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</si>
  <si>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</si>
  <si>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</si>
  <si>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</si>
  <si>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</si>
  <si>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</si>
  <si>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</si>
  <si>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</si>
  <si>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</si>
  <si>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</si>
  <si>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</si>
  <si>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</si>
  <si>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</si>
  <si>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</si>
  <si>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</si>
  <si>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</si>
  <si>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</si>
  <si>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</si>
  <si>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</si>
  <si>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</si>
  <si>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</si>
  <si>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</si>
  <si>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</si>
  <si>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</si>
  <si>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</si>
  <si>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</si>
  <si>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</si>
  <si>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</si>
  <si>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</si>
  <si>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</si>
  <si>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</si>
  <si>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</si>
  <si>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</si>
  <si>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</si>
  <si>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</si>
  <si>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</si>
  <si>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</si>
  <si>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</si>
  <si>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</si>
  <si>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</si>
  <si>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</si>
  <si>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</si>
  <si>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</si>
  <si>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</si>
  <si>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</si>
  <si>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</si>
  <si>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</si>
  <si>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</si>
  <si>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</si>
  <si>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</si>
  <si>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</si>
  <si>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</si>
  <si>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</si>
  <si>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</si>
  <si>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</si>
  <si>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</si>
  <si>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</si>
  <si>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</si>
  <si>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</si>
  <si>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</si>
  <si>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</si>
  <si>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</si>
  <si>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</si>
  <si>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</si>
  <si>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</si>
  <si>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</si>
  <si>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</si>
  <si>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</si>
  <si>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</si>
  <si>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</si>
  <si>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</si>
  <si>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</si>
  <si>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</si>
  <si>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</si>
  <si>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</si>
  <si>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</si>
  <si>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</si>
  <si>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</si>
  <si>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</si>
  <si>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</si>
  <si>
    <t>Monteagudo y Pte. Peron</t>
  </si>
  <si>
    <t>San Martin y Pte.Peron</t>
  </si>
  <si>
    <t>San Martin y Guemes</t>
  </si>
  <si>
    <t>ESPAÑA E/MITRE Y BOCUZZI</t>
  </si>
  <si>
    <t>Pte.Peron e/Pringles y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</si>
</sst>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27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0.12735849056603774</c:v>
                      </c:pt>
                      <c:pt idx="23">
                        <c:v>0.10377358490566038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0.05</c:v>
                      </c:pt>
                      <c:pt idx="23">
                        <c:v>4.4444444444444446E-2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0.12735849056603774</c:v>
                </c:pt>
                <c:pt idx="23">
                  <c:v>0.10377358490566038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4.4444444444444446E-2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27</c:v>
                      </c:pt>
                      <c:pt idx="23">
                        <c:v>22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K41" activePane="bottomRight" state="frozen"/>
      <selection pane="topRight" activeCell="M1" sqref="M1"/>
      <selection pane="bottomLeft" activeCell="A5" sqref="A5"/>
      <selection pane="bottomRight" activeCell="D49" sqref="D49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7" width="13.7109375" style="24" customWidth="1"/>
    <col min="8" max="8" width="14.7109375" customWidth="1"/>
    <col min="9" max="9" width="6.7109375" customWidth="1"/>
    <col min="10" max="10" width="11.5703125" style="5" customWidth="1"/>
    <col min="11" max="19" width="8.7109375" style="22" customWidth="1"/>
    <col min="20" max="40" width="14.140625" style="22" bestFit="1" customWidth="1"/>
    <col min="41" max="41" width="14.140625" bestFit="1" customWidth="1"/>
  </cols>
  <sheetData>
    <row r="1" spans="1:41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9.3333333333333338E-2</v>
      </c>
      <c r="AF1" s="4">
        <f t="shared" si="0"/>
        <v>8.7999999999999995E-2</v>
      </c>
      <c r="AG1" s="4">
        <f t="shared" si="0"/>
        <v>9.6000000000000002E-2</v>
      </c>
      <c r="AH1" s="4">
        <f t="shared" si="0"/>
        <v>0.08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25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340</v>
      </c>
      <c r="AF2" s="10">
        <f>COUNTIF(AF5:AF379, "")</f>
        <v>342</v>
      </c>
      <c r="AG2" s="10">
        <f>COUNTIF(AG5:AG379, "")</f>
        <v>339</v>
      </c>
      <c r="AH2" s="10">
        <f>COUNTIF(AH5:AH379, "")</f>
        <v>345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33</v>
      </c>
      <c r="AG3" s="14">
        <f t="shared" si="5"/>
        <v>36</v>
      </c>
      <c r="AH3" s="14">
        <f t="shared" si="5"/>
        <v>30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2.25" thickTop="1" thickBot="1" x14ac:dyDescent="0.35">
      <c r="A4" t="s">
        <v>7</v>
      </c>
      <c r="B4" s="45" t="s">
        <v>8</v>
      </c>
      <c r="C4" s="102" t="s">
        <v>1186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6.5" thickTop="1" thickBot="1" x14ac:dyDescent="0.3">
      <c r="A5" s="51" t="s">
        <v>26</v>
      </c>
      <c r="B5" s="51" t="s">
        <v>1015</v>
      </c>
      <c r="C5" s="51" t="s">
        <v>1187</v>
      </c>
      <c r="D5" s="51" t="s">
        <v>33</v>
      </c>
      <c r="E5" s="51" t="s">
        <v>19</v>
      </c>
      <c r="F5" s="51" t="s">
        <v>1179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.75" thickBot="1" x14ac:dyDescent="0.3">
      <c r="A6" s="51" t="s">
        <v>26</v>
      </c>
      <c r="B6" s="51" t="s">
        <v>1016</v>
      </c>
      <c r="C6" s="51" t="s">
        <v>1187</v>
      </c>
      <c r="D6" s="51" t="s">
        <v>34</v>
      </c>
      <c r="E6" s="51" t="s">
        <v>19</v>
      </c>
      <c r="F6" s="51" t="s">
        <v>1179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.75" thickBot="1" x14ac:dyDescent="0.3">
      <c r="A7" s="51" t="s">
        <v>26</v>
      </c>
      <c r="B7" s="51" t="s">
        <v>1017</v>
      </c>
      <c r="C7" s="51" t="s">
        <v>1187</v>
      </c>
      <c r="D7" s="51" t="s">
        <v>27</v>
      </c>
      <c r="E7" s="51" t="s">
        <v>19</v>
      </c>
      <c r="F7" s="51" t="s">
        <v>1180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.75" thickBot="1" x14ac:dyDescent="0.3">
      <c r="A8" s="51" t="s">
        <v>26</v>
      </c>
      <c r="B8" s="51" t="s">
        <v>1018</v>
      </c>
      <c r="C8" s="51" t="s">
        <v>1187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.75" thickBot="1" x14ac:dyDescent="0.3">
      <c r="A9" s="51" t="s">
        <v>26</v>
      </c>
      <c r="B9" s="51" t="s">
        <v>1019</v>
      </c>
      <c r="C9" s="51" t="s">
        <v>1187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.75" thickBot="1" x14ac:dyDescent="0.3">
      <c r="A10" s="51" t="s">
        <v>26</v>
      </c>
      <c r="B10" s="51" t="s">
        <v>1020</v>
      </c>
      <c r="C10" s="51" t="s">
        <v>1187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25</v>
      </c>
      <c r="I10" s="17">
        <f t="shared" si="8"/>
        <v>5</v>
      </c>
      <c r="J10" s="18">
        <f t="shared" si="9"/>
        <v>0.83333333333333337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 t="s">
        <v>1010</v>
      </c>
      <c r="AH10" s="8" t="s">
        <v>1010</v>
      </c>
      <c r="AI10" s="8"/>
      <c r="AJ10" s="27"/>
      <c r="AK10" s="8"/>
      <c r="AL10" s="8"/>
      <c r="AM10" s="27"/>
      <c r="AN10" s="27"/>
      <c r="AO10" s="27"/>
    </row>
    <row r="11" spans="1:41" ht="15.75" thickBot="1" x14ac:dyDescent="0.3">
      <c r="A11" s="51" t="s">
        <v>26</v>
      </c>
      <c r="B11" s="51" t="s">
        <v>29</v>
      </c>
      <c r="C11" s="51" t="s">
        <v>1187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.75" thickBot="1" x14ac:dyDescent="0.3">
      <c r="A12" s="51" t="s">
        <v>26</v>
      </c>
      <c r="B12" s="51" t="s">
        <v>31</v>
      </c>
      <c r="C12" s="51" t="s">
        <v>1187</v>
      </c>
      <c r="D12" s="51" t="s">
        <v>32</v>
      </c>
      <c r="E12" s="51" t="s">
        <v>19</v>
      </c>
      <c r="F12" s="51" t="s">
        <v>1180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.75" thickBot="1" x14ac:dyDescent="0.3">
      <c r="A13" s="51" t="s">
        <v>26</v>
      </c>
      <c r="B13" s="51" t="s">
        <v>35</v>
      </c>
      <c r="C13" s="51" t="s">
        <v>1187</v>
      </c>
      <c r="D13" s="51" t="s">
        <v>36</v>
      </c>
      <c r="E13" s="51" t="s">
        <v>19</v>
      </c>
      <c r="F13" s="51" t="s">
        <v>1180</v>
      </c>
      <c r="G13" s="51" t="s">
        <v>633</v>
      </c>
      <c r="H13" s="53">
        <f t="shared" si="10"/>
        <v>25</v>
      </c>
      <c r="I13" s="17">
        <f t="shared" si="8"/>
        <v>5</v>
      </c>
      <c r="J13" s="18">
        <f t="shared" si="9"/>
        <v>0.83333333333333337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 t="s">
        <v>1010</v>
      </c>
      <c r="AH13" s="8" t="s">
        <v>1010</v>
      </c>
      <c r="AI13" s="8"/>
      <c r="AJ13" s="27"/>
      <c r="AK13" s="8"/>
      <c r="AL13" s="8"/>
      <c r="AM13" s="27"/>
      <c r="AN13" s="27"/>
      <c r="AO13" s="27"/>
    </row>
    <row r="14" spans="1:41" ht="15.75" thickBot="1" x14ac:dyDescent="0.3">
      <c r="A14" s="51" t="s">
        <v>26</v>
      </c>
      <c r="B14" s="51" t="s">
        <v>37</v>
      </c>
      <c r="C14" s="51" t="s">
        <v>1187</v>
      </c>
      <c r="D14" s="51" t="s">
        <v>38</v>
      </c>
      <c r="E14" s="51" t="s">
        <v>15</v>
      </c>
      <c r="F14" s="51" t="s">
        <v>1180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.75" thickBot="1" x14ac:dyDescent="0.3">
      <c r="A15" s="51" t="s">
        <v>41</v>
      </c>
      <c r="B15" s="51" t="s">
        <v>1022</v>
      </c>
      <c r="C15" s="51" t="s">
        <v>1188</v>
      </c>
      <c r="D15" s="51" t="s">
        <v>42</v>
      </c>
      <c r="E15" s="51" t="s">
        <v>19</v>
      </c>
      <c r="F15" s="51" t="s">
        <v>1179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.75" thickBot="1" x14ac:dyDescent="0.3">
      <c r="A16" s="51" t="s">
        <v>43</v>
      </c>
      <c r="B16" s="51" t="s">
        <v>1023</v>
      </c>
      <c r="C16" s="51" t="s">
        <v>1187</v>
      </c>
      <c r="D16" s="51" t="s">
        <v>44</v>
      </c>
      <c r="E16" s="51" t="s">
        <v>15</v>
      </c>
      <c r="F16" s="51" t="s">
        <v>1179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.75" thickBot="1" x14ac:dyDescent="0.3">
      <c r="A17" s="51" t="s">
        <v>52</v>
      </c>
      <c r="B17" s="51" t="s">
        <v>1024</v>
      </c>
      <c r="C17" s="51" t="s">
        <v>1187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.75" thickBot="1" x14ac:dyDescent="0.3">
      <c r="A18" s="51" t="s">
        <v>52</v>
      </c>
      <c r="B18" s="51" t="s">
        <v>1026</v>
      </c>
      <c r="C18" s="51" t="s">
        <v>1187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.75" thickBot="1" x14ac:dyDescent="0.3">
      <c r="A19" s="51" t="s">
        <v>52</v>
      </c>
      <c r="B19" s="51" t="s">
        <v>1027</v>
      </c>
      <c r="C19" s="51" t="s">
        <v>1187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.75" thickBot="1" x14ac:dyDescent="0.3">
      <c r="A20" s="51" t="s">
        <v>52</v>
      </c>
      <c r="B20" s="51" t="s">
        <v>1028</v>
      </c>
      <c r="C20" s="51" t="s">
        <v>1187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.75" thickBot="1" x14ac:dyDescent="0.3">
      <c r="A21" s="51" t="s">
        <v>52</v>
      </c>
      <c r="B21" s="51" t="s">
        <v>1029</v>
      </c>
      <c r="C21" s="51" t="s">
        <v>1187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.75" thickBot="1" x14ac:dyDescent="0.3">
      <c r="A22" s="51" t="s">
        <v>52</v>
      </c>
      <c r="B22" s="51" t="s">
        <v>1030</v>
      </c>
      <c r="C22" s="51" t="s">
        <v>1187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.75" thickBot="1" x14ac:dyDescent="0.3">
      <c r="A23" s="51" t="s">
        <v>52</v>
      </c>
      <c r="B23" s="51" t="s">
        <v>1031</v>
      </c>
      <c r="C23" s="51" t="s">
        <v>1187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.75" thickBot="1" x14ac:dyDescent="0.3">
      <c r="A24" s="51" t="s">
        <v>52</v>
      </c>
      <c r="B24" s="51" t="s">
        <v>48</v>
      </c>
      <c r="C24" s="51" t="s">
        <v>1187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.75" thickBot="1" x14ac:dyDescent="0.3">
      <c r="A25" s="51" t="s">
        <v>52</v>
      </c>
      <c r="B25" s="51" t="s">
        <v>50</v>
      </c>
      <c r="C25" s="51" t="s">
        <v>1187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.75" thickBot="1" x14ac:dyDescent="0.3">
      <c r="A26" s="51" t="s">
        <v>52</v>
      </c>
      <c r="B26" s="51" t="s">
        <v>53</v>
      </c>
      <c r="C26" s="51" t="s">
        <v>1187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.75" thickBot="1" x14ac:dyDescent="0.3">
      <c r="A27" s="51" t="s">
        <v>52</v>
      </c>
      <c r="B27" s="51" t="s">
        <v>55</v>
      </c>
      <c r="C27" s="51" t="s">
        <v>1187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.75" thickBot="1" x14ac:dyDescent="0.3">
      <c r="A28" s="51" t="s">
        <v>52</v>
      </c>
      <c r="B28" s="51" t="s">
        <v>57</v>
      </c>
      <c r="C28" s="51" t="s">
        <v>1187</v>
      </c>
      <c r="D28" s="51" t="s">
        <v>58</v>
      </c>
      <c r="E28" s="51" t="s">
        <v>15</v>
      </c>
      <c r="F28" s="51" t="s">
        <v>1179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.75" thickBot="1" x14ac:dyDescent="0.3">
      <c r="A29" s="51" t="s">
        <v>52</v>
      </c>
      <c r="B29" s="51" t="s">
        <v>60</v>
      </c>
      <c r="C29" s="51" t="s">
        <v>1187</v>
      </c>
      <c r="D29" s="51" t="s">
        <v>61</v>
      </c>
      <c r="E29" s="51" t="s">
        <v>15</v>
      </c>
      <c r="F29" s="51" t="s">
        <v>1180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.75" thickBot="1" x14ac:dyDescent="0.3">
      <c r="A30" s="51" t="s">
        <v>52</v>
      </c>
      <c r="B30" s="51" t="s">
        <v>62</v>
      </c>
      <c r="C30" s="51" t="s">
        <v>1187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.75" thickBot="1" x14ac:dyDescent="0.3">
      <c r="A31" s="51" t="s">
        <v>52</v>
      </c>
      <c r="B31" s="51" t="s">
        <v>1032</v>
      </c>
      <c r="C31" s="51" t="s">
        <v>1187</v>
      </c>
      <c r="D31" s="51" t="s">
        <v>157</v>
      </c>
      <c r="E31" s="51" t="s">
        <v>46</v>
      </c>
      <c r="F31" s="51" t="s">
        <v>28</v>
      </c>
      <c r="G31" s="51" t="s">
        <v>1183</v>
      </c>
      <c r="H31" s="53">
        <f t="shared" si="10"/>
        <v>14</v>
      </c>
      <c r="I31" s="17">
        <f t="shared" si="8"/>
        <v>16</v>
      </c>
      <c r="J31" s="18">
        <f t="shared" si="9"/>
        <v>0.46666666666666667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 t="s">
        <v>1010</v>
      </c>
      <c r="AH31" s="8"/>
      <c r="AI31" s="8"/>
      <c r="AJ31" s="27"/>
      <c r="AK31" s="8"/>
      <c r="AL31" s="8"/>
      <c r="AM31" s="27"/>
      <c r="AN31" s="27"/>
      <c r="AO31" s="27"/>
    </row>
    <row r="32" spans="1:41" ht="15.75" thickBot="1" x14ac:dyDescent="0.3">
      <c r="A32" s="51" t="s">
        <v>52</v>
      </c>
      <c r="B32" s="51" t="s">
        <v>65</v>
      </c>
      <c r="C32" s="51" t="s">
        <v>1187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.75" thickBot="1" x14ac:dyDescent="0.3">
      <c r="A33" s="51" t="s">
        <v>52</v>
      </c>
      <c r="B33" s="51" t="s">
        <v>67</v>
      </c>
      <c r="C33" s="51" t="s">
        <v>1187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.75" thickBot="1" x14ac:dyDescent="0.3">
      <c r="A34" s="51" t="s">
        <v>52</v>
      </c>
      <c r="B34" s="51" t="s">
        <v>69</v>
      </c>
      <c r="C34" s="51" t="s">
        <v>1187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6</v>
      </c>
      <c r="I34" s="17">
        <f t="shared" si="8"/>
        <v>24</v>
      </c>
      <c r="J34" s="18">
        <f t="shared" si="9"/>
        <v>0.2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 t="s">
        <v>1010</v>
      </c>
      <c r="AH34" s="8" t="s">
        <v>1010</v>
      </c>
      <c r="AI34" s="8"/>
      <c r="AJ34" s="27"/>
      <c r="AK34" s="8"/>
      <c r="AL34" s="8"/>
      <c r="AM34" s="27"/>
      <c r="AN34" s="27"/>
      <c r="AO34" s="27"/>
    </row>
    <row r="35" spans="1:41" ht="15.75" thickBot="1" x14ac:dyDescent="0.3">
      <c r="A35" s="51" t="s">
        <v>52</v>
      </c>
      <c r="B35" s="51" t="s">
        <v>1033</v>
      </c>
      <c r="C35" s="51" t="s">
        <v>1187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.75" thickBot="1" x14ac:dyDescent="0.3">
      <c r="A36" s="51" t="s">
        <v>52</v>
      </c>
      <c r="B36" s="51" t="s">
        <v>1035</v>
      </c>
      <c r="C36" s="51" t="s">
        <v>1187</v>
      </c>
      <c r="D36" s="51" t="s">
        <v>1207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.75" thickBot="1" x14ac:dyDescent="0.3">
      <c r="A37" s="51" t="s">
        <v>52</v>
      </c>
      <c r="B37" s="51" t="s">
        <v>71</v>
      </c>
      <c r="C37" s="51" t="s">
        <v>1187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.75" thickBot="1" x14ac:dyDescent="0.3">
      <c r="A38" s="51" t="s">
        <v>52</v>
      </c>
      <c r="B38" s="51" t="s">
        <v>74</v>
      </c>
      <c r="C38" s="51" t="s">
        <v>1187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.75" thickBot="1" x14ac:dyDescent="0.3">
      <c r="A39" s="51" t="s">
        <v>52</v>
      </c>
      <c r="B39" s="51" t="s">
        <v>76</v>
      </c>
      <c r="C39" s="51" t="s">
        <v>1187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.75" thickBot="1" x14ac:dyDescent="0.3">
      <c r="A40" s="51" t="s">
        <v>52</v>
      </c>
      <c r="B40" s="51" t="s">
        <v>78</v>
      </c>
      <c r="C40" s="51" t="s">
        <v>1187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.75" thickBot="1" x14ac:dyDescent="0.3">
      <c r="A41" s="51" t="s">
        <v>52</v>
      </c>
      <c r="B41" s="51" t="s">
        <v>80</v>
      </c>
      <c r="C41" s="51" t="s">
        <v>1187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.75" thickBot="1" x14ac:dyDescent="0.3">
      <c r="A42" s="51" t="s">
        <v>52</v>
      </c>
      <c r="B42" s="51" t="s">
        <v>82</v>
      </c>
      <c r="C42" s="51" t="s">
        <v>1187</v>
      </c>
      <c r="D42" s="51" t="s">
        <v>1206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.75" thickBot="1" x14ac:dyDescent="0.3">
      <c r="A43" s="51" t="s">
        <v>52</v>
      </c>
      <c r="B43" s="51" t="s">
        <v>83</v>
      </c>
      <c r="C43" s="51" t="s">
        <v>1187</v>
      </c>
      <c r="D43" s="51" t="s">
        <v>1205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.75" thickBot="1" x14ac:dyDescent="0.3">
      <c r="A44" s="51" t="s">
        <v>52</v>
      </c>
      <c r="B44" s="51" t="s">
        <v>84</v>
      </c>
      <c r="C44" s="51" t="s">
        <v>1187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.75" thickBot="1" x14ac:dyDescent="0.3">
      <c r="A45" s="51" t="s">
        <v>52</v>
      </c>
      <c r="B45" s="51" t="s">
        <v>86</v>
      </c>
      <c r="C45" s="51" t="s">
        <v>1187</v>
      </c>
      <c r="D45" s="51" t="s">
        <v>1204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.75" thickBot="1" x14ac:dyDescent="0.3">
      <c r="A46" s="51" t="s">
        <v>52</v>
      </c>
      <c r="B46" s="51" t="s">
        <v>87</v>
      </c>
      <c r="C46" s="51" t="s">
        <v>1187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.75" thickBot="1" x14ac:dyDescent="0.3">
      <c r="A47" s="51" t="s">
        <v>52</v>
      </c>
      <c r="B47" s="51" t="s">
        <v>91</v>
      </c>
      <c r="C47" s="51" t="s">
        <v>1187</v>
      </c>
      <c r="D47" s="51" t="s">
        <v>1208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.75" thickBot="1" x14ac:dyDescent="0.3">
      <c r="A48" s="51" t="s">
        <v>52</v>
      </c>
      <c r="B48" s="51" t="s">
        <v>92</v>
      </c>
      <c r="C48" s="51" t="s">
        <v>1187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.75" thickBot="1" x14ac:dyDescent="0.3">
      <c r="A49" s="51" t="s">
        <v>52</v>
      </c>
      <c r="B49" s="51" t="s">
        <v>94</v>
      </c>
      <c r="C49" s="51" t="s">
        <v>1187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.75" thickBot="1" x14ac:dyDescent="0.3">
      <c r="A50" s="51"/>
      <c r="B50" s="51" t="s">
        <v>96</v>
      </c>
      <c r="C50" s="51" t="s">
        <v>1187</v>
      </c>
      <c r="D50" s="51" t="s">
        <v>97</v>
      </c>
      <c r="E50" s="51" t="s">
        <v>19</v>
      </c>
      <c r="F50" s="51" t="s">
        <v>1180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.75" thickBot="1" x14ac:dyDescent="0.3">
      <c r="A51" s="51" t="s">
        <v>52</v>
      </c>
      <c r="B51" s="51" t="s">
        <v>98</v>
      </c>
      <c r="C51" s="51" t="s">
        <v>1187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.75" thickBot="1" x14ac:dyDescent="0.3">
      <c r="A52" s="51" t="s">
        <v>52</v>
      </c>
      <c r="B52" s="51" t="s">
        <v>100</v>
      </c>
      <c r="C52" s="51" t="s">
        <v>1187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.75" thickBot="1" x14ac:dyDescent="0.3">
      <c r="A53" s="51" t="s">
        <v>101</v>
      </c>
      <c r="B53" s="51" t="s">
        <v>102</v>
      </c>
      <c r="C53" s="51" t="s">
        <v>1187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.75" thickBot="1" x14ac:dyDescent="0.3">
      <c r="A54" s="51" t="s">
        <v>52</v>
      </c>
      <c r="B54" s="51" t="s">
        <v>104</v>
      </c>
      <c r="C54" s="51" t="s">
        <v>1187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.75" thickBot="1" x14ac:dyDescent="0.3">
      <c r="A55" s="51" t="s">
        <v>52</v>
      </c>
      <c r="B55" s="51" t="s">
        <v>106</v>
      </c>
      <c r="C55" s="51" t="s">
        <v>1187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.75" thickBot="1" x14ac:dyDescent="0.3">
      <c r="A56" s="51" t="s">
        <v>52</v>
      </c>
      <c r="B56" s="51" t="s">
        <v>108</v>
      </c>
      <c r="C56" s="51" t="s">
        <v>1187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.75" thickBot="1" x14ac:dyDescent="0.3">
      <c r="A57" s="51" t="s">
        <v>52</v>
      </c>
      <c r="B57" s="51" t="s">
        <v>110</v>
      </c>
      <c r="C57" s="51" t="s">
        <v>1187</v>
      </c>
      <c r="D57" s="51" t="s">
        <v>1036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.75" thickBot="1" x14ac:dyDescent="0.3">
      <c r="A58" s="51" t="s">
        <v>52</v>
      </c>
      <c r="B58" s="51" t="s">
        <v>111</v>
      </c>
      <c r="C58" s="51" t="s">
        <v>1187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.75" thickBot="1" x14ac:dyDescent="0.3">
      <c r="A59" s="51" t="s">
        <v>52</v>
      </c>
      <c r="B59" s="51" t="s">
        <v>113</v>
      </c>
      <c r="C59" s="51" t="s">
        <v>1187</v>
      </c>
      <c r="D59" s="51" t="s">
        <v>1037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.75" thickBot="1" x14ac:dyDescent="0.3">
      <c r="A60" s="51" t="s">
        <v>52</v>
      </c>
      <c r="B60" s="51" t="s">
        <v>114</v>
      </c>
      <c r="C60" s="51" t="s">
        <v>1187</v>
      </c>
      <c r="D60" s="51" t="s">
        <v>1038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.75" thickBot="1" x14ac:dyDescent="0.3">
      <c r="A61" s="51" t="s">
        <v>52</v>
      </c>
      <c r="B61" s="51" t="s">
        <v>115</v>
      </c>
      <c r="C61" s="51" t="s">
        <v>1187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.75" thickBot="1" x14ac:dyDescent="0.3">
      <c r="A62" s="51" t="s">
        <v>52</v>
      </c>
      <c r="B62" s="51" t="s">
        <v>117</v>
      </c>
      <c r="C62" s="51" t="s">
        <v>1187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.75" thickBot="1" x14ac:dyDescent="0.3">
      <c r="A63" s="51" t="s">
        <v>52</v>
      </c>
      <c r="B63" s="51" t="s">
        <v>119</v>
      </c>
      <c r="C63" s="51" t="s">
        <v>1187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.75" thickBot="1" x14ac:dyDescent="0.3">
      <c r="A64" s="51" t="s">
        <v>52</v>
      </c>
      <c r="B64" s="51" t="s">
        <v>121</v>
      </c>
      <c r="C64" s="51" t="s">
        <v>1187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.75" thickBot="1" x14ac:dyDescent="0.3">
      <c r="A65" s="51" t="s">
        <v>52</v>
      </c>
      <c r="B65" s="51" t="s">
        <v>123</v>
      </c>
      <c r="C65" s="51" t="s">
        <v>1187</v>
      </c>
      <c r="D65" s="51" t="s">
        <v>1039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.75" thickBot="1" x14ac:dyDescent="0.3">
      <c r="A66" s="51" t="s">
        <v>52</v>
      </c>
      <c r="B66" s="51" t="s">
        <v>124</v>
      </c>
      <c r="C66" s="51" t="s">
        <v>1187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.75" thickBot="1" x14ac:dyDescent="0.3">
      <c r="A67" s="51" t="s">
        <v>52</v>
      </c>
      <c r="B67" s="51" t="s">
        <v>126</v>
      </c>
      <c r="C67" s="51" t="s">
        <v>1187</v>
      </c>
      <c r="D67" s="51" t="s">
        <v>1193</v>
      </c>
      <c r="E67" s="51" t="s">
        <v>19</v>
      </c>
      <c r="F67" s="51" t="s">
        <v>28</v>
      </c>
      <c r="G67" s="51" t="s">
        <v>674</v>
      </c>
      <c r="H67" s="53">
        <f t="shared" si="10"/>
        <v>6</v>
      </c>
      <c r="I67" s="17">
        <f t="shared" si="8"/>
        <v>24</v>
      </c>
      <c r="J67" s="18">
        <f t="shared" si="9"/>
        <v>0.2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 t="s">
        <v>1010</v>
      </c>
      <c r="AH67" s="8" t="s">
        <v>1010</v>
      </c>
      <c r="AI67" s="8"/>
      <c r="AJ67" s="27"/>
      <c r="AK67" s="8"/>
      <c r="AL67" s="8"/>
      <c r="AM67" s="27"/>
      <c r="AN67" s="27"/>
      <c r="AO67" s="27"/>
    </row>
    <row r="68" spans="1:41" ht="15.75" thickBot="1" x14ac:dyDescent="0.3">
      <c r="A68" s="51" t="s">
        <v>52</v>
      </c>
      <c r="B68" s="51" t="s">
        <v>127</v>
      </c>
      <c r="C68" s="51" t="s">
        <v>1187</v>
      </c>
      <c r="D68" s="51" t="s">
        <v>1194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.75" thickBot="1" x14ac:dyDescent="0.3">
      <c r="A69" s="51" t="s">
        <v>52</v>
      </c>
      <c r="B69" s="51" t="s">
        <v>128</v>
      </c>
      <c r="C69" s="51" t="s">
        <v>1187</v>
      </c>
      <c r="D69" s="51" t="s">
        <v>1195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.75" thickBot="1" x14ac:dyDescent="0.3">
      <c r="A70" s="51" t="s">
        <v>52</v>
      </c>
      <c r="B70" s="51" t="s">
        <v>130</v>
      </c>
      <c r="C70" s="51" t="s">
        <v>1187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.75" thickBot="1" x14ac:dyDescent="0.3">
      <c r="A71" s="51" t="s">
        <v>52</v>
      </c>
      <c r="B71" s="51" t="s">
        <v>132</v>
      </c>
      <c r="C71" s="51" t="s">
        <v>1187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.75" thickBot="1" x14ac:dyDescent="0.3">
      <c r="A72" s="51" t="s">
        <v>52</v>
      </c>
      <c r="B72" s="51" t="s">
        <v>134</v>
      </c>
      <c r="C72" s="51" t="s">
        <v>1187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.75" thickBot="1" x14ac:dyDescent="0.3">
      <c r="A73" s="51" t="s">
        <v>52</v>
      </c>
      <c r="B73" s="51" t="s">
        <v>136</v>
      </c>
      <c r="C73" s="51" t="s">
        <v>1187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.75" thickBot="1" x14ac:dyDescent="0.3">
      <c r="A74" s="51" t="s">
        <v>52</v>
      </c>
      <c r="B74" s="51" t="s">
        <v>138</v>
      </c>
      <c r="C74" s="51" t="s">
        <v>1187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.75" thickBot="1" x14ac:dyDescent="0.3">
      <c r="A75" s="51" t="s">
        <v>52</v>
      </c>
      <c r="B75" s="51" t="s">
        <v>140</v>
      </c>
      <c r="C75" s="51" t="s">
        <v>1187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.75" thickBot="1" x14ac:dyDescent="0.3">
      <c r="A76" s="51" t="s">
        <v>52</v>
      </c>
      <c r="B76" s="51" t="s">
        <v>142</v>
      </c>
      <c r="C76" s="51" t="s">
        <v>1187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28</v>
      </c>
      <c r="I76" s="17">
        <f t="shared" si="11"/>
        <v>2</v>
      </c>
      <c r="J76" s="18">
        <f t="shared" si="12"/>
        <v>0.93333333333333335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.75" thickBot="1" x14ac:dyDescent="0.3">
      <c r="A77" s="51" t="s">
        <v>52</v>
      </c>
      <c r="B77" s="51" t="s">
        <v>144</v>
      </c>
      <c r="C77" s="51" t="s">
        <v>1187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.75" thickBot="1" x14ac:dyDescent="0.3">
      <c r="A78" s="51" t="s">
        <v>52</v>
      </c>
      <c r="B78" s="51" t="s">
        <v>145</v>
      </c>
      <c r="C78" s="51" t="s">
        <v>1187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.75" thickBot="1" x14ac:dyDescent="0.3">
      <c r="A79" s="51" t="s">
        <v>52</v>
      </c>
      <c r="B79" s="51" t="s">
        <v>146</v>
      </c>
      <c r="C79" s="51" t="s">
        <v>1187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23</v>
      </c>
      <c r="I79" s="17">
        <f t="shared" si="11"/>
        <v>7</v>
      </c>
      <c r="J79" s="18">
        <f t="shared" si="12"/>
        <v>0.76666666666666672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 t="s">
        <v>1010</v>
      </c>
      <c r="AH79" s="8" t="s">
        <v>1010</v>
      </c>
      <c r="AI79" s="8"/>
      <c r="AJ79" s="27"/>
      <c r="AK79" s="8"/>
      <c r="AL79" s="8"/>
      <c r="AM79" s="27"/>
      <c r="AN79" s="27"/>
      <c r="AO79" s="27"/>
    </row>
    <row r="80" spans="1:41" ht="15.75" thickBot="1" x14ac:dyDescent="0.3">
      <c r="A80" s="51" t="s">
        <v>52</v>
      </c>
      <c r="B80" s="51" t="s">
        <v>148</v>
      </c>
      <c r="C80" s="51" t="s">
        <v>1187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.75" thickBot="1" x14ac:dyDescent="0.3">
      <c r="A81" s="51" t="s">
        <v>52</v>
      </c>
      <c r="B81" s="51" t="s">
        <v>150</v>
      </c>
      <c r="C81" s="51" t="s">
        <v>1187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.75" thickBot="1" x14ac:dyDescent="0.3">
      <c r="A82" s="51" t="s">
        <v>52</v>
      </c>
      <c r="B82" s="51" t="s">
        <v>153</v>
      </c>
      <c r="C82" s="51" t="s">
        <v>1187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.75" thickBot="1" x14ac:dyDescent="0.3">
      <c r="A83" s="51" t="s">
        <v>52</v>
      </c>
      <c r="B83" s="51" t="s">
        <v>1040</v>
      </c>
      <c r="C83" s="51" t="s">
        <v>1187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.75" thickBot="1" x14ac:dyDescent="0.3">
      <c r="A84" s="51" t="s">
        <v>52</v>
      </c>
      <c r="B84" s="51" t="s">
        <v>1041</v>
      </c>
      <c r="C84" s="51" t="s">
        <v>1187</v>
      </c>
      <c r="D84" s="51" t="s">
        <v>1042</v>
      </c>
      <c r="E84" s="51" t="s">
        <v>15</v>
      </c>
      <c r="F84" s="51" t="s">
        <v>1180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.75" thickBot="1" x14ac:dyDescent="0.3">
      <c r="A85" s="51" t="s">
        <v>52</v>
      </c>
      <c r="B85" s="51" t="s">
        <v>1043</v>
      </c>
      <c r="C85" s="51" t="s">
        <v>1187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.75" thickBot="1" x14ac:dyDescent="0.3">
      <c r="A86" s="51" t="s">
        <v>52</v>
      </c>
      <c r="B86" s="51" t="s">
        <v>155</v>
      </c>
      <c r="C86" s="51" t="s">
        <v>1187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.75" thickBot="1" x14ac:dyDescent="0.3">
      <c r="A87" s="51" t="s">
        <v>52</v>
      </c>
      <c r="B87" s="51" t="s">
        <v>158</v>
      </c>
      <c r="C87" s="51" t="s">
        <v>1187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14</v>
      </c>
      <c r="I87" s="17">
        <f t="shared" si="11"/>
        <v>16</v>
      </c>
      <c r="J87" s="18">
        <f t="shared" si="12"/>
        <v>0.46666666666666667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 t="s">
        <v>1010</v>
      </c>
      <c r="AH87" s="8"/>
      <c r="AI87" s="8"/>
      <c r="AJ87" s="27"/>
      <c r="AK87" s="8"/>
      <c r="AL87" s="8"/>
      <c r="AM87" s="27"/>
      <c r="AN87" s="27"/>
      <c r="AO87" s="27"/>
    </row>
    <row r="88" spans="1:41" ht="15.75" thickBot="1" x14ac:dyDescent="0.3">
      <c r="A88" s="51" t="s">
        <v>52</v>
      </c>
      <c r="B88" s="51" t="s">
        <v>159</v>
      </c>
      <c r="C88" s="51" t="s">
        <v>1187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.75" thickBot="1" x14ac:dyDescent="0.3">
      <c r="A89" s="51" t="s">
        <v>52</v>
      </c>
      <c r="B89" s="51" t="s">
        <v>161</v>
      </c>
      <c r="C89" s="51" t="s">
        <v>1187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.75" thickBot="1" x14ac:dyDescent="0.3">
      <c r="A90" s="51" t="s">
        <v>52</v>
      </c>
      <c r="B90" s="51" t="s">
        <v>162</v>
      </c>
      <c r="C90" s="51" t="s">
        <v>1187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" customHeight="1" thickBot="1" x14ac:dyDescent="0.3">
      <c r="A91" s="51" t="s">
        <v>52</v>
      </c>
      <c r="B91" s="51" t="s">
        <v>164</v>
      </c>
      <c r="C91" s="51" t="s">
        <v>1187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.75" thickBot="1" x14ac:dyDescent="0.3">
      <c r="A92" s="51" t="s">
        <v>52</v>
      </c>
      <c r="B92" s="51" t="s">
        <v>166</v>
      </c>
      <c r="C92" s="51" t="s">
        <v>1187</v>
      </c>
      <c r="D92" s="51" t="s">
        <v>167</v>
      </c>
      <c r="E92" s="51" t="s">
        <v>19</v>
      </c>
      <c r="F92" s="51" t="s">
        <v>1179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.75" thickBot="1" x14ac:dyDescent="0.3">
      <c r="A93" s="51" t="s">
        <v>168</v>
      </c>
      <c r="B93" s="51" t="s">
        <v>169</v>
      </c>
      <c r="C93" s="51" t="s">
        <v>1187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.75" thickBot="1" x14ac:dyDescent="0.3">
      <c r="A94" s="51" t="s">
        <v>171</v>
      </c>
      <c r="B94" s="51" t="s">
        <v>172</v>
      </c>
      <c r="C94" s="51" t="s">
        <v>1187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.75" thickBot="1" x14ac:dyDescent="0.3">
      <c r="A95" s="51" t="s">
        <v>171</v>
      </c>
      <c r="B95" s="51" t="s">
        <v>174</v>
      </c>
      <c r="C95" s="51" t="s">
        <v>1187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.75" thickBot="1" x14ac:dyDescent="0.3">
      <c r="A96" s="51" t="s">
        <v>171</v>
      </c>
      <c r="B96" s="51" t="s">
        <v>176</v>
      </c>
      <c r="C96" s="51" t="s">
        <v>1187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14</v>
      </c>
      <c r="I96" s="17">
        <f t="shared" si="11"/>
        <v>16</v>
      </c>
      <c r="J96" s="18">
        <f t="shared" si="12"/>
        <v>0.46666666666666667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 t="s">
        <v>1010</v>
      </c>
      <c r="AH96" s="8" t="s">
        <v>1010</v>
      </c>
      <c r="AI96" s="8"/>
      <c r="AJ96" s="27"/>
      <c r="AK96" s="8"/>
      <c r="AL96" s="8"/>
      <c r="AM96" s="27"/>
      <c r="AN96" s="27"/>
      <c r="AO96" s="27"/>
    </row>
    <row r="97" spans="1:41" ht="15.75" thickBot="1" x14ac:dyDescent="0.3">
      <c r="A97" s="51" t="s">
        <v>181</v>
      </c>
      <c r="B97" s="51" t="s">
        <v>1044</v>
      </c>
      <c r="C97" s="51" t="s">
        <v>1188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.75" thickBot="1" x14ac:dyDescent="0.3">
      <c r="A98" s="51" t="s">
        <v>178</v>
      </c>
      <c r="B98" s="51" t="s">
        <v>179</v>
      </c>
      <c r="C98" s="51" t="s">
        <v>1188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.75" thickBot="1" x14ac:dyDescent="0.3">
      <c r="A99" s="51" t="s">
        <v>181</v>
      </c>
      <c r="B99" s="51" t="s">
        <v>182</v>
      </c>
      <c r="C99" s="51" t="s">
        <v>1188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.75" thickBot="1" x14ac:dyDescent="0.3">
      <c r="A100" s="51" t="s">
        <v>187</v>
      </c>
      <c r="B100" s="51" t="s">
        <v>1045</v>
      </c>
      <c r="C100" s="51" t="s">
        <v>1187</v>
      </c>
      <c r="D100" s="51" t="s">
        <v>188</v>
      </c>
      <c r="E100" s="51" t="s">
        <v>73</v>
      </c>
      <c r="F100" s="51" t="s">
        <v>1180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.75" thickBot="1" x14ac:dyDescent="0.3">
      <c r="A101" s="51" t="s">
        <v>187</v>
      </c>
      <c r="B101" s="51" t="s">
        <v>1046</v>
      </c>
      <c r="C101" s="51" t="s">
        <v>1187</v>
      </c>
      <c r="D101" s="51" t="s">
        <v>188</v>
      </c>
      <c r="E101" s="51" t="s">
        <v>73</v>
      </c>
      <c r="F101" s="51" t="s">
        <v>1180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.75" thickBot="1" x14ac:dyDescent="0.3">
      <c r="A102" s="51" t="s">
        <v>187</v>
      </c>
      <c r="B102" s="51" t="s">
        <v>1047</v>
      </c>
      <c r="C102" s="51" t="s">
        <v>1187</v>
      </c>
      <c r="D102" s="51" t="s">
        <v>1048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.75" thickBot="1" x14ac:dyDescent="0.3">
      <c r="A103" s="51" t="s">
        <v>187</v>
      </c>
      <c r="B103" s="51" t="s">
        <v>1049</v>
      </c>
      <c r="C103" s="51" t="s">
        <v>1187</v>
      </c>
      <c r="D103" s="51" t="s">
        <v>1048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.75" thickBot="1" x14ac:dyDescent="0.3">
      <c r="A104" s="51" t="s">
        <v>187</v>
      </c>
      <c r="B104" s="51" t="s">
        <v>185</v>
      </c>
      <c r="C104" s="51" t="s">
        <v>1187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149999999999999" customHeight="1" thickBot="1" x14ac:dyDescent="0.3">
      <c r="A105" s="51" t="s">
        <v>189</v>
      </c>
      <c r="B105" s="51" t="s">
        <v>1050</v>
      </c>
      <c r="C105" s="51" t="s">
        <v>1188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.75" thickBot="1" x14ac:dyDescent="0.3">
      <c r="A106" s="51" t="s">
        <v>189</v>
      </c>
      <c r="B106" s="51" t="s">
        <v>1051</v>
      </c>
      <c r="C106" s="51" t="s">
        <v>1188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.75" thickBot="1" x14ac:dyDescent="0.3">
      <c r="A107" s="51" t="s">
        <v>189</v>
      </c>
      <c r="B107" s="51" t="s">
        <v>1052</v>
      </c>
      <c r="C107" s="51" t="s">
        <v>1188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.75" thickBot="1" x14ac:dyDescent="0.3">
      <c r="A108" s="51" t="s">
        <v>189</v>
      </c>
      <c r="B108" s="51" t="s">
        <v>1053</v>
      </c>
      <c r="C108" s="51" t="s">
        <v>1188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.75" thickBot="1" x14ac:dyDescent="0.3">
      <c r="A109" s="51" t="s">
        <v>194</v>
      </c>
      <c r="B109" s="51" t="s">
        <v>196</v>
      </c>
      <c r="C109" s="51" t="s">
        <v>1188</v>
      </c>
      <c r="D109" s="51" t="s">
        <v>1054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.75" thickBot="1" x14ac:dyDescent="0.3">
      <c r="A110" s="51" t="s">
        <v>194</v>
      </c>
      <c r="B110" s="51" t="s">
        <v>197</v>
      </c>
      <c r="C110" s="51" t="s">
        <v>1188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.75" thickBot="1" x14ac:dyDescent="0.3">
      <c r="A111" s="51" t="s">
        <v>199</v>
      </c>
      <c r="B111" s="51" t="s">
        <v>200</v>
      </c>
      <c r="C111" s="51" t="s">
        <v>1188</v>
      </c>
      <c r="D111" s="51" t="s">
        <v>201</v>
      </c>
      <c r="E111" s="51" t="s">
        <v>19</v>
      </c>
      <c r="F111" s="51" t="s">
        <v>1180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.75" thickBot="1" x14ac:dyDescent="0.3">
      <c r="A112" s="51" t="s">
        <v>202</v>
      </c>
      <c r="B112" s="51" t="s">
        <v>203</v>
      </c>
      <c r="C112" s="51" t="s">
        <v>1188</v>
      </c>
      <c r="D112" s="51" t="s">
        <v>204</v>
      </c>
      <c r="E112" s="51" t="s">
        <v>15</v>
      </c>
      <c r="F112" s="51" t="s">
        <v>1180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.75" thickBot="1" x14ac:dyDescent="0.3">
      <c r="A113" s="51" t="s">
        <v>194</v>
      </c>
      <c r="B113" s="51" t="s">
        <v>205</v>
      </c>
      <c r="C113" s="51" t="s">
        <v>1188</v>
      </c>
      <c r="D113" s="51" t="s">
        <v>206</v>
      </c>
      <c r="E113" s="51" t="s">
        <v>19</v>
      </c>
      <c r="F113" s="51" t="s">
        <v>1179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.75" thickBot="1" x14ac:dyDescent="0.3">
      <c r="A114" s="51" t="s">
        <v>194</v>
      </c>
      <c r="B114" s="51" t="s">
        <v>207</v>
      </c>
      <c r="C114" s="51" t="s">
        <v>1188</v>
      </c>
      <c r="D114" s="51" t="s">
        <v>208</v>
      </c>
      <c r="E114" s="51" t="s">
        <v>19</v>
      </c>
      <c r="F114" s="51" t="s">
        <v>1179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.75" thickBot="1" x14ac:dyDescent="0.3">
      <c r="A115" s="51" t="s">
        <v>194</v>
      </c>
      <c r="B115" s="51" t="s">
        <v>209</v>
      </c>
      <c r="C115" s="51" t="s">
        <v>1188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.75" thickBot="1" x14ac:dyDescent="0.3">
      <c r="A116" s="51" t="s">
        <v>194</v>
      </c>
      <c r="B116" s="51" t="s">
        <v>1055</v>
      </c>
      <c r="C116" s="51" t="s">
        <v>1188</v>
      </c>
      <c r="D116" s="51" t="s">
        <v>195</v>
      </c>
      <c r="E116" s="51" t="s">
        <v>15</v>
      </c>
      <c r="F116" s="51" t="s">
        <v>1180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.75" thickBot="1" x14ac:dyDescent="0.3">
      <c r="A117" s="51" t="s">
        <v>194</v>
      </c>
      <c r="B117" s="51" t="s">
        <v>211</v>
      </c>
      <c r="C117" s="51" t="s">
        <v>1188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.75" thickBot="1" x14ac:dyDescent="0.3">
      <c r="A118" s="51" t="s">
        <v>194</v>
      </c>
      <c r="B118" s="51" t="s">
        <v>213</v>
      </c>
      <c r="C118" s="51" t="s">
        <v>1188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.75" thickBot="1" x14ac:dyDescent="0.3">
      <c r="A119" s="51" t="s">
        <v>194</v>
      </c>
      <c r="B119" s="51" t="s">
        <v>214</v>
      </c>
      <c r="C119" s="51" t="s">
        <v>1188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.75" thickBot="1" x14ac:dyDescent="0.3">
      <c r="A120" s="51" t="s">
        <v>194</v>
      </c>
      <c r="B120" s="51" t="s">
        <v>216</v>
      </c>
      <c r="C120" s="51" t="s">
        <v>1188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.75" thickBot="1" x14ac:dyDescent="0.3">
      <c r="A121" s="51" t="s">
        <v>217</v>
      </c>
      <c r="B121" s="51" t="s">
        <v>1056</v>
      </c>
      <c r="C121" s="51" t="s">
        <v>1188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.75" thickBot="1" x14ac:dyDescent="0.3">
      <c r="A122" s="51" t="s">
        <v>217</v>
      </c>
      <c r="B122" s="51" t="s">
        <v>1057</v>
      </c>
      <c r="C122" s="51" t="s">
        <v>1188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.75" thickBot="1" x14ac:dyDescent="0.3">
      <c r="A123" s="51" t="s">
        <v>220</v>
      </c>
      <c r="B123" s="51" t="s">
        <v>1058</v>
      </c>
      <c r="C123" s="51" t="s">
        <v>1188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.75" thickBot="1" x14ac:dyDescent="0.3">
      <c r="A124" s="51" t="s">
        <v>222</v>
      </c>
      <c r="B124" s="51" t="s">
        <v>223</v>
      </c>
      <c r="C124" s="51" t="s">
        <v>1187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.75" thickBot="1" x14ac:dyDescent="0.3">
      <c r="A125" s="51" t="s">
        <v>222</v>
      </c>
      <c r="B125" s="51" t="s">
        <v>227</v>
      </c>
      <c r="C125" s="51" t="s">
        <v>1187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.75" thickBot="1" x14ac:dyDescent="0.3">
      <c r="A126" s="51" t="s">
        <v>222</v>
      </c>
      <c r="B126" s="51" t="s">
        <v>229</v>
      </c>
      <c r="C126" s="51" t="s">
        <v>1187</v>
      </c>
      <c r="D126" s="51" t="s">
        <v>230</v>
      </c>
      <c r="E126" s="51" t="s">
        <v>73</v>
      </c>
      <c r="F126" s="51" t="s">
        <v>1180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.75" thickBot="1" x14ac:dyDescent="0.3">
      <c r="A127" s="51" t="s">
        <v>222</v>
      </c>
      <c r="B127" s="51" t="s">
        <v>231</v>
      </c>
      <c r="C127" s="51" t="s">
        <v>1187</v>
      </c>
      <c r="D127" s="51" t="s">
        <v>230</v>
      </c>
      <c r="E127" s="51" t="s">
        <v>73</v>
      </c>
      <c r="F127" s="51" t="s">
        <v>1180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.75" thickBot="1" x14ac:dyDescent="0.3">
      <c r="A128" s="51" t="s">
        <v>222</v>
      </c>
      <c r="B128" s="51" t="s">
        <v>1059</v>
      </c>
      <c r="C128" s="51" t="s">
        <v>1187</v>
      </c>
      <c r="D128" s="51" t="s">
        <v>247</v>
      </c>
      <c r="E128" s="51" t="s">
        <v>73</v>
      </c>
      <c r="F128" s="51" t="s">
        <v>1180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.75" thickBot="1" x14ac:dyDescent="0.3">
      <c r="A129" s="51" t="s">
        <v>222</v>
      </c>
      <c r="B129" s="51" t="s">
        <v>1060</v>
      </c>
      <c r="C129" s="51" t="s">
        <v>1187</v>
      </c>
      <c r="D129" s="51" t="s">
        <v>247</v>
      </c>
      <c r="E129" s="51" t="s">
        <v>73</v>
      </c>
      <c r="F129" s="51" t="s">
        <v>1180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.75" thickBot="1" x14ac:dyDescent="0.3">
      <c r="A130" s="51" t="s">
        <v>222</v>
      </c>
      <c r="B130" s="51" t="s">
        <v>1061</v>
      </c>
      <c r="C130" s="51" t="s">
        <v>1187</v>
      </c>
      <c r="D130" s="51" t="s">
        <v>248</v>
      </c>
      <c r="E130" s="51" t="s">
        <v>73</v>
      </c>
      <c r="F130" s="51" t="s">
        <v>1180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.75" thickBot="1" x14ac:dyDescent="0.3">
      <c r="A131" s="51" t="s">
        <v>222</v>
      </c>
      <c r="B131" s="51" t="s">
        <v>1062</v>
      </c>
      <c r="C131" s="51" t="s">
        <v>1187</v>
      </c>
      <c r="D131" s="51" t="s">
        <v>248</v>
      </c>
      <c r="E131" s="51" t="s">
        <v>73</v>
      </c>
      <c r="F131" s="51" t="s">
        <v>1180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.75" thickBot="1" x14ac:dyDescent="0.3">
      <c r="A132" s="51" t="s">
        <v>232</v>
      </c>
      <c r="B132" s="51" t="s">
        <v>233</v>
      </c>
      <c r="C132" s="51" t="s">
        <v>1187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.75" thickBot="1" x14ac:dyDescent="0.3">
      <c r="A133" s="51" t="s">
        <v>171</v>
      </c>
      <c r="B133" s="51" t="s">
        <v>235</v>
      </c>
      <c r="C133" s="51" t="s">
        <v>1187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.75" thickBot="1" x14ac:dyDescent="0.3">
      <c r="A134" s="51" t="s">
        <v>222</v>
      </c>
      <c r="B134" s="51" t="s">
        <v>237</v>
      </c>
      <c r="C134" s="51" t="s">
        <v>1187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6</v>
      </c>
      <c r="I134" s="17">
        <f t="shared" si="14"/>
        <v>24</v>
      </c>
      <c r="J134" s="18">
        <f t="shared" si="15"/>
        <v>0.2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 t="s">
        <v>1010</v>
      </c>
      <c r="AH134" s="8" t="s">
        <v>1010</v>
      </c>
      <c r="AI134" s="8"/>
      <c r="AJ134" s="27"/>
      <c r="AK134" s="8"/>
      <c r="AL134" s="8"/>
      <c r="AM134" s="27"/>
      <c r="AN134" s="27"/>
      <c r="AO134" s="27"/>
    </row>
    <row r="135" spans="1:41" ht="15.75" thickBot="1" x14ac:dyDescent="0.3">
      <c r="A135" s="51" t="s">
        <v>222</v>
      </c>
      <c r="B135" s="51" t="s">
        <v>239</v>
      </c>
      <c r="C135" s="51" t="s">
        <v>1187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.75" thickBot="1" x14ac:dyDescent="0.3">
      <c r="A136" s="51" t="s">
        <v>222</v>
      </c>
      <c r="B136" s="51" t="s">
        <v>241</v>
      </c>
      <c r="C136" s="51" t="s">
        <v>1187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.75" thickBot="1" x14ac:dyDescent="0.3">
      <c r="A137" s="51" t="s">
        <v>222</v>
      </c>
      <c r="B137" s="51" t="s">
        <v>243</v>
      </c>
      <c r="C137" s="51" t="s">
        <v>1187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.75" thickBot="1" x14ac:dyDescent="0.3">
      <c r="A138" s="51" t="s">
        <v>222</v>
      </c>
      <c r="B138" s="51" t="s">
        <v>1063</v>
      </c>
      <c r="C138" s="51" t="s">
        <v>1187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.75" thickBot="1" x14ac:dyDescent="0.3">
      <c r="A139" s="51" t="s">
        <v>222</v>
      </c>
      <c r="B139" s="51" t="s">
        <v>1064</v>
      </c>
      <c r="C139" s="51" t="s">
        <v>1187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.75" thickBot="1" x14ac:dyDescent="0.3">
      <c r="A140" s="51" t="s">
        <v>222</v>
      </c>
      <c r="B140" s="51" t="s">
        <v>245</v>
      </c>
      <c r="C140" s="51" t="s">
        <v>1187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.75" thickBot="1" x14ac:dyDescent="0.3">
      <c r="A141" s="51" t="s">
        <v>101</v>
      </c>
      <c r="B141" s="51" t="s">
        <v>249</v>
      </c>
      <c r="C141" s="51" t="s">
        <v>1187</v>
      </c>
      <c r="D141" s="51" t="s">
        <v>250</v>
      </c>
      <c r="E141" s="51" t="s">
        <v>15</v>
      </c>
      <c r="F141" s="51" t="s">
        <v>1180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.75" thickBot="1" x14ac:dyDescent="0.3">
      <c r="A142" s="51" t="s">
        <v>101</v>
      </c>
      <c r="B142" s="51" t="s">
        <v>251</v>
      </c>
      <c r="C142" s="51" t="s">
        <v>1187</v>
      </c>
      <c r="D142" s="51" t="s">
        <v>252</v>
      </c>
      <c r="E142" s="51" t="s">
        <v>15</v>
      </c>
      <c r="F142" s="51" t="s">
        <v>1180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.75" thickBot="1" x14ac:dyDescent="0.3">
      <c r="A143" s="51" t="s">
        <v>101</v>
      </c>
      <c r="B143" s="51" t="s">
        <v>253</v>
      </c>
      <c r="C143" s="51" t="s">
        <v>1187</v>
      </c>
      <c r="D143" s="51" t="s">
        <v>254</v>
      </c>
      <c r="E143" s="51" t="s">
        <v>15</v>
      </c>
      <c r="F143" s="51" t="s">
        <v>1180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.75" thickBot="1" x14ac:dyDescent="0.3">
      <c r="A144" s="51" t="s">
        <v>171</v>
      </c>
      <c r="B144" s="51" t="s">
        <v>1065</v>
      </c>
      <c r="C144" s="51" t="s">
        <v>1187</v>
      </c>
      <c r="D144" s="51" t="s">
        <v>1066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.75" thickBot="1" x14ac:dyDescent="0.3">
      <c r="A145" s="51" t="s">
        <v>171</v>
      </c>
      <c r="B145" s="51" t="s">
        <v>255</v>
      </c>
      <c r="C145" s="51" t="s">
        <v>1187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.75" thickBot="1" x14ac:dyDescent="0.3">
      <c r="A146" s="51" t="s">
        <v>257</v>
      </c>
      <c r="B146" s="51" t="s">
        <v>258</v>
      </c>
      <c r="C146" s="51" t="s">
        <v>1187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.75" thickBot="1" x14ac:dyDescent="0.3">
      <c r="A147" s="51" t="s">
        <v>257</v>
      </c>
      <c r="B147" s="51" t="s">
        <v>260</v>
      </c>
      <c r="C147" s="51" t="s">
        <v>1187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.75" thickBot="1" x14ac:dyDescent="0.3">
      <c r="A148" s="51" t="s">
        <v>261</v>
      </c>
      <c r="B148" s="51" t="s">
        <v>1067</v>
      </c>
      <c r="C148" s="51" t="s">
        <v>1188</v>
      </c>
      <c r="D148" s="51" t="s">
        <v>262</v>
      </c>
      <c r="E148" s="51" t="s">
        <v>15</v>
      </c>
      <c r="F148" s="51" t="s">
        <v>1179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.75" thickBot="1" x14ac:dyDescent="0.3">
      <c r="A149" s="51" t="s">
        <v>261</v>
      </c>
      <c r="B149" s="51" t="s">
        <v>263</v>
      </c>
      <c r="C149" s="51" t="s">
        <v>1188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.75" thickBot="1" x14ac:dyDescent="0.3">
      <c r="A150" s="51" t="s">
        <v>261</v>
      </c>
      <c r="B150" s="51" t="s">
        <v>265</v>
      </c>
      <c r="C150" s="51" t="s">
        <v>1188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.75" thickBot="1" x14ac:dyDescent="0.3">
      <c r="A151" s="51" t="s">
        <v>271</v>
      </c>
      <c r="B151" s="51" t="s">
        <v>1068</v>
      </c>
      <c r="C151" s="51" t="s">
        <v>1187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.75" thickBot="1" x14ac:dyDescent="0.3">
      <c r="A152" s="51" t="s">
        <v>271</v>
      </c>
      <c r="B152" s="51" t="s">
        <v>1069</v>
      </c>
      <c r="C152" s="51" t="s">
        <v>1187</v>
      </c>
      <c r="D152" s="51" t="s">
        <v>1070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.75" thickBot="1" x14ac:dyDescent="0.3">
      <c r="A153" s="51" t="s">
        <v>271</v>
      </c>
      <c r="B153" s="51" t="s">
        <v>1071</v>
      </c>
      <c r="C153" s="51" t="s">
        <v>1187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.75" thickBot="1" x14ac:dyDescent="0.3">
      <c r="A154" s="51" t="s">
        <v>271</v>
      </c>
      <c r="B154" s="51" t="s">
        <v>1072</v>
      </c>
      <c r="C154" s="51" t="s">
        <v>1187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.75" thickBot="1" x14ac:dyDescent="0.3">
      <c r="A155" s="51" t="s">
        <v>271</v>
      </c>
      <c r="B155" s="51" t="s">
        <v>1073</v>
      </c>
      <c r="C155" s="51" t="s">
        <v>1187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.75" thickBot="1" x14ac:dyDescent="0.3">
      <c r="A156" s="51" t="s">
        <v>271</v>
      </c>
      <c r="B156" s="51" t="s">
        <v>1074</v>
      </c>
      <c r="C156" s="51" t="s">
        <v>1187</v>
      </c>
      <c r="D156" s="51" t="s">
        <v>267</v>
      </c>
      <c r="E156" s="51" t="s">
        <v>46</v>
      </c>
      <c r="F156" s="51" t="s">
        <v>1179</v>
      </c>
      <c r="G156" s="51" t="s">
        <v>770</v>
      </c>
      <c r="H156" s="53">
        <f t="shared" si="16"/>
        <v>6</v>
      </c>
      <c r="I156" s="17">
        <f t="shared" si="14"/>
        <v>24</v>
      </c>
      <c r="J156" s="18">
        <f t="shared" si="15"/>
        <v>0.2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 t="s">
        <v>1010</v>
      </c>
      <c r="AH156" s="8" t="s">
        <v>1010</v>
      </c>
      <c r="AI156" s="8"/>
      <c r="AJ156" s="27"/>
      <c r="AK156" s="8"/>
      <c r="AL156" s="8"/>
      <c r="AM156" s="27"/>
      <c r="AN156" s="27"/>
      <c r="AO156" s="27"/>
    </row>
    <row r="157" spans="1:41" ht="15.75" thickBot="1" x14ac:dyDescent="0.3">
      <c r="A157" s="51" t="s">
        <v>268</v>
      </c>
      <c r="B157" s="51" t="s">
        <v>269</v>
      </c>
      <c r="C157" s="51" t="s">
        <v>1187</v>
      </c>
      <c r="D157" s="51" t="s">
        <v>270</v>
      </c>
      <c r="E157" s="51" t="s">
        <v>19</v>
      </c>
      <c r="F157" s="51" t="s">
        <v>1179</v>
      </c>
      <c r="G157" s="51" t="s">
        <v>771</v>
      </c>
      <c r="H157" s="53">
        <f t="shared" si="16"/>
        <v>15</v>
      </c>
      <c r="I157" s="17">
        <f t="shared" si="14"/>
        <v>15</v>
      </c>
      <c r="J157" s="18">
        <f t="shared" si="15"/>
        <v>0.5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 t="s">
        <v>1010</v>
      </c>
      <c r="AH157" s="8" t="s">
        <v>1010</v>
      </c>
      <c r="AI157" s="8"/>
      <c r="AJ157" s="27"/>
      <c r="AK157" s="8"/>
      <c r="AL157" s="8"/>
      <c r="AM157" s="27"/>
      <c r="AN157" s="27"/>
      <c r="AO157" s="27"/>
    </row>
    <row r="158" spans="1:41" ht="15.75" thickBot="1" x14ac:dyDescent="0.3">
      <c r="A158" s="51" t="s">
        <v>271</v>
      </c>
      <c r="B158" s="51" t="s">
        <v>272</v>
      </c>
      <c r="C158" s="51" t="s">
        <v>1187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7</v>
      </c>
      <c r="I158" s="17">
        <f t="shared" si="14"/>
        <v>23</v>
      </c>
      <c r="J158" s="18">
        <f t="shared" si="15"/>
        <v>0.23333333333333334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 t="s">
        <v>1010</v>
      </c>
      <c r="AH158" s="8" t="s">
        <v>1010</v>
      </c>
      <c r="AI158" s="8"/>
      <c r="AJ158" s="27"/>
      <c r="AK158" s="8"/>
      <c r="AL158" s="8"/>
      <c r="AM158" s="27"/>
      <c r="AN158" s="27"/>
      <c r="AO158" s="27"/>
    </row>
    <row r="159" spans="1:41" ht="15.75" thickBot="1" x14ac:dyDescent="0.3">
      <c r="A159" s="51" t="s">
        <v>271</v>
      </c>
      <c r="B159" s="51" t="s">
        <v>274</v>
      </c>
      <c r="C159" s="51" t="s">
        <v>1187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.75" thickBot="1" x14ac:dyDescent="0.3">
      <c r="A160" s="51" t="s">
        <v>268</v>
      </c>
      <c r="B160" s="51" t="s">
        <v>277</v>
      </c>
      <c r="C160" s="51" t="s">
        <v>1187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.75" thickBot="1" x14ac:dyDescent="0.3">
      <c r="A161" s="51" t="s">
        <v>271</v>
      </c>
      <c r="B161" s="51" t="s">
        <v>279</v>
      </c>
      <c r="C161" s="51" t="s">
        <v>1187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.75" thickBot="1" x14ac:dyDescent="0.3">
      <c r="A162" s="51" t="s">
        <v>271</v>
      </c>
      <c r="B162" s="51" t="s">
        <v>281</v>
      </c>
      <c r="C162" s="51" t="s">
        <v>1187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.75" thickBot="1" x14ac:dyDescent="0.3">
      <c r="A163" s="51" t="s">
        <v>271</v>
      </c>
      <c r="B163" s="51" t="s">
        <v>284</v>
      </c>
      <c r="C163" s="51" t="s">
        <v>1187</v>
      </c>
      <c r="D163" s="51" t="s">
        <v>285</v>
      </c>
      <c r="E163" s="51" t="s">
        <v>19</v>
      </c>
      <c r="F163" s="51" t="s">
        <v>1179</v>
      </c>
      <c r="G163" s="51" t="s">
        <v>780</v>
      </c>
      <c r="H163" s="53">
        <f t="shared" si="16"/>
        <v>7</v>
      </c>
      <c r="I163" s="17">
        <f t="shared" si="14"/>
        <v>23</v>
      </c>
      <c r="J163" s="18">
        <f t="shared" si="15"/>
        <v>0.23333333333333334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 t="s">
        <v>1010</v>
      </c>
      <c r="AH163" s="8" t="s">
        <v>1010</v>
      </c>
      <c r="AI163" s="8"/>
      <c r="AJ163" s="27"/>
      <c r="AK163" s="8"/>
      <c r="AL163" s="8"/>
      <c r="AM163" s="27"/>
      <c r="AN163" s="27"/>
      <c r="AO163" s="27"/>
    </row>
    <row r="164" spans="1:41" ht="15.75" thickBot="1" x14ac:dyDescent="0.3">
      <c r="A164" s="51" t="s">
        <v>271</v>
      </c>
      <c r="B164" s="51" t="s">
        <v>287</v>
      </c>
      <c r="C164" s="51" t="s">
        <v>1187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.75" thickBot="1" x14ac:dyDescent="0.3">
      <c r="A165" s="51" t="s">
        <v>291</v>
      </c>
      <c r="B165" s="51" t="s">
        <v>1075</v>
      </c>
      <c r="C165" s="51" t="s">
        <v>1187</v>
      </c>
      <c r="D165" s="51" t="s">
        <v>1076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.75" thickBot="1" x14ac:dyDescent="0.3">
      <c r="A166" s="51" t="s">
        <v>232</v>
      </c>
      <c r="B166" s="51" t="s">
        <v>289</v>
      </c>
      <c r="C166" s="51" t="s">
        <v>1188</v>
      </c>
      <c r="D166" s="51" t="s">
        <v>290</v>
      </c>
      <c r="E166" s="51" t="s">
        <v>15</v>
      </c>
      <c r="F166" s="51" t="s">
        <v>28</v>
      </c>
      <c r="G166" s="51" t="s">
        <v>1192</v>
      </c>
      <c r="H166" s="53">
        <f t="shared" si="16"/>
        <v>7</v>
      </c>
      <c r="I166" s="17">
        <f t="shared" si="14"/>
        <v>23</v>
      </c>
      <c r="J166" s="18">
        <f t="shared" si="15"/>
        <v>0.23333333333333334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 t="s">
        <v>1010</v>
      </c>
      <c r="AH166" s="8"/>
      <c r="AI166" s="8"/>
      <c r="AJ166" s="27"/>
      <c r="AK166" s="8"/>
      <c r="AL166" s="8"/>
      <c r="AM166" s="27"/>
      <c r="AN166" s="27"/>
      <c r="AO166" s="27"/>
    </row>
    <row r="167" spans="1:41" ht="15.75" thickBot="1" x14ac:dyDescent="0.3">
      <c r="A167" s="51" t="s">
        <v>291</v>
      </c>
      <c r="B167" s="51" t="s">
        <v>292</v>
      </c>
      <c r="C167" s="51" t="s">
        <v>1188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.75" thickBot="1" x14ac:dyDescent="0.3">
      <c r="A168" s="51" t="s">
        <v>12</v>
      </c>
      <c r="B168" s="99" t="s">
        <v>13</v>
      </c>
      <c r="C168" s="51" t="s">
        <v>1188</v>
      </c>
      <c r="D168" s="51" t="s">
        <v>14</v>
      </c>
      <c r="E168" s="51" t="s">
        <v>15</v>
      </c>
      <c r="F168" s="51" t="s">
        <v>1179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.75" thickBot="1" x14ac:dyDescent="0.3">
      <c r="A169" s="51" t="s">
        <v>382</v>
      </c>
      <c r="B169" s="51" t="s">
        <v>1077</v>
      </c>
      <c r="C169" s="51" t="s">
        <v>1188</v>
      </c>
      <c r="D169" s="51" t="s">
        <v>1078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.75" thickBot="1" x14ac:dyDescent="0.3">
      <c r="A170" s="51" t="s">
        <v>1079</v>
      </c>
      <c r="B170" s="51" t="s">
        <v>1080</v>
      </c>
      <c r="C170" s="51" t="s">
        <v>1188</v>
      </c>
      <c r="D170" s="51" t="s">
        <v>1078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.75" thickBot="1" x14ac:dyDescent="0.3">
      <c r="A171" s="51" t="s">
        <v>17</v>
      </c>
      <c r="B171" s="99" t="s">
        <v>18</v>
      </c>
      <c r="C171" s="51" t="s">
        <v>1188</v>
      </c>
      <c r="D171" s="51" t="s">
        <v>1081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.75" thickBot="1" x14ac:dyDescent="0.3">
      <c r="A172" s="51" t="s">
        <v>17</v>
      </c>
      <c r="B172" s="99" t="s">
        <v>21</v>
      </c>
      <c r="C172" s="51" t="s">
        <v>1188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.75" thickBot="1" x14ac:dyDescent="0.3">
      <c r="A173" s="51" t="s">
        <v>17</v>
      </c>
      <c r="B173" s="99" t="s">
        <v>23</v>
      </c>
      <c r="C173" s="51" t="s">
        <v>1188</v>
      </c>
      <c r="D173" s="51" t="s">
        <v>1082</v>
      </c>
      <c r="E173" s="51" t="s">
        <v>15</v>
      </c>
      <c r="F173" s="51" t="s">
        <v>1180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.75" thickBot="1" x14ac:dyDescent="0.3">
      <c r="A174" s="51" t="s">
        <v>17</v>
      </c>
      <c r="B174" s="99" t="s">
        <v>24</v>
      </c>
      <c r="C174" s="51" t="s">
        <v>1188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.75" thickBot="1" x14ac:dyDescent="0.3">
      <c r="A175" s="51" t="s">
        <v>294</v>
      </c>
      <c r="B175" s="51" t="s">
        <v>1083</v>
      </c>
      <c r="C175" s="51" t="s">
        <v>1187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.75" thickBot="1" x14ac:dyDescent="0.3">
      <c r="A176" s="51" t="s">
        <v>298</v>
      </c>
      <c r="B176" s="51" t="s">
        <v>1084</v>
      </c>
      <c r="C176" s="51" t="s">
        <v>1187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.75" thickBot="1" x14ac:dyDescent="0.3">
      <c r="A177" s="51" t="s">
        <v>298</v>
      </c>
      <c r="B177" s="51" t="s">
        <v>1085</v>
      </c>
      <c r="C177" s="51" t="s">
        <v>1187</v>
      </c>
      <c r="D177" s="51" t="s">
        <v>302</v>
      </c>
      <c r="E177" s="51" t="s">
        <v>19</v>
      </c>
      <c r="F177" s="51" t="s">
        <v>1179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.75" thickBot="1" x14ac:dyDescent="0.3">
      <c r="A178" s="51" t="s">
        <v>271</v>
      </c>
      <c r="B178" s="51" t="s">
        <v>296</v>
      </c>
      <c r="C178" s="51" t="s">
        <v>1187</v>
      </c>
      <c r="D178" s="51" t="s">
        <v>297</v>
      </c>
      <c r="E178" s="51" t="s">
        <v>73</v>
      </c>
      <c r="F178" s="51" t="s">
        <v>28</v>
      </c>
      <c r="G178" s="51" t="s">
        <v>1184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.75" thickBot="1" x14ac:dyDescent="0.3">
      <c r="A179" s="51" t="s">
        <v>294</v>
      </c>
      <c r="B179" s="51" t="s">
        <v>300</v>
      </c>
      <c r="C179" s="51" t="s">
        <v>1187</v>
      </c>
      <c r="D179" s="51" t="s">
        <v>301</v>
      </c>
      <c r="E179" s="51" t="s">
        <v>19</v>
      </c>
      <c r="F179" s="51" t="s">
        <v>1179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.75" thickBot="1" x14ac:dyDescent="0.3">
      <c r="A180" s="51" t="s">
        <v>298</v>
      </c>
      <c r="B180" s="51" t="s">
        <v>303</v>
      </c>
      <c r="C180" s="51" t="s">
        <v>1187</v>
      </c>
      <c r="D180" s="51" t="s">
        <v>304</v>
      </c>
      <c r="E180" s="51" t="s">
        <v>15</v>
      </c>
      <c r="F180" s="51" t="s">
        <v>1179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.75" thickBot="1" x14ac:dyDescent="0.3">
      <c r="A181" s="51" t="s">
        <v>305</v>
      </c>
      <c r="B181" s="51" t="s">
        <v>306</v>
      </c>
      <c r="C181" s="51" t="s">
        <v>1187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.75" thickBot="1" x14ac:dyDescent="0.3">
      <c r="A182" s="51" t="s">
        <v>305</v>
      </c>
      <c r="B182" s="51" t="s">
        <v>308</v>
      </c>
      <c r="C182" s="51" t="s">
        <v>1187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.75" thickBot="1" x14ac:dyDescent="0.3">
      <c r="A183" s="51" t="s">
        <v>305</v>
      </c>
      <c r="B183" s="51" t="s">
        <v>310</v>
      </c>
      <c r="C183" s="51" t="s">
        <v>1187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.75" thickBot="1" x14ac:dyDescent="0.3">
      <c r="A184" s="51" t="s">
        <v>305</v>
      </c>
      <c r="B184" s="51" t="s">
        <v>312</v>
      </c>
      <c r="C184" s="51" t="s">
        <v>1187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.75" thickBot="1" x14ac:dyDescent="0.3">
      <c r="A185" s="51" t="s">
        <v>314</v>
      </c>
      <c r="B185" s="51" t="s">
        <v>1086</v>
      </c>
      <c r="C185" s="51" t="s">
        <v>1187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.75" thickBot="1" x14ac:dyDescent="0.3">
      <c r="A186" s="51" t="s">
        <v>314</v>
      </c>
      <c r="B186" s="51" t="s">
        <v>315</v>
      </c>
      <c r="C186" s="51" t="s">
        <v>1187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.75" thickBot="1" x14ac:dyDescent="0.3">
      <c r="A187" s="51" t="s">
        <v>314</v>
      </c>
      <c r="B187" s="51" t="s">
        <v>318</v>
      </c>
      <c r="C187" s="51" t="s">
        <v>1187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.75" thickBot="1" x14ac:dyDescent="0.3">
      <c r="A188" s="51" t="s">
        <v>314</v>
      </c>
      <c r="B188" s="51" t="s">
        <v>320</v>
      </c>
      <c r="C188" s="51" t="s">
        <v>1187</v>
      </c>
      <c r="D188" s="51" t="s">
        <v>321</v>
      </c>
      <c r="E188" s="51" t="s">
        <v>19</v>
      </c>
      <c r="F188" s="51" t="s">
        <v>1180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.75" thickBot="1" x14ac:dyDescent="0.3">
      <c r="A189" s="51" t="s">
        <v>314</v>
      </c>
      <c r="B189" s="51" t="s">
        <v>322</v>
      </c>
      <c r="C189" s="51" t="s">
        <v>1187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.75" thickBot="1" x14ac:dyDescent="0.3">
      <c r="A190" s="51" t="s">
        <v>324</v>
      </c>
      <c r="B190" s="51" t="s">
        <v>325</v>
      </c>
      <c r="C190" s="51" t="s">
        <v>1187</v>
      </c>
      <c r="D190" s="51" t="s">
        <v>326</v>
      </c>
      <c r="E190" s="51" t="s">
        <v>19</v>
      </c>
      <c r="F190" s="51" t="s">
        <v>20</v>
      </c>
      <c r="G190" s="51" t="s">
        <v>1185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.75" thickBot="1" x14ac:dyDescent="0.3">
      <c r="A191" s="51" t="s">
        <v>52</v>
      </c>
      <c r="B191" s="51" t="s">
        <v>327</v>
      </c>
      <c r="C191" s="51" t="s">
        <v>1187</v>
      </c>
      <c r="D191" s="51" t="s">
        <v>328</v>
      </c>
      <c r="E191" s="51" t="s">
        <v>19</v>
      </c>
      <c r="F191" s="51" t="s">
        <v>1179</v>
      </c>
      <c r="G191" s="51" t="s">
        <v>803</v>
      </c>
      <c r="H191" s="53">
        <f t="shared" si="16"/>
        <v>26</v>
      </c>
      <c r="I191" s="17">
        <f t="shared" si="14"/>
        <v>4</v>
      </c>
      <c r="J191" s="18">
        <f t="shared" si="15"/>
        <v>0.8666666666666667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.75" thickBot="1" x14ac:dyDescent="0.3">
      <c r="A192" s="51" t="s">
        <v>314</v>
      </c>
      <c r="B192" s="51" t="s">
        <v>329</v>
      </c>
      <c r="C192" s="51" t="s">
        <v>1187</v>
      </c>
      <c r="D192" s="51" t="s">
        <v>330</v>
      </c>
      <c r="E192" s="51" t="s">
        <v>19</v>
      </c>
      <c r="F192" s="51" t="s">
        <v>1179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.75" thickBot="1" x14ac:dyDescent="0.3">
      <c r="A193" s="51" t="s">
        <v>314</v>
      </c>
      <c r="B193" s="51" t="s">
        <v>331</v>
      </c>
      <c r="C193" s="51" t="s">
        <v>1187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.75" thickBot="1" x14ac:dyDescent="0.3">
      <c r="A194" s="51" t="s">
        <v>335</v>
      </c>
      <c r="B194" s="51" t="s">
        <v>333</v>
      </c>
      <c r="C194" s="51" t="s">
        <v>1188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.75" thickBot="1" x14ac:dyDescent="0.3">
      <c r="A195" s="51" t="s">
        <v>335</v>
      </c>
      <c r="B195" s="51" t="s">
        <v>336</v>
      </c>
      <c r="C195" s="51" t="s">
        <v>1188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.75" thickBot="1" x14ac:dyDescent="0.3">
      <c r="A196" s="51" t="s">
        <v>335</v>
      </c>
      <c r="B196" s="51" t="s">
        <v>338</v>
      </c>
      <c r="C196" s="51" t="s">
        <v>1188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.75" thickBot="1" x14ac:dyDescent="0.3">
      <c r="A197" s="51" t="s">
        <v>335</v>
      </c>
      <c r="B197" s="51" t="s">
        <v>339</v>
      </c>
      <c r="C197" s="51" t="s">
        <v>1188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.75" thickBot="1" x14ac:dyDescent="0.3">
      <c r="A198" s="51" t="s">
        <v>335</v>
      </c>
      <c r="B198" s="51" t="s">
        <v>341</v>
      </c>
      <c r="C198" s="51" t="s">
        <v>1188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.75" thickBot="1" x14ac:dyDescent="0.3">
      <c r="A199" s="51" t="s">
        <v>41</v>
      </c>
      <c r="B199" s="51" t="s">
        <v>343</v>
      </c>
      <c r="C199" s="51" t="s">
        <v>1188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.75" thickBot="1" x14ac:dyDescent="0.3">
      <c r="A200" s="51" t="s">
        <v>41</v>
      </c>
      <c r="B200" s="51" t="s">
        <v>345</v>
      </c>
      <c r="C200" s="51" t="s">
        <v>1188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.75" thickBot="1" x14ac:dyDescent="0.3">
      <c r="A201" s="51" t="s">
        <v>189</v>
      </c>
      <c r="B201" s="51" t="s">
        <v>346</v>
      </c>
      <c r="C201" s="51" t="s">
        <v>1188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.75" thickBot="1" x14ac:dyDescent="0.3">
      <c r="A202" s="51" t="s">
        <v>189</v>
      </c>
      <c r="B202" s="51" t="s">
        <v>348</v>
      </c>
      <c r="C202" s="51" t="s">
        <v>1188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.75" thickBot="1" x14ac:dyDescent="0.3">
      <c r="A203" s="51" t="s">
        <v>217</v>
      </c>
      <c r="B203" s="51" t="s">
        <v>349</v>
      </c>
      <c r="C203" s="51" t="s">
        <v>1188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.75" thickBot="1" x14ac:dyDescent="0.3">
      <c r="A204" s="51" t="s">
        <v>217</v>
      </c>
      <c r="B204" s="51" t="s">
        <v>351</v>
      </c>
      <c r="C204" s="51" t="s">
        <v>1188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.75" thickBot="1" x14ac:dyDescent="0.3">
      <c r="A205" s="51" t="s">
        <v>232</v>
      </c>
      <c r="B205" s="51" t="s">
        <v>1087</v>
      </c>
      <c r="C205" s="51" t="s">
        <v>1188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.75" thickBot="1" x14ac:dyDescent="0.3">
      <c r="A206" s="51" t="s">
        <v>232</v>
      </c>
      <c r="B206" s="51" t="s">
        <v>353</v>
      </c>
      <c r="C206" s="51" t="s">
        <v>1188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.75" thickBot="1" x14ac:dyDescent="0.3">
      <c r="A207" s="51" t="s">
        <v>291</v>
      </c>
      <c r="B207" s="51" t="s">
        <v>354</v>
      </c>
      <c r="C207" s="51" t="s">
        <v>1187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.75" thickBot="1" x14ac:dyDescent="0.3">
      <c r="A208" s="51" t="s">
        <v>356</v>
      </c>
      <c r="B208" s="51" t="s">
        <v>357</v>
      </c>
      <c r="C208" s="51" t="s">
        <v>1188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.75" thickBot="1" x14ac:dyDescent="0.3">
      <c r="A209" s="51" t="s">
        <v>356</v>
      </c>
      <c r="B209" s="51" t="s">
        <v>359</v>
      </c>
      <c r="C209" s="51" t="s">
        <v>1188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.75" thickBot="1" x14ac:dyDescent="0.3">
      <c r="A210" s="51" t="s">
        <v>360</v>
      </c>
      <c r="B210" s="51" t="s">
        <v>1088</v>
      </c>
      <c r="C210" s="51" t="s">
        <v>1188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6</v>
      </c>
      <c r="I210" s="17">
        <f t="shared" si="17"/>
        <v>24</v>
      </c>
      <c r="J210" s="18">
        <f t="shared" si="18"/>
        <v>0.2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 t="s">
        <v>1010</v>
      </c>
      <c r="AH210" s="8" t="s">
        <v>1010</v>
      </c>
      <c r="AI210" s="8"/>
      <c r="AJ210" s="27"/>
      <c r="AK210" s="8"/>
      <c r="AL210" s="8"/>
      <c r="AM210" s="27"/>
      <c r="AN210" s="27"/>
      <c r="AO210" s="27"/>
    </row>
    <row r="211" spans="1:41" ht="15.75" thickBot="1" x14ac:dyDescent="0.3">
      <c r="A211" s="51" t="s">
        <v>199</v>
      </c>
      <c r="B211" s="51" t="s">
        <v>362</v>
      </c>
      <c r="C211" s="51" t="s">
        <v>1188</v>
      </c>
      <c r="D211" s="51" t="s">
        <v>363</v>
      </c>
      <c r="E211" s="51" t="s">
        <v>15</v>
      </c>
      <c r="F211" s="51" t="s">
        <v>1180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.75" thickBot="1" x14ac:dyDescent="0.3">
      <c r="A212" s="51" t="s">
        <v>199</v>
      </c>
      <c r="B212" s="51" t="s">
        <v>364</v>
      </c>
      <c r="C212" s="51" t="s">
        <v>1188</v>
      </c>
      <c r="D212" s="51" t="s">
        <v>363</v>
      </c>
      <c r="E212" s="51" t="s">
        <v>73</v>
      </c>
      <c r="F212" s="51" t="s">
        <v>1180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.75" thickBot="1" x14ac:dyDescent="0.3">
      <c r="A213" s="51" t="s">
        <v>365</v>
      </c>
      <c r="B213" s="51" t="s">
        <v>366</v>
      </c>
      <c r="C213" s="51" t="s">
        <v>1188</v>
      </c>
      <c r="D213" s="51" t="s">
        <v>1089</v>
      </c>
      <c r="E213" s="51" t="s">
        <v>15</v>
      </c>
      <c r="F213" s="51" t="s">
        <v>28</v>
      </c>
      <c r="G213" s="51" t="s">
        <v>831</v>
      </c>
      <c r="H213" s="53">
        <f t="shared" si="19"/>
        <v>9</v>
      </c>
      <c r="I213" s="17">
        <f t="shared" si="17"/>
        <v>21</v>
      </c>
      <c r="J213" s="18">
        <f t="shared" si="18"/>
        <v>0.3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 t="s">
        <v>1010</v>
      </c>
      <c r="AH213" s="8" t="s">
        <v>1010</v>
      </c>
      <c r="AI213" s="8"/>
      <c r="AJ213" s="27"/>
      <c r="AK213" s="8"/>
      <c r="AL213" s="8"/>
      <c r="AM213" s="27"/>
      <c r="AN213" s="27"/>
      <c r="AO213" s="27"/>
    </row>
    <row r="214" spans="1:41" ht="15.75" thickBot="1" x14ac:dyDescent="0.3">
      <c r="A214" s="51" t="s">
        <v>365</v>
      </c>
      <c r="B214" s="51" t="s">
        <v>367</v>
      </c>
      <c r="C214" s="51" t="s">
        <v>1188</v>
      </c>
      <c r="D214" s="51" t="s">
        <v>1089</v>
      </c>
      <c r="E214" s="51" t="s">
        <v>73</v>
      </c>
      <c r="F214" s="51" t="s">
        <v>28</v>
      </c>
      <c r="G214" s="51" t="s">
        <v>832</v>
      </c>
      <c r="H214" s="53">
        <f t="shared" si="19"/>
        <v>9</v>
      </c>
      <c r="I214" s="17">
        <f t="shared" si="17"/>
        <v>21</v>
      </c>
      <c r="J214" s="18">
        <f t="shared" si="18"/>
        <v>0.3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 t="s">
        <v>1010</v>
      </c>
      <c r="AH214" s="8" t="s">
        <v>1010</v>
      </c>
      <c r="AI214" s="8"/>
      <c r="AJ214" s="27"/>
      <c r="AK214" s="8"/>
      <c r="AL214" s="8"/>
      <c r="AM214" s="27"/>
      <c r="AN214" s="27"/>
      <c r="AO214" s="27"/>
    </row>
    <row r="215" spans="1:41" ht="15.75" thickBot="1" x14ac:dyDescent="0.3">
      <c r="A215" s="51" t="s">
        <v>356</v>
      </c>
      <c r="B215" s="51" t="s">
        <v>368</v>
      </c>
      <c r="C215" s="51" t="s">
        <v>1188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6</v>
      </c>
      <c r="I215" s="17">
        <f t="shared" si="17"/>
        <v>24</v>
      </c>
      <c r="J215" s="18">
        <f t="shared" si="18"/>
        <v>0.2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 t="s">
        <v>1010</v>
      </c>
      <c r="AH215" s="8" t="s">
        <v>1010</v>
      </c>
      <c r="AI215" s="8"/>
      <c r="AJ215" s="27"/>
      <c r="AK215" s="8"/>
      <c r="AL215" s="8"/>
      <c r="AM215" s="27"/>
      <c r="AN215" s="27"/>
      <c r="AO215" s="27"/>
    </row>
    <row r="216" spans="1:41" ht="15.75" thickBot="1" x14ac:dyDescent="0.3">
      <c r="A216" s="51" t="s">
        <v>356</v>
      </c>
      <c r="B216" s="51" t="s">
        <v>370</v>
      </c>
      <c r="C216" s="51" t="s">
        <v>1188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6</v>
      </c>
      <c r="I216" s="17">
        <f t="shared" si="17"/>
        <v>24</v>
      </c>
      <c r="J216" s="18">
        <f t="shared" si="18"/>
        <v>0.2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 t="s">
        <v>1010</v>
      </c>
      <c r="AH216" s="8" t="s">
        <v>1010</v>
      </c>
      <c r="AI216" s="8"/>
      <c r="AJ216" s="27"/>
      <c r="AK216" s="8"/>
      <c r="AL216" s="8"/>
      <c r="AM216" s="27"/>
      <c r="AN216" s="27"/>
      <c r="AO216" s="27"/>
    </row>
    <row r="217" spans="1:41" ht="15.75" thickBot="1" x14ac:dyDescent="0.3">
      <c r="A217" s="51" t="s">
        <v>187</v>
      </c>
      <c r="B217" s="51" t="s">
        <v>1090</v>
      </c>
      <c r="C217" s="51" t="s">
        <v>1187</v>
      </c>
      <c r="D217" s="51" t="s">
        <v>1091</v>
      </c>
      <c r="E217" s="51" t="s">
        <v>73</v>
      </c>
      <c r="F217" s="51" t="s">
        <v>28</v>
      </c>
      <c r="G217" s="51"/>
      <c r="H217" s="53">
        <f t="shared" si="19"/>
        <v>9</v>
      </c>
      <c r="I217" s="17">
        <f t="shared" si="17"/>
        <v>21</v>
      </c>
      <c r="J217" s="18">
        <f t="shared" si="18"/>
        <v>0.3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 t="s">
        <v>1010</v>
      </c>
      <c r="AH217" s="8" t="s">
        <v>1010</v>
      </c>
      <c r="AI217" s="8"/>
      <c r="AJ217" s="27"/>
      <c r="AK217" s="8"/>
      <c r="AL217" s="8"/>
      <c r="AM217" s="27"/>
      <c r="AN217" s="27"/>
      <c r="AO217" s="27"/>
    </row>
    <row r="218" spans="1:41" ht="15.75" thickBot="1" x14ac:dyDescent="0.3">
      <c r="A218" s="51" t="s">
        <v>189</v>
      </c>
      <c r="B218" s="51" t="s">
        <v>1092</v>
      </c>
      <c r="C218" s="51" t="s">
        <v>1188</v>
      </c>
      <c r="D218" s="51" t="s">
        <v>1093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.75" thickBot="1" x14ac:dyDescent="0.3">
      <c r="A219" s="51" t="s">
        <v>217</v>
      </c>
      <c r="B219" s="51" t="s">
        <v>1094</v>
      </c>
      <c r="C219" s="51" t="s">
        <v>1188</v>
      </c>
      <c r="D219" s="51" t="s">
        <v>1095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.75" thickBot="1" x14ac:dyDescent="0.3">
      <c r="A220" s="51" t="s">
        <v>291</v>
      </c>
      <c r="B220" s="51" t="s">
        <v>371</v>
      </c>
      <c r="C220" s="51" t="s">
        <v>1188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.75" thickBot="1" x14ac:dyDescent="0.3">
      <c r="A221" s="51" t="s">
        <v>291</v>
      </c>
      <c r="B221" s="51" t="s">
        <v>1096</v>
      </c>
      <c r="C221" s="51" t="s">
        <v>1188</v>
      </c>
      <c r="D221" s="51" t="s">
        <v>1097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.75" thickBot="1" x14ac:dyDescent="0.3">
      <c r="A222" s="51" t="s">
        <v>356</v>
      </c>
      <c r="B222" s="51" t="s">
        <v>1098</v>
      </c>
      <c r="C222" s="51" t="s">
        <v>1188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.75" thickBot="1" x14ac:dyDescent="0.3">
      <c r="A223" s="51" t="s">
        <v>199</v>
      </c>
      <c r="B223" s="51" t="s">
        <v>1099</v>
      </c>
      <c r="C223" s="51" t="s">
        <v>1188</v>
      </c>
      <c r="D223" s="51" t="s">
        <v>1100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.75" thickBot="1" x14ac:dyDescent="0.3">
      <c r="A224" s="51" t="s">
        <v>365</v>
      </c>
      <c r="B224" s="51" t="s">
        <v>1101</v>
      </c>
      <c r="C224" s="51" t="s">
        <v>1188</v>
      </c>
      <c r="D224" s="51" t="s">
        <v>1102</v>
      </c>
      <c r="E224" s="51" t="s">
        <v>19</v>
      </c>
      <c r="F224" s="51" t="s">
        <v>28</v>
      </c>
      <c r="G224" s="51"/>
      <c r="H224" s="53">
        <f t="shared" si="19"/>
        <v>11</v>
      </c>
      <c r="I224" s="17">
        <f t="shared" si="17"/>
        <v>19</v>
      </c>
      <c r="J224" s="18">
        <f t="shared" si="18"/>
        <v>0.36666666666666664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 t="s">
        <v>1010</v>
      </c>
      <c r="AH224" s="8" t="s">
        <v>1010</v>
      </c>
      <c r="AI224" s="8"/>
      <c r="AJ224" s="27"/>
      <c r="AK224" s="8"/>
      <c r="AL224" s="8"/>
      <c r="AM224" s="27"/>
      <c r="AN224" s="27"/>
      <c r="AO224" s="27"/>
    </row>
    <row r="225" spans="1:41" ht="15.75" thickBot="1" x14ac:dyDescent="0.3">
      <c r="A225" s="51" t="s">
        <v>356</v>
      </c>
      <c r="B225" s="51" t="s">
        <v>1103</v>
      </c>
      <c r="C225" s="51" t="s">
        <v>1188</v>
      </c>
      <c r="D225" s="51" t="s">
        <v>1104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.75" thickBot="1" x14ac:dyDescent="0.3">
      <c r="A226" s="51" t="s">
        <v>232</v>
      </c>
      <c r="B226" s="51" t="s">
        <v>1105</v>
      </c>
      <c r="C226" s="51" t="s">
        <v>1188</v>
      </c>
      <c r="D226" s="51" t="s">
        <v>1106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.75" thickBot="1" x14ac:dyDescent="0.3">
      <c r="A227" s="51" t="s">
        <v>372</v>
      </c>
      <c r="B227" s="51" t="s">
        <v>373</v>
      </c>
      <c r="C227" s="51" t="s">
        <v>1188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.75" thickBot="1" x14ac:dyDescent="0.3">
      <c r="A228" s="51" t="s">
        <v>372</v>
      </c>
      <c r="B228" s="51" t="s">
        <v>1107</v>
      </c>
      <c r="C228" s="51" t="s">
        <v>1188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.75" thickBot="1" x14ac:dyDescent="0.3">
      <c r="A229" s="51" t="s">
        <v>372</v>
      </c>
      <c r="B229" s="51" t="s">
        <v>376</v>
      </c>
      <c r="C229" s="51" t="s">
        <v>1188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.75" thickBot="1" x14ac:dyDescent="0.3">
      <c r="A230" s="51" t="s">
        <v>372</v>
      </c>
      <c r="B230" s="51" t="s">
        <v>378</v>
      </c>
      <c r="C230" s="51" t="s">
        <v>1188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.75" thickBot="1" x14ac:dyDescent="0.3">
      <c r="A231" s="51" t="s">
        <v>372</v>
      </c>
      <c r="B231" s="51" t="s">
        <v>379</v>
      </c>
      <c r="C231" s="51" t="s">
        <v>1188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.75" thickBot="1" x14ac:dyDescent="0.3">
      <c r="A232" s="51" t="s">
        <v>372</v>
      </c>
      <c r="B232" s="51" t="s">
        <v>381</v>
      </c>
      <c r="C232" s="51" t="s">
        <v>1188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.75" thickBot="1" x14ac:dyDescent="0.3">
      <c r="A233" s="51" t="s">
        <v>382</v>
      </c>
      <c r="B233" s="51" t="s">
        <v>1108</v>
      </c>
      <c r="C233" s="51" t="s">
        <v>1188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.75" thickBot="1" x14ac:dyDescent="0.3">
      <c r="A234" s="51" t="s">
        <v>382</v>
      </c>
      <c r="B234" s="51" t="s">
        <v>1109</v>
      </c>
      <c r="C234" s="51" t="s">
        <v>1188</v>
      </c>
      <c r="D234" s="51" t="s">
        <v>1110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.75" thickBot="1" x14ac:dyDescent="0.3">
      <c r="A235" s="51" t="s">
        <v>382</v>
      </c>
      <c r="B235" s="51" t="s">
        <v>1111</v>
      </c>
      <c r="C235" s="51" t="s">
        <v>1188</v>
      </c>
      <c r="D235" s="51" t="s">
        <v>1112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.75" thickBot="1" x14ac:dyDescent="0.3">
      <c r="A236" s="51" t="s">
        <v>382</v>
      </c>
      <c r="B236" s="51" t="s">
        <v>1113</v>
      </c>
      <c r="C236" s="51" t="s">
        <v>1188</v>
      </c>
      <c r="D236" s="51" t="s">
        <v>1114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.75" thickBot="1" x14ac:dyDescent="0.3">
      <c r="A237" s="51" t="s">
        <v>382</v>
      </c>
      <c r="B237" s="51" t="s">
        <v>1115</v>
      </c>
      <c r="C237" s="51" t="s">
        <v>1188</v>
      </c>
      <c r="D237" s="51" t="s">
        <v>1116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.75" thickBot="1" x14ac:dyDescent="0.3">
      <c r="A238" s="51" t="s">
        <v>382</v>
      </c>
      <c r="B238" s="51" t="s">
        <v>1117</v>
      </c>
      <c r="C238" s="51" t="s">
        <v>1188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.75" thickBot="1" x14ac:dyDescent="0.3">
      <c r="A239" s="51" t="s">
        <v>382</v>
      </c>
      <c r="B239" s="51" t="s">
        <v>1118</v>
      </c>
      <c r="C239" s="51" t="s">
        <v>1188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.75" thickBot="1" x14ac:dyDescent="0.3">
      <c r="A240" s="51" t="s">
        <v>382</v>
      </c>
      <c r="B240" s="51" t="s">
        <v>385</v>
      </c>
      <c r="C240" s="51" t="s">
        <v>1188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.75" thickBot="1" x14ac:dyDescent="0.3">
      <c r="A241" s="51" t="s">
        <v>382</v>
      </c>
      <c r="B241" s="51" t="s">
        <v>387</v>
      </c>
      <c r="C241" s="51" t="s">
        <v>1188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.75" thickBot="1" x14ac:dyDescent="0.3">
      <c r="A242" s="51" t="s">
        <v>988</v>
      </c>
      <c r="B242" s="51" t="s">
        <v>1119</v>
      </c>
      <c r="C242" s="51" t="s">
        <v>1188</v>
      </c>
      <c r="D242" s="51" t="s">
        <v>1120</v>
      </c>
      <c r="E242" s="51" t="s">
        <v>1181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.75" thickBot="1" x14ac:dyDescent="0.3">
      <c r="A243" s="51" t="s">
        <v>988</v>
      </c>
      <c r="B243" s="51" t="s">
        <v>987</v>
      </c>
      <c r="C243" s="51" t="s">
        <v>1188</v>
      </c>
      <c r="D243" s="51" t="s">
        <v>1120</v>
      </c>
      <c r="E243" s="51" t="s">
        <v>1182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.75" thickBot="1" x14ac:dyDescent="0.3">
      <c r="A244" s="51" t="s">
        <v>268</v>
      </c>
      <c r="B244" s="51" t="s">
        <v>1121</v>
      </c>
      <c r="C244" s="51" t="s">
        <v>1187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17</v>
      </c>
      <c r="I244" s="17">
        <f t="shared" si="17"/>
        <v>13</v>
      </c>
      <c r="J244" s="18">
        <f t="shared" si="18"/>
        <v>0.56666666666666665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 t="s">
        <v>1010</v>
      </c>
      <c r="AH244" s="8" t="s">
        <v>1010</v>
      </c>
      <c r="AI244" s="8"/>
      <c r="AJ244" s="27"/>
      <c r="AK244" s="8"/>
      <c r="AL244" s="8"/>
      <c r="AM244" s="27"/>
      <c r="AN244" s="27"/>
      <c r="AO244" s="27"/>
    </row>
    <row r="245" spans="1:41" ht="15.75" thickBot="1" x14ac:dyDescent="0.3">
      <c r="A245" s="51" t="s">
        <v>268</v>
      </c>
      <c r="B245" s="51" t="s">
        <v>1122</v>
      </c>
      <c r="C245" s="51" t="s">
        <v>1187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17</v>
      </c>
      <c r="I245" s="17">
        <f t="shared" si="17"/>
        <v>13</v>
      </c>
      <c r="J245" s="18">
        <f t="shared" si="18"/>
        <v>0.56666666666666665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 t="s">
        <v>1010</v>
      </c>
      <c r="AH245" s="27" t="s">
        <v>1010</v>
      </c>
      <c r="AI245" s="27"/>
      <c r="AJ245" s="27"/>
      <c r="AK245" s="27"/>
      <c r="AL245" s="27"/>
      <c r="AM245" s="27"/>
      <c r="AN245" s="27"/>
      <c r="AO245" s="27"/>
    </row>
    <row r="246" spans="1:41" ht="15.75" thickBot="1" x14ac:dyDescent="0.3">
      <c r="A246" s="51" t="s">
        <v>268</v>
      </c>
      <c r="B246" s="51" t="s">
        <v>1123</v>
      </c>
      <c r="C246" s="51" t="s">
        <v>1187</v>
      </c>
      <c r="D246" s="51" t="s">
        <v>1124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.75" thickBot="1" x14ac:dyDescent="0.3">
      <c r="A247" s="51" t="s">
        <v>268</v>
      </c>
      <c r="B247" s="51" t="s">
        <v>1125</v>
      </c>
      <c r="C247" s="51" t="s">
        <v>1187</v>
      </c>
      <c r="D247" s="51" t="s">
        <v>1126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.75" thickBot="1" x14ac:dyDescent="0.3">
      <c r="A248" s="51" t="s">
        <v>268</v>
      </c>
      <c r="B248" s="51" t="s">
        <v>389</v>
      </c>
      <c r="C248" s="51" t="s">
        <v>1187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.75" thickBot="1" x14ac:dyDescent="0.3">
      <c r="A249" s="51" t="s">
        <v>391</v>
      </c>
      <c r="B249" s="51" t="s">
        <v>392</v>
      </c>
      <c r="C249" s="51" t="s">
        <v>1187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.75" thickBot="1" x14ac:dyDescent="0.3">
      <c r="A250" s="51" t="s">
        <v>391</v>
      </c>
      <c r="B250" s="51" t="s">
        <v>394</v>
      </c>
      <c r="C250" s="51" t="s">
        <v>1187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.75" thickBot="1" x14ac:dyDescent="0.3">
      <c r="A251" s="51" t="s">
        <v>396</v>
      </c>
      <c r="B251" s="51" t="s">
        <v>397</v>
      </c>
      <c r="C251" s="51" t="s">
        <v>1187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.75" thickBot="1" x14ac:dyDescent="0.3">
      <c r="A252" s="51" t="s">
        <v>298</v>
      </c>
      <c r="B252" s="51" t="s">
        <v>1127</v>
      </c>
      <c r="C252" s="51" t="s">
        <v>1187</v>
      </c>
      <c r="D252" s="51" t="s">
        <v>401</v>
      </c>
      <c r="E252" s="51" t="s">
        <v>19</v>
      </c>
      <c r="F252" s="51" t="s">
        <v>1179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.75" thickBot="1" x14ac:dyDescent="0.3">
      <c r="A253" s="51" t="s">
        <v>298</v>
      </c>
      <c r="B253" s="51" t="s">
        <v>399</v>
      </c>
      <c r="C253" s="51" t="s">
        <v>1187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.75" thickBot="1" x14ac:dyDescent="0.3">
      <c r="A254" s="51" t="s">
        <v>298</v>
      </c>
      <c r="B254" s="51" t="s">
        <v>402</v>
      </c>
      <c r="C254" s="51" t="s">
        <v>1187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6</v>
      </c>
      <c r="I254" s="17">
        <f t="shared" si="17"/>
        <v>24</v>
      </c>
      <c r="J254" s="18">
        <f t="shared" si="18"/>
        <v>0.2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 t="s">
        <v>1010</v>
      </c>
      <c r="AH254" s="8" t="s">
        <v>1010</v>
      </c>
      <c r="AI254" s="8"/>
      <c r="AJ254" s="27"/>
      <c r="AK254" s="8"/>
      <c r="AL254" s="8"/>
      <c r="AM254" s="27"/>
      <c r="AN254" s="27"/>
      <c r="AO254" s="27"/>
    </row>
    <row r="255" spans="1:41" ht="15.75" thickBot="1" x14ac:dyDescent="0.3">
      <c r="A255" s="51" t="s">
        <v>298</v>
      </c>
      <c r="B255" s="51" t="s">
        <v>404</v>
      </c>
      <c r="C255" s="51" t="s">
        <v>1187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6</v>
      </c>
      <c r="I255" s="17">
        <f t="shared" si="17"/>
        <v>24</v>
      </c>
      <c r="J255" s="18">
        <f t="shared" si="18"/>
        <v>0.2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 t="s">
        <v>1010</v>
      </c>
      <c r="AH255" s="8" t="s">
        <v>1010</v>
      </c>
      <c r="AI255" s="8"/>
      <c r="AJ255" s="27"/>
      <c r="AK255" s="8"/>
      <c r="AL255" s="8"/>
      <c r="AM255" s="27"/>
      <c r="AN255" s="27"/>
      <c r="AO255" s="27"/>
    </row>
    <row r="256" spans="1:41" ht="15.75" thickBot="1" x14ac:dyDescent="0.3">
      <c r="A256" s="51" t="s">
        <v>391</v>
      </c>
      <c r="B256" s="51" t="s">
        <v>405</v>
      </c>
      <c r="C256" s="51" t="s">
        <v>1187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.75" thickBot="1" x14ac:dyDescent="0.3">
      <c r="A257" s="51" t="s">
        <v>391</v>
      </c>
      <c r="B257" s="51" t="s">
        <v>407</v>
      </c>
      <c r="C257" s="51" t="s">
        <v>1187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.75" thickBot="1" x14ac:dyDescent="0.3">
      <c r="A258" s="51" t="s">
        <v>409</v>
      </c>
      <c r="B258" s="51" t="s">
        <v>410</v>
      </c>
      <c r="C258" s="51" t="s">
        <v>1187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.75" thickBot="1" x14ac:dyDescent="0.3">
      <c r="A259" s="51" t="s">
        <v>409</v>
      </c>
      <c r="B259" s="51" t="s">
        <v>412</v>
      </c>
      <c r="C259" s="51" t="s">
        <v>1187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.75" thickBot="1" x14ac:dyDescent="0.3">
      <c r="A260" s="51" t="s">
        <v>409</v>
      </c>
      <c r="B260" s="51" t="s">
        <v>413</v>
      </c>
      <c r="C260" s="51" t="s">
        <v>1187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.75" thickBot="1" x14ac:dyDescent="0.3">
      <c r="A261" s="51" t="s">
        <v>416</v>
      </c>
      <c r="B261" s="51" t="s">
        <v>993</v>
      </c>
      <c r="C261" s="51" t="s">
        <v>1187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.75" thickBot="1" x14ac:dyDescent="0.3">
      <c r="A262" s="51" t="s">
        <v>409</v>
      </c>
      <c r="B262" s="51" t="s">
        <v>995</v>
      </c>
      <c r="C262" s="51" t="s">
        <v>1187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.75" thickBot="1" x14ac:dyDescent="0.3">
      <c r="A263" s="51" t="s">
        <v>409</v>
      </c>
      <c r="B263" s="51" t="s">
        <v>1128</v>
      </c>
      <c r="C263" s="51" t="s">
        <v>1187</v>
      </c>
      <c r="D263" s="51" t="s">
        <v>1129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.75" thickBot="1" x14ac:dyDescent="0.3">
      <c r="A264" s="51" t="s">
        <v>409</v>
      </c>
      <c r="B264" s="51" t="s">
        <v>414</v>
      </c>
      <c r="C264" s="51" t="s">
        <v>1187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.75" thickBot="1" x14ac:dyDescent="0.3">
      <c r="A265" s="51" t="s">
        <v>416</v>
      </c>
      <c r="B265" s="51" t="s">
        <v>417</v>
      </c>
      <c r="C265" s="51" t="s">
        <v>1187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.75" thickBot="1" x14ac:dyDescent="0.3">
      <c r="A266" s="51" t="s">
        <v>416</v>
      </c>
      <c r="B266" s="51" t="s">
        <v>419</v>
      </c>
      <c r="C266" s="51" t="s">
        <v>1187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.75" thickBot="1" x14ac:dyDescent="0.3">
      <c r="A267" s="51" t="s">
        <v>409</v>
      </c>
      <c r="B267" s="51" t="s">
        <v>420</v>
      </c>
      <c r="C267" s="51" t="s">
        <v>1187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.75" thickBot="1" x14ac:dyDescent="0.3">
      <c r="A268" s="51" t="s">
        <v>409</v>
      </c>
      <c r="B268" s="51" t="s">
        <v>422</v>
      </c>
      <c r="C268" s="51" t="s">
        <v>1187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.75" thickBot="1" x14ac:dyDescent="0.3">
      <c r="A269" s="51" t="s">
        <v>409</v>
      </c>
      <c r="B269" s="51" t="s">
        <v>423</v>
      </c>
      <c r="C269" s="51" t="s">
        <v>1187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.75" thickBot="1" x14ac:dyDescent="0.3">
      <c r="A270" s="51" t="s">
        <v>409</v>
      </c>
      <c r="B270" s="51" t="s">
        <v>425</v>
      </c>
      <c r="C270" s="51" t="s">
        <v>1187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.75" thickBot="1" x14ac:dyDescent="0.3">
      <c r="A271" s="51" t="s">
        <v>199</v>
      </c>
      <c r="B271" s="51" t="s">
        <v>426</v>
      </c>
      <c r="C271" s="51" t="s">
        <v>1188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.75" thickBot="1" x14ac:dyDescent="0.3">
      <c r="A272" s="51" t="s">
        <v>199</v>
      </c>
      <c r="B272" s="51" t="s">
        <v>428</v>
      </c>
      <c r="C272" s="51" t="s">
        <v>1188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.75" thickBot="1" x14ac:dyDescent="0.3">
      <c r="A273" s="51" t="s">
        <v>199</v>
      </c>
      <c r="B273" s="51" t="s">
        <v>1130</v>
      </c>
      <c r="C273" s="51" t="s">
        <v>1188</v>
      </c>
      <c r="D273" s="51" t="s">
        <v>1131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.75" thickBot="1" x14ac:dyDescent="0.3">
      <c r="A274" s="51" t="s">
        <v>199</v>
      </c>
      <c r="B274" s="51" t="s">
        <v>1132</v>
      </c>
      <c r="C274" s="51" t="s">
        <v>1188</v>
      </c>
      <c r="D274" s="51" t="s">
        <v>1131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.75" thickBot="1" x14ac:dyDescent="0.3">
      <c r="A275" s="51" t="s">
        <v>199</v>
      </c>
      <c r="B275" s="51" t="s">
        <v>430</v>
      </c>
      <c r="C275" s="51" t="s">
        <v>1188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.75" thickBot="1" x14ac:dyDescent="0.3">
      <c r="A276" s="51" t="s">
        <v>199</v>
      </c>
      <c r="B276" s="51" t="s">
        <v>432</v>
      </c>
      <c r="C276" s="51" t="s">
        <v>1188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.75" thickBot="1" x14ac:dyDescent="0.3">
      <c r="A277" s="51" t="s">
        <v>199</v>
      </c>
      <c r="B277" s="51" t="s">
        <v>434</v>
      </c>
      <c r="C277" s="51" t="s">
        <v>1188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.75" thickBot="1" x14ac:dyDescent="0.3">
      <c r="A278" s="51" t="s">
        <v>199</v>
      </c>
      <c r="B278" s="51" t="s">
        <v>436</v>
      </c>
      <c r="C278" s="51" t="s">
        <v>1188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.75" thickBot="1" x14ac:dyDescent="0.3">
      <c r="A279" s="51" t="s">
        <v>199</v>
      </c>
      <c r="B279" s="51" t="s">
        <v>437</v>
      </c>
      <c r="C279" s="51" t="s">
        <v>1188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.75" thickBot="1" x14ac:dyDescent="0.3">
      <c r="A280" s="51" t="s">
        <v>199</v>
      </c>
      <c r="B280" s="51" t="s">
        <v>439</v>
      </c>
      <c r="C280" s="51" t="s">
        <v>1188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.75" thickBot="1" x14ac:dyDescent="0.3">
      <c r="A281" s="51" t="s">
        <v>440</v>
      </c>
      <c r="B281" s="51" t="s">
        <v>441</v>
      </c>
      <c r="C281" s="51" t="s">
        <v>1188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.75" thickBot="1" x14ac:dyDescent="0.3">
      <c r="A282" s="51" t="s">
        <v>445</v>
      </c>
      <c r="B282" s="51" t="s">
        <v>443</v>
      </c>
      <c r="C282" s="51" t="s">
        <v>1188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.75" thickBot="1" x14ac:dyDescent="0.3">
      <c r="A283" s="51" t="s">
        <v>445</v>
      </c>
      <c r="B283" s="51" t="s">
        <v>446</v>
      </c>
      <c r="C283" s="51" t="s">
        <v>1188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.75" thickBot="1" x14ac:dyDescent="0.3">
      <c r="A284" s="51" t="s">
        <v>445</v>
      </c>
      <c r="B284" s="51" t="s">
        <v>448</v>
      </c>
      <c r="C284" s="51" t="s">
        <v>1188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.75" thickBot="1" x14ac:dyDescent="0.3">
      <c r="A285" s="51" t="s">
        <v>445</v>
      </c>
      <c r="B285" s="51" t="s">
        <v>450</v>
      </c>
      <c r="C285" s="51" t="s">
        <v>1188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.75" thickBot="1" x14ac:dyDescent="0.3">
      <c r="A286" s="51" t="s">
        <v>445</v>
      </c>
      <c r="B286" s="51" t="s">
        <v>452</v>
      </c>
      <c r="C286" s="51" t="s">
        <v>1188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.75" thickBot="1" x14ac:dyDescent="0.3">
      <c r="A287" s="51" t="s">
        <v>445</v>
      </c>
      <c r="B287" s="51" t="s">
        <v>454</v>
      </c>
      <c r="C287" s="51" t="s">
        <v>1188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.75" thickBot="1" x14ac:dyDescent="0.3">
      <c r="A288" s="51" t="s">
        <v>445</v>
      </c>
      <c r="B288" s="51" t="s">
        <v>456</v>
      </c>
      <c r="C288" s="51" t="s">
        <v>1188</v>
      </c>
      <c r="D288" s="51" t="s">
        <v>457</v>
      </c>
      <c r="E288" s="51" t="s">
        <v>15</v>
      </c>
      <c r="F288" s="51" t="s">
        <v>1180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899999999999999" customHeight="1" thickBot="1" x14ac:dyDescent="0.3">
      <c r="A289" s="51" t="s">
        <v>168</v>
      </c>
      <c r="B289" s="51" t="s">
        <v>1133</v>
      </c>
      <c r="C289" s="51" t="s">
        <v>1187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12</v>
      </c>
      <c r="I289" s="17">
        <f t="shared" si="21"/>
        <v>18</v>
      </c>
      <c r="J289" s="18">
        <f t="shared" si="22"/>
        <v>0.4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 t="s">
        <v>1010</v>
      </c>
      <c r="AH289" s="8" t="s">
        <v>1010</v>
      </c>
      <c r="AI289" s="8"/>
      <c r="AJ289" s="27"/>
      <c r="AK289" s="8"/>
      <c r="AL289" s="8"/>
      <c r="AM289" s="27"/>
      <c r="AN289" s="27"/>
      <c r="AO289" s="27"/>
    </row>
    <row r="290" spans="1:41" ht="15.75" thickBot="1" x14ac:dyDescent="0.3">
      <c r="A290" s="51" t="s">
        <v>168</v>
      </c>
      <c r="B290" s="51" t="s">
        <v>1134</v>
      </c>
      <c r="C290" s="51" t="s">
        <v>1187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12</v>
      </c>
      <c r="I290" s="17">
        <f t="shared" si="21"/>
        <v>18</v>
      </c>
      <c r="J290" s="18">
        <f t="shared" si="22"/>
        <v>0.4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 t="s">
        <v>1010</v>
      </c>
      <c r="AH290" s="8" t="s">
        <v>1010</v>
      </c>
      <c r="AI290" s="8"/>
      <c r="AJ290" s="27"/>
      <c r="AK290" s="8"/>
      <c r="AL290" s="8"/>
      <c r="AM290" s="27"/>
      <c r="AN290" s="27"/>
      <c r="AO290" s="27"/>
    </row>
    <row r="291" spans="1:41" ht="15.75" thickBot="1" x14ac:dyDescent="0.3">
      <c r="A291" s="51" t="s">
        <v>168</v>
      </c>
      <c r="B291" s="51" t="s">
        <v>458</v>
      </c>
      <c r="C291" s="51" t="s">
        <v>1187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12</v>
      </c>
      <c r="I291" s="17">
        <f t="shared" si="21"/>
        <v>18</v>
      </c>
      <c r="J291" s="18">
        <f t="shared" si="22"/>
        <v>0.4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 t="s">
        <v>1010</v>
      </c>
      <c r="AH291" s="8" t="s">
        <v>1010</v>
      </c>
      <c r="AI291" s="8"/>
      <c r="AJ291" s="27"/>
      <c r="AK291" s="8"/>
      <c r="AL291" s="8"/>
      <c r="AM291" s="27"/>
      <c r="AN291" s="27"/>
      <c r="AO291" s="27"/>
    </row>
    <row r="292" spans="1:41" ht="15.75" thickBot="1" x14ac:dyDescent="0.3">
      <c r="A292" s="51" t="s">
        <v>168</v>
      </c>
      <c r="B292" s="51" t="s">
        <v>460</v>
      </c>
      <c r="C292" s="51" t="s">
        <v>1187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12</v>
      </c>
      <c r="I292" s="17">
        <f t="shared" si="21"/>
        <v>18</v>
      </c>
      <c r="J292" s="18">
        <f t="shared" si="22"/>
        <v>0.4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 t="s">
        <v>1010</v>
      </c>
      <c r="AH292" s="8" t="s">
        <v>1010</v>
      </c>
      <c r="AI292" s="8"/>
      <c r="AJ292" s="27"/>
      <c r="AK292" s="8"/>
      <c r="AL292" s="8"/>
      <c r="AM292" s="27"/>
      <c r="AN292" s="27"/>
      <c r="AO292" s="27"/>
    </row>
    <row r="293" spans="1:41" ht="15.75" thickBot="1" x14ac:dyDescent="0.3">
      <c r="A293" s="51" t="s">
        <v>462</v>
      </c>
      <c r="B293" s="51" t="s">
        <v>1135</v>
      </c>
      <c r="C293" s="51" t="s">
        <v>1188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.75" thickBot="1" x14ac:dyDescent="0.3">
      <c r="A294" s="51" t="s">
        <v>462</v>
      </c>
      <c r="B294" s="51" t="s">
        <v>466</v>
      </c>
      <c r="C294" s="51" t="s">
        <v>1188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.75" thickBot="1" x14ac:dyDescent="0.3">
      <c r="A295" s="51" t="s">
        <v>462</v>
      </c>
      <c r="B295" s="51" t="s">
        <v>1136</v>
      </c>
      <c r="C295" s="51" t="s">
        <v>1188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.75" thickBot="1" x14ac:dyDescent="0.3">
      <c r="A296" s="51" t="s">
        <v>356</v>
      </c>
      <c r="B296" s="51" t="s">
        <v>1137</v>
      </c>
      <c r="C296" s="51" t="s">
        <v>1188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.75" thickBot="1" x14ac:dyDescent="0.3">
      <c r="A297" s="51" t="s">
        <v>356</v>
      </c>
      <c r="B297" s="51" t="s">
        <v>1138</v>
      </c>
      <c r="C297" s="51" t="s">
        <v>1188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.75" thickBot="1" x14ac:dyDescent="0.3">
      <c r="A298" s="51" t="s">
        <v>462</v>
      </c>
      <c r="B298" s="51" t="s">
        <v>1139</v>
      </c>
      <c r="C298" s="51" t="s">
        <v>1188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.75" thickBot="1" x14ac:dyDescent="0.3">
      <c r="A299" s="51" t="s">
        <v>462</v>
      </c>
      <c r="B299" s="51" t="s">
        <v>1140</v>
      </c>
      <c r="C299" s="51" t="s">
        <v>1188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.75" thickBot="1" x14ac:dyDescent="0.3">
      <c r="A300" s="51" t="s">
        <v>462</v>
      </c>
      <c r="B300" s="51" t="s">
        <v>471</v>
      </c>
      <c r="C300" s="51" t="s">
        <v>1188</v>
      </c>
      <c r="D300" s="51" t="s">
        <v>1141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.75" thickBot="1" x14ac:dyDescent="0.3">
      <c r="A301" s="51" t="s">
        <v>356</v>
      </c>
      <c r="B301" s="51" t="s">
        <v>472</v>
      </c>
      <c r="C301" s="51" t="s">
        <v>1188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.75" thickBot="1" x14ac:dyDescent="0.3">
      <c r="A302" s="51" t="s">
        <v>462</v>
      </c>
      <c r="B302" s="51" t="s">
        <v>474</v>
      </c>
      <c r="C302" s="51" t="s">
        <v>1188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.75" thickBot="1" x14ac:dyDescent="0.3">
      <c r="A303" s="51" t="s">
        <v>462</v>
      </c>
      <c r="B303" s="51" t="s">
        <v>1142</v>
      </c>
      <c r="C303" s="51" t="s">
        <v>1188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.75" thickBot="1" x14ac:dyDescent="0.3">
      <c r="A304" s="51" t="s">
        <v>462</v>
      </c>
      <c r="B304" s="51" t="s">
        <v>1143</v>
      </c>
      <c r="C304" s="51" t="s">
        <v>1188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.75" thickBot="1" x14ac:dyDescent="0.3">
      <c r="A305" s="51" t="s">
        <v>462</v>
      </c>
      <c r="B305" s="51" t="s">
        <v>1144</v>
      </c>
      <c r="C305" s="51" t="s">
        <v>1188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.75" thickBot="1" x14ac:dyDescent="0.3">
      <c r="A306" s="51" t="s">
        <v>462</v>
      </c>
      <c r="B306" s="51" t="s">
        <v>1145</v>
      </c>
      <c r="C306" s="51" t="s">
        <v>1188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.75" thickBot="1" x14ac:dyDescent="0.3">
      <c r="A307" s="51" t="s">
        <v>462</v>
      </c>
      <c r="B307" s="51" t="s">
        <v>1146</v>
      </c>
      <c r="C307" s="51" t="s">
        <v>1188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.75" thickBot="1" x14ac:dyDescent="0.3">
      <c r="A308" s="51" t="s">
        <v>462</v>
      </c>
      <c r="B308" s="51" t="s">
        <v>478</v>
      </c>
      <c r="C308" s="51" t="s">
        <v>1188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.75" thickBot="1" x14ac:dyDescent="0.3">
      <c r="A309" s="51" t="s">
        <v>462</v>
      </c>
      <c r="B309" s="51" t="s">
        <v>481</v>
      </c>
      <c r="C309" s="51" t="s">
        <v>1188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.75" thickBot="1" x14ac:dyDescent="0.3">
      <c r="A310" s="51" t="s">
        <v>462</v>
      </c>
      <c r="B310" s="51" t="s">
        <v>1147</v>
      </c>
      <c r="C310" s="51" t="s">
        <v>1188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.75" thickBot="1" x14ac:dyDescent="0.3">
      <c r="A311" s="51" t="s">
        <v>462</v>
      </c>
      <c r="B311" s="51" t="s">
        <v>1148</v>
      </c>
      <c r="C311" s="51" t="s">
        <v>1188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.75" thickBot="1" x14ac:dyDescent="0.3">
      <c r="A312" s="51" t="s">
        <v>365</v>
      </c>
      <c r="B312" s="51" t="s">
        <v>484</v>
      </c>
      <c r="C312" s="51" t="s">
        <v>1188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.75" thickBot="1" x14ac:dyDescent="0.3">
      <c r="A313" s="51" t="s">
        <v>365</v>
      </c>
      <c r="B313" s="51" t="s">
        <v>486</v>
      </c>
      <c r="C313" s="51" t="s">
        <v>1188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.75" thickBot="1" x14ac:dyDescent="0.3">
      <c r="A314" s="51" t="s">
        <v>268</v>
      </c>
      <c r="B314" s="51" t="s">
        <v>1149</v>
      </c>
      <c r="C314" s="51" t="s">
        <v>1187</v>
      </c>
      <c r="D314" s="51" t="s">
        <v>505</v>
      </c>
      <c r="E314" s="51" t="s">
        <v>19</v>
      </c>
      <c r="F314" s="51" t="s">
        <v>1180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.75" thickBot="1" x14ac:dyDescent="0.3">
      <c r="A315" s="51" t="s">
        <v>487</v>
      </c>
      <c r="B315" s="51" t="s">
        <v>488</v>
      </c>
      <c r="C315" s="51" t="s">
        <v>1187</v>
      </c>
      <c r="D315" s="51" t="s">
        <v>489</v>
      </c>
      <c r="E315" s="51" t="s">
        <v>19</v>
      </c>
      <c r="F315" s="51" t="s">
        <v>1180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.75" thickBot="1" x14ac:dyDescent="0.3">
      <c r="A316" s="51" t="s">
        <v>487</v>
      </c>
      <c r="B316" s="51" t="s">
        <v>490</v>
      </c>
      <c r="C316" s="51" t="s">
        <v>1187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21</v>
      </c>
      <c r="I316" s="17">
        <f t="shared" si="21"/>
        <v>9</v>
      </c>
      <c r="J316" s="18">
        <f t="shared" si="22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.75" thickBot="1" x14ac:dyDescent="0.3">
      <c r="A317" s="51" t="s">
        <v>492</v>
      </c>
      <c r="B317" s="51" t="s">
        <v>493</v>
      </c>
      <c r="C317" s="51" t="s">
        <v>1187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.75" thickBot="1" x14ac:dyDescent="0.3">
      <c r="A318" s="51" t="s">
        <v>487</v>
      </c>
      <c r="B318" s="51" t="s">
        <v>495</v>
      </c>
      <c r="C318" s="51" t="s">
        <v>1187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.75" thickBot="1" x14ac:dyDescent="0.3">
      <c r="A319" s="51" t="s">
        <v>487</v>
      </c>
      <c r="B319" s="51" t="s">
        <v>497</v>
      </c>
      <c r="C319" s="51" t="s">
        <v>1187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.75" thickBot="1" x14ac:dyDescent="0.3">
      <c r="A320" s="51" t="s">
        <v>487</v>
      </c>
      <c r="B320" s="51" t="s">
        <v>499</v>
      </c>
      <c r="C320" s="51" t="s">
        <v>1187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.75" thickBot="1" x14ac:dyDescent="0.3">
      <c r="A321" s="51" t="s">
        <v>487</v>
      </c>
      <c r="B321" s="51" t="s">
        <v>501</v>
      </c>
      <c r="C321" s="51" t="s">
        <v>1187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.75" thickBot="1" x14ac:dyDescent="0.3">
      <c r="A322" s="51" t="s">
        <v>487</v>
      </c>
      <c r="B322" s="51" t="s">
        <v>503</v>
      </c>
      <c r="C322" s="51" t="s">
        <v>1187</v>
      </c>
      <c r="D322" s="51" t="s">
        <v>504</v>
      </c>
      <c r="E322" s="51" t="s">
        <v>19</v>
      </c>
      <c r="F322" s="51" t="s">
        <v>1180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.75" thickBot="1" x14ac:dyDescent="0.3">
      <c r="A323" s="51" t="s">
        <v>232</v>
      </c>
      <c r="B323" s="51" t="s">
        <v>506</v>
      </c>
      <c r="C323" s="51" t="s">
        <v>1188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.75" thickBot="1" x14ac:dyDescent="0.3">
      <c r="A324" s="51" t="s">
        <v>232</v>
      </c>
      <c r="B324" s="51" t="s">
        <v>508</v>
      </c>
      <c r="C324" s="51" t="s">
        <v>1188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.75" thickBot="1" x14ac:dyDescent="0.3">
      <c r="A325" s="51" t="s">
        <v>232</v>
      </c>
      <c r="B325" s="51" t="s">
        <v>1150</v>
      </c>
      <c r="C325" s="51" t="s">
        <v>1188</v>
      </c>
      <c r="D325" s="51" t="s">
        <v>518</v>
      </c>
      <c r="E325" s="51" t="s">
        <v>73</v>
      </c>
      <c r="F325" s="51" t="s">
        <v>1179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.75" thickBot="1" x14ac:dyDescent="0.3">
      <c r="A326" s="51" t="s">
        <v>232</v>
      </c>
      <c r="B326" s="51" t="s">
        <v>1151</v>
      </c>
      <c r="C326" s="51" t="s">
        <v>1188</v>
      </c>
      <c r="D326" s="51" t="s">
        <v>518</v>
      </c>
      <c r="E326" s="51" t="s">
        <v>73</v>
      </c>
      <c r="F326" s="51" t="s">
        <v>1179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.75" thickBot="1" x14ac:dyDescent="0.3">
      <c r="A327" s="51" t="s">
        <v>232</v>
      </c>
      <c r="B327" s="51" t="s">
        <v>510</v>
      </c>
      <c r="C327" s="51" t="s">
        <v>1188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6</v>
      </c>
      <c r="I327" s="17">
        <f t="shared" ref="I327:I372" si="24">COUNTIF(K327:AL327,"APAGADO")</f>
        <v>24</v>
      </c>
      <c r="J327" s="18">
        <f t="shared" ref="J327:J372" si="25">(H327)/(I327+H327)</f>
        <v>0.2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 t="s">
        <v>1010</v>
      </c>
      <c r="AH327" s="8" t="s">
        <v>1010</v>
      </c>
      <c r="AI327" s="8"/>
      <c r="AJ327" s="27"/>
      <c r="AK327" s="8"/>
      <c r="AL327" s="8"/>
      <c r="AM327" s="27"/>
      <c r="AN327" s="27"/>
      <c r="AO327" s="27"/>
    </row>
    <row r="328" spans="1:41" ht="15.75" thickBot="1" x14ac:dyDescent="0.3">
      <c r="A328" s="51" t="s">
        <v>232</v>
      </c>
      <c r="B328" s="51" t="s">
        <v>512</v>
      </c>
      <c r="C328" s="51" t="s">
        <v>1188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6</v>
      </c>
      <c r="I328" s="17">
        <f t="shared" si="24"/>
        <v>24</v>
      </c>
      <c r="J328" s="18">
        <f t="shared" si="25"/>
        <v>0.2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 t="s">
        <v>1010</v>
      </c>
      <c r="AH328" s="8" t="s">
        <v>1010</v>
      </c>
      <c r="AI328" s="8"/>
      <c r="AJ328" s="27"/>
      <c r="AK328" s="8"/>
      <c r="AL328" s="8"/>
      <c r="AM328" s="27"/>
      <c r="AN328" s="27"/>
      <c r="AO328" s="27"/>
    </row>
    <row r="329" spans="1:41" ht="15.75" thickBot="1" x14ac:dyDescent="0.3">
      <c r="A329" s="51" t="s">
        <v>232</v>
      </c>
      <c r="B329" s="51" t="s">
        <v>513</v>
      </c>
      <c r="C329" s="51" t="s">
        <v>1188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.75" thickBot="1" x14ac:dyDescent="0.3">
      <c r="A330" s="51" t="s">
        <v>232</v>
      </c>
      <c r="B330" s="51" t="s">
        <v>515</v>
      </c>
      <c r="C330" s="51" t="s">
        <v>1188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.75" thickBot="1" x14ac:dyDescent="0.3">
      <c r="A331" s="51" t="s">
        <v>232</v>
      </c>
      <c r="B331" s="51" t="s">
        <v>516</v>
      </c>
      <c r="C331" s="51" t="s">
        <v>1188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.75" thickBot="1" x14ac:dyDescent="0.3">
      <c r="A332" s="51" t="s">
        <v>232</v>
      </c>
      <c r="B332" s="51" t="s">
        <v>519</v>
      </c>
      <c r="C332" s="51" t="s">
        <v>1188</v>
      </c>
      <c r="D332" s="51" t="s">
        <v>520</v>
      </c>
      <c r="E332" s="51" t="s">
        <v>73</v>
      </c>
      <c r="F332" s="51" t="s">
        <v>1179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.75" thickBot="1" x14ac:dyDescent="0.3">
      <c r="A333" s="51" t="s">
        <v>232</v>
      </c>
      <c r="B333" s="51" t="s">
        <v>521</v>
      </c>
      <c r="C333" s="51" t="s">
        <v>1188</v>
      </c>
      <c r="D333" s="51" t="s">
        <v>520</v>
      </c>
      <c r="E333" s="51" t="s">
        <v>73</v>
      </c>
      <c r="F333" s="51" t="s">
        <v>1179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.75" thickBot="1" x14ac:dyDescent="0.3">
      <c r="A334" s="51" t="s">
        <v>524</v>
      </c>
      <c r="B334" s="51" t="s">
        <v>1152</v>
      </c>
      <c r="C334" s="51" t="s">
        <v>1188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.75" thickBot="1" x14ac:dyDescent="0.3">
      <c r="A335" s="51" t="s">
        <v>528</v>
      </c>
      <c r="B335" s="51" t="s">
        <v>1153</v>
      </c>
      <c r="C335" s="51" t="s">
        <v>1188</v>
      </c>
      <c r="D335" s="51" t="s">
        <v>553</v>
      </c>
      <c r="E335" s="51" t="s">
        <v>15</v>
      </c>
      <c r="F335" s="51" t="s">
        <v>1179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.75" thickBot="1" x14ac:dyDescent="0.3">
      <c r="A336" s="51" t="s">
        <v>528</v>
      </c>
      <c r="B336" s="51" t="s">
        <v>526</v>
      </c>
      <c r="C336" s="51" t="s">
        <v>1188</v>
      </c>
      <c r="D336" s="51" t="s">
        <v>527</v>
      </c>
      <c r="E336" s="51" t="s">
        <v>15</v>
      </c>
      <c r="F336" s="51" t="s">
        <v>1180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.75" thickBot="1" x14ac:dyDescent="0.3">
      <c r="A337" s="51" t="s">
        <v>528</v>
      </c>
      <c r="B337" s="51" t="s">
        <v>529</v>
      </c>
      <c r="C337" s="51" t="s">
        <v>1188</v>
      </c>
      <c r="D337" s="51" t="s">
        <v>530</v>
      </c>
      <c r="E337" s="51" t="s">
        <v>15</v>
      </c>
      <c r="F337" s="51" t="s">
        <v>1180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.75" thickBot="1" x14ac:dyDescent="0.3">
      <c r="A338" s="51" t="s">
        <v>528</v>
      </c>
      <c r="B338" s="51" t="s">
        <v>531</v>
      </c>
      <c r="C338" s="51" t="s">
        <v>1188</v>
      </c>
      <c r="D338" s="51" t="s">
        <v>1154</v>
      </c>
      <c r="E338" s="51" t="s">
        <v>15</v>
      </c>
      <c r="F338" s="51" t="s">
        <v>1180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.75" thickBot="1" x14ac:dyDescent="0.3">
      <c r="A339" s="51" t="s">
        <v>528</v>
      </c>
      <c r="B339" s="51" t="s">
        <v>534</v>
      </c>
      <c r="C339" s="51" t="s">
        <v>1188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.75" thickBot="1" x14ac:dyDescent="0.3">
      <c r="A340" s="51" t="s">
        <v>524</v>
      </c>
      <c r="B340" s="51" t="s">
        <v>1155</v>
      </c>
      <c r="C340" s="51" t="s">
        <v>1188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.75" thickBot="1" x14ac:dyDescent="0.3">
      <c r="A341" s="51" t="s">
        <v>524</v>
      </c>
      <c r="B341" s="51" t="s">
        <v>1156</v>
      </c>
      <c r="C341" s="51" t="s">
        <v>1188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.75" thickBot="1" x14ac:dyDescent="0.3">
      <c r="A342" s="51" t="s">
        <v>528</v>
      </c>
      <c r="B342" s="51" t="s">
        <v>536</v>
      </c>
      <c r="C342" s="51" t="s">
        <v>1188</v>
      </c>
      <c r="D342" s="51" t="s">
        <v>1157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.75" thickBot="1" x14ac:dyDescent="0.3">
      <c r="A343" s="51" t="s">
        <v>524</v>
      </c>
      <c r="B343" s="51" t="s">
        <v>537</v>
      </c>
      <c r="C343" s="51" t="s">
        <v>1188</v>
      </c>
      <c r="D343" s="51" t="s">
        <v>1158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.75" thickBot="1" x14ac:dyDescent="0.3">
      <c r="A344" s="51" t="s">
        <v>524</v>
      </c>
      <c r="B344" s="51" t="s">
        <v>538</v>
      </c>
      <c r="C344" s="51" t="s">
        <v>1188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.75" thickBot="1" x14ac:dyDescent="0.3">
      <c r="A345" s="51" t="s">
        <v>524</v>
      </c>
      <c r="B345" s="51" t="s">
        <v>540</v>
      </c>
      <c r="C345" s="51" t="s">
        <v>1188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.75" thickBot="1" x14ac:dyDescent="0.3">
      <c r="A346" s="51" t="s">
        <v>524</v>
      </c>
      <c r="B346" s="51" t="s">
        <v>542</v>
      </c>
      <c r="C346" s="51" t="s">
        <v>1188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.75" thickBot="1" x14ac:dyDescent="0.3">
      <c r="A347" s="51" t="s">
        <v>524</v>
      </c>
      <c r="B347" s="51" t="s">
        <v>544</v>
      </c>
      <c r="C347" s="51" t="s">
        <v>1188</v>
      </c>
      <c r="D347" s="51" t="s">
        <v>1197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.75" thickBot="1" x14ac:dyDescent="0.3">
      <c r="A348" s="51" t="s">
        <v>524</v>
      </c>
      <c r="B348" s="51" t="s">
        <v>545</v>
      </c>
      <c r="C348" s="51" t="s">
        <v>1187</v>
      </c>
      <c r="D348" s="51" t="s">
        <v>1196</v>
      </c>
      <c r="E348" s="51"/>
      <c r="F348" s="51" t="s">
        <v>1180</v>
      </c>
      <c r="G348" s="51" t="s">
        <v>931</v>
      </c>
      <c r="H348" s="53">
        <f t="shared" si="23"/>
        <v>14</v>
      </c>
      <c r="I348" s="17">
        <f t="shared" si="24"/>
        <v>16</v>
      </c>
      <c r="J348" s="18">
        <f t="shared" si="25"/>
        <v>0.46666666666666667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 t="s">
        <v>1010</v>
      </c>
      <c r="AF348" s="27"/>
      <c r="AG348" s="8" t="s">
        <v>1010</v>
      </c>
      <c r="AH348" s="8"/>
      <c r="AI348" s="8"/>
      <c r="AJ348" s="27"/>
      <c r="AK348" s="8"/>
      <c r="AL348" s="8"/>
      <c r="AM348" s="27"/>
      <c r="AN348" s="27"/>
      <c r="AO348" s="27"/>
    </row>
    <row r="349" spans="1:41" ht="15.75" thickBot="1" x14ac:dyDescent="0.3">
      <c r="A349" s="51" t="s">
        <v>528</v>
      </c>
      <c r="B349" s="51" t="s">
        <v>546</v>
      </c>
      <c r="C349" s="51" t="s">
        <v>1188</v>
      </c>
      <c r="D349" s="51" t="s">
        <v>547</v>
      </c>
      <c r="E349" s="51" t="s">
        <v>19</v>
      </c>
      <c r="F349" s="51" t="s">
        <v>1179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.75" thickBot="1" x14ac:dyDescent="0.3">
      <c r="A350" s="51" t="s">
        <v>528</v>
      </c>
      <c r="B350" s="51" t="s">
        <v>548</v>
      </c>
      <c r="C350" s="51" t="s">
        <v>1188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.75" thickBot="1" x14ac:dyDescent="0.3">
      <c r="A351" s="51" t="s">
        <v>528</v>
      </c>
      <c r="B351" s="51" t="s">
        <v>551</v>
      </c>
      <c r="C351" s="51" t="s">
        <v>1188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.75" thickBot="1" x14ac:dyDescent="0.3">
      <c r="A352" s="51" t="s">
        <v>528</v>
      </c>
      <c r="B352" s="51" t="s">
        <v>1159</v>
      </c>
      <c r="C352" s="51" t="s">
        <v>1188</v>
      </c>
      <c r="D352" s="51" t="s">
        <v>523</v>
      </c>
      <c r="E352" s="51" t="s">
        <v>15</v>
      </c>
      <c r="F352" s="51" t="s">
        <v>1180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.75" thickBot="1" x14ac:dyDescent="0.3">
      <c r="A353" s="51" t="s">
        <v>524</v>
      </c>
      <c r="B353" s="51" t="s">
        <v>1160</v>
      </c>
      <c r="C353" s="51" t="s">
        <v>1188</v>
      </c>
      <c r="D353" s="51" t="s">
        <v>525</v>
      </c>
      <c r="E353" s="51" t="s">
        <v>19</v>
      </c>
      <c r="F353" s="51" t="s">
        <v>1180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.75" thickBot="1" x14ac:dyDescent="0.3">
      <c r="A354" s="51" t="s">
        <v>524</v>
      </c>
      <c r="B354" s="51" t="s">
        <v>1161</v>
      </c>
      <c r="C354" s="51" t="s">
        <v>1188</v>
      </c>
      <c r="D354" s="51" t="s">
        <v>532</v>
      </c>
      <c r="E354" s="51" t="s">
        <v>15</v>
      </c>
      <c r="F354" s="51" t="s">
        <v>1180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.75" thickBot="1" x14ac:dyDescent="0.3">
      <c r="A355" s="51" t="s">
        <v>524</v>
      </c>
      <c r="B355" s="51" t="s">
        <v>1162</v>
      </c>
      <c r="C355" s="51" t="s">
        <v>1188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.75" thickBot="1" x14ac:dyDescent="0.3">
      <c r="A356" s="51" t="s">
        <v>524</v>
      </c>
      <c r="B356" s="51" t="s">
        <v>555</v>
      </c>
      <c r="C356" s="51" t="s">
        <v>1187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14</v>
      </c>
      <c r="I356" s="17">
        <f t="shared" si="24"/>
        <v>16</v>
      </c>
      <c r="J356" s="18">
        <f t="shared" si="25"/>
        <v>0.46666666666666667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 t="s">
        <v>1010</v>
      </c>
      <c r="AF356" s="27"/>
      <c r="AG356" s="8" t="s">
        <v>1010</v>
      </c>
      <c r="AH356" s="8"/>
      <c r="AI356" s="8"/>
      <c r="AJ356" s="27"/>
      <c r="AK356" s="8"/>
      <c r="AL356" s="8"/>
      <c r="AM356" s="27"/>
      <c r="AN356" s="27"/>
      <c r="AO356" s="27"/>
    </row>
    <row r="357" spans="1:41" ht="15.75" thickBot="1" x14ac:dyDescent="0.3">
      <c r="A357" s="51" t="s">
        <v>524</v>
      </c>
      <c r="B357" s="51" t="s">
        <v>557</v>
      </c>
      <c r="C357" s="51" t="s">
        <v>1187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14</v>
      </c>
      <c r="I357" s="17">
        <f t="shared" si="24"/>
        <v>16</v>
      </c>
      <c r="J357" s="18">
        <f t="shared" si="25"/>
        <v>0.46666666666666667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 t="s">
        <v>1010</v>
      </c>
      <c r="AF357" s="27"/>
      <c r="AG357" s="8" t="s">
        <v>1010</v>
      </c>
      <c r="AH357" s="8"/>
      <c r="AI357" s="8"/>
      <c r="AJ357" s="27"/>
      <c r="AK357" s="8"/>
      <c r="AL357" s="8"/>
      <c r="AM357" s="27"/>
      <c r="AN357" s="27"/>
      <c r="AO357" s="27"/>
    </row>
    <row r="358" spans="1:41" ht="15.75" thickBot="1" x14ac:dyDescent="0.3">
      <c r="A358" s="51" t="s">
        <v>416</v>
      </c>
      <c r="B358" s="51" t="s">
        <v>1163</v>
      </c>
      <c r="C358" s="51" t="s">
        <v>1187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.75" thickBot="1" x14ac:dyDescent="0.3">
      <c r="A359" s="51" t="s">
        <v>298</v>
      </c>
      <c r="B359" s="51" t="s">
        <v>1164</v>
      </c>
      <c r="C359" s="51" t="s">
        <v>1187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.75" thickBot="1" x14ac:dyDescent="0.3">
      <c r="A360" s="51" t="s">
        <v>416</v>
      </c>
      <c r="B360" s="51" t="s">
        <v>558</v>
      </c>
      <c r="C360" s="51" t="s">
        <v>1187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.75" thickBot="1" x14ac:dyDescent="0.3">
      <c r="A361" s="51" t="s">
        <v>416</v>
      </c>
      <c r="B361" s="51" t="s">
        <v>563</v>
      </c>
      <c r="C361" s="51" t="s">
        <v>1187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7</v>
      </c>
      <c r="I361" s="17">
        <f t="shared" si="24"/>
        <v>23</v>
      </c>
      <c r="J361" s="18">
        <f t="shared" si="25"/>
        <v>0.23333333333333334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 t="s">
        <v>1010</v>
      </c>
      <c r="AF361" s="27" t="s">
        <v>1010</v>
      </c>
      <c r="AG361" s="8" t="s">
        <v>1010</v>
      </c>
      <c r="AH361" s="8" t="s">
        <v>1010</v>
      </c>
      <c r="AI361" s="8"/>
      <c r="AJ361" s="27"/>
      <c r="AK361" s="8"/>
      <c r="AL361" s="8"/>
      <c r="AM361" s="27"/>
      <c r="AN361" s="27"/>
      <c r="AO361" s="27"/>
    </row>
    <row r="362" spans="1:41" ht="15.75" thickBot="1" x14ac:dyDescent="0.3">
      <c r="A362" s="51" t="s">
        <v>416</v>
      </c>
      <c r="B362" s="51" t="s">
        <v>565</v>
      </c>
      <c r="C362" s="51" t="s">
        <v>1187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7</v>
      </c>
      <c r="I362" s="17">
        <f t="shared" si="24"/>
        <v>23</v>
      </c>
      <c r="J362" s="18">
        <f t="shared" si="25"/>
        <v>0.23333333333333334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 t="s">
        <v>1010</v>
      </c>
      <c r="AF362" s="27" t="s">
        <v>1010</v>
      </c>
      <c r="AG362" s="8" t="s">
        <v>1010</v>
      </c>
      <c r="AH362" s="8" t="s">
        <v>1010</v>
      </c>
      <c r="AI362" s="8"/>
      <c r="AJ362" s="27"/>
      <c r="AK362" s="8"/>
      <c r="AL362" s="8"/>
      <c r="AM362" s="27"/>
      <c r="AN362" s="27"/>
      <c r="AO362" s="27"/>
    </row>
    <row r="363" spans="1:41" ht="15.75" thickBot="1" x14ac:dyDescent="0.3">
      <c r="A363" s="51" t="s">
        <v>416</v>
      </c>
      <c r="B363" s="51" t="s">
        <v>566</v>
      </c>
      <c r="C363" s="51" t="s">
        <v>1187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.75" thickBot="1" x14ac:dyDescent="0.3">
      <c r="A364" s="51" t="s">
        <v>416</v>
      </c>
      <c r="B364" s="51" t="s">
        <v>568</v>
      </c>
      <c r="C364" s="51" t="s">
        <v>1187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.75" thickBot="1" x14ac:dyDescent="0.3">
      <c r="A365" s="51" t="s">
        <v>416</v>
      </c>
      <c r="B365" s="51" t="s">
        <v>569</v>
      </c>
      <c r="C365" s="51" t="s">
        <v>1187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.75" thickBot="1" x14ac:dyDescent="0.3">
      <c r="A366" s="51" t="s">
        <v>492</v>
      </c>
      <c r="B366" s="51" t="s">
        <v>571</v>
      </c>
      <c r="C366" s="51" t="s">
        <v>1187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.75" thickBot="1" x14ac:dyDescent="0.3">
      <c r="A367" s="51" t="s">
        <v>492</v>
      </c>
      <c r="B367" s="51" t="s">
        <v>573</v>
      </c>
      <c r="C367" s="51" t="s">
        <v>1187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.75" thickBot="1" x14ac:dyDescent="0.3">
      <c r="A368" s="51" t="s">
        <v>492</v>
      </c>
      <c r="B368" s="51" t="s">
        <v>575</v>
      </c>
      <c r="C368" s="51" t="s">
        <v>1187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.75" thickBot="1" x14ac:dyDescent="0.3">
      <c r="A369" s="51" t="s">
        <v>492</v>
      </c>
      <c r="B369" s="51" t="s">
        <v>577</v>
      </c>
      <c r="C369" s="51" t="s">
        <v>1187</v>
      </c>
      <c r="D369" s="51" t="s">
        <v>578</v>
      </c>
      <c r="E369" s="51" t="s">
        <v>19</v>
      </c>
      <c r="F369" s="51" t="s">
        <v>1180</v>
      </c>
      <c r="G369" s="51" t="s">
        <v>959</v>
      </c>
      <c r="H369" s="53">
        <f t="shared" si="23"/>
        <v>21</v>
      </c>
      <c r="I369" s="17">
        <f t="shared" si="24"/>
        <v>9</v>
      </c>
      <c r="J369" s="18">
        <f t="shared" si="25"/>
        <v>0.7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 t="s">
        <v>1010</v>
      </c>
      <c r="AF369" s="27" t="s">
        <v>1010</v>
      </c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.75" thickBot="1" x14ac:dyDescent="0.3">
      <c r="A370" s="51" t="s">
        <v>487</v>
      </c>
      <c r="B370" s="51" t="s">
        <v>579</v>
      </c>
      <c r="C370" s="51" t="s">
        <v>1187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.75" thickBot="1" x14ac:dyDescent="0.3">
      <c r="A371" s="51" t="s">
        <v>581</v>
      </c>
      <c r="B371" s="51" t="s">
        <v>582</v>
      </c>
      <c r="C371" s="51" t="s">
        <v>1188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.75" thickBot="1" x14ac:dyDescent="0.3">
      <c r="A372" s="51" t="s">
        <v>581</v>
      </c>
      <c r="B372" s="51" t="s">
        <v>584</v>
      </c>
      <c r="C372" s="51" t="s">
        <v>1188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.75" thickBot="1" x14ac:dyDescent="0.3">
      <c r="A373" s="51" t="s">
        <v>581</v>
      </c>
      <c r="B373" s="51" t="s">
        <v>1165</v>
      </c>
      <c r="C373" s="51" t="s">
        <v>1188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.75" thickBot="1" x14ac:dyDescent="0.3">
      <c r="A374" s="51" t="s">
        <v>581</v>
      </c>
      <c r="B374" s="51" t="s">
        <v>1166</v>
      </c>
      <c r="C374" s="51" t="s">
        <v>1188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.75" thickBot="1" x14ac:dyDescent="0.3">
      <c r="A375" s="51" t="s">
        <v>587</v>
      </c>
      <c r="B375" s="51" t="s">
        <v>1167</v>
      </c>
      <c r="C375" s="51" t="s">
        <v>1188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.75" thickBot="1" x14ac:dyDescent="0.3">
      <c r="A376" s="51" t="s">
        <v>587</v>
      </c>
      <c r="B376" s="51" t="s">
        <v>1168</v>
      </c>
      <c r="C376" s="51" t="s">
        <v>1188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.75" thickBot="1" x14ac:dyDescent="0.3">
      <c r="A377" s="51" t="s">
        <v>587</v>
      </c>
      <c r="B377" s="51" t="s">
        <v>590</v>
      </c>
      <c r="C377" s="51" t="s">
        <v>1188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.75" thickBot="1" x14ac:dyDescent="0.3">
      <c r="A378" s="51" t="s">
        <v>587</v>
      </c>
      <c r="B378" s="51" t="s">
        <v>592</v>
      </c>
      <c r="C378" s="51" t="s">
        <v>1188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.75" thickBot="1" x14ac:dyDescent="0.3">
      <c r="A379" s="51" t="s">
        <v>587</v>
      </c>
      <c r="B379" s="51" t="s">
        <v>594</v>
      </c>
      <c r="C379" s="51" t="s">
        <v>1188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.75" thickBot="1" x14ac:dyDescent="0.3">
      <c r="A380" s="51" t="s">
        <v>178</v>
      </c>
      <c r="B380" s="51" t="s">
        <v>596</v>
      </c>
      <c r="C380" s="51" t="s">
        <v>1188</v>
      </c>
      <c r="D380" s="51" t="s">
        <v>1169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.75" thickBot="1" x14ac:dyDescent="0.3">
      <c r="A381" s="51" t="s">
        <v>178</v>
      </c>
      <c r="B381" s="51" t="s">
        <v>1170</v>
      </c>
      <c r="C381" s="51" t="s">
        <v>1188</v>
      </c>
      <c r="D381" s="51" t="s">
        <v>1171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.75" thickBot="1" x14ac:dyDescent="0.3">
      <c r="A382" s="51" t="s">
        <v>178</v>
      </c>
      <c r="B382" s="51" t="s">
        <v>1172</v>
      </c>
      <c r="C382" s="51" t="s">
        <v>1188</v>
      </c>
      <c r="D382" s="51" t="s">
        <v>1171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.75" thickBot="1" x14ac:dyDescent="0.3">
      <c r="A383" s="51" t="s">
        <v>178</v>
      </c>
      <c r="B383" s="51" t="s">
        <v>1173</v>
      </c>
      <c r="C383" s="51" t="s">
        <v>1188</v>
      </c>
      <c r="D383" s="51" t="s">
        <v>1174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.75" thickBot="1" x14ac:dyDescent="0.3">
      <c r="A384" s="51" t="s">
        <v>178</v>
      </c>
      <c r="B384" s="51" t="s">
        <v>597</v>
      </c>
      <c r="C384" s="51" t="s">
        <v>1188</v>
      </c>
      <c r="D384" s="51" t="s">
        <v>1175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.75" thickBot="1" x14ac:dyDescent="0.3">
      <c r="A385" s="51" t="s">
        <v>598</v>
      </c>
      <c r="B385" s="51" t="s">
        <v>1176</v>
      </c>
      <c r="C385" s="51" t="s">
        <v>1188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.75" thickBot="1" x14ac:dyDescent="0.3">
      <c r="A386" s="51" t="s">
        <v>598</v>
      </c>
      <c r="B386" s="51" t="s">
        <v>1177</v>
      </c>
      <c r="C386" s="51" t="s">
        <v>1188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.75" thickBot="1" x14ac:dyDescent="0.3">
      <c r="A387" s="51" t="s">
        <v>598</v>
      </c>
      <c r="B387" s="51" t="s">
        <v>599</v>
      </c>
      <c r="C387" s="51" t="s">
        <v>1188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.75" thickBot="1" x14ac:dyDescent="0.3">
      <c r="A388" s="51" t="s">
        <v>598</v>
      </c>
      <c r="B388" s="51" t="s">
        <v>602</v>
      </c>
      <c r="C388" s="51" t="s">
        <v>1188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.75" thickBot="1" x14ac:dyDescent="0.3">
      <c r="A389" s="51" t="s">
        <v>603</v>
      </c>
      <c r="B389" s="51" t="s">
        <v>604</v>
      </c>
      <c r="C389" s="51" t="s">
        <v>1188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.75" thickBot="1" x14ac:dyDescent="0.3">
      <c r="A390" s="51" t="s">
        <v>606</v>
      </c>
      <c r="B390" s="51" t="s">
        <v>608</v>
      </c>
      <c r="C390" s="51" t="s">
        <v>1188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.75" thickBot="1" x14ac:dyDescent="0.3">
      <c r="A391" s="51" t="s">
        <v>606</v>
      </c>
      <c r="B391" s="51" t="s">
        <v>610</v>
      </c>
      <c r="C391" s="51" t="s">
        <v>1188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.75" thickBot="1" x14ac:dyDescent="0.3">
      <c r="A392" s="51" t="s">
        <v>606</v>
      </c>
      <c r="B392" s="51" t="s">
        <v>1178</v>
      </c>
      <c r="C392" s="51" t="s">
        <v>1188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.75" thickBot="1" x14ac:dyDescent="0.3">
      <c r="A393" s="51" t="s">
        <v>614</v>
      </c>
      <c r="B393" s="51" t="s">
        <v>612</v>
      </c>
      <c r="C393" s="51" t="s">
        <v>1188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.75" thickBot="1" x14ac:dyDescent="0.3">
      <c r="A394" s="51" t="s">
        <v>614</v>
      </c>
      <c r="B394" s="51" t="s">
        <v>615</v>
      </c>
      <c r="C394" s="51" t="s">
        <v>1188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.75" thickBot="1" x14ac:dyDescent="0.3">
      <c r="A395" s="51" t="s">
        <v>314</v>
      </c>
      <c r="B395" s="51" t="s">
        <v>617</v>
      </c>
      <c r="C395" s="51" t="s">
        <v>1188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.75" thickBot="1" x14ac:dyDescent="0.3">
      <c r="A396" s="51" t="s">
        <v>614</v>
      </c>
      <c r="B396" s="51" t="s">
        <v>619</v>
      </c>
      <c r="C396" s="51" t="s">
        <v>1188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25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25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25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25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25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25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25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25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25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25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25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25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25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25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25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25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25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25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25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25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25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25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25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25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25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25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25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25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25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25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25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25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25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25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25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25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25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25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25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25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25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25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25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25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25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25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25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25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25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25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25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25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25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25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25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25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25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25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25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25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25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25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25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25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25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25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25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25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25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25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25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25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25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25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25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25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25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25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25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25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25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25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25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25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25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25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25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25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25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25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25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25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25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25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25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25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25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25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25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25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25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25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25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25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25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25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25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25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25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25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25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25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25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25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25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25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25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25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25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25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25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25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25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25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25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25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25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25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25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25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25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25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25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25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25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25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25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25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25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25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25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25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25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25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25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25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25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25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25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25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25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25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25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25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25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25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25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25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25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25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25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25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25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25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25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25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25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25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25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25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25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25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25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25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25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25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25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25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25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25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25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25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25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25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25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25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25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25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25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25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25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25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25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25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25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25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25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25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25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25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25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25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25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25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25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25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25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25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25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25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25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25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25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25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25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25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25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25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25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25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25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25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25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25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25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25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25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25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25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25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25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25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25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25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25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25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25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25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25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25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25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25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25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25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25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25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25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25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25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25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25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25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25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25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25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25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25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25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25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25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25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25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25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25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25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25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25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25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25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25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25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25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25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25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25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25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8"/>
      <c r="J673" s="21"/>
    </row>
    <row r="674" spans="5:10" x14ac:dyDescent="0.25">
      <c r="E674" s="9"/>
      <c r="F674" s="9"/>
      <c r="G674" s="28"/>
      <c r="J674" s="21"/>
    </row>
    <row r="675" spans="5:10" x14ac:dyDescent="0.25">
      <c r="E675" s="9"/>
      <c r="F675" s="9"/>
      <c r="G675" s="28"/>
      <c r="J675" s="21"/>
    </row>
    <row r="676" spans="5:10" x14ac:dyDescent="0.25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 t="str">
        <f>'RESUMEN TOTAL'!AG10</f>
        <v>APAGADO</v>
      </c>
      <c r="AC7" t="str">
        <f>'RESUMEN TOTAL'!AH10</f>
        <v>APAGADO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 t="str">
        <f>'RESUMEN TOTAL'!AG13</f>
        <v>APAGADO</v>
      </c>
      <c r="AC10" t="str">
        <f>'RESUMEN TOTAL'!AH13</f>
        <v>APAGADO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 t="str">
        <f>'RESUMEN TOTAL'!AG31</f>
        <v>APAGADO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 t="str">
        <f>'RESUMEN TOTAL'!AG34</f>
        <v>APAGADO</v>
      </c>
      <c r="AC31" t="str">
        <f>'RESUMEN TOTAL'!AH34</f>
        <v>APAGADO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 t="str">
        <f>'RESUMEN TOTAL'!AG67</f>
        <v>APAGADO</v>
      </c>
      <c r="AC64" t="str">
        <f>'RESUMEN TOTAL'!AH67</f>
        <v>APAGADO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 t="str">
        <f>'RESUMEN TOTAL'!AG79</f>
        <v>APAGADO</v>
      </c>
      <c r="AC76" t="str">
        <f>'RESUMEN TOTAL'!AH79</f>
        <v>APAGADO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 t="str">
        <f>'RESUMEN TOTAL'!AG96</f>
        <v>APAGADO</v>
      </c>
      <c r="AC93" t="str">
        <f>'RESUMEN TOTAL'!AH96</f>
        <v>APAGADO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 t="str">
        <f>'RESUMEN TOTAL'!AG134</f>
        <v>APAGADO</v>
      </c>
      <c r="AC131" t="str">
        <f>'RESUMEN TOTAL'!AH134</f>
        <v>APAGADO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 t="str">
        <f>'RESUMEN TOTAL'!AG156</f>
        <v>APAGADO</v>
      </c>
      <c r="AC153" t="str">
        <f>'RESUMEN TOTAL'!AH156</f>
        <v>APAGADO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 t="str">
        <f>'RESUMEN TOTAL'!AG157</f>
        <v>APAGADO</v>
      </c>
      <c r="AC154" t="str">
        <f>'RESUMEN TOTAL'!AH157</f>
        <v>APAGADO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 t="str">
        <f>'RESUMEN TOTAL'!AG158</f>
        <v>APAGADO</v>
      </c>
      <c r="AC155" t="str">
        <f>'RESUMEN TOTAL'!AH158</f>
        <v>APAGADO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 t="str">
        <f>'RESUMEN TOTAL'!AG163</f>
        <v>APAGADO</v>
      </c>
      <c r="AC160" t="str">
        <f>'RESUMEN TOTAL'!AH163</f>
        <v>APAGADO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 t="str">
        <f>'RESUMEN TOTAL'!AG166</f>
        <v>APAGADO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 t="str">
        <f>'RESUMEN TOTAL'!AH210</f>
        <v>APAGADO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 t="str">
        <f>'RESUMEN TOTAL'!AG213</f>
        <v>APAGADO</v>
      </c>
      <c r="AC210" t="str">
        <f>'RESUMEN TOTAL'!AH213</f>
        <v>APAGADO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 t="str">
        <f>'RESUMEN TOTAL'!AG215</f>
        <v>APAGADO</v>
      </c>
      <c r="AC212" t="str">
        <f>'RESUMEN TOTAL'!AH215</f>
        <v>APAGADO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 t="str">
        <f>'RESUMEN TOTAL'!AG216</f>
        <v>APAGADO</v>
      </c>
      <c r="AC213" t="str">
        <f>'RESUMEN TOTAL'!AH216</f>
        <v>APAGADO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 t="str">
        <f>'RESUMEN TOTAL'!AG217</f>
        <v>APAGADO</v>
      </c>
      <c r="AC214" t="str">
        <f>'RESUMEN TOTAL'!AH217</f>
        <v>APAGADO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 t="str">
        <f>'RESUMEN TOTAL'!AG244</f>
        <v>APAGADO</v>
      </c>
      <c r="AC241" t="str">
        <f>'RESUMEN TOTAL'!AH244</f>
        <v>APAGADO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 t="str">
        <f>'RESUMEN TOTAL'!AG245</f>
        <v>APAGADO</v>
      </c>
      <c r="AC242" t="str">
        <f>'RESUMEN TOTAL'!AH245</f>
        <v>APAGADO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 t="str">
        <f>'RESUMEN TOTAL'!AG254</f>
        <v>APAGADO</v>
      </c>
      <c r="AC251" t="str">
        <f>'RESUMEN TOTAL'!AH254</f>
        <v>APAGADO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 t="str">
        <f>'RESUMEN TOTAL'!AG255</f>
        <v>APAGADO</v>
      </c>
      <c r="AC252" t="str">
        <f>'RESUMEN TOTAL'!AH255</f>
        <v>APAGADO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 t="str">
        <f>'RESUMEN TOTAL'!AG289</f>
        <v>APAGADO</v>
      </c>
      <c r="AC286" t="str">
        <f>'RESUMEN TOTAL'!AH289</f>
        <v>APAGADO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 t="str">
        <f>'RESUMEN TOTAL'!AG290</f>
        <v>APAGADO</v>
      </c>
      <c r="AC287" t="str">
        <f>'RESUMEN TOTAL'!AH290</f>
        <v>APAGADO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 t="str">
        <f>'RESUMEN TOTAL'!AG291</f>
        <v>APAGADO</v>
      </c>
      <c r="AC288" t="str">
        <f>'RESUMEN TOTAL'!AH291</f>
        <v>APAGADO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 t="str">
        <f>'RESUMEN TOTAL'!AG292</f>
        <v>APAGADO</v>
      </c>
      <c r="AC289" t="str">
        <f>'RESUMEN TOTAL'!AH292</f>
        <v>APAGADO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 t="str">
        <f>'RESUMEN TOTAL'!AG327</f>
        <v>APAGADO</v>
      </c>
      <c r="AC324" t="str">
        <f>'RESUMEN TOTAL'!AH327</f>
        <v>APAGADO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 t="str">
        <f>'RESUMEN TOTAL'!AG328</f>
        <v>APAGADO</v>
      </c>
      <c r="AC325" t="str">
        <f>'RESUMEN TOTAL'!AH328</f>
        <v>APAGADO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 t="str">
        <f>'RESUMEN TOTAL'!AG348</f>
        <v>APAGADO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 t="str">
        <f>'RESUMEN TOTAL'!AE356</f>
        <v>APAGADO</v>
      </c>
      <c r="AA353">
        <f>'RESUMEN TOTAL'!AF356</f>
        <v>0</v>
      </c>
      <c r="AB353" t="str">
        <f>'RESUMEN TOTAL'!AG356</f>
        <v>APAGADO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 t="str">
        <f>'RESUMEN TOTAL'!AE357</f>
        <v>APAGADO</v>
      </c>
      <c r="AA354">
        <f>'RESUMEN TOTAL'!AF357</f>
        <v>0</v>
      </c>
      <c r="AB354" t="str">
        <f>'RESUMEN TOTAL'!AG357</f>
        <v>APAGADO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 t="str">
        <f>'RESUMEN TOTAL'!AE361</f>
        <v>APAGADO</v>
      </c>
      <c r="AA358" t="str">
        <f>'RESUMEN TOTAL'!AF361</f>
        <v>APAGADO</v>
      </c>
      <c r="AB358" t="str">
        <f>'RESUMEN TOTAL'!AG361</f>
        <v>APAGADO</v>
      </c>
      <c r="AC358" t="str">
        <f>'RESUMEN TOTAL'!AH361</f>
        <v>APAGADO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 t="str">
        <f>'RESUMEN TOTAL'!AE362</f>
        <v>APAGADO</v>
      </c>
      <c r="AA359" t="str">
        <f>'RESUMEN TOTAL'!AF362</f>
        <v>APAGADO</v>
      </c>
      <c r="AB359" t="str">
        <f>'RESUMEN TOTAL'!AG362</f>
        <v>APAGADO</v>
      </c>
      <c r="AC359" t="str">
        <f>'RESUMEN TOTAL'!AH362</f>
        <v>APAGADO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 t="str">
        <f>'RESUMEN TOTAL'!AE369</f>
        <v>APAGADO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36</v>
      </c>
      <c r="AC1" s="26">
        <f t="shared" si="0"/>
        <v>30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 t="str">
        <f>ESTADISTICA!AB10</f>
        <v>APAGADO</v>
      </c>
      <c r="AC11" t="str">
        <f>ESTADISTICA!AC10</f>
        <v>APAGADO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 t="str">
        <f>ESTADISTICA!AB28</f>
        <v>APAGADO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 t="str">
        <f>ESTADISTICA!AB154</f>
        <v>APAGADO</v>
      </c>
      <c r="AC155" t="str">
        <f>ESTADISTICA!AC154</f>
        <v>APAGADO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 t="str">
        <f>ESTADISTICA!AB210</f>
        <v>APAGADO</v>
      </c>
      <c r="AC211" t="str">
        <f>ESTADISTICA!AC210</f>
        <v>APAGADO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 t="str">
        <f>ESTADISTICA!AB287</f>
        <v>APAGADO</v>
      </c>
      <c r="AC288" t="str">
        <f>ESTADISTICA!AC287</f>
        <v>APAGADO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 t="str">
        <f>ESTADISTICA!AB345</f>
        <v>APAGADO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 t="str">
        <f>ESTADISTICA!AB354</f>
        <v>APAGADO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991</v>
      </c>
      <c r="D1" s="49">
        <f>COUNTIFS(E4:E400,"=Fibra Optica")</f>
        <v>261</v>
      </c>
    </row>
    <row r="2" spans="1:35" ht="21" x14ac:dyDescent="0.35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30</v>
      </c>
      <c r="AC2" s="26">
        <f>COUNTIFS(AC4:AC400, "=APAGADO",E4:E400,"=Fibra Optica")</f>
        <v>25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1189</v>
      </c>
      <c r="D1" s="50"/>
    </row>
    <row r="2" spans="1:35" ht="21" x14ac:dyDescent="0.35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2</v>
      </c>
      <c r="AC2" s="26">
        <f>COUNTIFS(AC4:AC400, "=APAGADO",E4:E400,"=PTO A FO")</f>
        <v>1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50" t="s">
        <v>992</v>
      </c>
      <c r="D1" s="50">
        <f>COUNTIFS(E4:E400,"=radio")</f>
        <v>94</v>
      </c>
    </row>
    <row r="2" spans="1:35" ht="21" x14ac:dyDescent="0.35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4</v>
      </c>
      <c r="AC2" s="26">
        <f>COUNTIFS(AC4:AC367, "=APAGADO",E4:E367,"=radio")</f>
        <v>4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19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1007</v>
      </c>
      <c r="D1" s="61" t="s">
        <v>1008</v>
      </c>
    </row>
    <row r="2" spans="1:13" ht="16.5" thickTop="1" thickBot="1" x14ac:dyDescent="0.3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25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25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25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.75" thickBot="1" x14ac:dyDescent="0.3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25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.75" thickBot="1" x14ac:dyDescent="0.3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6.5" thickTop="1" thickBot="1" x14ac:dyDescent="0.3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.75" thickBot="1" x14ac:dyDescent="0.3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.75" thickTop="1" x14ac:dyDescent="0.25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25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25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6.5" thickTop="1" thickBot="1" x14ac:dyDescent="0.3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1190</v>
      </c>
      <c r="M16" s="140">
        <v>44763</v>
      </c>
    </row>
    <row r="17" spans="1:14" ht="15.75" thickTop="1" x14ac:dyDescent="0.25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25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1191</v>
      </c>
      <c r="M18" s="141"/>
    </row>
    <row r="19" spans="1:14" x14ac:dyDescent="0.25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25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.75" thickBot="1" x14ac:dyDescent="0.3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.75" thickTop="1" x14ac:dyDescent="0.25">
      <c r="A22" s="58" t="s">
        <v>1004</v>
      </c>
      <c r="B22" s="69">
        <v>392</v>
      </c>
      <c r="C22" s="65"/>
      <c r="D22" s="62"/>
      <c r="E22" s="143">
        <v>44791</v>
      </c>
    </row>
    <row r="23" spans="1:14" ht="15.75" thickBot="1" x14ac:dyDescent="0.3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.75" thickTop="1" x14ac:dyDescent="0.25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25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.75" thickBot="1" x14ac:dyDescent="0.3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.75" thickTop="1" x14ac:dyDescent="0.25">
      <c r="A27" s="58" t="s">
        <v>1004</v>
      </c>
      <c r="B27" s="69">
        <v>392</v>
      </c>
      <c r="C27" s="65"/>
      <c r="D27" s="62"/>
      <c r="E27" s="143">
        <v>44795</v>
      </c>
      <c r="G27" s="76"/>
      <c r="H27" s="77"/>
      <c r="I27" s="77"/>
      <c r="J27" s="77"/>
      <c r="K27" s="78"/>
      <c r="L27" s="79"/>
      <c r="M27" s="141"/>
    </row>
    <row r="28" spans="1:14" x14ac:dyDescent="0.25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4"/>
      <c r="G28" s="76"/>
      <c r="H28" s="77"/>
      <c r="I28" s="77"/>
      <c r="J28" s="77"/>
      <c r="K28" s="78"/>
      <c r="L28" s="79"/>
      <c r="M28" s="141"/>
    </row>
    <row r="29" spans="1:14" ht="15.75" thickBot="1" x14ac:dyDescent="0.3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4"/>
      <c r="G29" s="80"/>
      <c r="H29" s="81"/>
      <c r="I29" s="81"/>
      <c r="J29" s="81"/>
      <c r="K29" s="81"/>
      <c r="L29" s="82"/>
      <c r="M29" s="142"/>
    </row>
    <row r="30" spans="1:14" ht="16.5" thickTop="1" thickBot="1" x14ac:dyDescent="0.3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4"/>
    </row>
    <row r="31" spans="1:14" ht="16.5" thickTop="1" thickBot="1" x14ac:dyDescent="0.3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5"/>
      <c r="G31" s="103" t="s">
        <v>545</v>
      </c>
      <c r="H31" s="133" t="s">
        <v>1188</v>
      </c>
      <c r="I31" s="104" t="s">
        <v>1196</v>
      </c>
      <c r="J31" s="104" t="s">
        <v>15</v>
      </c>
      <c r="K31" s="104" t="s">
        <v>629</v>
      </c>
      <c r="L31" s="105" t="s">
        <v>931</v>
      </c>
      <c r="M31" s="106" t="s">
        <v>1203</v>
      </c>
      <c r="N31" s="138">
        <v>44790</v>
      </c>
    </row>
    <row r="32" spans="1:14" ht="15.75" thickTop="1" x14ac:dyDescent="0.25">
      <c r="A32" s="58" t="s">
        <v>1004</v>
      </c>
      <c r="B32" s="69">
        <v>392</v>
      </c>
      <c r="C32" s="65"/>
      <c r="D32" s="62"/>
      <c r="E32" s="143">
        <v>44796</v>
      </c>
      <c r="G32" s="107" t="s">
        <v>555</v>
      </c>
      <c r="H32" s="97" t="s">
        <v>1188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.75" thickBot="1" x14ac:dyDescent="0.3">
      <c r="A33" s="59" t="s">
        <v>6</v>
      </c>
      <c r="B33" s="70">
        <v>36</v>
      </c>
      <c r="C33" s="66">
        <v>36</v>
      </c>
      <c r="D33" s="63">
        <f>C33/B32</f>
        <v>9.1836734693877556E-2</v>
      </c>
      <c r="E33" s="144"/>
      <c r="G33" s="134" t="s">
        <v>557</v>
      </c>
      <c r="H33" s="135" t="s">
        <v>1188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.75" thickTop="1" x14ac:dyDescent="0.25">
      <c r="A34" s="59" t="s">
        <v>1006</v>
      </c>
      <c r="B34" s="70">
        <v>3</v>
      </c>
      <c r="C34" s="66">
        <f>B33-B34</f>
        <v>33</v>
      </c>
      <c r="D34" s="63">
        <f>C34/B32</f>
        <v>8.4183673469387751E-2</v>
      </c>
      <c r="E34" s="144"/>
      <c r="G34" s="52"/>
      <c r="H34" s="51"/>
      <c r="I34" s="51"/>
      <c r="J34" s="51"/>
      <c r="K34" s="16"/>
      <c r="L34" s="83"/>
    </row>
    <row r="35" spans="1:14" x14ac:dyDescent="0.25">
      <c r="A35" s="59" t="s">
        <v>1005</v>
      </c>
      <c r="B35" s="70">
        <v>2</v>
      </c>
      <c r="C35" s="66">
        <f>C34-B35</f>
        <v>31</v>
      </c>
      <c r="D35" s="63">
        <f>C35/B32</f>
        <v>7.9081632653061229E-2</v>
      </c>
      <c r="E35" s="144"/>
      <c r="G35" s="52"/>
      <c r="H35" s="51"/>
      <c r="I35" s="51"/>
      <c r="J35" s="51"/>
      <c r="K35" s="16"/>
      <c r="L35" s="83"/>
    </row>
    <row r="36" spans="1:14" ht="15.75" thickBot="1" x14ac:dyDescent="0.3">
      <c r="A36" s="60" t="s">
        <v>16</v>
      </c>
      <c r="B36" s="71">
        <v>4</v>
      </c>
      <c r="C36" s="67">
        <f>C35-B36</f>
        <v>27</v>
      </c>
      <c r="D36" s="64">
        <f>C36/B32</f>
        <v>6.8877551020408156E-2</v>
      </c>
      <c r="E36" s="145"/>
      <c r="G36" s="52"/>
      <c r="H36" s="51"/>
      <c r="I36" s="51"/>
      <c r="J36" s="51"/>
      <c r="K36" s="16"/>
      <c r="L36" s="83"/>
    </row>
    <row r="37" spans="1:14" ht="15.75" thickTop="1" x14ac:dyDescent="0.25">
      <c r="A37" s="58" t="s">
        <v>1004</v>
      </c>
      <c r="B37" s="69">
        <v>392</v>
      </c>
      <c r="C37" s="65"/>
      <c r="D37" s="62"/>
      <c r="E37" s="143">
        <v>44797</v>
      </c>
      <c r="G37" s="52"/>
      <c r="H37" s="51"/>
      <c r="I37" s="51"/>
      <c r="J37" s="51"/>
      <c r="K37" s="16"/>
      <c r="L37" s="83"/>
    </row>
    <row r="38" spans="1:14" x14ac:dyDescent="0.25">
      <c r="A38" s="59" t="s">
        <v>6</v>
      </c>
      <c r="B38" s="70">
        <v>30</v>
      </c>
      <c r="C38" s="66">
        <v>30</v>
      </c>
      <c r="D38" s="63">
        <f>C38/B37</f>
        <v>7.6530612244897961E-2</v>
      </c>
      <c r="E38" s="144"/>
      <c r="G38" s="52"/>
      <c r="H38" s="51"/>
      <c r="I38" s="51"/>
      <c r="J38" s="51"/>
      <c r="K38" s="16"/>
      <c r="L38" s="84"/>
    </row>
    <row r="39" spans="1:14" ht="15.75" thickBot="1" x14ac:dyDescent="0.3">
      <c r="A39" s="59" t="s">
        <v>1006</v>
      </c>
      <c r="B39" s="70">
        <v>3</v>
      </c>
      <c r="C39" s="66">
        <f>B38-B39</f>
        <v>27</v>
      </c>
      <c r="D39" s="63">
        <f>C39/B37</f>
        <v>6.8877551020408156E-2</v>
      </c>
      <c r="E39" s="144"/>
    </row>
    <row r="40" spans="1:14" ht="15.75" thickTop="1" x14ac:dyDescent="0.25">
      <c r="A40" s="59" t="s">
        <v>1005</v>
      </c>
      <c r="B40" s="70">
        <v>2</v>
      </c>
      <c r="C40" s="66">
        <f>C39-B40</f>
        <v>25</v>
      </c>
      <c r="D40" s="63">
        <f>C40/B37</f>
        <v>6.3775510204081634E-2</v>
      </c>
      <c r="E40" s="144"/>
      <c r="G40" s="72"/>
      <c r="H40" s="73"/>
      <c r="I40" s="73"/>
      <c r="J40" s="73"/>
      <c r="K40" s="74"/>
      <c r="L40" s="75"/>
      <c r="M40" s="140"/>
    </row>
    <row r="41" spans="1:14" ht="15.75" thickBot="1" x14ac:dyDescent="0.3">
      <c r="A41" s="60" t="s">
        <v>16</v>
      </c>
      <c r="B41" s="71">
        <v>4</v>
      </c>
      <c r="C41" s="67">
        <f>C40-B41</f>
        <v>21</v>
      </c>
      <c r="D41" s="64">
        <f>C41/B37</f>
        <v>5.3571428571428568E-2</v>
      </c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25">
      <c r="A42" s="58"/>
      <c r="B42" s="69"/>
      <c r="C42" s="65"/>
      <c r="D42" s="62"/>
      <c r="E42" s="143"/>
      <c r="G42" s="76"/>
      <c r="H42" s="77"/>
      <c r="I42" s="77"/>
      <c r="J42" s="77"/>
      <c r="K42" s="78"/>
      <c r="L42" s="79"/>
      <c r="M42" s="141"/>
    </row>
    <row r="43" spans="1:14" x14ac:dyDescent="0.25">
      <c r="A43" s="59"/>
      <c r="B43" s="70"/>
      <c r="C43" s="66"/>
      <c r="D43" s="63"/>
      <c r="E43" s="144"/>
      <c r="G43" s="76"/>
      <c r="H43" s="77"/>
      <c r="I43" s="77"/>
      <c r="J43" s="77"/>
      <c r="K43" s="78"/>
      <c r="L43" s="79"/>
      <c r="M43" s="141"/>
    </row>
    <row r="44" spans="1:14" x14ac:dyDescent="0.25">
      <c r="A44" s="59"/>
      <c r="B44" s="70"/>
      <c r="C44" s="66"/>
      <c r="D44" s="63"/>
      <c r="E44" s="144"/>
      <c r="G44" s="76"/>
      <c r="H44" s="77"/>
      <c r="I44" s="77"/>
      <c r="J44" s="77"/>
      <c r="K44" s="78"/>
      <c r="L44" s="79"/>
      <c r="M44" s="141"/>
    </row>
    <row r="45" spans="1:14" ht="15.75" thickBot="1" x14ac:dyDescent="0.3">
      <c r="A45" s="59"/>
      <c r="B45" s="70"/>
      <c r="C45" s="66"/>
      <c r="D45" s="63"/>
      <c r="E45" s="144"/>
      <c r="G45" s="80"/>
      <c r="H45" s="81"/>
      <c r="I45" s="81"/>
      <c r="J45" s="81"/>
      <c r="K45" s="81"/>
      <c r="L45" s="82"/>
      <c r="M45" s="142"/>
    </row>
    <row r="46" spans="1:14" ht="16.5" thickTop="1" thickBot="1" x14ac:dyDescent="0.3">
      <c r="A46" s="60"/>
      <c r="B46" s="71"/>
      <c r="C46" s="67"/>
      <c r="D46" s="64"/>
      <c r="E46" s="145"/>
    </row>
    <row r="47" spans="1:14" ht="15.75" thickTop="1" x14ac:dyDescent="0.25">
      <c r="G47" s="52"/>
      <c r="H47" s="51"/>
      <c r="I47" s="51"/>
      <c r="J47" s="51"/>
      <c r="K47" s="16"/>
      <c r="L47" s="83"/>
    </row>
    <row r="48" spans="1:14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4" workbookViewId="0">
      <selection activeCell="F26" sqref="F26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25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25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25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25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25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25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25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25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25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25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25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25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25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392</v>
      </c>
      <c r="G21" s="55">
        <f t="shared" ref="G21:G23" si="26">E21/F21</f>
        <v>8.9285714285714288E-2</v>
      </c>
    </row>
    <row r="22" spans="1:7" x14ac:dyDescent="0.25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392</v>
      </c>
      <c r="G22" s="55">
        <f t="shared" si="26"/>
        <v>8.9285714285714288E-2</v>
      </c>
    </row>
    <row r="23" spans="1:7" x14ac:dyDescent="0.25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392</v>
      </c>
      <c r="G23" s="55">
        <f t="shared" si="26"/>
        <v>8.4183673469387751E-2</v>
      </c>
    </row>
    <row r="24" spans="1:7" x14ac:dyDescent="0.25">
      <c r="A24" s="25">
        <f>'APAGADOS RADIO'!AB3</f>
        <v>44796</v>
      </c>
      <c r="B24" s="51">
        <f>'APAGADOS RADIO'!AB2+D24</f>
        <v>6</v>
      </c>
      <c r="C24" s="51">
        <f>'APAGADOS FIBRA'!AB2</f>
        <v>30</v>
      </c>
      <c r="D24" s="51">
        <f>'APAGADOS ANTENA'!AB2</f>
        <v>2</v>
      </c>
      <c r="E24" s="51">
        <f t="shared" ref="E24" si="27">B24+C24</f>
        <v>36</v>
      </c>
      <c r="F24" s="51">
        <f>'RESUMEN TOTAL'!B1</f>
        <v>392</v>
      </c>
      <c r="G24" s="55">
        <f t="shared" ref="G24" si="28">E24/F24</f>
        <v>9.1836734693877556E-2</v>
      </c>
    </row>
    <row r="25" spans="1:7" x14ac:dyDescent="0.25">
      <c r="A25" s="25">
        <f>'APAGADOS RADIO'!AC3</f>
        <v>44797</v>
      </c>
      <c r="B25" s="51">
        <f>'APAGADOS RADIO'!AC2+D25</f>
        <v>5</v>
      </c>
      <c r="C25" s="51">
        <f>'APAGADOS FIBRA'!AC2</f>
        <v>25</v>
      </c>
      <c r="D25" s="51">
        <f>'APAGADOS ANTENA'!AC2</f>
        <v>1</v>
      </c>
      <c r="E25" s="51">
        <f t="shared" ref="E25" si="29">B25+C25</f>
        <v>30</v>
      </c>
      <c r="F25" s="51">
        <f>'RESUMEN TOTAL'!B1</f>
        <v>392</v>
      </c>
      <c r="G25" s="55">
        <f t="shared" ref="G25" si="30">E25/F25</f>
        <v>7.6530612244897961E-2</v>
      </c>
    </row>
    <row r="26" spans="1:7" x14ac:dyDescent="0.25">
      <c r="A26" s="25">
        <f>'APAGADOS RADIO'!AD3</f>
        <v>44798</v>
      </c>
      <c r="B26" s="51"/>
      <c r="C26" s="51"/>
      <c r="D26" s="51"/>
      <c r="E26" s="51"/>
      <c r="F26" s="51"/>
    </row>
    <row r="27" spans="1:7" x14ac:dyDescent="0.25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25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25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25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E10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6.5" thickTop="1" thickBot="1" x14ac:dyDescent="0.3">
      <c r="A1" s="117"/>
      <c r="B1" s="121" t="s">
        <v>1198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129" t="s">
        <v>1187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6.5" thickTop="1" thickBot="1" x14ac:dyDescent="0.3">
      <c r="A3" s="119"/>
      <c r="B3" s="120"/>
      <c r="D3" s="115" t="s">
        <v>1187</v>
      </c>
      <c r="E3" s="122" t="s">
        <v>1199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26</v>
      </c>
      <c r="AA3" s="125">
        <f>COUNTIFS('RESUMEN TOTAL'!C5:C396, "=BONOMO",'RESUMEN TOTAL'!AF5:AF396,"=APAGADO")</f>
        <v>24</v>
      </c>
      <c r="AB3" s="125">
        <f>COUNTIFS('RESUMEN TOTAL'!C5:C396, "=BONOMO",'RESUMEN TOTAL'!AG5:AG396,"=APAGADO")</f>
        <v>27</v>
      </c>
      <c r="AC3" s="125">
        <f>COUNTIFS('RESUMEN TOTAL'!C5:C396, "=BONOMO",'RESUMEN TOTAL'!AH5:AH396,"=APAGADO")</f>
        <v>22</v>
      </c>
      <c r="AD3" s="125">
        <f>COUNTIFS('RESUMEN TOTAL'!C5:C396, "=BONOMO",'RESUMEN TOTAL'!AI5:AI396,"=APAGADO")</f>
        <v>0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6.5" thickTop="1" thickBot="1" x14ac:dyDescent="0.3">
      <c r="A4" s="128" t="s">
        <v>1188</v>
      </c>
      <c r="B4" s="118">
        <f>COUNTIFS('RESUMEN TOTAL'!C5:C396,"=COSEIDI")</f>
        <v>180</v>
      </c>
      <c r="D4" s="116"/>
      <c r="E4" s="114" t="s">
        <v>1201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0.12735849056603774</v>
      </c>
      <c r="AC4" s="132">
        <f t="shared" si="0"/>
        <v>0.10377358490566038</v>
      </c>
      <c r="AD4" s="132">
        <f t="shared" si="0"/>
        <v>0</v>
      </c>
      <c r="AE4" s="132">
        <f t="shared" si="0"/>
        <v>0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6.5" thickTop="1" thickBot="1" x14ac:dyDescent="0.3">
      <c r="A5" s="119"/>
      <c r="B5" s="120"/>
      <c r="D5" s="115" t="s">
        <v>1188</v>
      </c>
      <c r="E5" s="126" t="s">
        <v>1200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9</v>
      </c>
      <c r="AC5" s="127">
        <f>COUNTIFS('RESUMEN TOTAL'!C7:C398, "=COSEIDI",'RESUMEN TOTAL'!AH7:AH398,"=APAGADO")</f>
        <v>8</v>
      </c>
      <c r="AD5" s="127">
        <f>COUNTIFS('RESUMEN TOTAL'!C7:C398, "=COSEIDI",'RESUMEN TOTAL'!AI7:AI398,"=APAGADO")</f>
        <v>0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6.5" thickTop="1" thickBot="1" x14ac:dyDescent="0.3">
      <c r="D6" s="116"/>
      <c r="E6" s="114" t="s">
        <v>1202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0.05</v>
      </c>
      <c r="AA6" s="131">
        <f t="shared" si="2"/>
        <v>0.05</v>
      </c>
      <c r="AB6" s="131">
        <f t="shared" si="2"/>
        <v>0.05</v>
      </c>
      <c r="AC6" s="131">
        <f t="shared" si="2"/>
        <v>4.4444444444444446E-2</v>
      </c>
      <c r="AD6" s="131">
        <f t="shared" si="2"/>
        <v>0</v>
      </c>
      <c r="AE6" s="131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.75" thickTop="1" x14ac:dyDescent="0.25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2022-08-25T11:21:02Z</dcterms:modified>
</cp:coreProperties>
</file>