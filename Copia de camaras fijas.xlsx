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A4B5DF0D-1BC3-48E3-9915-C0511C6EE8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ado" sheetId="1" r:id="rId1"/>
    <sheet name="resumen" sheetId="2" r:id="rId2"/>
    <sheet name="bonomo" sheetId="3" r:id="rId3"/>
    <sheet name="ivan" sheetId="4" r:id="rId4"/>
  </sheets>
  <definedNames>
    <definedName name="_xlnm._FilterDatabase" localSheetId="2" hidden="1">bonomo!$A$5:$U$144</definedName>
    <definedName name="_xlnm._FilterDatabase" localSheetId="3" hidden="1">ivan!$A$5:$U$144</definedName>
    <definedName name="_xlnm._FilterDatabase" localSheetId="0" hidden="1">listado!$A$5:$U$144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" i="4" l="1"/>
  <c r="X4" i="4"/>
  <c r="T4" i="4"/>
  <c r="S4" i="4"/>
  <c r="R4" i="4"/>
  <c r="Q4" i="4"/>
  <c r="P4" i="4"/>
  <c r="O4" i="4"/>
  <c r="N4" i="4"/>
  <c r="F4" i="4" s="1"/>
  <c r="G4" i="4" s="1"/>
  <c r="M4" i="4"/>
  <c r="F3" i="4" s="1"/>
  <c r="O2" i="4"/>
  <c r="E2" i="4"/>
  <c r="Y4" i="3"/>
  <c r="X4" i="3"/>
  <c r="T4" i="3"/>
  <c r="S4" i="3"/>
  <c r="R4" i="3"/>
  <c r="Q4" i="3"/>
  <c r="P4" i="3"/>
  <c r="O4" i="3"/>
  <c r="N4" i="3"/>
  <c r="F4" i="3" s="1"/>
  <c r="G4" i="3" s="1"/>
  <c r="M4" i="3"/>
  <c r="F3" i="3" s="1"/>
  <c r="O2" i="3"/>
  <c r="E2" i="3"/>
  <c r="L1" i="3" l="1"/>
  <c r="F2" i="4"/>
  <c r="G2" i="4" s="1"/>
  <c r="G3" i="4"/>
  <c r="F2" i="3"/>
  <c r="G2" i="3" s="1"/>
  <c r="G3" i="3"/>
  <c r="E2" i="1" l="1"/>
  <c r="D10" i="2"/>
  <c r="D9" i="2"/>
  <c r="C2" i="2" l="1"/>
  <c r="Y4" i="1" l="1"/>
  <c r="X4" i="1"/>
  <c r="T4" i="1"/>
  <c r="S4" i="1"/>
  <c r="R4" i="1"/>
  <c r="Q4" i="1"/>
  <c r="P4" i="1"/>
  <c r="O4" i="1"/>
  <c r="O2" i="1"/>
  <c r="N4" i="1"/>
  <c r="M4" i="1"/>
  <c r="D4" i="2" l="1"/>
  <c r="E4" i="2" s="1"/>
  <c r="F4" i="1"/>
  <c r="G4" i="1" s="1"/>
  <c r="D3" i="2"/>
  <c r="E3" i="2" s="1"/>
  <c r="F3" i="1"/>
  <c r="F2" i="1" l="1"/>
  <c r="G2" i="1" s="1"/>
  <c r="D2" i="2"/>
  <c r="E2" i="2" s="1"/>
  <c r="G3" i="1"/>
</calcChain>
</file>

<file path=xl/sharedStrings.xml><?xml version="1.0" encoding="utf-8"?>
<sst xmlns="http://schemas.openxmlformats.org/spreadsheetml/2006/main" count="4751" uniqueCount="616">
  <si>
    <t>PATRIMONIO</t>
  </si>
  <si>
    <t>MAC</t>
  </si>
  <si>
    <t>NUMERO DE SERIE</t>
  </si>
  <si>
    <t>IP</t>
  </si>
  <si>
    <t>MASCARA</t>
  </si>
  <si>
    <t>CALLE</t>
  </si>
  <si>
    <t>ENTRE</t>
  </si>
  <si>
    <t>Y ENTRE</t>
  </si>
  <si>
    <t>TIPO</t>
  </si>
  <si>
    <t xml:space="preserve">DOMO </t>
  </si>
  <si>
    <t>FIJA</t>
  </si>
  <si>
    <t>CONEXIÓN</t>
  </si>
  <si>
    <t>PUNTOS MARCADOS</t>
  </si>
  <si>
    <t>PUNTOS INSTALADOS</t>
  </si>
  <si>
    <t>CAMARAS INSTALADAS</t>
  </si>
  <si>
    <t xml:space="preserve"> PUNTOS QUE REPORTAN IMAGEN EN MONITOREO</t>
  </si>
  <si>
    <t>CAMARAS QUE REPORTAN IMAGEN EN MONITOREO</t>
  </si>
  <si>
    <t>CONTRATISTA</t>
  </si>
  <si>
    <t>OBSERVACIONES</t>
  </si>
  <si>
    <t>DOMOS INSTALADOS</t>
  </si>
  <si>
    <t>FIJAS INSTALADAS</t>
  </si>
  <si>
    <t xml:space="preserve">FIBRA= </t>
  </si>
  <si>
    <t>RADIO=</t>
  </si>
  <si>
    <t>00:07:5F:BE:58:F5</t>
  </si>
  <si>
    <t>44593107327101036</t>
  </si>
  <si>
    <t>172.20.11.130</t>
  </si>
  <si>
    <t>255.255.248.0/172.20.12.250</t>
  </si>
  <si>
    <t>Diag. Los Tilos</t>
  </si>
  <si>
    <t>domo</t>
  </si>
  <si>
    <t>FIBRA</t>
  </si>
  <si>
    <t>SI</t>
  </si>
  <si>
    <t>BONOMO SISTEMAS</t>
  </si>
  <si>
    <t>problemas en el contacto del brazo, tambien con el domo. Se cambia brazo y domo. El numero del que se retira es :</t>
  </si>
  <si>
    <t>49806</t>
  </si>
  <si>
    <t>00:07:5F:AB:BB:50</t>
  </si>
  <si>
    <t>44593103708101015</t>
  </si>
  <si>
    <t>00:07:5F:BE:59:01</t>
  </si>
  <si>
    <t>44593107327101031</t>
  </si>
  <si>
    <t>172.20.11.70</t>
  </si>
  <si>
    <t>Novak</t>
  </si>
  <si>
    <t>el Overo</t>
  </si>
  <si>
    <t>00:07:5F:BE:58:0F</t>
  </si>
  <si>
    <t>44593107326101007</t>
  </si>
  <si>
    <t>172.20.11.71</t>
  </si>
  <si>
    <t>Maipu</t>
  </si>
  <si>
    <t>Alvarez Thomas</t>
  </si>
  <si>
    <t>404636603925013210</t>
  </si>
  <si>
    <t>172.20.11.72</t>
  </si>
  <si>
    <t>LPI02</t>
  </si>
  <si>
    <t>Posadas</t>
  </si>
  <si>
    <t>Valentin Gomez</t>
  </si>
  <si>
    <t>fija</t>
  </si>
  <si>
    <t>00:07:5F:BD:54:8F</t>
  </si>
  <si>
    <t>404636603710010024</t>
  </si>
  <si>
    <t>172.20.11.73</t>
  </si>
  <si>
    <t>LPI03</t>
  </si>
  <si>
    <t>00:07:5F:B7:8F:06</t>
  </si>
  <si>
    <t>172.20.11.74</t>
  </si>
  <si>
    <t>Estados Unidos</t>
  </si>
  <si>
    <t>Moreno</t>
  </si>
  <si>
    <t>TUNEL 58</t>
  </si>
  <si>
    <t>00:07:5F:B6:B8:F9</t>
  </si>
  <si>
    <t>404636603924013374</t>
  </si>
  <si>
    <t>172.20.11.75</t>
  </si>
  <si>
    <t>00:07:5F:B4:43:38</t>
  </si>
  <si>
    <t>404636603924013275</t>
  </si>
  <si>
    <t>172.20.11.76</t>
  </si>
  <si>
    <t>Cabello</t>
  </si>
  <si>
    <t>00:07:5F:BC:DF:6D</t>
  </si>
  <si>
    <t>404636603924013333</t>
  </si>
  <si>
    <t>172.20.11.77</t>
  </si>
  <si>
    <t>se Cambio por otra, esta en la oficin ESTA CAMARA</t>
  </si>
  <si>
    <t>00:07:5F:AB:BA:BF</t>
  </si>
  <si>
    <t>044593103708101036</t>
  </si>
  <si>
    <t>172.20.11.78</t>
  </si>
  <si>
    <t>Eva Peron</t>
  </si>
  <si>
    <t>Oroño</t>
  </si>
  <si>
    <t>00:07:5F:B6:B8:C3</t>
  </si>
  <si>
    <t>404636603925013099</t>
  </si>
  <si>
    <t>172.20.11.79</t>
  </si>
  <si>
    <t xml:space="preserve">Oroño </t>
  </si>
  <si>
    <t>ESCUELA 6</t>
  </si>
  <si>
    <t>00:07:5F:B4:17:0B</t>
  </si>
  <si>
    <t>404636603710015049</t>
  </si>
  <si>
    <t>172.20.11.80</t>
  </si>
  <si>
    <t>00:07:5F:AB:B6:1B</t>
  </si>
  <si>
    <t>44593196010101017</t>
  </si>
  <si>
    <t>172.20.11.81</t>
  </si>
  <si>
    <t>LPR01</t>
  </si>
  <si>
    <t>Cacheuta</t>
  </si>
  <si>
    <t>00:07:5F:B4:43:84</t>
  </si>
  <si>
    <t>404636603925012136</t>
  </si>
  <si>
    <t>172.20.11.82</t>
  </si>
  <si>
    <t>00:07:5F:B6:B9:02</t>
  </si>
  <si>
    <t>404636603924013347</t>
  </si>
  <si>
    <t>172.20.11.83</t>
  </si>
  <si>
    <t>00:07:5F:B7:8E:C5</t>
  </si>
  <si>
    <t>404636604026012590</t>
  </si>
  <si>
    <t>172.20.11.131</t>
  </si>
  <si>
    <t>ESM11</t>
  </si>
  <si>
    <t>Lambardi</t>
  </si>
  <si>
    <t>Lieja</t>
  </si>
  <si>
    <t>00:07:5F:B6:B8:9F</t>
  </si>
  <si>
    <t>404636603924013363</t>
  </si>
  <si>
    <t>172.20.11.132</t>
  </si>
  <si>
    <t>ESM12</t>
  </si>
  <si>
    <t>50101</t>
  </si>
  <si>
    <t>00-07-5F-B6-B8-B3</t>
  </si>
  <si>
    <t>404636603926013004</t>
  </si>
  <si>
    <t>172.20.11.133</t>
  </si>
  <si>
    <t>San Martin</t>
  </si>
  <si>
    <t>Boccuzzi</t>
  </si>
  <si>
    <t>50072</t>
  </si>
  <si>
    <t>00:07:5F:B7:85:A1</t>
  </si>
  <si>
    <t>404636603925013022</t>
  </si>
  <si>
    <t>172.20.11.135</t>
  </si>
  <si>
    <t>Peron Juan</t>
  </si>
  <si>
    <t>404636603925013187</t>
  </si>
  <si>
    <t>172.20.11.136</t>
  </si>
  <si>
    <t>404636603924013440</t>
  </si>
  <si>
    <t>172.20.11.137</t>
  </si>
  <si>
    <t>TUNEL</t>
  </si>
  <si>
    <t>lavalle</t>
  </si>
  <si>
    <t>tunel</t>
  </si>
  <si>
    <t>00:07:5F:B6:B9:6F</t>
  </si>
  <si>
    <t>404636603926015018</t>
  </si>
  <si>
    <t>172.20.11.138</t>
  </si>
  <si>
    <t>00:07:5F:B4:4E:C7</t>
  </si>
  <si>
    <t>404636604026012550</t>
  </si>
  <si>
    <t>172.20.11.142</t>
  </si>
  <si>
    <t>Quintana</t>
  </si>
  <si>
    <t>Belgrano</t>
  </si>
  <si>
    <t>Fonrouge</t>
  </si>
  <si>
    <t>50129</t>
  </si>
  <si>
    <t>00:07:5F:BC:DF:66</t>
  </si>
  <si>
    <t>404636603924012220</t>
  </si>
  <si>
    <t>172.20.11.141</t>
  </si>
  <si>
    <t>00:07:5F:B6:C4:42</t>
  </si>
  <si>
    <t>404636604026013565</t>
  </si>
  <si>
    <t>172.20.11.143</t>
  </si>
  <si>
    <t>Andorra</t>
  </si>
  <si>
    <t>Belgica</t>
  </si>
  <si>
    <t>San Marino</t>
  </si>
  <si>
    <t>00:07:5F:BC:67:B7</t>
  </si>
  <si>
    <t>404636603925015003</t>
  </si>
  <si>
    <t>172.20.11.144</t>
  </si>
  <si>
    <t>problemas con la contraseña</t>
  </si>
  <si>
    <t>50093</t>
  </si>
  <si>
    <t>00:07:5F:B6:C4:69</t>
  </si>
  <si>
    <t>40463660406012083</t>
  </si>
  <si>
    <t>172.20.11.145</t>
  </si>
  <si>
    <t>Las Americas</t>
  </si>
  <si>
    <t>Braile</t>
  </si>
  <si>
    <t>Alvarado</t>
  </si>
  <si>
    <t>50049</t>
  </si>
  <si>
    <t>00:07:5F:B4:42:AF</t>
  </si>
  <si>
    <t>404636603924012219</t>
  </si>
  <si>
    <t>172.20.11.146</t>
  </si>
  <si>
    <t>172.20.11.147</t>
  </si>
  <si>
    <t>Berutti</t>
  </si>
  <si>
    <t>El Callao</t>
  </si>
  <si>
    <t>172.20.11.148</t>
  </si>
  <si>
    <t>POSTE INSTALADO 23-8</t>
  </si>
  <si>
    <t>172.20.11.149</t>
  </si>
  <si>
    <t>LRO14</t>
  </si>
  <si>
    <t>Yrigoyen</t>
  </si>
  <si>
    <t>Storni</t>
  </si>
  <si>
    <t>pedida por el intendente</t>
  </si>
  <si>
    <t>50123</t>
  </si>
  <si>
    <t>00:07:5F:B7:84:E4</t>
  </si>
  <si>
    <t>404636603925012148</t>
  </si>
  <si>
    <t>172.20.11.151</t>
  </si>
  <si>
    <t>00:07:5F:BC:DF:15</t>
  </si>
  <si>
    <t>404636603924013362</t>
  </si>
  <si>
    <t>172.20.11.150</t>
  </si>
  <si>
    <t>10.20.30.49</t>
  </si>
  <si>
    <t>RADIO</t>
  </si>
  <si>
    <t>radio 18</t>
  </si>
  <si>
    <t>RETIRAN 27-8</t>
  </si>
  <si>
    <t>10.20.30.50</t>
  </si>
  <si>
    <t>00:07:5F:B6:C4:3A</t>
  </si>
  <si>
    <t>404636604026012045</t>
  </si>
  <si>
    <t>10.20.30.42</t>
  </si>
  <si>
    <t>radio 30</t>
  </si>
  <si>
    <t>00:07:5F:B7:8E:C8</t>
  </si>
  <si>
    <t>404636604026013548</t>
  </si>
  <si>
    <t>10.20.30.43</t>
  </si>
  <si>
    <t>00:07:5F:BC:C5:6A</t>
  </si>
  <si>
    <t>404636603926015004</t>
  </si>
  <si>
    <t>10.20.30.44</t>
  </si>
  <si>
    <t>radio 42 Esta es la dirección correcta del Centro de Salud de Villa Argentina. La dirección que aparece en el listado es 521 entre 544 y 546</t>
  </si>
  <si>
    <t>00:07:5F:B7:85:E6</t>
  </si>
  <si>
    <t>404636603924013114</t>
  </si>
  <si>
    <t>10.20.30.45</t>
  </si>
  <si>
    <t>00:07:5f:B7:85:63</t>
  </si>
  <si>
    <t>404636603924013295</t>
  </si>
  <si>
    <t>10.20.30.46</t>
  </si>
  <si>
    <t>Bruselas</t>
  </si>
  <si>
    <t>Grecia</t>
  </si>
  <si>
    <t>Checoslovaquia</t>
  </si>
  <si>
    <t>radio 35</t>
  </si>
  <si>
    <t>00:07:5F:B6:C4:1E</t>
  </si>
  <si>
    <t>404636604026013637</t>
  </si>
  <si>
    <t>10.20.30.47</t>
  </si>
  <si>
    <t>172.20.11.152</t>
  </si>
  <si>
    <t>SRU 01</t>
  </si>
  <si>
    <t>Hernandarias</t>
  </si>
  <si>
    <t>Ambato</t>
  </si>
  <si>
    <t>IPCOMS</t>
  </si>
  <si>
    <t>172.20.11.153</t>
  </si>
  <si>
    <t>SRU 02</t>
  </si>
  <si>
    <t>172.20.11.154</t>
  </si>
  <si>
    <t>Santa Sofia</t>
  </si>
  <si>
    <t>Luis Agote</t>
  </si>
  <si>
    <t>172.20.11.155</t>
  </si>
  <si>
    <t>Olavarria</t>
  </si>
  <si>
    <t>Concordia</t>
  </si>
  <si>
    <t>172.20.11.156</t>
  </si>
  <si>
    <t>172.20.11.157</t>
  </si>
  <si>
    <t>Lobos</t>
  </si>
  <si>
    <t>Chascomus</t>
  </si>
  <si>
    <t>172.20.11.158</t>
  </si>
  <si>
    <t>172.20.11.159</t>
  </si>
  <si>
    <t xml:space="preserve">Av. Hudson </t>
  </si>
  <si>
    <t>Los Inmigrantes</t>
  </si>
  <si>
    <t>172.20.11.160</t>
  </si>
  <si>
    <t>172.20.11.161</t>
  </si>
  <si>
    <t>Soler</t>
  </si>
  <si>
    <t>172.20.11.162</t>
  </si>
  <si>
    <t>172.20.11.163</t>
  </si>
  <si>
    <t>Espora</t>
  </si>
  <si>
    <t>Martin Grass</t>
  </si>
  <si>
    <t>172.20.11.164</t>
  </si>
  <si>
    <t>Calle 802</t>
  </si>
  <si>
    <t>172.20.11.165</t>
  </si>
  <si>
    <t>Hudson</t>
  </si>
  <si>
    <t>172.20.11.166</t>
  </si>
  <si>
    <t>Lujan</t>
  </si>
  <si>
    <t>Ruta 36</t>
  </si>
  <si>
    <t>172.20.11.167</t>
  </si>
  <si>
    <t>Ruben Dario</t>
  </si>
  <si>
    <t>Fader</t>
  </si>
  <si>
    <t>Diag. Los Poetas</t>
  </si>
  <si>
    <t>172.20.11.168</t>
  </si>
  <si>
    <t>00:07:5F:AB:B7:3E</t>
  </si>
  <si>
    <t>04459319617101012</t>
  </si>
  <si>
    <t>172.20.11.169</t>
  </si>
  <si>
    <t>Ruta Prov. 36</t>
  </si>
  <si>
    <t xml:space="preserve"> RETIRA 25-8</t>
  </si>
  <si>
    <t>00:07:5F:BE:58:F6</t>
  </si>
  <si>
    <t>044593107327101037</t>
  </si>
  <si>
    <t>172.20.11.170</t>
  </si>
  <si>
    <t>Grierson</t>
  </si>
  <si>
    <t>00:07:5F:BE:59:03</t>
  </si>
  <si>
    <t>044593107327101029</t>
  </si>
  <si>
    <t>172.20.11.171</t>
  </si>
  <si>
    <t>Baldomero Moreno</t>
  </si>
  <si>
    <t>tiene mal la contraseña</t>
  </si>
  <si>
    <t>00:07:5F:BE:58:0B</t>
  </si>
  <si>
    <t>044593107326101015</t>
  </si>
  <si>
    <t>172.20.11.172</t>
  </si>
  <si>
    <t>Bialet Masse</t>
  </si>
  <si>
    <t>00:07:5F:AB:BA:C0</t>
  </si>
  <si>
    <t>708101037</t>
  </si>
  <si>
    <t>172.20.11.173</t>
  </si>
  <si>
    <t>00:07:5F:AB:B9:F4</t>
  </si>
  <si>
    <t>703101044</t>
  </si>
  <si>
    <t>172.20.11.174</t>
  </si>
  <si>
    <t>00:07:5F:B6:B9:5D</t>
  </si>
  <si>
    <t>0404636603924013289</t>
  </si>
  <si>
    <t>172.20.11.176</t>
  </si>
  <si>
    <t>Atenas</t>
  </si>
  <si>
    <t xml:space="preserve">Cafferatta </t>
  </si>
  <si>
    <t>Holanda</t>
  </si>
  <si>
    <t>50094</t>
  </si>
  <si>
    <t>00:07:5F:B6:A1:33</t>
  </si>
  <si>
    <t>0404636603924015012</t>
  </si>
  <si>
    <t>172.20.11.175</t>
  </si>
  <si>
    <t>50051</t>
  </si>
  <si>
    <t>00:07:5F:B4:42:D1</t>
  </si>
  <si>
    <t>172.20.11.178</t>
  </si>
  <si>
    <t>Roma</t>
  </si>
  <si>
    <t>Cafferatta</t>
  </si>
  <si>
    <t>50077</t>
  </si>
  <si>
    <t>00:07:5F:B4:43:5D</t>
  </si>
  <si>
    <t>0404636603925013096</t>
  </si>
  <si>
    <t>172.20.11.177</t>
  </si>
  <si>
    <t>00:07:5F:B4:43:0A</t>
  </si>
  <si>
    <t>404636603924012229</t>
  </si>
  <si>
    <t>172.20.11.180</t>
  </si>
  <si>
    <t>Gorriti</t>
  </si>
  <si>
    <t>Galarza</t>
  </si>
  <si>
    <t>Lope de Vega</t>
  </si>
  <si>
    <t>RETIRARON 26-7</t>
  </si>
  <si>
    <t>00:07:5F:BC:DF:2E</t>
  </si>
  <si>
    <t>404636603925013225</t>
  </si>
  <si>
    <t>172.20.11.181</t>
  </si>
  <si>
    <t>00:07:5F:BD:C7:12</t>
  </si>
  <si>
    <t>404636604025012066</t>
  </si>
  <si>
    <t>172.20.11.182</t>
  </si>
  <si>
    <t>Pizurno</t>
  </si>
  <si>
    <t>Nuestras Malvinas</t>
  </si>
  <si>
    <t>00:07:5F:BC:E7:B3</t>
  </si>
  <si>
    <t>404636604026012035</t>
  </si>
  <si>
    <t>172.20.11.183</t>
  </si>
  <si>
    <t>172.20.11.184</t>
  </si>
  <si>
    <t>Dardo Rocha</t>
  </si>
  <si>
    <t>Mistral</t>
  </si>
  <si>
    <t>RETIRARON 28-7</t>
  </si>
  <si>
    <t>00:07:5F:B6:B8:E9</t>
  </si>
  <si>
    <t>172.20.11.185</t>
  </si>
  <si>
    <t>00:07:5F:B6:8C:69</t>
  </si>
  <si>
    <t>172.20.11.186</t>
  </si>
  <si>
    <t>Tapalque</t>
  </si>
  <si>
    <t>Bolivar</t>
  </si>
  <si>
    <t>00:07:5F:BC:DF:1A</t>
  </si>
  <si>
    <t>172.20.11.187</t>
  </si>
  <si>
    <t>00:07:5F:B6:B9:B4</t>
  </si>
  <si>
    <t>172.20.11.188</t>
  </si>
  <si>
    <t>9 de Julio</t>
  </si>
  <si>
    <t xml:space="preserve">Brown </t>
  </si>
  <si>
    <t>Pringles</t>
  </si>
  <si>
    <t>00:07:5F:B7:84:C0</t>
  </si>
  <si>
    <t>172.20.11.189</t>
  </si>
  <si>
    <t>Contreras</t>
  </si>
  <si>
    <t>Antognoli</t>
  </si>
  <si>
    <t>Parrillo</t>
  </si>
  <si>
    <t>00:07:5F:BE:58:5C</t>
  </si>
  <si>
    <t>044593107326101043</t>
  </si>
  <si>
    <t>172.20.11.191</t>
  </si>
  <si>
    <t>CHA04</t>
  </si>
  <si>
    <t>EE: UU.</t>
  </si>
  <si>
    <t>Illia</t>
  </si>
  <si>
    <t>00:07:5F:CO:16:F7</t>
  </si>
  <si>
    <t>404636608014012067</t>
  </si>
  <si>
    <t>172.20.11.192</t>
  </si>
  <si>
    <t>SNI01</t>
  </si>
  <si>
    <t>Sarratea</t>
  </si>
  <si>
    <t>EE. UU.</t>
  </si>
  <si>
    <t>Agrello</t>
  </si>
  <si>
    <t>00:07:5F:B7:84:BA</t>
  </si>
  <si>
    <t>404636603924012143</t>
  </si>
  <si>
    <t>172.20.11.193</t>
  </si>
  <si>
    <t>SNI02</t>
  </si>
  <si>
    <t>00:07:5F:B6:C4:23</t>
  </si>
  <si>
    <t>404636604026012603</t>
  </si>
  <si>
    <t>172.20.11.194</t>
  </si>
  <si>
    <t>SNI03</t>
  </si>
  <si>
    <t>Los Treboles</t>
  </si>
  <si>
    <t>00:07:5F:B6:B8:AB</t>
  </si>
  <si>
    <t>404636603924013312</t>
  </si>
  <si>
    <t>172.20.11.95</t>
  </si>
  <si>
    <t>SNI04</t>
  </si>
  <si>
    <t>172.20.11.196</t>
  </si>
  <si>
    <t>Los Pinos</t>
  </si>
  <si>
    <t>Los Tilos</t>
  </si>
  <si>
    <t>00:07:5F:AB:BB:42</t>
  </si>
  <si>
    <t>172.20.11.197</t>
  </si>
  <si>
    <t>Tirana</t>
  </si>
  <si>
    <t>RETIRARON 30-7</t>
  </si>
  <si>
    <t>172.20.11.207</t>
  </si>
  <si>
    <t>Gran Canaria</t>
  </si>
  <si>
    <t>Budapest</t>
  </si>
  <si>
    <t>retiraron el 31-8</t>
  </si>
  <si>
    <t>00:07:5F:B6:B9:E4</t>
  </si>
  <si>
    <t>172.20.11.208</t>
  </si>
  <si>
    <t>172.20.11.198</t>
  </si>
  <si>
    <t>Carapachay</t>
  </si>
  <si>
    <t>Rio Colorado</t>
  </si>
  <si>
    <t>00:07:5F:B7:84:C2</t>
  </si>
  <si>
    <t>925012049</t>
  </si>
  <si>
    <t>172.20.11.201</t>
  </si>
  <si>
    <t>Cafferata</t>
  </si>
  <si>
    <t>Alemania</t>
  </si>
  <si>
    <t>00:07:5F:B4:4F:05</t>
  </si>
  <si>
    <t>026013611</t>
  </si>
  <si>
    <t>172.20.11.202</t>
  </si>
  <si>
    <t>00:07:5F:BC:E0:0A</t>
  </si>
  <si>
    <t>925013098</t>
  </si>
  <si>
    <t>172.20.11.205</t>
  </si>
  <si>
    <t>Sicilia</t>
  </si>
  <si>
    <t>Viena</t>
  </si>
  <si>
    <t>Varsovia</t>
  </si>
  <si>
    <t>00:07:5F:BC:DF:08</t>
  </si>
  <si>
    <t>924013322</t>
  </si>
  <si>
    <t>172.20.11.206</t>
  </si>
  <si>
    <t>00:07:5F:B4:18:12</t>
  </si>
  <si>
    <t>923012194</t>
  </si>
  <si>
    <t>172.20.11.199</t>
  </si>
  <si>
    <t>Berna</t>
  </si>
  <si>
    <t>Polonia</t>
  </si>
  <si>
    <t>00:07:5F:B7:8E:D2</t>
  </si>
  <si>
    <t>026012092</t>
  </si>
  <si>
    <t>172.20.11.200</t>
  </si>
  <si>
    <t>00:07:5F:B6:B9:40</t>
  </si>
  <si>
    <t>404636603925013075</t>
  </si>
  <si>
    <t>calle 532 A</t>
  </si>
  <si>
    <t>RETIRARON 2-8</t>
  </si>
  <si>
    <t>00:07:5F:BC:DF:B5</t>
  </si>
  <si>
    <t>404636603925012037</t>
  </si>
  <si>
    <t>00:07:5F:BD:69:73</t>
  </si>
  <si>
    <t>404636603924012062</t>
  </si>
  <si>
    <t>00:07:5F:B7:85:FA</t>
  </si>
  <si>
    <t>404636603924012050</t>
  </si>
  <si>
    <t>PATAGONES</t>
  </si>
  <si>
    <t>RUTA 36</t>
  </si>
  <si>
    <t>00:07:5F:B4:4F:3E</t>
  </si>
  <si>
    <t>404636604026012076</t>
  </si>
  <si>
    <t>00:07:57:C1:94:BF</t>
  </si>
  <si>
    <t>172.20.12.97</t>
  </si>
  <si>
    <t>Donato Alvarez</t>
  </si>
  <si>
    <t>El Apero</t>
  </si>
  <si>
    <t>00:07:5F:B6:A1:30</t>
  </si>
  <si>
    <t>172.20.12.98</t>
  </si>
  <si>
    <t>172.20.12.91</t>
  </si>
  <si>
    <t>Calle Monteverde</t>
  </si>
  <si>
    <t>El Indio</t>
  </si>
  <si>
    <t>172.20.12.92</t>
  </si>
  <si>
    <t>00:07:5F:B6:B8:B3</t>
  </si>
  <si>
    <t>404636603925013054</t>
  </si>
  <si>
    <t>172.20.12.85</t>
  </si>
  <si>
    <t>Blandengue</t>
  </si>
  <si>
    <t>El Zamba</t>
  </si>
  <si>
    <t>00:07:5F:BC:DF:43</t>
  </si>
  <si>
    <t>404636603925012062</t>
  </si>
  <si>
    <t>172.20.12.86</t>
  </si>
  <si>
    <t>RETIRA 25-8</t>
  </si>
  <si>
    <t>00:07:5F:B6:B8:B8</t>
  </si>
  <si>
    <t>404636603925013209</t>
  </si>
  <si>
    <t>172.20.12.88</t>
  </si>
  <si>
    <t>El Gaucho</t>
  </si>
  <si>
    <t>Martin Fierro</t>
  </si>
  <si>
    <t>00:07:5F:B6:B8:C8</t>
  </si>
  <si>
    <t>404636603924013460</t>
  </si>
  <si>
    <t>172.12.20.89</t>
  </si>
  <si>
    <t>172.20.12.94</t>
  </si>
  <si>
    <t>El Zonda</t>
  </si>
  <si>
    <t>00:07:5F:BC:DF:E3</t>
  </si>
  <si>
    <t>172.20.12.95</t>
  </si>
  <si>
    <t>Washington</t>
  </si>
  <si>
    <t>172.20.11.215</t>
  </si>
  <si>
    <t>Necochea</t>
  </si>
  <si>
    <t>Humaita</t>
  </si>
  <si>
    <t>RETIRARON 19-08</t>
  </si>
  <si>
    <t>00:07:5F:BE:59:27</t>
  </si>
  <si>
    <t>044593107327101049</t>
  </si>
  <si>
    <t>172.20.11.216</t>
  </si>
  <si>
    <t>Curupaity</t>
  </si>
  <si>
    <t>POSTE INSTALADO 23-8 - RETIRA 25-8</t>
  </si>
  <si>
    <t>172.20.11.203</t>
  </si>
  <si>
    <t>CAMBIO POR LA DE EVA PERON Y EL BAJO NIVEL PEDIDO POR OSCAR</t>
  </si>
  <si>
    <t>172.20.11.204</t>
  </si>
  <si>
    <t>734 a</t>
  </si>
  <si>
    <t>ruta 36</t>
  </si>
  <si>
    <t>LA ESMERALDA</t>
  </si>
  <si>
    <t xml:space="preserve">REPUBLICA DE Francia </t>
  </si>
  <si>
    <t>Calchaqui</t>
  </si>
  <si>
    <t>Avenida Monteverde (ruta 4)</t>
  </si>
  <si>
    <t>Victorino de la Plaza</t>
  </si>
  <si>
    <t>Uriburu</t>
  </si>
  <si>
    <t>Pedro Moran</t>
  </si>
  <si>
    <t>Darregueira</t>
  </si>
  <si>
    <t>Larrea</t>
  </si>
  <si>
    <t>Guardia Nacional</t>
  </si>
  <si>
    <t>Guido Spano</t>
  </si>
  <si>
    <t>Pereyra Lucena</t>
  </si>
  <si>
    <t>Iglesias</t>
  </si>
  <si>
    <t>Francisco Segui</t>
  </si>
  <si>
    <t>pendiente</t>
  </si>
  <si>
    <t>O.C.</t>
  </si>
  <si>
    <t>ADQUIRIDAS</t>
  </si>
  <si>
    <t>INSTALADAS</t>
  </si>
  <si>
    <t>RESTAN</t>
  </si>
  <si>
    <t>CAMARAS</t>
  </si>
  <si>
    <t>TOTAL</t>
  </si>
  <si>
    <t>DOMOS</t>
  </si>
  <si>
    <t>FIJAS</t>
  </si>
  <si>
    <t>BONOMO</t>
  </si>
  <si>
    <t>PUNTO</t>
  </si>
  <si>
    <t>L</t>
  </si>
  <si>
    <t>404636604026012583</t>
  </si>
  <si>
    <t>00:07:5F:B6:B9:E9</t>
  </si>
  <si>
    <t>044593196016101059</t>
  </si>
  <si>
    <t>00:07:5F:AB:B7:52</t>
  </si>
  <si>
    <t>172.20.11.101</t>
  </si>
  <si>
    <t>255.255.255.0/10.20.30.254</t>
  </si>
  <si>
    <t>404636603924012001</t>
  </si>
  <si>
    <t>404636604026012101</t>
  </si>
  <si>
    <t>00:07:5F:B6:C4:1C</t>
  </si>
  <si>
    <t>00-07-5F-AB-BB-41</t>
  </si>
  <si>
    <t>172.20.12.156</t>
  </si>
  <si>
    <t>00-07-5F-BE-59-28</t>
  </si>
  <si>
    <t>00-07-5F-BE-59-2D</t>
  </si>
  <si>
    <t>00-07-5F-B7-8E-A6</t>
  </si>
  <si>
    <t>00-07-5F-B7-8E-A7</t>
  </si>
  <si>
    <t>00-07-5F-AB-BB-4F</t>
  </si>
  <si>
    <t>00-07-5F-B7-56-20</t>
  </si>
  <si>
    <t>00-07-5F-B7-92-B8</t>
  </si>
  <si>
    <t>404636603710012007</t>
  </si>
  <si>
    <t>404636604026012535</t>
  </si>
  <si>
    <t>00-07-5F-AB-BB-55</t>
  </si>
  <si>
    <t>044593103708101024</t>
  </si>
  <si>
    <t>00-07-5F-BE-58-FE</t>
  </si>
  <si>
    <t>00-07-5F-BE-58-4E</t>
  </si>
  <si>
    <t>044593107326101040</t>
  </si>
  <si>
    <t>044593107327101027</t>
  </si>
  <si>
    <t>00-07-5F-AB-B6-4A</t>
  </si>
  <si>
    <t>044593196010101006</t>
  </si>
  <si>
    <t>404636604026012069</t>
  </si>
  <si>
    <t>044593107327101064</t>
  </si>
  <si>
    <t>172.20.11.86</t>
  </si>
  <si>
    <t>00-07-5F-AB-BB-48</t>
  </si>
  <si>
    <t>044593103708101005</t>
  </si>
  <si>
    <t>00-07-5F-B7-84-A7</t>
  </si>
  <si>
    <t>172.20.11.89</t>
  </si>
  <si>
    <t>172.20.11.88</t>
  </si>
  <si>
    <t>404636603924012210</t>
  </si>
  <si>
    <t>404636603925012066</t>
  </si>
  <si>
    <t>00-07-5F-B6-B8-E2</t>
  </si>
  <si>
    <t>00-07-5F-BE-58-F7</t>
  </si>
  <si>
    <t>044593107327101038</t>
  </si>
  <si>
    <t>172.20.11.90</t>
  </si>
  <si>
    <t>172.20.11.91</t>
  </si>
  <si>
    <t>172.20.11.92</t>
  </si>
  <si>
    <t>00-07-5F-B6-C4-AA</t>
  </si>
  <si>
    <t>00-07-5F-B4-42-42-F8</t>
  </si>
  <si>
    <t>404636604026013618</t>
  </si>
  <si>
    <t>404636603924012257</t>
  </si>
  <si>
    <t>172.20.11.94</t>
  </si>
  <si>
    <t>00-07-5F-B7-56-C0</t>
  </si>
  <si>
    <t>00-07-5F-B4-4F-05</t>
  </si>
  <si>
    <t>404636603923012193</t>
  </si>
  <si>
    <t>172.20.11.96</t>
  </si>
  <si>
    <t>172.20.11.97</t>
  </si>
  <si>
    <t>00-07-5F-B6-8B-B9</t>
  </si>
  <si>
    <t>00-07-5F-B4-42-BE</t>
  </si>
  <si>
    <t>404636603923012206</t>
  </si>
  <si>
    <t>404636603926013009</t>
  </si>
  <si>
    <t>172.20.11.98</t>
  </si>
  <si>
    <t>172.20.11.99</t>
  </si>
  <si>
    <t>00-07-5F-B4-2C-37</t>
  </si>
  <si>
    <t>00-07-5F-B7-20-73</t>
  </si>
  <si>
    <t>404636604026013547</t>
  </si>
  <si>
    <t>404636603925015031</t>
  </si>
  <si>
    <t>044593107327101047</t>
  </si>
  <si>
    <t>00-07-5F-B4-4F-3B</t>
  </si>
  <si>
    <t>00-07-5F-B7-84-95</t>
  </si>
  <si>
    <t>404636604026012073</t>
  </si>
  <si>
    <t>00-07-5F-BD-54-F5</t>
  </si>
  <si>
    <t>404636603924013328</t>
  </si>
  <si>
    <t>404636603710015009</t>
  </si>
  <si>
    <t>172.29.11.</t>
  </si>
  <si>
    <t>404636603925012280</t>
  </si>
  <si>
    <t>255.255.255.0/172.20.30.254</t>
  </si>
  <si>
    <t>172.20.12.213</t>
  </si>
  <si>
    <t>00:07:5F:B6:B8:CC</t>
  </si>
  <si>
    <t>404636603925013076</t>
  </si>
  <si>
    <t>404636603925012140</t>
  </si>
  <si>
    <t>404636603925015006</t>
  </si>
  <si>
    <t>404636608014012060</t>
  </si>
  <si>
    <t>172.20.11.209</t>
  </si>
  <si>
    <t>172.20.11.210</t>
  </si>
  <si>
    <t>172.20.11.211</t>
  </si>
  <si>
    <t>172.20.11.212</t>
  </si>
  <si>
    <t>172.20.11.219</t>
  </si>
  <si>
    <t>172.20.11.220</t>
  </si>
  <si>
    <t>172.20.11.221</t>
  </si>
  <si>
    <t>172.20.11.222</t>
  </si>
  <si>
    <t>25 de Mayo</t>
  </si>
  <si>
    <t>044593103708101008</t>
  </si>
  <si>
    <t>00-07-5F-AB-BB-44</t>
  </si>
  <si>
    <t>044593103708101042</t>
  </si>
  <si>
    <t>00-07-5F-AB-BA-BE</t>
  </si>
  <si>
    <t>Bourel</t>
  </si>
  <si>
    <t>Rivadavia</t>
  </si>
  <si>
    <t>00-07-5F-AE-59-31</t>
  </si>
  <si>
    <t>044593107327101051</t>
  </si>
  <si>
    <t>00-07-5F-BE-59-32</t>
  </si>
  <si>
    <t>044593107327101052</t>
  </si>
  <si>
    <t>172.20.11.85</t>
  </si>
  <si>
    <t>00-07-5F-AB-B5-7A</t>
  </si>
  <si>
    <t>044593196016101063</t>
  </si>
  <si>
    <t>172.20.11.87</t>
  </si>
  <si>
    <t>00-07-5F-BE-67-17</t>
  </si>
  <si>
    <t>044593107522101067</t>
  </si>
  <si>
    <t>172.20.11.223</t>
  </si>
  <si>
    <t>255.255.248.0/172.20.12.251</t>
  </si>
  <si>
    <t>255.255.248.0/172.20.12.252</t>
  </si>
  <si>
    <t>Las Heras</t>
  </si>
  <si>
    <t>Maipú</t>
  </si>
  <si>
    <t>Defensa</t>
  </si>
  <si>
    <t>00:07:5F:B7:85:78</t>
  </si>
  <si>
    <t>00:07:5F:B6:B8:DA</t>
  </si>
  <si>
    <t>00-07-5F-AB-B5-81</t>
  </si>
  <si>
    <t>044599430703000035</t>
  </si>
  <si>
    <t>00-07-5F-AB-BB-47</t>
  </si>
  <si>
    <t>044593103708101026</t>
  </si>
  <si>
    <t>172.20.11.53</t>
  </si>
  <si>
    <t>00-07-5F-B4-4E-CF</t>
  </si>
  <si>
    <t>404636604026012552</t>
  </si>
  <si>
    <t>Constancio Vigil</t>
  </si>
  <si>
    <t>Jose Ingenieros</t>
  </si>
  <si>
    <t>Pablo Podesta</t>
  </si>
  <si>
    <t>Estanislao del Campo</t>
  </si>
  <si>
    <t>Becquer</t>
  </si>
  <si>
    <t>D'Anuncio</t>
  </si>
  <si>
    <t>Lord Biron</t>
  </si>
  <si>
    <t xml:space="preserve">Capdevila </t>
  </si>
  <si>
    <t xml:space="preserve">Yamandu Rodriguez </t>
  </si>
  <si>
    <t>colectora</t>
  </si>
  <si>
    <t>Groussac</t>
  </si>
  <si>
    <t>Montes de Oca</t>
  </si>
  <si>
    <t>Suipacha</t>
  </si>
  <si>
    <t>fIBRA</t>
  </si>
  <si>
    <t>25 DE MAYO</t>
  </si>
  <si>
    <t>CASTELLI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</si>
</sst>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2" fillId="0" borderId="0" xfId="0" applyFont="1"/>
    <xf numFmtId="0" fontId="7" fillId="5" borderId="6" xfId="0" applyFont="1" applyFill="1" applyBorder="1"/>
    <xf numFmtId="0" fontId="7" fillId="5" borderId="21" xfId="0" applyFont="1" applyFill="1" applyBorder="1"/>
    <xf numFmtId="0" fontId="7" fillId="5" borderId="4" xfId="0" applyFont="1" applyFill="1" applyBorder="1" applyAlignment="1">
      <alignment horizontal="right" vertical="center"/>
    </xf>
    <xf numFmtId="0" fontId="7" fillId="5" borderId="4" xfId="0" applyFont="1" applyFill="1" applyBorder="1"/>
    <xf numFmtId="0" fontId="7" fillId="5" borderId="22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right" vertical="center"/>
    </xf>
    <xf numFmtId="0" fontId="7" fillId="0" borderId="0" xfId="0" applyFont="1"/>
    <xf numFmtId="0" fontId="7" fillId="8" borderId="6" xfId="0" applyFont="1" applyFill="1" applyBorder="1"/>
    <xf numFmtId="0" fontId="7" fillId="8" borderId="4" xfId="0" applyFont="1" applyFill="1" applyBorder="1"/>
    <xf numFmtId="0" fontId="7" fillId="8" borderId="23" xfId="0" applyFont="1" applyFill="1" applyBorder="1" applyAlignment="1">
      <alignment horizontal="center" vertical="center"/>
    </xf>
    <xf numFmtId="0" fontId="7" fillId="8" borderId="22" xfId="0" applyFont="1" applyFill="1" applyBorder="1"/>
    <xf numFmtId="0" fontId="7" fillId="9" borderId="6" xfId="0" applyFont="1" applyFill="1" applyBorder="1"/>
    <xf numFmtId="0" fontId="7" fillId="9" borderId="4" xfId="0" applyFont="1" applyFill="1" applyBorder="1"/>
    <xf numFmtId="0" fontId="7" fillId="9" borderId="22" xfId="0" applyFont="1" applyFill="1" applyBorder="1"/>
    <xf numFmtId="0" fontId="7" fillId="9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49" fontId="1" fillId="10" borderId="8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1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4"/>
  <sheetViews>
    <sheetView showGridLines="0" tabSelected="1" topLeftCell="F1" zoomScale="80" zoomScaleNormal="80" workbookViewId="0">
      <pane ySplit="5" topLeftCell="A6" activePane="bottomLeft" state="frozen"/>
      <selection activeCell="F1" sqref="F1"/>
      <selection pane="bottomLeft" activeCell="G154" sqref="G154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146</v>
      </c>
      <c r="G2" s="33">
        <f>E2-F2</f>
        <v>54</v>
      </c>
      <c r="H2" s="60"/>
      <c r="I2" s="58"/>
      <c r="J2" s="58"/>
      <c r="K2" s="58"/>
      <c r="L2" s="58"/>
      <c r="M2" s="58"/>
      <c r="N2" s="70"/>
      <c r="O2" s="57">
        <f>COUNTIF(O6:O193,"FIBRA")</f>
        <v>125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45</v>
      </c>
      <c r="G3" s="36">
        <f>E3-F3</f>
        <v>5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101</v>
      </c>
      <c r="G4" s="39">
        <f>E4-F4</f>
        <v>49</v>
      </c>
      <c r="H4" s="68"/>
      <c r="I4" s="66"/>
      <c r="J4" s="66"/>
      <c r="K4" s="66"/>
      <c r="L4" s="66"/>
      <c r="M4" s="80">
        <f>SUM(M6:M193)</f>
        <v>45</v>
      </c>
      <c r="N4" s="4">
        <f>SUM(N6:N193)</f>
        <v>101</v>
      </c>
      <c r="O4" s="16">
        <f>COUNTIF(O6:O193,"RADIO")</f>
        <v>26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customHeight="1" thickBot="1" x14ac:dyDescent="0.35">
      <c r="A6" s="17">
        <v>1</v>
      </c>
      <c r="B6" s="18">
        <v>4230</v>
      </c>
      <c r="C6" s="19"/>
      <c r="D6" s="18" t="s">
        <v>23</v>
      </c>
      <c r="E6" s="20" t="s">
        <v>24</v>
      </c>
      <c r="F6" s="21" t="s">
        <v>25</v>
      </c>
      <c r="G6" s="22" t="s">
        <v>26</v>
      </c>
      <c r="H6" s="22"/>
      <c r="I6" s="99" t="s">
        <v>27</v>
      </c>
      <c r="J6" s="18"/>
      <c r="K6" s="18">
        <v>517</v>
      </c>
      <c r="L6" s="18" t="s">
        <v>28</v>
      </c>
      <c r="M6" s="18">
        <v>1</v>
      </c>
      <c r="N6" s="18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18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customHeight="1" thickBot="1" x14ac:dyDescent="0.35">
      <c r="A7" s="17">
        <v>2</v>
      </c>
      <c r="B7" s="18">
        <v>4230</v>
      </c>
      <c r="C7" s="19"/>
      <c r="D7" s="18" t="s">
        <v>36</v>
      </c>
      <c r="E7" s="20" t="s">
        <v>37</v>
      </c>
      <c r="F7" s="21" t="s">
        <v>38</v>
      </c>
      <c r="G7" s="22" t="s">
        <v>26</v>
      </c>
      <c r="H7" s="22"/>
      <c r="I7" s="99" t="s">
        <v>39</v>
      </c>
      <c r="J7" s="18"/>
      <c r="K7" s="18" t="s">
        <v>40</v>
      </c>
      <c r="L7" s="18" t="s">
        <v>28</v>
      </c>
      <c r="M7" s="18">
        <v>1</v>
      </c>
      <c r="N7" s="18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18"/>
      <c r="W7" s="19"/>
      <c r="X7" s="25"/>
      <c r="Y7" s="26"/>
    </row>
    <row r="8" spans="1:25" s="27" customFormat="1" ht="33" customHeight="1" thickBot="1" x14ac:dyDescent="0.35">
      <c r="A8" s="17">
        <v>3</v>
      </c>
      <c r="B8" s="18">
        <v>4230</v>
      </c>
      <c r="C8" s="19"/>
      <c r="D8" s="18" t="s">
        <v>41</v>
      </c>
      <c r="E8" s="20" t="s">
        <v>42</v>
      </c>
      <c r="F8" s="21" t="s">
        <v>43</v>
      </c>
      <c r="G8" s="22" t="s">
        <v>26</v>
      </c>
      <c r="H8" s="22"/>
      <c r="I8" s="99" t="s">
        <v>44</v>
      </c>
      <c r="J8" s="18"/>
      <c r="K8" s="18" t="s">
        <v>45</v>
      </c>
      <c r="L8" s="18" t="s">
        <v>28</v>
      </c>
      <c r="M8" s="18">
        <v>1</v>
      </c>
      <c r="N8" s="18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18"/>
      <c r="W8" s="19"/>
      <c r="X8" s="25"/>
      <c r="Y8" s="26"/>
    </row>
    <row r="9" spans="1:25" s="27" customFormat="1" ht="33" customHeight="1" thickBot="1" x14ac:dyDescent="0.35">
      <c r="A9" s="17">
        <v>4</v>
      </c>
      <c r="B9" s="18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99" t="s">
        <v>44</v>
      </c>
      <c r="J9" s="18" t="s">
        <v>49</v>
      </c>
      <c r="K9" s="18" t="s">
        <v>50</v>
      </c>
      <c r="L9" s="18" t="s">
        <v>51</v>
      </c>
      <c r="M9" s="18">
        <v>0</v>
      </c>
      <c r="N9" s="18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18">
        <v>5</v>
      </c>
      <c r="W9" s="19"/>
      <c r="X9" s="25"/>
      <c r="Y9" s="26"/>
    </row>
    <row r="10" spans="1:25" s="27" customFormat="1" ht="33" customHeight="1" thickBot="1" x14ac:dyDescent="0.35">
      <c r="A10" s="17">
        <v>4</v>
      </c>
      <c r="B10" s="18"/>
      <c r="C10" s="19"/>
      <c r="D10" s="18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99" t="s">
        <v>44</v>
      </c>
      <c r="J10" s="18" t="s">
        <v>49</v>
      </c>
      <c r="K10" s="18" t="s">
        <v>50</v>
      </c>
      <c r="L10" s="18" t="s">
        <v>51</v>
      </c>
      <c r="M10" s="18">
        <v>0</v>
      </c>
      <c r="N10" s="18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18"/>
      <c r="W10" s="19"/>
      <c r="X10" s="25"/>
      <c r="Y10" s="26"/>
    </row>
    <row r="11" spans="1:25" s="27" customFormat="1" ht="33" customHeight="1" thickBot="1" x14ac:dyDescent="0.35">
      <c r="A11" s="17">
        <v>5</v>
      </c>
      <c r="B11" s="18">
        <v>4230</v>
      </c>
      <c r="C11" s="19">
        <v>50160</v>
      </c>
      <c r="D11" s="18" t="s">
        <v>56</v>
      </c>
      <c r="E11" s="20" t="s">
        <v>480</v>
      </c>
      <c r="F11" s="21" t="s">
        <v>57</v>
      </c>
      <c r="G11" s="22" t="s">
        <v>26</v>
      </c>
      <c r="H11" s="22"/>
      <c r="I11" s="99" t="s">
        <v>58</v>
      </c>
      <c r="J11" s="18"/>
      <c r="K11" s="18" t="s">
        <v>59</v>
      </c>
      <c r="L11" s="18" t="s">
        <v>51</v>
      </c>
      <c r="M11" s="18">
        <v>0</v>
      </c>
      <c r="N11" s="18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18" t="s">
        <v>60</v>
      </c>
      <c r="W11" s="19"/>
      <c r="X11" s="25"/>
      <c r="Y11" s="26"/>
    </row>
    <row r="12" spans="1:25" s="27" customFormat="1" ht="33" customHeight="1" thickBot="1" x14ac:dyDescent="0.35">
      <c r="A12" s="17">
        <v>5</v>
      </c>
      <c r="B12" s="18">
        <v>4230</v>
      </c>
      <c r="C12" s="19">
        <v>50106</v>
      </c>
      <c r="D12" s="18" t="s">
        <v>61</v>
      </c>
      <c r="E12" s="20" t="s">
        <v>62</v>
      </c>
      <c r="F12" s="21" t="s">
        <v>63</v>
      </c>
      <c r="G12" s="22" t="s">
        <v>26</v>
      </c>
      <c r="H12" s="22"/>
      <c r="I12" s="99" t="s">
        <v>58</v>
      </c>
      <c r="J12" s="18"/>
      <c r="K12" s="18" t="s">
        <v>59</v>
      </c>
      <c r="L12" s="18" t="s">
        <v>51</v>
      </c>
      <c r="M12" s="18">
        <v>0</v>
      </c>
      <c r="N12" s="18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18"/>
      <c r="W12" s="19"/>
      <c r="X12" s="25"/>
      <c r="Y12" s="26"/>
    </row>
    <row r="13" spans="1:25" s="27" customFormat="1" ht="33" customHeight="1" thickBot="1" x14ac:dyDescent="0.35">
      <c r="A13" s="17">
        <v>6</v>
      </c>
      <c r="B13" s="18">
        <v>4230</v>
      </c>
      <c r="C13" s="19"/>
      <c r="D13" s="18" t="s">
        <v>64</v>
      </c>
      <c r="E13" s="20" t="s">
        <v>65</v>
      </c>
      <c r="F13" s="21" t="s">
        <v>66</v>
      </c>
      <c r="G13" s="22" t="s">
        <v>26</v>
      </c>
      <c r="H13" s="22"/>
      <c r="I13" s="99" t="s">
        <v>58</v>
      </c>
      <c r="J13" s="18"/>
      <c r="K13" s="18" t="s">
        <v>67</v>
      </c>
      <c r="L13" s="18" t="s">
        <v>51</v>
      </c>
      <c r="M13" s="18">
        <v>0</v>
      </c>
      <c r="N13" s="18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18" t="s">
        <v>60</v>
      </c>
      <c r="W13" s="19"/>
      <c r="X13" s="25"/>
      <c r="Y13" s="26"/>
    </row>
    <row r="14" spans="1:25" s="27" customFormat="1" ht="33" customHeight="1" thickBot="1" x14ac:dyDescent="0.35">
      <c r="A14" s="17">
        <v>6</v>
      </c>
      <c r="B14" s="18">
        <v>4230</v>
      </c>
      <c r="C14" s="19"/>
      <c r="D14" s="18" t="s">
        <v>68</v>
      </c>
      <c r="E14" s="20" t="s">
        <v>69</v>
      </c>
      <c r="F14" s="21" t="s">
        <v>70</v>
      </c>
      <c r="G14" s="22" t="s">
        <v>26</v>
      </c>
      <c r="H14" s="22"/>
      <c r="I14" s="99" t="s">
        <v>58</v>
      </c>
      <c r="J14" s="18"/>
      <c r="K14" s="18" t="s">
        <v>67</v>
      </c>
      <c r="L14" s="18" t="s">
        <v>51</v>
      </c>
      <c r="M14" s="18">
        <v>0</v>
      </c>
      <c r="N14" s="18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18" t="s">
        <v>71</v>
      </c>
      <c r="W14" s="19"/>
      <c r="X14" s="25"/>
      <c r="Y14" s="26"/>
    </row>
    <row r="15" spans="1:25" s="27" customFormat="1" ht="33" customHeight="1" thickBot="1" x14ac:dyDescent="0.35">
      <c r="A15" s="17">
        <v>7</v>
      </c>
      <c r="B15" s="18">
        <v>4230</v>
      </c>
      <c r="C15" s="19"/>
      <c r="D15" s="18" t="s">
        <v>72</v>
      </c>
      <c r="E15" s="20" t="s">
        <v>73</v>
      </c>
      <c r="F15" s="21" t="s">
        <v>74</v>
      </c>
      <c r="G15" s="22" t="s">
        <v>26</v>
      </c>
      <c r="H15" s="22"/>
      <c r="I15" s="99" t="s">
        <v>75</v>
      </c>
      <c r="J15" s="18"/>
      <c r="K15" s="18" t="s">
        <v>76</v>
      </c>
      <c r="L15" s="18" t="s">
        <v>28</v>
      </c>
      <c r="M15" s="18">
        <v>1</v>
      </c>
      <c r="N15" s="18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18"/>
      <c r="W15" s="19"/>
      <c r="X15" s="25"/>
      <c r="Y15" s="26"/>
    </row>
    <row r="16" spans="1:25" s="27" customFormat="1" ht="33" customHeight="1" thickBot="1" x14ac:dyDescent="0.35">
      <c r="A16" s="17">
        <v>8</v>
      </c>
      <c r="B16" s="18">
        <v>4230</v>
      </c>
      <c r="C16" s="19"/>
      <c r="D16" s="18" t="s">
        <v>77</v>
      </c>
      <c r="E16" s="20" t="s">
        <v>78</v>
      </c>
      <c r="F16" s="21" t="s">
        <v>79</v>
      </c>
      <c r="G16" s="22" t="s">
        <v>26</v>
      </c>
      <c r="H16" s="22"/>
      <c r="I16" s="99" t="s">
        <v>75</v>
      </c>
      <c r="J16" s="18" t="s">
        <v>80</v>
      </c>
      <c r="K16" s="18" t="s">
        <v>479</v>
      </c>
      <c r="L16" s="18" t="s">
        <v>51</v>
      </c>
      <c r="M16" s="18">
        <v>0</v>
      </c>
      <c r="N16" s="18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18" t="s">
        <v>81</v>
      </c>
      <c r="W16" s="19"/>
      <c r="X16" s="25"/>
      <c r="Y16" s="26"/>
    </row>
    <row r="17" spans="1:25" s="27" customFormat="1" ht="33" customHeight="1" thickBot="1" x14ac:dyDescent="0.35">
      <c r="A17" s="17">
        <v>8</v>
      </c>
      <c r="B17" s="18">
        <v>4230</v>
      </c>
      <c r="C17" s="19"/>
      <c r="D17" s="18" t="s">
        <v>82</v>
      </c>
      <c r="E17" s="20" t="s">
        <v>83</v>
      </c>
      <c r="F17" s="21" t="s">
        <v>84</v>
      </c>
      <c r="G17" s="22" t="s">
        <v>26</v>
      </c>
      <c r="H17" s="22"/>
      <c r="I17" s="99" t="s">
        <v>75</v>
      </c>
      <c r="J17" s="18" t="s">
        <v>80</v>
      </c>
      <c r="K17" s="18" t="s">
        <v>452</v>
      </c>
      <c r="L17" s="18" t="s">
        <v>51</v>
      </c>
      <c r="M17" s="18">
        <v>0</v>
      </c>
      <c r="N17" s="18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18"/>
      <c r="W17" s="19"/>
      <c r="X17" s="25"/>
      <c r="Y17" s="26"/>
    </row>
    <row r="18" spans="1:25" s="27" customFormat="1" ht="33" customHeight="1" thickBot="1" x14ac:dyDescent="0.35">
      <c r="A18" s="17">
        <v>9</v>
      </c>
      <c r="B18" s="18">
        <v>4230</v>
      </c>
      <c r="C18" s="19"/>
      <c r="D18" s="18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99" t="s">
        <v>75</v>
      </c>
      <c r="J18" s="18"/>
      <c r="K18" s="18" t="s">
        <v>89</v>
      </c>
      <c r="L18" s="18" t="s">
        <v>28</v>
      </c>
      <c r="M18" s="18">
        <v>1</v>
      </c>
      <c r="N18" s="18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18"/>
      <c r="W18" s="19"/>
      <c r="X18" s="25"/>
      <c r="Y18" s="26"/>
    </row>
    <row r="19" spans="1:25" s="27" customFormat="1" ht="33" customHeight="1" thickBot="1" x14ac:dyDescent="0.35">
      <c r="A19" s="17">
        <v>10</v>
      </c>
      <c r="B19" s="18">
        <v>4230</v>
      </c>
      <c r="C19" s="19"/>
      <c r="D19" s="18" t="s">
        <v>90</v>
      </c>
      <c r="E19" s="20" t="s">
        <v>91</v>
      </c>
      <c r="F19" s="21" t="s">
        <v>92</v>
      </c>
      <c r="G19" s="22" t="s">
        <v>26</v>
      </c>
      <c r="H19" s="22"/>
      <c r="I19" s="99" t="s">
        <v>75</v>
      </c>
      <c r="J19" s="18" t="s">
        <v>89</v>
      </c>
      <c r="K19" s="18">
        <v>1406</v>
      </c>
      <c r="L19" s="18" t="s">
        <v>51</v>
      </c>
      <c r="M19" s="18">
        <v>0</v>
      </c>
      <c r="N19" s="18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18">
        <v>68</v>
      </c>
      <c r="W19" s="19"/>
      <c r="X19" s="25"/>
      <c r="Y19" s="26"/>
    </row>
    <row r="20" spans="1:25" s="27" customFormat="1" ht="33" customHeight="1" thickBot="1" x14ac:dyDescent="0.35">
      <c r="A20" s="17">
        <v>10</v>
      </c>
      <c r="B20" s="18">
        <v>4230</v>
      </c>
      <c r="C20" s="19"/>
      <c r="D20" s="18" t="s">
        <v>93</v>
      </c>
      <c r="E20" s="20" t="s">
        <v>94</v>
      </c>
      <c r="F20" s="21" t="s">
        <v>95</v>
      </c>
      <c r="G20" s="22" t="s">
        <v>26</v>
      </c>
      <c r="H20" s="22"/>
      <c r="I20" s="99" t="s">
        <v>75</v>
      </c>
      <c r="J20" s="18" t="s">
        <v>89</v>
      </c>
      <c r="K20" s="18">
        <v>1406</v>
      </c>
      <c r="L20" s="18" t="s">
        <v>51</v>
      </c>
      <c r="M20" s="18">
        <v>0</v>
      </c>
      <c r="N20" s="18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18"/>
      <c r="W20" s="19"/>
      <c r="X20" s="25"/>
      <c r="Y20" s="26"/>
    </row>
    <row r="21" spans="1:25" s="27" customFormat="1" ht="33" customHeight="1" thickBot="1" x14ac:dyDescent="0.35">
      <c r="A21" s="17">
        <v>11</v>
      </c>
      <c r="B21" s="18">
        <v>4230</v>
      </c>
      <c r="C21" s="19">
        <v>50154</v>
      </c>
      <c r="D21" s="18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99" t="s">
        <v>39</v>
      </c>
      <c r="J21" s="18" t="s">
        <v>100</v>
      </c>
      <c r="K21" s="18" t="s">
        <v>101</v>
      </c>
      <c r="L21" s="18" t="s">
        <v>51</v>
      </c>
      <c r="M21" s="18">
        <v>0</v>
      </c>
      <c r="N21" s="18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18">
        <v>44</v>
      </c>
      <c r="W21" s="19"/>
      <c r="X21" s="25"/>
      <c r="Y21" s="26"/>
    </row>
    <row r="22" spans="1:25" s="27" customFormat="1" ht="33" customHeight="1" thickBot="1" x14ac:dyDescent="0.35">
      <c r="A22" s="17">
        <v>11</v>
      </c>
      <c r="B22" s="18">
        <v>4230</v>
      </c>
      <c r="C22" s="19">
        <v>50055</v>
      </c>
      <c r="D22" s="18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99" t="s">
        <v>39</v>
      </c>
      <c r="J22" s="18" t="s">
        <v>100</v>
      </c>
      <c r="K22" s="18" t="s">
        <v>101</v>
      </c>
      <c r="L22" s="18" t="s">
        <v>51</v>
      </c>
      <c r="M22" s="18">
        <v>0</v>
      </c>
      <c r="N22" s="18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18"/>
      <c r="W22" s="19"/>
      <c r="X22" s="25"/>
      <c r="Y22" s="26"/>
    </row>
    <row r="23" spans="1:25" s="27" customFormat="1" ht="33" customHeight="1" thickBot="1" x14ac:dyDescent="0.35">
      <c r="A23" s="17">
        <v>12</v>
      </c>
      <c r="B23" s="18">
        <v>4230</v>
      </c>
      <c r="C23" s="19" t="s">
        <v>106</v>
      </c>
      <c r="D23" s="18" t="s">
        <v>107</v>
      </c>
      <c r="E23" s="20" t="s">
        <v>108</v>
      </c>
      <c r="F23" s="21" t="s">
        <v>109</v>
      </c>
      <c r="G23" s="22" t="s">
        <v>26</v>
      </c>
      <c r="H23" s="22"/>
      <c r="I23" s="99" t="s">
        <v>110</v>
      </c>
      <c r="J23" s="18"/>
      <c r="K23" s="18" t="s">
        <v>111</v>
      </c>
      <c r="L23" s="18" t="s">
        <v>51</v>
      </c>
      <c r="M23" s="18">
        <v>0</v>
      </c>
      <c r="N23" s="18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18">
        <v>59</v>
      </c>
      <c r="W23" s="19"/>
      <c r="X23" s="25"/>
      <c r="Y23" s="26"/>
    </row>
    <row r="24" spans="1:25" s="27" customFormat="1" ht="33" customHeight="1" thickBot="1" x14ac:dyDescent="0.35">
      <c r="A24" s="17">
        <v>13</v>
      </c>
      <c r="B24" s="18">
        <v>4230</v>
      </c>
      <c r="C24" s="19" t="s">
        <v>112</v>
      </c>
      <c r="D24" s="18" t="s">
        <v>113</v>
      </c>
      <c r="E24" s="20" t="s">
        <v>114</v>
      </c>
      <c r="F24" s="21" t="s">
        <v>115</v>
      </c>
      <c r="G24" s="22" t="s">
        <v>26</v>
      </c>
      <c r="H24" s="22"/>
      <c r="I24" s="99" t="s">
        <v>110</v>
      </c>
      <c r="J24" s="18" t="s">
        <v>116</v>
      </c>
      <c r="K24" s="18"/>
      <c r="L24" s="18" t="s">
        <v>51</v>
      </c>
      <c r="M24" s="18">
        <v>0</v>
      </c>
      <c r="N24" s="18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18">
        <v>57</v>
      </c>
      <c r="W24" s="19"/>
      <c r="X24" s="25"/>
      <c r="Y24" s="26"/>
    </row>
    <row r="25" spans="1:25" s="27" customFormat="1" ht="33" customHeight="1" thickBot="1" x14ac:dyDescent="0.35">
      <c r="A25" s="17">
        <v>13</v>
      </c>
      <c r="B25" s="18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99" t="s">
        <v>110</v>
      </c>
      <c r="J25" s="18" t="s">
        <v>116</v>
      </c>
      <c r="K25" s="18"/>
      <c r="L25" s="18" t="s">
        <v>51</v>
      </c>
      <c r="M25" s="18">
        <v>0</v>
      </c>
      <c r="N25" s="18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18"/>
      <c r="W25" s="19"/>
      <c r="X25" s="25"/>
      <c r="Y25" s="26"/>
    </row>
    <row r="26" spans="1:25" s="27" customFormat="1" ht="33" customHeight="1" thickBot="1" x14ac:dyDescent="0.35">
      <c r="A26" s="17">
        <v>14</v>
      </c>
      <c r="B26" s="18"/>
      <c r="C26" s="19"/>
      <c r="D26" s="18" t="s">
        <v>592</v>
      </c>
      <c r="E26" s="20" t="s">
        <v>119</v>
      </c>
      <c r="F26" s="21" t="s">
        <v>120</v>
      </c>
      <c r="G26" s="22" t="s">
        <v>26</v>
      </c>
      <c r="H26" s="22"/>
      <c r="I26" s="99" t="s">
        <v>75</v>
      </c>
      <c r="J26" s="18" t="s">
        <v>121</v>
      </c>
      <c r="K26" s="18" t="s">
        <v>122</v>
      </c>
      <c r="L26" s="18" t="s">
        <v>51</v>
      </c>
      <c r="M26" s="18">
        <v>0</v>
      </c>
      <c r="N26" s="18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18" t="s">
        <v>123</v>
      </c>
      <c r="W26" s="19"/>
      <c r="X26" s="25"/>
      <c r="Y26" s="26"/>
    </row>
    <row r="27" spans="1:25" s="27" customFormat="1" ht="33" customHeight="1" thickBot="1" x14ac:dyDescent="0.35">
      <c r="A27" s="17">
        <v>14</v>
      </c>
      <c r="B27" s="18"/>
      <c r="C27" s="19"/>
      <c r="D27" s="18" t="s">
        <v>124</v>
      </c>
      <c r="E27" s="20" t="s">
        <v>125</v>
      </c>
      <c r="F27" s="21" t="s">
        <v>126</v>
      </c>
      <c r="G27" s="22" t="s">
        <v>26</v>
      </c>
      <c r="H27" s="22"/>
      <c r="I27" s="99" t="s">
        <v>75</v>
      </c>
      <c r="J27" s="18" t="s">
        <v>121</v>
      </c>
      <c r="K27" s="18" t="s">
        <v>122</v>
      </c>
      <c r="L27" s="18" t="s">
        <v>51</v>
      </c>
      <c r="M27" s="18">
        <v>0</v>
      </c>
      <c r="N27" s="18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18"/>
      <c r="W27" s="19"/>
      <c r="X27" s="25"/>
      <c r="Y27" s="26"/>
    </row>
    <row r="28" spans="1:25" s="27" customFormat="1" ht="33" customHeight="1" thickBot="1" x14ac:dyDescent="0.35">
      <c r="A28" s="17">
        <v>15</v>
      </c>
      <c r="B28" s="18">
        <v>4319</v>
      </c>
      <c r="C28" s="19" t="s">
        <v>133</v>
      </c>
      <c r="D28" s="18" t="s">
        <v>134</v>
      </c>
      <c r="E28" s="20" t="s">
        <v>135</v>
      </c>
      <c r="F28" s="21" t="s">
        <v>136</v>
      </c>
      <c r="G28" s="22" t="s">
        <v>26</v>
      </c>
      <c r="H28" s="22"/>
      <c r="I28" s="99" t="s">
        <v>130</v>
      </c>
      <c r="J28" s="18" t="s">
        <v>131</v>
      </c>
      <c r="K28" s="18" t="s">
        <v>132</v>
      </c>
      <c r="L28" s="18" t="s">
        <v>51</v>
      </c>
      <c r="M28" s="18">
        <v>0</v>
      </c>
      <c r="N28" s="18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18">
        <v>33</v>
      </c>
      <c r="W28" s="19"/>
      <c r="X28" s="25"/>
      <c r="Y28" s="26"/>
    </row>
    <row r="29" spans="1:25" s="27" customFormat="1" ht="33" customHeight="1" thickBot="1" x14ac:dyDescent="0.35">
      <c r="A29" s="17">
        <v>15</v>
      </c>
      <c r="B29" s="18">
        <v>4319</v>
      </c>
      <c r="C29" s="19">
        <v>50185</v>
      </c>
      <c r="D29" s="18" t="s">
        <v>127</v>
      </c>
      <c r="E29" s="20" t="s">
        <v>128</v>
      </c>
      <c r="F29" s="21" t="s">
        <v>129</v>
      </c>
      <c r="G29" s="22" t="s">
        <v>26</v>
      </c>
      <c r="H29" s="22"/>
      <c r="I29" s="99" t="s">
        <v>130</v>
      </c>
      <c r="J29" s="18" t="s">
        <v>131</v>
      </c>
      <c r="K29" s="18" t="s">
        <v>132</v>
      </c>
      <c r="L29" s="18" t="s">
        <v>51</v>
      </c>
      <c r="M29" s="18">
        <v>0</v>
      </c>
      <c r="N29" s="18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18"/>
      <c r="W29" s="19"/>
      <c r="X29" s="25"/>
      <c r="Y29" s="26"/>
    </row>
    <row r="30" spans="1:25" s="27" customFormat="1" ht="33" customHeight="1" thickBot="1" x14ac:dyDescent="0.35">
      <c r="A30" s="17">
        <v>16</v>
      </c>
      <c r="B30" s="18">
        <v>4319</v>
      </c>
      <c r="C30" s="19" t="s">
        <v>147</v>
      </c>
      <c r="D30" s="18" t="s">
        <v>148</v>
      </c>
      <c r="E30" s="20" t="s">
        <v>149</v>
      </c>
      <c r="F30" s="21" t="s">
        <v>150</v>
      </c>
      <c r="G30" s="22" t="s">
        <v>26</v>
      </c>
      <c r="H30" s="22"/>
      <c r="I30" s="99" t="s">
        <v>151</v>
      </c>
      <c r="J30" s="18" t="s">
        <v>152</v>
      </c>
      <c r="K30" s="18" t="s">
        <v>153</v>
      </c>
      <c r="L30" s="18" t="s">
        <v>51</v>
      </c>
      <c r="M30" s="18">
        <v>0</v>
      </c>
      <c r="N30" s="18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18">
        <v>11</v>
      </c>
      <c r="W30" s="19"/>
      <c r="X30" s="25"/>
      <c r="Y30" s="26"/>
    </row>
    <row r="31" spans="1:25" s="27" customFormat="1" ht="33" customHeight="1" thickBot="1" x14ac:dyDescent="0.35">
      <c r="A31" s="17">
        <v>16</v>
      </c>
      <c r="B31" s="18">
        <v>4319</v>
      </c>
      <c r="C31" s="19" t="s">
        <v>154</v>
      </c>
      <c r="D31" s="18" t="s">
        <v>155</v>
      </c>
      <c r="E31" s="20" t="s">
        <v>156</v>
      </c>
      <c r="F31" s="21" t="s">
        <v>157</v>
      </c>
      <c r="G31" s="22" t="s">
        <v>26</v>
      </c>
      <c r="H31" s="22"/>
      <c r="I31" s="99" t="s">
        <v>151</v>
      </c>
      <c r="J31" s="18" t="s">
        <v>152</v>
      </c>
      <c r="K31" s="18" t="s">
        <v>153</v>
      </c>
      <c r="L31" s="18" t="s">
        <v>51</v>
      </c>
      <c r="M31" s="18">
        <v>0</v>
      </c>
      <c r="N31" s="18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18"/>
      <c r="W31" s="19"/>
      <c r="X31" s="25"/>
      <c r="Y31" s="26"/>
    </row>
    <row r="32" spans="1:25" s="27" customFormat="1" ht="33" customHeight="1" thickBot="1" x14ac:dyDescent="0.35">
      <c r="A32" s="17">
        <v>17</v>
      </c>
      <c r="B32" s="18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99" t="s">
        <v>165</v>
      </c>
      <c r="J32" s="18"/>
      <c r="K32" s="18" t="s">
        <v>166</v>
      </c>
      <c r="L32" s="18" t="s">
        <v>28</v>
      </c>
      <c r="M32" s="18">
        <v>1</v>
      </c>
      <c r="N32" s="18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18" t="s">
        <v>167</v>
      </c>
      <c r="W32" s="19"/>
      <c r="X32" s="25"/>
      <c r="Y32" s="26"/>
    </row>
    <row r="33" spans="1:25" s="27" customFormat="1" ht="33" customHeight="1" thickBot="1" x14ac:dyDescent="0.35">
      <c r="A33" s="17">
        <v>18</v>
      </c>
      <c r="B33" s="18">
        <v>4319</v>
      </c>
      <c r="C33" s="19">
        <v>50191</v>
      </c>
      <c r="D33" s="18" t="s">
        <v>172</v>
      </c>
      <c r="E33" s="20" t="s">
        <v>173</v>
      </c>
      <c r="F33" s="21" t="s">
        <v>174</v>
      </c>
      <c r="G33" s="22" t="s">
        <v>26</v>
      </c>
      <c r="H33" s="22"/>
      <c r="I33" s="99">
        <v>503</v>
      </c>
      <c r="J33" s="18"/>
      <c r="K33" s="18">
        <v>556</v>
      </c>
      <c r="L33" s="18" t="s">
        <v>51</v>
      </c>
      <c r="M33" s="18">
        <v>0</v>
      </c>
      <c r="N33" s="18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18">
        <v>43</v>
      </c>
      <c r="W33" s="19"/>
      <c r="X33" s="25"/>
      <c r="Y33" s="26"/>
    </row>
    <row r="34" spans="1:25" s="27" customFormat="1" ht="33" customHeight="1" thickBot="1" x14ac:dyDescent="0.35">
      <c r="A34" s="17">
        <v>18</v>
      </c>
      <c r="B34" s="18">
        <v>4319</v>
      </c>
      <c r="C34" s="19" t="s">
        <v>168</v>
      </c>
      <c r="D34" s="18" t="s">
        <v>169</v>
      </c>
      <c r="E34" s="20" t="s">
        <v>170</v>
      </c>
      <c r="F34" s="21" t="s">
        <v>171</v>
      </c>
      <c r="G34" s="22" t="s">
        <v>26</v>
      </c>
      <c r="H34" s="22"/>
      <c r="I34" s="99">
        <v>503</v>
      </c>
      <c r="J34" s="18"/>
      <c r="K34" s="18">
        <v>556</v>
      </c>
      <c r="L34" s="18" t="s">
        <v>51</v>
      </c>
      <c r="M34" s="18">
        <v>0</v>
      </c>
      <c r="N34" s="18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18"/>
      <c r="W34" s="19"/>
      <c r="X34" s="25"/>
      <c r="Y34" s="26"/>
    </row>
    <row r="35" spans="1:25" s="27" customFormat="1" ht="33" customHeight="1" thickBot="1" x14ac:dyDescent="0.35">
      <c r="A35" s="17">
        <v>19</v>
      </c>
      <c r="B35" s="18">
        <v>4319</v>
      </c>
      <c r="C35" s="19"/>
      <c r="D35" s="18"/>
      <c r="E35" s="20"/>
      <c r="F35" s="21" t="s">
        <v>175</v>
      </c>
      <c r="G35" s="22"/>
      <c r="H35" s="22"/>
      <c r="I35" s="99">
        <v>515</v>
      </c>
      <c r="J35" s="18"/>
      <c r="K35" s="18">
        <v>566</v>
      </c>
      <c r="L35" s="18" t="s">
        <v>51</v>
      </c>
      <c r="M35" s="18">
        <v>0</v>
      </c>
      <c r="N35" s="18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18" t="s">
        <v>177</v>
      </c>
      <c r="W35" s="19"/>
      <c r="X35" s="25" t="s">
        <v>178</v>
      </c>
      <c r="Y35" s="26"/>
    </row>
    <row r="36" spans="1:25" s="27" customFormat="1" ht="33" customHeight="1" thickBot="1" x14ac:dyDescent="0.35">
      <c r="A36" s="17">
        <v>19</v>
      </c>
      <c r="B36" s="18">
        <v>4319</v>
      </c>
      <c r="C36" s="19"/>
      <c r="D36" s="18"/>
      <c r="E36" s="20"/>
      <c r="F36" s="21" t="s">
        <v>179</v>
      </c>
      <c r="G36" s="22"/>
      <c r="H36" s="22"/>
      <c r="I36" s="99">
        <v>515</v>
      </c>
      <c r="J36" s="18"/>
      <c r="K36" s="18">
        <v>566</v>
      </c>
      <c r="L36" s="18" t="s">
        <v>51</v>
      </c>
      <c r="M36" s="18">
        <v>0</v>
      </c>
      <c r="N36" s="18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18" t="s">
        <v>162</v>
      </c>
      <c r="W36" s="19"/>
      <c r="X36" s="25"/>
      <c r="Y36" s="26"/>
    </row>
    <row r="37" spans="1:25" s="27" customFormat="1" ht="33" customHeight="1" thickBot="1" x14ac:dyDescent="0.35">
      <c r="A37" s="17">
        <v>20</v>
      </c>
      <c r="B37" s="18">
        <v>4319</v>
      </c>
      <c r="C37" s="19"/>
      <c r="D37" s="18" t="s">
        <v>180</v>
      </c>
      <c r="E37" s="20" t="s">
        <v>181</v>
      </c>
      <c r="F37" s="21" t="s">
        <v>182</v>
      </c>
      <c r="G37" s="22" t="s">
        <v>553</v>
      </c>
      <c r="H37" s="22"/>
      <c r="I37" s="99">
        <v>509</v>
      </c>
      <c r="J37" s="18"/>
      <c r="K37" s="18">
        <v>546</v>
      </c>
      <c r="L37" s="18" t="s">
        <v>51</v>
      </c>
      <c r="M37" s="18">
        <v>0</v>
      </c>
      <c r="N37" s="18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18" t="s">
        <v>183</v>
      </c>
      <c r="W37" s="19"/>
      <c r="X37" s="25"/>
      <c r="Y37" s="26"/>
    </row>
    <row r="38" spans="1:25" s="27" customFormat="1" ht="33" customHeight="1" thickBot="1" x14ac:dyDescent="0.35">
      <c r="A38" s="17">
        <v>20</v>
      </c>
      <c r="B38" s="18">
        <v>4319</v>
      </c>
      <c r="C38" s="19"/>
      <c r="D38" s="18" t="s">
        <v>184</v>
      </c>
      <c r="E38" s="20" t="s">
        <v>185</v>
      </c>
      <c r="F38" s="21" t="s">
        <v>186</v>
      </c>
      <c r="G38" s="22" t="s">
        <v>553</v>
      </c>
      <c r="H38" s="22"/>
      <c r="I38" s="99">
        <v>509</v>
      </c>
      <c r="J38" s="18"/>
      <c r="K38" s="18">
        <v>546</v>
      </c>
      <c r="L38" s="18" t="s">
        <v>51</v>
      </c>
      <c r="M38" s="18">
        <v>0</v>
      </c>
      <c r="N38" s="18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18"/>
      <c r="W38" s="19"/>
      <c r="X38" s="25"/>
      <c r="Y38" s="26"/>
    </row>
    <row r="39" spans="1:25" s="27" customFormat="1" ht="33" customHeight="1" thickBot="1" x14ac:dyDescent="0.35">
      <c r="A39" s="17">
        <v>21</v>
      </c>
      <c r="B39" s="18">
        <v>4319</v>
      </c>
      <c r="C39" s="19"/>
      <c r="D39" s="18" t="s">
        <v>187</v>
      </c>
      <c r="E39" s="20" t="s">
        <v>188</v>
      </c>
      <c r="F39" s="21" t="s">
        <v>189</v>
      </c>
      <c r="G39" s="22" t="s">
        <v>553</v>
      </c>
      <c r="H39" s="22"/>
      <c r="I39" s="99">
        <v>511</v>
      </c>
      <c r="J39" s="18">
        <v>546</v>
      </c>
      <c r="K39" s="18">
        <v>544</v>
      </c>
      <c r="L39" s="18" t="s">
        <v>51</v>
      </c>
      <c r="M39" s="18">
        <v>0</v>
      </c>
      <c r="N39" s="18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18" t="s">
        <v>190</v>
      </c>
      <c r="W39" s="19"/>
      <c r="X39" s="25"/>
      <c r="Y39" s="26"/>
    </row>
    <row r="40" spans="1:25" s="27" customFormat="1" ht="33" customHeight="1" thickBot="1" x14ac:dyDescent="0.35">
      <c r="A40" s="17">
        <v>21</v>
      </c>
      <c r="B40" s="18">
        <v>4319</v>
      </c>
      <c r="C40" s="19"/>
      <c r="D40" s="18" t="s">
        <v>191</v>
      </c>
      <c r="E40" s="20" t="s">
        <v>192</v>
      </c>
      <c r="F40" s="21" t="s">
        <v>193</v>
      </c>
      <c r="G40" s="22" t="s">
        <v>553</v>
      </c>
      <c r="H40" s="22"/>
      <c r="I40" s="99">
        <v>511</v>
      </c>
      <c r="J40" s="18">
        <v>546</v>
      </c>
      <c r="K40" s="18">
        <v>544</v>
      </c>
      <c r="L40" s="18" t="s">
        <v>51</v>
      </c>
      <c r="M40" s="18">
        <v>0</v>
      </c>
      <c r="N40" s="18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18"/>
      <c r="W40" s="19"/>
      <c r="X40" s="25"/>
      <c r="Y40" s="26"/>
    </row>
    <row r="41" spans="1:25" s="27" customFormat="1" ht="33" customHeight="1" thickBot="1" x14ac:dyDescent="0.35">
      <c r="A41" s="17">
        <v>22</v>
      </c>
      <c r="B41" s="18">
        <v>4319</v>
      </c>
      <c r="C41" s="19"/>
      <c r="D41" s="18" t="s">
        <v>194</v>
      </c>
      <c r="E41" s="20" t="s">
        <v>195</v>
      </c>
      <c r="F41" s="21" t="s">
        <v>196</v>
      </c>
      <c r="G41" s="22" t="s">
        <v>553</v>
      </c>
      <c r="H41" s="22"/>
      <c r="I41" s="99" t="s">
        <v>197</v>
      </c>
      <c r="J41" s="18" t="s">
        <v>198</v>
      </c>
      <c r="K41" s="18" t="s">
        <v>199</v>
      </c>
      <c r="L41" s="18" t="s">
        <v>51</v>
      </c>
      <c r="M41" s="18">
        <v>0</v>
      </c>
      <c r="N41" s="18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18" t="s">
        <v>200</v>
      </c>
      <c r="W41" s="19"/>
      <c r="X41" s="25"/>
      <c r="Y41" s="26"/>
    </row>
    <row r="42" spans="1:25" s="27" customFormat="1" ht="33" customHeight="1" thickBot="1" x14ac:dyDescent="0.35">
      <c r="A42" s="17">
        <v>22</v>
      </c>
      <c r="B42" s="18">
        <v>4319</v>
      </c>
      <c r="C42" s="19"/>
      <c r="D42" s="18" t="s">
        <v>201</v>
      </c>
      <c r="E42" s="20" t="s">
        <v>202</v>
      </c>
      <c r="F42" s="21" t="s">
        <v>203</v>
      </c>
      <c r="G42" s="22" t="s">
        <v>553</v>
      </c>
      <c r="H42" s="22"/>
      <c r="I42" s="99" t="s">
        <v>197</v>
      </c>
      <c r="J42" s="18" t="s">
        <v>198</v>
      </c>
      <c r="K42" s="18" t="s">
        <v>199</v>
      </c>
      <c r="L42" s="18" t="s">
        <v>51</v>
      </c>
      <c r="M42" s="18">
        <v>0</v>
      </c>
      <c r="N42" s="18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18"/>
      <c r="W42" s="19"/>
      <c r="X42" s="25"/>
      <c r="Y42" s="26"/>
    </row>
    <row r="43" spans="1:25" s="27" customFormat="1" ht="33" customHeight="1" thickBot="1" x14ac:dyDescent="0.35">
      <c r="A43" s="17">
        <v>23</v>
      </c>
      <c r="B43" s="18">
        <v>4145</v>
      </c>
      <c r="C43" s="19"/>
      <c r="D43" s="18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99" t="s">
        <v>206</v>
      </c>
      <c r="J43" s="18"/>
      <c r="K43" s="18" t="s">
        <v>207</v>
      </c>
      <c r="L43" s="18" t="s">
        <v>51</v>
      </c>
      <c r="M43" s="18">
        <v>0</v>
      </c>
      <c r="N43" s="18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18"/>
      <c r="W43" s="19"/>
      <c r="X43" s="25"/>
      <c r="Y43" s="26"/>
    </row>
    <row r="44" spans="1:25" s="27" customFormat="1" ht="33" customHeight="1" thickBot="1" x14ac:dyDescent="0.35">
      <c r="A44" s="17">
        <v>23</v>
      </c>
      <c r="B44" s="18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99" t="s">
        <v>206</v>
      </c>
      <c r="J44" s="18"/>
      <c r="K44" s="18" t="s">
        <v>207</v>
      </c>
      <c r="L44" s="18" t="s">
        <v>51</v>
      </c>
      <c r="M44" s="18">
        <v>0</v>
      </c>
      <c r="N44" s="18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18"/>
      <c r="W44" s="19"/>
      <c r="X44" s="25"/>
      <c r="Y44" s="26"/>
    </row>
    <row r="45" spans="1:25" s="27" customFormat="1" ht="33" customHeight="1" thickBot="1" x14ac:dyDescent="0.35">
      <c r="A45" s="17">
        <v>24</v>
      </c>
      <c r="B45" s="18"/>
      <c r="C45" s="19"/>
      <c r="D45" s="18"/>
      <c r="E45" s="20"/>
      <c r="F45" s="21" t="s">
        <v>211</v>
      </c>
      <c r="G45" s="22" t="s">
        <v>26</v>
      </c>
      <c r="H45" s="22"/>
      <c r="I45" s="99" t="s">
        <v>212</v>
      </c>
      <c r="J45" s="18"/>
      <c r="K45" s="18" t="s">
        <v>213</v>
      </c>
      <c r="L45" s="18" t="s">
        <v>28</v>
      </c>
      <c r="M45" s="18">
        <v>1</v>
      </c>
      <c r="N45" s="18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18"/>
      <c r="W45" s="19"/>
      <c r="X45" s="25"/>
      <c r="Y45" s="26"/>
    </row>
    <row r="46" spans="1:25" s="27" customFormat="1" ht="33" customHeight="1" thickBot="1" x14ac:dyDescent="0.35">
      <c r="A46" s="17">
        <v>25</v>
      </c>
      <c r="B46" s="18">
        <v>4145</v>
      </c>
      <c r="C46" s="19"/>
      <c r="D46" s="18" t="s">
        <v>545</v>
      </c>
      <c r="E46" s="20" t="s">
        <v>547</v>
      </c>
      <c r="F46" s="21" t="s">
        <v>214</v>
      </c>
      <c r="G46" s="22" t="s">
        <v>26</v>
      </c>
      <c r="H46" s="22"/>
      <c r="I46" s="99" t="s">
        <v>215</v>
      </c>
      <c r="J46" s="18"/>
      <c r="K46" s="18" t="s">
        <v>216</v>
      </c>
      <c r="L46" s="18" t="s">
        <v>51</v>
      </c>
      <c r="M46" s="18">
        <v>0</v>
      </c>
      <c r="N46" s="18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18"/>
      <c r="W46" s="19"/>
      <c r="X46" s="25"/>
      <c r="Y46" s="26"/>
    </row>
    <row r="47" spans="1:25" s="27" customFormat="1" ht="33" customHeight="1" thickBot="1" x14ac:dyDescent="0.35">
      <c r="A47" s="17">
        <v>25</v>
      </c>
      <c r="B47" s="18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99" t="s">
        <v>215</v>
      </c>
      <c r="J47" s="18"/>
      <c r="K47" s="18" t="s">
        <v>216</v>
      </c>
      <c r="L47" s="18" t="s">
        <v>51</v>
      </c>
      <c r="M47" s="18">
        <v>0</v>
      </c>
      <c r="N47" s="18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18"/>
      <c r="W47" s="19"/>
      <c r="X47" s="25"/>
      <c r="Y47" s="26"/>
    </row>
    <row r="48" spans="1:25" s="27" customFormat="1" ht="33" customHeight="1" thickBot="1" x14ac:dyDescent="0.35">
      <c r="A48" s="17">
        <v>26</v>
      </c>
      <c r="B48" s="18">
        <v>4145</v>
      </c>
      <c r="C48" s="19"/>
      <c r="D48" s="18" t="s">
        <v>548</v>
      </c>
      <c r="E48" s="20" t="s">
        <v>550</v>
      </c>
      <c r="F48" s="21" t="s">
        <v>218</v>
      </c>
      <c r="G48" s="22" t="s">
        <v>26</v>
      </c>
      <c r="H48" s="22"/>
      <c r="I48" s="99" t="s">
        <v>219</v>
      </c>
      <c r="J48" s="18"/>
      <c r="K48" s="18" t="s">
        <v>220</v>
      </c>
      <c r="L48" s="18" t="s">
        <v>51</v>
      </c>
      <c r="M48" s="18">
        <v>0</v>
      </c>
      <c r="N48" s="18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18"/>
      <c r="W48" s="19"/>
      <c r="X48" s="25"/>
      <c r="Y48" s="26"/>
    </row>
    <row r="49" spans="1:25" s="27" customFormat="1" ht="33" customHeight="1" thickBot="1" x14ac:dyDescent="0.35">
      <c r="A49" s="17">
        <v>26</v>
      </c>
      <c r="B49" s="18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99" t="s">
        <v>219</v>
      </c>
      <c r="J49" s="18"/>
      <c r="K49" s="18" t="s">
        <v>220</v>
      </c>
      <c r="L49" s="18" t="s">
        <v>51</v>
      </c>
      <c r="M49" s="18">
        <v>0</v>
      </c>
      <c r="N49" s="18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18"/>
      <c r="W49" s="19"/>
      <c r="X49" s="25"/>
      <c r="Y49" s="26"/>
    </row>
    <row r="50" spans="1:25" s="27" customFormat="1" ht="33" customHeight="1" thickBot="1" x14ac:dyDescent="0.35">
      <c r="A50" s="17">
        <v>27</v>
      </c>
      <c r="B50" s="18">
        <v>4145</v>
      </c>
      <c r="C50" s="19"/>
      <c r="D50" s="18"/>
      <c r="E50" s="20"/>
      <c r="F50" s="21" t="s">
        <v>222</v>
      </c>
      <c r="G50" s="22" t="s">
        <v>26</v>
      </c>
      <c r="H50" s="22"/>
      <c r="I50" s="99" t="s">
        <v>223</v>
      </c>
      <c r="J50" s="18"/>
      <c r="K50" s="18" t="s">
        <v>224</v>
      </c>
      <c r="L50" s="18" t="s">
        <v>51</v>
      </c>
      <c r="M50" s="18">
        <v>0</v>
      </c>
      <c r="N50" s="18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18"/>
      <c r="W50" s="19"/>
      <c r="X50" s="25"/>
      <c r="Y50" s="26"/>
    </row>
    <row r="51" spans="1:25" s="27" customFormat="1" ht="33" customHeight="1" thickBot="1" x14ac:dyDescent="0.35">
      <c r="A51" s="17">
        <v>27</v>
      </c>
      <c r="B51" s="18">
        <v>4145</v>
      </c>
      <c r="C51" s="19"/>
      <c r="D51" s="18"/>
      <c r="E51" s="20"/>
      <c r="F51" s="21" t="s">
        <v>225</v>
      </c>
      <c r="G51" s="22" t="s">
        <v>26</v>
      </c>
      <c r="H51" s="22"/>
      <c r="I51" s="99" t="s">
        <v>223</v>
      </c>
      <c r="J51" s="18"/>
      <c r="K51" s="18" t="s">
        <v>224</v>
      </c>
      <c r="L51" s="18" t="s">
        <v>51</v>
      </c>
      <c r="M51" s="18">
        <v>0</v>
      </c>
      <c r="N51" s="18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18"/>
      <c r="W51" s="19"/>
      <c r="X51" s="25"/>
      <c r="Y51" s="26"/>
    </row>
    <row r="52" spans="1:25" s="27" customFormat="1" ht="33" customHeight="1" thickBot="1" x14ac:dyDescent="0.35">
      <c r="A52" s="17">
        <v>28</v>
      </c>
      <c r="B52" s="18">
        <v>4145</v>
      </c>
      <c r="C52" s="19"/>
      <c r="D52" s="23"/>
      <c r="E52" s="20"/>
      <c r="F52" s="21" t="s">
        <v>226</v>
      </c>
      <c r="G52" s="22" t="s">
        <v>26</v>
      </c>
      <c r="H52" s="22"/>
      <c r="I52" s="99">
        <v>820</v>
      </c>
      <c r="J52" s="18"/>
      <c r="K52" s="18" t="s">
        <v>227</v>
      </c>
      <c r="L52" s="18" t="s">
        <v>51</v>
      </c>
      <c r="M52" s="18">
        <v>0</v>
      </c>
      <c r="N52" s="18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18"/>
      <c r="W52" s="19"/>
      <c r="X52" s="25"/>
      <c r="Y52" s="26"/>
    </row>
    <row r="53" spans="1:25" s="27" customFormat="1" ht="33" customHeight="1" thickBot="1" x14ac:dyDescent="0.35">
      <c r="A53" s="17">
        <v>28</v>
      </c>
      <c r="B53" s="18">
        <v>4145</v>
      </c>
      <c r="C53" s="19"/>
      <c r="D53" s="18"/>
      <c r="E53" s="20"/>
      <c r="F53" s="21" t="s">
        <v>228</v>
      </c>
      <c r="G53" s="22" t="s">
        <v>26</v>
      </c>
      <c r="H53" s="22"/>
      <c r="I53" s="99">
        <v>820</v>
      </c>
      <c r="J53" s="18"/>
      <c r="K53" s="18" t="s">
        <v>227</v>
      </c>
      <c r="L53" s="18" t="s">
        <v>51</v>
      </c>
      <c r="M53" s="18">
        <v>0</v>
      </c>
      <c r="N53" s="18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18"/>
      <c r="W53" s="19"/>
      <c r="X53" s="25"/>
      <c r="Y53" s="26"/>
    </row>
    <row r="54" spans="1:25" s="27" customFormat="1" ht="33" customHeight="1" thickBot="1" x14ac:dyDescent="0.35">
      <c r="A54" s="17">
        <v>29</v>
      </c>
      <c r="B54" s="18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99" t="s">
        <v>230</v>
      </c>
      <c r="J54" s="18"/>
      <c r="K54" s="18" t="s">
        <v>231</v>
      </c>
      <c r="L54" s="18" t="s">
        <v>28</v>
      </c>
      <c r="M54" s="18">
        <v>1</v>
      </c>
      <c r="N54" s="18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18"/>
      <c r="W54" s="19"/>
      <c r="X54" s="25"/>
      <c r="Y54" s="26"/>
    </row>
    <row r="55" spans="1:25" s="27" customFormat="1" ht="33" customHeight="1" thickBot="1" x14ac:dyDescent="0.35">
      <c r="A55" s="17">
        <v>30</v>
      </c>
      <c r="B55" s="18">
        <v>4145</v>
      </c>
      <c r="C55" s="19"/>
      <c r="D55" s="18" t="s">
        <v>502</v>
      </c>
      <c r="E55" s="20" t="s">
        <v>505</v>
      </c>
      <c r="F55" s="21" t="s">
        <v>232</v>
      </c>
      <c r="G55" s="22" t="s">
        <v>26</v>
      </c>
      <c r="H55" s="22"/>
      <c r="I55" s="99" t="s">
        <v>230</v>
      </c>
      <c r="J55" s="18"/>
      <c r="K55" s="18" t="s">
        <v>233</v>
      </c>
      <c r="L55" s="18" t="s">
        <v>28</v>
      </c>
      <c r="M55" s="18">
        <v>1</v>
      </c>
      <c r="N55" s="18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18"/>
      <c r="W55" s="19"/>
      <c r="X55" s="25"/>
      <c r="Y55" s="26"/>
    </row>
    <row r="56" spans="1:25" s="27" customFormat="1" ht="33" customHeight="1" thickBot="1" x14ac:dyDescent="0.35">
      <c r="A56" s="17">
        <v>31</v>
      </c>
      <c r="B56" s="18">
        <v>4145</v>
      </c>
      <c r="C56" s="19"/>
      <c r="D56" s="18" t="s">
        <v>503</v>
      </c>
      <c r="E56" s="20" t="s">
        <v>504</v>
      </c>
      <c r="F56" s="21" t="s">
        <v>234</v>
      </c>
      <c r="G56" s="22" t="s">
        <v>26</v>
      </c>
      <c r="H56" s="22"/>
      <c r="I56" s="99" t="s">
        <v>230</v>
      </c>
      <c r="J56" s="18"/>
      <c r="K56" s="18" t="s">
        <v>235</v>
      </c>
      <c r="L56" s="18" t="s">
        <v>28</v>
      </c>
      <c r="M56" s="18">
        <v>1</v>
      </c>
      <c r="N56" s="18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18"/>
      <c r="W56" s="19"/>
      <c r="X56" s="25"/>
      <c r="Y56" s="26"/>
    </row>
    <row r="57" spans="1:25" s="27" customFormat="1" ht="33" customHeight="1" thickBot="1" x14ac:dyDescent="0.35">
      <c r="A57" s="17">
        <v>32</v>
      </c>
      <c r="B57" s="18">
        <v>4145</v>
      </c>
      <c r="C57" s="19"/>
      <c r="D57" s="18" t="s">
        <v>506</v>
      </c>
      <c r="E57" s="20" t="s">
        <v>507</v>
      </c>
      <c r="F57" s="21" t="s">
        <v>236</v>
      </c>
      <c r="G57" s="22" t="s">
        <v>26</v>
      </c>
      <c r="H57" s="22"/>
      <c r="I57" s="99" t="s">
        <v>237</v>
      </c>
      <c r="J57" s="18"/>
      <c r="K57" s="18" t="s">
        <v>238</v>
      </c>
      <c r="L57" s="18" t="s">
        <v>28</v>
      </c>
      <c r="M57" s="18">
        <v>1</v>
      </c>
      <c r="N57" s="18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18"/>
      <c r="W57" s="19"/>
      <c r="X57" s="25"/>
      <c r="Y57" s="26"/>
    </row>
    <row r="58" spans="1:25" s="27" customFormat="1" ht="33" customHeight="1" thickBot="1" x14ac:dyDescent="0.35">
      <c r="A58" s="17">
        <v>33</v>
      </c>
      <c r="B58" s="18">
        <v>4145</v>
      </c>
      <c r="C58" s="19"/>
      <c r="D58" s="18" t="s">
        <v>494</v>
      </c>
      <c r="E58" s="20" t="s">
        <v>508</v>
      </c>
      <c r="F58" s="21" t="s">
        <v>239</v>
      </c>
      <c r="G58" s="22" t="s">
        <v>26</v>
      </c>
      <c r="H58" s="22"/>
      <c r="I58" s="99" t="s">
        <v>240</v>
      </c>
      <c r="J58" s="18" t="s">
        <v>241</v>
      </c>
      <c r="K58" s="18" t="s">
        <v>242</v>
      </c>
      <c r="L58" s="18" t="s">
        <v>51</v>
      </c>
      <c r="M58" s="18">
        <v>0</v>
      </c>
      <c r="N58" s="18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18">
        <v>53</v>
      </c>
      <c r="W58" s="19"/>
      <c r="X58" s="25"/>
      <c r="Y58" s="26"/>
    </row>
    <row r="59" spans="1:25" s="27" customFormat="1" ht="33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99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18"/>
      <c r="W59" s="19"/>
      <c r="X59" s="25"/>
      <c r="Y59" s="26"/>
    </row>
    <row r="60" spans="1:25" s="27" customFormat="1" ht="33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99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customHeight="1" thickBot="1" x14ac:dyDescent="0.35">
      <c r="A61" s="17">
        <v>35</v>
      </c>
      <c r="B61" s="18">
        <v>4231</v>
      </c>
      <c r="C61" s="19">
        <v>49799</v>
      </c>
      <c r="D61" s="18" t="s">
        <v>249</v>
      </c>
      <c r="E61" s="20" t="s">
        <v>250</v>
      </c>
      <c r="F61" s="21" t="s">
        <v>251</v>
      </c>
      <c r="G61" s="22" t="s">
        <v>26</v>
      </c>
      <c r="H61" s="22"/>
      <c r="I61" s="99">
        <v>1282</v>
      </c>
      <c r="J61" s="18"/>
      <c r="K61" s="18" t="s">
        <v>252</v>
      </c>
      <c r="L61" s="18" t="s">
        <v>28</v>
      </c>
      <c r="M61" s="18">
        <v>1</v>
      </c>
      <c r="N61" s="18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18"/>
      <c r="W61" s="19"/>
      <c r="X61" s="25"/>
      <c r="Y61" s="26"/>
    </row>
    <row r="62" spans="1:25" s="27" customFormat="1" ht="33" customHeight="1" thickBot="1" x14ac:dyDescent="0.35">
      <c r="A62" s="17">
        <v>36</v>
      </c>
      <c r="B62" s="18">
        <v>4231</v>
      </c>
      <c r="C62" s="19">
        <v>49822</v>
      </c>
      <c r="D62" s="18" t="s">
        <v>253</v>
      </c>
      <c r="E62" s="20" t="s">
        <v>254</v>
      </c>
      <c r="F62" s="21" t="s">
        <v>255</v>
      </c>
      <c r="G62" s="22" t="s">
        <v>26</v>
      </c>
      <c r="H62" s="22"/>
      <c r="I62" s="99">
        <v>1282</v>
      </c>
      <c r="J62" s="18"/>
      <c r="K62" s="18" t="s">
        <v>256</v>
      </c>
      <c r="L62" s="18" t="s">
        <v>28</v>
      </c>
      <c r="M62" s="18">
        <v>1</v>
      </c>
      <c r="N62" s="18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18" t="s">
        <v>257</v>
      </c>
      <c r="W62" s="19"/>
      <c r="X62" s="25"/>
      <c r="Y62" s="26"/>
    </row>
    <row r="63" spans="1:25" s="27" customFormat="1" ht="33" customHeight="1" thickBot="1" x14ac:dyDescent="0.35">
      <c r="A63" s="17">
        <v>37</v>
      </c>
      <c r="B63" s="18">
        <v>4231</v>
      </c>
      <c r="C63" s="19">
        <v>49817</v>
      </c>
      <c r="D63" s="18" t="s">
        <v>258</v>
      </c>
      <c r="E63" s="20" t="s">
        <v>259</v>
      </c>
      <c r="F63" s="21" t="s">
        <v>260</v>
      </c>
      <c r="G63" s="22" t="s">
        <v>26</v>
      </c>
      <c r="H63" s="22"/>
      <c r="I63" s="99">
        <v>1282</v>
      </c>
      <c r="J63" s="18"/>
      <c r="K63" s="18" t="s">
        <v>261</v>
      </c>
      <c r="L63" s="18" t="s">
        <v>28</v>
      </c>
      <c r="M63" s="18">
        <v>1</v>
      </c>
      <c r="N63" s="18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18"/>
      <c r="W63" s="19"/>
      <c r="X63" s="25"/>
      <c r="Y63" s="26"/>
    </row>
    <row r="64" spans="1:25" s="27" customFormat="1" ht="33" customHeight="1" thickBot="1" x14ac:dyDescent="0.35">
      <c r="A64" s="17">
        <v>38</v>
      </c>
      <c r="B64" s="18">
        <v>4231</v>
      </c>
      <c r="C64" s="19">
        <v>49824</v>
      </c>
      <c r="D64" s="18" t="s">
        <v>262</v>
      </c>
      <c r="E64" s="20" t="s">
        <v>263</v>
      </c>
      <c r="F64" s="21" t="s">
        <v>264</v>
      </c>
      <c r="G64" s="22" t="s">
        <v>26</v>
      </c>
      <c r="H64" s="22"/>
      <c r="I64" s="99">
        <v>1138</v>
      </c>
      <c r="J64" s="18"/>
      <c r="K64" s="18">
        <v>1155</v>
      </c>
      <c r="L64" s="18" t="s">
        <v>28</v>
      </c>
      <c r="M64" s="18">
        <v>1</v>
      </c>
      <c r="N64" s="18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18"/>
      <c r="W64" s="19"/>
      <c r="X64" s="25"/>
      <c r="Y64" s="26"/>
    </row>
    <row r="65" spans="1:25" s="27" customFormat="1" ht="33" customHeight="1" thickBot="1" x14ac:dyDescent="0.35">
      <c r="A65" s="17">
        <v>39</v>
      </c>
      <c r="B65" s="18">
        <v>4231</v>
      </c>
      <c r="C65" s="19">
        <v>49818</v>
      </c>
      <c r="D65" s="18" t="s">
        <v>265</v>
      </c>
      <c r="E65" s="20" t="s">
        <v>266</v>
      </c>
      <c r="F65" s="21" t="s">
        <v>267</v>
      </c>
      <c r="G65" s="22" t="s">
        <v>26</v>
      </c>
      <c r="H65" s="22"/>
      <c r="I65" s="99">
        <v>1155</v>
      </c>
      <c r="J65" s="18"/>
      <c r="K65" s="18">
        <v>1144</v>
      </c>
      <c r="L65" s="18" t="s">
        <v>28</v>
      </c>
      <c r="M65" s="18">
        <v>1</v>
      </c>
      <c r="N65" s="18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18"/>
      <c r="W65" s="19"/>
      <c r="X65" s="25"/>
      <c r="Y65" s="26"/>
    </row>
    <row r="66" spans="1:25" s="27" customFormat="1" ht="33" customHeight="1" thickBot="1" x14ac:dyDescent="0.35">
      <c r="A66" s="17">
        <v>40</v>
      </c>
      <c r="B66" s="18">
        <v>4319</v>
      </c>
      <c r="C66" s="19" t="s">
        <v>274</v>
      </c>
      <c r="D66" s="18" t="s">
        <v>275</v>
      </c>
      <c r="E66" s="20" t="s">
        <v>276</v>
      </c>
      <c r="F66" s="21" t="s">
        <v>277</v>
      </c>
      <c r="G66" s="22" t="s">
        <v>26</v>
      </c>
      <c r="H66" s="22"/>
      <c r="I66" s="99" t="s">
        <v>271</v>
      </c>
      <c r="J66" s="18" t="s">
        <v>272</v>
      </c>
      <c r="K66" s="18" t="s">
        <v>273</v>
      </c>
      <c r="L66" s="18" t="s">
        <v>51</v>
      </c>
      <c r="M66" s="18">
        <v>0</v>
      </c>
      <c r="N66" s="18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18"/>
      <c r="W66" s="19"/>
      <c r="X66" s="25"/>
      <c r="Y66" s="26"/>
    </row>
    <row r="67" spans="1:25" s="27" customFormat="1" ht="33" customHeight="1" thickBot="1" x14ac:dyDescent="0.35">
      <c r="A67" s="17">
        <v>40</v>
      </c>
      <c r="B67" s="18">
        <v>4319</v>
      </c>
      <c r="C67" s="19">
        <v>50157</v>
      </c>
      <c r="D67" s="18" t="s">
        <v>268</v>
      </c>
      <c r="E67" s="20" t="s">
        <v>269</v>
      </c>
      <c r="F67" s="21" t="s">
        <v>270</v>
      </c>
      <c r="G67" s="22" t="s">
        <v>26</v>
      </c>
      <c r="H67" s="22"/>
      <c r="I67" s="99" t="s">
        <v>271</v>
      </c>
      <c r="J67" s="18" t="s">
        <v>272</v>
      </c>
      <c r="K67" s="18" t="s">
        <v>273</v>
      </c>
      <c r="L67" s="18" t="s">
        <v>51</v>
      </c>
      <c r="M67" s="18">
        <v>0</v>
      </c>
      <c r="N67" s="18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18"/>
      <c r="W67" s="19"/>
      <c r="X67" s="25"/>
      <c r="Y67" s="26"/>
    </row>
    <row r="68" spans="1:25" s="27" customFormat="1" ht="33" customHeight="1" thickBot="1" x14ac:dyDescent="0.35">
      <c r="A68" s="17">
        <v>41</v>
      </c>
      <c r="B68" s="18">
        <v>4319</v>
      </c>
      <c r="C68" s="19" t="s">
        <v>283</v>
      </c>
      <c r="D68" s="18" t="s">
        <v>284</v>
      </c>
      <c r="E68" s="20" t="s">
        <v>285</v>
      </c>
      <c r="F68" s="21" t="s">
        <v>286</v>
      </c>
      <c r="G68" s="22" t="s">
        <v>26</v>
      </c>
      <c r="H68" s="22"/>
      <c r="I68" s="99" t="s">
        <v>281</v>
      </c>
      <c r="J68" s="18" t="s">
        <v>273</v>
      </c>
      <c r="K68" s="18" t="s">
        <v>282</v>
      </c>
      <c r="L68" s="18" t="s">
        <v>51</v>
      </c>
      <c r="M68" s="18">
        <v>0</v>
      </c>
      <c r="N68" s="18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18"/>
      <c r="W68" s="19"/>
      <c r="X68" s="25"/>
      <c r="Y68" s="26"/>
    </row>
    <row r="69" spans="1:25" s="27" customFormat="1" ht="33" customHeight="1" thickBot="1" x14ac:dyDescent="0.35">
      <c r="A69" s="17">
        <v>41</v>
      </c>
      <c r="B69" s="18">
        <v>4319</v>
      </c>
      <c r="C69" s="19" t="s">
        <v>278</v>
      </c>
      <c r="D69" s="18" t="s">
        <v>279</v>
      </c>
      <c r="E69" s="20" t="s">
        <v>276</v>
      </c>
      <c r="F69" s="21" t="s">
        <v>280</v>
      </c>
      <c r="G69" s="22" t="s">
        <v>26</v>
      </c>
      <c r="H69" s="22"/>
      <c r="I69" s="99" t="s">
        <v>281</v>
      </c>
      <c r="J69" s="18" t="s">
        <v>273</v>
      </c>
      <c r="K69" s="18" t="s">
        <v>282</v>
      </c>
      <c r="L69" s="18" t="s">
        <v>51</v>
      </c>
      <c r="M69" s="18">
        <v>0</v>
      </c>
      <c r="N69" s="18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18"/>
      <c r="W69" s="19"/>
      <c r="X69" s="25"/>
      <c r="Y69" s="26"/>
    </row>
    <row r="70" spans="1:25" s="27" customFormat="1" ht="33" customHeight="1" thickBot="1" x14ac:dyDescent="0.35">
      <c r="A70" s="17">
        <v>42</v>
      </c>
      <c r="B70" s="18">
        <v>4319</v>
      </c>
      <c r="C70" s="19">
        <v>50095</v>
      </c>
      <c r="D70" s="18" t="s">
        <v>287</v>
      </c>
      <c r="E70" s="20" t="s">
        <v>288</v>
      </c>
      <c r="F70" s="21" t="s">
        <v>289</v>
      </c>
      <c r="G70" s="22" t="s">
        <v>26</v>
      </c>
      <c r="H70" s="22"/>
      <c r="I70" s="99" t="s">
        <v>290</v>
      </c>
      <c r="J70" s="18" t="s">
        <v>291</v>
      </c>
      <c r="K70" s="18" t="s">
        <v>292</v>
      </c>
      <c r="L70" s="18" t="s">
        <v>51</v>
      </c>
      <c r="M70" s="18">
        <v>0</v>
      </c>
      <c r="N70" s="18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18" t="s">
        <v>293</v>
      </c>
      <c r="W70" s="19"/>
      <c r="X70" s="25"/>
      <c r="Y70" s="26"/>
    </row>
    <row r="71" spans="1:25" s="27" customFormat="1" ht="33" customHeight="1" thickBot="1" x14ac:dyDescent="0.35">
      <c r="A71" s="17">
        <v>42</v>
      </c>
      <c r="B71" s="18">
        <v>4319</v>
      </c>
      <c r="C71" s="19">
        <v>50082</v>
      </c>
      <c r="D71" s="18" t="s">
        <v>294</v>
      </c>
      <c r="E71" s="20" t="s">
        <v>295</v>
      </c>
      <c r="F71" s="21" t="s">
        <v>296</v>
      </c>
      <c r="G71" s="22" t="s">
        <v>26</v>
      </c>
      <c r="H71" s="22"/>
      <c r="I71" s="99" t="s">
        <v>290</v>
      </c>
      <c r="J71" s="18" t="s">
        <v>291</v>
      </c>
      <c r="K71" s="18" t="s">
        <v>292</v>
      </c>
      <c r="L71" s="18" t="s">
        <v>51</v>
      </c>
      <c r="M71" s="18">
        <v>0</v>
      </c>
      <c r="N71" s="18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18" t="s">
        <v>293</v>
      </c>
      <c r="W71" s="19"/>
      <c r="X71" s="25"/>
      <c r="Y71" s="26"/>
    </row>
    <row r="72" spans="1:25" s="27" customFormat="1" ht="33" customHeight="1" thickBot="1" x14ac:dyDescent="0.35">
      <c r="A72" s="17">
        <v>43</v>
      </c>
      <c r="B72" s="18">
        <v>4319</v>
      </c>
      <c r="C72" s="19">
        <v>50096</v>
      </c>
      <c r="D72" s="18" t="s">
        <v>297</v>
      </c>
      <c r="E72" s="20" t="s">
        <v>298</v>
      </c>
      <c r="F72" s="21" t="s">
        <v>299</v>
      </c>
      <c r="G72" s="22" t="s">
        <v>26</v>
      </c>
      <c r="H72" s="22"/>
      <c r="I72" s="99" t="s">
        <v>300</v>
      </c>
      <c r="J72" s="18"/>
      <c r="K72" s="18" t="s">
        <v>301</v>
      </c>
      <c r="L72" s="18" t="s">
        <v>51</v>
      </c>
      <c r="M72" s="18">
        <v>0</v>
      </c>
      <c r="N72" s="18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18" t="s">
        <v>293</v>
      </c>
      <c r="W72" s="19"/>
      <c r="X72" s="25"/>
      <c r="Y72" s="26"/>
    </row>
    <row r="73" spans="1:25" s="27" customFormat="1" ht="33" customHeight="1" thickBot="1" x14ac:dyDescent="0.35">
      <c r="A73" s="17">
        <v>43</v>
      </c>
      <c r="B73" s="18">
        <v>4319</v>
      </c>
      <c r="C73" s="19">
        <v>50158</v>
      </c>
      <c r="D73" s="18" t="s">
        <v>302</v>
      </c>
      <c r="E73" s="20" t="s">
        <v>303</v>
      </c>
      <c r="F73" s="21" t="s">
        <v>304</v>
      </c>
      <c r="G73" s="22" t="s">
        <v>26</v>
      </c>
      <c r="H73" s="22"/>
      <c r="I73" s="99" t="s">
        <v>300</v>
      </c>
      <c r="J73" s="18"/>
      <c r="K73" s="18" t="s">
        <v>301</v>
      </c>
      <c r="L73" s="18" t="s">
        <v>51</v>
      </c>
      <c r="M73" s="18">
        <v>0</v>
      </c>
      <c r="N73" s="18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18" t="s">
        <v>293</v>
      </c>
      <c r="W73" s="19"/>
      <c r="X73" s="25"/>
      <c r="Y73" s="26"/>
    </row>
    <row r="74" spans="1:25" s="27" customFormat="1" ht="33" customHeight="1" thickBot="1" x14ac:dyDescent="0.35">
      <c r="A74" s="17">
        <v>44</v>
      </c>
      <c r="B74" s="18">
        <v>4319</v>
      </c>
      <c r="C74" s="19"/>
      <c r="D74" s="18" t="s">
        <v>134</v>
      </c>
      <c r="E74" s="20" t="s">
        <v>135</v>
      </c>
      <c r="F74" s="21" t="s">
        <v>305</v>
      </c>
      <c r="G74" s="22" t="s">
        <v>26</v>
      </c>
      <c r="H74" s="22"/>
      <c r="I74" s="99" t="s">
        <v>306</v>
      </c>
      <c r="J74" s="18"/>
      <c r="K74" s="18" t="s">
        <v>307</v>
      </c>
      <c r="L74" s="18" t="s">
        <v>51</v>
      </c>
      <c r="M74" s="18">
        <v>0</v>
      </c>
      <c r="N74" s="18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18" t="s">
        <v>308</v>
      </c>
      <c r="W74" s="19"/>
      <c r="X74" s="25"/>
      <c r="Y74" s="26"/>
    </row>
    <row r="75" spans="1:25" s="27" customFormat="1" ht="33" customHeight="1" thickBot="1" x14ac:dyDescent="0.35">
      <c r="A75" s="17">
        <v>44</v>
      </c>
      <c r="B75" s="18">
        <v>4319</v>
      </c>
      <c r="C75" s="19"/>
      <c r="D75" s="18" t="s">
        <v>309</v>
      </c>
      <c r="E75" s="20" t="s">
        <v>552</v>
      </c>
      <c r="F75" s="21" t="s">
        <v>310</v>
      </c>
      <c r="G75" s="22"/>
      <c r="H75" s="22"/>
      <c r="I75" s="99" t="s">
        <v>306</v>
      </c>
      <c r="J75" s="18"/>
      <c r="K75" s="18" t="s">
        <v>307</v>
      </c>
      <c r="L75" s="18" t="s">
        <v>51</v>
      </c>
      <c r="M75" s="18">
        <v>0</v>
      </c>
      <c r="N75" s="18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18" t="s">
        <v>308</v>
      </c>
      <c r="W75" s="19"/>
      <c r="X75" s="25"/>
      <c r="Y75" s="26"/>
    </row>
    <row r="76" spans="1:25" s="27" customFormat="1" ht="33" customHeight="1" thickBot="1" x14ac:dyDescent="0.35">
      <c r="A76" s="17">
        <v>45</v>
      </c>
      <c r="B76" s="18">
        <v>4319</v>
      </c>
      <c r="C76" s="19"/>
      <c r="D76" s="18" t="s">
        <v>311</v>
      </c>
      <c r="E76" s="20"/>
      <c r="F76" s="21" t="s">
        <v>312</v>
      </c>
      <c r="G76" s="22"/>
      <c r="H76" s="22"/>
      <c r="I76" s="99" t="s">
        <v>313</v>
      </c>
      <c r="J76" s="18" t="s">
        <v>314</v>
      </c>
      <c r="K76" s="18" t="s">
        <v>290</v>
      </c>
      <c r="L76" s="18" t="s">
        <v>51</v>
      </c>
      <c r="M76" s="18">
        <v>0</v>
      </c>
      <c r="N76" s="18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18" t="s">
        <v>308</v>
      </c>
      <c r="W76" s="19"/>
      <c r="X76" s="25"/>
      <c r="Y76" s="26"/>
    </row>
    <row r="77" spans="1:25" s="27" customFormat="1" ht="33" customHeight="1" thickBot="1" x14ac:dyDescent="0.35">
      <c r="A77" s="17">
        <v>45</v>
      </c>
      <c r="B77" s="18">
        <v>4319</v>
      </c>
      <c r="C77" s="19"/>
      <c r="D77" s="18" t="s">
        <v>315</v>
      </c>
      <c r="E77" s="20"/>
      <c r="F77" s="21" t="s">
        <v>316</v>
      </c>
      <c r="G77" s="22"/>
      <c r="H77" s="22"/>
      <c r="I77" s="99" t="s">
        <v>313</v>
      </c>
      <c r="J77" s="18" t="s">
        <v>314</v>
      </c>
      <c r="K77" s="18" t="s">
        <v>290</v>
      </c>
      <c r="L77" s="18" t="s">
        <v>51</v>
      </c>
      <c r="M77" s="18">
        <v>0</v>
      </c>
      <c r="N77" s="18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18" t="s">
        <v>308</v>
      </c>
      <c r="W77" s="19"/>
      <c r="X77" s="25"/>
      <c r="Y77" s="26"/>
    </row>
    <row r="78" spans="1:25" s="27" customFormat="1" ht="33" customHeight="1" thickBot="1" x14ac:dyDescent="0.35">
      <c r="A78" s="17">
        <v>46</v>
      </c>
      <c r="B78" s="18">
        <v>4319</v>
      </c>
      <c r="C78" s="19"/>
      <c r="D78" s="18" t="s">
        <v>317</v>
      </c>
      <c r="E78" s="20"/>
      <c r="F78" s="21" t="s">
        <v>318</v>
      </c>
      <c r="G78" s="22"/>
      <c r="H78" s="22"/>
      <c r="I78" s="99" t="s">
        <v>319</v>
      </c>
      <c r="J78" s="18" t="s">
        <v>320</v>
      </c>
      <c r="K78" s="18" t="s">
        <v>321</v>
      </c>
      <c r="L78" s="18" t="s">
        <v>51</v>
      </c>
      <c r="M78" s="18">
        <v>0</v>
      </c>
      <c r="N78" s="18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18" t="s">
        <v>308</v>
      </c>
      <c r="W78" s="19"/>
      <c r="X78" s="25"/>
      <c r="Y78" s="26"/>
    </row>
    <row r="79" spans="1:25" s="27" customFormat="1" ht="33" customHeight="1" thickBot="1" x14ac:dyDescent="0.35">
      <c r="A79" s="17">
        <v>46</v>
      </c>
      <c r="B79" s="18">
        <v>4319</v>
      </c>
      <c r="C79" s="19"/>
      <c r="D79" s="18" t="s">
        <v>322</v>
      </c>
      <c r="E79" s="20"/>
      <c r="F79" s="21" t="s">
        <v>323</v>
      </c>
      <c r="G79" s="22"/>
      <c r="H79" s="22"/>
      <c r="I79" s="99" t="s">
        <v>319</v>
      </c>
      <c r="J79" s="18" t="s">
        <v>320</v>
      </c>
      <c r="K79" s="18" t="s">
        <v>321</v>
      </c>
      <c r="L79" s="18" t="s">
        <v>51</v>
      </c>
      <c r="M79" s="18">
        <v>0</v>
      </c>
      <c r="N79" s="18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18" t="s">
        <v>308</v>
      </c>
      <c r="W79" s="19"/>
      <c r="X79" s="25"/>
      <c r="Y79" s="26"/>
    </row>
    <row r="80" spans="1:25" s="27" customFormat="1" ht="33" customHeight="1" thickBot="1" x14ac:dyDescent="0.35">
      <c r="A80" s="17">
        <v>47</v>
      </c>
      <c r="B80" s="18">
        <v>4319</v>
      </c>
      <c r="C80" s="19">
        <v>49803</v>
      </c>
      <c r="D80" s="18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99" t="s">
        <v>331</v>
      </c>
      <c r="J80" s="18"/>
      <c r="K80" s="18" t="s">
        <v>332</v>
      </c>
      <c r="L80" s="18" t="s">
        <v>28</v>
      </c>
      <c r="M80" s="18">
        <v>1</v>
      </c>
      <c r="N80" s="18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18" t="s">
        <v>293</v>
      </c>
      <c r="W80" s="19"/>
      <c r="X80" s="25"/>
      <c r="Y80" s="26"/>
    </row>
    <row r="81" spans="1:25" s="27" customFormat="1" ht="33" customHeight="1" thickBot="1" x14ac:dyDescent="0.35">
      <c r="A81" s="17">
        <v>48</v>
      </c>
      <c r="B81" s="18">
        <v>4319</v>
      </c>
      <c r="C81" s="19">
        <v>50134</v>
      </c>
      <c r="D81" s="18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99" t="s">
        <v>337</v>
      </c>
      <c r="J81" s="18" t="s">
        <v>338</v>
      </c>
      <c r="K81" s="18" t="s">
        <v>339</v>
      </c>
      <c r="L81" s="18" t="s">
        <v>51</v>
      </c>
      <c r="M81" s="18">
        <v>0</v>
      </c>
      <c r="N81" s="18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18" t="s">
        <v>293</v>
      </c>
      <c r="W81" s="19"/>
      <c r="X81" s="25"/>
      <c r="Y81" s="26"/>
    </row>
    <row r="82" spans="1:25" s="27" customFormat="1" ht="33" customHeight="1" thickBot="1" x14ac:dyDescent="0.35">
      <c r="A82" s="17">
        <v>48</v>
      </c>
      <c r="B82" s="18">
        <v>4319</v>
      </c>
      <c r="C82" s="19">
        <v>50089</v>
      </c>
      <c r="D82" s="18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99" t="s">
        <v>337</v>
      </c>
      <c r="J82" s="18" t="s">
        <v>338</v>
      </c>
      <c r="K82" s="18" t="s">
        <v>339</v>
      </c>
      <c r="L82" s="18" t="s">
        <v>51</v>
      </c>
      <c r="M82" s="18">
        <v>0</v>
      </c>
      <c r="N82" s="18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18" t="s">
        <v>293</v>
      </c>
      <c r="W82" s="19"/>
      <c r="X82" s="25"/>
      <c r="Y82" s="26"/>
    </row>
    <row r="83" spans="1:25" s="27" customFormat="1" ht="33" customHeight="1" thickBot="1" x14ac:dyDescent="0.35">
      <c r="A83" s="17">
        <v>49</v>
      </c>
      <c r="B83" s="18">
        <v>4319</v>
      </c>
      <c r="C83" s="19">
        <v>50050</v>
      </c>
      <c r="D83" s="18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99" t="s">
        <v>337</v>
      </c>
      <c r="J83" s="18"/>
      <c r="K83" s="18" t="s">
        <v>348</v>
      </c>
      <c r="L83" s="18" t="s">
        <v>51</v>
      </c>
      <c r="M83" s="18">
        <v>0</v>
      </c>
      <c r="N83" s="18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18" t="s">
        <v>293</v>
      </c>
      <c r="W83" s="19"/>
      <c r="X83" s="25"/>
      <c r="Y83" s="26"/>
    </row>
    <row r="84" spans="1:25" s="27" customFormat="1" ht="33" customHeight="1" thickBot="1" x14ac:dyDescent="0.35">
      <c r="A84" s="17">
        <v>49</v>
      </c>
      <c r="B84" s="18">
        <v>4319</v>
      </c>
      <c r="C84" s="19">
        <v>50156</v>
      </c>
      <c r="D84" s="18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99" t="s">
        <v>337</v>
      </c>
      <c r="J84" s="18"/>
      <c r="K84" s="18" t="s">
        <v>348</v>
      </c>
      <c r="L84" s="18" t="s">
        <v>51</v>
      </c>
      <c r="M84" s="18">
        <v>0</v>
      </c>
      <c r="N84" s="18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18" t="s">
        <v>293</v>
      </c>
      <c r="W84" s="19"/>
      <c r="X84" s="25"/>
      <c r="Y84" s="26"/>
    </row>
    <row r="85" spans="1:25" s="27" customFormat="1" ht="33" customHeight="1" thickBot="1" x14ac:dyDescent="0.35">
      <c r="A85" s="17">
        <v>50</v>
      </c>
      <c r="B85" s="18">
        <v>4319</v>
      </c>
      <c r="C85" s="19"/>
      <c r="D85" s="18" t="s">
        <v>495</v>
      </c>
      <c r="E85" s="20"/>
      <c r="F85" s="21" t="s">
        <v>353</v>
      </c>
      <c r="G85" s="22" t="s">
        <v>26</v>
      </c>
      <c r="H85" s="22"/>
      <c r="I85" s="99" t="s">
        <v>354</v>
      </c>
      <c r="J85" s="18"/>
      <c r="K85" s="18" t="s">
        <v>355</v>
      </c>
      <c r="L85" s="18" t="s">
        <v>28</v>
      </c>
      <c r="M85" s="18">
        <v>1</v>
      </c>
      <c r="N85" s="18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18" t="s">
        <v>162</v>
      </c>
      <c r="W85" s="19"/>
      <c r="X85" s="25" t="s">
        <v>178</v>
      </c>
      <c r="Y85" s="26"/>
    </row>
    <row r="86" spans="1:25" s="27" customFormat="1" ht="33" customHeight="1" thickBot="1" x14ac:dyDescent="0.35">
      <c r="A86" s="17">
        <v>51</v>
      </c>
      <c r="B86" s="18">
        <v>4319</v>
      </c>
      <c r="C86" s="19">
        <v>49794</v>
      </c>
      <c r="D86" s="18" t="s">
        <v>356</v>
      </c>
      <c r="E86" s="20">
        <v>708101003</v>
      </c>
      <c r="F86" s="21" t="s">
        <v>357</v>
      </c>
      <c r="G86" s="22" t="s">
        <v>26</v>
      </c>
      <c r="H86" s="22"/>
      <c r="I86" s="99" t="s">
        <v>39</v>
      </c>
      <c r="J86" s="18"/>
      <c r="K86" s="18" t="s">
        <v>358</v>
      </c>
      <c r="L86" s="18" t="s">
        <v>28</v>
      </c>
      <c r="M86" s="18">
        <v>1</v>
      </c>
      <c r="N86" s="18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18" t="s">
        <v>359</v>
      </c>
      <c r="W86" s="19"/>
      <c r="X86" s="25"/>
      <c r="Y86" s="26"/>
    </row>
    <row r="87" spans="1:25" s="27" customFormat="1" ht="33" customHeight="1" thickBot="1" x14ac:dyDescent="0.35">
      <c r="A87" s="17">
        <v>52</v>
      </c>
      <c r="B87" s="18">
        <v>4319</v>
      </c>
      <c r="C87" s="19"/>
      <c r="D87" s="18"/>
      <c r="E87" s="20"/>
      <c r="F87" s="21" t="s">
        <v>366</v>
      </c>
      <c r="G87" s="22" t="s">
        <v>26</v>
      </c>
      <c r="H87" s="22"/>
      <c r="I87" s="99" t="s">
        <v>367</v>
      </c>
      <c r="J87" s="18"/>
      <c r="K87" s="18" t="s">
        <v>368</v>
      </c>
      <c r="L87" s="18" t="s">
        <v>28</v>
      </c>
      <c r="M87" s="18">
        <v>1</v>
      </c>
      <c r="N87" s="18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18" t="s">
        <v>162</v>
      </c>
      <c r="W87" s="19"/>
      <c r="X87" s="25"/>
      <c r="Y87" s="26"/>
    </row>
    <row r="88" spans="1:25" s="27" customFormat="1" ht="33" customHeight="1" thickBot="1" x14ac:dyDescent="0.35">
      <c r="A88" s="17">
        <v>53</v>
      </c>
      <c r="B88" s="18">
        <v>4319</v>
      </c>
      <c r="C88" s="19">
        <v>50073</v>
      </c>
      <c r="D88" s="18" t="s">
        <v>369</v>
      </c>
      <c r="E88" s="20" t="s">
        <v>370</v>
      </c>
      <c r="F88" s="21" t="s">
        <v>371</v>
      </c>
      <c r="G88" s="22"/>
      <c r="H88" s="22"/>
      <c r="I88" s="99" t="s">
        <v>271</v>
      </c>
      <c r="J88" s="18" t="s">
        <v>372</v>
      </c>
      <c r="K88" s="18" t="s">
        <v>373</v>
      </c>
      <c r="L88" s="18" t="s">
        <v>51</v>
      </c>
      <c r="M88" s="18">
        <v>0</v>
      </c>
      <c r="N88" s="18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18"/>
      <c r="W88" s="19"/>
      <c r="X88" s="25"/>
      <c r="Y88" s="26"/>
    </row>
    <row r="89" spans="1:25" s="27" customFormat="1" ht="33" customHeight="1" thickBot="1" x14ac:dyDescent="0.35">
      <c r="A89" s="17">
        <v>53</v>
      </c>
      <c r="B89" s="18">
        <v>4319</v>
      </c>
      <c r="C89" s="19">
        <v>50128</v>
      </c>
      <c r="D89" s="18" t="s">
        <v>374</v>
      </c>
      <c r="E89" s="20" t="s">
        <v>375</v>
      </c>
      <c r="F89" s="21" t="s">
        <v>376</v>
      </c>
      <c r="G89" s="22" t="s">
        <v>26</v>
      </c>
      <c r="H89" s="22"/>
      <c r="I89" s="99" t="s">
        <v>271</v>
      </c>
      <c r="J89" s="18" t="s">
        <v>372</v>
      </c>
      <c r="K89" s="18" t="s">
        <v>373</v>
      </c>
      <c r="L89" s="18" t="s">
        <v>51</v>
      </c>
      <c r="M89" s="18">
        <v>0</v>
      </c>
      <c r="N89" s="18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18"/>
      <c r="W89" s="19"/>
      <c r="X89" s="25"/>
      <c r="Y89" s="26"/>
    </row>
    <row r="90" spans="1:25" s="27" customFormat="1" ht="33" customHeight="1" thickBot="1" x14ac:dyDescent="0.35">
      <c r="A90" s="17">
        <v>54</v>
      </c>
      <c r="B90" s="18">
        <v>4319</v>
      </c>
      <c r="C90" s="19">
        <v>50104</v>
      </c>
      <c r="D90" s="18" t="s">
        <v>377</v>
      </c>
      <c r="E90" s="20" t="s">
        <v>378</v>
      </c>
      <c r="F90" s="21" t="s">
        <v>379</v>
      </c>
      <c r="G90" s="22" t="s">
        <v>26</v>
      </c>
      <c r="H90" s="22"/>
      <c r="I90" s="99" t="s">
        <v>380</v>
      </c>
      <c r="J90" s="18" t="s">
        <v>381</v>
      </c>
      <c r="K90" s="18" t="s">
        <v>382</v>
      </c>
      <c r="L90" s="18" t="s">
        <v>51</v>
      </c>
      <c r="M90" s="18">
        <v>0</v>
      </c>
      <c r="N90" s="18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18" t="s">
        <v>359</v>
      </c>
      <c r="W90" s="19"/>
      <c r="X90" s="25"/>
      <c r="Y90" s="26"/>
    </row>
    <row r="91" spans="1:25" s="27" customFormat="1" ht="33" customHeight="1" thickBot="1" x14ac:dyDescent="0.35">
      <c r="A91" s="17">
        <v>54</v>
      </c>
      <c r="B91" s="18">
        <v>4319</v>
      </c>
      <c r="C91" s="19">
        <v>50130</v>
      </c>
      <c r="D91" s="18" t="s">
        <v>383</v>
      </c>
      <c r="E91" s="20" t="s">
        <v>384</v>
      </c>
      <c r="F91" s="21" t="s">
        <v>385</v>
      </c>
      <c r="G91" s="22" t="s">
        <v>26</v>
      </c>
      <c r="H91" s="22"/>
      <c r="I91" s="99" t="s">
        <v>380</v>
      </c>
      <c r="J91" s="18" t="s">
        <v>381</v>
      </c>
      <c r="K91" s="18" t="s">
        <v>382</v>
      </c>
      <c r="L91" s="18" t="s">
        <v>51</v>
      </c>
      <c r="M91" s="18">
        <v>0</v>
      </c>
      <c r="N91" s="18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18"/>
      <c r="W91" s="19"/>
      <c r="X91" s="25"/>
      <c r="Y91" s="26"/>
    </row>
    <row r="92" spans="1:25" s="27" customFormat="1" ht="33" customHeight="1" thickBot="1" x14ac:dyDescent="0.35">
      <c r="A92" s="17">
        <v>55</v>
      </c>
      <c r="B92" s="18">
        <v>4319</v>
      </c>
      <c r="C92" s="19">
        <v>50141</v>
      </c>
      <c r="D92" s="18" t="s">
        <v>386</v>
      </c>
      <c r="E92" s="20" t="s">
        <v>387</v>
      </c>
      <c r="F92" s="21" t="s">
        <v>388</v>
      </c>
      <c r="G92" s="22"/>
      <c r="H92" s="22"/>
      <c r="I92" s="99" t="s">
        <v>389</v>
      </c>
      <c r="J92" s="18"/>
      <c r="K92" s="18" t="s">
        <v>390</v>
      </c>
      <c r="L92" s="18" t="s">
        <v>51</v>
      </c>
      <c r="M92" s="18">
        <v>0</v>
      </c>
      <c r="N92" s="18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18" t="s">
        <v>359</v>
      </c>
      <c r="W92" s="19"/>
      <c r="X92" s="25"/>
      <c r="Y92" s="26"/>
    </row>
    <row r="93" spans="1:25" s="27" customFormat="1" ht="33" customHeight="1" thickBot="1" x14ac:dyDescent="0.35">
      <c r="A93" s="17">
        <v>55</v>
      </c>
      <c r="B93" s="18">
        <v>4319</v>
      </c>
      <c r="C93" s="19">
        <v>50099</v>
      </c>
      <c r="D93" s="18" t="s">
        <v>391</v>
      </c>
      <c r="E93" s="20" t="s">
        <v>392</v>
      </c>
      <c r="F93" s="21" t="s">
        <v>393</v>
      </c>
      <c r="G93" s="22"/>
      <c r="H93" s="22"/>
      <c r="I93" s="99" t="s">
        <v>389</v>
      </c>
      <c r="J93" s="18"/>
      <c r="K93" s="18" t="s">
        <v>390</v>
      </c>
      <c r="L93" s="18" t="s">
        <v>51</v>
      </c>
      <c r="M93" s="18">
        <v>0</v>
      </c>
      <c r="N93" s="18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18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18">
        <v>4145</v>
      </c>
      <c r="C94" s="19">
        <v>50155</v>
      </c>
      <c r="D94" s="18" t="s">
        <v>406</v>
      </c>
      <c r="E94" s="20" t="s">
        <v>407</v>
      </c>
      <c r="F94" s="21" t="s">
        <v>560</v>
      </c>
      <c r="G94" s="22" t="s">
        <v>26</v>
      </c>
      <c r="H94" s="22"/>
      <c r="I94" s="99" t="s">
        <v>396</v>
      </c>
      <c r="J94" s="18"/>
      <c r="K94" s="18">
        <v>523</v>
      </c>
      <c r="L94" s="18" t="s">
        <v>51</v>
      </c>
      <c r="M94" s="18">
        <v>0</v>
      </c>
      <c r="N94" s="18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18" t="s">
        <v>397</v>
      </c>
      <c r="W94" s="19"/>
      <c r="X94" s="25"/>
      <c r="Y94" s="26"/>
    </row>
    <row r="95" spans="1:25" s="27" customFormat="1" ht="33" customHeight="1" thickBot="1" x14ac:dyDescent="0.35">
      <c r="A95" s="17">
        <v>56</v>
      </c>
      <c r="B95" s="18">
        <v>4145</v>
      </c>
      <c r="C95" s="19">
        <v>50153</v>
      </c>
      <c r="D95" s="18" t="s">
        <v>400</v>
      </c>
      <c r="E95" s="20" t="s">
        <v>401</v>
      </c>
      <c r="F95" s="21" t="s">
        <v>561</v>
      </c>
      <c r="G95" s="22" t="s">
        <v>26</v>
      </c>
      <c r="H95" s="22"/>
      <c r="I95" s="99" t="s">
        <v>396</v>
      </c>
      <c r="J95" s="18"/>
      <c r="K95" s="18">
        <v>523</v>
      </c>
      <c r="L95" s="18" t="s">
        <v>51</v>
      </c>
      <c r="M95" s="18">
        <v>0</v>
      </c>
      <c r="N95" s="18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18"/>
      <c r="W95" s="19"/>
      <c r="X95" s="25"/>
      <c r="Y95" s="26"/>
    </row>
    <row r="96" spans="1:25" s="27" customFormat="1" ht="33" customHeight="1" thickBot="1" x14ac:dyDescent="0.35">
      <c r="A96" s="17">
        <v>57</v>
      </c>
      <c r="B96" s="18">
        <v>4145</v>
      </c>
      <c r="C96" s="19">
        <v>50080</v>
      </c>
      <c r="D96" s="18" t="s">
        <v>398</v>
      </c>
      <c r="E96" s="20" t="s">
        <v>399</v>
      </c>
      <c r="F96" s="21" t="s">
        <v>562</v>
      </c>
      <c r="G96" s="22" t="s">
        <v>26</v>
      </c>
      <c r="H96" s="22"/>
      <c r="I96" s="99">
        <v>534</v>
      </c>
      <c r="J96" s="18"/>
      <c r="K96" s="18">
        <v>523</v>
      </c>
      <c r="L96" s="18" t="s">
        <v>51</v>
      </c>
      <c r="M96" s="18">
        <v>0</v>
      </c>
      <c r="N96" s="18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18" t="s">
        <v>397</v>
      </c>
      <c r="W96" s="19"/>
      <c r="X96" s="25"/>
      <c r="Y96" s="26"/>
    </row>
    <row r="97" spans="1:25" s="27" customFormat="1" ht="33" customHeight="1" thickBot="1" x14ac:dyDescent="0.35">
      <c r="A97" s="17">
        <v>57</v>
      </c>
      <c r="B97" s="18">
        <v>4145</v>
      </c>
      <c r="C97" s="19">
        <v>50092</v>
      </c>
      <c r="D97" s="18" t="s">
        <v>394</v>
      </c>
      <c r="E97" s="20" t="s">
        <v>395</v>
      </c>
      <c r="F97" s="21" t="s">
        <v>563</v>
      </c>
      <c r="G97" s="22" t="s">
        <v>26</v>
      </c>
      <c r="H97" s="22"/>
      <c r="I97" s="99">
        <v>534</v>
      </c>
      <c r="J97" s="18"/>
      <c r="K97" s="18">
        <v>523</v>
      </c>
      <c r="L97" s="18" t="s">
        <v>51</v>
      </c>
      <c r="M97" s="18">
        <v>0</v>
      </c>
      <c r="N97" s="18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18"/>
      <c r="W97" s="19"/>
      <c r="X97" s="25"/>
      <c r="Y97" s="26"/>
    </row>
    <row r="98" spans="1:25" s="27" customFormat="1" ht="33" customHeight="1" thickBot="1" x14ac:dyDescent="0.35">
      <c r="A98" s="17">
        <v>58</v>
      </c>
      <c r="B98" s="18">
        <v>4145</v>
      </c>
      <c r="C98" s="19">
        <v>50097</v>
      </c>
      <c r="D98" s="18" t="s">
        <v>402</v>
      </c>
      <c r="E98" s="20" t="s">
        <v>403</v>
      </c>
      <c r="F98" s="21" t="s">
        <v>554</v>
      </c>
      <c r="G98" s="22" t="s">
        <v>26</v>
      </c>
      <c r="H98" s="22"/>
      <c r="I98" s="99" t="s">
        <v>404</v>
      </c>
      <c r="J98" s="18"/>
      <c r="K98" s="18" t="s">
        <v>405</v>
      </c>
      <c r="L98" s="18" t="s">
        <v>51</v>
      </c>
      <c r="M98" s="18">
        <v>0</v>
      </c>
      <c r="N98" s="18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18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58</v>
      </c>
      <c r="B99" s="18">
        <v>4145</v>
      </c>
      <c r="C99" s="19">
        <v>50105</v>
      </c>
      <c r="D99" s="18" t="s">
        <v>406</v>
      </c>
      <c r="E99" s="20" t="s">
        <v>407</v>
      </c>
      <c r="F99" s="21" t="s">
        <v>554</v>
      </c>
      <c r="G99" s="22" t="s">
        <v>26</v>
      </c>
      <c r="H99" s="22"/>
      <c r="I99" s="99" t="s">
        <v>404</v>
      </c>
      <c r="J99" s="18"/>
      <c r="K99" s="18" t="s">
        <v>453</v>
      </c>
      <c r="L99" s="18" t="s">
        <v>51</v>
      </c>
      <c r="M99" s="18">
        <v>0</v>
      </c>
      <c r="N99" s="18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18"/>
      <c r="W99" s="19"/>
      <c r="X99" s="25"/>
      <c r="Y99" s="26"/>
    </row>
    <row r="100" spans="1:25" s="27" customFormat="1" ht="33" customHeight="1" thickBot="1" x14ac:dyDescent="0.35">
      <c r="A100" s="17">
        <v>59</v>
      </c>
      <c r="B100" s="18">
        <v>4319</v>
      </c>
      <c r="C100" s="19"/>
      <c r="D100" s="18" t="s">
        <v>408</v>
      </c>
      <c r="E100" s="20" t="s">
        <v>559</v>
      </c>
      <c r="F100" s="21" t="s">
        <v>409</v>
      </c>
      <c r="G100" s="22"/>
      <c r="H100" s="22"/>
      <c r="I100" s="99" t="s">
        <v>410</v>
      </c>
      <c r="J100" s="18"/>
      <c r="K100" s="18" t="s">
        <v>411</v>
      </c>
      <c r="L100" s="18" t="s">
        <v>51</v>
      </c>
      <c r="M100" s="18">
        <v>0</v>
      </c>
      <c r="N100" s="18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18"/>
      <c r="W100" s="19"/>
      <c r="X100" s="25"/>
      <c r="Y100" s="26"/>
    </row>
    <row r="101" spans="1:25" s="27" customFormat="1" ht="33" customHeight="1" thickBot="1" x14ac:dyDescent="0.35">
      <c r="A101" s="17">
        <v>59</v>
      </c>
      <c r="B101" s="18">
        <v>4319</v>
      </c>
      <c r="C101" s="19"/>
      <c r="D101" s="18" t="s">
        <v>412</v>
      </c>
      <c r="E101" s="20" t="s">
        <v>558</v>
      </c>
      <c r="F101" s="21" t="s">
        <v>413</v>
      </c>
      <c r="G101" s="22"/>
      <c r="H101" s="22"/>
      <c r="I101" s="99" t="s">
        <v>410</v>
      </c>
      <c r="J101" s="18"/>
      <c r="K101" s="18" t="s">
        <v>411</v>
      </c>
      <c r="L101" s="18" t="s">
        <v>51</v>
      </c>
      <c r="M101" s="18">
        <v>0</v>
      </c>
      <c r="N101" s="18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18"/>
      <c r="W101" s="19"/>
      <c r="X101" s="25"/>
      <c r="Y101" s="26"/>
    </row>
    <row r="102" spans="1:25" s="27" customFormat="1" ht="33" customHeight="1" thickBot="1" x14ac:dyDescent="0.35">
      <c r="A102" s="17">
        <v>60</v>
      </c>
      <c r="B102" s="18">
        <v>4319</v>
      </c>
      <c r="C102" s="19"/>
      <c r="D102" s="18"/>
      <c r="E102" s="20"/>
      <c r="F102" s="21" t="s">
        <v>414</v>
      </c>
      <c r="G102" s="22" t="s">
        <v>26</v>
      </c>
      <c r="H102" s="22"/>
      <c r="I102" s="99" t="s">
        <v>415</v>
      </c>
      <c r="J102" s="18"/>
      <c r="K102" s="18" t="s">
        <v>416</v>
      </c>
      <c r="L102" s="18" t="s">
        <v>51</v>
      </c>
      <c r="M102" s="18">
        <v>0</v>
      </c>
      <c r="N102" s="18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18" t="s">
        <v>162</v>
      </c>
      <c r="W102" s="19"/>
      <c r="X102" s="25" t="s">
        <v>178</v>
      </c>
      <c r="Y102" s="26"/>
    </row>
    <row r="103" spans="1:25" s="27" customFormat="1" ht="33" customHeight="1" thickBot="1" x14ac:dyDescent="0.35">
      <c r="A103" s="17">
        <v>60</v>
      </c>
      <c r="B103" s="18">
        <v>4319</v>
      </c>
      <c r="C103" s="19"/>
      <c r="D103" s="18"/>
      <c r="E103" s="20"/>
      <c r="F103" s="21" t="s">
        <v>417</v>
      </c>
      <c r="G103" s="22"/>
      <c r="H103" s="22"/>
      <c r="I103" s="99" t="s">
        <v>415</v>
      </c>
      <c r="J103" s="18"/>
      <c r="K103" s="18" t="s">
        <v>416</v>
      </c>
      <c r="L103" s="18" t="s">
        <v>51</v>
      </c>
      <c r="M103" s="18">
        <v>0</v>
      </c>
      <c r="N103" s="18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18"/>
      <c r="W103" s="19"/>
      <c r="X103" s="25"/>
      <c r="Y103" s="26"/>
    </row>
    <row r="104" spans="1:25" s="27" customFormat="1" ht="33" customHeight="1" thickBot="1" x14ac:dyDescent="0.35">
      <c r="A104" s="17">
        <v>61</v>
      </c>
      <c r="B104" s="18">
        <v>4319</v>
      </c>
      <c r="C104" s="19">
        <v>50151</v>
      </c>
      <c r="D104" s="18" t="s">
        <v>418</v>
      </c>
      <c r="E104" s="20" t="s">
        <v>419</v>
      </c>
      <c r="F104" s="21" t="s">
        <v>420</v>
      </c>
      <c r="G104" s="22"/>
      <c r="H104" s="22"/>
      <c r="I104" s="99" t="s">
        <v>421</v>
      </c>
      <c r="J104" s="18"/>
      <c r="K104" s="18" t="s">
        <v>422</v>
      </c>
      <c r="L104" s="18" t="s">
        <v>51</v>
      </c>
      <c r="M104" s="18">
        <v>0</v>
      </c>
      <c r="N104" s="18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18" t="s">
        <v>162</v>
      </c>
      <c r="W104" s="19"/>
      <c r="X104" s="25"/>
      <c r="Y104" s="26"/>
    </row>
    <row r="105" spans="1:25" s="27" customFormat="1" ht="33" customHeight="1" thickBot="1" x14ac:dyDescent="0.35">
      <c r="A105" s="17">
        <v>62</v>
      </c>
      <c r="B105" s="18">
        <v>4319</v>
      </c>
      <c r="C105" s="19">
        <v>50152</v>
      </c>
      <c r="D105" s="18" t="s">
        <v>423</v>
      </c>
      <c r="E105" s="20" t="s">
        <v>424</v>
      </c>
      <c r="F105" s="21" t="s">
        <v>425</v>
      </c>
      <c r="G105" s="22"/>
      <c r="H105" s="22"/>
      <c r="I105" s="99" t="s">
        <v>421</v>
      </c>
      <c r="J105" s="18"/>
      <c r="K105" s="18" t="s">
        <v>422</v>
      </c>
      <c r="L105" s="18" t="s">
        <v>51</v>
      </c>
      <c r="M105" s="18">
        <v>0</v>
      </c>
      <c r="N105" s="18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18" t="s">
        <v>426</v>
      </c>
      <c r="W105" s="19"/>
      <c r="X105" s="25"/>
      <c r="Y105" s="26"/>
    </row>
    <row r="106" spans="1:25" s="27" customFormat="1" ht="33" customHeight="1" thickBot="1" x14ac:dyDescent="0.35">
      <c r="A106" s="17">
        <v>62</v>
      </c>
      <c r="B106" s="18">
        <v>4319</v>
      </c>
      <c r="C106" s="19">
        <v>50081</v>
      </c>
      <c r="D106" s="18" t="s">
        <v>432</v>
      </c>
      <c r="E106" s="20" t="s">
        <v>433</v>
      </c>
      <c r="F106" s="21" t="s">
        <v>434</v>
      </c>
      <c r="G106" s="22"/>
      <c r="H106" s="22"/>
      <c r="I106" s="99" t="s">
        <v>430</v>
      </c>
      <c r="J106" s="18"/>
      <c r="K106" s="18" t="s">
        <v>431</v>
      </c>
      <c r="L106" s="18" t="s">
        <v>51</v>
      </c>
      <c r="M106" s="18">
        <v>0</v>
      </c>
      <c r="N106" s="18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18" t="s">
        <v>162</v>
      </c>
      <c r="W106" s="19"/>
      <c r="X106" s="25"/>
      <c r="Y106" s="26"/>
    </row>
    <row r="107" spans="1:25" s="27" customFormat="1" ht="33" customHeight="1" thickBot="1" x14ac:dyDescent="0.35">
      <c r="A107" s="17">
        <v>62</v>
      </c>
      <c r="B107" s="18">
        <v>4319</v>
      </c>
      <c r="C107" s="19">
        <v>50083</v>
      </c>
      <c r="D107" s="18" t="s">
        <v>427</v>
      </c>
      <c r="E107" s="20" t="s">
        <v>428</v>
      </c>
      <c r="F107" s="21" t="s">
        <v>429</v>
      </c>
      <c r="G107" s="22"/>
      <c r="H107" s="22"/>
      <c r="I107" s="99" t="s">
        <v>430</v>
      </c>
      <c r="J107" s="18"/>
      <c r="K107" s="18" t="s">
        <v>431</v>
      </c>
      <c r="L107" s="18" t="s">
        <v>51</v>
      </c>
      <c r="M107" s="18">
        <v>0</v>
      </c>
      <c r="N107" s="18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18" t="s">
        <v>426</v>
      </c>
      <c r="W107" s="19"/>
      <c r="X107" s="25"/>
      <c r="Y107" s="26"/>
    </row>
    <row r="108" spans="1:25" s="27" customFormat="1" ht="33" customHeight="1" thickBot="1" x14ac:dyDescent="0.35">
      <c r="A108" s="17">
        <v>63</v>
      </c>
      <c r="B108" s="18">
        <v>4319</v>
      </c>
      <c r="C108" s="19"/>
      <c r="D108" s="18" t="s">
        <v>555</v>
      </c>
      <c r="E108" s="20" t="s">
        <v>556</v>
      </c>
      <c r="F108" s="21" t="s">
        <v>435</v>
      </c>
      <c r="G108" s="22"/>
      <c r="H108" s="22"/>
      <c r="I108" s="99" t="s">
        <v>436</v>
      </c>
      <c r="J108" s="18"/>
      <c r="K108" s="18" t="s">
        <v>430</v>
      </c>
      <c r="L108" s="18" t="s">
        <v>51</v>
      </c>
      <c r="M108" s="18">
        <v>0</v>
      </c>
      <c r="N108" s="18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18"/>
      <c r="W108" s="19"/>
      <c r="X108" s="25"/>
      <c r="Y108" s="26"/>
    </row>
    <row r="109" spans="1:25" s="27" customFormat="1" ht="33" customHeight="1" thickBot="1" x14ac:dyDescent="0.35">
      <c r="A109" s="17">
        <v>63</v>
      </c>
      <c r="B109" s="18">
        <v>4319</v>
      </c>
      <c r="C109" s="19"/>
      <c r="D109" s="18" t="s">
        <v>437</v>
      </c>
      <c r="E109" s="20" t="s">
        <v>557</v>
      </c>
      <c r="F109" s="21" t="s">
        <v>438</v>
      </c>
      <c r="G109" s="22"/>
      <c r="H109" s="22"/>
      <c r="I109" s="99" t="s">
        <v>436</v>
      </c>
      <c r="J109" s="18"/>
      <c r="K109" s="18" t="s">
        <v>430</v>
      </c>
      <c r="L109" s="18" t="s">
        <v>51</v>
      </c>
      <c r="M109" s="18">
        <v>0</v>
      </c>
      <c r="N109" s="18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18"/>
      <c r="W109" s="19"/>
      <c r="X109" s="25"/>
      <c r="Y109" s="26"/>
    </row>
    <row r="110" spans="1:25" s="27" customFormat="1" ht="33" customHeight="1" thickBot="1" x14ac:dyDescent="0.35">
      <c r="A110" s="17">
        <v>64</v>
      </c>
      <c r="B110" s="18">
        <v>4319</v>
      </c>
      <c r="C110" s="19"/>
      <c r="D110" s="18" t="s">
        <v>492</v>
      </c>
      <c r="E110" s="20" t="s">
        <v>509</v>
      </c>
      <c r="F110" s="21" t="s">
        <v>440</v>
      </c>
      <c r="G110" s="22" t="s">
        <v>26</v>
      </c>
      <c r="H110" s="22"/>
      <c r="I110" s="99" t="s">
        <v>441</v>
      </c>
      <c r="J110" s="18"/>
      <c r="K110" s="18" t="s">
        <v>442</v>
      </c>
      <c r="L110" s="18" t="s">
        <v>28</v>
      </c>
      <c r="M110" s="18">
        <v>1</v>
      </c>
      <c r="N110" s="18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18" t="s">
        <v>443</v>
      </c>
      <c r="W110" s="19"/>
      <c r="X110" s="25"/>
      <c r="Y110" s="26"/>
    </row>
    <row r="111" spans="1:25" s="27" customFormat="1" ht="33" customHeight="1" thickBot="1" x14ac:dyDescent="0.35">
      <c r="A111" s="17">
        <v>65</v>
      </c>
      <c r="B111" s="18">
        <v>4319</v>
      </c>
      <c r="C111" s="19">
        <v>49780</v>
      </c>
      <c r="D111" s="18" t="s">
        <v>444</v>
      </c>
      <c r="E111" s="20" t="s">
        <v>445</v>
      </c>
      <c r="F111" s="21" t="s">
        <v>446</v>
      </c>
      <c r="G111" s="22" t="s">
        <v>26</v>
      </c>
      <c r="H111" s="22"/>
      <c r="I111" s="99" t="s">
        <v>441</v>
      </c>
      <c r="J111" s="18"/>
      <c r="K111" s="18" t="s">
        <v>447</v>
      </c>
      <c r="L111" s="18" t="s">
        <v>28</v>
      </c>
      <c r="M111" s="18">
        <v>1</v>
      </c>
      <c r="N111" s="18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18" t="s">
        <v>448</v>
      </c>
      <c r="W111" s="19"/>
      <c r="X111" s="25"/>
      <c r="Y111" s="26"/>
    </row>
    <row r="112" spans="1:25" s="27" customFormat="1" ht="33" customHeight="1" thickBot="1" x14ac:dyDescent="0.35">
      <c r="A112" s="17">
        <v>66</v>
      </c>
      <c r="B112" s="18">
        <v>4319</v>
      </c>
      <c r="C112" s="19"/>
      <c r="D112" s="18"/>
      <c r="E112" s="20"/>
      <c r="F112" s="21" t="s">
        <v>449</v>
      </c>
      <c r="G112" s="22" t="s">
        <v>26</v>
      </c>
      <c r="H112" s="22"/>
      <c r="I112" s="99">
        <v>511</v>
      </c>
      <c r="J112" s="18"/>
      <c r="K112" s="18">
        <v>560</v>
      </c>
      <c r="L112" s="18" t="s">
        <v>51</v>
      </c>
      <c r="M112" s="18">
        <v>0</v>
      </c>
      <c r="N112" s="18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18" t="s">
        <v>450</v>
      </c>
      <c r="W112" s="19"/>
      <c r="X112" s="25"/>
      <c r="Y112" s="26"/>
    </row>
    <row r="113" spans="1:26" s="27" customFormat="1" ht="33" customHeight="1" thickBot="1" x14ac:dyDescent="0.35">
      <c r="A113" s="17">
        <v>66</v>
      </c>
      <c r="B113" s="18">
        <v>4319</v>
      </c>
      <c r="C113" s="19"/>
      <c r="D113" s="18"/>
      <c r="E113" s="20"/>
      <c r="F113" s="21" t="s">
        <v>451</v>
      </c>
      <c r="G113" s="22" t="s">
        <v>26</v>
      </c>
      <c r="H113" s="22"/>
      <c r="I113" s="99">
        <v>511</v>
      </c>
      <c r="J113" s="18"/>
      <c r="K113" s="18">
        <v>560</v>
      </c>
      <c r="L113" s="18" t="s">
        <v>51</v>
      </c>
      <c r="M113" s="18">
        <v>0</v>
      </c>
      <c r="N113" s="18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18"/>
      <c r="W113" s="19"/>
      <c r="X113" s="25"/>
      <c r="Y113" s="26"/>
    </row>
    <row r="114" spans="1:26" s="27" customFormat="1" ht="33" customHeight="1" thickBot="1" x14ac:dyDescent="0.35">
      <c r="A114" s="17">
        <v>67</v>
      </c>
      <c r="B114" s="18">
        <v>4319</v>
      </c>
      <c r="C114" s="19"/>
      <c r="D114" s="18" t="s">
        <v>137</v>
      </c>
      <c r="E114" s="20" t="s">
        <v>138</v>
      </c>
      <c r="F114" s="21" t="s">
        <v>139</v>
      </c>
      <c r="G114" s="22" t="s">
        <v>26</v>
      </c>
      <c r="H114" s="22"/>
      <c r="I114" s="99" t="s">
        <v>140</v>
      </c>
      <c r="J114" s="18" t="s">
        <v>141</v>
      </c>
      <c r="K114" s="18" t="s">
        <v>142</v>
      </c>
      <c r="L114" s="18" t="s">
        <v>51</v>
      </c>
      <c r="M114" s="18">
        <v>0</v>
      </c>
      <c r="N114" s="18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18">
        <v>14</v>
      </c>
      <c r="W114" s="19"/>
      <c r="X114" s="25"/>
      <c r="Y114" s="26"/>
    </row>
    <row r="115" spans="1:26" s="27" customFormat="1" ht="33" customHeight="1" thickBot="1" x14ac:dyDescent="0.35">
      <c r="A115" s="17">
        <v>67</v>
      </c>
      <c r="B115" s="18">
        <v>4319</v>
      </c>
      <c r="C115" s="19"/>
      <c r="D115" s="18" t="s">
        <v>143</v>
      </c>
      <c r="E115" s="20" t="s">
        <v>144</v>
      </c>
      <c r="F115" s="21" t="s">
        <v>145</v>
      </c>
      <c r="G115" s="22" t="s">
        <v>26</v>
      </c>
      <c r="H115" s="22"/>
      <c r="I115" s="99" t="s">
        <v>140</v>
      </c>
      <c r="J115" s="18" t="s">
        <v>141</v>
      </c>
      <c r="K115" s="18" t="s">
        <v>142</v>
      </c>
      <c r="L115" s="18" t="s">
        <v>51</v>
      </c>
      <c r="M115" s="18">
        <v>0</v>
      </c>
      <c r="N115" s="18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18" t="s">
        <v>146</v>
      </c>
      <c r="W115" s="19"/>
      <c r="X115" s="25"/>
      <c r="Y115" s="26"/>
    </row>
    <row r="116" spans="1:26" s="94" customFormat="1" ht="33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99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99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100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customHeight="1" thickBot="1" x14ac:dyDescent="0.35">
      <c r="A119" s="17">
        <v>68</v>
      </c>
      <c r="B119" s="18">
        <v>4319</v>
      </c>
      <c r="C119" s="19">
        <v>50133</v>
      </c>
      <c r="D119" s="18" t="s">
        <v>488</v>
      </c>
      <c r="E119" s="20" t="s">
        <v>487</v>
      </c>
      <c r="F119" s="21" t="s">
        <v>360</v>
      </c>
      <c r="G119" s="22" t="s">
        <v>26</v>
      </c>
      <c r="H119" s="22"/>
      <c r="I119" s="99" t="s">
        <v>361</v>
      </c>
      <c r="J119" s="18"/>
      <c r="K119" s="18" t="s">
        <v>362</v>
      </c>
      <c r="L119" s="18" t="s">
        <v>51</v>
      </c>
      <c r="M119" s="18">
        <v>0</v>
      </c>
      <c r="N119" s="18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18" t="s">
        <v>359</v>
      </c>
      <c r="W119" s="19"/>
      <c r="X119" s="25" t="s">
        <v>363</v>
      </c>
      <c r="Y119" s="26"/>
    </row>
    <row r="120" spans="1:26" s="27" customFormat="1" ht="33" customHeight="1" thickBot="1" x14ac:dyDescent="0.35">
      <c r="A120" s="17">
        <v>68</v>
      </c>
      <c r="B120" s="18">
        <v>4319</v>
      </c>
      <c r="C120" s="19">
        <v>50162</v>
      </c>
      <c r="D120" s="18" t="s">
        <v>364</v>
      </c>
      <c r="E120" s="20" t="s">
        <v>486</v>
      </c>
      <c r="F120" s="21" t="s">
        <v>365</v>
      </c>
      <c r="G120" s="22" t="s">
        <v>26</v>
      </c>
      <c r="H120" s="22"/>
      <c r="I120" s="99" t="s">
        <v>361</v>
      </c>
      <c r="J120" s="18"/>
      <c r="K120" s="18" t="s">
        <v>362</v>
      </c>
      <c r="L120" s="18" t="s">
        <v>51</v>
      </c>
      <c r="M120" s="18">
        <v>0</v>
      </c>
      <c r="N120" s="18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18"/>
      <c r="W120" s="19"/>
      <c r="X120" s="25"/>
      <c r="Y120" s="26"/>
    </row>
    <row r="121" spans="1:26" s="27" customFormat="1" ht="33" customHeight="1" thickBot="1" x14ac:dyDescent="0.35">
      <c r="A121" s="17">
        <v>69</v>
      </c>
      <c r="B121" s="18">
        <v>4319</v>
      </c>
      <c r="C121" s="19"/>
      <c r="D121" s="18" t="s">
        <v>491</v>
      </c>
      <c r="E121" s="20" t="s">
        <v>544</v>
      </c>
      <c r="F121" s="21" t="s">
        <v>484</v>
      </c>
      <c r="G121" s="22" t="s">
        <v>485</v>
      </c>
      <c r="H121" s="22"/>
      <c r="I121" s="99" t="s">
        <v>405</v>
      </c>
      <c r="J121" s="18"/>
      <c r="K121" s="18" t="s">
        <v>454</v>
      </c>
      <c r="L121" s="18" t="s">
        <v>28</v>
      </c>
      <c r="M121" s="18">
        <v>1</v>
      </c>
      <c r="N121" s="18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18"/>
      <c r="W121" s="19"/>
      <c r="X121" s="25"/>
      <c r="Y121" s="26"/>
    </row>
    <row r="122" spans="1:26" s="27" customFormat="1" ht="33" customHeight="1" thickBot="1" x14ac:dyDescent="0.35">
      <c r="A122" s="17">
        <v>70</v>
      </c>
      <c r="B122" s="23">
        <v>4319</v>
      </c>
      <c r="C122" s="19"/>
      <c r="D122" s="18" t="s">
        <v>489</v>
      </c>
      <c r="E122" s="20" t="s">
        <v>543</v>
      </c>
      <c r="F122" s="21" t="s">
        <v>490</v>
      </c>
      <c r="G122" s="22" t="s">
        <v>26</v>
      </c>
      <c r="H122" s="22"/>
      <c r="I122" s="99" t="s">
        <v>455</v>
      </c>
      <c r="J122" s="18"/>
      <c r="K122" s="18" t="s">
        <v>456</v>
      </c>
      <c r="L122" s="18" t="s">
        <v>28</v>
      </c>
      <c r="M122" s="18">
        <v>1</v>
      </c>
      <c r="N122" s="18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18"/>
      <c r="W122" s="19"/>
      <c r="X122" s="25"/>
      <c r="Y122" s="26"/>
    </row>
    <row r="123" spans="1:26" s="27" customFormat="1" ht="33" customHeight="1" thickBot="1" x14ac:dyDescent="0.35">
      <c r="A123" s="17">
        <v>71</v>
      </c>
      <c r="B123" s="18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99" t="s">
        <v>457</v>
      </c>
      <c r="J123" s="18"/>
      <c r="K123" s="18" t="s">
        <v>439</v>
      </c>
      <c r="L123" s="18" t="s">
        <v>28</v>
      </c>
      <c r="M123" s="18">
        <v>1</v>
      </c>
      <c r="N123" s="18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18"/>
      <c r="W123" s="19"/>
      <c r="X123" s="25"/>
      <c r="Y123" s="26"/>
    </row>
    <row r="124" spans="1:26" s="27" customFormat="1" ht="33" customHeight="1" thickBot="1" x14ac:dyDescent="0.35">
      <c r="A124" s="17">
        <v>72</v>
      </c>
      <c r="B124" s="18">
        <v>4319</v>
      </c>
      <c r="C124" s="19"/>
      <c r="D124" s="18" t="s">
        <v>511</v>
      </c>
      <c r="E124" s="20" t="s">
        <v>512</v>
      </c>
      <c r="F124" s="21" t="s">
        <v>510</v>
      </c>
      <c r="G124" s="22" t="s">
        <v>26</v>
      </c>
      <c r="H124" s="22"/>
      <c r="I124" s="99" t="s">
        <v>457</v>
      </c>
      <c r="J124" s="18"/>
      <c r="K124" s="18" t="s">
        <v>458</v>
      </c>
      <c r="L124" s="18" t="s">
        <v>28</v>
      </c>
      <c r="M124" s="18">
        <v>1</v>
      </c>
      <c r="N124" s="18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18"/>
      <c r="W124" s="19"/>
      <c r="X124" s="25"/>
      <c r="Y124" s="26"/>
    </row>
    <row r="125" spans="1:26" s="27" customFormat="1" ht="33" customHeight="1" thickBot="1" x14ac:dyDescent="0.35">
      <c r="A125" s="17"/>
      <c r="B125" s="23"/>
      <c r="C125" s="19"/>
      <c r="D125" s="23" t="s">
        <v>583</v>
      </c>
      <c r="E125" s="20" t="s">
        <v>584</v>
      </c>
      <c r="F125" s="21" t="s">
        <v>582</v>
      </c>
      <c r="G125" s="22" t="s">
        <v>26</v>
      </c>
      <c r="H125" s="22"/>
      <c r="I125" s="99" t="s">
        <v>457</v>
      </c>
      <c r="J125" s="23"/>
      <c r="K125" s="23" t="s">
        <v>459</v>
      </c>
      <c r="L125" s="23" t="s">
        <v>28</v>
      </c>
      <c r="M125" s="23">
        <v>1</v>
      </c>
      <c r="N125" s="23">
        <v>0</v>
      </c>
      <c r="O125" s="23" t="s">
        <v>29</v>
      </c>
      <c r="P125" s="24"/>
      <c r="Q125" s="24"/>
      <c r="R125" s="19"/>
      <c r="S125" s="24"/>
      <c r="T125" s="24"/>
      <c r="U125" s="24"/>
      <c r="V125" s="23"/>
      <c r="W125" s="19"/>
      <c r="X125" s="25"/>
      <c r="Y125" s="26"/>
      <c r="Z125" s="27" t="s">
        <v>31</v>
      </c>
    </row>
    <row r="126" spans="1:26" s="27" customFormat="1" ht="33" customHeight="1" thickBot="1" x14ac:dyDescent="0.35">
      <c r="A126" s="17">
        <v>73</v>
      </c>
      <c r="B126" s="18">
        <v>4319</v>
      </c>
      <c r="C126" s="19"/>
      <c r="D126" s="18" t="s">
        <v>513</v>
      </c>
      <c r="E126" s="20" t="s">
        <v>516</v>
      </c>
      <c r="F126" s="21" t="s">
        <v>515</v>
      </c>
      <c r="G126" s="22" t="s">
        <v>26</v>
      </c>
      <c r="H126" s="22"/>
      <c r="I126" s="99" t="s">
        <v>457</v>
      </c>
      <c r="J126" s="18"/>
      <c r="K126" s="18" t="s">
        <v>459</v>
      </c>
      <c r="L126" s="18" t="s">
        <v>51</v>
      </c>
      <c r="M126" s="18">
        <v>0</v>
      </c>
      <c r="N126" s="18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18"/>
      <c r="W126" s="19"/>
      <c r="X126" s="25"/>
      <c r="Y126" s="26"/>
    </row>
    <row r="127" spans="1:26" s="27" customFormat="1" ht="33" customHeight="1" thickBot="1" x14ac:dyDescent="0.35">
      <c r="A127" s="17">
        <v>73</v>
      </c>
      <c r="B127" s="18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99" t="s">
        <v>457</v>
      </c>
      <c r="J127" s="18"/>
      <c r="K127" s="18" t="s">
        <v>459</v>
      </c>
      <c r="L127" s="18" t="s">
        <v>51</v>
      </c>
      <c r="M127" s="18">
        <v>0</v>
      </c>
      <c r="N127" s="18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18"/>
      <c r="W127" s="19"/>
      <c r="X127" s="25"/>
      <c r="Y127" s="26"/>
    </row>
    <row r="128" spans="1:26" s="27" customFormat="1" ht="33" customHeight="1" thickBot="1" x14ac:dyDescent="0.35">
      <c r="A128" s="17">
        <v>74</v>
      </c>
      <c r="B128" s="18">
        <v>4319</v>
      </c>
      <c r="C128" s="19"/>
      <c r="D128" s="18" t="s">
        <v>519</v>
      </c>
      <c r="E128" s="20" t="s">
        <v>520</v>
      </c>
      <c r="F128" s="21" t="s">
        <v>521</v>
      </c>
      <c r="G128" s="22" t="s">
        <v>26</v>
      </c>
      <c r="H128" s="22"/>
      <c r="I128" s="99" t="s">
        <v>457</v>
      </c>
      <c r="J128" s="18"/>
      <c r="K128" s="18" t="s">
        <v>460</v>
      </c>
      <c r="L128" s="18" t="s">
        <v>28</v>
      </c>
      <c r="M128" s="18">
        <v>1</v>
      </c>
      <c r="N128" s="18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18"/>
      <c r="W128" s="19"/>
      <c r="X128" s="25"/>
      <c r="Y128" s="26"/>
    </row>
    <row r="129" spans="1:26" s="27" customFormat="1" ht="33" customHeight="1" thickBot="1" x14ac:dyDescent="0.35">
      <c r="A129" s="17">
        <v>75</v>
      </c>
      <c r="B129" s="18">
        <v>4319</v>
      </c>
      <c r="C129" s="19"/>
      <c r="D129" s="18" t="s">
        <v>524</v>
      </c>
      <c r="E129" s="20" t="s">
        <v>526</v>
      </c>
      <c r="F129" s="21" t="s">
        <v>522</v>
      </c>
      <c r="G129" s="22" t="s">
        <v>26</v>
      </c>
      <c r="H129" s="22"/>
      <c r="I129" s="99" t="s">
        <v>457</v>
      </c>
      <c r="J129" s="18"/>
      <c r="K129" s="18" t="s">
        <v>460</v>
      </c>
      <c r="L129" s="18" t="s">
        <v>51</v>
      </c>
      <c r="M129" s="18">
        <v>0</v>
      </c>
      <c r="N129" s="18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18"/>
      <c r="W129" s="19"/>
      <c r="X129" s="25"/>
      <c r="Y129" s="26"/>
    </row>
    <row r="130" spans="1:26" s="27" customFormat="1" ht="33" customHeight="1" thickBot="1" x14ac:dyDescent="0.35">
      <c r="A130" s="17">
        <v>75</v>
      </c>
      <c r="B130" s="18">
        <v>4319</v>
      </c>
      <c r="C130" s="19"/>
      <c r="D130" s="18" t="s">
        <v>525</v>
      </c>
      <c r="E130" s="20" t="s">
        <v>527</v>
      </c>
      <c r="F130" s="21" t="s">
        <v>523</v>
      </c>
      <c r="G130" s="22" t="s">
        <v>26</v>
      </c>
      <c r="H130" s="22"/>
      <c r="I130" s="99" t="s">
        <v>457</v>
      </c>
      <c r="J130" s="18"/>
      <c r="K130" s="18" t="s">
        <v>460</v>
      </c>
      <c r="L130" s="18" t="s">
        <v>51</v>
      </c>
      <c r="M130" s="18">
        <v>0</v>
      </c>
      <c r="N130" s="18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18"/>
      <c r="W130" s="19"/>
      <c r="X130" s="25"/>
      <c r="Y130" s="26"/>
    </row>
    <row r="131" spans="1:26" s="94" customFormat="1" ht="33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99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18"/>
      <c r="W132" s="19"/>
      <c r="X132" s="25"/>
      <c r="Y132" s="26"/>
    </row>
    <row r="133" spans="1:26" s="27" customFormat="1" ht="33" customHeight="1" thickBot="1" x14ac:dyDescent="0.35">
      <c r="A133" s="17">
        <v>76</v>
      </c>
      <c r="B133" s="18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99" t="s">
        <v>462</v>
      </c>
      <c r="J133" s="18"/>
      <c r="K133" s="18" t="s">
        <v>463</v>
      </c>
      <c r="L133" s="18" t="s">
        <v>51</v>
      </c>
      <c r="M133" s="18">
        <v>0</v>
      </c>
      <c r="N133" s="18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18"/>
      <c r="W133" s="19"/>
      <c r="X133" s="25"/>
      <c r="Y133" s="26"/>
    </row>
    <row r="134" spans="1:26" s="27" customFormat="1" ht="33" customHeight="1" thickBot="1" x14ac:dyDescent="0.35">
      <c r="A134" s="17">
        <v>77</v>
      </c>
      <c r="B134" s="18">
        <v>4319</v>
      </c>
      <c r="C134" s="19"/>
      <c r="D134" s="18" t="s">
        <v>534</v>
      </c>
      <c r="E134" s="20" t="s">
        <v>536</v>
      </c>
      <c r="F134" s="21" t="s">
        <v>532</v>
      </c>
      <c r="G134" s="22" t="s">
        <v>26</v>
      </c>
      <c r="H134" s="22"/>
      <c r="I134" s="99" t="s">
        <v>464</v>
      </c>
      <c r="J134" s="18" t="s">
        <v>460</v>
      </c>
      <c r="K134" s="18" t="s">
        <v>463</v>
      </c>
      <c r="L134" s="18" t="s">
        <v>51</v>
      </c>
      <c r="M134" s="18">
        <v>0</v>
      </c>
      <c r="N134" s="18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18"/>
      <c r="W134" s="19"/>
      <c r="X134" s="25"/>
      <c r="Y134" s="26"/>
    </row>
    <row r="135" spans="1:26" s="27" customFormat="1" ht="33" customHeight="1" thickBot="1" x14ac:dyDescent="0.35">
      <c r="A135" s="17">
        <v>77</v>
      </c>
      <c r="B135" s="18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99" t="s">
        <v>464</v>
      </c>
      <c r="J135" s="18" t="s">
        <v>460</v>
      </c>
      <c r="K135" s="18" t="s">
        <v>463</v>
      </c>
      <c r="L135" s="18" t="s">
        <v>51</v>
      </c>
      <c r="M135" s="18">
        <v>0</v>
      </c>
      <c r="N135" s="18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18"/>
      <c r="W135" s="19"/>
      <c r="X135" s="25"/>
      <c r="Y135" s="26"/>
    </row>
    <row r="136" spans="1:26" s="27" customFormat="1" ht="33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99" t="s">
        <v>458</v>
      </c>
      <c r="J136" s="18" t="s">
        <v>464</v>
      </c>
      <c r="K136" s="18" t="s">
        <v>465</v>
      </c>
      <c r="L136" s="18" t="s">
        <v>51</v>
      </c>
      <c r="M136" s="18">
        <v>0</v>
      </c>
      <c r="N136" s="18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18"/>
      <c r="W136" s="19"/>
      <c r="X136" s="25"/>
      <c r="Y136" s="26"/>
    </row>
    <row r="137" spans="1:26" s="27" customFormat="1" ht="33" customHeight="1" thickBot="1" x14ac:dyDescent="0.35">
      <c r="A137" s="17">
        <v>78</v>
      </c>
      <c r="B137" s="18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99" t="s">
        <v>458</v>
      </c>
      <c r="J137" s="18" t="s">
        <v>464</v>
      </c>
      <c r="K137" s="18" t="s">
        <v>465</v>
      </c>
      <c r="L137" s="18" t="s">
        <v>51</v>
      </c>
      <c r="M137" s="18">
        <v>0</v>
      </c>
      <c r="N137" s="18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18"/>
      <c r="W137" s="19"/>
      <c r="X137" s="25"/>
      <c r="Y137" s="26"/>
    </row>
    <row r="138" spans="1:26" s="94" customFormat="1" ht="33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 t="s">
        <v>31</v>
      </c>
      <c r="V139" s="23"/>
      <c r="W139" s="19"/>
      <c r="X139" s="25"/>
      <c r="Y139" s="26"/>
    </row>
    <row r="140" spans="1:26" s="27" customFormat="1" ht="33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 t="s">
        <v>31</v>
      </c>
      <c r="V140" s="23"/>
      <c r="W140" s="19"/>
      <c r="X140" s="25"/>
      <c r="Y140" s="26"/>
    </row>
    <row r="141" spans="1:26" s="27" customFormat="1" ht="33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 t="s">
        <v>31</v>
      </c>
      <c r="V141" s="23"/>
      <c r="W141" s="19"/>
      <c r="X141" s="25"/>
      <c r="Y141" s="26"/>
    </row>
    <row r="142" spans="1:26" s="27" customFormat="1" ht="33" customHeight="1" thickBot="1" x14ac:dyDescent="0.35">
      <c r="A142" s="17">
        <v>82</v>
      </c>
      <c r="B142" s="18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18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 t="s">
        <v>31</v>
      </c>
      <c r="V142" s="18"/>
      <c r="W142" s="19"/>
      <c r="X142" s="25"/>
      <c r="Y142" s="26"/>
    </row>
    <row r="143" spans="1:26" ht="33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 t="s">
        <v>31</v>
      </c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 t="s">
        <v>208</v>
      </c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>
        <v>1</v>
      </c>
      <c r="N145" s="23">
        <v>0</v>
      </c>
      <c r="O145" s="23" t="s">
        <v>613</v>
      </c>
      <c r="P145" s="24"/>
      <c r="Q145" s="24"/>
      <c r="R145" s="19"/>
      <c r="S145" s="24"/>
      <c r="T145" s="24"/>
      <c r="U145" s="24" t="s">
        <v>31</v>
      </c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>
        <v>1</v>
      </c>
      <c r="N146" s="23">
        <v>0</v>
      </c>
      <c r="O146" s="23" t="s">
        <v>613</v>
      </c>
      <c r="P146" s="24"/>
      <c r="Q146" s="24"/>
      <c r="R146" s="19"/>
      <c r="S146" s="24"/>
      <c r="T146" s="24"/>
      <c r="U146" s="24" t="s">
        <v>31</v>
      </c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>
        <v>1</v>
      </c>
      <c r="N147" s="23">
        <v>0</v>
      </c>
      <c r="O147" s="23" t="s">
        <v>613</v>
      </c>
      <c r="P147" s="24"/>
      <c r="Q147" s="24"/>
      <c r="R147" s="19"/>
      <c r="S147" s="24"/>
      <c r="T147" s="24"/>
      <c r="U147" s="24" t="s">
        <v>31</v>
      </c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>
        <v>1</v>
      </c>
      <c r="N148" s="23">
        <v>0</v>
      </c>
      <c r="O148" s="23" t="s">
        <v>176</v>
      </c>
      <c r="P148" s="24"/>
      <c r="Q148" s="24"/>
      <c r="R148" s="19"/>
      <c r="S148" s="24"/>
      <c r="T148" s="24"/>
      <c r="U148" s="24" t="s">
        <v>31</v>
      </c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>
        <v>1</v>
      </c>
      <c r="N149" s="23">
        <v>0</v>
      </c>
      <c r="O149" s="23" t="s">
        <v>176</v>
      </c>
      <c r="P149" s="24"/>
      <c r="Q149" s="24"/>
      <c r="R149" s="19"/>
      <c r="S149" s="24"/>
      <c r="T149" s="24"/>
      <c r="U149" s="24" t="s">
        <v>31</v>
      </c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>
        <v>1</v>
      </c>
      <c r="N152" s="23">
        <v>0</v>
      </c>
      <c r="O152" s="23" t="s">
        <v>176</v>
      </c>
      <c r="P152" s="24"/>
      <c r="Q152" s="24"/>
      <c r="R152" s="19"/>
      <c r="S152" s="24"/>
      <c r="T152" s="24"/>
      <c r="U152" s="24" t="s">
        <v>31</v>
      </c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>
        <v>1</v>
      </c>
      <c r="N153" s="23">
        <v>0</v>
      </c>
      <c r="O153" s="23" t="s">
        <v>176</v>
      </c>
      <c r="P153" s="24"/>
      <c r="Q153" s="24"/>
      <c r="R153" s="19"/>
      <c r="S153" s="24"/>
      <c r="T153" s="24"/>
      <c r="U153" s="24" t="s">
        <v>31</v>
      </c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>
        <v>1</v>
      </c>
      <c r="N155" s="23">
        <v>0</v>
      </c>
      <c r="O155" s="23" t="s">
        <v>613</v>
      </c>
      <c r="P155" s="24"/>
      <c r="Q155" s="24"/>
      <c r="R155" s="19"/>
      <c r="S155" s="24"/>
      <c r="T155" s="24"/>
      <c r="U155" s="24" t="s">
        <v>31</v>
      </c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>
        <v>1</v>
      </c>
      <c r="N156" s="23">
        <v>0</v>
      </c>
      <c r="O156" s="23" t="s">
        <v>613</v>
      </c>
      <c r="P156" s="24"/>
      <c r="Q156" s="24"/>
      <c r="R156" s="19"/>
      <c r="S156" s="24"/>
      <c r="T156" s="24"/>
      <c r="U156" s="24" t="s">
        <v>31</v>
      </c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>
        <v>0</v>
      </c>
      <c r="N157" s="23">
        <v>1</v>
      </c>
      <c r="O157" s="23" t="s">
        <v>613</v>
      </c>
      <c r="P157" s="24"/>
      <c r="Q157" s="24"/>
      <c r="R157" s="19"/>
      <c r="S157" s="24"/>
      <c r="T157" s="24"/>
      <c r="U157" s="24" t="s">
        <v>31</v>
      </c>
    </row>
    <row r="158" spans="1:21" ht="33" customHeight="1" thickBot="1" x14ac:dyDescent="0.35">
      <c r="A158" s="17"/>
      <c r="B158" s="23"/>
      <c r="C158" s="19"/>
      <c r="D158" s="23"/>
      <c r="E158" s="20"/>
      <c r="F158" s="21"/>
      <c r="G158" s="22"/>
      <c r="H158" s="22"/>
      <c r="I158" s="23" t="s">
        <v>235</v>
      </c>
      <c r="J158" s="23"/>
      <c r="K158" s="23" t="s">
        <v>612</v>
      </c>
      <c r="L158" s="23" t="s">
        <v>51</v>
      </c>
      <c r="M158" s="23">
        <v>0</v>
      </c>
      <c r="N158" s="23">
        <v>1</v>
      </c>
      <c r="O158" s="23" t="s">
        <v>613</v>
      </c>
      <c r="P158" s="24"/>
      <c r="Q158" s="24"/>
      <c r="R158" s="19"/>
      <c r="S158" s="24"/>
      <c r="T158" s="24"/>
      <c r="U158" s="24" t="s">
        <v>31</v>
      </c>
    </row>
    <row r="159" spans="1:21" ht="33" customHeight="1" thickBot="1" x14ac:dyDescent="0.35">
      <c r="A159" s="17"/>
      <c r="B159" s="23"/>
      <c r="C159" s="19"/>
      <c r="D159" s="23"/>
      <c r="E159" s="20"/>
      <c r="F159" s="21"/>
      <c r="G159" s="22"/>
      <c r="H159" s="22"/>
      <c r="I159" s="23" t="s">
        <v>614</v>
      </c>
      <c r="J159" s="23"/>
      <c r="K159" s="23" t="s">
        <v>615</v>
      </c>
      <c r="L159" s="23" t="s">
        <v>28</v>
      </c>
      <c r="M159" s="23">
        <v>1</v>
      </c>
      <c r="N159" s="23">
        <v>0</v>
      </c>
      <c r="O159" s="23" t="s">
        <v>29</v>
      </c>
      <c r="P159" s="24"/>
      <c r="Q159" s="24"/>
      <c r="R159" s="19"/>
      <c r="S159" s="24"/>
      <c r="T159" s="24"/>
      <c r="U159" s="24" t="s">
        <v>31</v>
      </c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  <row r="1411" ht="25.2" x14ac:dyDescent="0.3"/>
    <row r="1412" ht="25.2" x14ac:dyDescent="0.3"/>
    <row r="1413" ht="25.2" x14ac:dyDescent="0.3"/>
    <row r="1414" ht="25.2" x14ac:dyDescent="0.3"/>
  </sheetData>
  <autoFilter ref="A5:U144" xr:uid="{00000000-0009-0000-0000-000000000000}"/>
  <conditionalFormatting sqref="B142:B144 B160:B1048576 B1:B137">
    <cfRule type="cellIs" dxfId="90" priority="31" operator="equal">
      <formula>4231</formula>
    </cfRule>
    <cfRule type="cellIs" dxfId="89" priority="32" operator="equal">
      <formula>4145</formula>
    </cfRule>
    <cfRule type="cellIs" dxfId="88" priority="33" operator="equal">
      <formula>4319</formula>
    </cfRule>
    <cfRule type="cellIs" dxfId="87" priority="34" operator="equal">
      <formula>4230</formula>
    </cfRule>
    <cfRule type="cellIs" dxfId="86" priority="35" operator="equal">
      <formula>4232</formula>
    </cfRule>
  </conditionalFormatting>
  <conditionalFormatting sqref="O160:O315 O6:O137">
    <cfRule type="cellIs" dxfId="85" priority="29" operator="equal">
      <formula>"FIBRA"</formula>
    </cfRule>
    <cfRule type="cellIs" dxfId="84" priority="30" operator="equal">
      <formula>"RADIO"</formula>
    </cfRule>
  </conditionalFormatting>
  <conditionalFormatting sqref="B138:B141">
    <cfRule type="cellIs" dxfId="83" priority="24" operator="equal">
      <formula>4231</formula>
    </cfRule>
    <cfRule type="cellIs" dxfId="82" priority="25" operator="equal">
      <formula>4145</formula>
    </cfRule>
    <cfRule type="cellIs" dxfId="81" priority="26" operator="equal">
      <formula>4319</formula>
    </cfRule>
    <cfRule type="cellIs" dxfId="80" priority="27" operator="equal">
      <formula>4230</formula>
    </cfRule>
    <cfRule type="cellIs" dxfId="79" priority="28" operator="equal">
      <formula>4232</formula>
    </cfRule>
  </conditionalFormatting>
  <conditionalFormatting sqref="O138:O144">
    <cfRule type="cellIs" dxfId="78" priority="22" operator="equal">
      <formula>"FIBRA"</formula>
    </cfRule>
    <cfRule type="cellIs" dxfId="77" priority="23" operator="equal">
      <formula>"RADIO"</formula>
    </cfRule>
  </conditionalFormatting>
  <conditionalFormatting sqref="B145:B154">
    <cfRule type="cellIs" dxfId="76" priority="17" operator="equal">
      <formula>4231</formula>
    </cfRule>
    <cfRule type="cellIs" dxfId="75" priority="18" operator="equal">
      <formula>4145</formula>
    </cfRule>
    <cfRule type="cellIs" dxfId="74" priority="19" operator="equal">
      <formula>4319</formula>
    </cfRule>
    <cfRule type="cellIs" dxfId="73" priority="20" operator="equal">
      <formula>4230</formula>
    </cfRule>
    <cfRule type="cellIs" dxfId="72" priority="21" operator="equal">
      <formula>4232</formula>
    </cfRule>
  </conditionalFormatting>
  <conditionalFormatting sqref="O145:O154">
    <cfRule type="cellIs" dxfId="71" priority="15" operator="equal">
      <formula>"FIBRA"</formula>
    </cfRule>
    <cfRule type="cellIs" dxfId="70" priority="16" operator="equal">
      <formula>"RADIO"</formula>
    </cfRule>
  </conditionalFormatting>
  <conditionalFormatting sqref="B155:B158">
    <cfRule type="cellIs" dxfId="69" priority="10" operator="equal">
      <formula>4231</formula>
    </cfRule>
    <cfRule type="cellIs" dxfId="68" priority="11" operator="equal">
      <formula>4145</formula>
    </cfRule>
    <cfRule type="cellIs" dxfId="67" priority="12" operator="equal">
      <formula>4319</formula>
    </cfRule>
    <cfRule type="cellIs" dxfId="66" priority="13" operator="equal">
      <formula>4230</formula>
    </cfRule>
    <cfRule type="cellIs" dxfId="65" priority="14" operator="equal">
      <formula>4232</formula>
    </cfRule>
  </conditionalFormatting>
  <conditionalFormatting sqref="O155:O158">
    <cfRule type="cellIs" dxfId="64" priority="8" operator="equal">
      <formula>"FIBRA"</formula>
    </cfRule>
    <cfRule type="cellIs" dxfId="63" priority="9" operator="equal">
      <formula>"RADIO"</formula>
    </cfRule>
  </conditionalFormatting>
  <conditionalFormatting sqref="B159">
    <cfRule type="cellIs" dxfId="62" priority="3" operator="equal">
      <formula>4231</formula>
    </cfRule>
    <cfRule type="cellIs" dxfId="61" priority="4" operator="equal">
      <formula>4145</formula>
    </cfRule>
    <cfRule type="cellIs" dxfId="60" priority="5" operator="equal">
      <formula>4319</formula>
    </cfRule>
    <cfRule type="cellIs" dxfId="59" priority="6" operator="equal">
      <formula>4230</formula>
    </cfRule>
    <cfRule type="cellIs" dxfId="58" priority="7" operator="equal">
      <formula>4232</formula>
    </cfRule>
  </conditionalFormatting>
  <conditionalFormatting sqref="O159">
    <cfRule type="cellIs" dxfId="57" priority="1" operator="equal">
      <formula>"FIBRA"</formula>
    </cfRule>
    <cfRule type="cellIs" dxfId="56" priority="2" operator="equal">
      <formula>"RADIO"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6" sqref="C6"/>
    </sheetView>
  </sheetViews>
  <sheetFormatPr baseColWidth="10" defaultRowHeight="14.4" x14ac:dyDescent="0.3"/>
  <cols>
    <col min="1" max="1" width="36.6640625" bestFit="1" customWidth="1"/>
    <col min="3" max="3" width="13.33203125" bestFit="1" customWidth="1"/>
    <col min="4" max="4" width="20.33203125" bestFit="1" customWidth="1"/>
  </cols>
  <sheetData>
    <row r="1" spans="1:5" ht="15" thickTop="1" x14ac:dyDescent="0.3">
      <c r="A1" s="28"/>
      <c r="B1" s="29"/>
      <c r="C1" s="29" t="s">
        <v>470</v>
      </c>
      <c r="D1" s="29" t="s">
        <v>471</v>
      </c>
      <c r="E1" s="30" t="s">
        <v>472</v>
      </c>
    </row>
    <row r="2" spans="1:5" ht="25.2" x14ac:dyDescent="0.3">
      <c r="A2" s="31" t="s">
        <v>473</v>
      </c>
      <c r="B2" s="32" t="s">
        <v>474</v>
      </c>
      <c r="C2" s="32">
        <f>SUM(C3:C4)</f>
        <v>200</v>
      </c>
      <c r="D2" s="32">
        <f>SUM(D3:D4)</f>
        <v>146</v>
      </c>
      <c r="E2" s="33">
        <f>C2-D2</f>
        <v>54</v>
      </c>
    </row>
    <row r="3" spans="1:5" ht="21" x14ac:dyDescent="0.3">
      <c r="A3" s="34"/>
      <c r="B3" s="35" t="s">
        <v>475</v>
      </c>
      <c r="C3" s="35">
        <v>50</v>
      </c>
      <c r="D3" s="35">
        <f>listado!M4</f>
        <v>45</v>
      </c>
      <c r="E3" s="36">
        <f>C3-D3</f>
        <v>5</v>
      </c>
    </row>
    <row r="4" spans="1:5" ht="21.6" thickBot="1" x14ac:dyDescent="0.35">
      <c r="A4" s="37"/>
      <c r="B4" s="38" t="s">
        <v>476</v>
      </c>
      <c r="C4" s="38">
        <v>150</v>
      </c>
      <c r="D4" s="38">
        <f>listado!N4</f>
        <v>101</v>
      </c>
      <c r="E4" s="39">
        <f>C4-D4</f>
        <v>49</v>
      </c>
    </row>
    <row r="5" spans="1:5" ht="15.6" thickTop="1" thickBot="1" x14ac:dyDescent="0.35">
      <c r="A5" s="40"/>
      <c r="B5" s="40"/>
      <c r="C5" s="40"/>
      <c r="D5" s="40"/>
      <c r="E5" s="40"/>
    </row>
    <row r="6" spans="1:5" ht="24" thickTop="1" thickBot="1" x14ac:dyDescent="0.45">
      <c r="A6" s="41" t="s">
        <v>13</v>
      </c>
      <c r="B6" s="42"/>
      <c r="C6" s="43">
        <v>85</v>
      </c>
      <c r="D6" s="44"/>
      <c r="E6" s="45"/>
    </row>
    <row r="7" spans="1:5" ht="23.4" thickTop="1" x14ac:dyDescent="0.4">
      <c r="A7" s="46"/>
      <c r="B7" s="46"/>
      <c r="C7" s="47"/>
      <c r="D7" s="46"/>
      <c r="E7" s="46"/>
    </row>
    <row r="8" spans="1:5" ht="23.4" thickBot="1" x14ac:dyDescent="0.45">
      <c r="A8" s="48"/>
      <c r="B8" s="48"/>
      <c r="C8" s="48"/>
      <c r="D8" s="48"/>
      <c r="E8" s="48"/>
    </row>
    <row r="9" spans="1:5" ht="24" thickTop="1" thickBot="1" x14ac:dyDescent="0.45">
      <c r="A9" s="49" t="s">
        <v>477</v>
      </c>
      <c r="B9" s="50"/>
      <c r="C9" s="50"/>
      <c r="D9" s="51">
        <f>COUNTIF(listado!U:U, "=bonomo sistemas")</f>
        <v>121</v>
      </c>
      <c r="E9" s="52"/>
    </row>
    <row r="10" spans="1:5" ht="24" thickTop="1" thickBot="1" x14ac:dyDescent="0.45">
      <c r="A10" s="53" t="s">
        <v>208</v>
      </c>
      <c r="B10" s="54"/>
      <c r="C10" s="54"/>
      <c r="D10" s="56">
        <f>COUNTIF(listado!U:U, "=ipcoms")</f>
        <v>24</v>
      </c>
      <c r="E10" s="55"/>
    </row>
    <row r="11" spans="1:5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6DEC-A411-482D-A5F5-9FEB047A2328}">
  <sheetPr filterMode="1"/>
  <dimension ref="A1:Z1410"/>
  <sheetViews>
    <sheetView showGridLines="0" zoomScale="70" zoomScaleNormal="70" workbookViewId="0">
      <pane ySplit="5" topLeftCell="A142" activePane="bottomLeft" state="frozen"/>
      <selection activeCell="F1" sqref="F1"/>
      <selection pane="bottomLeft" activeCell="L137" sqref="L137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>
        <f>M4+N4/2</f>
        <v>83.5</v>
      </c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hidden="1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hidden="1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hidden="1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hidden="1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hidden="1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hidden="1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hidden="1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hidden="1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hidden="1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hidden="1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hidden="1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hidden="1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hidden="1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hidden="1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hidden="1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hidden="1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hidden="1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hidden="1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hidden="1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hidden="1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hidden="1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hidden="1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hidden="1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/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1">
      <filters blank="1"/>
    </filterColumn>
    <filterColumn colId="20">
      <filters blank="1">
        <filter val="BONOMO SISTEMAS"/>
      </filters>
    </filterColumn>
  </autoFilter>
  <conditionalFormatting sqref="B1:B137 B142:B144 B158:B1048576">
    <cfRule type="cellIs" dxfId="55" priority="24" operator="equal">
      <formula>4231</formula>
    </cfRule>
    <cfRule type="cellIs" dxfId="54" priority="25" operator="equal">
      <formula>4145</formula>
    </cfRule>
    <cfRule type="cellIs" dxfId="53" priority="26" operator="equal">
      <formula>4319</formula>
    </cfRule>
    <cfRule type="cellIs" dxfId="52" priority="27" operator="equal">
      <formula>4230</formula>
    </cfRule>
    <cfRule type="cellIs" dxfId="51" priority="28" operator="equal">
      <formula>4232</formula>
    </cfRule>
  </conditionalFormatting>
  <conditionalFormatting sqref="O158:O315 O6:O137">
    <cfRule type="cellIs" dxfId="50" priority="22" operator="equal">
      <formula>"FIBRA"</formula>
    </cfRule>
    <cfRule type="cellIs" dxfId="49" priority="23" operator="equal">
      <formula>"RADIO"</formula>
    </cfRule>
  </conditionalFormatting>
  <conditionalFormatting sqref="B138:B141">
    <cfRule type="cellIs" dxfId="48" priority="17" operator="equal">
      <formula>4231</formula>
    </cfRule>
    <cfRule type="cellIs" dxfId="47" priority="18" operator="equal">
      <formula>4145</formula>
    </cfRule>
    <cfRule type="cellIs" dxfId="46" priority="19" operator="equal">
      <formula>4319</formula>
    </cfRule>
    <cfRule type="cellIs" dxfId="45" priority="20" operator="equal">
      <formula>4230</formula>
    </cfRule>
    <cfRule type="cellIs" dxfId="44" priority="21" operator="equal">
      <formula>4232</formula>
    </cfRule>
  </conditionalFormatting>
  <conditionalFormatting sqref="O138:O144">
    <cfRule type="cellIs" dxfId="43" priority="15" operator="equal">
      <formula>"FIBRA"</formula>
    </cfRule>
    <cfRule type="cellIs" dxfId="42" priority="16" operator="equal">
      <formula>"RADIO"</formula>
    </cfRule>
  </conditionalFormatting>
  <conditionalFormatting sqref="B145:B154">
    <cfRule type="cellIs" dxfId="41" priority="10" operator="equal">
      <formula>4231</formula>
    </cfRule>
    <cfRule type="cellIs" dxfId="40" priority="11" operator="equal">
      <formula>4145</formula>
    </cfRule>
    <cfRule type="cellIs" dxfId="39" priority="12" operator="equal">
      <formula>4319</formula>
    </cfRule>
    <cfRule type="cellIs" dxfId="38" priority="13" operator="equal">
      <formula>4230</formula>
    </cfRule>
    <cfRule type="cellIs" dxfId="37" priority="14" operator="equal">
      <formula>4232</formula>
    </cfRule>
  </conditionalFormatting>
  <conditionalFormatting sqref="O145:O154">
    <cfRule type="cellIs" dxfId="36" priority="8" operator="equal">
      <formula>"FIBRA"</formula>
    </cfRule>
    <cfRule type="cellIs" dxfId="35" priority="9" operator="equal">
      <formula>"RADIO"</formula>
    </cfRule>
  </conditionalFormatting>
  <conditionalFormatting sqref="B155:B157">
    <cfRule type="cellIs" dxfId="34" priority="3" operator="equal">
      <formula>4231</formula>
    </cfRule>
    <cfRule type="cellIs" dxfId="33" priority="4" operator="equal">
      <formula>4145</formula>
    </cfRule>
    <cfRule type="cellIs" dxfId="32" priority="5" operator="equal">
      <formula>4319</formula>
    </cfRule>
    <cfRule type="cellIs" dxfId="31" priority="6" operator="equal">
      <formula>4230</formula>
    </cfRule>
    <cfRule type="cellIs" dxfId="30" priority="7" operator="equal">
      <formula>4232</formula>
    </cfRule>
  </conditionalFormatting>
  <conditionalFormatting sqref="O155:O157">
    <cfRule type="cellIs" dxfId="29" priority="1" operator="equal">
      <formula>"FIBRA"</formula>
    </cfRule>
    <cfRule type="cellIs" dxfId="28" priority="2" operator="equal">
      <formula>"RADIO"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FD89-BB0D-4D0E-94BC-02CC7A1BAFEC}">
  <sheetPr filterMode="1"/>
  <dimension ref="A1:Z1410"/>
  <sheetViews>
    <sheetView showGridLines="0" topLeftCell="G1" zoomScale="70" zoomScaleNormal="70" workbookViewId="0">
      <pane ySplit="5" topLeftCell="A150" activePane="bottomLeft" state="frozen"/>
      <selection activeCell="F1" sqref="F1"/>
      <selection pane="bottomLeft" activeCell="U145" sqref="U145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hidden="1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hidden="1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hidden="1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hidden="1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hidden="1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hidden="1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hidden="1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hidden="1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hidden="1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hidden="1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hidden="1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hidden="1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hidden="1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hidden="1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hidden="1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 t="s">
        <v>208</v>
      </c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20">
      <filters>
        <filter val="IPCOMS"/>
      </filters>
    </filterColumn>
  </autoFilter>
  <conditionalFormatting sqref="B1:B137 B142:B144 B158:B1048576">
    <cfRule type="cellIs" dxfId="27" priority="24" operator="equal">
      <formula>4231</formula>
    </cfRule>
    <cfRule type="cellIs" dxfId="26" priority="25" operator="equal">
      <formula>4145</formula>
    </cfRule>
    <cfRule type="cellIs" dxfId="25" priority="26" operator="equal">
      <formula>4319</formula>
    </cfRule>
    <cfRule type="cellIs" dxfId="24" priority="27" operator="equal">
      <formula>4230</formula>
    </cfRule>
    <cfRule type="cellIs" dxfId="23" priority="28" operator="equal">
      <formula>4232</formula>
    </cfRule>
  </conditionalFormatting>
  <conditionalFormatting sqref="O158:O315 O6:O137">
    <cfRule type="cellIs" dxfId="22" priority="22" operator="equal">
      <formula>"FIBRA"</formula>
    </cfRule>
    <cfRule type="cellIs" dxfId="21" priority="23" operator="equal">
      <formula>"RADIO"</formula>
    </cfRule>
  </conditionalFormatting>
  <conditionalFormatting sqref="B138:B141">
    <cfRule type="cellIs" dxfId="20" priority="17" operator="equal">
      <formula>4231</formula>
    </cfRule>
    <cfRule type="cellIs" dxfId="19" priority="18" operator="equal">
      <formula>4145</formula>
    </cfRule>
    <cfRule type="cellIs" dxfId="18" priority="19" operator="equal">
      <formula>4319</formula>
    </cfRule>
    <cfRule type="cellIs" dxfId="17" priority="20" operator="equal">
      <formula>4230</formula>
    </cfRule>
    <cfRule type="cellIs" dxfId="16" priority="21" operator="equal">
      <formula>4232</formula>
    </cfRule>
  </conditionalFormatting>
  <conditionalFormatting sqref="O138:O144">
    <cfRule type="cellIs" dxfId="15" priority="15" operator="equal">
      <formula>"FIBRA"</formula>
    </cfRule>
    <cfRule type="cellIs" dxfId="14" priority="16" operator="equal">
      <formula>"RADIO"</formula>
    </cfRule>
  </conditionalFormatting>
  <conditionalFormatting sqref="B145:B154">
    <cfRule type="cellIs" dxfId="13" priority="10" operator="equal">
      <formula>4231</formula>
    </cfRule>
    <cfRule type="cellIs" dxfId="12" priority="11" operator="equal">
      <formula>4145</formula>
    </cfRule>
    <cfRule type="cellIs" dxfId="11" priority="12" operator="equal">
      <formula>4319</formula>
    </cfRule>
    <cfRule type="cellIs" dxfId="10" priority="13" operator="equal">
      <formula>4230</formula>
    </cfRule>
    <cfRule type="cellIs" dxfId="9" priority="14" operator="equal">
      <formula>4232</formula>
    </cfRule>
  </conditionalFormatting>
  <conditionalFormatting sqref="O145:O154">
    <cfRule type="cellIs" dxfId="8" priority="8" operator="equal">
      <formula>"FIBRA"</formula>
    </cfRule>
    <cfRule type="cellIs" dxfId="7" priority="9" operator="equal">
      <formula>"RADIO"</formula>
    </cfRule>
  </conditionalFormatting>
  <conditionalFormatting sqref="B155:B157">
    <cfRule type="cellIs" dxfId="6" priority="3" operator="equal">
      <formula>4231</formula>
    </cfRule>
    <cfRule type="cellIs" dxfId="5" priority="4" operator="equal">
      <formula>4145</formula>
    </cfRule>
    <cfRule type="cellIs" dxfId="4" priority="5" operator="equal">
      <formula>4319</formula>
    </cfRule>
    <cfRule type="cellIs" dxfId="3" priority="6" operator="equal">
      <formula>4230</formula>
    </cfRule>
    <cfRule type="cellIs" dxfId="2" priority="7" operator="equal">
      <formula>4232</formula>
    </cfRule>
  </conditionalFormatting>
  <conditionalFormatting sqref="O155:O157">
    <cfRule type="cellIs" dxfId="1" priority="1" operator="equal">
      <formula>"FIBRA"</formula>
    </cfRule>
    <cfRule type="cellIs" dxfId="0" priority="2" operator="equal">
      <formula>"RADIO"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</vt:lpstr>
      <vt:lpstr>resumen</vt:lpstr>
      <vt:lpstr>bonomo</vt:lpstr>
      <vt:lpstr>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2021-11-09T17:27:25Z</dcterms:created>
  <dcterms:modified xsi:type="dcterms:W3CDTF">2022-04-19T15:16:42Z</dcterms:modified>
</cp:coreProperties>
</file>