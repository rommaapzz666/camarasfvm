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FF146A75-7DF1-43A9-9C8E-FD7E6D21F1EC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Q1" i="2" l="1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AG2" i="21" l="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2" i="14" l="1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<sst xmlns="http://schemas.openxmlformats.org/spreadsheetml/2006/main" count="3528" uniqueCount="1333">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</sst>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1679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  <c:pt idx="10">
                  <c:v>17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  <c:pt idx="10">
                  <c:v>59</c:v>
                </c:pt>
                <c:pt idx="11">
                  <c:v>47</c:v>
                </c:pt>
                <c:pt idx="12">
                  <c:v>52</c:v>
                </c:pt>
                <c:pt idx="1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workbookViewId="0">
      <pane xSplit="14" ySplit="4" topLeftCell="AA186" activePane="bottomRight" state="frozen"/>
      <selection pane="topRight" activeCell="M1" sqref="M1"/>
      <selection pane="bottomLeft" activeCell="A5" sqref="A5"/>
      <selection pane="bottomRight" activeCell="A199" sqref="A199:XFD200"/>
    </sheetView>
  </sheetViews>
  <sheetFormatPr baseColWidth="10" defaultRowHeight="14.4" x14ac:dyDescent="0.3"/>
  <cols>
    <col min="1" max="1" width="26.77734375" bestFit="1" customWidth="1"/>
    <col min="2" max="2" width="8.109375" bestFit="1" customWidth="1"/>
    <col min="3" max="3" width="38.109375" style="46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7"/>
      <c r="C1" s="43">
        <f>COUNTA(C5:C527)</f>
        <v>368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" thickBot="1" x14ac:dyDescent="0.35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" thickBot="1" x14ac:dyDescent="0.35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" thickBot="1" x14ac:dyDescent="0.35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" thickBot="1" x14ac:dyDescent="0.35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" thickBot="1" x14ac:dyDescent="0.35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" thickBot="1" x14ac:dyDescent="0.35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" thickBot="1" x14ac:dyDescent="0.35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" thickBot="1" x14ac:dyDescent="0.35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" thickBot="1" x14ac:dyDescent="0.35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" thickBot="1" x14ac:dyDescent="0.35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" thickBot="1" x14ac:dyDescent="0.35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" thickBot="1" x14ac:dyDescent="0.35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" thickBot="1" x14ac:dyDescent="0.35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" thickBot="1" x14ac:dyDescent="0.35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" thickBot="1" x14ac:dyDescent="0.35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" thickBot="1" x14ac:dyDescent="0.35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" thickBot="1" x14ac:dyDescent="0.35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" thickBot="1" x14ac:dyDescent="0.35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" thickBot="1" x14ac:dyDescent="0.35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" thickBot="1" x14ac:dyDescent="0.35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" thickBot="1" x14ac:dyDescent="0.35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" thickBot="1" x14ac:dyDescent="0.35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" thickBot="1" x14ac:dyDescent="0.35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" thickBot="1" x14ac:dyDescent="0.35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" thickBot="1" x14ac:dyDescent="0.35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27</v>
      </c>
      <c r="M30" s="17">
        <f t="shared" si="6"/>
        <v>1</v>
      </c>
      <c r="N30" s="18">
        <f t="shared" si="7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" thickBot="1" x14ac:dyDescent="0.35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" thickBot="1" x14ac:dyDescent="0.35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" thickBot="1" x14ac:dyDescent="0.35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" thickBot="1" x14ac:dyDescent="0.35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" thickBot="1" x14ac:dyDescent="0.35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" thickBot="1" x14ac:dyDescent="0.35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" thickBot="1" x14ac:dyDescent="0.35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" thickBot="1" x14ac:dyDescent="0.35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" thickBot="1" x14ac:dyDescent="0.35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" thickBot="1" x14ac:dyDescent="0.35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" thickBot="1" x14ac:dyDescent="0.35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20</v>
      </c>
      <c r="M41" s="17">
        <f t="shared" si="6"/>
        <v>8</v>
      </c>
      <c r="N41" s="18">
        <f t="shared" si="7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" thickBot="1" x14ac:dyDescent="0.35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" thickBot="1" x14ac:dyDescent="0.35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" thickBot="1" x14ac:dyDescent="0.35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17</v>
      </c>
      <c r="M44" s="17">
        <f t="shared" si="6"/>
        <v>11</v>
      </c>
      <c r="N44" s="18">
        <f t="shared" si="7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" thickBot="1" x14ac:dyDescent="0.35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" thickBot="1" x14ac:dyDescent="0.35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" thickBot="1" x14ac:dyDescent="0.35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" thickBot="1" x14ac:dyDescent="0.35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" thickBot="1" x14ac:dyDescent="0.35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" thickBot="1" x14ac:dyDescent="0.35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" thickBot="1" x14ac:dyDescent="0.35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" thickBot="1" x14ac:dyDescent="0.35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17</v>
      </c>
      <c r="M52" s="17">
        <f t="shared" si="6"/>
        <v>11</v>
      </c>
      <c r="N52" s="18">
        <f t="shared" si="7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" thickBot="1" x14ac:dyDescent="0.35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" thickBot="1" x14ac:dyDescent="0.35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" thickBot="1" x14ac:dyDescent="0.35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" thickBot="1" x14ac:dyDescent="0.35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" thickBot="1" x14ac:dyDescent="0.35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" thickBot="1" x14ac:dyDescent="0.35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" thickBot="1" x14ac:dyDescent="0.35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" thickBot="1" x14ac:dyDescent="0.35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" thickBot="1" x14ac:dyDescent="0.35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" thickBot="1" x14ac:dyDescent="0.35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" thickBot="1" x14ac:dyDescent="0.35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" thickBot="1" x14ac:dyDescent="0.35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" thickBot="1" x14ac:dyDescent="0.35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" thickBot="1" x14ac:dyDescent="0.35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" thickBot="1" x14ac:dyDescent="0.35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" thickBot="1" x14ac:dyDescent="0.35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" thickBot="1" x14ac:dyDescent="0.35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" thickBot="1" x14ac:dyDescent="0.35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18</v>
      </c>
      <c r="M70" s="17">
        <f t="shared" si="9"/>
        <v>10</v>
      </c>
      <c r="N70" s="18">
        <f t="shared" si="10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" thickBot="1" x14ac:dyDescent="0.35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" thickBot="1" x14ac:dyDescent="0.35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" thickBot="1" x14ac:dyDescent="0.35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" thickBot="1" x14ac:dyDescent="0.35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" thickBot="1" x14ac:dyDescent="0.35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" thickBot="1" x14ac:dyDescent="0.35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" thickBot="1" x14ac:dyDescent="0.35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" thickBot="1" x14ac:dyDescent="0.35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" thickBot="1" x14ac:dyDescent="0.35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" thickBot="1" x14ac:dyDescent="0.35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14</v>
      </c>
      <c r="M80" s="17">
        <f t="shared" si="9"/>
        <v>14</v>
      </c>
      <c r="N80" s="18">
        <f t="shared" si="10"/>
        <v>0.5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 t="s">
        <v>939</v>
      </c>
      <c r="AC80" s="28"/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" thickBot="1" x14ac:dyDescent="0.35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" thickBot="1" x14ac:dyDescent="0.35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" thickBot="1" x14ac:dyDescent="0.35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" thickBot="1" x14ac:dyDescent="0.35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" thickBot="1" x14ac:dyDescent="0.35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" thickBot="1" x14ac:dyDescent="0.35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" thickBot="1" x14ac:dyDescent="0.35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" thickBot="1" x14ac:dyDescent="0.35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" thickBot="1" x14ac:dyDescent="0.35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19</v>
      </c>
      <c r="M89" s="17">
        <f t="shared" si="9"/>
        <v>9</v>
      </c>
      <c r="N89" s="18">
        <f t="shared" si="10"/>
        <v>0.6785714285714286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" thickBot="1" x14ac:dyDescent="0.35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18</v>
      </c>
      <c r="M90" s="17">
        <f t="shared" si="9"/>
        <v>10</v>
      </c>
      <c r="N90" s="18">
        <f t="shared" si="10"/>
        <v>0.6428571428571429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5" customHeight="1" thickBot="1" x14ac:dyDescent="0.35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14</v>
      </c>
      <c r="M91" s="17">
        <f t="shared" si="9"/>
        <v>14</v>
      </c>
      <c r="N91" s="18">
        <f t="shared" si="10"/>
        <v>0.5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 t="s">
        <v>939</v>
      </c>
      <c r="AC91" s="28"/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" thickBot="1" x14ac:dyDescent="0.35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14</v>
      </c>
      <c r="M92" s="17">
        <f t="shared" si="9"/>
        <v>14</v>
      </c>
      <c r="N92" s="18">
        <f t="shared" si="10"/>
        <v>0.5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 t="s">
        <v>939</v>
      </c>
      <c r="AC92" s="28"/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" thickBot="1" x14ac:dyDescent="0.35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" thickBot="1" x14ac:dyDescent="0.35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" thickBot="1" x14ac:dyDescent="0.35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" thickBot="1" x14ac:dyDescent="0.35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" thickBot="1" x14ac:dyDescent="0.35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" thickBot="1" x14ac:dyDescent="0.35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" thickBot="1" x14ac:dyDescent="0.35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" thickBot="1" x14ac:dyDescent="0.35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" thickBot="1" x14ac:dyDescent="0.35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" thickBot="1" x14ac:dyDescent="0.35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" thickBot="1" x14ac:dyDescent="0.35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" thickBot="1" x14ac:dyDescent="0.35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24</v>
      </c>
      <c r="M104" s="17">
        <f t="shared" si="9"/>
        <v>4</v>
      </c>
      <c r="N104" s="18">
        <f t="shared" si="10"/>
        <v>0.8571428571428571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 t="s">
        <v>939</v>
      </c>
      <c r="AC104" s="28"/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2" customHeight="1" thickBot="1" x14ac:dyDescent="0.35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24</v>
      </c>
      <c r="M105" s="17">
        <f t="shared" si="9"/>
        <v>4</v>
      </c>
      <c r="N105" s="18">
        <f t="shared" si="10"/>
        <v>0.8571428571428571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 t="s">
        <v>939</v>
      </c>
      <c r="AC105" s="28"/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" thickBot="1" x14ac:dyDescent="0.35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24</v>
      </c>
      <c r="M106" s="17">
        <f t="shared" si="9"/>
        <v>4</v>
      </c>
      <c r="N106" s="18">
        <f t="shared" si="10"/>
        <v>0.8571428571428571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 t="s">
        <v>939</v>
      </c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" thickBot="1" x14ac:dyDescent="0.35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24</v>
      </c>
      <c r="M107" s="17">
        <f t="shared" si="9"/>
        <v>4</v>
      </c>
      <c r="N107" s="18">
        <f t="shared" si="10"/>
        <v>0.8571428571428571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 t="s">
        <v>939</v>
      </c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" thickBot="1" x14ac:dyDescent="0.35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24</v>
      </c>
      <c r="M108" s="17">
        <f t="shared" si="9"/>
        <v>4</v>
      </c>
      <c r="N108" s="18">
        <f t="shared" si="10"/>
        <v>0.8571428571428571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 t="s">
        <v>939</v>
      </c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" thickBot="1" x14ac:dyDescent="0.35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24</v>
      </c>
      <c r="M109" s="17">
        <f t="shared" si="9"/>
        <v>4</v>
      </c>
      <c r="N109" s="18">
        <f t="shared" si="10"/>
        <v>0.8571428571428571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 t="s">
        <v>939</v>
      </c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" thickBot="1" x14ac:dyDescent="0.35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" thickBot="1" x14ac:dyDescent="0.35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" thickBot="1" x14ac:dyDescent="0.35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26</v>
      </c>
      <c r="M112" s="17">
        <f t="shared" si="9"/>
        <v>2</v>
      </c>
      <c r="N112" s="18">
        <f t="shared" si="10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" thickBot="1" x14ac:dyDescent="0.35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" thickBot="1" x14ac:dyDescent="0.35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" thickBot="1" x14ac:dyDescent="0.35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" thickBot="1" x14ac:dyDescent="0.35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18</v>
      </c>
      <c r="M116" s="17">
        <f t="shared" si="9"/>
        <v>10</v>
      </c>
      <c r="N116" s="18">
        <f t="shared" si="10"/>
        <v>0.6428571428571429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" thickBot="1" x14ac:dyDescent="0.35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" thickBot="1" x14ac:dyDescent="0.35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" thickBot="1" x14ac:dyDescent="0.35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" thickBot="1" x14ac:dyDescent="0.35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 t="s">
        <v>939</v>
      </c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" thickBot="1" x14ac:dyDescent="0.35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 t="s">
        <v>939</v>
      </c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" thickBot="1" x14ac:dyDescent="0.35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23</v>
      </c>
      <c r="M122" s="17">
        <f t="shared" si="9"/>
        <v>5</v>
      </c>
      <c r="N122" s="18">
        <f t="shared" si="10"/>
        <v>0.8214285714285714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 t="s">
        <v>939</v>
      </c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" thickBot="1" x14ac:dyDescent="0.35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23</v>
      </c>
      <c r="M123" s="17">
        <f t="shared" si="9"/>
        <v>5</v>
      </c>
      <c r="N123" s="18">
        <f t="shared" si="10"/>
        <v>0.8214285714285714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 t="s">
        <v>939</v>
      </c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" thickBot="1" x14ac:dyDescent="0.35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" thickBot="1" x14ac:dyDescent="0.35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" thickBot="1" x14ac:dyDescent="0.35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" thickBot="1" x14ac:dyDescent="0.35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" thickBot="1" x14ac:dyDescent="0.35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" thickBot="1" x14ac:dyDescent="0.35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23</v>
      </c>
      <c r="M129" s="17">
        <f t="shared" si="9"/>
        <v>5</v>
      </c>
      <c r="N129" s="18">
        <f t="shared" si="10"/>
        <v>0.8214285714285714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 t="s">
        <v>939</v>
      </c>
      <c r="AC129" s="28"/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" thickBot="1" x14ac:dyDescent="0.35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24</v>
      </c>
      <c r="M130" s="17">
        <f t="shared" si="9"/>
        <v>4</v>
      </c>
      <c r="N130" s="18">
        <f t="shared" si="10"/>
        <v>0.8571428571428571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 t="s">
        <v>939</v>
      </c>
      <c r="AC130" s="28"/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" thickBot="1" x14ac:dyDescent="0.35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" thickBot="1" x14ac:dyDescent="0.35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" thickBot="1" x14ac:dyDescent="0.35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14</v>
      </c>
      <c r="M133" s="17">
        <f t="shared" ref="M133:M196" si="12">COUNTIF(O133:AP133,"APAGADO")</f>
        <v>14</v>
      </c>
      <c r="N133" s="18">
        <f t="shared" ref="N133:N196" si="13">(L133)/(M133+L133)</f>
        <v>0.5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 t="s">
        <v>939</v>
      </c>
      <c r="AC133" s="28"/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" thickBot="1" x14ac:dyDescent="0.35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" thickBot="1" x14ac:dyDescent="0.35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" thickBot="1" x14ac:dyDescent="0.35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" thickBot="1" x14ac:dyDescent="0.35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" thickBot="1" x14ac:dyDescent="0.35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24</v>
      </c>
      <c r="M138" s="17">
        <f t="shared" si="12"/>
        <v>4</v>
      </c>
      <c r="N138" s="18">
        <f t="shared" si="13"/>
        <v>0.8571428571428571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 t="s">
        <v>939</v>
      </c>
      <c r="AC138" s="28"/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" thickBot="1" x14ac:dyDescent="0.35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24</v>
      </c>
      <c r="M139" s="17">
        <f t="shared" si="12"/>
        <v>4</v>
      </c>
      <c r="N139" s="18">
        <f t="shared" si="13"/>
        <v>0.8571428571428571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 t="s">
        <v>939</v>
      </c>
      <c r="AC139" s="28"/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" thickBot="1" x14ac:dyDescent="0.35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24</v>
      </c>
      <c r="M140" s="17">
        <f t="shared" si="12"/>
        <v>4</v>
      </c>
      <c r="N140" s="18">
        <f t="shared" si="13"/>
        <v>0.8571428571428571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 t="s">
        <v>939</v>
      </c>
      <c r="AC140" s="28"/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" thickBot="1" x14ac:dyDescent="0.35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23</v>
      </c>
      <c r="M141" s="17">
        <f t="shared" si="12"/>
        <v>5</v>
      </c>
      <c r="N141" s="18">
        <f t="shared" si="13"/>
        <v>0.8214285714285714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 t="s">
        <v>939</v>
      </c>
      <c r="AC141" s="28"/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" thickBot="1" x14ac:dyDescent="0.35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27</v>
      </c>
      <c r="M142" s="17">
        <f t="shared" si="12"/>
        <v>1</v>
      </c>
      <c r="N142" s="18">
        <f t="shared" si="13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" thickBot="1" x14ac:dyDescent="0.35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" thickBot="1" x14ac:dyDescent="0.35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" thickBot="1" x14ac:dyDescent="0.35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" thickBot="1" x14ac:dyDescent="0.35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" thickBot="1" x14ac:dyDescent="0.35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" thickBot="1" x14ac:dyDescent="0.35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" thickBot="1" x14ac:dyDescent="0.35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" thickBot="1" x14ac:dyDescent="0.35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" thickBot="1" x14ac:dyDescent="0.35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" thickBot="1" x14ac:dyDescent="0.35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" thickBot="1" x14ac:dyDescent="0.35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21</v>
      </c>
      <c r="M153" s="17">
        <f t="shared" si="12"/>
        <v>7</v>
      </c>
      <c r="N153" s="18">
        <f t="shared" si="13"/>
        <v>0.75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 t="s">
        <v>939</v>
      </c>
      <c r="AC153" s="28"/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" thickBot="1" x14ac:dyDescent="0.35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" thickBot="1" x14ac:dyDescent="0.35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" thickBot="1" x14ac:dyDescent="0.35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15</v>
      </c>
      <c r="M156" s="17">
        <f t="shared" si="12"/>
        <v>13</v>
      </c>
      <c r="N156" s="18">
        <f t="shared" si="13"/>
        <v>0.5357142857142857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 t="s">
        <v>939</v>
      </c>
      <c r="AC156" s="28"/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" thickBot="1" x14ac:dyDescent="0.35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" thickBot="1" x14ac:dyDescent="0.35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" thickBot="1" x14ac:dyDescent="0.35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15</v>
      </c>
      <c r="M159" s="17">
        <f t="shared" si="12"/>
        <v>13</v>
      </c>
      <c r="N159" s="18">
        <f t="shared" si="13"/>
        <v>0.5357142857142857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 t="s">
        <v>939</v>
      </c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" thickBot="1" x14ac:dyDescent="0.35"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16</v>
      </c>
      <c r="M160" s="17">
        <f t="shared" si="12"/>
        <v>12</v>
      </c>
      <c r="N160" s="18">
        <f t="shared" si="13"/>
        <v>0.5714285714285714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 t="s">
        <v>939</v>
      </c>
      <c r="AC160" s="28"/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" thickBot="1" x14ac:dyDescent="0.35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" thickBot="1" x14ac:dyDescent="0.35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" thickBot="1" x14ac:dyDescent="0.35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15</v>
      </c>
      <c r="M163" s="17">
        <f t="shared" si="12"/>
        <v>13</v>
      </c>
      <c r="N163" s="18">
        <f t="shared" si="13"/>
        <v>0.5357142857142857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 t="s">
        <v>939</v>
      </c>
      <c r="AC163" s="28"/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" thickBot="1" x14ac:dyDescent="0.35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15</v>
      </c>
      <c r="M164" s="17">
        <f t="shared" si="12"/>
        <v>13</v>
      </c>
      <c r="N164" s="18">
        <f t="shared" si="13"/>
        <v>0.5357142857142857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 t="s">
        <v>939</v>
      </c>
      <c r="AC164" s="28"/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" thickBot="1" x14ac:dyDescent="0.35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" thickBot="1" x14ac:dyDescent="0.35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" thickBot="1" x14ac:dyDescent="0.35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" thickBot="1" x14ac:dyDescent="0.35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" thickBot="1" x14ac:dyDescent="0.35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" thickBot="1" x14ac:dyDescent="0.35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" thickBot="1" x14ac:dyDescent="0.35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17</v>
      </c>
      <c r="M171" s="17">
        <f t="shared" si="12"/>
        <v>11</v>
      </c>
      <c r="N171" s="18">
        <f t="shared" si="13"/>
        <v>0.6071428571428571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 t="s">
        <v>939</v>
      </c>
      <c r="AC171" s="28"/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" thickBot="1" x14ac:dyDescent="0.35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" thickBot="1" x14ac:dyDescent="0.35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" thickBot="1" x14ac:dyDescent="0.35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19</v>
      </c>
      <c r="M174" s="17">
        <f t="shared" si="12"/>
        <v>9</v>
      </c>
      <c r="N174" s="18">
        <f t="shared" si="13"/>
        <v>0.6785714285714286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" thickBot="1" x14ac:dyDescent="0.35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" thickBot="1" x14ac:dyDescent="0.35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" thickBot="1" x14ac:dyDescent="0.35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" thickBot="1" x14ac:dyDescent="0.35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" thickBot="1" x14ac:dyDescent="0.35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" thickBot="1" x14ac:dyDescent="0.35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" thickBot="1" x14ac:dyDescent="0.35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" thickBot="1" x14ac:dyDescent="0.35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" thickBot="1" x14ac:dyDescent="0.35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" thickBot="1" x14ac:dyDescent="0.35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" thickBot="1" x14ac:dyDescent="0.35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" thickBot="1" x14ac:dyDescent="0.35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" thickBot="1" x14ac:dyDescent="0.35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" thickBot="1" x14ac:dyDescent="0.35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" thickBot="1" x14ac:dyDescent="0.35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" thickBot="1" x14ac:dyDescent="0.35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" thickBot="1" x14ac:dyDescent="0.35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14</v>
      </c>
      <c r="M191" s="17">
        <f t="shared" si="12"/>
        <v>14</v>
      </c>
      <c r="N191" s="18">
        <f t="shared" si="13"/>
        <v>0.5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 t="s">
        <v>939</v>
      </c>
      <c r="AC191" s="28"/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" thickBot="1" x14ac:dyDescent="0.35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14</v>
      </c>
      <c r="M192" s="17">
        <f t="shared" si="12"/>
        <v>14</v>
      </c>
      <c r="N192" s="18">
        <f t="shared" si="13"/>
        <v>0.5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 t="s">
        <v>939</v>
      </c>
      <c r="AC192" s="28"/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" thickBot="1" x14ac:dyDescent="0.35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14</v>
      </c>
      <c r="M193" s="17">
        <f t="shared" si="12"/>
        <v>14</v>
      </c>
      <c r="N193" s="18">
        <f t="shared" si="13"/>
        <v>0.5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 t="s">
        <v>939</v>
      </c>
      <c r="AC193" s="28"/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" thickBot="1" x14ac:dyDescent="0.35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15</v>
      </c>
      <c r="M194" s="17">
        <f t="shared" si="12"/>
        <v>13</v>
      </c>
      <c r="N194" s="18">
        <f t="shared" si="13"/>
        <v>0.5357142857142857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 t="s">
        <v>939</v>
      </c>
      <c r="AC194" s="28"/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" thickBot="1" x14ac:dyDescent="0.35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" thickBot="1" x14ac:dyDescent="0.35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" thickBot="1" x14ac:dyDescent="0.35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19</v>
      </c>
      <c r="M197" s="17">
        <f t="shared" ref="M197:M262" si="15">COUNTIF(O197:AP197,"APAGADO")</f>
        <v>9</v>
      </c>
      <c r="N197" s="18">
        <f t="shared" ref="N197:N262" si="16">(L197)/(M197+L197)</f>
        <v>0.6785714285714286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 t="s">
        <v>939</v>
      </c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" thickBot="1" x14ac:dyDescent="0.35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23</v>
      </c>
      <c r="M198" s="17">
        <f t="shared" si="15"/>
        <v>5</v>
      </c>
      <c r="N198" s="18">
        <f t="shared" si="16"/>
        <v>0.8214285714285714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 t="s">
        <v>939</v>
      </c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" thickBot="1" x14ac:dyDescent="0.35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" thickBot="1" x14ac:dyDescent="0.35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" thickBot="1" x14ac:dyDescent="0.35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" thickBot="1" x14ac:dyDescent="0.35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" thickBot="1" x14ac:dyDescent="0.35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" thickBot="1" x14ac:dyDescent="0.35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" thickBot="1" x14ac:dyDescent="0.35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" thickBot="1" x14ac:dyDescent="0.35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14</v>
      </c>
      <c r="M206" s="17">
        <f t="shared" si="15"/>
        <v>14</v>
      </c>
      <c r="N206" s="18">
        <f t="shared" si="16"/>
        <v>0.5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 t="s">
        <v>939</v>
      </c>
      <c r="AC206" s="28"/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" thickBot="1" x14ac:dyDescent="0.35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" thickBot="1" x14ac:dyDescent="0.35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" thickBot="1" x14ac:dyDescent="0.35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" thickBot="1" x14ac:dyDescent="0.35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" thickBot="1" x14ac:dyDescent="0.35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" thickBot="1" x14ac:dyDescent="0.35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" thickBot="1" x14ac:dyDescent="0.35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" thickBot="1" x14ac:dyDescent="0.35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" thickBot="1" x14ac:dyDescent="0.35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" thickBot="1" x14ac:dyDescent="0.35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" thickBot="1" x14ac:dyDescent="0.35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" thickBot="1" x14ac:dyDescent="0.35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" thickBot="1" x14ac:dyDescent="0.35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" thickBot="1" x14ac:dyDescent="0.35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" thickBot="1" x14ac:dyDescent="0.35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" thickBot="1" x14ac:dyDescent="0.35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" thickBot="1" x14ac:dyDescent="0.35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" thickBot="1" x14ac:dyDescent="0.35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" thickBot="1" x14ac:dyDescent="0.35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" thickBot="1" x14ac:dyDescent="0.35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" thickBot="1" x14ac:dyDescent="0.35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" thickBot="1" x14ac:dyDescent="0.35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" thickBot="1" x14ac:dyDescent="0.35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" thickBot="1" x14ac:dyDescent="0.35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" thickBot="1" x14ac:dyDescent="0.35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" thickBot="1" x14ac:dyDescent="0.35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" thickBot="1" x14ac:dyDescent="0.35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" thickBot="1" x14ac:dyDescent="0.35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" thickBot="1" x14ac:dyDescent="0.35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25</v>
      </c>
      <c r="M235" s="17">
        <f t="shared" si="15"/>
        <v>3</v>
      </c>
      <c r="N235" s="18">
        <f t="shared" si="16"/>
        <v>0.8928571428571429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 t="s">
        <v>939</v>
      </c>
      <c r="AC235" s="28"/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" thickBot="1" x14ac:dyDescent="0.35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25</v>
      </c>
      <c r="M236" s="17">
        <f t="shared" si="15"/>
        <v>3</v>
      </c>
      <c r="N236" s="18">
        <f t="shared" si="16"/>
        <v>0.8928571428571429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 t="s">
        <v>939</v>
      </c>
      <c r="AC236" s="28"/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" thickBot="1" x14ac:dyDescent="0.35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25</v>
      </c>
      <c r="M237" s="17">
        <f t="shared" si="15"/>
        <v>3</v>
      </c>
      <c r="N237" s="18">
        <f t="shared" si="16"/>
        <v>0.8928571428571429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 t="s">
        <v>939</v>
      </c>
      <c r="AC237" s="28"/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" thickBot="1" x14ac:dyDescent="0.35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" thickBot="1" x14ac:dyDescent="0.35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" thickBot="1" x14ac:dyDescent="0.35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19</v>
      </c>
      <c r="M240" s="17">
        <f t="shared" si="15"/>
        <v>9</v>
      </c>
      <c r="N240" s="18">
        <f t="shared" si="16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" thickBot="1" x14ac:dyDescent="0.35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25</v>
      </c>
      <c r="M241" s="17">
        <f t="shared" si="15"/>
        <v>3</v>
      </c>
      <c r="N241" s="18">
        <f t="shared" si="16"/>
        <v>0.8928571428571429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 t="s">
        <v>939</v>
      </c>
      <c r="AC241" s="28"/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" thickBot="1" x14ac:dyDescent="0.35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25</v>
      </c>
      <c r="M242" s="17">
        <f t="shared" si="15"/>
        <v>3</v>
      </c>
      <c r="N242" s="18">
        <f t="shared" si="16"/>
        <v>0.8928571428571429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 t="s">
        <v>939</v>
      </c>
      <c r="AC242" s="28"/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" thickBot="1" x14ac:dyDescent="0.35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25</v>
      </c>
      <c r="M243" s="17">
        <f t="shared" si="15"/>
        <v>3</v>
      </c>
      <c r="N243" s="18">
        <f t="shared" si="16"/>
        <v>0.8928571428571429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 t="s">
        <v>939</v>
      </c>
      <c r="AC243" s="28"/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" thickBot="1" x14ac:dyDescent="0.35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25</v>
      </c>
      <c r="M244" s="17">
        <f t="shared" si="15"/>
        <v>3</v>
      </c>
      <c r="N244" s="18">
        <f t="shared" si="16"/>
        <v>0.8928571428571429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 t="s">
        <v>939</v>
      </c>
      <c r="AC244" s="28"/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" thickBot="1" x14ac:dyDescent="0.35">
      <c r="A245" t="s">
        <v>619</v>
      </c>
      <c r="C245" s="46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 spans="1:45" ht="15" thickBot="1" x14ac:dyDescent="0.35">
      <c r="A246" t="s">
        <v>609</v>
      </c>
      <c r="C246" s="46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 t="s">
        <v>939</v>
      </c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 spans="1:45" ht="15" thickBot="1" x14ac:dyDescent="0.35">
      <c r="A247" t="s">
        <v>310</v>
      </c>
      <c r="C247" s="46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" thickBot="1" x14ac:dyDescent="0.35">
      <c r="A248" t="s">
        <v>310</v>
      </c>
      <c r="C248" s="46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8"/>
      <c r="P248" s="8"/>
      <c r="Q248" s="8"/>
      <c r="R248" s="8"/>
      <c r="S248" s="28"/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" thickBot="1" x14ac:dyDescent="0.35">
      <c r="A249" t="s">
        <v>310</v>
      </c>
      <c r="C249" s="46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8"/>
      <c r="P249" s="8"/>
      <c r="Q249" s="8"/>
      <c r="R249" s="8"/>
      <c r="S249" s="28"/>
      <c r="T249" s="28"/>
      <c r="U249" s="8"/>
      <c r="V249" s="8"/>
      <c r="W249" s="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8"/>
      <c r="AJ249" s="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" thickBot="1" x14ac:dyDescent="0.35">
      <c r="A250" t="s">
        <v>310</v>
      </c>
      <c r="C250" s="46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8"/>
      <c r="P250" s="8"/>
      <c r="Q250" s="8"/>
      <c r="R250" s="8"/>
      <c r="S250" s="28" t="s">
        <v>939</v>
      </c>
      <c r="T250" s="28"/>
      <c r="U250" s="8"/>
      <c r="V250" s="8"/>
      <c r="W250" s="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" thickBot="1" x14ac:dyDescent="0.35">
      <c r="A251" t="s">
        <v>310</v>
      </c>
      <c r="B251" s="63">
        <v>44634</v>
      </c>
      <c r="C251" s="64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14</v>
      </c>
      <c r="M251" s="17">
        <f t="shared" si="15"/>
        <v>14</v>
      </c>
      <c r="N251" s="18">
        <f t="shared" si="16"/>
        <v>0.5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 t="s">
        <v>939</v>
      </c>
      <c r="AC251" s="28"/>
      <c r="AD251" s="28"/>
      <c r="AE251" s="28"/>
      <c r="AF251" s="28"/>
      <c r="AG251" s="28"/>
      <c r="AH251" s="28"/>
      <c r="AI251" s="25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" thickBot="1" x14ac:dyDescent="0.35">
      <c r="A252" t="s">
        <v>310</v>
      </c>
      <c r="B252" s="63">
        <v>44634</v>
      </c>
      <c r="C252" s="64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14</v>
      </c>
      <c r="M252" s="17">
        <f t="shared" si="15"/>
        <v>14</v>
      </c>
      <c r="N252" s="18">
        <f t="shared" si="16"/>
        <v>0.5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 t="s">
        <v>939</v>
      </c>
      <c r="AC252" s="28"/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" thickBot="1" x14ac:dyDescent="0.35">
      <c r="A253" t="s">
        <v>310</v>
      </c>
      <c r="B253" s="63">
        <v>44634</v>
      </c>
      <c r="C253" s="64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14</v>
      </c>
      <c r="M253" s="17">
        <f t="shared" si="15"/>
        <v>14</v>
      </c>
      <c r="N253" s="18">
        <f t="shared" si="16"/>
        <v>0.5</v>
      </c>
      <c r="O253" s="28" t="s">
        <v>939</v>
      </c>
      <c r="P253" s="8" t="s">
        <v>939</v>
      </c>
      <c r="Q253" s="8" t="s">
        <v>939</v>
      </c>
      <c r="R253" s="8" t="s">
        <v>939</v>
      </c>
      <c r="S253" s="28" t="s">
        <v>939</v>
      </c>
      <c r="T253" s="28" t="s">
        <v>939</v>
      </c>
      <c r="U253" s="8" t="s">
        <v>939</v>
      </c>
      <c r="V253" s="8" t="s">
        <v>939</v>
      </c>
      <c r="W253" s="8" t="s">
        <v>939</v>
      </c>
      <c r="X253" s="28" t="s">
        <v>939</v>
      </c>
      <c r="Y253" s="28" t="s">
        <v>939</v>
      </c>
      <c r="Z253" s="28" t="s">
        <v>939</v>
      </c>
      <c r="AA253" s="28" t="s">
        <v>939</v>
      </c>
      <c r="AB253" s="28" t="s">
        <v>939</v>
      </c>
      <c r="AC253" s="28"/>
      <c r="AD253" s="28"/>
      <c r="AE253" s="28"/>
      <c r="AF253" s="28"/>
      <c r="AG253" s="28"/>
      <c r="AH253" s="28"/>
      <c r="AI253" s="8"/>
      <c r="AJ253" s="2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" thickBot="1" x14ac:dyDescent="0.35">
      <c r="A254" t="s">
        <v>310</v>
      </c>
      <c r="B254" s="63">
        <v>44634</v>
      </c>
      <c r="C254" s="64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14</v>
      </c>
      <c r="M254" s="17">
        <f t="shared" si="15"/>
        <v>14</v>
      </c>
      <c r="N254" s="18">
        <f t="shared" si="16"/>
        <v>0.5</v>
      </c>
      <c r="O254" s="28" t="s">
        <v>939</v>
      </c>
      <c r="P254" s="8" t="s">
        <v>939</v>
      </c>
      <c r="Q254" s="8" t="s">
        <v>939</v>
      </c>
      <c r="R254" s="8" t="s">
        <v>939</v>
      </c>
      <c r="S254" s="28" t="s">
        <v>939</v>
      </c>
      <c r="T254" s="28" t="s">
        <v>939</v>
      </c>
      <c r="U254" s="8" t="s">
        <v>939</v>
      </c>
      <c r="V254" s="8" t="s">
        <v>939</v>
      </c>
      <c r="W254" s="8" t="s">
        <v>939</v>
      </c>
      <c r="X254" s="28" t="s">
        <v>939</v>
      </c>
      <c r="Y254" s="28" t="s">
        <v>939</v>
      </c>
      <c r="Z254" s="28" t="s">
        <v>939</v>
      </c>
      <c r="AA254" s="28" t="s">
        <v>939</v>
      </c>
      <c r="AB254" s="28" t="s">
        <v>939</v>
      </c>
      <c r="AC254" s="28"/>
      <c r="AD254" s="28"/>
      <c r="AE254" s="28"/>
      <c r="AF254" s="28"/>
      <c r="AG254" s="28"/>
      <c r="AH254" s="28"/>
      <c r="AI254" s="8"/>
      <c r="AJ254" s="2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" thickBot="1" x14ac:dyDescent="0.35">
      <c r="A255" t="s">
        <v>647</v>
      </c>
      <c r="C255" s="46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" thickBot="1" x14ac:dyDescent="0.35">
      <c r="C256" s="46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" thickBot="1" x14ac:dyDescent="0.35">
      <c r="A257" t="s">
        <v>654</v>
      </c>
      <c r="C257" s="46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" thickBot="1" x14ac:dyDescent="0.35">
      <c r="A258" t="s">
        <v>654</v>
      </c>
      <c r="C258" s="46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" thickBot="1" x14ac:dyDescent="0.35">
      <c r="A259" t="s">
        <v>654</v>
      </c>
      <c r="C259" s="46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8"/>
      <c r="P259" s="8"/>
      <c r="Q259" s="8"/>
      <c r="R259" s="8"/>
      <c r="S259" s="28"/>
      <c r="T259" s="28"/>
      <c r="U259" s="8"/>
      <c r="V259" s="8"/>
      <c r="W259" s="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" thickBot="1" x14ac:dyDescent="0.35">
      <c r="A260" t="s">
        <v>654</v>
      </c>
      <c r="C260" s="46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" thickBot="1" x14ac:dyDescent="0.35">
      <c r="A261" t="s">
        <v>654</v>
      </c>
      <c r="B261" s="60">
        <v>44629</v>
      </c>
      <c r="C261" s="62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8" t="s">
        <v>939</v>
      </c>
      <c r="P261" s="8" t="s">
        <v>939</v>
      </c>
      <c r="Q261" s="8" t="s">
        <v>939</v>
      </c>
      <c r="R261" s="8" t="s">
        <v>939</v>
      </c>
      <c r="S261" s="28" t="s">
        <v>939</v>
      </c>
      <c r="T261" s="28" t="s">
        <v>939</v>
      </c>
      <c r="U261" s="8" t="s">
        <v>939</v>
      </c>
      <c r="V261" s="8" t="s">
        <v>939</v>
      </c>
      <c r="W261" s="8" t="s">
        <v>939</v>
      </c>
      <c r="X261" s="28" t="s">
        <v>939</v>
      </c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2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" thickBot="1" x14ac:dyDescent="0.35">
      <c r="A262" t="s">
        <v>654</v>
      </c>
      <c r="C262" s="46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8"/>
      <c r="P262" s="8"/>
      <c r="Q262" s="8"/>
      <c r="R262" s="8"/>
      <c r="S262" s="28"/>
      <c r="T262" s="28"/>
      <c r="U262" s="8"/>
      <c r="V262" s="8"/>
      <c r="W262" s="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" thickBot="1" x14ac:dyDescent="0.35">
      <c r="A263" t="s">
        <v>258</v>
      </c>
      <c r="C263" s="46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27</v>
      </c>
      <c r="M263" s="17">
        <f t="shared" ref="M263:M326" si="18">COUNTIF(O263:AP263,"APAGADO")</f>
        <v>1</v>
      </c>
      <c r="N263" s="18">
        <f t="shared" ref="N263:N326" si="19">(L263)/(M263+L263)</f>
        <v>0.9642857142857143</v>
      </c>
      <c r="O263" s="28"/>
      <c r="P263" s="8"/>
      <c r="Q263" s="8"/>
      <c r="R263" s="8"/>
      <c r="S263" s="28"/>
      <c r="T263" s="28"/>
      <c r="U263" s="8"/>
      <c r="V263" s="8"/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" thickBot="1" x14ac:dyDescent="0.35">
      <c r="A264" t="s">
        <v>258</v>
      </c>
      <c r="C264" s="46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27</v>
      </c>
      <c r="M264" s="17">
        <f t="shared" si="18"/>
        <v>1</v>
      </c>
      <c r="N264" s="18">
        <f t="shared" si="19"/>
        <v>0.9642857142857143</v>
      </c>
      <c r="O264" s="28"/>
      <c r="P264" s="8"/>
      <c r="Q264" s="8"/>
      <c r="R264" s="8"/>
      <c r="S264" s="28"/>
      <c r="T264" s="28"/>
      <c r="U264" s="8"/>
      <c r="V264" s="8"/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" thickBot="1" x14ac:dyDescent="0.35">
      <c r="A265" t="s">
        <v>258</v>
      </c>
      <c r="C265" s="46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20</v>
      </c>
      <c r="M265" s="17">
        <f t="shared" si="18"/>
        <v>8</v>
      </c>
      <c r="N265" s="18">
        <f t="shared" si="19"/>
        <v>0.7142857142857143</v>
      </c>
      <c r="O265" s="28"/>
      <c r="P265" s="8" t="s">
        <v>939</v>
      </c>
      <c r="Q265" s="8" t="s">
        <v>939</v>
      </c>
      <c r="R265" s="8" t="s">
        <v>939</v>
      </c>
      <c r="S265" s="28" t="s">
        <v>939</v>
      </c>
      <c r="T265" s="28" t="s">
        <v>939</v>
      </c>
      <c r="U265" s="8" t="s">
        <v>939</v>
      </c>
      <c r="V265" s="8" t="s">
        <v>939</v>
      </c>
      <c r="W265" s="8" t="s">
        <v>939</v>
      </c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" thickBot="1" x14ac:dyDescent="0.35">
      <c r="A266" t="s">
        <v>258</v>
      </c>
      <c r="C266" s="46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20</v>
      </c>
      <c r="M266" s="17">
        <f t="shared" si="18"/>
        <v>8</v>
      </c>
      <c r="N266" s="18">
        <f t="shared" si="19"/>
        <v>0.7142857142857143</v>
      </c>
      <c r="O266" s="28"/>
      <c r="P266" s="8" t="s">
        <v>939</v>
      </c>
      <c r="Q266" s="8" t="s">
        <v>939</v>
      </c>
      <c r="R266" s="8" t="s">
        <v>939</v>
      </c>
      <c r="S266" s="28" t="s">
        <v>939</v>
      </c>
      <c r="T266" s="28" t="s">
        <v>939</v>
      </c>
      <c r="U266" s="8" t="s">
        <v>939</v>
      </c>
      <c r="V266" s="8" t="s">
        <v>939</v>
      </c>
      <c r="W266" s="8" t="s">
        <v>939</v>
      </c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" thickBot="1" x14ac:dyDescent="0.35">
      <c r="A267" t="s">
        <v>677</v>
      </c>
      <c r="C267" s="46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" thickBot="1" x14ac:dyDescent="0.35">
      <c r="A268" t="s">
        <v>677</v>
      </c>
      <c r="C268" s="46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" thickBot="1" x14ac:dyDescent="0.35">
      <c r="A269" t="s">
        <v>677</v>
      </c>
      <c r="C269" s="46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" thickBot="1" x14ac:dyDescent="0.35">
      <c r="A270" t="s">
        <v>677</v>
      </c>
      <c r="C270" s="46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" thickBot="1" x14ac:dyDescent="0.35">
      <c r="A271" t="s">
        <v>677</v>
      </c>
      <c r="C271" s="46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8"/>
      <c r="P271" s="8"/>
      <c r="Q271" s="8"/>
      <c r="R271" s="8"/>
      <c r="S271" s="28"/>
      <c r="T271" s="28"/>
      <c r="U271" s="8"/>
      <c r="V271" s="8"/>
      <c r="W271" s="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" thickBot="1" x14ac:dyDescent="0.35">
      <c r="A272" t="s">
        <v>677</v>
      </c>
      <c r="B272" s="60">
        <v>44629</v>
      </c>
      <c r="C272" s="62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8"/>
      <c r="P272" s="8"/>
      <c r="Q272" s="8"/>
      <c r="R272" s="8"/>
      <c r="S272" s="28"/>
      <c r="T272" s="28"/>
      <c r="U272" s="8"/>
      <c r="V272" s="8"/>
      <c r="W272" s="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" thickBot="1" x14ac:dyDescent="0.35">
      <c r="A273" t="s">
        <v>677</v>
      </c>
      <c r="B273" s="63">
        <v>44634</v>
      </c>
      <c r="C273" s="64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8" t="s">
        <v>939</v>
      </c>
      <c r="P273" s="8" t="s">
        <v>939</v>
      </c>
      <c r="Q273" s="8" t="s">
        <v>939</v>
      </c>
      <c r="R273" s="8" t="s">
        <v>939</v>
      </c>
      <c r="S273" s="28" t="s">
        <v>939</v>
      </c>
      <c r="T273" s="28" t="s">
        <v>939</v>
      </c>
      <c r="U273" s="8"/>
      <c r="V273" s="8" t="s">
        <v>939</v>
      </c>
      <c r="W273" s="8" t="s">
        <v>939</v>
      </c>
      <c r="X273" s="28" t="s">
        <v>939</v>
      </c>
      <c r="Y273" s="28" t="s">
        <v>939</v>
      </c>
      <c r="Z273" s="28" t="s">
        <v>939</v>
      </c>
      <c r="AA273" s="28" t="s">
        <v>939</v>
      </c>
      <c r="AB273" s="28" t="s">
        <v>939</v>
      </c>
      <c r="AC273" s="28"/>
      <c r="AD273" s="28"/>
      <c r="AE273" s="28"/>
      <c r="AF273" s="28"/>
      <c r="AG273" s="28"/>
      <c r="AH273" s="28"/>
      <c r="AI273" s="8"/>
      <c r="AJ273" s="2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" thickBot="1" x14ac:dyDescent="0.35">
      <c r="A274" t="s">
        <v>677</v>
      </c>
      <c r="B274" s="63">
        <v>44634</v>
      </c>
      <c r="C274" s="64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8" t="s">
        <v>939</v>
      </c>
      <c r="P274" s="8" t="s">
        <v>939</v>
      </c>
      <c r="Q274" s="8" t="s">
        <v>939</v>
      </c>
      <c r="R274" s="8" t="s">
        <v>939</v>
      </c>
      <c r="S274" s="28" t="s">
        <v>939</v>
      </c>
      <c r="T274" s="28" t="s">
        <v>939</v>
      </c>
      <c r="U274" s="8"/>
      <c r="V274" s="8" t="s">
        <v>939</v>
      </c>
      <c r="W274" s="8" t="s">
        <v>939</v>
      </c>
      <c r="X274" s="28" t="s">
        <v>939</v>
      </c>
      <c r="Y274" s="28" t="s">
        <v>939</v>
      </c>
      <c r="Z274" s="28"/>
      <c r="AA274" s="28" t="s">
        <v>939</v>
      </c>
      <c r="AB274" s="28" t="s">
        <v>939</v>
      </c>
      <c r="AC274" s="28"/>
      <c r="AD274" s="28"/>
      <c r="AE274" s="28"/>
      <c r="AF274" s="28"/>
      <c r="AG274" s="28"/>
      <c r="AH274" s="28"/>
      <c r="AI274" s="8"/>
      <c r="AJ274" s="2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" thickBot="1" x14ac:dyDescent="0.35">
      <c r="A275" t="s">
        <v>677</v>
      </c>
      <c r="C275" s="46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" thickBot="1" x14ac:dyDescent="0.35">
      <c r="A276" t="s">
        <v>538</v>
      </c>
      <c r="C276" s="46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8"/>
      <c r="P276" s="8"/>
      <c r="Q276" s="8"/>
      <c r="R276" s="8"/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" thickBot="1" x14ac:dyDescent="0.35">
      <c r="A277" t="s">
        <v>677</v>
      </c>
      <c r="C277" s="46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8"/>
      <c r="P277" s="8"/>
      <c r="Q277" s="8"/>
      <c r="R277" s="8"/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" thickBot="1" x14ac:dyDescent="0.35">
      <c r="A278" t="s">
        <v>677</v>
      </c>
      <c r="C278" s="46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25</v>
      </c>
      <c r="M278" s="17">
        <f t="shared" si="18"/>
        <v>3</v>
      </c>
      <c r="N278" s="18">
        <f t="shared" si="19"/>
        <v>0.8928571428571429</v>
      </c>
      <c r="O278" s="28"/>
      <c r="P278" s="8" t="s">
        <v>939</v>
      </c>
      <c r="Q278" s="8" t="s">
        <v>939</v>
      </c>
      <c r="R278" s="8" t="s">
        <v>939</v>
      </c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" thickBot="1" x14ac:dyDescent="0.35">
      <c r="A279" t="s">
        <v>677</v>
      </c>
      <c r="C279" s="46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8" t="s">
        <v>939</v>
      </c>
      <c r="P279" s="8" t="s">
        <v>939</v>
      </c>
      <c r="Q279" s="8" t="s">
        <v>939</v>
      </c>
      <c r="R279" s="8" t="s">
        <v>939</v>
      </c>
      <c r="S279" s="28"/>
      <c r="T279" s="28"/>
      <c r="U279" s="8"/>
      <c r="V279" s="8"/>
      <c r="W279" s="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2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" thickBot="1" x14ac:dyDescent="0.35">
      <c r="A280" t="s">
        <v>677</v>
      </c>
      <c r="C280" s="46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8"/>
      <c r="P280" s="8"/>
      <c r="Q280" s="8"/>
      <c r="R280" s="8"/>
      <c r="S280" s="28"/>
      <c r="T280" s="28"/>
      <c r="U280" s="8"/>
      <c r="V280" s="8"/>
      <c r="W280" s="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" thickBot="1" x14ac:dyDescent="0.35">
      <c r="A281" t="s">
        <v>538</v>
      </c>
      <c r="B281" s="63">
        <v>44634</v>
      </c>
      <c r="C281" s="64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21</v>
      </c>
      <c r="M281" s="17">
        <f t="shared" si="18"/>
        <v>7</v>
      </c>
      <c r="N281" s="18">
        <f t="shared" si="19"/>
        <v>0.75</v>
      </c>
      <c r="O281" s="28"/>
      <c r="P281" s="8"/>
      <c r="Q281" s="8"/>
      <c r="R281" s="8"/>
      <c r="S281" s="28"/>
      <c r="T281" s="28"/>
      <c r="U281" s="8"/>
      <c r="V281" s="8" t="s">
        <v>939</v>
      </c>
      <c r="W281" s="8" t="s">
        <v>939</v>
      </c>
      <c r="X281" s="28" t="s">
        <v>939</v>
      </c>
      <c r="Y281" s="28" t="s">
        <v>939</v>
      </c>
      <c r="Z281" s="28" t="s">
        <v>939</v>
      </c>
      <c r="AA281" s="28" t="s">
        <v>939</v>
      </c>
      <c r="AB281" s="28" t="s">
        <v>939</v>
      </c>
      <c r="AC281" s="28"/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" thickBot="1" x14ac:dyDescent="0.35">
      <c r="A282" t="s">
        <v>538</v>
      </c>
      <c r="B282" s="63">
        <v>44634</v>
      </c>
      <c r="C282" s="64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16</v>
      </c>
      <c r="M282" s="17">
        <f t="shared" si="18"/>
        <v>12</v>
      </c>
      <c r="N282" s="18">
        <f t="shared" si="19"/>
        <v>0.5714285714285714</v>
      </c>
      <c r="O282" s="28" t="s">
        <v>939</v>
      </c>
      <c r="P282" s="8" t="s">
        <v>939</v>
      </c>
      <c r="Q282" s="8" t="s">
        <v>939</v>
      </c>
      <c r="R282" s="8" t="s">
        <v>939</v>
      </c>
      <c r="S282" s="28"/>
      <c r="T282" s="28"/>
      <c r="U282" s="8" t="s">
        <v>939</v>
      </c>
      <c r="V282" s="8" t="s">
        <v>939</v>
      </c>
      <c r="W282" s="8" t="s">
        <v>939</v>
      </c>
      <c r="X282" s="28" t="s">
        <v>939</v>
      </c>
      <c r="Y282" s="28" t="s">
        <v>939</v>
      </c>
      <c r="Z282" s="28" t="s">
        <v>939</v>
      </c>
      <c r="AA282" s="28" t="s">
        <v>939</v>
      </c>
      <c r="AB282" s="28" t="s">
        <v>939</v>
      </c>
      <c r="AC282" s="28"/>
      <c r="AD282" s="28"/>
      <c r="AE282" s="28"/>
      <c r="AF282" s="28"/>
      <c r="AG282" s="28"/>
      <c r="AH282" s="28"/>
      <c r="AI282" s="8"/>
      <c r="AJ282" s="2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" thickBot="1" x14ac:dyDescent="0.35">
      <c r="A283" t="s">
        <v>677</v>
      </c>
      <c r="C283" s="46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" thickBot="1" x14ac:dyDescent="0.35">
      <c r="A284" t="s">
        <v>677</v>
      </c>
      <c r="C284" s="46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" thickBot="1" x14ac:dyDescent="0.35">
      <c r="A285" t="s">
        <v>677</v>
      </c>
      <c r="C285" s="46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" thickBot="1" x14ac:dyDescent="0.35">
      <c r="A286" t="s">
        <v>549</v>
      </c>
      <c r="C286" s="46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5" thickBot="1" x14ac:dyDescent="0.35">
      <c r="A287" t="s">
        <v>549</v>
      </c>
      <c r="C287" s="46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" thickBot="1" x14ac:dyDescent="0.35">
      <c r="A288" t="s">
        <v>724</v>
      </c>
      <c r="C288" s="46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 t="s">
        <v>939</v>
      </c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6.95" customHeight="1" thickBot="1" x14ac:dyDescent="0.35">
      <c r="A289" t="s">
        <v>724</v>
      </c>
      <c r="C289" s="46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" thickBot="1" x14ac:dyDescent="0.35">
      <c r="A290" t="s">
        <v>730</v>
      </c>
      <c r="C290" s="46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" thickBot="1" x14ac:dyDescent="0.35">
      <c r="A291" t="s">
        <v>724</v>
      </c>
      <c r="C291" s="46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" thickBot="1" x14ac:dyDescent="0.35">
      <c r="A292" t="s">
        <v>724</v>
      </c>
      <c r="C292" s="46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" thickBot="1" x14ac:dyDescent="0.35">
      <c r="A293" t="s">
        <v>724</v>
      </c>
      <c r="C293" s="46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" thickBot="1" x14ac:dyDescent="0.35">
      <c r="A294" t="s">
        <v>724</v>
      </c>
      <c r="C294" s="46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" thickBot="1" x14ac:dyDescent="0.35">
      <c r="A295" t="s">
        <v>724</v>
      </c>
      <c r="C295" s="46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8"/>
      <c r="P295" s="8"/>
      <c r="Q295" s="8"/>
      <c r="R295" s="8"/>
      <c r="S295" s="28"/>
      <c r="T295" s="28"/>
      <c r="U295" s="8"/>
      <c r="V295" s="8"/>
      <c r="W295" s="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" thickBot="1" x14ac:dyDescent="0.35">
      <c r="A296" t="s">
        <v>412</v>
      </c>
      <c r="C296" s="46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 t="s">
        <v>939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" thickBot="1" x14ac:dyDescent="0.35">
      <c r="A297" t="s">
        <v>358</v>
      </c>
      <c r="C297" s="46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8"/>
      <c r="P297" s="8"/>
      <c r="Q297" s="8"/>
      <c r="R297" s="8"/>
      <c r="S297" s="28"/>
      <c r="T297" s="28" t="s">
        <v>939</v>
      </c>
      <c r="U297" s="8"/>
      <c r="V297" s="8" t="s">
        <v>939</v>
      </c>
      <c r="W297" s="8" t="s">
        <v>939</v>
      </c>
      <c r="X297" s="28" t="s">
        <v>939</v>
      </c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" thickBot="1" x14ac:dyDescent="0.35">
      <c r="A298" t="s">
        <v>358</v>
      </c>
      <c r="C298" s="46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" thickBot="1" x14ac:dyDescent="0.35">
      <c r="A299" t="s">
        <v>358</v>
      </c>
      <c r="C299" s="46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" thickBot="1" x14ac:dyDescent="0.35">
      <c r="A300" t="s">
        <v>358</v>
      </c>
      <c r="C300" s="46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" thickBot="1" x14ac:dyDescent="0.35">
      <c r="A301" t="s">
        <v>358</v>
      </c>
      <c r="C301" s="46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" thickBot="1" x14ac:dyDescent="0.35">
      <c r="A302" t="s">
        <v>358</v>
      </c>
      <c r="C302" s="46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" thickBot="1" x14ac:dyDescent="0.35">
      <c r="A303" t="s">
        <v>358</v>
      </c>
      <c r="C303" s="46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" thickBot="1" x14ac:dyDescent="0.35">
      <c r="A304" t="s">
        <v>358</v>
      </c>
      <c r="B304" s="63">
        <v>44634</v>
      </c>
      <c r="C304" s="64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24</v>
      </c>
      <c r="M304" s="17">
        <f t="shared" si="18"/>
        <v>4</v>
      </c>
      <c r="N304" s="18">
        <f t="shared" si="19"/>
        <v>0.8571428571428571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 t="s">
        <v>939</v>
      </c>
      <c r="AC304" s="28"/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" thickBot="1" x14ac:dyDescent="0.35">
      <c r="A305" t="s">
        <v>358</v>
      </c>
      <c r="B305" s="63">
        <v>44634</v>
      </c>
      <c r="C305" s="64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24</v>
      </c>
      <c r="M305" s="17">
        <f t="shared" si="18"/>
        <v>4</v>
      </c>
      <c r="N305" s="18">
        <f t="shared" si="19"/>
        <v>0.8571428571428571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 t="s">
        <v>939</v>
      </c>
      <c r="AC305" s="28"/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" thickBot="1" x14ac:dyDescent="0.35">
      <c r="A306" t="s">
        <v>358</v>
      </c>
      <c r="B306" s="63">
        <v>44634</v>
      </c>
      <c r="C306" s="64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24</v>
      </c>
      <c r="M306" s="17">
        <f t="shared" si="18"/>
        <v>4</v>
      </c>
      <c r="N306" s="18">
        <f t="shared" si="19"/>
        <v>0.8571428571428571</v>
      </c>
      <c r="O306" s="28"/>
      <c r="P306" s="8"/>
      <c r="Q306" s="8"/>
      <c r="R306" s="8"/>
      <c r="S306" s="28"/>
      <c r="T306" s="28"/>
      <c r="U306" s="8"/>
      <c r="V306" s="8"/>
      <c r="W306" s="8"/>
      <c r="X306" s="28"/>
      <c r="Y306" s="28" t="s">
        <v>939</v>
      </c>
      <c r="Z306" s="28" t="s">
        <v>939</v>
      </c>
      <c r="AA306" s="28" t="s">
        <v>939</v>
      </c>
      <c r="AB306" s="28" t="s">
        <v>939</v>
      </c>
      <c r="AC306" s="28"/>
      <c r="AD306" s="28"/>
      <c r="AE306" s="28"/>
      <c r="AF306" s="28"/>
      <c r="AG306" s="28"/>
      <c r="AH306" s="28"/>
      <c r="AI306" s="8"/>
      <c r="AJ306" s="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" thickBot="1" x14ac:dyDescent="0.35">
      <c r="A307" t="s">
        <v>358</v>
      </c>
      <c r="B307" s="63">
        <v>44634</v>
      </c>
      <c r="C307" s="64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24</v>
      </c>
      <c r="M307" s="17">
        <f t="shared" si="18"/>
        <v>4</v>
      </c>
      <c r="N307" s="18">
        <f t="shared" si="19"/>
        <v>0.8571428571428571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 t="s">
        <v>939</v>
      </c>
      <c r="Z307" s="28" t="s">
        <v>939</v>
      </c>
      <c r="AA307" s="28" t="s">
        <v>939</v>
      </c>
      <c r="AB307" s="28" t="s">
        <v>939</v>
      </c>
      <c r="AC307" s="28"/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" thickBot="1" x14ac:dyDescent="0.35">
      <c r="C308" s="46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8" t="s">
        <v>939</v>
      </c>
      <c r="P308" s="8" t="s">
        <v>939</v>
      </c>
      <c r="Q308" s="8"/>
      <c r="R308" s="8"/>
      <c r="S308" s="28" t="s">
        <v>939</v>
      </c>
      <c r="T308" s="28"/>
      <c r="U308" s="8"/>
      <c r="V308" s="8"/>
      <c r="W308" s="8"/>
      <c r="X308" s="28"/>
      <c r="Y308" s="28"/>
      <c r="Z308" s="28"/>
      <c r="AA308" s="28" t="s">
        <v>939</v>
      </c>
      <c r="AB308" s="28"/>
      <c r="AC308" s="28"/>
      <c r="AD308" s="28"/>
      <c r="AE308" s="28"/>
      <c r="AF308" s="28"/>
      <c r="AG308" s="28"/>
      <c r="AH308" s="28"/>
      <c r="AI308" s="8"/>
      <c r="AJ308" s="2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" thickBot="1" x14ac:dyDescent="0.35">
      <c r="A309" t="s">
        <v>772</v>
      </c>
      <c r="C309" s="46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" thickBot="1" x14ac:dyDescent="0.35">
      <c r="C310" s="46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" thickBot="1" x14ac:dyDescent="0.35">
      <c r="A311" t="s">
        <v>779</v>
      </c>
      <c r="C311" s="46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" thickBot="1" x14ac:dyDescent="0.35">
      <c r="A312" t="s">
        <v>779</v>
      </c>
      <c r="C312" s="46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" thickBot="1" x14ac:dyDescent="0.35">
      <c r="A313" t="s">
        <v>772</v>
      </c>
      <c r="C313" s="46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27</v>
      </c>
      <c r="M313" s="17">
        <f t="shared" si="18"/>
        <v>1</v>
      </c>
      <c r="N313" s="18">
        <f t="shared" si="19"/>
        <v>0.9642857142857143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" thickBot="1" x14ac:dyDescent="0.35">
      <c r="A314" t="s">
        <v>772</v>
      </c>
      <c r="C314" s="46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" thickBot="1" x14ac:dyDescent="0.35">
      <c r="A315" t="s">
        <v>779</v>
      </c>
      <c r="C315" s="46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 t="s">
        <v>939</v>
      </c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" thickBot="1" x14ac:dyDescent="0.35">
      <c r="A316" t="s">
        <v>779</v>
      </c>
      <c r="C316" s="46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" thickBot="1" x14ac:dyDescent="0.35">
      <c r="A317" t="s">
        <v>772</v>
      </c>
      <c r="C317" s="46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" thickBot="1" x14ac:dyDescent="0.35">
      <c r="A318" t="s">
        <v>772</v>
      </c>
      <c r="C318" s="46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" thickBot="1" x14ac:dyDescent="0.35">
      <c r="A319" t="s">
        <v>772</v>
      </c>
      <c r="C319" s="46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8"/>
      <c r="P319" s="8"/>
      <c r="Q319" s="8"/>
      <c r="R319" s="8"/>
      <c r="S319" s="28"/>
      <c r="T319" s="28"/>
      <c r="U319" s="8"/>
      <c r="V319" s="8"/>
      <c r="W319" s="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" thickBot="1" x14ac:dyDescent="0.35">
      <c r="A320" t="s">
        <v>772</v>
      </c>
      <c r="C320" s="46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8"/>
      <c r="P320" s="8"/>
      <c r="Q320" s="8"/>
      <c r="R320" s="8"/>
      <c r="S320" s="28"/>
      <c r="T320" s="28"/>
      <c r="U320" s="8"/>
      <c r="V320" s="8"/>
      <c r="W320" s="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" thickBot="1" x14ac:dyDescent="0.35">
      <c r="A321" t="s">
        <v>772</v>
      </c>
      <c r="C321" s="46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18</v>
      </c>
      <c r="M321" s="17">
        <f t="shared" si="18"/>
        <v>10</v>
      </c>
      <c r="N321" s="18">
        <f t="shared" si="19"/>
        <v>0.6428571428571429</v>
      </c>
      <c r="O321" s="28" t="s">
        <v>939</v>
      </c>
      <c r="P321" s="8" t="s">
        <v>939</v>
      </c>
      <c r="Q321" s="8" t="s">
        <v>939</v>
      </c>
      <c r="R321" s="8" t="s">
        <v>939</v>
      </c>
      <c r="S321" s="28" t="s">
        <v>939</v>
      </c>
      <c r="T321" s="28" t="s">
        <v>939</v>
      </c>
      <c r="U321" s="8" t="s">
        <v>939</v>
      </c>
      <c r="V321" s="8" t="s">
        <v>939</v>
      </c>
      <c r="W321" s="8" t="s">
        <v>939</v>
      </c>
      <c r="X321" s="28" t="s">
        <v>939</v>
      </c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2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" thickBot="1" x14ac:dyDescent="0.35">
      <c r="A322" t="s">
        <v>772</v>
      </c>
      <c r="C322" s="46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18</v>
      </c>
      <c r="M322" s="17">
        <f t="shared" si="18"/>
        <v>10</v>
      </c>
      <c r="N322" s="18">
        <f t="shared" si="19"/>
        <v>0.6428571428571429</v>
      </c>
      <c r="O322" s="28" t="s">
        <v>939</v>
      </c>
      <c r="P322" s="8" t="s">
        <v>939</v>
      </c>
      <c r="Q322" s="8" t="s">
        <v>939</v>
      </c>
      <c r="R322" s="8" t="s">
        <v>939</v>
      </c>
      <c r="S322" s="28" t="s">
        <v>939</v>
      </c>
      <c r="T322" s="28" t="s">
        <v>939</v>
      </c>
      <c r="U322" s="8" t="s">
        <v>939</v>
      </c>
      <c r="V322" s="8" t="s">
        <v>939</v>
      </c>
      <c r="W322" s="8" t="s">
        <v>939</v>
      </c>
      <c r="X322" s="28" t="s">
        <v>939</v>
      </c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8"/>
      <c r="AJ322" s="2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" thickBot="1" x14ac:dyDescent="0.35">
      <c r="A323" t="s">
        <v>779</v>
      </c>
      <c r="C323" s="46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" thickBot="1" x14ac:dyDescent="0.35">
      <c r="A324" t="s">
        <v>779</v>
      </c>
      <c r="C324" s="46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" thickBot="1" x14ac:dyDescent="0.35">
      <c r="A325" t="s">
        <v>772</v>
      </c>
      <c r="C325" s="46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" thickBot="1" x14ac:dyDescent="0.35">
      <c r="A326" t="s">
        <v>779</v>
      </c>
      <c r="C326" s="46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" thickBot="1" x14ac:dyDescent="0.35">
      <c r="C327" s="46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" thickBot="1" x14ac:dyDescent="0.35">
      <c r="A328" t="s">
        <v>772</v>
      </c>
      <c r="C328" s="46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8"/>
      <c r="P328" s="8"/>
      <c r="Q328" s="8"/>
      <c r="R328" s="8"/>
      <c r="S328" s="28"/>
      <c r="T328" s="28"/>
      <c r="U328" s="8"/>
      <c r="V328" s="8"/>
      <c r="W328" s="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" thickBot="1" x14ac:dyDescent="0.35">
      <c r="A329" t="s">
        <v>772</v>
      </c>
      <c r="C329" s="46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8"/>
      <c r="P329" s="8"/>
      <c r="Q329" s="8"/>
      <c r="R329" s="8"/>
      <c r="S329" s="28"/>
      <c r="T329" s="28"/>
      <c r="U329" s="8"/>
      <c r="V329" s="8"/>
      <c r="W329" s="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" thickBot="1" x14ac:dyDescent="0.35">
      <c r="A330" t="s">
        <v>772</v>
      </c>
      <c r="C330" s="46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18</v>
      </c>
      <c r="M330" s="17">
        <f t="shared" si="21"/>
        <v>10</v>
      </c>
      <c r="N330" s="18">
        <f t="shared" si="22"/>
        <v>0.6428571428571429</v>
      </c>
      <c r="O330" s="28"/>
      <c r="P330" s="8" t="s">
        <v>939</v>
      </c>
      <c r="Q330" s="8" t="s">
        <v>939</v>
      </c>
      <c r="R330" s="8" t="s">
        <v>939</v>
      </c>
      <c r="S330" s="28" t="s">
        <v>939</v>
      </c>
      <c r="T330" s="28" t="s">
        <v>939</v>
      </c>
      <c r="U330" s="8" t="s">
        <v>939</v>
      </c>
      <c r="V330" s="8" t="s">
        <v>939</v>
      </c>
      <c r="W330" s="8" t="s">
        <v>939</v>
      </c>
      <c r="X330" s="28" t="s">
        <v>939</v>
      </c>
      <c r="Y330" s="28"/>
      <c r="Z330" s="28"/>
      <c r="AA330" s="28"/>
      <c r="AB330" s="28" t="s">
        <v>939</v>
      </c>
      <c r="AC330" s="28"/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" thickBot="1" x14ac:dyDescent="0.35">
      <c r="A331" t="s">
        <v>772</v>
      </c>
      <c r="C331" s="46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18</v>
      </c>
      <c r="M331" s="17">
        <f t="shared" si="21"/>
        <v>10</v>
      </c>
      <c r="N331" s="18">
        <f t="shared" si="22"/>
        <v>0.6428571428571429</v>
      </c>
      <c r="O331" s="28"/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 t="s">
        <v>939</v>
      </c>
      <c r="X331" s="28" t="s">
        <v>939</v>
      </c>
      <c r="Y331" s="28"/>
      <c r="Z331" s="28"/>
      <c r="AA331" s="28"/>
      <c r="AB331" s="28" t="s">
        <v>939</v>
      </c>
      <c r="AC331" s="28"/>
      <c r="AD331" s="28"/>
      <c r="AE331" s="28"/>
      <c r="AF331" s="28"/>
      <c r="AG331" s="28"/>
      <c r="AH331" s="28"/>
      <c r="AI331" s="8"/>
      <c r="AJ331" s="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" thickBot="1" x14ac:dyDescent="0.35">
      <c r="A332" t="s">
        <v>619</v>
      </c>
      <c r="C332" s="46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" thickBot="1" x14ac:dyDescent="0.35">
      <c r="A333" t="s">
        <v>619</v>
      </c>
      <c r="C333" s="46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8" t="s">
        <v>939</v>
      </c>
      <c r="P333" s="8" t="s">
        <v>939</v>
      </c>
      <c r="Q333" s="8" t="s">
        <v>939</v>
      </c>
      <c r="R333" s="8" t="s">
        <v>939</v>
      </c>
      <c r="S333" s="28" t="s">
        <v>939</v>
      </c>
      <c r="T333" s="28" t="s">
        <v>939</v>
      </c>
      <c r="U333" s="8" t="s">
        <v>939</v>
      </c>
      <c r="V333" s="8" t="s">
        <v>939</v>
      </c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2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" thickBot="1" x14ac:dyDescent="0.35">
      <c r="A334" t="s">
        <v>456</v>
      </c>
      <c r="C334" s="46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" thickBot="1" x14ac:dyDescent="0.35">
      <c r="A335" t="s">
        <v>619</v>
      </c>
      <c r="C335" s="46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" thickBot="1" x14ac:dyDescent="0.35">
      <c r="A336" t="s">
        <v>619</v>
      </c>
      <c r="C336" s="46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" thickBot="1" x14ac:dyDescent="0.35">
      <c r="A337" t="s">
        <v>619</v>
      </c>
      <c r="C337" s="46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" thickBot="1" x14ac:dyDescent="0.35">
      <c r="A338" t="s">
        <v>619</v>
      </c>
      <c r="C338" s="46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" thickBot="1" x14ac:dyDescent="0.35">
      <c r="A339" t="s">
        <v>619</v>
      </c>
      <c r="C339" s="46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" thickBot="1" x14ac:dyDescent="0.35">
      <c r="A340" t="s">
        <v>730</v>
      </c>
      <c r="C340" s="46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" thickBot="1" x14ac:dyDescent="0.35">
      <c r="A341" t="s">
        <v>730</v>
      </c>
      <c r="C341" s="46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" thickBot="1" x14ac:dyDescent="0.35">
      <c r="A342" t="s">
        <v>730</v>
      </c>
      <c r="C342" s="46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" thickBot="1" x14ac:dyDescent="0.35">
      <c r="A343" t="s">
        <v>730</v>
      </c>
      <c r="C343" s="46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" thickBot="1" x14ac:dyDescent="0.35">
      <c r="A344" t="s">
        <v>724</v>
      </c>
      <c r="C344" s="46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" thickBot="1" x14ac:dyDescent="0.35">
      <c r="A345" t="s">
        <v>853</v>
      </c>
      <c r="C345" s="46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8"/>
      <c r="P345" s="8"/>
      <c r="Q345" s="8"/>
      <c r="R345" s="8"/>
      <c r="S345" s="28"/>
      <c r="T345" s="28"/>
      <c r="U345" s="8"/>
      <c r="V345" s="8"/>
      <c r="W345" s="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" thickBot="1" x14ac:dyDescent="0.35">
      <c r="A346" t="s">
        <v>853</v>
      </c>
      <c r="C346" s="46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8"/>
      <c r="P346" s="8"/>
      <c r="Q346" s="8"/>
      <c r="R346" s="8"/>
      <c r="S346" s="28"/>
      <c r="T346" s="28"/>
      <c r="U346" s="8"/>
      <c r="V346" s="8"/>
      <c r="W346" s="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" thickBot="1" x14ac:dyDescent="0.35">
      <c r="A347" t="s">
        <v>853</v>
      </c>
      <c r="B347" s="60">
        <v>44629</v>
      </c>
      <c r="C347" s="62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" thickBot="1" x14ac:dyDescent="0.35">
      <c r="A348" t="s">
        <v>853</v>
      </c>
      <c r="B348" s="60">
        <v>44629</v>
      </c>
      <c r="C348" s="62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 t="s">
        <v>939</v>
      </c>
      <c r="T348" s="28" t="s">
        <v>939</v>
      </c>
      <c r="U348" s="8" t="s">
        <v>939</v>
      </c>
      <c r="V348" s="8" t="s">
        <v>939</v>
      </c>
      <c r="W348" s="8" t="s">
        <v>939</v>
      </c>
      <c r="X348" s="28" t="s">
        <v>939</v>
      </c>
      <c r="Y348" s="28" t="s">
        <v>939</v>
      </c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" thickBot="1" x14ac:dyDescent="0.35">
      <c r="A349" t="s">
        <v>861</v>
      </c>
      <c r="B349" s="60">
        <v>44629</v>
      </c>
      <c r="C349" s="62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16</v>
      </c>
      <c r="M349" s="17">
        <f t="shared" si="21"/>
        <v>12</v>
      </c>
      <c r="N349" s="18">
        <f t="shared" si="22"/>
        <v>0.5714285714285714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 t="s">
        <v>939</v>
      </c>
      <c r="AC349" s="28"/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" thickBot="1" x14ac:dyDescent="0.35">
      <c r="A350" t="s">
        <v>861</v>
      </c>
      <c r="C350" s="46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19</v>
      </c>
      <c r="M350" s="17">
        <f t="shared" si="21"/>
        <v>9</v>
      </c>
      <c r="N350" s="18">
        <f t="shared" si="22"/>
        <v>0.6785714285714286</v>
      </c>
      <c r="O350" s="28" t="s">
        <v>939</v>
      </c>
      <c r="P350" s="8" t="s">
        <v>939</v>
      </c>
      <c r="Q350" s="8" t="s">
        <v>939</v>
      </c>
      <c r="R350" s="8" t="s">
        <v>939</v>
      </c>
      <c r="S350" s="28"/>
      <c r="T350" s="28" t="s">
        <v>939</v>
      </c>
      <c r="U350" s="8" t="s">
        <v>939</v>
      </c>
      <c r="V350" s="8" t="s">
        <v>939</v>
      </c>
      <c r="W350" s="8"/>
      <c r="X350" s="28"/>
      <c r="Y350" s="28"/>
      <c r="Z350" s="28" t="s">
        <v>939</v>
      </c>
      <c r="AA350" s="28" t="s">
        <v>939</v>
      </c>
      <c r="AB350" s="28"/>
      <c r="AC350" s="28"/>
      <c r="AD350" s="28"/>
      <c r="AE350" s="28"/>
      <c r="AF350" s="28"/>
      <c r="AG350" s="28"/>
      <c r="AH350" s="28"/>
      <c r="AI350" s="8"/>
      <c r="AJ350" s="2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" thickBot="1" x14ac:dyDescent="0.35">
      <c r="A351" t="s">
        <v>861</v>
      </c>
      <c r="B351" s="60">
        <v>44629</v>
      </c>
      <c r="C351" s="62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8" t="s">
        <v>939</v>
      </c>
      <c r="P351" s="8" t="s">
        <v>939</v>
      </c>
      <c r="Q351" s="8" t="s">
        <v>939</v>
      </c>
      <c r="R351" s="8" t="s">
        <v>939</v>
      </c>
      <c r="S351" s="28" t="s">
        <v>939</v>
      </c>
      <c r="T351" s="28" t="s">
        <v>939</v>
      </c>
      <c r="U351" s="8" t="s">
        <v>939</v>
      </c>
      <c r="V351" s="8" t="s">
        <v>939</v>
      </c>
      <c r="W351" s="8" t="s">
        <v>939</v>
      </c>
      <c r="X351" s="28" t="s">
        <v>939</v>
      </c>
      <c r="Y351" s="28" t="s">
        <v>939</v>
      </c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2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" thickBot="1" x14ac:dyDescent="0.35">
      <c r="A352" t="s">
        <v>861</v>
      </c>
      <c r="C352" s="46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" thickBot="1" x14ac:dyDescent="0.35">
      <c r="A353" t="s">
        <v>861</v>
      </c>
      <c r="C353" s="46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8"/>
      <c r="P353" s="8"/>
      <c r="Q353" s="8"/>
      <c r="R353" s="8"/>
      <c r="S353" s="28"/>
      <c r="T353" s="28"/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" thickBot="1" x14ac:dyDescent="0.35">
      <c r="A354" t="s">
        <v>271</v>
      </c>
      <c r="C354" s="46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" thickBot="1" x14ac:dyDescent="0.35">
      <c r="C355" s="46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8"/>
      <c r="P355" s="8"/>
      <c r="Q355" s="8"/>
      <c r="R355" s="8"/>
      <c r="S355" s="28" t="s">
        <v>939</v>
      </c>
      <c r="T355" s="28" t="s">
        <v>939</v>
      </c>
      <c r="U355" s="8"/>
      <c r="V355" s="8"/>
      <c r="W355" s="8"/>
      <c r="X355" s="28"/>
      <c r="Y355" s="28"/>
      <c r="Z355" s="28" t="s">
        <v>939</v>
      </c>
      <c r="AA355" s="28" t="s">
        <v>939</v>
      </c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" thickBot="1" x14ac:dyDescent="0.35">
      <c r="A356" t="s">
        <v>271</v>
      </c>
      <c r="C356" s="46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" thickBot="1" x14ac:dyDescent="0.35">
      <c r="A357" t="s">
        <v>271</v>
      </c>
      <c r="C357" s="46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" thickBot="1" x14ac:dyDescent="0.35">
      <c r="A358" t="s">
        <v>271</v>
      </c>
      <c r="C358" s="46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" thickBot="1" x14ac:dyDescent="0.35">
      <c r="A359" t="s">
        <v>884</v>
      </c>
      <c r="C359" s="46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" thickBot="1" x14ac:dyDescent="0.35">
      <c r="A360" t="s">
        <v>884</v>
      </c>
      <c r="C360" s="46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" thickBot="1" x14ac:dyDescent="0.35">
      <c r="A361" t="s">
        <v>884</v>
      </c>
      <c r="C361" s="46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" thickBot="1" x14ac:dyDescent="0.35">
      <c r="A362" t="s">
        <v>884</v>
      </c>
      <c r="C362" s="46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8"/>
      <c r="P362" s="8"/>
      <c r="Q362" s="8"/>
      <c r="R362" s="8"/>
      <c r="S362" s="28"/>
      <c r="T362" s="28"/>
      <c r="U362" s="8"/>
      <c r="V362" s="8"/>
      <c r="W362" s="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" thickBot="1" x14ac:dyDescent="0.35">
      <c r="A363" t="s">
        <v>892</v>
      </c>
      <c r="C363" s="46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" thickBot="1" x14ac:dyDescent="0.35">
      <c r="A364" t="s">
        <v>895</v>
      </c>
      <c r="C364" s="46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21</v>
      </c>
      <c r="M364" s="17">
        <f t="shared" si="21"/>
        <v>7</v>
      </c>
      <c r="N364" s="18">
        <f t="shared" si="22"/>
        <v>0.75</v>
      </c>
      <c r="O364" s="28"/>
      <c r="P364" s="8"/>
      <c r="Q364" s="8"/>
      <c r="R364" s="8"/>
      <c r="S364" s="28"/>
      <c r="T364" s="28"/>
      <c r="U364" s="8" t="s">
        <v>939</v>
      </c>
      <c r="V364" s="8" t="s">
        <v>939</v>
      </c>
      <c r="W364" s="8" t="s">
        <v>939</v>
      </c>
      <c r="X364" s="28" t="s">
        <v>939</v>
      </c>
      <c r="Y364" s="28" t="s">
        <v>939</v>
      </c>
      <c r="Z364" s="28"/>
      <c r="AA364" s="28" t="s">
        <v>939</v>
      </c>
      <c r="AB364" s="28" t="s">
        <v>939</v>
      </c>
      <c r="AC364" s="28"/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" thickBot="1" x14ac:dyDescent="0.35">
      <c r="A365" t="s">
        <v>895</v>
      </c>
      <c r="C365" s="46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" thickBot="1" x14ac:dyDescent="0.35">
      <c r="A366" t="s">
        <v>895</v>
      </c>
      <c r="C366" s="46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" thickBot="1" x14ac:dyDescent="0.35">
      <c r="C367" s="46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8"/>
      <c r="P367" s="8"/>
      <c r="Q367" s="8"/>
      <c r="R367" s="8"/>
      <c r="S367" s="28"/>
      <c r="T367" s="28"/>
      <c r="U367" s="8"/>
      <c r="V367" s="8"/>
      <c r="W367" s="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" thickBot="1" x14ac:dyDescent="0.35">
      <c r="A368" t="s">
        <v>905</v>
      </c>
      <c r="C368" s="46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8"/>
      <c r="AJ368" s="8"/>
      <c r="AK368" s="8"/>
      <c r="AL368" s="8"/>
      <c r="AM368" s="8"/>
      <c r="AN368" s="28"/>
      <c r="AO368" s="8"/>
      <c r="AP368" s="8"/>
      <c r="AQ368" s="28"/>
      <c r="AR368" s="28"/>
      <c r="AS368" s="28"/>
    </row>
    <row r="369" spans="1:45" ht="15" thickBot="1" x14ac:dyDescent="0.35">
      <c r="A369" t="s">
        <v>480</v>
      </c>
      <c r="B369" s="60">
        <v>44629</v>
      </c>
      <c r="C369" s="62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8" t="s">
        <v>939</v>
      </c>
      <c r="P369" s="8" t="s">
        <v>939</v>
      </c>
      <c r="Q369" s="8" t="s">
        <v>939</v>
      </c>
      <c r="R369" s="8" t="s">
        <v>939</v>
      </c>
      <c r="S369" s="28" t="s">
        <v>939</v>
      </c>
      <c r="T369" s="28" t="s">
        <v>939</v>
      </c>
      <c r="U369" s="8" t="s">
        <v>939</v>
      </c>
      <c r="V369" s="8" t="s">
        <v>939</v>
      </c>
      <c r="W369" s="8" t="s">
        <v>939</v>
      </c>
      <c r="X369" s="28" t="s">
        <v>939</v>
      </c>
      <c r="Y369" s="28" t="s">
        <v>939</v>
      </c>
      <c r="Z369" s="28"/>
      <c r="AA369" s="28"/>
      <c r="AB369" s="28"/>
      <c r="AC369" s="28"/>
      <c r="AD369" s="28"/>
      <c r="AE369" s="28"/>
      <c r="AF369" s="28"/>
      <c r="AG369" s="28"/>
      <c r="AH369" s="28"/>
      <c r="AI369" s="8"/>
      <c r="AJ369" s="28"/>
      <c r="AK369" s="8"/>
      <c r="AL369" s="8"/>
      <c r="AM369" s="8"/>
      <c r="AN369" s="28"/>
      <c r="AO369" s="8"/>
      <c r="AP369" s="8"/>
      <c r="AQ369" s="28"/>
      <c r="AR369" s="28"/>
      <c r="AS369" s="28"/>
    </row>
    <row r="370" spans="1:45" ht="15" thickBot="1" x14ac:dyDescent="0.35">
      <c r="C370" s="46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8"/>
      <c r="P370" s="8"/>
      <c r="Q370" s="8"/>
      <c r="R370" s="8"/>
      <c r="S370" s="28"/>
      <c r="T370" s="28"/>
      <c r="U370" s="8"/>
      <c r="V370" s="8"/>
      <c r="W370" s="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ht="15" thickBot="1" x14ac:dyDescent="0.35">
      <c r="A371" t="s">
        <v>1318</v>
      </c>
      <c r="C371" s="46" t="s">
        <v>1314</v>
      </c>
      <c r="D371" t="s">
        <v>1316</v>
      </c>
      <c r="E371" s="46" t="s">
        <v>113</v>
      </c>
      <c r="F371" s="46" t="s">
        <v>36</v>
      </c>
      <c r="G371" s="9"/>
      <c r="H371" s="9" t="s">
        <v>1321</v>
      </c>
      <c r="I371" s="9"/>
      <c r="J371" s="9"/>
      <c r="K371" s="29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 spans="1:45" ht="15" thickBot="1" x14ac:dyDescent="0.35">
      <c r="A372" t="s">
        <v>1318</v>
      </c>
      <c r="C372" s="46" t="s">
        <v>1315</v>
      </c>
      <c r="D372" t="s">
        <v>1317</v>
      </c>
      <c r="E372" s="46" t="s">
        <v>113</v>
      </c>
      <c r="F372" s="46" t="s">
        <v>36</v>
      </c>
      <c r="G372" s="9" t="s">
        <v>1321</v>
      </c>
      <c r="H372" s="9"/>
      <c r="I372" s="9"/>
      <c r="J372" s="9"/>
      <c r="K372" s="29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 spans="1:45" x14ac:dyDescent="0.3">
      <c r="E373" s="9"/>
      <c r="F373" s="9"/>
      <c r="G373" s="9"/>
      <c r="H373" s="9"/>
      <c r="I373" s="9"/>
      <c r="J373" s="9"/>
      <c r="K373" s="29"/>
      <c r="N373" s="21"/>
      <c r="O373" s="2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3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3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3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3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3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3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3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3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3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3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3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3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3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3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3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3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3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3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3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3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3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3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3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3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3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3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3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3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3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3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3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3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3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3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3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3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3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3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3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3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3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3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3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3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3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3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3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3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3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3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3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3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3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3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3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3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3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3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3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3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3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3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3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3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3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3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3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3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3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3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3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3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3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3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3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3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3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3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3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3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3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3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3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3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3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3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3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3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3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3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3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3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3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3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3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3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3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3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3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3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3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3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3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3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3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3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3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3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3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3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3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3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3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3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3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3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3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3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3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3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3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3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3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3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3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3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3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3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3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3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3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3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3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3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3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3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3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3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3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3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3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3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3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3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3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3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3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3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3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3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3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3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3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3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3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3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3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3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3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3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3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3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3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3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3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3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3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3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3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3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3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3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3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3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3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3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3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3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3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3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3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3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3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3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3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3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3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3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3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3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3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3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3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3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3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3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3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3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3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3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3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3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3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3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3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3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3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3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3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3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3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3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3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3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3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3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3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3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3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3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3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3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3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3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3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3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3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3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3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3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3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3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3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3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3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3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3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3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3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3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3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3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3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3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3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3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3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3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3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3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3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3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3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3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3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3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3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3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3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3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3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3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3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3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3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3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3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3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3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3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3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3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3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3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3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3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3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3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3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3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3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3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3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3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3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3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3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3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3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3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3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3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3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3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3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3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3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B670" s="29"/>
      <c r="AC670" s="29"/>
      <c r="AD670" s="29"/>
      <c r="AE670" s="29"/>
      <c r="AF670" s="29"/>
      <c r="AG670" s="29"/>
      <c r="AH670" s="29"/>
      <c r="AI670" s="9"/>
      <c r="AJ670" s="9"/>
      <c r="AK670" s="9"/>
      <c r="AL670" s="9"/>
      <c r="AM670" s="9"/>
      <c r="AN670" s="9"/>
      <c r="AO670" s="9"/>
      <c r="AP670" s="9"/>
      <c r="AQ670" s="29"/>
      <c r="AR670" s="29"/>
      <c r="AS670" s="29"/>
    </row>
    <row r="671" spans="5:45" x14ac:dyDescent="0.3">
      <c r="E671" s="9"/>
      <c r="F671" s="9"/>
      <c r="G671" s="9"/>
      <c r="H671" s="9"/>
      <c r="I671" s="9"/>
      <c r="J671" s="9"/>
      <c r="K671" s="29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B671" s="29"/>
      <c r="AC671" s="29"/>
      <c r="AD671" s="29"/>
      <c r="AE671" s="29"/>
      <c r="AF671" s="29"/>
      <c r="AG671" s="29"/>
      <c r="AH671" s="29"/>
      <c r="AI671" s="9"/>
      <c r="AJ671" s="9"/>
      <c r="AK671" s="9"/>
      <c r="AL671" s="9"/>
      <c r="AM671" s="9"/>
      <c r="AN671" s="9"/>
      <c r="AO671" s="9"/>
      <c r="AP671" s="9"/>
      <c r="AQ671" s="29"/>
      <c r="AR671" s="29"/>
      <c r="AS671" s="29"/>
    </row>
    <row r="672" spans="5:45" x14ac:dyDescent="0.3">
      <c r="E672" s="9"/>
      <c r="F672" s="9"/>
      <c r="G672" s="9"/>
      <c r="H672" s="9"/>
      <c r="I672" s="9"/>
      <c r="J672" s="9"/>
      <c r="K672" s="29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9"/>
      <c r="N673" s="21"/>
    </row>
    <row r="674" spans="5:14" x14ac:dyDescent="0.3">
      <c r="E674" s="9"/>
      <c r="F674" s="9"/>
      <c r="G674" s="9"/>
      <c r="H674" s="9"/>
      <c r="I674" s="9"/>
      <c r="J674" s="9"/>
      <c r="K674" s="29"/>
      <c r="N674" s="21"/>
    </row>
    <row r="675" spans="5:14" x14ac:dyDescent="0.3">
      <c r="E675" s="9"/>
      <c r="F675" s="9"/>
      <c r="G675" s="9"/>
      <c r="H675" s="9"/>
      <c r="I675" s="9"/>
      <c r="J675" s="9"/>
      <c r="K675" s="29"/>
      <c r="N675" s="21"/>
    </row>
    <row r="676" spans="5:14" x14ac:dyDescent="0.3">
      <c r="N676" s="21"/>
    </row>
  </sheetData>
  <conditionalFormatting sqref="N4:N244 N247:N372 P236:U244 P247:U281 V96:AA244 AB109:AB244 V247:AB372 AC241:AH244 AC247:AH250 O95:O244 O247:O369 AI95:AS244 AI247:AS369 N245:AS246">
    <cfRule type="cellIs" dxfId="1678" priority="1733" operator="lessThan">
      <formula>0.8</formula>
    </cfRule>
    <cfRule type="cellIs" dxfId="1677" priority="1734" operator="greaterThan">
      <formula>0.8</formula>
    </cfRule>
  </conditionalFormatting>
  <conditionalFormatting sqref="E1:K3 E284:K334 E236:K236 E5:K32 E36:K91 E94:K230 E337:K364 E369:K372 E243:K281 E391:K1048576">
    <cfRule type="containsText" dxfId="1676" priority="1732" operator="containsText" text="Radio">
      <formula>NOT(ISERROR(SEARCH("Radio",E1)))</formula>
    </cfRule>
  </conditionalFormatting>
  <conditionalFormatting sqref="AA391:AA1048576 P236:U244 P247:U281 V96:AA244 AB109:AB244 V247:AB372 AC241:AH244 AC247:AH250 O95:O244 O247:O372 AI95:AS244 AI247:AS372 O245:AS246 AI391:AS1048576 V391:X1048576">
    <cfRule type="notContainsText" dxfId="1675" priority="1728" operator="notContains" text="Caida">
      <formula>ISERROR(SEARCH("Caida",O95))</formula>
    </cfRule>
    <cfRule type="containsText" dxfId="1674" priority="1729" operator="containsText" text="Caida">
      <formula>NOT(ISERROR(SEARCH("Caida",O95)))</formula>
    </cfRule>
  </conditionalFormatting>
  <conditionalFormatting sqref="E282:K282">
    <cfRule type="containsText" dxfId="1673" priority="1701" operator="containsText" text="Radio">
      <formula>NOT(ISERROR(SEARCH("Radio",E282)))</formula>
    </cfRule>
  </conditionalFormatting>
  <conditionalFormatting sqref="E283:K283">
    <cfRule type="containsText" dxfId="1672" priority="1676" operator="containsText" text="Radio">
      <formula>NOT(ISERROR(SEARCH("Radio",E283)))</formula>
    </cfRule>
  </conditionalFormatting>
  <conditionalFormatting sqref="E4:K4">
    <cfRule type="containsText" dxfId="1671" priority="1651" operator="containsText" text="Radio">
      <formula>NOT(ISERROR(SEARCH("Radio",E4)))</formula>
    </cfRule>
  </conditionalFormatting>
  <conditionalFormatting sqref="E231:K231">
    <cfRule type="containsText" dxfId="1670" priority="1650" operator="containsText" text="Radio">
      <formula>NOT(ISERROR(SEARCH("Radio",E231)))</formula>
    </cfRule>
  </conditionalFormatting>
  <conditionalFormatting sqref="E232:K232">
    <cfRule type="containsText" dxfId="1669" priority="1625" operator="containsText" text="Radio">
      <formula>NOT(ISERROR(SEARCH("Radio",E232)))</formula>
    </cfRule>
  </conditionalFormatting>
  <conditionalFormatting sqref="E233:K233">
    <cfRule type="containsText" dxfId="1668" priority="1600" operator="containsText" text="Radio">
      <formula>NOT(ISERROR(SEARCH("Radio",E233)))</formula>
    </cfRule>
  </conditionalFormatting>
  <conditionalFormatting sqref="E234:K234">
    <cfRule type="containsText" dxfId="1667" priority="1575" operator="containsText" text="Radio">
      <formula>NOT(ISERROR(SEARCH("Radio",E234)))</formula>
    </cfRule>
  </conditionalFormatting>
  <conditionalFormatting sqref="E235:K235">
    <cfRule type="containsText" dxfId="1666" priority="1550" operator="containsText" text="Radio">
      <formula>NOT(ISERROR(SEARCH("Radio",E235)))</formula>
    </cfRule>
  </conditionalFormatting>
  <conditionalFormatting sqref="E335:K335">
    <cfRule type="containsText" dxfId="1665" priority="1501" operator="containsText" text="Radio">
      <formula>NOT(ISERROR(SEARCH("Radio",E335)))</formula>
    </cfRule>
  </conditionalFormatting>
  <conditionalFormatting sqref="E336:K336">
    <cfRule type="containsText" dxfId="1664" priority="1476" operator="containsText" text="Radio">
      <formula>NOT(ISERROR(SEARCH("Radio",E336)))</formula>
    </cfRule>
  </conditionalFormatting>
  <conditionalFormatting sqref="E237:K237">
    <cfRule type="containsText" dxfId="1663" priority="1451" operator="containsText" text="Radio">
      <formula>NOT(ISERROR(SEARCH("Radio",E237)))</formula>
    </cfRule>
  </conditionalFormatting>
  <conditionalFormatting sqref="E238:K238">
    <cfRule type="containsText" dxfId="1662" priority="1426" operator="containsText" text="Radio">
      <formula>NOT(ISERROR(SEARCH("Radio",E238)))</formula>
    </cfRule>
  </conditionalFormatting>
  <conditionalFormatting sqref="E33:K35">
    <cfRule type="containsText" dxfId="1661" priority="1401" operator="containsText" text="Radio">
      <formula>NOT(ISERROR(SEARCH("Radio",E33)))</formula>
    </cfRule>
  </conditionalFormatting>
  <conditionalFormatting sqref="E239:K239">
    <cfRule type="containsText" dxfId="1660" priority="1376" operator="containsText" text="Radio">
      <formula>NOT(ISERROR(SEARCH("Radio",E239)))</formula>
    </cfRule>
  </conditionalFormatting>
  <conditionalFormatting sqref="E240:K240">
    <cfRule type="containsText" dxfId="1659" priority="1351" operator="containsText" text="Radio">
      <formula>NOT(ISERROR(SEARCH("Radio",E240)))</formula>
    </cfRule>
  </conditionalFormatting>
  <conditionalFormatting sqref="E241:K241">
    <cfRule type="containsText" dxfId="1658" priority="1326" operator="containsText" text="Radio">
      <formula>NOT(ISERROR(SEARCH("Radio",E241)))</formula>
    </cfRule>
  </conditionalFormatting>
  <conditionalFormatting sqref="E242:K242">
    <cfRule type="containsText" dxfId="1657" priority="1301" operator="containsText" text="Radio">
      <formula>NOT(ISERROR(SEARCH("Radio",E242)))</formula>
    </cfRule>
  </conditionalFormatting>
  <conditionalFormatting sqref="P6:P92 P96:P230">
    <cfRule type="cellIs" dxfId="1656" priority="1226" operator="lessThan">
      <formula>0.8</formula>
    </cfRule>
    <cfRule type="cellIs" dxfId="1655" priority="1227" operator="greaterThan">
      <formula>0.8</formula>
    </cfRule>
  </conditionalFormatting>
  <conditionalFormatting sqref="P6:P92 P96:P230">
    <cfRule type="notContainsText" dxfId="1654" priority="1224" operator="notContains" text="Caida">
      <formula>ISERROR(SEARCH("Caida",P6))</formula>
    </cfRule>
    <cfRule type="containsText" dxfId="1653" priority="1225" operator="containsText" text="Caida">
      <formula>NOT(ISERROR(SEARCH("Caida",P6)))</formula>
    </cfRule>
  </conditionalFormatting>
  <conditionalFormatting sqref="P337:P366 P284:P334">
    <cfRule type="cellIs" dxfId="1652" priority="1222" operator="lessThan">
      <formula>0.8</formula>
    </cfRule>
    <cfRule type="cellIs" dxfId="1651" priority="1223" operator="greaterThan">
      <formula>0.8</formula>
    </cfRule>
  </conditionalFormatting>
  <conditionalFormatting sqref="P337:P366 P284:P334 P391:P1048576">
    <cfRule type="notContainsText" dxfId="1650" priority="1220" operator="notContains" text="Caida">
      <formula>ISERROR(SEARCH("Caida",P284))</formula>
    </cfRule>
    <cfRule type="containsText" dxfId="1649" priority="1221" operator="containsText" text="Caida">
      <formula>NOT(ISERROR(SEARCH("Caida",P284)))</formula>
    </cfRule>
  </conditionalFormatting>
  <conditionalFormatting sqref="O391:O1048576">
    <cfRule type="notContainsText" dxfId="1648" priority="1269" operator="notContains" text="Caida">
      <formula>ISERROR(SEARCH("Caida",O391))</formula>
    </cfRule>
    <cfRule type="containsText" dxfId="1647" priority="1270" operator="containsText" text="Caida">
      <formula>NOT(ISERROR(SEARCH("Caida",O391)))</formula>
    </cfRule>
  </conditionalFormatting>
  <conditionalFormatting sqref="P336">
    <cfRule type="cellIs" dxfId="1646" priority="1181" operator="lessThan">
      <formula>0.8</formula>
    </cfRule>
    <cfRule type="cellIs" dxfId="1645" priority="1182" operator="greaterThan">
      <formula>0.8</formula>
    </cfRule>
  </conditionalFormatting>
  <conditionalFormatting sqref="P336">
    <cfRule type="notContainsText" dxfId="1644" priority="1179" operator="notContains" text="Caida">
      <formula>ISERROR(SEARCH("Caida",P336))</formula>
    </cfRule>
    <cfRule type="containsText" dxfId="1643" priority="1180" operator="containsText" text="Caida">
      <formula>NOT(ISERROR(SEARCH("Caida",P336)))</formula>
    </cfRule>
  </conditionalFormatting>
  <conditionalFormatting sqref="P22">
    <cfRule type="containsText" dxfId="1642" priority="1219" operator="containsText" text="Instaladas en Funcionamiento Caida">
      <formula>NOT(ISERROR(SEARCH("Instaladas en Funcionamiento Caida",P22)))</formula>
    </cfRule>
  </conditionalFormatting>
  <conditionalFormatting sqref="P282">
    <cfRule type="cellIs" dxfId="1641" priority="1217" operator="lessThan">
      <formula>0.8</formula>
    </cfRule>
    <cfRule type="cellIs" dxfId="1640" priority="1218" operator="greaterThan">
      <formula>0.8</formula>
    </cfRule>
  </conditionalFormatting>
  <conditionalFormatting sqref="P282">
    <cfRule type="notContainsText" dxfId="1639" priority="1215" operator="notContains" text="Caida">
      <formula>ISERROR(SEARCH("Caida",P282))</formula>
    </cfRule>
    <cfRule type="containsText" dxfId="1638" priority="1216" operator="containsText" text="Caida">
      <formula>NOT(ISERROR(SEARCH("Caida",P282)))</formula>
    </cfRule>
  </conditionalFormatting>
  <conditionalFormatting sqref="P283">
    <cfRule type="cellIs" dxfId="1637" priority="1213" operator="lessThan">
      <formula>0.8</formula>
    </cfRule>
    <cfRule type="cellIs" dxfId="1636" priority="1214" operator="greaterThan">
      <formula>0.8</formula>
    </cfRule>
  </conditionalFormatting>
  <conditionalFormatting sqref="P283">
    <cfRule type="notContainsText" dxfId="1635" priority="1211" operator="notContains" text="Caida">
      <formula>ISERROR(SEARCH("Caida",P283))</formula>
    </cfRule>
    <cfRule type="containsText" dxfId="1634" priority="1212" operator="containsText" text="Caida">
      <formula>NOT(ISERROR(SEARCH("Caida",P283)))</formula>
    </cfRule>
  </conditionalFormatting>
  <conditionalFormatting sqref="P5">
    <cfRule type="cellIs" dxfId="1633" priority="1209" operator="lessThan">
      <formula>0.8</formula>
    </cfRule>
    <cfRule type="cellIs" dxfId="1632" priority="1210" operator="greaterThan">
      <formula>0.8</formula>
    </cfRule>
  </conditionalFormatting>
  <conditionalFormatting sqref="P5">
    <cfRule type="notContainsText" dxfId="1631" priority="1207" operator="notContains" text="Caida">
      <formula>ISERROR(SEARCH("Caida",P5))</formula>
    </cfRule>
    <cfRule type="containsText" dxfId="1630" priority="1208" operator="containsText" text="Caida">
      <formula>NOT(ISERROR(SEARCH("Caida",P5)))</formula>
    </cfRule>
  </conditionalFormatting>
  <conditionalFormatting sqref="P231">
    <cfRule type="cellIs" dxfId="1629" priority="1205" operator="lessThan">
      <formula>0.8</formula>
    </cfRule>
    <cfRule type="cellIs" dxfId="1628" priority="1206" operator="greaterThan">
      <formula>0.8</formula>
    </cfRule>
  </conditionalFormatting>
  <conditionalFormatting sqref="P231">
    <cfRule type="notContainsText" dxfId="1627" priority="1203" operator="notContains" text="Caida">
      <formula>ISERROR(SEARCH("Caida",P231))</formula>
    </cfRule>
    <cfRule type="containsText" dxfId="1626" priority="1204" operator="containsText" text="Caida">
      <formula>NOT(ISERROR(SEARCH("Caida",P231)))</formula>
    </cfRule>
  </conditionalFormatting>
  <conditionalFormatting sqref="P232">
    <cfRule type="cellIs" dxfId="1625" priority="1201" operator="lessThan">
      <formula>0.8</formula>
    </cfRule>
    <cfRule type="cellIs" dxfId="1624" priority="1202" operator="greaterThan">
      <formula>0.8</formula>
    </cfRule>
  </conditionalFormatting>
  <conditionalFormatting sqref="P232">
    <cfRule type="notContainsText" dxfId="1623" priority="1199" operator="notContains" text="Caida">
      <formula>ISERROR(SEARCH("Caida",P232))</formula>
    </cfRule>
    <cfRule type="containsText" dxfId="1622" priority="1200" operator="containsText" text="Caida">
      <formula>NOT(ISERROR(SEARCH("Caida",P232)))</formula>
    </cfRule>
  </conditionalFormatting>
  <conditionalFormatting sqref="P233">
    <cfRule type="cellIs" dxfId="1621" priority="1197" operator="lessThan">
      <formula>0.8</formula>
    </cfRule>
    <cfRule type="cellIs" dxfId="1620" priority="1198" operator="greaterThan">
      <formula>0.8</formula>
    </cfRule>
  </conditionalFormatting>
  <conditionalFormatting sqref="P233">
    <cfRule type="notContainsText" dxfId="1619" priority="1195" operator="notContains" text="Caida">
      <formula>ISERROR(SEARCH("Caida",P233))</formula>
    </cfRule>
    <cfRule type="containsText" dxfId="1618" priority="1196" operator="containsText" text="Caida">
      <formula>NOT(ISERROR(SEARCH("Caida",P233)))</formula>
    </cfRule>
  </conditionalFormatting>
  <conditionalFormatting sqref="P234">
    <cfRule type="cellIs" dxfId="1617" priority="1193" operator="lessThan">
      <formula>0.8</formula>
    </cfRule>
    <cfRule type="cellIs" dxfId="1616" priority="1194" operator="greaterThan">
      <formula>0.8</formula>
    </cfRule>
  </conditionalFormatting>
  <conditionalFormatting sqref="P234">
    <cfRule type="notContainsText" dxfId="1615" priority="1191" operator="notContains" text="Caida">
      <formula>ISERROR(SEARCH("Caida",P234))</formula>
    </cfRule>
    <cfRule type="containsText" dxfId="1614" priority="1192" operator="containsText" text="Caida">
      <formula>NOT(ISERROR(SEARCH("Caida",P234)))</formula>
    </cfRule>
  </conditionalFormatting>
  <conditionalFormatting sqref="P235">
    <cfRule type="cellIs" dxfId="1613" priority="1189" operator="lessThan">
      <formula>0.8</formula>
    </cfRule>
    <cfRule type="cellIs" dxfId="1612" priority="1190" operator="greaterThan">
      <formula>0.8</formula>
    </cfRule>
  </conditionalFormatting>
  <conditionalFormatting sqref="P235">
    <cfRule type="notContainsText" dxfId="1611" priority="1187" operator="notContains" text="Caida">
      <formula>ISERROR(SEARCH("Caida",P235))</formula>
    </cfRule>
    <cfRule type="containsText" dxfId="1610" priority="1188" operator="containsText" text="Caida">
      <formula>NOT(ISERROR(SEARCH("Caida",P235)))</formula>
    </cfRule>
  </conditionalFormatting>
  <conditionalFormatting sqref="P335">
    <cfRule type="cellIs" dxfId="1609" priority="1185" operator="lessThan">
      <formula>0.8</formula>
    </cfRule>
    <cfRule type="cellIs" dxfId="1608" priority="1186" operator="greaterThan">
      <formula>0.8</formula>
    </cfRule>
  </conditionalFormatting>
  <conditionalFormatting sqref="P335">
    <cfRule type="notContainsText" dxfId="1607" priority="1183" operator="notContains" text="Caida">
      <formula>ISERROR(SEARCH("Caida",P335))</formula>
    </cfRule>
    <cfRule type="containsText" dxfId="1606" priority="1184" operator="containsText" text="Caida">
      <formula>NOT(ISERROR(SEARCH("Caida",P335)))</formula>
    </cfRule>
  </conditionalFormatting>
  <conditionalFormatting sqref="Q6:Q92 Q96:Q230">
    <cfRule type="cellIs" dxfId="1605" priority="1177" operator="lessThan">
      <formula>0.8</formula>
    </cfRule>
    <cfRule type="cellIs" dxfId="1604" priority="1178" operator="greaterThan">
      <formula>0.8</formula>
    </cfRule>
  </conditionalFormatting>
  <conditionalFormatting sqref="Q6:Q92 Q96:Q230">
    <cfRule type="notContainsText" dxfId="1603" priority="1175" operator="notContains" text="Caida">
      <formula>ISERROR(SEARCH("Caida",Q6))</formula>
    </cfRule>
    <cfRule type="containsText" dxfId="1602" priority="1176" operator="containsText" text="Caida">
      <formula>NOT(ISERROR(SEARCH("Caida",Q6)))</formula>
    </cfRule>
  </conditionalFormatting>
  <conditionalFormatting sqref="Q336">
    <cfRule type="cellIs" dxfId="1601" priority="1132" operator="lessThan">
      <formula>0.8</formula>
    </cfRule>
    <cfRule type="cellIs" dxfId="1600" priority="1133" operator="greaterThan">
      <formula>0.8</formula>
    </cfRule>
  </conditionalFormatting>
  <conditionalFormatting sqref="Q336">
    <cfRule type="notContainsText" dxfId="1599" priority="1130" operator="notContains" text="Caida">
      <formula>ISERROR(SEARCH("Caida",Q336))</formula>
    </cfRule>
    <cfRule type="containsText" dxfId="1598" priority="1131" operator="containsText" text="Caida">
      <formula>NOT(ISERROR(SEARCH("Caida",Q336)))</formula>
    </cfRule>
  </conditionalFormatting>
  <conditionalFormatting sqref="Q337:Q366 Q284:Q334">
    <cfRule type="cellIs" dxfId="1597" priority="1173" operator="lessThan">
      <formula>0.8</formula>
    </cfRule>
    <cfRule type="cellIs" dxfId="1596" priority="1174" operator="greaterThan">
      <formula>0.8</formula>
    </cfRule>
  </conditionalFormatting>
  <conditionalFormatting sqref="Q337:Q366 Q284:Q334 Q391:Q1048576">
    <cfRule type="notContainsText" dxfId="1595" priority="1171" operator="notContains" text="Caida">
      <formula>ISERROR(SEARCH("Caida",Q284))</formula>
    </cfRule>
    <cfRule type="containsText" dxfId="1594" priority="1172" operator="containsText" text="Caida">
      <formula>NOT(ISERROR(SEARCH("Caida",Q284)))</formula>
    </cfRule>
  </conditionalFormatting>
  <conditionalFormatting sqref="Q22">
    <cfRule type="containsText" dxfId="1593" priority="1170" operator="containsText" text="Instaladas en Funcionamiento Caida">
      <formula>NOT(ISERROR(SEARCH("Instaladas en Funcionamiento Caida",Q22)))</formula>
    </cfRule>
  </conditionalFormatting>
  <conditionalFormatting sqref="Q282">
    <cfRule type="cellIs" dxfId="1592" priority="1168" operator="lessThan">
      <formula>0.8</formula>
    </cfRule>
    <cfRule type="cellIs" dxfId="1591" priority="1169" operator="greaterThan">
      <formula>0.8</formula>
    </cfRule>
  </conditionalFormatting>
  <conditionalFormatting sqref="Q282">
    <cfRule type="notContainsText" dxfId="1590" priority="1166" operator="notContains" text="Caida">
      <formula>ISERROR(SEARCH("Caida",Q282))</formula>
    </cfRule>
    <cfRule type="containsText" dxfId="1589" priority="1167" operator="containsText" text="Caida">
      <formula>NOT(ISERROR(SEARCH("Caida",Q282)))</formula>
    </cfRule>
  </conditionalFormatting>
  <conditionalFormatting sqref="Q283">
    <cfRule type="cellIs" dxfId="1588" priority="1164" operator="lessThan">
      <formula>0.8</formula>
    </cfRule>
    <cfRule type="cellIs" dxfId="1587" priority="1165" operator="greaterThan">
      <formula>0.8</formula>
    </cfRule>
  </conditionalFormatting>
  <conditionalFormatting sqref="Q283">
    <cfRule type="notContainsText" dxfId="1586" priority="1162" operator="notContains" text="Caida">
      <formula>ISERROR(SEARCH("Caida",Q283))</formula>
    </cfRule>
    <cfRule type="containsText" dxfId="1585" priority="1163" operator="containsText" text="Caida">
      <formula>NOT(ISERROR(SEARCH("Caida",Q283)))</formula>
    </cfRule>
  </conditionalFormatting>
  <conditionalFormatting sqref="Q5">
    <cfRule type="cellIs" dxfId="1584" priority="1160" operator="lessThan">
      <formula>0.8</formula>
    </cfRule>
    <cfRule type="cellIs" dxfId="1583" priority="1161" operator="greaterThan">
      <formula>0.8</formula>
    </cfRule>
  </conditionalFormatting>
  <conditionalFormatting sqref="Q5">
    <cfRule type="notContainsText" dxfId="1582" priority="1158" operator="notContains" text="Caida">
      <formula>ISERROR(SEARCH("Caida",Q5))</formula>
    </cfRule>
    <cfRule type="containsText" dxfId="1581" priority="1159" operator="containsText" text="Caida">
      <formula>NOT(ISERROR(SEARCH("Caida",Q5)))</formula>
    </cfRule>
  </conditionalFormatting>
  <conditionalFormatting sqref="Q231">
    <cfRule type="cellIs" dxfId="1580" priority="1156" operator="lessThan">
      <formula>0.8</formula>
    </cfRule>
    <cfRule type="cellIs" dxfId="1579" priority="1157" operator="greaterThan">
      <formula>0.8</formula>
    </cfRule>
  </conditionalFormatting>
  <conditionalFormatting sqref="Q231">
    <cfRule type="notContainsText" dxfId="1578" priority="1154" operator="notContains" text="Caida">
      <formula>ISERROR(SEARCH("Caida",Q231))</formula>
    </cfRule>
    <cfRule type="containsText" dxfId="1577" priority="1155" operator="containsText" text="Caida">
      <formula>NOT(ISERROR(SEARCH("Caida",Q231)))</formula>
    </cfRule>
  </conditionalFormatting>
  <conditionalFormatting sqref="Q232">
    <cfRule type="cellIs" dxfId="1576" priority="1152" operator="lessThan">
      <formula>0.8</formula>
    </cfRule>
    <cfRule type="cellIs" dxfId="1575" priority="1153" operator="greaterThan">
      <formula>0.8</formula>
    </cfRule>
  </conditionalFormatting>
  <conditionalFormatting sqref="Q232">
    <cfRule type="notContainsText" dxfId="1574" priority="1150" operator="notContains" text="Caida">
      <formula>ISERROR(SEARCH("Caida",Q232))</formula>
    </cfRule>
    <cfRule type="containsText" dxfId="1573" priority="1151" operator="containsText" text="Caida">
      <formula>NOT(ISERROR(SEARCH("Caida",Q232)))</formula>
    </cfRule>
  </conditionalFormatting>
  <conditionalFormatting sqref="Q233">
    <cfRule type="cellIs" dxfId="1572" priority="1148" operator="lessThan">
      <formula>0.8</formula>
    </cfRule>
    <cfRule type="cellIs" dxfId="1571" priority="1149" operator="greaterThan">
      <formula>0.8</formula>
    </cfRule>
  </conditionalFormatting>
  <conditionalFormatting sqref="Q233">
    <cfRule type="notContainsText" dxfId="1570" priority="1146" operator="notContains" text="Caida">
      <formula>ISERROR(SEARCH("Caida",Q233))</formula>
    </cfRule>
    <cfRule type="containsText" dxfId="1569" priority="1147" operator="containsText" text="Caida">
      <formula>NOT(ISERROR(SEARCH("Caida",Q233)))</formula>
    </cfRule>
  </conditionalFormatting>
  <conditionalFormatting sqref="Q234">
    <cfRule type="cellIs" dxfId="1568" priority="1144" operator="lessThan">
      <formula>0.8</formula>
    </cfRule>
    <cfRule type="cellIs" dxfId="1567" priority="1145" operator="greaterThan">
      <formula>0.8</formula>
    </cfRule>
  </conditionalFormatting>
  <conditionalFormatting sqref="Q234">
    <cfRule type="notContainsText" dxfId="1566" priority="1142" operator="notContains" text="Caida">
      <formula>ISERROR(SEARCH("Caida",Q234))</formula>
    </cfRule>
    <cfRule type="containsText" dxfId="1565" priority="1143" operator="containsText" text="Caida">
      <formula>NOT(ISERROR(SEARCH("Caida",Q234)))</formula>
    </cfRule>
  </conditionalFormatting>
  <conditionalFormatting sqref="Q235">
    <cfRule type="cellIs" dxfId="1564" priority="1140" operator="lessThan">
      <formula>0.8</formula>
    </cfRule>
    <cfRule type="cellIs" dxfId="1563" priority="1141" operator="greaterThan">
      <formula>0.8</formula>
    </cfRule>
  </conditionalFormatting>
  <conditionalFormatting sqref="Q235">
    <cfRule type="notContainsText" dxfId="1562" priority="1138" operator="notContains" text="Caida">
      <formula>ISERROR(SEARCH("Caida",Q235))</formula>
    </cfRule>
    <cfRule type="containsText" dxfId="1561" priority="1139" operator="containsText" text="Caida">
      <formula>NOT(ISERROR(SEARCH("Caida",Q235)))</formula>
    </cfRule>
  </conditionalFormatting>
  <conditionalFormatting sqref="Q335">
    <cfRule type="cellIs" dxfId="1560" priority="1136" operator="lessThan">
      <formula>0.8</formula>
    </cfRule>
    <cfRule type="cellIs" dxfId="1559" priority="1137" operator="greaterThan">
      <formula>0.8</formula>
    </cfRule>
  </conditionalFormatting>
  <conditionalFormatting sqref="Q335">
    <cfRule type="notContainsText" dxfId="1558" priority="1134" operator="notContains" text="Caida">
      <formula>ISERROR(SEARCH("Caida",Q335))</formula>
    </cfRule>
    <cfRule type="containsText" dxfId="1557" priority="1135" operator="containsText" text="Caida">
      <formula>NOT(ISERROR(SEARCH("Caida",Q335)))</formula>
    </cfRule>
  </conditionalFormatting>
  <conditionalFormatting sqref="R6:R92 R96:R230">
    <cfRule type="cellIs" dxfId="1556" priority="1128" operator="lessThan">
      <formula>0.8</formula>
    </cfRule>
    <cfRule type="cellIs" dxfId="1555" priority="1129" operator="greaterThan">
      <formula>0.8</formula>
    </cfRule>
  </conditionalFormatting>
  <conditionalFormatting sqref="R6:R92 R96:R230">
    <cfRule type="notContainsText" dxfId="1554" priority="1126" operator="notContains" text="Caida">
      <formula>ISERROR(SEARCH("Caida",R6))</formula>
    </cfRule>
    <cfRule type="containsText" dxfId="1553" priority="1127" operator="containsText" text="Caida">
      <formula>NOT(ISERROR(SEARCH("Caida",R6)))</formula>
    </cfRule>
  </conditionalFormatting>
  <conditionalFormatting sqref="R336:T336">
    <cfRule type="cellIs" dxfId="1552" priority="1083" operator="lessThan">
      <formula>0.8</formula>
    </cfRule>
    <cfRule type="cellIs" dxfId="1551" priority="1084" operator="greaterThan">
      <formula>0.8</formula>
    </cfRule>
  </conditionalFormatting>
  <conditionalFormatting sqref="R336:T336">
    <cfRule type="notContainsText" dxfId="1550" priority="1081" operator="notContains" text="Caida">
      <formula>ISERROR(SEARCH("Caida",R336))</formula>
    </cfRule>
    <cfRule type="containsText" dxfId="1549" priority="1082" operator="containsText" text="Caida">
      <formula>NOT(ISERROR(SEARCH("Caida",R336)))</formula>
    </cfRule>
  </conditionalFormatting>
  <conditionalFormatting sqref="R337:R366 R284:R334">
    <cfRule type="cellIs" dxfId="1548" priority="1124" operator="lessThan">
      <formula>0.8</formula>
    </cfRule>
    <cfRule type="cellIs" dxfId="1547" priority="1125" operator="greaterThan">
      <formula>0.8</formula>
    </cfRule>
  </conditionalFormatting>
  <conditionalFormatting sqref="R337:R366 R284:R334 R391:R1048576">
    <cfRule type="notContainsText" dxfId="1546" priority="1122" operator="notContains" text="Caida">
      <formula>ISERROR(SEARCH("Caida",R284))</formula>
    </cfRule>
    <cfRule type="containsText" dxfId="1545" priority="1123" operator="containsText" text="Caida">
      <formula>NOT(ISERROR(SEARCH("Caida",R284)))</formula>
    </cfRule>
  </conditionalFormatting>
  <conditionalFormatting sqref="R22:T22">
    <cfRule type="containsText" dxfId="1544" priority="1121" operator="containsText" text="Instaladas en Funcionamiento Caida">
      <formula>NOT(ISERROR(SEARCH("Instaladas en Funcionamiento Caida",R22)))</formula>
    </cfRule>
  </conditionalFormatting>
  <conditionalFormatting sqref="R282:T282">
    <cfRule type="cellIs" dxfId="1543" priority="1119" operator="lessThan">
      <formula>0.8</formula>
    </cfRule>
    <cfRule type="cellIs" dxfId="1542" priority="1120" operator="greaterThan">
      <formula>0.8</formula>
    </cfRule>
  </conditionalFormatting>
  <conditionalFormatting sqref="R282:T282">
    <cfRule type="notContainsText" dxfId="1541" priority="1117" operator="notContains" text="Caida">
      <formula>ISERROR(SEARCH("Caida",R282))</formula>
    </cfRule>
    <cfRule type="containsText" dxfId="1540" priority="1118" operator="containsText" text="Caida">
      <formula>NOT(ISERROR(SEARCH("Caida",R282)))</formula>
    </cfRule>
  </conditionalFormatting>
  <conditionalFormatting sqref="R283:T283">
    <cfRule type="cellIs" dxfId="1539" priority="1115" operator="lessThan">
      <formula>0.8</formula>
    </cfRule>
    <cfRule type="cellIs" dxfId="1538" priority="1116" operator="greaterThan">
      <formula>0.8</formula>
    </cfRule>
  </conditionalFormatting>
  <conditionalFormatting sqref="R283:T283">
    <cfRule type="notContainsText" dxfId="1537" priority="1113" operator="notContains" text="Caida">
      <formula>ISERROR(SEARCH("Caida",R283))</formula>
    </cfRule>
    <cfRule type="containsText" dxfId="1536" priority="1114" operator="containsText" text="Caida">
      <formula>NOT(ISERROR(SEARCH("Caida",R283)))</formula>
    </cfRule>
  </conditionalFormatting>
  <conditionalFormatting sqref="R5:T5">
    <cfRule type="cellIs" dxfId="1535" priority="1111" operator="lessThan">
      <formula>0.8</formula>
    </cfRule>
    <cfRule type="cellIs" dxfId="1534" priority="1112" operator="greaterThan">
      <formula>0.8</formula>
    </cfRule>
  </conditionalFormatting>
  <conditionalFormatting sqref="R5:T5">
    <cfRule type="notContainsText" dxfId="1533" priority="1109" operator="notContains" text="Caida">
      <formula>ISERROR(SEARCH("Caida",R5))</formula>
    </cfRule>
    <cfRule type="containsText" dxfId="1532" priority="1110" operator="containsText" text="Caida">
      <formula>NOT(ISERROR(SEARCH("Caida",R5)))</formula>
    </cfRule>
  </conditionalFormatting>
  <conditionalFormatting sqref="R231:T231">
    <cfRule type="cellIs" dxfId="1531" priority="1107" operator="lessThan">
      <formula>0.8</formula>
    </cfRule>
    <cfRule type="cellIs" dxfId="1530" priority="1108" operator="greaterThan">
      <formula>0.8</formula>
    </cfRule>
  </conditionalFormatting>
  <conditionalFormatting sqref="R231:T231">
    <cfRule type="notContainsText" dxfId="1529" priority="1105" operator="notContains" text="Caida">
      <formula>ISERROR(SEARCH("Caida",R231))</formula>
    </cfRule>
    <cfRule type="containsText" dxfId="1528" priority="1106" operator="containsText" text="Caida">
      <formula>NOT(ISERROR(SEARCH("Caida",R231)))</formula>
    </cfRule>
  </conditionalFormatting>
  <conditionalFormatting sqref="R232:T232">
    <cfRule type="cellIs" dxfId="1527" priority="1103" operator="lessThan">
      <formula>0.8</formula>
    </cfRule>
    <cfRule type="cellIs" dxfId="1526" priority="1104" operator="greaterThan">
      <formula>0.8</formula>
    </cfRule>
  </conditionalFormatting>
  <conditionalFormatting sqref="R232:T232">
    <cfRule type="notContainsText" dxfId="1525" priority="1101" operator="notContains" text="Caida">
      <formula>ISERROR(SEARCH("Caida",R232))</formula>
    </cfRule>
    <cfRule type="containsText" dxfId="1524" priority="1102" operator="containsText" text="Caida">
      <formula>NOT(ISERROR(SEARCH("Caida",R232)))</formula>
    </cfRule>
  </conditionalFormatting>
  <conditionalFormatting sqref="R233:T233">
    <cfRule type="cellIs" dxfId="1523" priority="1099" operator="lessThan">
      <formula>0.8</formula>
    </cfRule>
    <cfRule type="cellIs" dxfId="1522" priority="1100" operator="greaterThan">
      <formula>0.8</formula>
    </cfRule>
  </conditionalFormatting>
  <conditionalFormatting sqref="R233:T233">
    <cfRule type="notContainsText" dxfId="1521" priority="1097" operator="notContains" text="Caida">
      <formula>ISERROR(SEARCH("Caida",R233))</formula>
    </cfRule>
    <cfRule type="containsText" dxfId="1520" priority="1098" operator="containsText" text="Caida">
      <formula>NOT(ISERROR(SEARCH("Caida",R233)))</formula>
    </cfRule>
  </conditionalFormatting>
  <conditionalFormatting sqref="R234:T234">
    <cfRule type="cellIs" dxfId="1519" priority="1095" operator="lessThan">
      <formula>0.8</formula>
    </cfRule>
    <cfRule type="cellIs" dxfId="1518" priority="1096" operator="greaterThan">
      <formula>0.8</formula>
    </cfRule>
  </conditionalFormatting>
  <conditionalFormatting sqref="R234:T234">
    <cfRule type="notContainsText" dxfId="1517" priority="1093" operator="notContains" text="Caida">
      <formula>ISERROR(SEARCH("Caida",R234))</formula>
    </cfRule>
    <cfRule type="containsText" dxfId="1516" priority="1094" operator="containsText" text="Caida">
      <formula>NOT(ISERROR(SEARCH("Caida",R234)))</formula>
    </cfRule>
  </conditionalFormatting>
  <conditionalFormatting sqref="R235:T235">
    <cfRule type="cellIs" dxfId="1515" priority="1091" operator="lessThan">
      <formula>0.8</formula>
    </cfRule>
    <cfRule type="cellIs" dxfId="1514" priority="1092" operator="greaterThan">
      <formula>0.8</formula>
    </cfRule>
  </conditionalFormatting>
  <conditionalFormatting sqref="R235:T235">
    <cfRule type="notContainsText" dxfId="1513" priority="1089" operator="notContains" text="Caida">
      <formula>ISERROR(SEARCH("Caida",R235))</formula>
    </cfRule>
    <cfRule type="containsText" dxfId="1512" priority="1090" operator="containsText" text="Caida">
      <formula>NOT(ISERROR(SEARCH("Caida",R235)))</formula>
    </cfRule>
  </conditionalFormatting>
  <conditionalFormatting sqref="R335:T335">
    <cfRule type="cellIs" dxfId="1511" priority="1087" operator="lessThan">
      <formula>0.8</formula>
    </cfRule>
    <cfRule type="cellIs" dxfId="1510" priority="1088" operator="greaterThan">
      <formula>0.8</formula>
    </cfRule>
  </conditionalFormatting>
  <conditionalFormatting sqref="R335:T335">
    <cfRule type="notContainsText" dxfId="1509" priority="1085" operator="notContains" text="Caida">
      <formula>ISERROR(SEARCH("Caida",R335))</formula>
    </cfRule>
    <cfRule type="containsText" dxfId="1508" priority="1086" operator="containsText" text="Caida">
      <formula>NOT(ISERROR(SEARCH("Caida",R335)))</formula>
    </cfRule>
  </conditionalFormatting>
  <conditionalFormatting sqref="S391:S1048576">
    <cfRule type="notContainsText" dxfId="1507" priority="1073" operator="notContains" text="Caida">
      <formula>ISERROR(SEARCH("Caida",S391))</formula>
    </cfRule>
    <cfRule type="containsText" dxfId="1506" priority="1074" operator="containsText" text="Caida">
      <formula>NOT(ISERROR(SEARCH("Caida",S391)))</formula>
    </cfRule>
  </conditionalFormatting>
  <conditionalFormatting sqref="T391:T1048576">
    <cfRule type="notContainsText" dxfId="1505" priority="1024" operator="notContains" text="Caida">
      <formula>ISERROR(SEARCH("Caida",T391))</formula>
    </cfRule>
    <cfRule type="containsText" dxfId="1504" priority="1025" operator="containsText" text="Caida">
      <formula>NOT(ISERROR(SEARCH("Caida",T391)))</formula>
    </cfRule>
  </conditionalFormatting>
  <conditionalFormatting sqref="E92:K93">
    <cfRule type="containsText" dxfId="1503" priority="980" operator="containsText" text="Radio">
      <formula>NOT(ISERROR(SEARCH("Radio",E92)))</formula>
    </cfRule>
  </conditionalFormatting>
  <conditionalFormatting sqref="P93:P95">
    <cfRule type="cellIs" dxfId="1502" priority="950" operator="lessThan">
      <formula>0.8</formula>
    </cfRule>
    <cfRule type="cellIs" dxfId="1501" priority="951" operator="greaterThan">
      <formula>0.8</formula>
    </cfRule>
  </conditionalFormatting>
  <conditionalFormatting sqref="P93:P95">
    <cfRule type="notContainsText" dxfId="1500" priority="948" operator="notContains" text="Caida">
      <formula>ISERROR(SEARCH("Caida",P93))</formula>
    </cfRule>
    <cfRule type="containsText" dxfId="1499" priority="949" operator="containsText" text="Caida">
      <formula>NOT(ISERROR(SEARCH("Caida",P93)))</formula>
    </cfRule>
  </conditionalFormatting>
  <conditionalFormatting sqref="Q93:Q95">
    <cfRule type="cellIs" dxfId="1498" priority="946" operator="lessThan">
      <formula>0.8</formula>
    </cfRule>
    <cfRule type="cellIs" dxfId="1497" priority="947" operator="greaterThan">
      <formula>0.8</formula>
    </cfRule>
  </conditionalFormatting>
  <conditionalFormatting sqref="Q93:Q95">
    <cfRule type="notContainsText" dxfId="1496" priority="944" operator="notContains" text="Caida">
      <formula>ISERROR(SEARCH("Caida",Q93))</formula>
    </cfRule>
    <cfRule type="containsText" dxfId="1495" priority="945" operator="containsText" text="Caida">
      <formula>NOT(ISERROR(SEARCH("Caida",Q93)))</formula>
    </cfRule>
  </conditionalFormatting>
  <conditionalFormatting sqref="R93:R95">
    <cfRule type="cellIs" dxfId="1494" priority="942" operator="lessThan">
      <formula>0.8</formula>
    </cfRule>
    <cfRule type="cellIs" dxfId="1493" priority="943" operator="greaterThan">
      <formula>0.8</formula>
    </cfRule>
  </conditionalFormatting>
  <conditionalFormatting sqref="R93:R95">
    <cfRule type="notContainsText" dxfId="1492" priority="940" operator="notContains" text="Caida">
      <formula>ISERROR(SEARCH("Caida",R93))</formula>
    </cfRule>
    <cfRule type="containsText" dxfId="1491" priority="941" operator="containsText" text="Caida">
      <formula>NOT(ISERROR(SEARCH("Caida",R93)))</formula>
    </cfRule>
  </conditionalFormatting>
  <conditionalFormatting sqref="E365:K365">
    <cfRule type="containsText" dxfId="1490" priority="929" operator="containsText" text="Radio">
      <formula>NOT(ISERROR(SEARCH("Radio",E365)))</formula>
    </cfRule>
  </conditionalFormatting>
  <conditionalFormatting sqref="P367">
    <cfRule type="cellIs" dxfId="1489" priority="911" operator="lessThan">
      <formula>0.8</formula>
    </cfRule>
    <cfRule type="cellIs" dxfId="1488" priority="912" operator="greaterThan">
      <formula>0.8</formula>
    </cfRule>
  </conditionalFormatting>
  <conditionalFormatting sqref="P367">
    <cfRule type="notContainsText" dxfId="1487" priority="909" operator="notContains" text="Caida">
      <formula>ISERROR(SEARCH("Caida",P367))</formula>
    </cfRule>
    <cfRule type="containsText" dxfId="1486" priority="910" operator="containsText" text="Caida">
      <formula>NOT(ISERROR(SEARCH("Caida",P367)))</formula>
    </cfRule>
  </conditionalFormatting>
  <conditionalFormatting sqref="Q367">
    <cfRule type="cellIs" dxfId="1485" priority="907" operator="lessThan">
      <formula>0.8</formula>
    </cfRule>
    <cfRule type="cellIs" dxfId="1484" priority="908" operator="greaterThan">
      <formula>0.8</formula>
    </cfRule>
  </conditionalFormatting>
  <conditionalFormatting sqref="Q367">
    <cfRule type="notContainsText" dxfId="1483" priority="905" operator="notContains" text="Caida">
      <formula>ISERROR(SEARCH("Caida",Q367))</formula>
    </cfRule>
    <cfRule type="containsText" dxfId="1482" priority="906" operator="containsText" text="Caida">
      <formula>NOT(ISERROR(SEARCH("Caida",Q367)))</formula>
    </cfRule>
  </conditionalFormatting>
  <conditionalFormatting sqref="R367:T367">
    <cfRule type="cellIs" dxfId="1481" priority="903" operator="lessThan">
      <formula>0.8</formula>
    </cfRule>
    <cfRule type="cellIs" dxfId="1480" priority="904" operator="greaterThan">
      <formula>0.8</formula>
    </cfRule>
  </conditionalFormatting>
  <conditionalFormatting sqref="R367:T367">
    <cfRule type="notContainsText" dxfId="1479" priority="901" operator="notContains" text="Caida">
      <formula>ISERROR(SEARCH("Caida",R367))</formula>
    </cfRule>
    <cfRule type="containsText" dxfId="1478" priority="902" operator="containsText" text="Caida">
      <formula>NOT(ISERROR(SEARCH("Caida",R367)))</formula>
    </cfRule>
  </conditionalFormatting>
  <conditionalFormatting sqref="E366:K366">
    <cfRule type="containsText" dxfId="1477" priority="890" operator="containsText" text="Radio">
      <formula>NOT(ISERROR(SEARCH("Radio",E366)))</formula>
    </cfRule>
  </conditionalFormatting>
  <conditionalFormatting sqref="P368">
    <cfRule type="cellIs" dxfId="1476" priority="872" operator="lessThan">
      <formula>0.8</formula>
    </cfRule>
    <cfRule type="cellIs" dxfId="1475" priority="873" operator="greaterThan">
      <formula>0.8</formula>
    </cfRule>
  </conditionalFormatting>
  <conditionalFormatting sqref="P368">
    <cfRule type="notContainsText" dxfId="1474" priority="870" operator="notContains" text="Caida">
      <formula>ISERROR(SEARCH("Caida",P368))</formula>
    </cfRule>
    <cfRule type="containsText" dxfId="1473" priority="871" operator="containsText" text="Caida">
      <formula>NOT(ISERROR(SEARCH("Caida",P368)))</formula>
    </cfRule>
  </conditionalFormatting>
  <conditionalFormatting sqref="Q368">
    <cfRule type="cellIs" dxfId="1472" priority="868" operator="lessThan">
      <formula>0.8</formula>
    </cfRule>
    <cfRule type="cellIs" dxfId="1471" priority="869" operator="greaterThan">
      <formula>0.8</formula>
    </cfRule>
  </conditionalFormatting>
  <conditionalFormatting sqref="Q368">
    <cfRule type="notContainsText" dxfId="1470" priority="866" operator="notContains" text="Caida">
      <formula>ISERROR(SEARCH("Caida",Q368))</formula>
    </cfRule>
    <cfRule type="containsText" dxfId="1469" priority="867" operator="containsText" text="Caida">
      <formula>NOT(ISERROR(SEARCH("Caida",Q368)))</formula>
    </cfRule>
  </conditionalFormatting>
  <conditionalFormatting sqref="R368:T368">
    <cfRule type="cellIs" dxfId="1468" priority="864" operator="lessThan">
      <formula>0.8</formula>
    </cfRule>
    <cfRule type="cellIs" dxfId="1467" priority="865" operator="greaterThan">
      <formula>0.8</formula>
    </cfRule>
  </conditionalFormatting>
  <conditionalFormatting sqref="R368:T368">
    <cfRule type="notContainsText" dxfId="1466" priority="862" operator="notContains" text="Caida">
      <formula>ISERROR(SEARCH("Caida",R368))</formula>
    </cfRule>
    <cfRule type="containsText" dxfId="1465" priority="863" operator="containsText" text="Caida">
      <formula>NOT(ISERROR(SEARCH("Caida",R368)))</formula>
    </cfRule>
  </conditionalFormatting>
  <conditionalFormatting sqref="E367:K367">
    <cfRule type="containsText" dxfId="1464" priority="851" operator="containsText" text="Radio">
      <formula>NOT(ISERROR(SEARCH("Radio",E367)))</formula>
    </cfRule>
  </conditionalFormatting>
  <conditionalFormatting sqref="P369">
    <cfRule type="cellIs" dxfId="1463" priority="833" operator="lessThan">
      <formula>0.8</formula>
    </cfRule>
    <cfRule type="cellIs" dxfId="1462" priority="834" operator="greaterThan">
      <formula>0.8</formula>
    </cfRule>
  </conditionalFormatting>
  <conditionalFormatting sqref="P369">
    <cfRule type="notContainsText" dxfId="1461" priority="831" operator="notContains" text="Caida">
      <formula>ISERROR(SEARCH("Caida",P369))</formula>
    </cfRule>
    <cfRule type="containsText" dxfId="1460" priority="832" operator="containsText" text="Caida">
      <formula>NOT(ISERROR(SEARCH("Caida",P369)))</formula>
    </cfRule>
  </conditionalFormatting>
  <conditionalFormatting sqref="Q369">
    <cfRule type="cellIs" dxfId="1459" priority="829" operator="lessThan">
      <formula>0.8</formula>
    </cfRule>
    <cfRule type="cellIs" dxfId="1458" priority="830" operator="greaterThan">
      <formula>0.8</formula>
    </cfRule>
  </conditionalFormatting>
  <conditionalFormatting sqref="Q369">
    <cfRule type="notContainsText" dxfId="1457" priority="827" operator="notContains" text="Caida">
      <formula>ISERROR(SEARCH("Caida",Q369))</formula>
    </cfRule>
    <cfRule type="containsText" dxfId="1456" priority="828" operator="containsText" text="Caida">
      <formula>NOT(ISERROR(SEARCH("Caida",Q369)))</formula>
    </cfRule>
  </conditionalFormatting>
  <conditionalFormatting sqref="R369:T369">
    <cfRule type="cellIs" dxfId="1455" priority="825" operator="lessThan">
      <formula>0.8</formula>
    </cfRule>
    <cfRule type="cellIs" dxfId="1454" priority="826" operator="greaterThan">
      <formula>0.8</formula>
    </cfRule>
  </conditionalFormatting>
  <conditionalFormatting sqref="R369:T369">
    <cfRule type="notContainsText" dxfId="1453" priority="823" operator="notContains" text="Caida">
      <formula>ISERROR(SEARCH("Caida",R369))</formula>
    </cfRule>
    <cfRule type="containsText" dxfId="1452" priority="824" operator="containsText" text="Caida">
      <formula>NOT(ISERROR(SEARCH("Caida",R369)))</formula>
    </cfRule>
  </conditionalFormatting>
  <conditionalFormatting sqref="E368:K368">
    <cfRule type="containsText" dxfId="1451" priority="812" operator="containsText" text="Radio">
      <formula>NOT(ISERROR(SEARCH("Radio",E368)))</formula>
    </cfRule>
  </conditionalFormatting>
  <conditionalFormatting sqref="U231">
    <cfRule type="cellIs" dxfId="1450" priority="753" operator="lessThan">
      <formula>0.8</formula>
    </cfRule>
    <cfRule type="cellIs" dxfId="1449" priority="754" operator="greaterThan">
      <formula>0.8</formula>
    </cfRule>
  </conditionalFormatting>
  <conditionalFormatting sqref="U231">
    <cfRule type="notContainsText" dxfId="1448" priority="751" operator="notContains" text="Caida">
      <formula>ISERROR(SEARCH("Caida",U231))</formula>
    </cfRule>
    <cfRule type="containsText" dxfId="1447" priority="752" operator="containsText" text="Caida">
      <formula>NOT(ISERROR(SEARCH("Caida",U231)))</formula>
    </cfRule>
  </conditionalFormatting>
  <conditionalFormatting sqref="U232">
    <cfRule type="cellIs" dxfId="1446" priority="749" operator="lessThan">
      <formula>0.8</formula>
    </cfRule>
    <cfRule type="cellIs" dxfId="1445" priority="750" operator="greaterThan">
      <formula>0.8</formula>
    </cfRule>
  </conditionalFormatting>
  <conditionalFormatting sqref="U232">
    <cfRule type="notContainsText" dxfId="1444" priority="747" operator="notContains" text="Caida">
      <formula>ISERROR(SEARCH("Caida",U232))</formula>
    </cfRule>
    <cfRule type="containsText" dxfId="1443" priority="748" operator="containsText" text="Caida">
      <formula>NOT(ISERROR(SEARCH("Caida",U232)))</formula>
    </cfRule>
  </conditionalFormatting>
  <conditionalFormatting sqref="P370:P372">
    <cfRule type="cellIs" dxfId="1442" priority="794" operator="lessThan">
      <formula>0.8</formula>
    </cfRule>
    <cfRule type="cellIs" dxfId="1441" priority="795" operator="greaterThan">
      <formula>0.8</formula>
    </cfRule>
  </conditionalFormatting>
  <conditionalFormatting sqref="P370:P372">
    <cfRule type="notContainsText" dxfId="1440" priority="792" operator="notContains" text="Caida">
      <formula>ISERROR(SEARCH("Caida",P370))</formula>
    </cfRule>
    <cfRule type="containsText" dxfId="1439" priority="793" operator="containsText" text="Caida">
      <formula>NOT(ISERROR(SEARCH("Caida",P370)))</formula>
    </cfRule>
  </conditionalFormatting>
  <conditionalFormatting sqref="Q370:Q372">
    <cfRule type="cellIs" dxfId="1438" priority="790" operator="lessThan">
      <formula>0.8</formula>
    </cfRule>
    <cfRule type="cellIs" dxfId="1437" priority="791" operator="greaterThan">
      <formula>0.8</formula>
    </cfRule>
  </conditionalFormatting>
  <conditionalFormatting sqref="Q370:Q372">
    <cfRule type="notContainsText" dxfId="1436" priority="788" operator="notContains" text="Caida">
      <formula>ISERROR(SEARCH("Caida",Q370))</formula>
    </cfRule>
    <cfRule type="containsText" dxfId="1435" priority="789" operator="containsText" text="Caida">
      <formula>NOT(ISERROR(SEARCH("Caida",Q370)))</formula>
    </cfRule>
  </conditionalFormatting>
  <conditionalFormatting sqref="R370:T370">
    <cfRule type="cellIs" dxfId="1434" priority="786" operator="lessThan">
      <formula>0.8</formula>
    </cfRule>
    <cfRule type="cellIs" dxfId="1433" priority="787" operator="greaterThan">
      <formula>0.8</formula>
    </cfRule>
  </conditionalFormatting>
  <conditionalFormatting sqref="R370:T370">
    <cfRule type="notContainsText" dxfId="1432" priority="784" operator="notContains" text="Caida">
      <formula>ISERROR(SEARCH("Caida",R370))</formula>
    </cfRule>
    <cfRule type="containsText" dxfId="1431" priority="785" operator="containsText" text="Caida">
      <formula>NOT(ISERROR(SEARCH("Caida",R370)))</formula>
    </cfRule>
  </conditionalFormatting>
  <conditionalFormatting sqref="U368">
    <cfRule type="cellIs" dxfId="1430" priority="717" operator="lessThan">
      <formula>0.8</formula>
    </cfRule>
    <cfRule type="cellIs" dxfId="1429" priority="718" operator="greaterThan">
      <formula>0.8</formula>
    </cfRule>
  </conditionalFormatting>
  <conditionalFormatting sqref="U368">
    <cfRule type="notContainsText" dxfId="1428" priority="715" operator="notContains" text="Caida">
      <formula>ISERROR(SEARCH("Caida",U368))</formula>
    </cfRule>
    <cfRule type="containsText" dxfId="1427" priority="716" operator="containsText" text="Caida">
      <formula>NOT(ISERROR(SEARCH("Caida",U368)))</formula>
    </cfRule>
  </conditionalFormatting>
  <conditionalFormatting sqref="U369">
    <cfRule type="cellIs" dxfId="1426" priority="713" operator="lessThan">
      <formula>0.8</formula>
    </cfRule>
    <cfRule type="cellIs" dxfId="1425" priority="714" operator="greaterThan">
      <formula>0.8</formula>
    </cfRule>
  </conditionalFormatting>
  <conditionalFormatting sqref="U369">
    <cfRule type="notContainsText" dxfId="1424" priority="711" operator="notContains" text="Caida">
      <formula>ISERROR(SEARCH("Caida",U369))</formula>
    </cfRule>
    <cfRule type="containsText" dxfId="1423" priority="712" operator="containsText" text="Caida">
      <formula>NOT(ISERROR(SEARCH("Caida",U369)))</formula>
    </cfRule>
  </conditionalFormatting>
  <conditionalFormatting sqref="U370:U372">
    <cfRule type="cellIs" dxfId="1422" priority="709" operator="lessThan">
      <formula>0.8</formula>
    </cfRule>
    <cfRule type="cellIs" dxfId="1421" priority="710" operator="greaterThan">
      <formula>0.8</formula>
    </cfRule>
  </conditionalFormatting>
  <conditionalFormatting sqref="U370:U372">
    <cfRule type="notContainsText" dxfId="1420" priority="707" operator="notContains" text="Caida">
      <formula>ISERROR(SEARCH("Caida",U370))</formula>
    </cfRule>
    <cfRule type="containsText" dxfId="1419" priority="708" operator="containsText" text="Caida">
      <formula>NOT(ISERROR(SEARCH("Caida",U370)))</formula>
    </cfRule>
  </conditionalFormatting>
  <conditionalFormatting sqref="U6:U92 U96:U230">
    <cfRule type="cellIs" dxfId="1418" priority="774" operator="lessThan">
      <formula>0.8</formula>
    </cfRule>
    <cfRule type="cellIs" dxfId="1417" priority="775" operator="greaterThan">
      <formula>0.8</formula>
    </cfRule>
  </conditionalFormatting>
  <conditionalFormatting sqref="U6:U92 U96:U230">
    <cfRule type="notContainsText" dxfId="1416" priority="772" operator="notContains" text="Caida">
      <formula>ISERROR(SEARCH("Caida",U6))</formula>
    </cfRule>
    <cfRule type="containsText" dxfId="1415" priority="773" operator="containsText" text="Caida">
      <formula>NOT(ISERROR(SEARCH("Caida",U6)))</formula>
    </cfRule>
  </conditionalFormatting>
  <conditionalFormatting sqref="U336">
    <cfRule type="cellIs" dxfId="1414" priority="729" operator="lessThan">
      <formula>0.8</formula>
    </cfRule>
    <cfRule type="cellIs" dxfId="1413" priority="730" operator="greaterThan">
      <formula>0.8</formula>
    </cfRule>
  </conditionalFormatting>
  <conditionalFormatting sqref="U336">
    <cfRule type="notContainsText" dxfId="1412" priority="727" operator="notContains" text="Caida">
      <formula>ISERROR(SEARCH("Caida",U336))</formula>
    </cfRule>
    <cfRule type="containsText" dxfId="1411" priority="728" operator="containsText" text="Caida">
      <formula>NOT(ISERROR(SEARCH("Caida",U336)))</formula>
    </cfRule>
  </conditionalFormatting>
  <conditionalFormatting sqref="U337:U366 U284:U334">
    <cfRule type="cellIs" dxfId="1410" priority="770" operator="lessThan">
      <formula>0.8</formula>
    </cfRule>
    <cfRule type="cellIs" dxfId="1409" priority="771" operator="greaterThan">
      <formula>0.8</formula>
    </cfRule>
  </conditionalFormatting>
  <conditionalFormatting sqref="U337:U366 U284:U334 U391:U1048576">
    <cfRule type="notContainsText" dxfId="1408" priority="768" operator="notContains" text="Caida">
      <formula>ISERROR(SEARCH("Caida",U284))</formula>
    </cfRule>
    <cfRule type="containsText" dxfId="1407" priority="769" operator="containsText" text="Caida">
      <formula>NOT(ISERROR(SEARCH("Caida",U284)))</formula>
    </cfRule>
  </conditionalFormatting>
  <conditionalFormatting sqref="U22">
    <cfRule type="containsText" dxfId="1406" priority="767" operator="containsText" text="Instaladas en Funcionamiento Caida">
      <formula>NOT(ISERROR(SEARCH("Instaladas en Funcionamiento Caida",U22)))</formula>
    </cfRule>
  </conditionalFormatting>
  <conditionalFormatting sqref="U282">
    <cfRule type="cellIs" dxfId="1405" priority="765" operator="lessThan">
      <formula>0.8</formula>
    </cfRule>
    <cfRule type="cellIs" dxfId="1404" priority="766" operator="greaterThan">
      <formula>0.8</formula>
    </cfRule>
  </conditionalFormatting>
  <conditionalFormatting sqref="U282">
    <cfRule type="notContainsText" dxfId="1403" priority="763" operator="notContains" text="Caida">
      <formula>ISERROR(SEARCH("Caida",U282))</formula>
    </cfRule>
    <cfRule type="containsText" dxfId="1402" priority="764" operator="containsText" text="Caida">
      <formula>NOT(ISERROR(SEARCH("Caida",U282)))</formula>
    </cfRule>
  </conditionalFormatting>
  <conditionalFormatting sqref="U283">
    <cfRule type="cellIs" dxfId="1401" priority="761" operator="lessThan">
      <formula>0.8</formula>
    </cfRule>
    <cfRule type="cellIs" dxfId="1400" priority="762" operator="greaterThan">
      <formula>0.8</formula>
    </cfRule>
  </conditionalFormatting>
  <conditionalFormatting sqref="U283">
    <cfRule type="notContainsText" dxfId="1399" priority="759" operator="notContains" text="Caida">
      <formula>ISERROR(SEARCH("Caida",U283))</formula>
    </cfRule>
    <cfRule type="containsText" dxfId="1398" priority="760" operator="containsText" text="Caida">
      <formula>NOT(ISERROR(SEARCH("Caida",U283)))</formula>
    </cfRule>
  </conditionalFormatting>
  <conditionalFormatting sqref="U5">
    <cfRule type="cellIs" dxfId="1397" priority="757" operator="lessThan">
      <formula>0.8</formula>
    </cfRule>
    <cfRule type="cellIs" dxfId="1396" priority="758" operator="greaterThan">
      <formula>0.8</formula>
    </cfRule>
  </conditionalFormatting>
  <conditionalFormatting sqref="U5">
    <cfRule type="notContainsText" dxfId="1395" priority="755" operator="notContains" text="Caida">
      <formula>ISERROR(SEARCH("Caida",U5))</formula>
    </cfRule>
    <cfRule type="containsText" dxfId="1394" priority="756" operator="containsText" text="Caida">
      <formula>NOT(ISERROR(SEARCH("Caida",U5)))</formula>
    </cfRule>
  </conditionalFormatting>
  <conditionalFormatting sqref="U233">
    <cfRule type="cellIs" dxfId="1393" priority="745" operator="lessThan">
      <formula>0.8</formula>
    </cfRule>
    <cfRule type="cellIs" dxfId="1392" priority="746" operator="greaterThan">
      <formula>0.8</formula>
    </cfRule>
  </conditionalFormatting>
  <conditionalFormatting sqref="U233">
    <cfRule type="notContainsText" dxfId="1391" priority="743" operator="notContains" text="Caida">
      <formula>ISERROR(SEARCH("Caida",U233))</formula>
    </cfRule>
    <cfRule type="containsText" dxfId="1390" priority="744" operator="containsText" text="Caida">
      <formula>NOT(ISERROR(SEARCH("Caida",U233)))</formula>
    </cfRule>
  </conditionalFormatting>
  <conditionalFormatting sqref="U234">
    <cfRule type="cellIs" dxfId="1389" priority="741" operator="lessThan">
      <formula>0.8</formula>
    </cfRule>
    <cfRule type="cellIs" dxfId="1388" priority="742" operator="greaterThan">
      <formula>0.8</formula>
    </cfRule>
  </conditionalFormatting>
  <conditionalFormatting sqref="U234">
    <cfRule type="notContainsText" dxfId="1387" priority="739" operator="notContains" text="Caida">
      <formula>ISERROR(SEARCH("Caida",U234))</formula>
    </cfRule>
    <cfRule type="containsText" dxfId="1386" priority="740" operator="containsText" text="Caida">
      <formula>NOT(ISERROR(SEARCH("Caida",U234)))</formula>
    </cfRule>
  </conditionalFormatting>
  <conditionalFormatting sqref="U235">
    <cfRule type="cellIs" dxfId="1385" priority="737" operator="lessThan">
      <formula>0.8</formula>
    </cfRule>
    <cfRule type="cellIs" dxfId="1384" priority="738" operator="greaterThan">
      <formula>0.8</formula>
    </cfRule>
  </conditionalFormatting>
  <conditionalFormatting sqref="U235">
    <cfRule type="notContainsText" dxfId="1383" priority="735" operator="notContains" text="Caida">
      <formula>ISERROR(SEARCH("Caida",U235))</formula>
    </cfRule>
    <cfRule type="containsText" dxfId="1382" priority="736" operator="containsText" text="Caida">
      <formula>NOT(ISERROR(SEARCH("Caida",U235)))</formula>
    </cfRule>
  </conditionalFormatting>
  <conditionalFormatting sqref="U335">
    <cfRule type="cellIs" dxfId="1381" priority="733" operator="lessThan">
      <formula>0.8</formula>
    </cfRule>
    <cfRule type="cellIs" dxfId="1380" priority="734" operator="greaterThan">
      <formula>0.8</formula>
    </cfRule>
  </conditionalFormatting>
  <conditionalFormatting sqref="U335">
    <cfRule type="notContainsText" dxfId="1379" priority="731" operator="notContains" text="Caida">
      <formula>ISERROR(SEARCH("Caida",U335))</formula>
    </cfRule>
    <cfRule type="containsText" dxfId="1378" priority="732" operator="containsText" text="Caida">
      <formula>NOT(ISERROR(SEARCH("Caida",U335)))</formula>
    </cfRule>
  </conditionalFormatting>
  <conditionalFormatting sqref="U93:U95">
    <cfRule type="cellIs" dxfId="1377" priority="725" operator="lessThan">
      <formula>0.8</formula>
    </cfRule>
    <cfRule type="cellIs" dxfId="1376" priority="726" operator="greaterThan">
      <formula>0.8</formula>
    </cfRule>
  </conditionalFormatting>
  <conditionalFormatting sqref="U93:U95">
    <cfRule type="notContainsText" dxfId="1375" priority="723" operator="notContains" text="Caida">
      <formula>ISERROR(SEARCH("Caida",U93))</formula>
    </cfRule>
    <cfRule type="containsText" dxfId="1374" priority="724" operator="containsText" text="Caida">
      <formula>NOT(ISERROR(SEARCH("Caida",U93)))</formula>
    </cfRule>
  </conditionalFormatting>
  <conditionalFormatting sqref="U367">
    <cfRule type="cellIs" dxfId="1373" priority="721" operator="lessThan">
      <formula>0.8</formula>
    </cfRule>
    <cfRule type="cellIs" dxfId="1372" priority="722" operator="greaterThan">
      <formula>0.8</formula>
    </cfRule>
  </conditionalFormatting>
  <conditionalFormatting sqref="U367">
    <cfRule type="notContainsText" dxfId="1371" priority="719" operator="notContains" text="Caida">
      <formula>ISERROR(SEARCH("Caida",U367))</formula>
    </cfRule>
    <cfRule type="containsText" dxfId="1370" priority="720" operator="containsText" text="Caida">
      <formula>NOT(ISERROR(SEARCH("Caida",U367)))</formula>
    </cfRule>
  </conditionalFormatting>
  <conditionalFormatting sqref="V6:X92">
    <cfRule type="cellIs" dxfId="1369" priority="705" operator="lessThan">
      <formula>0.8</formula>
    </cfRule>
    <cfRule type="cellIs" dxfId="1368" priority="706" operator="greaterThan">
      <formula>0.8</formula>
    </cfRule>
  </conditionalFormatting>
  <conditionalFormatting sqref="V6:X92">
    <cfRule type="notContainsText" dxfId="1367" priority="703" operator="notContains" text="Caida">
      <formula>ISERROR(SEARCH("Caida",V6))</formula>
    </cfRule>
    <cfRule type="containsText" dxfId="1366" priority="704" operator="containsText" text="Caida">
      <formula>NOT(ISERROR(SEARCH("Caida",V6)))</formula>
    </cfRule>
  </conditionalFormatting>
  <conditionalFormatting sqref="V22:AH22">
    <cfRule type="containsText" dxfId="1365" priority="702" operator="containsText" text="Instaladas en Funcionamiento Caida">
      <formula>NOT(ISERROR(SEARCH("Instaladas en Funcionamiento Caida",V22)))</formula>
    </cfRule>
  </conditionalFormatting>
  <conditionalFormatting sqref="V5:AH5">
    <cfRule type="cellIs" dxfId="1364" priority="700" operator="lessThan">
      <formula>0.8</formula>
    </cfRule>
    <cfRule type="cellIs" dxfId="1363" priority="701" operator="greaterThan">
      <formula>0.8</formula>
    </cfRule>
  </conditionalFormatting>
  <conditionalFormatting sqref="V5:AH5">
    <cfRule type="notContainsText" dxfId="1362" priority="698" operator="notContains" text="Caida">
      <formula>ISERROR(SEARCH("Caida",V5))</formula>
    </cfRule>
    <cfRule type="containsText" dxfId="1361" priority="699" operator="containsText" text="Caida">
      <formula>NOT(ISERROR(SEARCH("Caida",V5)))</formula>
    </cfRule>
  </conditionalFormatting>
  <conditionalFormatting sqref="V93:X95">
    <cfRule type="cellIs" dxfId="1360" priority="696" operator="lessThan">
      <formula>0.8</formula>
    </cfRule>
    <cfRule type="cellIs" dxfId="1359" priority="697" operator="greaterThan">
      <formula>0.8</formula>
    </cfRule>
  </conditionalFormatting>
  <conditionalFormatting sqref="V93:X95">
    <cfRule type="notContainsText" dxfId="1358" priority="694" operator="notContains" text="Caida">
      <formula>ISERROR(SEARCH("Caida",V93))</formula>
    </cfRule>
    <cfRule type="containsText" dxfId="1357" priority="695" operator="containsText" text="Caida">
      <formula>NOT(ISERROR(SEARCH("Caida",V93)))</formula>
    </cfRule>
  </conditionalFormatting>
  <conditionalFormatting sqref="Z391:Z1048576">
    <cfRule type="notContainsText" dxfId="1356" priority="686" operator="notContains" text="Caida">
      <formula>ISERROR(SEARCH("Caida",Z391))</formula>
    </cfRule>
    <cfRule type="containsText" dxfId="1355" priority="687" operator="containsText" text="Caida">
      <formula>NOT(ISERROR(SEARCH("Caida",Z391)))</formula>
    </cfRule>
  </conditionalFormatting>
  <conditionalFormatting sqref="Y391:Y1048576">
    <cfRule type="notContainsText" dxfId="1354" priority="617" operator="notContains" text="Caida">
      <formula>ISERROR(SEARCH("Caida",Y391))</formula>
    </cfRule>
    <cfRule type="containsText" dxfId="1353" priority="618" operator="containsText" text="Caida">
      <formula>NOT(ISERROR(SEARCH("Caida",Y391)))</formula>
    </cfRule>
  </conditionalFormatting>
  <conditionalFormatting sqref="E1:E372 E391:E1048576">
    <cfRule type="containsText" dxfId="1352" priority="554" operator="containsText" text="fija">
      <formula>NOT(ISERROR(SEARCH("fija",E1)))</formula>
    </cfRule>
    <cfRule type="containsText" dxfId="1351" priority="555" operator="containsText" text="domo">
      <formula>NOT(ISERROR(SEARCH("domo",E1)))</formula>
    </cfRule>
  </conditionalFormatting>
  <conditionalFormatting sqref="AI6:AI92">
    <cfRule type="cellIs" dxfId="1350" priority="548" operator="lessThan">
      <formula>0.8</formula>
    </cfRule>
    <cfRule type="cellIs" dxfId="1349" priority="549" operator="greaterThan">
      <formula>0.8</formula>
    </cfRule>
  </conditionalFormatting>
  <conditionalFormatting sqref="AI6:AI92">
    <cfRule type="notContainsText" dxfId="1348" priority="546" operator="notContains" text="Caida">
      <formula>ISERROR(SEARCH("Caida",AI6))</formula>
    </cfRule>
    <cfRule type="containsText" dxfId="1347" priority="547" operator="containsText" text="Caida">
      <formula>NOT(ISERROR(SEARCH("Caida",AI6)))</formula>
    </cfRule>
  </conditionalFormatting>
  <conditionalFormatting sqref="AI22">
    <cfRule type="containsText" dxfId="1346" priority="545" operator="containsText" text="Instaladas en Funcionamiento Caida">
      <formula>NOT(ISERROR(SEARCH("Instaladas en Funcionamiento Caida",AI22)))</formula>
    </cfRule>
  </conditionalFormatting>
  <conditionalFormatting sqref="AI5">
    <cfRule type="cellIs" dxfId="1345" priority="543" operator="lessThan">
      <formula>0.8</formula>
    </cfRule>
    <cfRule type="cellIs" dxfId="1344" priority="544" operator="greaterThan">
      <formula>0.8</formula>
    </cfRule>
  </conditionalFormatting>
  <conditionalFormatting sqref="AI5">
    <cfRule type="notContainsText" dxfId="1343" priority="541" operator="notContains" text="Caida">
      <formula>ISERROR(SEARCH("Caida",AI5))</formula>
    </cfRule>
    <cfRule type="containsText" dxfId="1342" priority="542" operator="containsText" text="Caida">
      <formula>NOT(ISERROR(SEARCH("Caida",AI5)))</formula>
    </cfRule>
  </conditionalFormatting>
  <conditionalFormatting sqref="AI93:AI94">
    <cfRule type="cellIs" dxfId="1341" priority="539" operator="lessThan">
      <formula>0.8</formula>
    </cfRule>
    <cfRule type="cellIs" dxfId="1340" priority="540" operator="greaterThan">
      <formula>0.8</formula>
    </cfRule>
  </conditionalFormatting>
  <conditionalFormatting sqref="AI93:AI94">
    <cfRule type="notContainsText" dxfId="1339" priority="537" operator="notContains" text="Caida">
      <formula>ISERROR(SEARCH("Caida",AI93))</formula>
    </cfRule>
    <cfRule type="containsText" dxfId="1338" priority="538" operator="containsText" text="Caida">
      <formula>NOT(ISERROR(SEARCH("Caida",AI93)))</formula>
    </cfRule>
  </conditionalFormatting>
  <conditionalFormatting sqref="AI1 AI5:AI372 AI391:AI1048576">
    <cfRule type="cellIs" dxfId="1337" priority="516" operator="equal">
      <formula>"APAGADO"</formula>
    </cfRule>
    <cfRule type="cellIs" dxfId="1336" priority="536" operator="equal">
      <formula>"APAGADO"</formula>
    </cfRule>
  </conditionalFormatting>
  <conditionalFormatting sqref="AJ6:AP92">
    <cfRule type="cellIs" dxfId="1335" priority="530" operator="lessThan">
      <formula>0.8</formula>
    </cfRule>
    <cfRule type="cellIs" dxfId="1334" priority="531" operator="greaterThan">
      <formula>0.8</formula>
    </cfRule>
  </conditionalFormatting>
  <conditionalFormatting sqref="AJ6:AP92">
    <cfRule type="notContainsText" dxfId="1333" priority="528" operator="notContains" text="Caida">
      <formula>ISERROR(SEARCH("Caida",AJ6))</formula>
    </cfRule>
    <cfRule type="containsText" dxfId="1332" priority="529" operator="containsText" text="Caida">
      <formula>NOT(ISERROR(SEARCH("Caida",AJ6)))</formula>
    </cfRule>
  </conditionalFormatting>
  <conditionalFormatting sqref="AJ22:AS22">
    <cfRule type="containsText" dxfId="1331" priority="527" operator="containsText" text="Instaladas en Funcionamiento Caida">
      <formula>NOT(ISERROR(SEARCH("Instaladas en Funcionamiento Caida",AJ22)))</formula>
    </cfRule>
  </conditionalFormatting>
  <conditionalFormatting sqref="AJ5:AS5">
    <cfRule type="cellIs" dxfId="1330" priority="525" operator="lessThan">
      <formula>0.8</formula>
    </cfRule>
    <cfRule type="cellIs" dxfId="1329" priority="526" operator="greaterThan">
      <formula>0.8</formula>
    </cfRule>
  </conditionalFormatting>
  <conditionalFormatting sqref="AJ5:AS5">
    <cfRule type="notContainsText" dxfId="1328" priority="523" operator="notContains" text="Caida">
      <formula>ISERROR(SEARCH("Caida",AJ5))</formula>
    </cfRule>
    <cfRule type="containsText" dxfId="1327" priority="524" operator="containsText" text="Caida">
      <formula>NOT(ISERROR(SEARCH("Caida",AJ5)))</formula>
    </cfRule>
  </conditionalFormatting>
  <conditionalFormatting sqref="AJ93:AP94">
    <cfRule type="cellIs" dxfId="1326" priority="521" operator="lessThan">
      <formula>0.8</formula>
    </cfRule>
    <cfRule type="cellIs" dxfId="1325" priority="522" operator="greaterThan">
      <formula>0.8</formula>
    </cfRule>
  </conditionalFormatting>
  <conditionalFormatting sqref="AJ93:AP94">
    <cfRule type="notContainsText" dxfId="1324" priority="519" operator="notContains" text="Caida">
      <formula>ISERROR(SEARCH("Caida",AJ93))</formula>
    </cfRule>
    <cfRule type="containsText" dxfId="1323" priority="520" operator="containsText" text="Caida">
      <formula>NOT(ISERROR(SEARCH("Caida",AJ93)))</formula>
    </cfRule>
  </conditionalFormatting>
  <conditionalFormatting sqref="AJ1:AS1 AJ247:AS372 O247:O372 O5:AS369 AJ391:AS1048576">
    <cfRule type="cellIs" dxfId="1322" priority="518" operator="equal">
      <formula>"APAGADO"</formula>
    </cfRule>
  </conditionalFormatting>
  <conditionalFormatting sqref="AI251">
    <cfRule type="cellIs" dxfId="1321" priority="517" operator="equal">
      <formula>"APAGADO"</formula>
    </cfRule>
  </conditionalFormatting>
  <conditionalFormatting sqref="Y6:Y92">
    <cfRule type="cellIs" dxfId="1320" priority="510" operator="lessThan">
      <formula>0.8</formula>
    </cfRule>
    <cfRule type="cellIs" dxfId="1319" priority="511" operator="greaterThan">
      <formula>0.8</formula>
    </cfRule>
  </conditionalFormatting>
  <conditionalFormatting sqref="Y6:Y92">
    <cfRule type="notContainsText" dxfId="1318" priority="508" operator="notContains" text="Caida">
      <formula>ISERROR(SEARCH("Caida",Y6))</formula>
    </cfRule>
    <cfRule type="containsText" dxfId="1317" priority="509" operator="containsText" text="Caida">
      <formula>NOT(ISERROR(SEARCH("Caida",Y6)))</formula>
    </cfRule>
  </conditionalFormatting>
  <conditionalFormatting sqref="Y93:Y95">
    <cfRule type="cellIs" dxfId="1316" priority="506" operator="lessThan">
      <formula>0.8</formula>
    </cfRule>
    <cfRule type="cellIs" dxfId="1315" priority="507" operator="greaterThan">
      <formula>0.8</formula>
    </cfRule>
  </conditionalFormatting>
  <conditionalFormatting sqref="Y93:Y95">
    <cfRule type="notContainsText" dxfId="1314" priority="504" operator="notContains" text="Caida">
      <formula>ISERROR(SEARCH("Caida",Y93))</formula>
    </cfRule>
    <cfRule type="containsText" dxfId="1313" priority="505" operator="containsText" text="Caida">
      <formula>NOT(ISERROR(SEARCH("Caida",Y93)))</formula>
    </cfRule>
  </conditionalFormatting>
  <conditionalFormatting sqref="S6:S92 S96:S230">
    <cfRule type="cellIs" dxfId="1312" priority="502" operator="lessThan">
      <formula>0.8</formula>
    </cfRule>
    <cfRule type="cellIs" dxfId="1311" priority="503" operator="greaterThan">
      <formula>0.8</formula>
    </cfRule>
  </conditionalFormatting>
  <conditionalFormatting sqref="S6:S92 S96:S230">
    <cfRule type="notContainsText" dxfId="1310" priority="500" operator="notContains" text="Caida">
      <formula>ISERROR(SEARCH("Caida",S6))</formula>
    </cfRule>
    <cfRule type="containsText" dxfId="1309" priority="501" operator="containsText" text="Caida">
      <formula>NOT(ISERROR(SEARCH("Caida",S6)))</formula>
    </cfRule>
  </conditionalFormatting>
  <conditionalFormatting sqref="S337:S366 S284:S334">
    <cfRule type="cellIs" dxfId="1308" priority="498" operator="lessThan">
      <formula>0.8</formula>
    </cfRule>
    <cfRule type="cellIs" dxfId="1307" priority="499" operator="greaterThan">
      <formula>0.8</formula>
    </cfRule>
  </conditionalFormatting>
  <conditionalFormatting sqref="S337:S366 S284:S334">
    <cfRule type="notContainsText" dxfId="1306" priority="496" operator="notContains" text="Caida">
      <formula>ISERROR(SEARCH("Caida",S284))</formula>
    </cfRule>
    <cfRule type="containsText" dxfId="1305" priority="497" operator="containsText" text="Caida">
      <formula>NOT(ISERROR(SEARCH("Caida",S284)))</formula>
    </cfRule>
  </conditionalFormatting>
  <conditionalFormatting sqref="S93:S95">
    <cfRule type="cellIs" dxfId="1304" priority="494" operator="lessThan">
      <formula>0.8</formula>
    </cfRule>
    <cfRule type="cellIs" dxfId="1303" priority="495" operator="greaterThan">
      <formula>0.8</formula>
    </cfRule>
  </conditionalFormatting>
  <conditionalFormatting sqref="S93:S95">
    <cfRule type="notContainsText" dxfId="1302" priority="492" operator="notContains" text="Caida">
      <formula>ISERROR(SEARCH("Caida",S93))</formula>
    </cfRule>
    <cfRule type="containsText" dxfId="1301" priority="493" operator="containsText" text="Caida">
      <formula>NOT(ISERROR(SEARCH("Caida",S93)))</formula>
    </cfRule>
  </conditionalFormatting>
  <conditionalFormatting sqref="T6:T92 T96:T230">
    <cfRule type="cellIs" dxfId="1300" priority="490" operator="lessThan">
      <formula>0.8</formula>
    </cfRule>
    <cfRule type="cellIs" dxfId="1299" priority="491" operator="greaterThan">
      <formula>0.8</formula>
    </cfRule>
  </conditionalFormatting>
  <conditionalFormatting sqref="T6:T92 T96:T230">
    <cfRule type="notContainsText" dxfId="1298" priority="488" operator="notContains" text="Caida">
      <formula>ISERROR(SEARCH("Caida",T6))</formula>
    </cfRule>
    <cfRule type="containsText" dxfId="1297" priority="489" operator="containsText" text="Caida">
      <formula>NOT(ISERROR(SEARCH("Caida",T6)))</formula>
    </cfRule>
  </conditionalFormatting>
  <conditionalFormatting sqref="T337:T366 T284:T334">
    <cfRule type="cellIs" dxfId="1296" priority="486" operator="lessThan">
      <formula>0.8</formula>
    </cfRule>
    <cfRule type="cellIs" dxfId="1295" priority="487" operator="greaterThan">
      <formula>0.8</formula>
    </cfRule>
  </conditionalFormatting>
  <conditionalFormatting sqref="T337:T366 T284:T334">
    <cfRule type="notContainsText" dxfId="1294" priority="484" operator="notContains" text="Caida">
      <formula>ISERROR(SEARCH("Caida",T284))</formula>
    </cfRule>
    <cfRule type="containsText" dxfId="1293" priority="485" operator="containsText" text="Caida">
      <formula>NOT(ISERROR(SEARCH("Caida",T284)))</formula>
    </cfRule>
  </conditionalFormatting>
  <conditionalFormatting sqref="T93:T95">
    <cfRule type="cellIs" dxfId="1292" priority="482" operator="lessThan">
      <formula>0.8</formula>
    </cfRule>
    <cfRule type="cellIs" dxfId="1291" priority="483" operator="greaterThan">
      <formula>0.8</formula>
    </cfRule>
  </conditionalFormatting>
  <conditionalFormatting sqref="T93:T95">
    <cfRule type="notContainsText" dxfId="1290" priority="480" operator="notContains" text="Caida">
      <formula>ISERROR(SEARCH("Caida",T93))</formula>
    </cfRule>
    <cfRule type="containsText" dxfId="1289" priority="481" operator="containsText" text="Caida">
      <formula>NOT(ISERROR(SEARCH("Caida",T93)))</formula>
    </cfRule>
  </conditionalFormatting>
  <conditionalFormatting sqref="Z6:Z92">
    <cfRule type="cellIs" dxfId="1288" priority="474" operator="lessThan">
      <formula>0.8</formula>
    </cfRule>
    <cfRule type="cellIs" dxfId="1287" priority="475" operator="greaterThan">
      <formula>0.8</formula>
    </cfRule>
  </conditionalFormatting>
  <conditionalFormatting sqref="Z6:Z92">
    <cfRule type="notContainsText" dxfId="1286" priority="472" operator="notContains" text="Caida">
      <formula>ISERROR(SEARCH("Caida",Z6))</formula>
    </cfRule>
    <cfRule type="containsText" dxfId="1285" priority="473" operator="containsText" text="Caida">
      <formula>NOT(ISERROR(SEARCH("Caida",Z6)))</formula>
    </cfRule>
  </conditionalFormatting>
  <conditionalFormatting sqref="Z93:Z95">
    <cfRule type="cellIs" dxfId="1284" priority="470" operator="lessThan">
      <formula>0.8</formula>
    </cfRule>
    <cfRule type="cellIs" dxfId="1283" priority="471" operator="greaterThan">
      <formula>0.8</formula>
    </cfRule>
  </conditionalFormatting>
  <conditionalFormatting sqref="Z93:Z95">
    <cfRule type="notContainsText" dxfId="1282" priority="468" operator="notContains" text="Caida">
      <formula>ISERROR(SEARCH("Caida",Z93))</formula>
    </cfRule>
    <cfRule type="containsText" dxfId="1281" priority="469" operator="containsText" text="Caida">
      <formula>NOT(ISERROR(SEARCH("Caida",Z93)))</formula>
    </cfRule>
  </conditionalFormatting>
  <conditionalFormatting sqref="AA6:AA92">
    <cfRule type="cellIs" dxfId="1280" priority="462" operator="lessThan">
      <formula>0.8</formula>
    </cfRule>
    <cfRule type="cellIs" dxfId="1279" priority="463" operator="greaterThan">
      <formula>0.8</formula>
    </cfRule>
  </conditionalFormatting>
  <conditionalFormatting sqref="AA6:AA92">
    <cfRule type="notContainsText" dxfId="1278" priority="460" operator="notContains" text="Caida">
      <formula>ISERROR(SEARCH("Caida",AA6))</formula>
    </cfRule>
    <cfRule type="containsText" dxfId="1277" priority="461" operator="containsText" text="Caida">
      <formula>NOT(ISERROR(SEARCH("Caida",AA6)))</formula>
    </cfRule>
  </conditionalFormatting>
  <conditionalFormatting sqref="AA93:AA95">
    <cfRule type="cellIs" dxfId="1276" priority="458" operator="lessThan">
      <formula>0.8</formula>
    </cfRule>
    <cfRule type="cellIs" dxfId="1275" priority="459" operator="greaterThan">
      <formula>0.8</formula>
    </cfRule>
  </conditionalFormatting>
  <conditionalFormatting sqref="AA93:AA95">
    <cfRule type="notContainsText" dxfId="1274" priority="456" operator="notContains" text="Caida">
      <formula>ISERROR(SEARCH("Caida",AA93))</formula>
    </cfRule>
    <cfRule type="containsText" dxfId="1273" priority="457" operator="containsText" text="Caida">
      <formula>NOT(ISERROR(SEARCH("Caida",AA93)))</formula>
    </cfRule>
  </conditionalFormatting>
  <conditionalFormatting sqref="AB391:AB1048576">
    <cfRule type="notContainsText" dxfId="1272" priority="454" operator="notContains" text="Caida">
      <formula>ISERROR(SEARCH("Caida",AB391))</formula>
    </cfRule>
    <cfRule type="containsText" dxfId="1271" priority="455" operator="containsText" text="Caida">
      <formula>NOT(ISERROR(SEARCH("Caida",AB391)))</formula>
    </cfRule>
  </conditionalFormatting>
  <conditionalFormatting sqref="AB96:AB107">
    <cfRule type="cellIs" dxfId="1270" priority="452" operator="lessThan">
      <formula>0.8</formula>
    </cfRule>
    <cfRule type="cellIs" dxfId="1269" priority="453" operator="greaterThan">
      <formula>0.8</formula>
    </cfRule>
  </conditionalFormatting>
  <conditionalFormatting sqref="AB96:AB107">
    <cfRule type="notContainsText" dxfId="1268" priority="450" operator="notContains" text="Caida">
      <formula>ISERROR(SEARCH("Caida",AB96))</formula>
    </cfRule>
    <cfRule type="containsText" dxfId="1267" priority="451" operator="containsText" text="Caida">
      <formula>NOT(ISERROR(SEARCH("Caida",AB96)))</formula>
    </cfRule>
  </conditionalFormatting>
  <conditionalFormatting sqref="AB6:AB92">
    <cfRule type="cellIs" dxfId="1266" priority="448" operator="lessThan">
      <formula>0.8</formula>
    </cfRule>
    <cfRule type="cellIs" dxfId="1265" priority="449" operator="greaterThan">
      <formula>0.8</formula>
    </cfRule>
  </conditionalFormatting>
  <conditionalFormatting sqref="AB6:AB92">
    <cfRule type="notContainsText" dxfId="1264" priority="446" operator="notContains" text="Caida">
      <formula>ISERROR(SEARCH("Caida",AB6))</formula>
    </cfRule>
    <cfRule type="containsText" dxfId="1263" priority="447" operator="containsText" text="Caida">
      <formula>NOT(ISERROR(SEARCH("Caida",AB6)))</formula>
    </cfRule>
  </conditionalFormatting>
  <conditionalFormatting sqref="AB93:AB95">
    <cfRule type="cellIs" dxfId="1262" priority="444" operator="lessThan">
      <formula>0.8</formula>
    </cfRule>
    <cfRule type="cellIs" dxfId="1261" priority="445" operator="greaterThan">
      <formula>0.8</formula>
    </cfRule>
  </conditionalFormatting>
  <conditionalFormatting sqref="AB93:AB95">
    <cfRule type="notContainsText" dxfId="1260" priority="442" operator="notContains" text="Caida">
      <formula>ISERROR(SEARCH("Caida",AB93))</formula>
    </cfRule>
    <cfRule type="containsText" dxfId="1259" priority="443" operator="containsText" text="Caida">
      <formula>NOT(ISERROR(SEARCH("Caida",AB93)))</formula>
    </cfRule>
  </conditionalFormatting>
  <conditionalFormatting sqref="AB108:AE108">
    <cfRule type="cellIs" dxfId="1258" priority="440" operator="lessThan">
      <formula>0.8</formula>
    </cfRule>
    <cfRule type="cellIs" dxfId="1257" priority="441" operator="greaterThan">
      <formula>0.8</formula>
    </cfRule>
  </conditionalFormatting>
  <conditionalFormatting sqref="AB108:AE108">
    <cfRule type="notContainsText" dxfId="1256" priority="438" operator="notContains" text="Caida">
      <formula>ISERROR(SEARCH("Caida",AB108))</formula>
    </cfRule>
    <cfRule type="containsText" dxfId="1255" priority="439" operator="containsText" text="Caida">
      <formula>NOT(ISERROR(SEARCH("Caida",AB108)))</formula>
    </cfRule>
  </conditionalFormatting>
  <conditionalFormatting sqref="AC391:AH1048576">
    <cfRule type="notContainsText" dxfId="1254" priority="422" operator="notContains" text="Caida">
      <formula>ISERROR(SEARCH("Caida",AC391))</formula>
    </cfRule>
    <cfRule type="containsText" dxfId="1253" priority="423" operator="containsText" text="Caida">
      <formula>NOT(ISERROR(SEARCH("Caida",AC391)))</formula>
    </cfRule>
  </conditionalFormatting>
  <conditionalFormatting sqref="AC106:AE107 AC109:AE109 AC115:AE116 AC120:AE123 AC133:AE133 AC137:AE137 AC149:AE151 AC159:AE159 AC169:AE169 AC171:AE171 AC173:AE173 AC193:AE194 AC230:AE230 AC238:AE240 AC251:AE254 AC261:AE261 AC273:AE274 AC293:AE293 AC321:AE322 AC333:AE333 AC347:AE351 AC369:AE369 AC197:AE198 AC206:AE206 AC204:AE204 AC96:AH105 AC110:AH114 AC117:AH119 AC124:AH132 AC134:AH136 AC138:AH148 AC152:AH158 AC160:AH168 AC170:AH170 AC172:AH172 AC174:AH192 AC195:AH196 AC231:AH237 AC255:AH260 AC262:AH272 AC275:AH292 AC294:AH320 AC323:AH332 AC334:AH346 AC352:AH368 AC370:AH370 AC199:AH203 AC207:AH229 AC205:AH205">
    <cfRule type="cellIs" dxfId="1252" priority="420" operator="lessThan">
      <formula>0.8</formula>
    </cfRule>
    <cfRule type="cellIs" dxfId="1251" priority="421" operator="greaterThan">
      <formula>0.8</formula>
    </cfRule>
  </conditionalFormatting>
  <conditionalFormatting sqref="AC106:AE107 AC109:AE109 AC115:AE116 AC120:AE123 AC133:AE133 AC137:AE137 AC149:AE151 AC159:AE159 AC169:AE169 AC171:AE171 AC173:AE173 AC193:AE194 AC230:AE230 AC238:AE240 AC251:AE254 AC261:AE261 AC273:AE274 AC293:AE293 AC321:AE322 AC333:AE333 AC347:AE351 AC369:AE369 AC197:AE198 AC206:AE206 AC204:AE204 AC96:AH105 AC110:AH114 AC117:AH119 AC124:AH132 AC134:AH136 AC138:AH148 AC152:AH158 AC160:AH168 AC170:AH170 AC172:AH172 AC174:AH192 AC195:AH196 AC231:AH237 AC255:AH260 AC262:AH272 AC275:AH292 AC294:AH320 AC323:AH332 AC334:AH346 AC352:AH368 AC370:AH370 AC199:AH203 AC207:AH229 AC205:AH205">
    <cfRule type="notContainsText" dxfId="1250" priority="418" operator="notContains" text="Caida">
      <formula>ISERROR(SEARCH("Caida",AC96))</formula>
    </cfRule>
    <cfRule type="containsText" dxfId="1249" priority="419" operator="containsText" text="Caida">
      <formula>NOT(ISERROR(SEARCH("Caida",AC96)))</formula>
    </cfRule>
  </conditionalFormatting>
  <conditionalFormatting sqref="AC6:AH92">
    <cfRule type="cellIs" dxfId="1248" priority="416" operator="lessThan">
      <formula>0.8</formula>
    </cfRule>
    <cfRule type="cellIs" dxfId="1247" priority="417" operator="greaterThan">
      <formula>0.8</formula>
    </cfRule>
  </conditionalFormatting>
  <conditionalFormatting sqref="AC6:AH92">
    <cfRule type="notContainsText" dxfId="1246" priority="414" operator="notContains" text="Caida">
      <formula>ISERROR(SEARCH("Caida",AC6))</formula>
    </cfRule>
    <cfRule type="containsText" dxfId="1245" priority="415" operator="containsText" text="Caida">
      <formula>NOT(ISERROR(SEARCH("Caida",AC6)))</formula>
    </cfRule>
  </conditionalFormatting>
  <conditionalFormatting sqref="AC93:AH95">
    <cfRule type="cellIs" dxfId="1244" priority="412" operator="lessThan">
      <formula>0.8</formula>
    </cfRule>
    <cfRule type="cellIs" dxfId="1243" priority="413" operator="greaterThan">
      <formula>0.8</formula>
    </cfRule>
  </conditionalFormatting>
  <conditionalFormatting sqref="AC93:AH95">
    <cfRule type="notContainsText" dxfId="1242" priority="410" operator="notContains" text="Caida">
      <formula>ISERROR(SEARCH("Caida",AC93))</formula>
    </cfRule>
    <cfRule type="containsText" dxfId="1241" priority="411" operator="containsText" text="Caida">
      <formula>NOT(ISERROR(SEARCH("Caida",AC93)))</formula>
    </cfRule>
  </conditionalFormatting>
  <conditionalFormatting sqref="F1:F372 F391:F1048576">
    <cfRule type="cellIs" dxfId="1240" priority="409" operator="equal">
      <formula>"PTP A FO"</formula>
    </cfRule>
  </conditionalFormatting>
  <conditionalFormatting sqref="AF106:AH106">
    <cfRule type="cellIs" dxfId="1239" priority="407" operator="lessThan">
      <formula>0.8</formula>
    </cfRule>
    <cfRule type="cellIs" dxfId="1238" priority="408" operator="greaterThan">
      <formula>0.8</formula>
    </cfRule>
  </conditionalFormatting>
  <conditionalFormatting sqref="AF106:AH106">
    <cfRule type="notContainsText" dxfId="1237" priority="405" operator="notContains" text="Caida">
      <formula>ISERROR(SEARCH("Caida",AF106))</formula>
    </cfRule>
    <cfRule type="containsText" dxfId="1236" priority="406" operator="containsText" text="Caida">
      <formula>NOT(ISERROR(SEARCH("Caida",AF106)))</formula>
    </cfRule>
  </conditionalFormatting>
  <conditionalFormatting sqref="AF107:AH107">
    <cfRule type="cellIs" dxfId="1235" priority="403" operator="lessThan">
      <formula>0.8</formula>
    </cfRule>
    <cfRule type="cellIs" dxfId="1234" priority="404" operator="greaterThan">
      <formula>0.8</formula>
    </cfRule>
  </conditionalFormatting>
  <conditionalFormatting sqref="AF107:AH107">
    <cfRule type="notContainsText" dxfId="1233" priority="401" operator="notContains" text="Caida">
      <formula>ISERROR(SEARCH("Caida",AF107))</formula>
    </cfRule>
    <cfRule type="containsText" dxfId="1232" priority="402" operator="containsText" text="Caida">
      <formula>NOT(ISERROR(SEARCH("Caida",AF107)))</formula>
    </cfRule>
  </conditionalFormatting>
  <conditionalFormatting sqref="AF108:AH108">
    <cfRule type="cellIs" dxfId="1231" priority="399" operator="lessThan">
      <formula>0.8</formula>
    </cfRule>
    <cfRule type="cellIs" dxfId="1230" priority="400" operator="greaterThan">
      <formula>0.8</formula>
    </cfRule>
  </conditionalFormatting>
  <conditionalFormatting sqref="AF108:AH108">
    <cfRule type="notContainsText" dxfId="1229" priority="397" operator="notContains" text="Caida">
      <formula>ISERROR(SEARCH("Caida",AF108))</formula>
    </cfRule>
    <cfRule type="containsText" dxfId="1228" priority="398" operator="containsText" text="Caida">
      <formula>NOT(ISERROR(SEARCH("Caida",AF108)))</formula>
    </cfRule>
  </conditionalFormatting>
  <conditionalFormatting sqref="AF109:AH109">
    <cfRule type="cellIs" dxfId="1227" priority="395" operator="lessThan">
      <formula>0.8</formula>
    </cfRule>
    <cfRule type="cellIs" dxfId="1226" priority="396" operator="greaterThan">
      <formula>0.8</formula>
    </cfRule>
  </conditionalFormatting>
  <conditionalFormatting sqref="AF109:AH109">
    <cfRule type="notContainsText" dxfId="1225" priority="393" operator="notContains" text="Caida">
      <formula>ISERROR(SEARCH("Caida",AF109))</formula>
    </cfRule>
    <cfRule type="containsText" dxfId="1224" priority="394" operator="containsText" text="Caida">
      <formula>NOT(ISERROR(SEARCH("Caida",AF109)))</formula>
    </cfRule>
  </conditionalFormatting>
  <conditionalFormatting sqref="AF115:AH115">
    <cfRule type="cellIs" dxfId="1223" priority="391" operator="lessThan">
      <formula>0.8</formula>
    </cfRule>
    <cfRule type="cellIs" dxfId="1222" priority="392" operator="greaterThan">
      <formula>0.8</formula>
    </cfRule>
  </conditionalFormatting>
  <conditionalFormatting sqref="AF115:AH115">
    <cfRule type="notContainsText" dxfId="1221" priority="389" operator="notContains" text="Caida">
      <formula>ISERROR(SEARCH("Caida",AF115))</formula>
    </cfRule>
    <cfRule type="containsText" dxfId="1220" priority="390" operator="containsText" text="Caida">
      <formula>NOT(ISERROR(SEARCH("Caida",AF115)))</formula>
    </cfRule>
  </conditionalFormatting>
  <conditionalFormatting sqref="AF116:AH116">
    <cfRule type="cellIs" dxfId="1219" priority="387" operator="lessThan">
      <formula>0.8</formula>
    </cfRule>
    <cfRule type="cellIs" dxfId="1218" priority="388" operator="greaterThan">
      <formula>0.8</formula>
    </cfRule>
  </conditionalFormatting>
  <conditionalFormatting sqref="AF116:AH116">
    <cfRule type="notContainsText" dxfId="1217" priority="385" operator="notContains" text="Caida">
      <formula>ISERROR(SEARCH("Caida",AF116))</formula>
    </cfRule>
    <cfRule type="containsText" dxfId="1216" priority="386" operator="containsText" text="Caida">
      <formula>NOT(ISERROR(SEARCH("Caida",AF116)))</formula>
    </cfRule>
  </conditionalFormatting>
  <conditionalFormatting sqref="AF120:AH120">
    <cfRule type="cellIs" dxfId="1215" priority="383" operator="lessThan">
      <formula>0.8</formula>
    </cfRule>
    <cfRule type="cellIs" dxfId="1214" priority="384" operator="greaterThan">
      <formula>0.8</formula>
    </cfRule>
  </conditionalFormatting>
  <conditionalFormatting sqref="AF120:AH120">
    <cfRule type="notContainsText" dxfId="1213" priority="381" operator="notContains" text="Caida">
      <formula>ISERROR(SEARCH("Caida",AF120))</formula>
    </cfRule>
    <cfRule type="containsText" dxfId="1212" priority="382" operator="containsText" text="Caida">
      <formula>NOT(ISERROR(SEARCH("Caida",AF120)))</formula>
    </cfRule>
  </conditionalFormatting>
  <conditionalFormatting sqref="AF121:AH121">
    <cfRule type="cellIs" dxfId="1211" priority="379" operator="lessThan">
      <formula>0.8</formula>
    </cfRule>
    <cfRule type="cellIs" dxfId="1210" priority="380" operator="greaterThan">
      <formula>0.8</formula>
    </cfRule>
  </conditionalFormatting>
  <conditionalFormatting sqref="AF121:AH121">
    <cfRule type="notContainsText" dxfId="1209" priority="377" operator="notContains" text="Caida">
      <formula>ISERROR(SEARCH("Caida",AF121))</formula>
    </cfRule>
    <cfRule type="containsText" dxfId="1208" priority="378" operator="containsText" text="Caida">
      <formula>NOT(ISERROR(SEARCH("Caida",AF121)))</formula>
    </cfRule>
  </conditionalFormatting>
  <conditionalFormatting sqref="AF122:AH122">
    <cfRule type="cellIs" dxfId="1207" priority="375" operator="lessThan">
      <formula>0.8</formula>
    </cfRule>
    <cfRule type="cellIs" dxfId="1206" priority="376" operator="greaterThan">
      <formula>0.8</formula>
    </cfRule>
  </conditionalFormatting>
  <conditionalFormatting sqref="AF122:AH122">
    <cfRule type="notContainsText" dxfId="1205" priority="373" operator="notContains" text="Caida">
      <formula>ISERROR(SEARCH("Caida",AF122))</formula>
    </cfRule>
    <cfRule type="containsText" dxfId="1204" priority="374" operator="containsText" text="Caida">
      <formula>NOT(ISERROR(SEARCH("Caida",AF122)))</formula>
    </cfRule>
  </conditionalFormatting>
  <conditionalFormatting sqref="AF123:AH123">
    <cfRule type="cellIs" dxfId="1203" priority="371" operator="lessThan">
      <formula>0.8</formula>
    </cfRule>
    <cfRule type="cellIs" dxfId="1202" priority="372" operator="greaterThan">
      <formula>0.8</formula>
    </cfRule>
  </conditionalFormatting>
  <conditionalFormatting sqref="AF123:AH123">
    <cfRule type="notContainsText" dxfId="1201" priority="369" operator="notContains" text="Caida">
      <formula>ISERROR(SEARCH("Caida",AF123))</formula>
    </cfRule>
    <cfRule type="containsText" dxfId="1200" priority="370" operator="containsText" text="Caida">
      <formula>NOT(ISERROR(SEARCH("Caida",AF123)))</formula>
    </cfRule>
  </conditionalFormatting>
  <conditionalFormatting sqref="AF133:AH133">
    <cfRule type="cellIs" dxfId="1199" priority="367" operator="lessThan">
      <formula>0.8</formula>
    </cfRule>
    <cfRule type="cellIs" dxfId="1198" priority="368" operator="greaterThan">
      <formula>0.8</formula>
    </cfRule>
  </conditionalFormatting>
  <conditionalFormatting sqref="AF133:AH133">
    <cfRule type="notContainsText" dxfId="1197" priority="365" operator="notContains" text="Caida">
      <formula>ISERROR(SEARCH("Caida",AF133))</formula>
    </cfRule>
    <cfRule type="containsText" dxfId="1196" priority="366" operator="containsText" text="Caida">
      <formula>NOT(ISERROR(SEARCH("Caida",AF133)))</formula>
    </cfRule>
  </conditionalFormatting>
  <conditionalFormatting sqref="AF137:AH137">
    <cfRule type="cellIs" dxfId="1195" priority="363" operator="lessThan">
      <formula>0.8</formula>
    </cfRule>
    <cfRule type="cellIs" dxfId="1194" priority="364" operator="greaterThan">
      <formula>0.8</formula>
    </cfRule>
  </conditionalFormatting>
  <conditionalFormatting sqref="AF137:AH137">
    <cfRule type="notContainsText" dxfId="1193" priority="361" operator="notContains" text="Caida">
      <formula>ISERROR(SEARCH("Caida",AF137))</formula>
    </cfRule>
    <cfRule type="containsText" dxfId="1192" priority="362" operator="containsText" text="Caida">
      <formula>NOT(ISERROR(SEARCH("Caida",AF137)))</formula>
    </cfRule>
  </conditionalFormatting>
  <conditionalFormatting sqref="AF149:AH149">
    <cfRule type="cellIs" dxfId="1191" priority="359" operator="lessThan">
      <formula>0.8</formula>
    </cfRule>
    <cfRule type="cellIs" dxfId="1190" priority="360" operator="greaterThan">
      <formula>0.8</formula>
    </cfRule>
  </conditionalFormatting>
  <conditionalFormatting sqref="AF149:AH149">
    <cfRule type="notContainsText" dxfId="1189" priority="357" operator="notContains" text="Caida">
      <formula>ISERROR(SEARCH("Caida",AF149))</formula>
    </cfRule>
    <cfRule type="containsText" dxfId="1188" priority="358" operator="containsText" text="Caida">
      <formula>NOT(ISERROR(SEARCH("Caida",AF149)))</formula>
    </cfRule>
  </conditionalFormatting>
  <conditionalFormatting sqref="AF150:AH150">
    <cfRule type="cellIs" dxfId="1187" priority="355" operator="lessThan">
      <formula>0.8</formula>
    </cfRule>
    <cfRule type="cellIs" dxfId="1186" priority="356" operator="greaterThan">
      <formula>0.8</formula>
    </cfRule>
  </conditionalFormatting>
  <conditionalFormatting sqref="AF150:AH150">
    <cfRule type="notContainsText" dxfId="1185" priority="353" operator="notContains" text="Caida">
      <formula>ISERROR(SEARCH("Caida",AF150))</formula>
    </cfRule>
    <cfRule type="containsText" dxfId="1184" priority="354" operator="containsText" text="Caida">
      <formula>NOT(ISERROR(SEARCH("Caida",AF150)))</formula>
    </cfRule>
  </conditionalFormatting>
  <conditionalFormatting sqref="AF151:AH151">
    <cfRule type="cellIs" dxfId="1183" priority="351" operator="lessThan">
      <formula>0.8</formula>
    </cfRule>
    <cfRule type="cellIs" dxfId="1182" priority="352" operator="greaterThan">
      <formula>0.8</formula>
    </cfRule>
  </conditionalFormatting>
  <conditionalFormatting sqref="AF151:AH151">
    <cfRule type="notContainsText" dxfId="1181" priority="349" operator="notContains" text="Caida">
      <formula>ISERROR(SEARCH("Caida",AF151))</formula>
    </cfRule>
    <cfRule type="containsText" dxfId="1180" priority="350" operator="containsText" text="Caida">
      <formula>NOT(ISERROR(SEARCH("Caida",AF151)))</formula>
    </cfRule>
  </conditionalFormatting>
  <conditionalFormatting sqref="AF159:AH159">
    <cfRule type="cellIs" dxfId="1179" priority="347" operator="lessThan">
      <formula>0.8</formula>
    </cfRule>
    <cfRule type="cellIs" dxfId="1178" priority="348" operator="greaterThan">
      <formula>0.8</formula>
    </cfRule>
  </conditionalFormatting>
  <conditionalFormatting sqref="AF159:AH159">
    <cfRule type="notContainsText" dxfId="1177" priority="345" operator="notContains" text="Caida">
      <formula>ISERROR(SEARCH("Caida",AF159))</formula>
    </cfRule>
    <cfRule type="containsText" dxfId="1176" priority="346" operator="containsText" text="Caida">
      <formula>NOT(ISERROR(SEARCH("Caida",AF159)))</formula>
    </cfRule>
  </conditionalFormatting>
  <conditionalFormatting sqref="AF169:AH169">
    <cfRule type="cellIs" dxfId="1175" priority="343" operator="lessThan">
      <formula>0.8</formula>
    </cfRule>
    <cfRule type="cellIs" dxfId="1174" priority="344" operator="greaterThan">
      <formula>0.8</formula>
    </cfRule>
  </conditionalFormatting>
  <conditionalFormatting sqref="AF169:AH169">
    <cfRule type="notContainsText" dxfId="1173" priority="341" operator="notContains" text="Caida">
      <formula>ISERROR(SEARCH("Caida",AF169))</formula>
    </cfRule>
    <cfRule type="containsText" dxfId="1172" priority="342" operator="containsText" text="Caida">
      <formula>NOT(ISERROR(SEARCH("Caida",AF169)))</formula>
    </cfRule>
  </conditionalFormatting>
  <conditionalFormatting sqref="AF171:AH171">
    <cfRule type="cellIs" dxfId="1171" priority="339" operator="lessThan">
      <formula>0.8</formula>
    </cfRule>
    <cfRule type="cellIs" dxfId="1170" priority="340" operator="greaterThan">
      <formula>0.8</formula>
    </cfRule>
  </conditionalFormatting>
  <conditionalFormatting sqref="AF171:AH171">
    <cfRule type="notContainsText" dxfId="1169" priority="337" operator="notContains" text="Caida">
      <formula>ISERROR(SEARCH("Caida",AF171))</formula>
    </cfRule>
    <cfRule type="containsText" dxfId="1168" priority="338" operator="containsText" text="Caida">
      <formula>NOT(ISERROR(SEARCH("Caida",AF171)))</formula>
    </cfRule>
  </conditionalFormatting>
  <conditionalFormatting sqref="AF173:AH173">
    <cfRule type="cellIs" dxfId="1167" priority="335" operator="lessThan">
      <formula>0.8</formula>
    </cfRule>
    <cfRule type="cellIs" dxfId="1166" priority="336" operator="greaterThan">
      <formula>0.8</formula>
    </cfRule>
  </conditionalFormatting>
  <conditionalFormatting sqref="AF173:AH173">
    <cfRule type="notContainsText" dxfId="1165" priority="333" operator="notContains" text="Caida">
      <formula>ISERROR(SEARCH("Caida",AF173))</formula>
    </cfRule>
    <cfRule type="containsText" dxfId="1164" priority="334" operator="containsText" text="Caida">
      <formula>NOT(ISERROR(SEARCH("Caida",AF173)))</formula>
    </cfRule>
  </conditionalFormatting>
  <conditionalFormatting sqref="AF193:AH193">
    <cfRule type="cellIs" dxfId="1163" priority="331" operator="lessThan">
      <formula>0.8</formula>
    </cfRule>
    <cfRule type="cellIs" dxfId="1162" priority="332" operator="greaterThan">
      <formula>0.8</formula>
    </cfRule>
  </conditionalFormatting>
  <conditionalFormatting sqref="AF193:AH193">
    <cfRule type="notContainsText" dxfId="1161" priority="329" operator="notContains" text="Caida">
      <formula>ISERROR(SEARCH("Caida",AF193))</formula>
    </cfRule>
    <cfRule type="containsText" dxfId="1160" priority="330" operator="containsText" text="Caida">
      <formula>NOT(ISERROR(SEARCH("Caida",AF193)))</formula>
    </cfRule>
  </conditionalFormatting>
  <conditionalFormatting sqref="AF194:AH194">
    <cfRule type="cellIs" dxfId="1159" priority="327" operator="lessThan">
      <formula>0.8</formula>
    </cfRule>
    <cfRule type="cellIs" dxfId="1158" priority="328" operator="greaterThan">
      <formula>0.8</formula>
    </cfRule>
  </conditionalFormatting>
  <conditionalFormatting sqref="AF194:AH194">
    <cfRule type="notContainsText" dxfId="1157" priority="325" operator="notContains" text="Caida">
      <formula>ISERROR(SEARCH("Caida",AF194))</formula>
    </cfRule>
    <cfRule type="containsText" dxfId="1156" priority="326" operator="containsText" text="Caida">
      <formula>NOT(ISERROR(SEARCH("Caida",AF194)))</formula>
    </cfRule>
  </conditionalFormatting>
  <conditionalFormatting sqref="AF230:AH230">
    <cfRule type="cellIs" dxfId="1155" priority="323" operator="lessThan">
      <formula>0.8</formula>
    </cfRule>
    <cfRule type="cellIs" dxfId="1154" priority="324" operator="greaterThan">
      <formula>0.8</formula>
    </cfRule>
  </conditionalFormatting>
  <conditionalFormatting sqref="AF230:AH230">
    <cfRule type="notContainsText" dxfId="1153" priority="321" operator="notContains" text="Caida">
      <formula>ISERROR(SEARCH("Caida",AF230))</formula>
    </cfRule>
    <cfRule type="containsText" dxfId="1152" priority="322" operator="containsText" text="Caida">
      <formula>NOT(ISERROR(SEARCH("Caida",AF230)))</formula>
    </cfRule>
  </conditionalFormatting>
  <conditionalFormatting sqref="AF238:AH238">
    <cfRule type="cellIs" dxfId="1151" priority="319" operator="lessThan">
      <formula>0.8</formula>
    </cfRule>
    <cfRule type="cellIs" dxfId="1150" priority="320" operator="greaterThan">
      <formula>0.8</formula>
    </cfRule>
  </conditionalFormatting>
  <conditionalFormatting sqref="AF238:AH238">
    <cfRule type="notContainsText" dxfId="1149" priority="317" operator="notContains" text="Caida">
      <formula>ISERROR(SEARCH("Caida",AF238))</formula>
    </cfRule>
    <cfRule type="containsText" dxfId="1148" priority="318" operator="containsText" text="Caida">
      <formula>NOT(ISERROR(SEARCH("Caida",AF238)))</formula>
    </cfRule>
  </conditionalFormatting>
  <conditionalFormatting sqref="AF239:AH239">
    <cfRule type="cellIs" dxfId="1147" priority="315" operator="lessThan">
      <formula>0.8</formula>
    </cfRule>
    <cfRule type="cellIs" dxfId="1146" priority="316" operator="greaterThan">
      <formula>0.8</formula>
    </cfRule>
  </conditionalFormatting>
  <conditionalFormatting sqref="AF239:AH239">
    <cfRule type="notContainsText" dxfId="1145" priority="313" operator="notContains" text="Caida">
      <formula>ISERROR(SEARCH("Caida",AF239))</formula>
    </cfRule>
    <cfRule type="containsText" dxfId="1144" priority="314" operator="containsText" text="Caida">
      <formula>NOT(ISERROR(SEARCH("Caida",AF239)))</formula>
    </cfRule>
  </conditionalFormatting>
  <conditionalFormatting sqref="AF240:AH240">
    <cfRule type="cellIs" dxfId="1143" priority="311" operator="lessThan">
      <formula>0.8</formula>
    </cfRule>
    <cfRule type="cellIs" dxfId="1142" priority="312" operator="greaterThan">
      <formula>0.8</formula>
    </cfRule>
  </conditionalFormatting>
  <conditionalFormatting sqref="AF240:AH240">
    <cfRule type="notContainsText" dxfId="1141" priority="309" operator="notContains" text="Caida">
      <formula>ISERROR(SEARCH("Caida",AF240))</formula>
    </cfRule>
    <cfRule type="containsText" dxfId="1140" priority="310" operator="containsText" text="Caida">
      <formula>NOT(ISERROR(SEARCH("Caida",AF240)))</formula>
    </cfRule>
  </conditionalFormatting>
  <conditionalFormatting sqref="AF251:AH251">
    <cfRule type="cellIs" dxfId="1139" priority="307" operator="lessThan">
      <formula>0.8</formula>
    </cfRule>
    <cfRule type="cellIs" dxfId="1138" priority="308" operator="greaterThan">
      <formula>0.8</formula>
    </cfRule>
  </conditionalFormatting>
  <conditionalFormatting sqref="AF251:AH251">
    <cfRule type="notContainsText" dxfId="1137" priority="305" operator="notContains" text="Caida">
      <formula>ISERROR(SEARCH("Caida",AF251))</formula>
    </cfRule>
    <cfRule type="containsText" dxfId="1136" priority="306" operator="containsText" text="Caida">
      <formula>NOT(ISERROR(SEARCH("Caida",AF251)))</formula>
    </cfRule>
  </conditionalFormatting>
  <conditionalFormatting sqref="AF252:AH252">
    <cfRule type="cellIs" dxfId="1135" priority="303" operator="lessThan">
      <formula>0.8</formula>
    </cfRule>
    <cfRule type="cellIs" dxfId="1134" priority="304" operator="greaterThan">
      <formula>0.8</formula>
    </cfRule>
  </conditionalFormatting>
  <conditionalFormatting sqref="AF252:AH252">
    <cfRule type="notContainsText" dxfId="1133" priority="301" operator="notContains" text="Caida">
      <formula>ISERROR(SEARCH("Caida",AF252))</formula>
    </cfRule>
    <cfRule type="containsText" dxfId="1132" priority="302" operator="containsText" text="Caida">
      <formula>NOT(ISERROR(SEARCH("Caida",AF252)))</formula>
    </cfRule>
  </conditionalFormatting>
  <conditionalFormatting sqref="AF253:AH253">
    <cfRule type="cellIs" dxfId="1131" priority="299" operator="lessThan">
      <formula>0.8</formula>
    </cfRule>
    <cfRule type="cellIs" dxfId="1130" priority="300" operator="greaterThan">
      <formula>0.8</formula>
    </cfRule>
  </conditionalFormatting>
  <conditionalFormatting sqref="AF253:AH253">
    <cfRule type="notContainsText" dxfId="1129" priority="297" operator="notContains" text="Caida">
      <formula>ISERROR(SEARCH("Caida",AF253))</formula>
    </cfRule>
    <cfRule type="containsText" dxfId="1128" priority="298" operator="containsText" text="Caida">
      <formula>NOT(ISERROR(SEARCH("Caida",AF253)))</formula>
    </cfRule>
  </conditionalFormatting>
  <conditionalFormatting sqref="AF254:AH254">
    <cfRule type="cellIs" dxfId="1127" priority="295" operator="lessThan">
      <formula>0.8</formula>
    </cfRule>
    <cfRule type="cellIs" dxfId="1126" priority="296" operator="greaterThan">
      <formula>0.8</formula>
    </cfRule>
  </conditionalFormatting>
  <conditionalFormatting sqref="AF254:AH254">
    <cfRule type="notContainsText" dxfId="1125" priority="293" operator="notContains" text="Caida">
      <formula>ISERROR(SEARCH("Caida",AF254))</formula>
    </cfRule>
    <cfRule type="containsText" dxfId="1124" priority="294" operator="containsText" text="Caida">
      <formula>NOT(ISERROR(SEARCH("Caida",AF254)))</formula>
    </cfRule>
  </conditionalFormatting>
  <conditionalFormatting sqref="AF261:AH261">
    <cfRule type="cellIs" dxfId="1123" priority="291" operator="lessThan">
      <formula>0.8</formula>
    </cfRule>
    <cfRule type="cellIs" dxfId="1122" priority="292" operator="greaterThan">
      <formula>0.8</formula>
    </cfRule>
  </conditionalFormatting>
  <conditionalFormatting sqref="AF261:AH261">
    <cfRule type="notContainsText" dxfId="1121" priority="289" operator="notContains" text="Caida">
      <formula>ISERROR(SEARCH("Caida",AF261))</formula>
    </cfRule>
    <cfRule type="containsText" dxfId="1120" priority="290" operator="containsText" text="Caida">
      <formula>NOT(ISERROR(SEARCH("Caida",AF261)))</formula>
    </cfRule>
  </conditionalFormatting>
  <conditionalFormatting sqref="AF273:AH273">
    <cfRule type="cellIs" dxfId="1119" priority="287" operator="lessThan">
      <formula>0.8</formula>
    </cfRule>
    <cfRule type="cellIs" dxfId="1118" priority="288" operator="greaterThan">
      <formula>0.8</formula>
    </cfRule>
  </conditionalFormatting>
  <conditionalFormatting sqref="AF273:AH273">
    <cfRule type="notContainsText" dxfId="1117" priority="285" operator="notContains" text="Caida">
      <formula>ISERROR(SEARCH("Caida",AF273))</formula>
    </cfRule>
    <cfRule type="containsText" dxfId="1116" priority="286" operator="containsText" text="Caida">
      <formula>NOT(ISERROR(SEARCH("Caida",AF273)))</formula>
    </cfRule>
  </conditionalFormatting>
  <conditionalFormatting sqref="AF274:AH274">
    <cfRule type="cellIs" dxfId="1115" priority="283" operator="lessThan">
      <formula>0.8</formula>
    </cfRule>
    <cfRule type="cellIs" dxfId="1114" priority="284" operator="greaterThan">
      <formula>0.8</formula>
    </cfRule>
  </conditionalFormatting>
  <conditionalFormatting sqref="AF274:AH274">
    <cfRule type="notContainsText" dxfId="1113" priority="281" operator="notContains" text="Caida">
      <formula>ISERROR(SEARCH("Caida",AF274))</formula>
    </cfRule>
    <cfRule type="containsText" dxfId="1112" priority="282" operator="containsText" text="Caida">
      <formula>NOT(ISERROR(SEARCH("Caida",AF274)))</formula>
    </cfRule>
  </conditionalFormatting>
  <conditionalFormatting sqref="AF293:AH293">
    <cfRule type="cellIs" dxfId="1111" priority="279" operator="lessThan">
      <formula>0.8</formula>
    </cfRule>
    <cfRule type="cellIs" dxfId="1110" priority="280" operator="greaterThan">
      <formula>0.8</formula>
    </cfRule>
  </conditionalFormatting>
  <conditionalFormatting sqref="AF293:AH293">
    <cfRule type="notContainsText" dxfId="1109" priority="277" operator="notContains" text="Caida">
      <formula>ISERROR(SEARCH("Caida",AF293))</formula>
    </cfRule>
    <cfRule type="containsText" dxfId="1108" priority="278" operator="containsText" text="Caida">
      <formula>NOT(ISERROR(SEARCH("Caida",AF293)))</formula>
    </cfRule>
  </conditionalFormatting>
  <conditionalFormatting sqref="AF321:AH321">
    <cfRule type="cellIs" dxfId="1107" priority="275" operator="lessThan">
      <formula>0.8</formula>
    </cfRule>
    <cfRule type="cellIs" dxfId="1106" priority="276" operator="greaterThan">
      <formula>0.8</formula>
    </cfRule>
  </conditionalFormatting>
  <conditionalFormatting sqref="AF321:AH321">
    <cfRule type="notContainsText" dxfId="1105" priority="273" operator="notContains" text="Caida">
      <formula>ISERROR(SEARCH("Caida",AF321))</formula>
    </cfRule>
    <cfRule type="containsText" dxfId="1104" priority="274" operator="containsText" text="Caida">
      <formula>NOT(ISERROR(SEARCH("Caida",AF321)))</formula>
    </cfRule>
  </conditionalFormatting>
  <conditionalFormatting sqref="AF322:AH322">
    <cfRule type="cellIs" dxfId="1103" priority="271" operator="lessThan">
      <formula>0.8</formula>
    </cfRule>
    <cfRule type="cellIs" dxfId="1102" priority="272" operator="greaterThan">
      <formula>0.8</formula>
    </cfRule>
  </conditionalFormatting>
  <conditionalFormatting sqref="AF322:AH322">
    <cfRule type="notContainsText" dxfId="1101" priority="269" operator="notContains" text="Caida">
      <formula>ISERROR(SEARCH("Caida",AF322))</formula>
    </cfRule>
    <cfRule type="containsText" dxfId="1100" priority="270" operator="containsText" text="Caida">
      <formula>NOT(ISERROR(SEARCH("Caida",AF322)))</formula>
    </cfRule>
  </conditionalFormatting>
  <conditionalFormatting sqref="AF333:AH333">
    <cfRule type="cellIs" dxfId="1099" priority="267" operator="lessThan">
      <formula>0.8</formula>
    </cfRule>
    <cfRule type="cellIs" dxfId="1098" priority="268" operator="greaterThan">
      <formula>0.8</formula>
    </cfRule>
  </conditionalFormatting>
  <conditionalFormatting sqref="AF333:AH333">
    <cfRule type="notContainsText" dxfId="1097" priority="265" operator="notContains" text="Caida">
      <formula>ISERROR(SEARCH("Caida",AF333))</formula>
    </cfRule>
    <cfRule type="containsText" dxfId="1096" priority="266" operator="containsText" text="Caida">
      <formula>NOT(ISERROR(SEARCH("Caida",AF333)))</formula>
    </cfRule>
  </conditionalFormatting>
  <conditionalFormatting sqref="AF347:AH347">
    <cfRule type="cellIs" dxfId="1095" priority="263" operator="lessThan">
      <formula>0.8</formula>
    </cfRule>
    <cfRule type="cellIs" dxfId="1094" priority="264" operator="greaterThan">
      <formula>0.8</formula>
    </cfRule>
  </conditionalFormatting>
  <conditionalFormatting sqref="AF347:AH347">
    <cfRule type="notContainsText" dxfId="1093" priority="261" operator="notContains" text="Caida">
      <formula>ISERROR(SEARCH("Caida",AF347))</formula>
    </cfRule>
    <cfRule type="containsText" dxfId="1092" priority="262" operator="containsText" text="Caida">
      <formula>NOT(ISERROR(SEARCH("Caida",AF347)))</formula>
    </cfRule>
  </conditionalFormatting>
  <conditionalFormatting sqref="AF348:AH348">
    <cfRule type="cellIs" dxfId="1091" priority="259" operator="lessThan">
      <formula>0.8</formula>
    </cfRule>
    <cfRule type="cellIs" dxfId="1090" priority="260" operator="greaterThan">
      <formula>0.8</formula>
    </cfRule>
  </conditionalFormatting>
  <conditionalFormatting sqref="AF348:AH348">
    <cfRule type="notContainsText" dxfId="1089" priority="257" operator="notContains" text="Caida">
      <formula>ISERROR(SEARCH("Caida",AF348))</formula>
    </cfRule>
    <cfRule type="containsText" dxfId="1088" priority="258" operator="containsText" text="Caida">
      <formula>NOT(ISERROR(SEARCH("Caida",AF348)))</formula>
    </cfRule>
  </conditionalFormatting>
  <conditionalFormatting sqref="AF349:AH349">
    <cfRule type="cellIs" dxfId="1087" priority="255" operator="lessThan">
      <formula>0.8</formula>
    </cfRule>
    <cfRule type="cellIs" dxfId="1086" priority="256" operator="greaterThan">
      <formula>0.8</formula>
    </cfRule>
  </conditionalFormatting>
  <conditionalFormatting sqref="AF349:AH349">
    <cfRule type="notContainsText" dxfId="1085" priority="253" operator="notContains" text="Caida">
      <formula>ISERROR(SEARCH("Caida",AF349))</formula>
    </cfRule>
    <cfRule type="containsText" dxfId="1084" priority="254" operator="containsText" text="Caida">
      <formula>NOT(ISERROR(SEARCH("Caida",AF349)))</formula>
    </cfRule>
  </conditionalFormatting>
  <conditionalFormatting sqref="AF350:AH350">
    <cfRule type="cellIs" dxfId="1083" priority="251" operator="lessThan">
      <formula>0.8</formula>
    </cfRule>
    <cfRule type="cellIs" dxfId="1082" priority="252" operator="greaterThan">
      <formula>0.8</formula>
    </cfRule>
  </conditionalFormatting>
  <conditionalFormatting sqref="AF350:AH350">
    <cfRule type="notContainsText" dxfId="1081" priority="249" operator="notContains" text="Caida">
      <formula>ISERROR(SEARCH("Caida",AF350))</formula>
    </cfRule>
    <cfRule type="containsText" dxfId="1080" priority="250" operator="containsText" text="Caida">
      <formula>NOT(ISERROR(SEARCH("Caida",AF350)))</formula>
    </cfRule>
  </conditionalFormatting>
  <conditionalFormatting sqref="AF351:AH351">
    <cfRule type="cellIs" dxfId="1079" priority="247" operator="lessThan">
      <formula>0.8</formula>
    </cfRule>
    <cfRule type="cellIs" dxfId="1078" priority="248" operator="greaterThan">
      <formula>0.8</formula>
    </cfRule>
  </conditionalFormatting>
  <conditionalFormatting sqref="AF351:AH351">
    <cfRule type="notContainsText" dxfId="1077" priority="245" operator="notContains" text="Caida">
      <formula>ISERROR(SEARCH("Caida",AF351))</formula>
    </cfRule>
    <cfRule type="containsText" dxfId="1076" priority="246" operator="containsText" text="Caida">
      <formula>NOT(ISERROR(SEARCH("Caida",AF351)))</formula>
    </cfRule>
  </conditionalFormatting>
  <conditionalFormatting sqref="AF369:AH369">
    <cfRule type="cellIs" dxfId="1075" priority="243" operator="lessThan">
      <formula>0.8</formula>
    </cfRule>
    <cfRule type="cellIs" dxfId="1074" priority="244" operator="greaterThan">
      <formula>0.8</formula>
    </cfRule>
  </conditionalFormatting>
  <conditionalFormatting sqref="AF369:AH369">
    <cfRule type="notContainsText" dxfId="1073" priority="241" operator="notContains" text="Caida">
      <formula>ISERROR(SEARCH("Caida",AF369))</formula>
    </cfRule>
    <cfRule type="containsText" dxfId="1072" priority="242" operator="containsText" text="Caida">
      <formula>NOT(ISERROR(SEARCH("Caida",AF369)))</formula>
    </cfRule>
  </conditionalFormatting>
  <conditionalFormatting sqref="AF197:AH197">
    <cfRule type="cellIs" dxfId="1071" priority="239" operator="lessThan">
      <formula>0.8</formula>
    </cfRule>
    <cfRule type="cellIs" dxfId="1070" priority="240" operator="greaterThan">
      <formula>0.8</formula>
    </cfRule>
  </conditionalFormatting>
  <conditionalFormatting sqref="AF197:AH197">
    <cfRule type="notContainsText" dxfId="1069" priority="237" operator="notContains" text="Caida">
      <formula>ISERROR(SEARCH("Caida",AF197))</formula>
    </cfRule>
    <cfRule type="containsText" dxfId="1068" priority="238" operator="containsText" text="Caida">
      <formula>NOT(ISERROR(SEARCH("Caida",AF197)))</formula>
    </cfRule>
  </conditionalFormatting>
  <conditionalFormatting sqref="AF198:AH198">
    <cfRule type="cellIs" dxfId="1067" priority="235" operator="lessThan">
      <formula>0.8</formula>
    </cfRule>
    <cfRule type="cellIs" dxfId="1066" priority="236" operator="greaterThan">
      <formula>0.8</formula>
    </cfRule>
  </conditionalFormatting>
  <conditionalFormatting sqref="AF198:AH198">
    <cfRule type="notContainsText" dxfId="1065" priority="233" operator="notContains" text="Caida">
      <formula>ISERROR(SEARCH("Caida",AF198))</formula>
    </cfRule>
    <cfRule type="containsText" dxfId="1064" priority="234" operator="containsText" text="Caida">
      <formula>NOT(ISERROR(SEARCH("Caida",AF198)))</formula>
    </cfRule>
  </conditionalFormatting>
  <conditionalFormatting sqref="AF206:AH206">
    <cfRule type="cellIs" dxfId="1063" priority="231" operator="lessThan">
      <formula>0.8</formula>
    </cfRule>
    <cfRule type="cellIs" dxfId="1062" priority="232" operator="greaterThan">
      <formula>0.8</formula>
    </cfRule>
  </conditionalFormatting>
  <conditionalFormatting sqref="AF206:AH206">
    <cfRule type="notContainsText" dxfId="1061" priority="229" operator="notContains" text="Caida">
      <formula>ISERROR(SEARCH("Caida",AF206))</formula>
    </cfRule>
    <cfRule type="containsText" dxfId="1060" priority="230" operator="containsText" text="Caida">
      <formula>NOT(ISERROR(SEARCH("Caida",AF206)))</formula>
    </cfRule>
  </conditionalFormatting>
  <conditionalFormatting sqref="AF204:AH204">
    <cfRule type="cellIs" dxfId="1059" priority="227" operator="lessThan">
      <formula>0.8</formula>
    </cfRule>
    <cfRule type="cellIs" dxfId="1058" priority="228" operator="greaterThan">
      <formula>0.8</formula>
    </cfRule>
  </conditionalFormatting>
  <conditionalFormatting sqref="AF204:AH204">
    <cfRule type="notContainsText" dxfId="1057" priority="225" operator="notContains" text="Caida">
      <formula>ISERROR(SEARCH("Caida",AF204))</formula>
    </cfRule>
    <cfRule type="containsText" dxfId="1056" priority="226" operator="containsText" text="Caida">
      <formula>NOT(ISERROR(SEARCH("Caida",AF204)))</formula>
    </cfRule>
  </conditionalFormatting>
  <conditionalFormatting sqref="AJ115">
    <cfRule type="cellIs" dxfId="1055" priority="223" operator="lessThan">
      <formula>0.8</formula>
    </cfRule>
    <cfRule type="cellIs" dxfId="1054" priority="224" operator="greaterThan">
      <formula>0.8</formula>
    </cfRule>
  </conditionalFormatting>
  <conditionalFormatting sqref="AJ115">
    <cfRule type="notContainsText" dxfId="1053" priority="221" operator="notContains" text="Caida">
      <formula>ISERROR(SEARCH("Caida",AJ115))</formula>
    </cfRule>
    <cfRule type="containsText" dxfId="1052" priority="222" operator="containsText" text="Caida">
      <formula>NOT(ISERROR(SEARCH("Caida",AJ115)))</formula>
    </cfRule>
  </conditionalFormatting>
  <conditionalFormatting sqref="AJ116">
    <cfRule type="cellIs" dxfId="1051" priority="219" operator="lessThan">
      <formula>0.8</formula>
    </cfRule>
    <cfRule type="cellIs" dxfId="1050" priority="220" operator="greaterThan">
      <formula>0.8</formula>
    </cfRule>
  </conditionalFormatting>
  <conditionalFormatting sqref="AJ116">
    <cfRule type="notContainsText" dxfId="1049" priority="217" operator="notContains" text="Caida">
      <formula>ISERROR(SEARCH("Caida",AJ116))</formula>
    </cfRule>
    <cfRule type="containsText" dxfId="1048" priority="218" operator="containsText" text="Caida">
      <formula>NOT(ISERROR(SEARCH("Caida",AJ116)))</formula>
    </cfRule>
  </conditionalFormatting>
  <conditionalFormatting sqref="AJ120">
    <cfRule type="cellIs" dxfId="1047" priority="215" operator="lessThan">
      <formula>0.8</formula>
    </cfRule>
    <cfRule type="cellIs" dxfId="1046" priority="216" operator="greaterThan">
      <formula>0.8</formula>
    </cfRule>
  </conditionalFormatting>
  <conditionalFormatting sqref="AJ120">
    <cfRule type="notContainsText" dxfId="1045" priority="213" operator="notContains" text="Caida">
      <formula>ISERROR(SEARCH("Caida",AJ120))</formula>
    </cfRule>
    <cfRule type="containsText" dxfId="1044" priority="214" operator="containsText" text="Caida">
      <formula>NOT(ISERROR(SEARCH("Caida",AJ120)))</formula>
    </cfRule>
  </conditionalFormatting>
  <conditionalFormatting sqref="AJ121">
    <cfRule type="cellIs" dxfId="1043" priority="211" operator="lessThan">
      <formula>0.8</formula>
    </cfRule>
    <cfRule type="cellIs" dxfId="1042" priority="212" operator="greaterThan">
      <formula>0.8</formula>
    </cfRule>
  </conditionalFormatting>
  <conditionalFormatting sqref="AJ121">
    <cfRule type="notContainsText" dxfId="1041" priority="209" operator="notContains" text="Caida">
      <formula>ISERROR(SEARCH("Caida",AJ121))</formula>
    </cfRule>
    <cfRule type="containsText" dxfId="1040" priority="210" operator="containsText" text="Caida">
      <formula>NOT(ISERROR(SEARCH("Caida",AJ121)))</formula>
    </cfRule>
  </conditionalFormatting>
  <conditionalFormatting sqref="AJ133">
    <cfRule type="cellIs" dxfId="1039" priority="207" operator="lessThan">
      <formula>0.8</formula>
    </cfRule>
    <cfRule type="cellIs" dxfId="1038" priority="208" operator="greaterThan">
      <formula>0.8</formula>
    </cfRule>
  </conditionalFormatting>
  <conditionalFormatting sqref="AJ133">
    <cfRule type="notContainsText" dxfId="1037" priority="205" operator="notContains" text="Caida">
      <formula>ISERROR(SEARCH("Caida",AJ133))</formula>
    </cfRule>
    <cfRule type="containsText" dxfId="1036" priority="206" operator="containsText" text="Caida">
      <formula>NOT(ISERROR(SEARCH("Caida",AJ133)))</formula>
    </cfRule>
  </conditionalFormatting>
  <conditionalFormatting sqref="AJ137">
    <cfRule type="cellIs" dxfId="1035" priority="203" operator="lessThan">
      <formula>0.8</formula>
    </cfRule>
    <cfRule type="cellIs" dxfId="1034" priority="204" operator="greaterThan">
      <formula>0.8</formula>
    </cfRule>
  </conditionalFormatting>
  <conditionalFormatting sqref="AJ137">
    <cfRule type="notContainsText" dxfId="1033" priority="201" operator="notContains" text="Caida">
      <formula>ISERROR(SEARCH("Caida",AJ137))</formula>
    </cfRule>
    <cfRule type="containsText" dxfId="1032" priority="202" operator="containsText" text="Caida">
      <formula>NOT(ISERROR(SEARCH("Caida",AJ137)))</formula>
    </cfRule>
  </conditionalFormatting>
  <conditionalFormatting sqref="AJ149">
    <cfRule type="cellIs" dxfId="1031" priority="199" operator="lessThan">
      <formula>0.8</formula>
    </cfRule>
    <cfRule type="cellIs" dxfId="1030" priority="200" operator="greaterThan">
      <formula>0.8</formula>
    </cfRule>
  </conditionalFormatting>
  <conditionalFormatting sqref="AJ149">
    <cfRule type="notContainsText" dxfId="1029" priority="197" operator="notContains" text="Caida">
      <formula>ISERROR(SEARCH("Caida",AJ149))</formula>
    </cfRule>
    <cfRule type="containsText" dxfId="1028" priority="198" operator="containsText" text="Caida">
      <formula>NOT(ISERROR(SEARCH("Caida",AJ149)))</formula>
    </cfRule>
  </conditionalFormatting>
  <conditionalFormatting sqref="AJ150">
    <cfRule type="cellIs" dxfId="1027" priority="195" operator="lessThan">
      <formula>0.8</formula>
    </cfRule>
    <cfRule type="cellIs" dxfId="1026" priority="196" operator="greaterThan">
      <formula>0.8</formula>
    </cfRule>
  </conditionalFormatting>
  <conditionalFormatting sqref="AJ150">
    <cfRule type="notContainsText" dxfId="1025" priority="193" operator="notContains" text="Caida">
      <formula>ISERROR(SEARCH("Caida",AJ150))</formula>
    </cfRule>
    <cfRule type="containsText" dxfId="1024" priority="194" operator="containsText" text="Caida">
      <formula>NOT(ISERROR(SEARCH("Caida",AJ150)))</formula>
    </cfRule>
  </conditionalFormatting>
  <conditionalFormatting sqref="AJ151">
    <cfRule type="cellIs" dxfId="1023" priority="191" operator="lessThan">
      <formula>0.8</formula>
    </cfRule>
    <cfRule type="cellIs" dxfId="1022" priority="192" operator="greaterThan">
      <formula>0.8</formula>
    </cfRule>
  </conditionalFormatting>
  <conditionalFormatting sqref="AJ151">
    <cfRule type="notContainsText" dxfId="1021" priority="189" operator="notContains" text="Caida">
      <formula>ISERROR(SEARCH("Caida",AJ151))</formula>
    </cfRule>
    <cfRule type="containsText" dxfId="1020" priority="190" operator="containsText" text="Caida">
      <formula>NOT(ISERROR(SEARCH("Caida",AJ151)))</formula>
    </cfRule>
  </conditionalFormatting>
  <conditionalFormatting sqref="AJ159">
    <cfRule type="cellIs" dxfId="1019" priority="187" operator="lessThan">
      <formula>0.8</formula>
    </cfRule>
    <cfRule type="cellIs" dxfId="1018" priority="188" operator="greaterThan">
      <formula>0.8</formula>
    </cfRule>
  </conditionalFormatting>
  <conditionalFormatting sqref="AJ159">
    <cfRule type="notContainsText" dxfId="1017" priority="185" operator="notContains" text="Caida">
      <formula>ISERROR(SEARCH("Caida",AJ159))</formula>
    </cfRule>
    <cfRule type="containsText" dxfId="1016" priority="186" operator="containsText" text="Caida">
      <formula>NOT(ISERROR(SEARCH("Caida",AJ159)))</formula>
    </cfRule>
  </conditionalFormatting>
  <conditionalFormatting sqref="AJ169">
    <cfRule type="cellIs" dxfId="1015" priority="183" operator="lessThan">
      <formula>0.8</formula>
    </cfRule>
    <cfRule type="cellIs" dxfId="1014" priority="184" operator="greaterThan">
      <formula>0.8</formula>
    </cfRule>
  </conditionalFormatting>
  <conditionalFormatting sqref="AJ169">
    <cfRule type="notContainsText" dxfId="1013" priority="181" operator="notContains" text="Caida">
      <formula>ISERROR(SEARCH("Caida",AJ169))</formula>
    </cfRule>
    <cfRule type="containsText" dxfId="1012" priority="182" operator="containsText" text="Caida">
      <formula>NOT(ISERROR(SEARCH("Caida",AJ169)))</formula>
    </cfRule>
  </conditionalFormatting>
  <conditionalFormatting sqref="AJ171">
    <cfRule type="cellIs" dxfId="1011" priority="179" operator="lessThan">
      <formula>0.8</formula>
    </cfRule>
    <cfRule type="cellIs" dxfId="1010" priority="180" operator="greaterThan">
      <formula>0.8</formula>
    </cfRule>
  </conditionalFormatting>
  <conditionalFormatting sqref="AJ171">
    <cfRule type="notContainsText" dxfId="1009" priority="177" operator="notContains" text="Caida">
      <formula>ISERROR(SEARCH("Caida",AJ171))</formula>
    </cfRule>
    <cfRule type="containsText" dxfId="1008" priority="178" operator="containsText" text="Caida">
      <formula>NOT(ISERROR(SEARCH("Caida",AJ171)))</formula>
    </cfRule>
  </conditionalFormatting>
  <conditionalFormatting sqref="AJ173">
    <cfRule type="cellIs" dxfId="1007" priority="175" operator="lessThan">
      <formula>0.8</formula>
    </cfRule>
    <cfRule type="cellIs" dxfId="1006" priority="176" operator="greaterThan">
      <formula>0.8</formula>
    </cfRule>
  </conditionalFormatting>
  <conditionalFormatting sqref="AJ173">
    <cfRule type="notContainsText" dxfId="1005" priority="173" operator="notContains" text="Caida">
      <formula>ISERROR(SEARCH("Caida",AJ173))</formula>
    </cfRule>
    <cfRule type="containsText" dxfId="1004" priority="174" operator="containsText" text="Caida">
      <formula>NOT(ISERROR(SEARCH("Caida",AJ173)))</formula>
    </cfRule>
  </conditionalFormatting>
  <conditionalFormatting sqref="AJ174">
    <cfRule type="cellIs" dxfId="1003" priority="171" operator="lessThan">
      <formula>0.8</formula>
    </cfRule>
    <cfRule type="cellIs" dxfId="1002" priority="172" operator="greaterThan">
      <formula>0.8</formula>
    </cfRule>
  </conditionalFormatting>
  <conditionalFormatting sqref="AJ174">
    <cfRule type="notContainsText" dxfId="1001" priority="169" operator="notContains" text="Caida">
      <formula>ISERROR(SEARCH("Caida",AJ174))</formula>
    </cfRule>
    <cfRule type="containsText" dxfId="1000" priority="170" operator="containsText" text="Caida">
      <formula>NOT(ISERROR(SEARCH("Caida",AJ174)))</formula>
    </cfRule>
  </conditionalFormatting>
  <conditionalFormatting sqref="AJ191">
    <cfRule type="cellIs" dxfId="999" priority="167" operator="lessThan">
      <formula>0.8</formula>
    </cfRule>
    <cfRule type="cellIs" dxfId="998" priority="168" operator="greaterThan">
      <formula>0.8</formula>
    </cfRule>
  </conditionalFormatting>
  <conditionalFormatting sqref="AJ191">
    <cfRule type="notContainsText" dxfId="997" priority="165" operator="notContains" text="Caida">
      <formula>ISERROR(SEARCH("Caida",AJ191))</formula>
    </cfRule>
    <cfRule type="containsText" dxfId="996" priority="166" operator="containsText" text="Caida">
      <formula>NOT(ISERROR(SEARCH("Caida",AJ191)))</formula>
    </cfRule>
  </conditionalFormatting>
  <conditionalFormatting sqref="AJ192">
    <cfRule type="cellIs" dxfId="995" priority="163" operator="lessThan">
      <formula>0.8</formula>
    </cfRule>
    <cfRule type="cellIs" dxfId="994" priority="164" operator="greaterThan">
      <formula>0.8</formula>
    </cfRule>
  </conditionalFormatting>
  <conditionalFormatting sqref="AJ192">
    <cfRule type="notContainsText" dxfId="993" priority="161" operator="notContains" text="Caida">
      <formula>ISERROR(SEARCH("Caida",AJ192))</formula>
    </cfRule>
    <cfRule type="containsText" dxfId="992" priority="162" operator="containsText" text="Caida">
      <formula>NOT(ISERROR(SEARCH("Caida",AJ192)))</formula>
    </cfRule>
  </conditionalFormatting>
  <conditionalFormatting sqref="AJ193">
    <cfRule type="cellIs" dxfId="991" priority="159" operator="lessThan">
      <formula>0.8</formula>
    </cfRule>
    <cfRule type="cellIs" dxfId="990" priority="160" operator="greaterThan">
      <formula>0.8</formula>
    </cfRule>
  </conditionalFormatting>
  <conditionalFormatting sqref="AJ193">
    <cfRule type="notContainsText" dxfId="989" priority="157" operator="notContains" text="Caida">
      <formula>ISERROR(SEARCH("Caida",AJ193))</formula>
    </cfRule>
    <cfRule type="containsText" dxfId="988" priority="158" operator="containsText" text="Caida">
      <formula>NOT(ISERROR(SEARCH("Caida",AJ193)))</formula>
    </cfRule>
  </conditionalFormatting>
  <conditionalFormatting sqref="AJ194">
    <cfRule type="cellIs" dxfId="987" priority="155" operator="lessThan">
      <formula>0.8</formula>
    </cfRule>
    <cfRule type="cellIs" dxfId="986" priority="156" operator="greaterThan">
      <formula>0.8</formula>
    </cfRule>
  </conditionalFormatting>
  <conditionalFormatting sqref="AJ194">
    <cfRule type="notContainsText" dxfId="985" priority="153" operator="notContains" text="Caida">
      <formula>ISERROR(SEARCH("Caida",AJ194))</formula>
    </cfRule>
    <cfRule type="containsText" dxfId="984" priority="154" operator="containsText" text="Caida">
      <formula>NOT(ISERROR(SEARCH("Caida",AJ194)))</formula>
    </cfRule>
  </conditionalFormatting>
  <conditionalFormatting sqref="AJ224">
    <cfRule type="cellIs" dxfId="983" priority="151" operator="lessThan">
      <formula>0.8</formula>
    </cfRule>
    <cfRule type="cellIs" dxfId="982" priority="152" operator="greaterThan">
      <formula>0.8</formula>
    </cfRule>
  </conditionalFormatting>
  <conditionalFormatting sqref="AJ224">
    <cfRule type="notContainsText" dxfId="981" priority="149" operator="notContains" text="Caida">
      <formula>ISERROR(SEARCH("Caida",AJ224))</formula>
    </cfRule>
    <cfRule type="containsText" dxfId="980" priority="150" operator="containsText" text="Caida">
      <formula>NOT(ISERROR(SEARCH("Caida",AJ224)))</formula>
    </cfRule>
  </conditionalFormatting>
  <conditionalFormatting sqref="AJ230">
    <cfRule type="cellIs" dxfId="979" priority="147" operator="lessThan">
      <formula>0.8</formula>
    </cfRule>
    <cfRule type="cellIs" dxfId="978" priority="148" operator="greaterThan">
      <formula>0.8</formula>
    </cfRule>
  </conditionalFormatting>
  <conditionalFormatting sqref="AJ230">
    <cfRule type="notContainsText" dxfId="977" priority="145" operator="notContains" text="Caida">
      <formula>ISERROR(SEARCH("Caida",AJ230))</formula>
    </cfRule>
    <cfRule type="containsText" dxfId="976" priority="146" operator="containsText" text="Caida">
      <formula>NOT(ISERROR(SEARCH("Caida",AJ230)))</formula>
    </cfRule>
  </conditionalFormatting>
  <conditionalFormatting sqref="AJ238">
    <cfRule type="cellIs" dxfId="975" priority="143" operator="lessThan">
      <formula>0.8</formula>
    </cfRule>
    <cfRule type="cellIs" dxfId="974" priority="144" operator="greaterThan">
      <formula>0.8</formula>
    </cfRule>
  </conditionalFormatting>
  <conditionalFormatting sqref="AJ238">
    <cfRule type="notContainsText" dxfId="973" priority="141" operator="notContains" text="Caida">
      <formula>ISERROR(SEARCH("Caida",AJ238))</formula>
    </cfRule>
    <cfRule type="containsText" dxfId="972" priority="142" operator="containsText" text="Caida">
      <formula>NOT(ISERROR(SEARCH("Caida",AJ238)))</formula>
    </cfRule>
  </conditionalFormatting>
  <conditionalFormatting sqref="AJ239">
    <cfRule type="cellIs" dxfId="971" priority="139" operator="lessThan">
      <formula>0.8</formula>
    </cfRule>
    <cfRule type="cellIs" dxfId="970" priority="140" operator="greaterThan">
      <formula>0.8</formula>
    </cfRule>
  </conditionalFormatting>
  <conditionalFormatting sqref="AJ239">
    <cfRule type="notContainsText" dxfId="969" priority="137" operator="notContains" text="Caida">
      <formula>ISERROR(SEARCH("Caida",AJ239))</formula>
    </cfRule>
    <cfRule type="containsText" dxfId="968" priority="138" operator="containsText" text="Caida">
      <formula>NOT(ISERROR(SEARCH("Caida",AJ239)))</formula>
    </cfRule>
  </conditionalFormatting>
  <conditionalFormatting sqref="AJ240">
    <cfRule type="cellIs" dxfId="967" priority="135" operator="lessThan">
      <formula>0.8</formula>
    </cfRule>
    <cfRule type="cellIs" dxfId="966" priority="136" operator="greaterThan">
      <formula>0.8</formula>
    </cfRule>
  </conditionalFormatting>
  <conditionalFormatting sqref="AJ240">
    <cfRule type="notContainsText" dxfId="965" priority="133" operator="notContains" text="Caida">
      <formula>ISERROR(SEARCH("Caida",AJ240))</formula>
    </cfRule>
    <cfRule type="containsText" dxfId="964" priority="134" operator="containsText" text="Caida">
      <formula>NOT(ISERROR(SEARCH("Caida",AJ240)))</formula>
    </cfRule>
  </conditionalFormatting>
  <conditionalFormatting sqref="AJ251">
    <cfRule type="cellIs" dxfId="963" priority="131" operator="lessThan">
      <formula>0.8</formula>
    </cfRule>
    <cfRule type="cellIs" dxfId="962" priority="132" operator="greaterThan">
      <formula>0.8</formula>
    </cfRule>
  </conditionalFormatting>
  <conditionalFormatting sqref="AJ251">
    <cfRule type="notContainsText" dxfId="961" priority="129" operator="notContains" text="Caida">
      <formula>ISERROR(SEARCH("Caida",AJ251))</formula>
    </cfRule>
    <cfRule type="containsText" dxfId="960" priority="130" operator="containsText" text="Caida">
      <formula>NOT(ISERROR(SEARCH("Caida",AJ251)))</formula>
    </cfRule>
  </conditionalFormatting>
  <conditionalFormatting sqref="AJ252">
    <cfRule type="cellIs" dxfId="959" priority="127" operator="lessThan">
      <formula>0.8</formula>
    </cfRule>
    <cfRule type="cellIs" dxfId="958" priority="128" operator="greaterThan">
      <formula>0.8</formula>
    </cfRule>
  </conditionalFormatting>
  <conditionalFormatting sqref="AJ252">
    <cfRule type="notContainsText" dxfId="957" priority="125" operator="notContains" text="Caida">
      <formula>ISERROR(SEARCH("Caida",AJ252))</formula>
    </cfRule>
    <cfRule type="containsText" dxfId="956" priority="126" operator="containsText" text="Caida">
      <formula>NOT(ISERROR(SEARCH("Caida",AJ252)))</formula>
    </cfRule>
  </conditionalFormatting>
  <conditionalFormatting sqref="AJ253">
    <cfRule type="cellIs" dxfId="955" priority="123" operator="lessThan">
      <formula>0.8</formula>
    </cfRule>
    <cfRule type="cellIs" dxfId="954" priority="124" operator="greaterThan">
      <formula>0.8</formula>
    </cfRule>
  </conditionalFormatting>
  <conditionalFormatting sqref="AJ253">
    <cfRule type="notContainsText" dxfId="953" priority="121" operator="notContains" text="Caida">
      <formula>ISERROR(SEARCH("Caida",AJ253))</formula>
    </cfRule>
    <cfRule type="containsText" dxfId="952" priority="122" operator="containsText" text="Caida">
      <formula>NOT(ISERROR(SEARCH("Caida",AJ253)))</formula>
    </cfRule>
  </conditionalFormatting>
  <conditionalFormatting sqref="AJ254">
    <cfRule type="cellIs" dxfId="951" priority="119" operator="lessThan">
      <formula>0.8</formula>
    </cfRule>
    <cfRule type="cellIs" dxfId="950" priority="120" operator="greaterThan">
      <formula>0.8</formula>
    </cfRule>
  </conditionalFormatting>
  <conditionalFormatting sqref="AJ254">
    <cfRule type="notContainsText" dxfId="949" priority="117" operator="notContains" text="Caida">
      <formula>ISERROR(SEARCH("Caida",AJ254))</formula>
    </cfRule>
    <cfRule type="containsText" dxfId="948" priority="118" operator="containsText" text="Caida">
      <formula>NOT(ISERROR(SEARCH("Caida",AJ254)))</formula>
    </cfRule>
  </conditionalFormatting>
  <conditionalFormatting sqref="AJ261">
    <cfRule type="cellIs" dxfId="947" priority="115" operator="lessThan">
      <formula>0.8</formula>
    </cfRule>
    <cfRule type="cellIs" dxfId="946" priority="116" operator="greaterThan">
      <formula>0.8</formula>
    </cfRule>
  </conditionalFormatting>
  <conditionalFormatting sqref="AJ261">
    <cfRule type="notContainsText" dxfId="945" priority="113" operator="notContains" text="Caida">
      <formula>ISERROR(SEARCH("Caida",AJ261))</formula>
    </cfRule>
    <cfRule type="containsText" dxfId="944" priority="114" operator="containsText" text="Caida">
      <formula>NOT(ISERROR(SEARCH("Caida",AJ261)))</formula>
    </cfRule>
  </conditionalFormatting>
  <conditionalFormatting sqref="AJ273">
    <cfRule type="cellIs" dxfId="943" priority="111" operator="lessThan">
      <formula>0.8</formula>
    </cfRule>
    <cfRule type="cellIs" dxfId="942" priority="112" operator="greaterThan">
      <formula>0.8</formula>
    </cfRule>
  </conditionalFormatting>
  <conditionalFormatting sqref="AJ273">
    <cfRule type="notContainsText" dxfId="941" priority="109" operator="notContains" text="Caida">
      <formula>ISERROR(SEARCH("Caida",AJ273))</formula>
    </cfRule>
    <cfRule type="containsText" dxfId="940" priority="110" operator="containsText" text="Caida">
      <formula>NOT(ISERROR(SEARCH("Caida",AJ273)))</formula>
    </cfRule>
  </conditionalFormatting>
  <conditionalFormatting sqref="AJ274">
    <cfRule type="cellIs" dxfId="939" priority="107" operator="lessThan">
      <formula>0.8</formula>
    </cfRule>
    <cfRule type="cellIs" dxfId="938" priority="108" operator="greaterThan">
      <formula>0.8</formula>
    </cfRule>
  </conditionalFormatting>
  <conditionalFormatting sqref="AJ274">
    <cfRule type="notContainsText" dxfId="937" priority="105" operator="notContains" text="Caida">
      <formula>ISERROR(SEARCH("Caida",AJ274))</formula>
    </cfRule>
    <cfRule type="containsText" dxfId="936" priority="106" operator="containsText" text="Caida">
      <formula>NOT(ISERROR(SEARCH("Caida",AJ274)))</formula>
    </cfRule>
  </conditionalFormatting>
  <conditionalFormatting sqref="AJ282">
    <cfRule type="cellIs" dxfId="935" priority="103" operator="lessThan">
      <formula>0.8</formula>
    </cfRule>
    <cfRule type="cellIs" dxfId="934" priority="104" operator="greaterThan">
      <formula>0.8</formula>
    </cfRule>
  </conditionalFormatting>
  <conditionalFormatting sqref="AJ282">
    <cfRule type="notContainsText" dxfId="933" priority="101" operator="notContains" text="Caida">
      <formula>ISERROR(SEARCH("Caida",AJ282))</formula>
    </cfRule>
    <cfRule type="containsText" dxfId="932" priority="102" operator="containsText" text="Caida">
      <formula>NOT(ISERROR(SEARCH("Caida",AJ282)))</formula>
    </cfRule>
  </conditionalFormatting>
  <conditionalFormatting sqref="AJ321">
    <cfRule type="cellIs" dxfId="931" priority="99" operator="lessThan">
      <formula>0.8</formula>
    </cfRule>
    <cfRule type="cellIs" dxfId="930" priority="100" operator="greaterThan">
      <formula>0.8</formula>
    </cfRule>
  </conditionalFormatting>
  <conditionalFormatting sqref="AJ321">
    <cfRule type="notContainsText" dxfId="929" priority="97" operator="notContains" text="Caida">
      <formula>ISERROR(SEARCH("Caida",AJ321))</formula>
    </cfRule>
    <cfRule type="containsText" dxfId="928" priority="98" operator="containsText" text="Caida">
      <formula>NOT(ISERROR(SEARCH("Caida",AJ321)))</formula>
    </cfRule>
  </conditionalFormatting>
  <conditionalFormatting sqref="AJ322">
    <cfRule type="cellIs" dxfId="927" priority="95" operator="lessThan">
      <formula>0.8</formula>
    </cfRule>
    <cfRule type="cellIs" dxfId="926" priority="96" operator="greaterThan">
      <formula>0.8</formula>
    </cfRule>
  </conditionalFormatting>
  <conditionalFormatting sqref="AJ322">
    <cfRule type="notContainsText" dxfId="925" priority="93" operator="notContains" text="Caida">
      <formula>ISERROR(SEARCH("Caida",AJ322))</formula>
    </cfRule>
    <cfRule type="containsText" dxfId="924" priority="94" operator="containsText" text="Caida">
      <formula>NOT(ISERROR(SEARCH("Caida",AJ322)))</formula>
    </cfRule>
  </conditionalFormatting>
  <conditionalFormatting sqref="AJ308">
    <cfRule type="cellIs" dxfId="923" priority="91" operator="lessThan">
      <formula>0.8</formula>
    </cfRule>
    <cfRule type="cellIs" dxfId="922" priority="92" operator="greaterThan">
      <formula>0.8</formula>
    </cfRule>
  </conditionalFormatting>
  <conditionalFormatting sqref="AJ308">
    <cfRule type="notContainsText" dxfId="921" priority="89" operator="notContains" text="Caida">
      <formula>ISERROR(SEARCH("Caida",AJ308))</formula>
    </cfRule>
    <cfRule type="containsText" dxfId="920" priority="90" operator="containsText" text="Caida">
      <formula>NOT(ISERROR(SEARCH("Caida",AJ308)))</formula>
    </cfRule>
  </conditionalFormatting>
  <conditionalFormatting sqref="AJ333">
    <cfRule type="cellIs" dxfId="919" priority="87" operator="lessThan">
      <formula>0.8</formula>
    </cfRule>
    <cfRule type="cellIs" dxfId="918" priority="88" operator="greaterThan">
      <formula>0.8</formula>
    </cfRule>
  </conditionalFormatting>
  <conditionalFormatting sqref="AJ333">
    <cfRule type="notContainsText" dxfId="917" priority="85" operator="notContains" text="Caida">
      <formula>ISERROR(SEARCH("Caida",AJ333))</formula>
    </cfRule>
    <cfRule type="containsText" dxfId="916" priority="86" operator="containsText" text="Caida">
      <formula>NOT(ISERROR(SEARCH("Caida",AJ333)))</formula>
    </cfRule>
  </conditionalFormatting>
  <conditionalFormatting sqref="AJ347">
    <cfRule type="cellIs" dxfId="915" priority="83" operator="lessThan">
      <formula>0.8</formula>
    </cfRule>
    <cfRule type="cellIs" dxfId="914" priority="84" operator="greaterThan">
      <formula>0.8</formula>
    </cfRule>
  </conditionalFormatting>
  <conditionalFormatting sqref="AJ347">
    <cfRule type="notContainsText" dxfId="913" priority="81" operator="notContains" text="Caida">
      <formula>ISERROR(SEARCH("Caida",AJ347))</formula>
    </cfRule>
    <cfRule type="containsText" dxfId="912" priority="82" operator="containsText" text="Caida">
      <formula>NOT(ISERROR(SEARCH("Caida",AJ347)))</formula>
    </cfRule>
  </conditionalFormatting>
  <conditionalFormatting sqref="AJ348">
    <cfRule type="cellIs" dxfId="911" priority="79" operator="lessThan">
      <formula>0.8</formula>
    </cfRule>
    <cfRule type="cellIs" dxfId="910" priority="80" operator="greaterThan">
      <formula>0.8</formula>
    </cfRule>
  </conditionalFormatting>
  <conditionalFormatting sqref="AJ348">
    <cfRule type="notContainsText" dxfId="909" priority="77" operator="notContains" text="Caida">
      <formula>ISERROR(SEARCH("Caida",AJ348))</formula>
    </cfRule>
    <cfRule type="containsText" dxfId="908" priority="78" operator="containsText" text="Caida">
      <formula>NOT(ISERROR(SEARCH("Caida",AJ348)))</formula>
    </cfRule>
  </conditionalFormatting>
  <conditionalFormatting sqref="AJ349">
    <cfRule type="cellIs" dxfId="907" priority="75" operator="lessThan">
      <formula>0.8</formula>
    </cfRule>
    <cfRule type="cellIs" dxfId="906" priority="76" operator="greaterThan">
      <formula>0.8</formula>
    </cfRule>
  </conditionalFormatting>
  <conditionalFormatting sqref="AJ349">
    <cfRule type="notContainsText" dxfId="905" priority="73" operator="notContains" text="Caida">
      <formula>ISERROR(SEARCH("Caida",AJ349))</formula>
    </cfRule>
    <cfRule type="containsText" dxfId="904" priority="74" operator="containsText" text="Caida">
      <formula>NOT(ISERROR(SEARCH("Caida",AJ349)))</formula>
    </cfRule>
  </conditionalFormatting>
  <conditionalFormatting sqref="AJ350">
    <cfRule type="cellIs" dxfId="903" priority="71" operator="lessThan">
      <formula>0.8</formula>
    </cfRule>
    <cfRule type="cellIs" dxfId="902" priority="72" operator="greaterThan">
      <formula>0.8</formula>
    </cfRule>
  </conditionalFormatting>
  <conditionalFormatting sqref="AJ350">
    <cfRule type="notContainsText" dxfId="901" priority="69" operator="notContains" text="Caida">
      <formula>ISERROR(SEARCH("Caida",AJ350))</formula>
    </cfRule>
    <cfRule type="containsText" dxfId="900" priority="70" operator="containsText" text="Caida">
      <formula>NOT(ISERROR(SEARCH("Caida",AJ350)))</formula>
    </cfRule>
  </conditionalFormatting>
  <conditionalFormatting sqref="AJ351">
    <cfRule type="cellIs" dxfId="899" priority="67" operator="lessThan">
      <formula>0.8</formula>
    </cfRule>
    <cfRule type="cellIs" dxfId="898" priority="68" operator="greaterThan">
      <formula>0.8</formula>
    </cfRule>
  </conditionalFormatting>
  <conditionalFormatting sqref="AJ351">
    <cfRule type="notContainsText" dxfId="897" priority="65" operator="notContains" text="Caida">
      <formula>ISERROR(SEARCH("Caida",AJ351))</formula>
    </cfRule>
    <cfRule type="containsText" dxfId="896" priority="66" operator="containsText" text="Caida">
      <formula>NOT(ISERROR(SEARCH("Caida",AJ351)))</formula>
    </cfRule>
  </conditionalFormatting>
  <conditionalFormatting sqref="AJ369">
    <cfRule type="cellIs" dxfId="895" priority="63" operator="lessThan">
      <formula>0.8</formula>
    </cfRule>
    <cfRule type="cellIs" dxfId="894" priority="64" operator="greaterThan">
      <formula>0.8</formula>
    </cfRule>
  </conditionalFormatting>
  <conditionalFormatting sqref="AJ369">
    <cfRule type="notContainsText" dxfId="893" priority="61" operator="notContains" text="Caida">
      <formula>ISERROR(SEARCH("Caida",AJ369))</formula>
    </cfRule>
    <cfRule type="containsText" dxfId="892" priority="62" operator="containsText" text="Caida">
      <formula>NOT(ISERROR(SEARCH("Caida",AJ369)))</formula>
    </cfRule>
  </conditionalFormatting>
  <conditionalFormatting sqref="AJ204">
    <cfRule type="cellIs" dxfId="891" priority="59" operator="lessThan">
      <formula>0.8</formula>
    </cfRule>
    <cfRule type="cellIs" dxfId="890" priority="60" operator="greaterThan">
      <formula>0.8</formula>
    </cfRule>
  </conditionalFormatting>
  <conditionalFormatting sqref="AJ204">
    <cfRule type="notContainsText" dxfId="889" priority="57" operator="notContains" text="Caida">
      <formula>ISERROR(SEARCH("Caida",AJ204))</formula>
    </cfRule>
    <cfRule type="containsText" dxfId="888" priority="58" operator="containsText" text="Caida">
      <formula>NOT(ISERROR(SEARCH("Caida",AJ204)))</formula>
    </cfRule>
  </conditionalFormatting>
  <conditionalFormatting sqref="AJ197">
    <cfRule type="cellIs" dxfId="887" priority="55" operator="lessThan">
      <formula>0.8</formula>
    </cfRule>
    <cfRule type="cellIs" dxfId="886" priority="56" operator="greaterThan">
      <formula>0.8</formula>
    </cfRule>
  </conditionalFormatting>
  <conditionalFormatting sqref="AJ197">
    <cfRule type="notContainsText" dxfId="885" priority="53" operator="notContains" text="Caida">
      <formula>ISERROR(SEARCH("Caida",AJ197))</formula>
    </cfRule>
    <cfRule type="containsText" dxfId="884" priority="54" operator="containsText" text="Caida">
      <formula>NOT(ISERROR(SEARCH("Caida",AJ197)))</formula>
    </cfRule>
  </conditionalFormatting>
  <conditionalFormatting sqref="AJ206">
    <cfRule type="cellIs" dxfId="883" priority="51" operator="lessThan">
      <formula>0.8</formula>
    </cfRule>
    <cfRule type="cellIs" dxfId="882" priority="52" operator="greaterThan">
      <formula>0.8</formula>
    </cfRule>
  </conditionalFormatting>
  <conditionalFormatting sqref="AJ206">
    <cfRule type="notContainsText" dxfId="881" priority="49" operator="notContains" text="Caida">
      <formula>ISERROR(SEARCH("Caida",AJ206))</formula>
    </cfRule>
    <cfRule type="containsText" dxfId="880" priority="50" operator="containsText" text="Caida">
      <formula>NOT(ISERROR(SEARCH("Caida",AJ206)))</formula>
    </cfRule>
  </conditionalFormatting>
  <conditionalFormatting sqref="AJ5">
    <cfRule type="cellIs" dxfId="879" priority="47" operator="lessThan">
      <formula>0.8</formula>
    </cfRule>
    <cfRule type="cellIs" dxfId="878" priority="48" operator="greaterThan">
      <formula>0.8</formula>
    </cfRule>
  </conditionalFormatting>
  <conditionalFormatting sqref="AJ5">
    <cfRule type="notContainsText" dxfId="877" priority="45" operator="notContains" text="Caida">
      <formula>ISERROR(SEARCH("Caida",AJ5))</formula>
    </cfRule>
    <cfRule type="containsText" dxfId="876" priority="46" operator="containsText" text="Caida">
      <formula>NOT(ISERROR(SEARCH("Caida",AJ5)))</formula>
    </cfRule>
  </conditionalFormatting>
  <conditionalFormatting sqref="AJ279">
    <cfRule type="cellIs" dxfId="875" priority="43" operator="lessThan">
      <formula>0.8</formula>
    </cfRule>
    <cfRule type="cellIs" dxfId="874" priority="44" operator="greaterThan">
      <formula>0.8</formula>
    </cfRule>
  </conditionalFormatting>
  <conditionalFormatting sqref="AJ279">
    <cfRule type="notContainsText" dxfId="873" priority="41" operator="notContains" text="Caida">
      <formula>ISERROR(SEARCH("Caida",AJ279))</formula>
    </cfRule>
    <cfRule type="containsText" dxfId="872" priority="42" operator="containsText" text="Caida">
      <formula>NOT(ISERROR(SEARCH("Caida",AJ279)))</formula>
    </cfRule>
  </conditionalFormatting>
  <conditionalFormatting sqref="R371:T372">
    <cfRule type="cellIs" dxfId="871" priority="38" operator="lessThan">
      <formula>0.8</formula>
    </cfRule>
    <cfRule type="cellIs" dxfId="870" priority="39" operator="greaterThan">
      <formula>0.8</formula>
    </cfRule>
  </conditionalFormatting>
  <conditionalFormatting sqref="R371:T372">
    <cfRule type="notContainsText" dxfId="869" priority="36" operator="notContains" text="Caida">
      <formula>ISERROR(SEARCH("Caida",R371))</formula>
    </cfRule>
    <cfRule type="containsText" dxfId="868" priority="37" operator="containsText" text="Caida">
      <formula>NOT(ISERROR(SEARCH("Caida",R371)))</formula>
    </cfRule>
  </conditionalFormatting>
  <conditionalFormatting sqref="AC371:AH372">
    <cfRule type="cellIs" dxfId="867" priority="34" operator="lessThan">
      <formula>0.8</formula>
    </cfRule>
    <cfRule type="cellIs" dxfId="866" priority="35" operator="greaterThan">
      <formula>0.8</formula>
    </cfRule>
  </conditionalFormatting>
  <conditionalFormatting sqref="AC371:AH372">
    <cfRule type="notContainsText" dxfId="865" priority="32" operator="notContains" text="Caida">
      <formula>ISERROR(SEARCH("Caida",AC371))</formula>
    </cfRule>
    <cfRule type="containsText" dxfId="864" priority="33" operator="containsText" text="Caida">
      <formula>NOT(ISERROR(SEARCH("Caida",AC371)))</formula>
    </cfRule>
  </conditionalFormatting>
  <conditionalFormatting sqref="O6:O92">
    <cfRule type="cellIs" dxfId="863" priority="26" operator="lessThan">
      <formula>0.8</formula>
    </cfRule>
    <cfRule type="cellIs" dxfId="862" priority="27" operator="greaterThan">
      <formula>0.8</formula>
    </cfRule>
  </conditionalFormatting>
  <conditionalFormatting sqref="O6:O92">
    <cfRule type="notContainsText" dxfId="861" priority="24" operator="notContains" text="Caida">
      <formula>ISERROR(SEARCH("Caida",O6))</formula>
    </cfRule>
    <cfRule type="containsText" dxfId="860" priority="25" operator="containsText" text="Caida">
      <formula>NOT(ISERROR(SEARCH("Caida",O6)))</formula>
    </cfRule>
  </conditionalFormatting>
  <conditionalFormatting sqref="O22">
    <cfRule type="containsText" dxfId="859" priority="23" operator="containsText" text="Instaladas en Funcionamiento Caida">
      <formula>NOT(ISERROR(SEARCH("Instaladas en Funcionamiento Caida",O22)))</formula>
    </cfRule>
  </conditionalFormatting>
  <conditionalFormatting sqref="O5">
    <cfRule type="cellIs" dxfId="858" priority="21" operator="lessThan">
      <formula>0.8</formula>
    </cfRule>
    <cfRule type="cellIs" dxfId="857" priority="22" operator="greaterThan">
      <formula>0.8</formula>
    </cfRule>
  </conditionalFormatting>
  <conditionalFormatting sqref="O5">
    <cfRule type="notContainsText" dxfId="856" priority="19" operator="notContains" text="Caida">
      <formula>ISERROR(SEARCH("Caida",O5))</formula>
    </cfRule>
    <cfRule type="containsText" dxfId="855" priority="20" operator="containsText" text="Caida">
      <formula>NOT(ISERROR(SEARCH("Caida",O5)))</formula>
    </cfRule>
  </conditionalFormatting>
  <conditionalFormatting sqref="O93:O94">
    <cfRule type="cellIs" dxfId="854" priority="17" operator="lessThan">
      <formula>0.8</formula>
    </cfRule>
    <cfRule type="cellIs" dxfId="853" priority="18" operator="greaterThan">
      <formula>0.8</formula>
    </cfRule>
  </conditionalFormatting>
  <conditionalFormatting sqref="O93:O94">
    <cfRule type="notContainsText" dxfId="852" priority="15" operator="notContains" text="Caida">
      <formula>ISERROR(SEARCH("Caida",O93))</formula>
    </cfRule>
    <cfRule type="containsText" dxfId="851" priority="16" operator="containsText" text="Caida">
      <formula>NOT(ISERROR(SEARCH("Caida",O93)))</formula>
    </cfRule>
  </conditionalFormatting>
  <conditionalFormatting sqref="AQ6:AS92">
    <cfRule type="cellIs" dxfId="850" priority="8" operator="lessThan">
      <formula>0.8</formula>
    </cfRule>
    <cfRule type="cellIs" dxfId="849" priority="9" operator="greaterThan">
      <formula>0.8</formula>
    </cfRule>
  </conditionalFormatting>
  <conditionalFormatting sqref="AQ6:AS92">
    <cfRule type="notContainsText" dxfId="848" priority="6" operator="notContains" text="Caida">
      <formula>ISERROR(SEARCH("Caida",AQ6))</formula>
    </cfRule>
    <cfRule type="containsText" dxfId="847" priority="7" operator="containsText" text="Caida">
      <formula>NOT(ISERROR(SEARCH("Caida",AQ6)))</formula>
    </cfRule>
  </conditionalFormatting>
  <conditionalFormatting sqref="AQ93:AS94">
    <cfRule type="cellIs" dxfId="846" priority="4" operator="lessThan">
      <formula>0.8</formula>
    </cfRule>
    <cfRule type="cellIs" dxfId="845" priority="5" operator="greaterThan">
      <formula>0.8</formula>
    </cfRule>
  </conditionalFormatting>
  <conditionalFormatting sqref="AQ93:AS94">
    <cfRule type="notContainsText" dxfId="844" priority="2" operator="notContains" text="Caida">
      <formula>ISERROR(SEARCH("Caida",AQ93))</formula>
    </cfRule>
    <cfRule type="containsText" dxfId="843" priority="3" operator="containsText" text="Caida">
      <formula>NOT(ISERROR(SEARCH("Caida",AQ93)))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1312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>
        <f>'RESUMEN TOTAL'!A160</f>
        <v>0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TOTAL'!A247</f>
        <v>SAN JORGE</v>
      </c>
      <c r="B242" t="str">
        <f>'RESUMEN TOTAL'!C247</f>
        <v>SJO 03</v>
      </c>
      <c r="C242" t="str">
        <f>'RESUMEN TOTAL'!D247</f>
        <v>517 Y 580</v>
      </c>
      <c r="D242" t="str">
        <f>'RESUMEN TOTAL'!E247</f>
        <v>DOMO</v>
      </c>
      <c r="E242" t="str">
        <f>'RESUMEN TOTAL'!F247</f>
        <v>Radio</v>
      </c>
      <c r="F242">
        <f>'RESUMEN TOTAL'!O247</f>
        <v>0</v>
      </c>
      <c r="G242">
        <f>'RESUMEN TOTAL'!P247</f>
        <v>0</v>
      </c>
      <c r="H242">
        <f>'RESUMEN TOTAL'!Q247</f>
        <v>0</v>
      </c>
      <c r="I242">
        <f>'RESUMEN TOTAL'!R247</f>
        <v>0</v>
      </c>
      <c r="J242">
        <f>'RESUMEN TOTAL'!S247</f>
        <v>0</v>
      </c>
      <c r="K242">
        <f>'RESUMEN TOTAL'!T247</f>
        <v>0</v>
      </c>
      <c r="L242">
        <f>'RESUMEN TOTAL'!U247</f>
        <v>0</v>
      </c>
      <c r="M242">
        <f>'RESUMEN TOTAL'!V247</f>
        <v>0</v>
      </c>
      <c r="N242">
        <f>'RESUMEN TOTAL'!W247</f>
        <v>0</v>
      </c>
      <c r="O242">
        <f>'RESUMEN TOTAL'!X247</f>
        <v>0</v>
      </c>
      <c r="P242">
        <f>'RESUMEN TOTAL'!Y247</f>
        <v>0</v>
      </c>
      <c r="Q242">
        <f>'RESUMEN TOTAL'!Z247</f>
        <v>0</v>
      </c>
      <c r="R242">
        <f>'RESUMEN TOTAL'!AA247</f>
        <v>0</v>
      </c>
      <c r="S242">
        <f>'RESUMEN TOTAL'!AB247</f>
        <v>0</v>
      </c>
      <c r="T242">
        <f>'RESUMEN TOTAL'!AC247</f>
        <v>0</v>
      </c>
      <c r="U242">
        <f>'RESUMEN TOTAL'!AD247</f>
        <v>0</v>
      </c>
      <c r="V242">
        <f>'RESUMEN TOTAL'!AE247</f>
        <v>0</v>
      </c>
      <c r="W242">
        <f>'RESUMEN TOTAL'!AF247</f>
        <v>0</v>
      </c>
      <c r="X242">
        <f>'RESUMEN TOTAL'!AG247</f>
        <v>0</v>
      </c>
      <c r="Y242">
        <f>'RESUMEN TOTAL'!AH247</f>
        <v>0</v>
      </c>
      <c r="Z242">
        <f>'RESUMEN TOTAL'!AI247</f>
        <v>0</v>
      </c>
      <c r="AA242">
        <f>'RESUMEN TOTAL'!AJ247</f>
        <v>0</v>
      </c>
      <c r="AB242">
        <f>'RESUMEN TOTAL'!AK247</f>
        <v>0</v>
      </c>
      <c r="AC242">
        <f>'RESUMEN TOTAL'!AL247</f>
        <v>0</v>
      </c>
      <c r="AD242">
        <f>'RESUMEN TOTAL'!AM247</f>
        <v>0</v>
      </c>
      <c r="AE242">
        <f>'RESUMEN TOTAL'!AN247</f>
        <v>0</v>
      </c>
      <c r="AF242">
        <f>'RESUMEN TOTAL'!AO247</f>
        <v>0</v>
      </c>
      <c r="AG242">
        <f>'RESUMEN TOTAL'!AP247</f>
        <v>0</v>
      </c>
    </row>
    <row r="243" spans="1:33" x14ac:dyDescent="0.3">
      <c r="A243" t="str">
        <f>'RESUMEN TOTAL'!A248</f>
        <v>SAN JORGE</v>
      </c>
      <c r="B243" t="str">
        <f>'RESUMEN TOTAL'!C248</f>
        <v>SJO 04</v>
      </c>
      <c r="C243" t="str">
        <f>'RESUMEN TOTAL'!D248</f>
        <v>552 Y 519</v>
      </c>
      <c r="D243" t="str">
        <f>'RESUMEN TOTAL'!E248</f>
        <v>DOMO</v>
      </c>
      <c r="E243" t="str">
        <f>'RESUMEN TOTAL'!F248</f>
        <v>Radio</v>
      </c>
      <c r="F243">
        <f>'RESUMEN TOTAL'!O248</f>
        <v>0</v>
      </c>
      <c r="G243">
        <f>'RESUMEN TOTAL'!P248</f>
        <v>0</v>
      </c>
      <c r="H243">
        <f>'RESUMEN TOTAL'!Q248</f>
        <v>0</v>
      </c>
      <c r="I243">
        <f>'RESUMEN TOTAL'!R248</f>
        <v>0</v>
      </c>
      <c r="J243">
        <f>'RESUMEN TOTAL'!S248</f>
        <v>0</v>
      </c>
      <c r="K243">
        <f>'RESUMEN TOTAL'!T248</f>
        <v>0</v>
      </c>
      <c r="L243">
        <f>'RESUMEN TOTAL'!U248</f>
        <v>0</v>
      </c>
      <c r="M243">
        <f>'RESUMEN TOTAL'!V248</f>
        <v>0</v>
      </c>
      <c r="N243">
        <f>'RESUMEN TOTAL'!W248</f>
        <v>0</v>
      </c>
      <c r="O243">
        <f>'RESUMEN TOTAL'!X248</f>
        <v>0</v>
      </c>
      <c r="P243">
        <f>'RESUMEN TOTAL'!Y248</f>
        <v>0</v>
      </c>
      <c r="Q243">
        <f>'RESUMEN TOTAL'!Z248</f>
        <v>0</v>
      </c>
      <c r="R243">
        <f>'RESUMEN TOTAL'!AA248</f>
        <v>0</v>
      </c>
      <c r="S243">
        <f>'RESUMEN TOTAL'!AB248</f>
        <v>0</v>
      </c>
      <c r="T243">
        <f>'RESUMEN TOTAL'!AC248</f>
        <v>0</v>
      </c>
      <c r="U243">
        <f>'RESUMEN TOTAL'!AD248</f>
        <v>0</v>
      </c>
      <c r="V243">
        <f>'RESUMEN TOTAL'!AE248</f>
        <v>0</v>
      </c>
      <c r="W243">
        <f>'RESUMEN TOTAL'!AF248</f>
        <v>0</v>
      </c>
      <c r="X243">
        <f>'RESUMEN TOTAL'!AG248</f>
        <v>0</v>
      </c>
      <c r="Y243">
        <f>'RESUMEN TOTAL'!AH248</f>
        <v>0</v>
      </c>
      <c r="Z243">
        <f>'RESUMEN TOTAL'!AI248</f>
        <v>0</v>
      </c>
      <c r="AA243">
        <f>'RESUMEN TOTAL'!AJ248</f>
        <v>0</v>
      </c>
      <c r="AB243">
        <f>'RESUMEN TOTAL'!AK248</f>
        <v>0</v>
      </c>
      <c r="AC243">
        <f>'RESUMEN TOTAL'!AL248</f>
        <v>0</v>
      </c>
      <c r="AD243">
        <f>'RESUMEN TOTAL'!AM248</f>
        <v>0</v>
      </c>
      <c r="AE243">
        <f>'RESUMEN TOTAL'!AN248</f>
        <v>0</v>
      </c>
      <c r="AF243">
        <f>'RESUMEN TOTAL'!AO248</f>
        <v>0</v>
      </c>
      <c r="AG243">
        <f>'RESUMEN TOTAL'!AP248</f>
        <v>0</v>
      </c>
    </row>
    <row r="244" spans="1:33" x14ac:dyDescent="0.3">
      <c r="A244" t="str">
        <f>'RESUMEN TOTAL'!A249</f>
        <v>SAN JORGE</v>
      </c>
      <c r="B244" t="str">
        <f>'RESUMEN TOTAL'!C249</f>
        <v>SJO01</v>
      </c>
      <c r="C244" t="str">
        <f>'RESUMEN TOTAL'!D249</f>
        <v>Calle 554 y 527</v>
      </c>
      <c r="D244" t="str">
        <f>'RESUMEN TOTAL'!E249</f>
        <v>Domo</v>
      </c>
      <c r="E244" t="str">
        <f>'RESUMEN TOTAL'!F249</f>
        <v>Radio</v>
      </c>
      <c r="F244">
        <f>'RESUMEN TOTAL'!O249</f>
        <v>0</v>
      </c>
      <c r="G244">
        <f>'RESUMEN TOTAL'!P249</f>
        <v>0</v>
      </c>
      <c r="H244">
        <f>'RESUMEN TOTAL'!Q249</f>
        <v>0</v>
      </c>
      <c r="I244">
        <f>'RESUMEN TOTAL'!R249</f>
        <v>0</v>
      </c>
      <c r="J244">
        <f>'RESUMEN TOTAL'!S249</f>
        <v>0</v>
      </c>
      <c r="K244">
        <f>'RESUMEN TOTAL'!T249</f>
        <v>0</v>
      </c>
      <c r="L244">
        <f>'RESUMEN TOTAL'!U249</f>
        <v>0</v>
      </c>
      <c r="M244">
        <f>'RESUMEN TOTAL'!V249</f>
        <v>0</v>
      </c>
      <c r="N244">
        <f>'RESUMEN TOTAL'!W249</f>
        <v>0</v>
      </c>
      <c r="O244">
        <f>'RESUMEN TOTAL'!X249</f>
        <v>0</v>
      </c>
      <c r="P244">
        <f>'RESUMEN TOTAL'!Y249</f>
        <v>0</v>
      </c>
      <c r="Q244">
        <f>'RESUMEN TOTAL'!Z249</f>
        <v>0</v>
      </c>
      <c r="R244">
        <f>'RESUMEN TOTAL'!AA249</f>
        <v>0</v>
      </c>
      <c r="S244">
        <f>'RESUMEN TOTAL'!AB249</f>
        <v>0</v>
      </c>
      <c r="T244">
        <f>'RESUMEN TOTAL'!AC249</f>
        <v>0</v>
      </c>
      <c r="U244">
        <f>'RESUMEN TOTAL'!AD249</f>
        <v>0</v>
      </c>
      <c r="V244">
        <f>'RESUMEN TOTAL'!AE249</f>
        <v>0</v>
      </c>
      <c r="W244">
        <f>'RESUMEN TOTAL'!AF249</f>
        <v>0</v>
      </c>
      <c r="X244">
        <f>'RESUMEN TOTAL'!AG249</f>
        <v>0</v>
      </c>
      <c r="Y244">
        <f>'RESUMEN TOTAL'!AH249</f>
        <v>0</v>
      </c>
      <c r="Z244">
        <f>'RESUMEN TOTAL'!AI249</f>
        <v>0</v>
      </c>
      <c r="AA244">
        <f>'RESUMEN TOTAL'!AJ249</f>
        <v>0</v>
      </c>
      <c r="AB244">
        <f>'RESUMEN TOTAL'!AK249</f>
        <v>0</v>
      </c>
      <c r="AC244">
        <f>'RESUMEN TOTAL'!AL249</f>
        <v>0</v>
      </c>
      <c r="AD244">
        <f>'RESUMEN TOTAL'!AM249</f>
        <v>0</v>
      </c>
      <c r="AE244">
        <f>'RESUMEN TOTAL'!AN249</f>
        <v>0</v>
      </c>
      <c r="AF244">
        <f>'RESUMEN TOTAL'!AO249</f>
        <v>0</v>
      </c>
      <c r="AG244">
        <f>'RESUMEN TOTAL'!AP249</f>
        <v>0</v>
      </c>
    </row>
    <row r="245" spans="1:33" x14ac:dyDescent="0.3">
      <c r="A245" t="str">
        <f>'RESUMEN TOTAL'!A250</f>
        <v>SAN JORGE</v>
      </c>
      <c r="B245" t="str">
        <f>'RESUMEN TOTAL'!C250</f>
        <v>SJO02</v>
      </c>
      <c r="C245" t="str">
        <f>'RESUMEN TOTAL'!D250</f>
        <v>Calle 554 y 511</v>
      </c>
      <c r="D245" t="str">
        <f>'RESUMEN TOTAL'!E250</f>
        <v>Domo</v>
      </c>
      <c r="E245" t="str">
        <f>'RESUMEN TOTAL'!F250</f>
        <v>Radio</v>
      </c>
      <c r="F245">
        <f>'RESUMEN TOTAL'!O250</f>
        <v>0</v>
      </c>
      <c r="G245">
        <f>'RESUMEN TOTAL'!P250</f>
        <v>0</v>
      </c>
      <c r="H245">
        <f>'RESUMEN TOTAL'!Q250</f>
        <v>0</v>
      </c>
      <c r="I245">
        <f>'RESUMEN TOTAL'!R250</f>
        <v>0</v>
      </c>
      <c r="J245" t="str">
        <f>'RESUMEN TOTAL'!S250</f>
        <v>APAGADO</v>
      </c>
      <c r="K245">
        <f>'RESUMEN TOTAL'!T250</f>
        <v>0</v>
      </c>
      <c r="L245">
        <f>'RESUMEN TOTAL'!U250</f>
        <v>0</v>
      </c>
      <c r="M245">
        <f>'RESUMEN TOTAL'!V250</f>
        <v>0</v>
      </c>
      <c r="N245">
        <f>'RESUMEN TOTAL'!W250</f>
        <v>0</v>
      </c>
      <c r="O245">
        <f>'RESUMEN TOTAL'!X250</f>
        <v>0</v>
      </c>
      <c r="P245">
        <f>'RESUMEN TOTAL'!Y250</f>
        <v>0</v>
      </c>
      <c r="Q245">
        <f>'RESUMEN TOTAL'!Z250</f>
        <v>0</v>
      </c>
      <c r="R245">
        <f>'RESUMEN TOTAL'!AA250</f>
        <v>0</v>
      </c>
      <c r="S245">
        <f>'RESUMEN TOTAL'!AB250</f>
        <v>0</v>
      </c>
      <c r="T245">
        <f>'RESUMEN TOTAL'!AC250</f>
        <v>0</v>
      </c>
      <c r="U245">
        <f>'RESUMEN TOTAL'!AD250</f>
        <v>0</v>
      </c>
      <c r="V245">
        <f>'RESUMEN TOTAL'!AE250</f>
        <v>0</v>
      </c>
      <c r="W245">
        <f>'RESUMEN TOTAL'!AF250</f>
        <v>0</v>
      </c>
      <c r="X245">
        <f>'RESUMEN TOTAL'!AG250</f>
        <v>0</v>
      </c>
      <c r="Y245">
        <f>'RESUMEN TOTAL'!AH250</f>
        <v>0</v>
      </c>
      <c r="Z245">
        <f>'RESUMEN TOTAL'!AI250</f>
        <v>0</v>
      </c>
      <c r="AA245">
        <f>'RESUMEN TOTAL'!AJ250</f>
        <v>0</v>
      </c>
      <c r="AB245">
        <f>'RESUMEN TOTAL'!AK250</f>
        <v>0</v>
      </c>
      <c r="AC245">
        <f>'RESUMEN TOTAL'!AL250</f>
        <v>0</v>
      </c>
      <c r="AD245">
        <f>'RESUMEN TOTAL'!AM250</f>
        <v>0</v>
      </c>
      <c r="AE245">
        <f>'RESUMEN TOTAL'!AN250</f>
        <v>0</v>
      </c>
      <c r="AF245">
        <f>'RESUMEN TOTAL'!AO250</f>
        <v>0</v>
      </c>
      <c r="AG245">
        <f>'RESUMEN TOTAL'!AP250</f>
        <v>0</v>
      </c>
    </row>
    <row r="246" spans="1:33" x14ac:dyDescent="0.3">
      <c r="A246" t="str">
        <f>'RESUMEN TOTAL'!A251</f>
        <v>SAN JORGE</v>
      </c>
      <c r="B246" t="str">
        <f>'RESUMEN TOTAL'!C251</f>
        <v>SJO05 (fija 1)</v>
      </c>
      <c r="C246" t="str">
        <f>'RESUMEN TOTAL'!D251</f>
        <v>511 Y 560</v>
      </c>
      <c r="D246" t="str">
        <f>'RESUMEN TOTAL'!E251</f>
        <v>Fija</v>
      </c>
      <c r="E246" t="str">
        <f>'RESUMEN TOTAL'!F251</f>
        <v>Fibra Optica</v>
      </c>
      <c r="F246" t="str">
        <f>'RESUMEN TOTAL'!O251</f>
        <v>APAGADO</v>
      </c>
      <c r="G246" t="str">
        <f>'RESUMEN TOTAL'!P251</f>
        <v>APAGADO</v>
      </c>
      <c r="H246" t="str">
        <f>'RESUMEN TOTAL'!Q251</f>
        <v>APAGADO</v>
      </c>
      <c r="I246" t="str">
        <f>'RESUMEN TOTAL'!R251</f>
        <v>APAGADO</v>
      </c>
      <c r="J246" t="str">
        <f>'RESUMEN TOTAL'!S251</f>
        <v>APAGADO</v>
      </c>
      <c r="K246" t="str">
        <f>'RESUMEN TOTAL'!T251</f>
        <v>APAGADO</v>
      </c>
      <c r="L246" t="str">
        <f>'RESUMEN TOTAL'!U251</f>
        <v>APAGADO</v>
      </c>
      <c r="M246" t="str">
        <f>'RESUMEN TOTAL'!V251</f>
        <v>APAGADO</v>
      </c>
      <c r="N246" t="str">
        <f>'RESUMEN TOTAL'!W251</f>
        <v>APAGADO</v>
      </c>
      <c r="O246" t="str">
        <f>'RESUMEN TOTAL'!X251</f>
        <v>APAGADO</v>
      </c>
      <c r="P246" t="str">
        <f>'RESUMEN TOTAL'!Y251</f>
        <v>APAGADO</v>
      </c>
      <c r="Q246" t="str">
        <f>'RESUMEN TOTAL'!Z251</f>
        <v>APAGADO</v>
      </c>
      <c r="R246" t="str">
        <f>'RESUMEN TOTAL'!AA251</f>
        <v>APAGADO</v>
      </c>
      <c r="S246" t="str">
        <f>'RESUMEN TOTAL'!AB251</f>
        <v>APAGADO</v>
      </c>
      <c r="T246">
        <f>'RESUMEN TOTAL'!AC251</f>
        <v>0</v>
      </c>
      <c r="U246">
        <f>'RESUMEN TOTAL'!AD251</f>
        <v>0</v>
      </c>
      <c r="V246">
        <f>'RESUMEN TOTAL'!AE251</f>
        <v>0</v>
      </c>
      <c r="W246">
        <f>'RESUMEN TOTAL'!AF251</f>
        <v>0</v>
      </c>
      <c r="X246">
        <f>'RESUMEN TOTAL'!AG251</f>
        <v>0</v>
      </c>
      <c r="Y246">
        <f>'RESUMEN TOTAL'!AH251</f>
        <v>0</v>
      </c>
      <c r="Z246">
        <f>'RESUMEN TOTAL'!AI251</f>
        <v>0</v>
      </c>
      <c r="AA246">
        <f>'RESUMEN TOTAL'!AJ251</f>
        <v>0</v>
      </c>
      <c r="AB246">
        <f>'RESUMEN TOTAL'!AK251</f>
        <v>0</v>
      </c>
      <c r="AC246">
        <f>'RESUMEN TOTAL'!AL251</f>
        <v>0</v>
      </c>
      <c r="AD246">
        <f>'RESUMEN TOTAL'!AM251</f>
        <v>0</v>
      </c>
      <c r="AE246">
        <f>'RESUMEN TOTAL'!AN251</f>
        <v>0</v>
      </c>
      <c r="AF246">
        <f>'RESUMEN TOTAL'!AO251</f>
        <v>0</v>
      </c>
      <c r="AG246">
        <f>'RESUMEN TOTAL'!AP251</f>
        <v>0</v>
      </c>
    </row>
    <row r="247" spans="1:33" x14ac:dyDescent="0.3">
      <c r="A247" t="str">
        <f>'RESUMEN TOTAL'!A252</f>
        <v>SAN JORGE</v>
      </c>
      <c r="B247" t="str">
        <f>'RESUMEN TOTAL'!C252</f>
        <v>SJO06 (fija 2)</v>
      </c>
      <c r="C247" t="str">
        <f>'RESUMEN TOTAL'!D252</f>
        <v>511 Y 560</v>
      </c>
      <c r="D247" t="str">
        <f>'RESUMEN TOTAL'!E252</f>
        <v>Fija</v>
      </c>
      <c r="E247" t="str">
        <f>'RESUMEN TOTAL'!F252</f>
        <v>Fibra Optica</v>
      </c>
      <c r="F247" t="str">
        <f>'RESUMEN TOTAL'!O252</f>
        <v>APAGADO</v>
      </c>
      <c r="G247" t="str">
        <f>'RESUMEN TOTAL'!P252</f>
        <v>APAGADO</v>
      </c>
      <c r="H247" t="str">
        <f>'RESUMEN TOTAL'!Q252</f>
        <v>APAGADO</v>
      </c>
      <c r="I247" t="str">
        <f>'RESUMEN TOTAL'!R252</f>
        <v>APAGADO</v>
      </c>
      <c r="J247" t="str">
        <f>'RESUMEN TOTAL'!S252</f>
        <v>APAGADO</v>
      </c>
      <c r="K247" t="str">
        <f>'RESUMEN TOTAL'!T252</f>
        <v>APAGADO</v>
      </c>
      <c r="L247" t="str">
        <f>'RESUMEN TOTAL'!U252</f>
        <v>APAGADO</v>
      </c>
      <c r="M247" t="str">
        <f>'RESUMEN TOTAL'!V252</f>
        <v>APAGADO</v>
      </c>
      <c r="N247" t="str">
        <f>'RESUMEN TOTAL'!W252</f>
        <v>APAGADO</v>
      </c>
      <c r="O247" t="str">
        <f>'RESUMEN TOTAL'!X252</f>
        <v>APAGADO</v>
      </c>
      <c r="P247" t="str">
        <f>'RESUMEN TOTAL'!Y252</f>
        <v>APAGADO</v>
      </c>
      <c r="Q247" t="str">
        <f>'RESUMEN TOTAL'!Z252</f>
        <v>APAGADO</v>
      </c>
      <c r="R247" t="str">
        <f>'RESUMEN TOTAL'!AA252</f>
        <v>APAGADO</v>
      </c>
      <c r="S247" t="str">
        <f>'RESUMEN TOTAL'!AB252</f>
        <v>APAGADO</v>
      </c>
      <c r="T247">
        <f>'RESUMEN TOTAL'!AC252</f>
        <v>0</v>
      </c>
      <c r="U247">
        <f>'RESUMEN TOTAL'!AD252</f>
        <v>0</v>
      </c>
      <c r="V247">
        <f>'RESUMEN TOTAL'!AE252</f>
        <v>0</v>
      </c>
      <c r="W247">
        <f>'RESUMEN TOTAL'!AF252</f>
        <v>0</v>
      </c>
      <c r="X247">
        <f>'RESUMEN TOTAL'!AG252</f>
        <v>0</v>
      </c>
      <c r="Y247">
        <f>'RESUMEN TOTAL'!AH252</f>
        <v>0</v>
      </c>
      <c r="Z247">
        <f>'RESUMEN TOTAL'!AI252</f>
        <v>0</v>
      </c>
      <c r="AA247">
        <f>'RESUMEN TOTAL'!AJ252</f>
        <v>0</v>
      </c>
      <c r="AB247">
        <f>'RESUMEN TOTAL'!AK252</f>
        <v>0</v>
      </c>
      <c r="AC247">
        <f>'RESUMEN TOTAL'!AL252</f>
        <v>0</v>
      </c>
      <c r="AD247">
        <f>'RESUMEN TOTAL'!AM252</f>
        <v>0</v>
      </c>
      <c r="AE247">
        <f>'RESUMEN TOTAL'!AN252</f>
        <v>0</v>
      </c>
      <c r="AF247">
        <f>'RESUMEN TOTAL'!AO252</f>
        <v>0</v>
      </c>
      <c r="AG247">
        <f>'RESUMEN TOTAL'!AP252</f>
        <v>0</v>
      </c>
    </row>
    <row r="248" spans="1:33" x14ac:dyDescent="0.3">
      <c r="A248" t="str">
        <f>'RESUMEN TOTAL'!A253</f>
        <v>SAN JORGE</v>
      </c>
      <c r="B248" t="str">
        <f>'RESUMEN TOTAL'!C253</f>
        <v>SJO07 (fija 1)</v>
      </c>
      <c r="C248" t="str">
        <f>'RESUMEN TOTAL'!D253</f>
        <v>503 Y 556</v>
      </c>
      <c r="D248" t="str">
        <f>'RESUMEN TOTAL'!E253</f>
        <v>Fija</v>
      </c>
      <c r="E248" t="str">
        <f>'RESUMEN TOTAL'!F253</f>
        <v>Fibra Optica</v>
      </c>
      <c r="F248" t="str">
        <f>'RESUMEN TOTAL'!O253</f>
        <v>APAGADO</v>
      </c>
      <c r="G248" t="str">
        <f>'RESUMEN TOTAL'!P253</f>
        <v>APAGADO</v>
      </c>
      <c r="H248" t="str">
        <f>'RESUMEN TOTAL'!Q253</f>
        <v>APAGADO</v>
      </c>
      <c r="I248" t="str">
        <f>'RESUMEN TOTAL'!R253</f>
        <v>APAGADO</v>
      </c>
      <c r="J248" t="str">
        <f>'RESUMEN TOTAL'!S253</f>
        <v>APAGADO</v>
      </c>
      <c r="K248" t="str">
        <f>'RESUMEN TOTAL'!T253</f>
        <v>APAGADO</v>
      </c>
      <c r="L248" t="str">
        <f>'RESUMEN TOTAL'!U253</f>
        <v>APAGADO</v>
      </c>
      <c r="M248" t="str">
        <f>'RESUMEN TOTAL'!V253</f>
        <v>APAGADO</v>
      </c>
      <c r="N248" t="str">
        <f>'RESUMEN TOTAL'!W253</f>
        <v>APAGADO</v>
      </c>
      <c r="O248" t="str">
        <f>'RESUMEN TOTAL'!X253</f>
        <v>APAGADO</v>
      </c>
      <c r="P248" t="str">
        <f>'RESUMEN TOTAL'!Y253</f>
        <v>APAGADO</v>
      </c>
      <c r="Q248" t="str">
        <f>'RESUMEN TOTAL'!Z253</f>
        <v>APAGADO</v>
      </c>
      <c r="R248" t="str">
        <f>'RESUMEN TOTAL'!AA253</f>
        <v>APAGADO</v>
      </c>
      <c r="S248" t="str">
        <f>'RESUMEN TOTAL'!AB253</f>
        <v>APAGADO</v>
      </c>
      <c r="T248">
        <f>'RESUMEN TOTAL'!AC253</f>
        <v>0</v>
      </c>
      <c r="U248">
        <f>'RESUMEN TOTAL'!AD253</f>
        <v>0</v>
      </c>
      <c r="V248">
        <f>'RESUMEN TOTAL'!AE253</f>
        <v>0</v>
      </c>
      <c r="W248">
        <f>'RESUMEN TOTAL'!AF253</f>
        <v>0</v>
      </c>
      <c r="X248">
        <f>'RESUMEN TOTAL'!AG253</f>
        <v>0</v>
      </c>
      <c r="Y248">
        <f>'RESUMEN TOTAL'!AH253</f>
        <v>0</v>
      </c>
      <c r="Z248">
        <f>'RESUMEN TOTAL'!AI253</f>
        <v>0</v>
      </c>
      <c r="AA248">
        <f>'RESUMEN TOTAL'!AJ253</f>
        <v>0</v>
      </c>
      <c r="AB248">
        <f>'RESUMEN TOTAL'!AK253</f>
        <v>0</v>
      </c>
      <c r="AC248">
        <f>'RESUMEN TOTAL'!AL253</f>
        <v>0</v>
      </c>
      <c r="AD248">
        <f>'RESUMEN TOTAL'!AM253</f>
        <v>0</v>
      </c>
      <c r="AE248">
        <f>'RESUMEN TOTAL'!AN253</f>
        <v>0</v>
      </c>
      <c r="AF248">
        <f>'RESUMEN TOTAL'!AO253</f>
        <v>0</v>
      </c>
      <c r="AG248">
        <f>'RESUMEN TOTAL'!AP253</f>
        <v>0</v>
      </c>
    </row>
    <row r="249" spans="1:33" x14ac:dyDescent="0.3">
      <c r="A249" t="str">
        <f>'RESUMEN TOTAL'!A254</f>
        <v>SAN JORGE</v>
      </c>
      <c r="B249" t="str">
        <f>'RESUMEN TOTAL'!C254</f>
        <v>SJO08 (fija 2)</v>
      </c>
      <c r="C249" t="str">
        <f>'RESUMEN TOTAL'!D254</f>
        <v>503 Y 556</v>
      </c>
      <c r="D249" t="str">
        <f>'RESUMEN TOTAL'!E254</f>
        <v>Fija</v>
      </c>
      <c r="E249" t="str">
        <f>'RESUMEN TOTAL'!F254</f>
        <v>Fibra Optica</v>
      </c>
      <c r="F249" t="str">
        <f>'RESUMEN TOTAL'!O254</f>
        <v>APAGADO</v>
      </c>
      <c r="G249" t="str">
        <f>'RESUMEN TOTAL'!P254</f>
        <v>APAGADO</v>
      </c>
      <c r="H249" t="str">
        <f>'RESUMEN TOTAL'!Q254</f>
        <v>APAGADO</v>
      </c>
      <c r="I249" t="str">
        <f>'RESUMEN TOTAL'!R254</f>
        <v>APAGADO</v>
      </c>
      <c r="J249" t="str">
        <f>'RESUMEN TOTAL'!S254</f>
        <v>APAGADO</v>
      </c>
      <c r="K249" t="str">
        <f>'RESUMEN TOTAL'!T254</f>
        <v>APAGADO</v>
      </c>
      <c r="L249" t="str">
        <f>'RESUMEN TOTAL'!U254</f>
        <v>APAGADO</v>
      </c>
      <c r="M249" t="str">
        <f>'RESUMEN TOTAL'!V254</f>
        <v>APAGADO</v>
      </c>
      <c r="N249" t="str">
        <f>'RESUMEN TOTAL'!W254</f>
        <v>APAGADO</v>
      </c>
      <c r="O249" t="str">
        <f>'RESUMEN TOTAL'!X254</f>
        <v>APAGADO</v>
      </c>
      <c r="P249" t="str">
        <f>'RESUMEN TOTAL'!Y254</f>
        <v>APAGADO</v>
      </c>
      <c r="Q249" t="str">
        <f>'RESUMEN TOTAL'!Z254</f>
        <v>APAGADO</v>
      </c>
      <c r="R249" t="str">
        <f>'RESUMEN TOTAL'!AA254</f>
        <v>APAGADO</v>
      </c>
      <c r="S249" t="str">
        <f>'RESUMEN TOTAL'!AB254</f>
        <v>APAGADO</v>
      </c>
      <c r="T249">
        <f>'RESUMEN TOTAL'!AC254</f>
        <v>0</v>
      </c>
      <c r="U249">
        <f>'RESUMEN TOTAL'!AD254</f>
        <v>0</v>
      </c>
      <c r="V249">
        <f>'RESUMEN TOTAL'!AE254</f>
        <v>0</v>
      </c>
      <c r="W249">
        <f>'RESUMEN TOTAL'!AF254</f>
        <v>0</v>
      </c>
      <c r="X249">
        <f>'RESUMEN TOTAL'!AG254</f>
        <v>0</v>
      </c>
      <c r="Y249">
        <f>'RESUMEN TOTAL'!AH254</f>
        <v>0</v>
      </c>
      <c r="Z249">
        <f>'RESUMEN TOTAL'!AI254</f>
        <v>0</v>
      </c>
      <c r="AA249">
        <f>'RESUMEN TOTAL'!AJ254</f>
        <v>0</v>
      </c>
      <c r="AB249">
        <f>'RESUMEN TOTAL'!AK254</f>
        <v>0</v>
      </c>
      <c r="AC249">
        <f>'RESUMEN TOTAL'!AL254</f>
        <v>0</v>
      </c>
      <c r="AD249">
        <f>'RESUMEN TOTAL'!AM254</f>
        <v>0</v>
      </c>
      <c r="AE249">
        <f>'RESUMEN TOTAL'!AN254</f>
        <v>0</v>
      </c>
      <c r="AF249">
        <f>'RESUMEN TOTAL'!AO254</f>
        <v>0</v>
      </c>
      <c r="AG249">
        <f>'RESUMEN TOTAL'!AP254</f>
        <v>0</v>
      </c>
    </row>
    <row r="250" spans="1:33" x14ac:dyDescent="0.3">
      <c r="A250" t="str">
        <f>'RESUMEN TOTAL'!A255</f>
        <v>SANTO TOMAS</v>
      </c>
      <c r="B250" t="str">
        <f>'RESUMEN TOTAL'!C255</f>
        <v>SJU01</v>
      </c>
      <c r="C250" t="str">
        <f>'RESUMEN TOTAL'!D255</f>
        <v>Ruta 36 y Pte.Peron</v>
      </c>
      <c r="D250" t="str">
        <f>'RESUMEN TOTAL'!E255</f>
        <v>Domo</v>
      </c>
      <c r="E250" t="str">
        <f>'RESUMEN TOTAL'!F255</f>
        <v>Radio</v>
      </c>
      <c r="F250">
        <f>'RESUMEN TOTAL'!O255</f>
        <v>0</v>
      </c>
      <c r="G250">
        <f>'RESUMEN TOTAL'!P255</f>
        <v>0</v>
      </c>
      <c r="H250">
        <f>'RESUMEN TOTAL'!Q255</f>
        <v>0</v>
      </c>
      <c r="I250">
        <f>'RESUMEN TOTAL'!R255</f>
        <v>0</v>
      </c>
      <c r="J250">
        <f>'RESUMEN TOTAL'!S255</f>
        <v>0</v>
      </c>
      <c r="K250">
        <f>'RESUMEN TOTAL'!T255</f>
        <v>0</v>
      </c>
      <c r="L250">
        <f>'RESUMEN TOTAL'!U255</f>
        <v>0</v>
      </c>
      <c r="M250">
        <f>'RESUMEN TOTAL'!V255</f>
        <v>0</v>
      </c>
      <c r="N250">
        <f>'RESUMEN TOTAL'!W255</f>
        <v>0</v>
      </c>
      <c r="O250">
        <f>'RESUMEN TOTAL'!X255</f>
        <v>0</v>
      </c>
      <c r="P250">
        <f>'RESUMEN TOTAL'!Y255</f>
        <v>0</v>
      </c>
      <c r="Q250">
        <f>'RESUMEN TOTAL'!Z255</f>
        <v>0</v>
      </c>
      <c r="R250">
        <f>'RESUMEN TOTAL'!AA255</f>
        <v>0</v>
      </c>
      <c r="S250">
        <f>'RESUMEN TOTAL'!AB255</f>
        <v>0</v>
      </c>
      <c r="T250">
        <f>'RESUMEN TOTAL'!AC255</f>
        <v>0</v>
      </c>
      <c r="U250">
        <f>'RESUMEN TOTAL'!AD255</f>
        <v>0</v>
      </c>
      <c r="V250">
        <f>'RESUMEN TOTAL'!AE255</f>
        <v>0</v>
      </c>
      <c r="W250">
        <f>'RESUMEN TOTAL'!AF255</f>
        <v>0</v>
      </c>
      <c r="X250">
        <f>'RESUMEN TOTAL'!AG255</f>
        <v>0</v>
      </c>
      <c r="Y250">
        <f>'RESUMEN TOTAL'!AH255</f>
        <v>0</v>
      </c>
      <c r="Z250">
        <f>'RESUMEN TOTAL'!AI255</f>
        <v>0</v>
      </c>
      <c r="AA250">
        <f>'RESUMEN TOTAL'!AJ255</f>
        <v>0</v>
      </c>
      <c r="AB250">
        <f>'RESUMEN TOTAL'!AK255</f>
        <v>0</v>
      </c>
      <c r="AC250">
        <f>'RESUMEN TOTAL'!AL255</f>
        <v>0</v>
      </c>
      <c r="AD250">
        <f>'RESUMEN TOTAL'!AM255</f>
        <v>0</v>
      </c>
      <c r="AE250">
        <f>'RESUMEN TOTAL'!AN255</f>
        <v>0</v>
      </c>
      <c r="AF250">
        <f>'RESUMEN TOTAL'!AO255</f>
        <v>0</v>
      </c>
      <c r="AG250">
        <f>'RESUMEN TOTAL'!AP255</f>
        <v>0</v>
      </c>
    </row>
    <row r="251" spans="1:33" x14ac:dyDescent="0.3">
      <c r="A251">
        <f>'RESUMEN TOTAL'!A256</f>
        <v>0</v>
      </c>
      <c r="B251" t="str">
        <f>'RESUMEN TOTAL'!C256</f>
        <v>SMA 03</v>
      </c>
      <c r="C251" t="str">
        <f>'RESUMEN TOTAL'!D256</f>
        <v>ROSARIO Y SAN NICOLAS</v>
      </c>
      <c r="D251" t="str">
        <f>'RESUMEN TOTAL'!E256</f>
        <v>Domo</v>
      </c>
      <c r="E251" t="str">
        <f>'RESUMEN TOTAL'!F256</f>
        <v>Radio</v>
      </c>
      <c r="F251">
        <f>'RESUMEN TOTAL'!O256</f>
        <v>0</v>
      </c>
      <c r="G251">
        <f>'RESUMEN TOTAL'!P256</f>
        <v>0</v>
      </c>
      <c r="H251">
        <f>'RESUMEN TOTAL'!Q256</f>
        <v>0</v>
      </c>
      <c r="I251">
        <f>'RESUMEN TOTAL'!R256</f>
        <v>0</v>
      </c>
      <c r="J251">
        <f>'RESUMEN TOTAL'!S256</f>
        <v>0</v>
      </c>
      <c r="K251">
        <f>'RESUMEN TOTAL'!T256</f>
        <v>0</v>
      </c>
      <c r="L251">
        <f>'RESUMEN TOTAL'!U256</f>
        <v>0</v>
      </c>
      <c r="M251">
        <f>'RESUMEN TOTAL'!V256</f>
        <v>0</v>
      </c>
      <c r="N251">
        <f>'RESUMEN TOTAL'!W256</f>
        <v>0</v>
      </c>
      <c r="O251">
        <f>'RESUMEN TOTAL'!X256</f>
        <v>0</v>
      </c>
      <c r="P251">
        <f>'RESUMEN TOTAL'!Y256</f>
        <v>0</v>
      </c>
      <c r="Q251">
        <f>'RESUMEN TOTAL'!Z256</f>
        <v>0</v>
      </c>
      <c r="R251">
        <f>'RESUMEN TOTAL'!AA256</f>
        <v>0</v>
      </c>
      <c r="S251">
        <f>'RESUMEN TOTAL'!AB256</f>
        <v>0</v>
      </c>
      <c r="T251">
        <f>'RESUMEN TOTAL'!AC256</f>
        <v>0</v>
      </c>
      <c r="U251">
        <f>'RESUMEN TOTAL'!AD256</f>
        <v>0</v>
      </c>
      <c r="V251">
        <f>'RESUMEN TOTAL'!AE256</f>
        <v>0</v>
      </c>
      <c r="W251">
        <f>'RESUMEN TOTAL'!AF256</f>
        <v>0</v>
      </c>
      <c r="X251">
        <f>'RESUMEN TOTAL'!AG256</f>
        <v>0</v>
      </c>
      <c r="Y251">
        <f>'RESUMEN TOTAL'!AH256</f>
        <v>0</v>
      </c>
      <c r="Z251">
        <f>'RESUMEN TOTAL'!AI256</f>
        <v>0</v>
      </c>
      <c r="AA251">
        <f>'RESUMEN TOTAL'!AJ256</f>
        <v>0</v>
      </c>
      <c r="AB251">
        <f>'RESUMEN TOTAL'!AK256</f>
        <v>0</v>
      </c>
      <c r="AC251">
        <f>'RESUMEN TOTAL'!AL256</f>
        <v>0</v>
      </c>
      <c r="AD251">
        <f>'RESUMEN TOTAL'!AM256</f>
        <v>0</v>
      </c>
      <c r="AE251">
        <f>'RESUMEN TOTAL'!AN256</f>
        <v>0</v>
      </c>
      <c r="AF251">
        <f>'RESUMEN TOTAL'!AO256</f>
        <v>0</v>
      </c>
      <c r="AG251">
        <f>'RESUMEN TOTAL'!AP256</f>
        <v>0</v>
      </c>
    </row>
    <row r="252" spans="1:33" x14ac:dyDescent="0.3">
      <c r="A252" t="str">
        <f>'RESUMEN TOTAL'!A257</f>
        <v>VILLA GENERAL SAN MARTIN</v>
      </c>
      <c r="B252" t="str">
        <f>'RESUMEN TOTAL'!C257</f>
        <v>SMA 04</v>
      </c>
      <c r="C252" t="str">
        <f>'RESUMEN TOTAL'!D257</f>
        <v>HUDSON Y MONTEVIDEO</v>
      </c>
      <c r="D252" t="str">
        <f>'RESUMEN TOTAL'!E257</f>
        <v>FIJA</v>
      </c>
      <c r="E252" t="str">
        <f>'RESUMEN TOTAL'!F257</f>
        <v>Radio</v>
      </c>
      <c r="F252">
        <f>'RESUMEN TOTAL'!O257</f>
        <v>0</v>
      </c>
      <c r="G252">
        <f>'RESUMEN TOTAL'!P257</f>
        <v>0</v>
      </c>
      <c r="H252">
        <f>'RESUMEN TOTAL'!Q257</f>
        <v>0</v>
      </c>
      <c r="I252">
        <f>'RESUMEN TOTAL'!R257</f>
        <v>0</v>
      </c>
      <c r="J252">
        <f>'RESUMEN TOTAL'!S257</f>
        <v>0</v>
      </c>
      <c r="K252">
        <f>'RESUMEN TOTAL'!T257</f>
        <v>0</v>
      </c>
      <c r="L252">
        <f>'RESUMEN TOTAL'!U257</f>
        <v>0</v>
      </c>
      <c r="M252">
        <f>'RESUMEN TOTAL'!V257</f>
        <v>0</v>
      </c>
      <c r="N252">
        <f>'RESUMEN TOTAL'!W257</f>
        <v>0</v>
      </c>
      <c r="O252">
        <f>'RESUMEN TOTAL'!X257</f>
        <v>0</v>
      </c>
      <c r="P252">
        <f>'RESUMEN TOTAL'!Y257</f>
        <v>0</v>
      </c>
      <c r="Q252">
        <f>'RESUMEN TOTAL'!Z257</f>
        <v>0</v>
      </c>
      <c r="R252">
        <f>'RESUMEN TOTAL'!AA257</f>
        <v>0</v>
      </c>
      <c r="S252">
        <f>'RESUMEN TOTAL'!AB257</f>
        <v>0</v>
      </c>
      <c r="T252">
        <f>'RESUMEN TOTAL'!AC257</f>
        <v>0</v>
      </c>
      <c r="U252">
        <f>'RESUMEN TOTAL'!AD257</f>
        <v>0</v>
      </c>
      <c r="V252">
        <f>'RESUMEN TOTAL'!AE257</f>
        <v>0</v>
      </c>
      <c r="W252">
        <f>'RESUMEN TOTAL'!AF257</f>
        <v>0</v>
      </c>
      <c r="X252">
        <f>'RESUMEN TOTAL'!AG257</f>
        <v>0</v>
      </c>
      <c r="Y252">
        <f>'RESUMEN TOTAL'!AH257</f>
        <v>0</v>
      </c>
      <c r="Z252">
        <f>'RESUMEN TOTAL'!AI257</f>
        <v>0</v>
      </c>
      <c r="AA252">
        <f>'RESUMEN TOTAL'!AJ257</f>
        <v>0</v>
      </c>
      <c r="AB252">
        <f>'RESUMEN TOTAL'!AK257</f>
        <v>0</v>
      </c>
      <c r="AC252">
        <f>'RESUMEN TOTAL'!AL257</f>
        <v>0</v>
      </c>
      <c r="AD252">
        <f>'RESUMEN TOTAL'!AM257</f>
        <v>0</v>
      </c>
      <c r="AE252">
        <f>'RESUMEN TOTAL'!AN257</f>
        <v>0</v>
      </c>
      <c r="AF252">
        <f>'RESUMEN TOTAL'!AO257</f>
        <v>0</v>
      </c>
      <c r="AG252">
        <f>'RESUMEN TOTAL'!AP257</f>
        <v>0</v>
      </c>
    </row>
    <row r="253" spans="1:33" x14ac:dyDescent="0.3">
      <c r="A253" t="str">
        <f>'RESUMEN TOTAL'!A258</f>
        <v>VILLA GENERAL SAN MARTIN</v>
      </c>
      <c r="B253" t="str">
        <f>'RESUMEN TOTAL'!C258</f>
        <v>SMA 06</v>
      </c>
      <c r="C253" t="str">
        <f>'RESUMEN TOTAL'!D258</f>
        <v>AV. HUDSON Y RIO IGUAZU</v>
      </c>
      <c r="D253" t="str">
        <f>'RESUMEN TOTAL'!E258</f>
        <v>DOMO</v>
      </c>
      <c r="E253" t="str">
        <f>'RESUMEN TOTAL'!F258</f>
        <v>Fibra Optica</v>
      </c>
      <c r="F253">
        <f>'RESUMEN TOTAL'!O258</f>
        <v>0</v>
      </c>
      <c r="G253">
        <f>'RESUMEN TOTAL'!P258</f>
        <v>0</v>
      </c>
      <c r="H253">
        <f>'RESUMEN TOTAL'!Q258</f>
        <v>0</v>
      </c>
      <c r="I253">
        <f>'RESUMEN TOTAL'!R258</f>
        <v>0</v>
      </c>
      <c r="J253">
        <f>'RESUMEN TOTAL'!S258</f>
        <v>0</v>
      </c>
      <c r="K253">
        <f>'RESUMEN TOTAL'!T258</f>
        <v>0</v>
      </c>
      <c r="L253">
        <f>'RESUMEN TOTAL'!U258</f>
        <v>0</v>
      </c>
      <c r="M253">
        <f>'RESUMEN TOTAL'!V258</f>
        <v>0</v>
      </c>
      <c r="N253">
        <f>'RESUMEN TOTAL'!W258</f>
        <v>0</v>
      </c>
      <c r="O253">
        <f>'RESUMEN TOTAL'!X258</f>
        <v>0</v>
      </c>
      <c r="P253">
        <f>'RESUMEN TOTAL'!Y258</f>
        <v>0</v>
      </c>
      <c r="Q253">
        <f>'RESUMEN TOTAL'!Z258</f>
        <v>0</v>
      </c>
      <c r="R253">
        <f>'RESUMEN TOTAL'!AA258</f>
        <v>0</v>
      </c>
      <c r="S253">
        <f>'RESUMEN TOTAL'!AB258</f>
        <v>0</v>
      </c>
      <c r="T253">
        <f>'RESUMEN TOTAL'!AC258</f>
        <v>0</v>
      </c>
      <c r="U253">
        <f>'RESUMEN TOTAL'!AD258</f>
        <v>0</v>
      </c>
      <c r="V253">
        <f>'RESUMEN TOTAL'!AE258</f>
        <v>0</v>
      </c>
      <c r="W253">
        <f>'RESUMEN TOTAL'!AF258</f>
        <v>0</v>
      </c>
      <c r="X253">
        <f>'RESUMEN TOTAL'!AG258</f>
        <v>0</v>
      </c>
      <c r="Y253">
        <f>'RESUMEN TOTAL'!AH258</f>
        <v>0</v>
      </c>
      <c r="Z253">
        <f>'RESUMEN TOTAL'!AI258</f>
        <v>0</v>
      </c>
      <c r="AA253">
        <f>'RESUMEN TOTAL'!AJ258</f>
        <v>0</v>
      </c>
      <c r="AB253">
        <f>'RESUMEN TOTAL'!AK258</f>
        <v>0</v>
      </c>
      <c r="AC253">
        <f>'RESUMEN TOTAL'!AL258</f>
        <v>0</v>
      </c>
      <c r="AD253">
        <f>'RESUMEN TOTAL'!AM258</f>
        <v>0</v>
      </c>
      <c r="AE253">
        <f>'RESUMEN TOTAL'!AN258</f>
        <v>0</v>
      </c>
      <c r="AF253">
        <f>'RESUMEN TOTAL'!AO258</f>
        <v>0</v>
      </c>
      <c r="AG253">
        <f>'RESUMEN TOTAL'!AP258</f>
        <v>0</v>
      </c>
    </row>
    <row r="254" spans="1:33" x14ac:dyDescent="0.3">
      <c r="A254" t="str">
        <f>'RESUMEN TOTAL'!A259</f>
        <v>VILLA GENERAL SAN MARTIN</v>
      </c>
      <c r="B254" t="str">
        <f>'RESUMEN TOTAL'!C259</f>
        <v>SMA 07</v>
      </c>
      <c r="C254" t="str">
        <f>'RESUMEN TOTAL'!D259</f>
        <v>AV. HUDSON Y RIO TURBIO</v>
      </c>
      <c r="D254" t="str">
        <f>'RESUMEN TOTAL'!E259</f>
        <v>DOMO</v>
      </c>
      <c r="E254" t="str">
        <f>'RESUMEN TOTAL'!F259</f>
        <v>Fibra Optica</v>
      </c>
      <c r="F254">
        <f>'RESUMEN TOTAL'!O259</f>
        <v>0</v>
      </c>
      <c r="G254">
        <f>'RESUMEN TOTAL'!P259</f>
        <v>0</v>
      </c>
      <c r="H254">
        <f>'RESUMEN TOTAL'!Q259</f>
        <v>0</v>
      </c>
      <c r="I254">
        <f>'RESUMEN TOTAL'!R259</f>
        <v>0</v>
      </c>
      <c r="J254">
        <f>'RESUMEN TOTAL'!S259</f>
        <v>0</v>
      </c>
      <c r="K254">
        <f>'RESUMEN TOTAL'!T259</f>
        <v>0</v>
      </c>
      <c r="L254">
        <f>'RESUMEN TOTAL'!U259</f>
        <v>0</v>
      </c>
      <c r="M254">
        <f>'RESUMEN TOTAL'!V259</f>
        <v>0</v>
      </c>
      <c r="N254">
        <f>'RESUMEN TOTAL'!W259</f>
        <v>0</v>
      </c>
      <c r="O254">
        <f>'RESUMEN TOTAL'!X259</f>
        <v>0</v>
      </c>
      <c r="P254">
        <f>'RESUMEN TOTAL'!Y259</f>
        <v>0</v>
      </c>
      <c r="Q254">
        <f>'RESUMEN TOTAL'!Z259</f>
        <v>0</v>
      </c>
      <c r="R254">
        <f>'RESUMEN TOTAL'!AA259</f>
        <v>0</v>
      </c>
      <c r="S254">
        <f>'RESUMEN TOTAL'!AB259</f>
        <v>0</v>
      </c>
      <c r="T254">
        <f>'RESUMEN TOTAL'!AC259</f>
        <v>0</v>
      </c>
      <c r="U254">
        <f>'RESUMEN TOTAL'!AD259</f>
        <v>0</v>
      </c>
      <c r="V254">
        <f>'RESUMEN TOTAL'!AE259</f>
        <v>0</v>
      </c>
      <c r="W254">
        <f>'RESUMEN TOTAL'!AF259</f>
        <v>0</v>
      </c>
      <c r="X254">
        <f>'RESUMEN TOTAL'!AG259</f>
        <v>0</v>
      </c>
      <c r="Y254">
        <f>'RESUMEN TOTAL'!AH259</f>
        <v>0</v>
      </c>
      <c r="Z254">
        <f>'RESUMEN TOTAL'!AI259</f>
        <v>0</v>
      </c>
      <c r="AA254">
        <f>'RESUMEN TOTAL'!AJ259</f>
        <v>0</v>
      </c>
      <c r="AB254">
        <f>'RESUMEN TOTAL'!AK259</f>
        <v>0</v>
      </c>
      <c r="AC254">
        <f>'RESUMEN TOTAL'!AL259</f>
        <v>0</v>
      </c>
      <c r="AD254">
        <f>'RESUMEN TOTAL'!AM259</f>
        <v>0</v>
      </c>
      <c r="AE254">
        <f>'RESUMEN TOTAL'!AN259</f>
        <v>0</v>
      </c>
      <c r="AF254">
        <f>'RESUMEN TOTAL'!AO259</f>
        <v>0</v>
      </c>
      <c r="AG254">
        <f>'RESUMEN TOTAL'!AP259</f>
        <v>0</v>
      </c>
    </row>
    <row r="255" spans="1:33" x14ac:dyDescent="0.3">
      <c r="A255" t="str">
        <f>'RESUMEN TOTAL'!A260</f>
        <v>VILLA GENERAL SAN MARTIN</v>
      </c>
      <c r="B255" t="str">
        <f>'RESUMEN TOTAL'!C260</f>
        <v>SMA01</v>
      </c>
      <c r="C255" t="str">
        <f>'RESUMEN TOTAL'!D260</f>
        <v>Hudson y Montevideo</v>
      </c>
      <c r="D255" t="str">
        <f>'RESUMEN TOTAL'!E260</f>
        <v>DOMO</v>
      </c>
      <c r="E255" t="str">
        <f>'RESUMEN TOTAL'!F260</f>
        <v>Radio</v>
      </c>
      <c r="F255">
        <f>'RESUMEN TOTAL'!O260</f>
        <v>0</v>
      </c>
      <c r="G255">
        <f>'RESUMEN TOTAL'!P260</f>
        <v>0</v>
      </c>
      <c r="H255">
        <f>'RESUMEN TOTAL'!Q260</f>
        <v>0</v>
      </c>
      <c r="I255">
        <f>'RESUMEN TOTAL'!R260</f>
        <v>0</v>
      </c>
      <c r="J255">
        <f>'RESUMEN TOTAL'!S260</f>
        <v>0</v>
      </c>
      <c r="K255">
        <f>'RESUMEN TOTAL'!T260</f>
        <v>0</v>
      </c>
      <c r="L255">
        <f>'RESUMEN TOTAL'!U260</f>
        <v>0</v>
      </c>
      <c r="M255">
        <f>'RESUMEN TOTAL'!V260</f>
        <v>0</v>
      </c>
      <c r="N255">
        <f>'RESUMEN TOTAL'!W260</f>
        <v>0</v>
      </c>
      <c r="O255">
        <f>'RESUMEN TOTAL'!X260</f>
        <v>0</v>
      </c>
      <c r="P255">
        <f>'RESUMEN TOTAL'!Y260</f>
        <v>0</v>
      </c>
      <c r="Q255">
        <f>'RESUMEN TOTAL'!Z260</f>
        <v>0</v>
      </c>
      <c r="R255">
        <f>'RESUMEN TOTAL'!AA260</f>
        <v>0</v>
      </c>
      <c r="S255">
        <f>'RESUMEN TOTAL'!AB260</f>
        <v>0</v>
      </c>
      <c r="T255">
        <f>'RESUMEN TOTAL'!AC260</f>
        <v>0</v>
      </c>
      <c r="U255">
        <f>'RESUMEN TOTAL'!AD260</f>
        <v>0</v>
      </c>
      <c r="V255">
        <f>'RESUMEN TOTAL'!AE260</f>
        <v>0</v>
      </c>
      <c r="W255">
        <f>'RESUMEN TOTAL'!AF260</f>
        <v>0</v>
      </c>
      <c r="X255">
        <f>'RESUMEN TOTAL'!AG260</f>
        <v>0</v>
      </c>
      <c r="Y255">
        <f>'RESUMEN TOTAL'!AH260</f>
        <v>0</v>
      </c>
      <c r="Z255">
        <f>'RESUMEN TOTAL'!AI260</f>
        <v>0</v>
      </c>
      <c r="AA255">
        <f>'RESUMEN TOTAL'!AJ260</f>
        <v>0</v>
      </c>
      <c r="AB255">
        <f>'RESUMEN TOTAL'!AK260</f>
        <v>0</v>
      </c>
      <c r="AC255">
        <f>'RESUMEN TOTAL'!AL260</f>
        <v>0</v>
      </c>
      <c r="AD255">
        <f>'RESUMEN TOTAL'!AM260</f>
        <v>0</v>
      </c>
      <c r="AE255">
        <f>'RESUMEN TOTAL'!AN260</f>
        <v>0</v>
      </c>
      <c r="AF255">
        <f>'RESUMEN TOTAL'!AO260</f>
        <v>0</v>
      </c>
      <c r="AG255">
        <f>'RESUMEN TOTAL'!AP260</f>
        <v>0</v>
      </c>
    </row>
    <row r="256" spans="1:33" x14ac:dyDescent="0.3">
      <c r="A256" t="str">
        <f>'RESUMEN TOTAL'!A261</f>
        <v>VILLA GENERAL SAN MARTIN</v>
      </c>
      <c r="B256" t="str">
        <f>'RESUMEN TOTAL'!C261</f>
        <v>SMA02</v>
      </c>
      <c r="C256" t="str">
        <f>'RESUMEN TOTAL'!D261</f>
        <v>Hudson y San Nicolas</v>
      </c>
      <c r="D256" t="str">
        <f>'RESUMEN TOTAL'!E261</f>
        <v>Domo</v>
      </c>
      <c r="E256" t="str">
        <f>'RESUMEN TOTAL'!F261</f>
        <v>Radio</v>
      </c>
      <c r="F256" t="str">
        <f>'RESUMEN TOTAL'!O261</f>
        <v>APAGADO</v>
      </c>
      <c r="G256" t="str">
        <f>'RESUMEN TOTAL'!P261</f>
        <v>APAGADO</v>
      </c>
      <c r="H256" t="str">
        <f>'RESUMEN TOTAL'!Q261</f>
        <v>APAGADO</v>
      </c>
      <c r="I256" t="str">
        <f>'RESUMEN TOTAL'!R261</f>
        <v>APAGADO</v>
      </c>
      <c r="J256" t="str">
        <f>'RESUMEN TOTAL'!S261</f>
        <v>APAGADO</v>
      </c>
      <c r="K256" t="str">
        <f>'RESUMEN TOTAL'!T261</f>
        <v>APAGADO</v>
      </c>
      <c r="L256" t="str">
        <f>'RESUMEN TOTAL'!U261</f>
        <v>APAGADO</v>
      </c>
      <c r="M256" t="str">
        <f>'RESUMEN TOTAL'!V261</f>
        <v>APAGADO</v>
      </c>
      <c r="N256" t="str">
        <f>'RESUMEN TOTAL'!W261</f>
        <v>APAGADO</v>
      </c>
      <c r="O256" t="str">
        <f>'RESUMEN TOTAL'!X261</f>
        <v>APAGADO</v>
      </c>
      <c r="P256">
        <f>'RESUMEN TOTAL'!Y261</f>
        <v>0</v>
      </c>
      <c r="Q256">
        <f>'RESUMEN TOTAL'!Z261</f>
        <v>0</v>
      </c>
      <c r="R256">
        <f>'RESUMEN TOTAL'!AA261</f>
        <v>0</v>
      </c>
      <c r="S256">
        <f>'RESUMEN TOTAL'!AB261</f>
        <v>0</v>
      </c>
      <c r="T256">
        <f>'RESUMEN TOTAL'!AC261</f>
        <v>0</v>
      </c>
      <c r="U256">
        <f>'RESUMEN TOTAL'!AD261</f>
        <v>0</v>
      </c>
      <c r="V256">
        <f>'RESUMEN TOTAL'!AE261</f>
        <v>0</v>
      </c>
      <c r="W256">
        <f>'RESUMEN TOTAL'!AF261</f>
        <v>0</v>
      </c>
      <c r="X256">
        <f>'RESUMEN TOTAL'!AG261</f>
        <v>0</v>
      </c>
      <c r="Y256">
        <f>'RESUMEN TOTAL'!AH261</f>
        <v>0</v>
      </c>
      <c r="Z256">
        <f>'RESUMEN TOTAL'!AI261</f>
        <v>0</v>
      </c>
      <c r="AA256">
        <f>'RESUMEN TOTAL'!AJ261</f>
        <v>0</v>
      </c>
      <c r="AB256">
        <f>'RESUMEN TOTAL'!AK261</f>
        <v>0</v>
      </c>
      <c r="AC256">
        <f>'RESUMEN TOTAL'!AL261</f>
        <v>0</v>
      </c>
      <c r="AD256">
        <f>'RESUMEN TOTAL'!AM261</f>
        <v>0</v>
      </c>
      <c r="AE256">
        <f>'RESUMEN TOTAL'!AN261</f>
        <v>0</v>
      </c>
      <c r="AF256">
        <f>'RESUMEN TOTAL'!AO261</f>
        <v>0</v>
      </c>
      <c r="AG256">
        <f>'RESUMEN TOTAL'!AP261</f>
        <v>0</v>
      </c>
    </row>
    <row r="257" spans="1:33" x14ac:dyDescent="0.3">
      <c r="A257" t="str">
        <f>'RESUMEN TOTAL'!A262</f>
        <v>VILLA GENERAL SAN MARTIN</v>
      </c>
      <c r="B257" t="str">
        <f>'RESUMEN TOTAL'!C262</f>
        <v>SMA05</v>
      </c>
      <c r="C257" t="str">
        <f>'RESUMEN TOTAL'!D262</f>
        <v>MONTEVIDEO Y VILLEGAS</v>
      </c>
      <c r="D257" t="str">
        <f>'RESUMEN TOTAL'!E262</f>
        <v>DOMO</v>
      </c>
      <c r="E257" t="str">
        <f>'RESUMEN TOTAL'!F262</f>
        <v>PTP A FO</v>
      </c>
      <c r="F257">
        <f>'RESUMEN TOTAL'!O262</f>
        <v>0</v>
      </c>
      <c r="G257">
        <f>'RESUMEN TOTAL'!P262</f>
        <v>0</v>
      </c>
      <c r="H257">
        <f>'RESUMEN TOTAL'!Q262</f>
        <v>0</v>
      </c>
      <c r="I257">
        <f>'RESUMEN TOTAL'!R262</f>
        <v>0</v>
      </c>
      <c r="J257">
        <f>'RESUMEN TOTAL'!S262</f>
        <v>0</v>
      </c>
      <c r="K257">
        <f>'RESUMEN TOTAL'!T262</f>
        <v>0</v>
      </c>
      <c r="L257">
        <f>'RESUMEN TOTAL'!U262</f>
        <v>0</v>
      </c>
      <c r="M257">
        <f>'RESUMEN TOTAL'!V262</f>
        <v>0</v>
      </c>
      <c r="N257">
        <f>'RESUMEN TOTAL'!W262</f>
        <v>0</v>
      </c>
      <c r="O257">
        <f>'RESUMEN TOTAL'!X262</f>
        <v>0</v>
      </c>
      <c r="P257">
        <f>'RESUMEN TOTAL'!Y262</f>
        <v>0</v>
      </c>
      <c r="Q257">
        <f>'RESUMEN TOTAL'!Z262</f>
        <v>0</v>
      </c>
      <c r="R257">
        <f>'RESUMEN TOTAL'!AA262</f>
        <v>0</v>
      </c>
      <c r="S257">
        <f>'RESUMEN TOTAL'!AB262</f>
        <v>0</v>
      </c>
      <c r="T257">
        <f>'RESUMEN TOTAL'!AC262</f>
        <v>0</v>
      </c>
      <c r="U257">
        <f>'RESUMEN TOTAL'!AD262</f>
        <v>0</v>
      </c>
      <c r="V257">
        <f>'RESUMEN TOTAL'!AE262</f>
        <v>0</v>
      </c>
      <c r="W257">
        <f>'RESUMEN TOTAL'!AF262</f>
        <v>0</v>
      </c>
      <c r="X257">
        <f>'RESUMEN TOTAL'!AG262</f>
        <v>0</v>
      </c>
      <c r="Y257">
        <f>'RESUMEN TOTAL'!AH262</f>
        <v>0</v>
      </c>
      <c r="Z257">
        <f>'RESUMEN TOTAL'!AI262</f>
        <v>0</v>
      </c>
      <c r="AA257">
        <f>'RESUMEN TOTAL'!AJ262</f>
        <v>0</v>
      </c>
      <c r="AB257">
        <f>'RESUMEN TOTAL'!AK262</f>
        <v>0</v>
      </c>
      <c r="AC257">
        <f>'RESUMEN TOTAL'!AL262</f>
        <v>0</v>
      </c>
      <c r="AD257">
        <f>'RESUMEN TOTAL'!AM262</f>
        <v>0</v>
      </c>
      <c r="AE257">
        <f>'RESUMEN TOTAL'!AN262</f>
        <v>0</v>
      </c>
      <c r="AF257">
        <f>'RESUMEN TOTAL'!AO262</f>
        <v>0</v>
      </c>
      <c r="AG257">
        <f>'RESUMEN TOTAL'!AP262</f>
        <v>0</v>
      </c>
    </row>
    <row r="258" spans="1:33" x14ac:dyDescent="0.3">
      <c r="A258" t="str">
        <f>'RESUMEN TOTAL'!A263</f>
        <v>SAN NICOLAS</v>
      </c>
      <c r="B258" t="str">
        <f>'RESUMEN TOTAL'!C263</f>
        <v>SNI01 (fija 1)</v>
      </c>
      <c r="C258" t="str">
        <f>'RESUMEN TOTAL'!D263</f>
        <v>SARRATEA E/ EEUU DE A. Y AGRELO</v>
      </c>
      <c r="D258" t="str">
        <f>'RESUMEN TOTAL'!E263</f>
        <v>Fija</v>
      </c>
      <c r="E258" t="str">
        <f>'RESUMEN TOTAL'!F263</f>
        <v>Fibra Optica</v>
      </c>
      <c r="F258">
        <f>'RESUMEN TOTAL'!O263</f>
        <v>0</v>
      </c>
      <c r="G258">
        <f>'RESUMEN TOTAL'!P263</f>
        <v>0</v>
      </c>
      <c r="H258">
        <f>'RESUMEN TOTAL'!Q263</f>
        <v>0</v>
      </c>
      <c r="I258">
        <f>'RESUMEN TOTAL'!R263</f>
        <v>0</v>
      </c>
      <c r="J258">
        <f>'RESUMEN TOTAL'!S263</f>
        <v>0</v>
      </c>
      <c r="K258">
        <f>'RESUMEN TOTAL'!T263</f>
        <v>0</v>
      </c>
      <c r="L258">
        <f>'RESUMEN TOTAL'!U263</f>
        <v>0</v>
      </c>
      <c r="M258">
        <f>'RESUMEN TOTAL'!V263</f>
        <v>0</v>
      </c>
      <c r="N258" t="str">
        <f>'RESUMEN TOTAL'!W263</f>
        <v>APAGADO</v>
      </c>
      <c r="O258">
        <f>'RESUMEN TOTAL'!X263</f>
        <v>0</v>
      </c>
      <c r="P258">
        <f>'RESUMEN TOTAL'!Y263</f>
        <v>0</v>
      </c>
      <c r="Q258">
        <f>'RESUMEN TOTAL'!Z263</f>
        <v>0</v>
      </c>
      <c r="R258">
        <f>'RESUMEN TOTAL'!AA263</f>
        <v>0</v>
      </c>
      <c r="S258">
        <f>'RESUMEN TOTAL'!AB263</f>
        <v>0</v>
      </c>
      <c r="T258">
        <f>'RESUMEN TOTAL'!AC263</f>
        <v>0</v>
      </c>
      <c r="U258">
        <f>'RESUMEN TOTAL'!AD263</f>
        <v>0</v>
      </c>
      <c r="V258">
        <f>'RESUMEN TOTAL'!AE263</f>
        <v>0</v>
      </c>
      <c r="W258">
        <f>'RESUMEN TOTAL'!AF263</f>
        <v>0</v>
      </c>
      <c r="X258">
        <f>'RESUMEN TOTAL'!AG263</f>
        <v>0</v>
      </c>
      <c r="Y258">
        <f>'RESUMEN TOTAL'!AH263</f>
        <v>0</v>
      </c>
      <c r="Z258">
        <f>'RESUMEN TOTAL'!AI263</f>
        <v>0</v>
      </c>
      <c r="AA258">
        <f>'RESUMEN TOTAL'!AJ263</f>
        <v>0</v>
      </c>
      <c r="AB258">
        <f>'RESUMEN TOTAL'!AK263</f>
        <v>0</v>
      </c>
      <c r="AC258">
        <f>'RESUMEN TOTAL'!AL263</f>
        <v>0</v>
      </c>
      <c r="AD258">
        <f>'RESUMEN TOTAL'!AM263</f>
        <v>0</v>
      </c>
      <c r="AE258">
        <f>'RESUMEN TOTAL'!AN263</f>
        <v>0</v>
      </c>
      <c r="AF258">
        <f>'RESUMEN TOTAL'!AO263</f>
        <v>0</v>
      </c>
      <c r="AG258">
        <f>'RESUMEN TOTAL'!AP263</f>
        <v>0</v>
      </c>
    </row>
    <row r="259" spans="1:33" x14ac:dyDescent="0.3">
      <c r="A259" t="str">
        <f>'RESUMEN TOTAL'!A264</f>
        <v>SAN NICOLAS</v>
      </c>
      <c r="B259" t="str">
        <f>'RESUMEN TOTAL'!C264</f>
        <v>SNI02 (fija 2)</v>
      </c>
      <c r="C259" t="str">
        <f>'RESUMEN TOTAL'!D264</f>
        <v>SARRATEA E/ EEUU DE A. Y AGRELO</v>
      </c>
      <c r="D259" t="str">
        <f>'RESUMEN TOTAL'!E264</f>
        <v>Fija</v>
      </c>
      <c r="E259" t="str">
        <f>'RESUMEN TOTAL'!F264</f>
        <v>Fibra Optica</v>
      </c>
      <c r="F259">
        <f>'RESUMEN TOTAL'!O264</f>
        <v>0</v>
      </c>
      <c r="G259">
        <f>'RESUMEN TOTAL'!P264</f>
        <v>0</v>
      </c>
      <c r="H259">
        <f>'RESUMEN TOTAL'!Q264</f>
        <v>0</v>
      </c>
      <c r="I259">
        <f>'RESUMEN TOTAL'!R264</f>
        <v>0</v>
      </c>
      <c r="J259">
        <f>'RESUMEN TOTAL'!S264</f>
        <v>0</v>
      </c>
      <c r="K259">
        <f>'RESUMEN TOTAL'!T264</f>
        <v>0</v>
      </c>
      <c r="L259">
        <f>'RESUMEN TOTAL'!U264</f>
        <v>0</v>
      </c>
      <c r="M259">
        <f>'RESUMEN TOTAL'!V264</f>
        <v>0</v>
      </c>
      <c r="N259" t="str">
        <f>'RESUMEN TOTAL'!W264</f>
        <v>APAGADO</v>
      </c>
      <c r="O259">
        <f>'RESUMEN TOTAL'!X264</f>
        <v>0</v>
      </c>
      <c r="P259">
        <f>'RESUMEN TOTAL'!Y264</f>
        <v>0</v>
      </c>
      <c r="Q259">
        <f>'RESUMEN TOTAL'!Z264</f>
        <v>0</v>
      </c>
      <c r="R259">
        <f>'RESUMEN TOTAL'!AA264</f>
        <v>0</v>
      </c>
      <c r="S259">
        <f>'RESUMEN TOTAL'!AB264</f>
        <v>0</v>
      </c>
      <c r="T259">
        <f>'RESUMEN TOTAL'!AC264</f>
        <v>0</v>
      </c>
      <c r="U259">
        <f>'RESUMEN TOTAL'!AD264</f>
        <v>0</v>
      </c>
      <c r="V259">
        <f>'RESUMEN TOTAL'!AE264</f>
        <v>0</v>
      </c>
      <c r="W259">
        <f>'RESUMEN TOTAL'!AF264</f>
        <v>0</v>
      </c>
      <c r="X259">
        <f>'RESUMEN TOTAL'!AG264</f>
        <v>0</v>
      </c>
      <c r="Y259">
        <f>'RESUMEN TOTAL'!AH264</f>
        <v>0</v>
      </c>
      <c r="Z259">
        <f>'RESUMEN TOTAL'!AI264</f>
        <v>0</v>
      </c>
      <c r="AA259">
        <f>'RESUMEN TOTAL'!AJ264</f>
        <v>0</v>
      </c>
      <c r="AB259">
        <f>'RESUMEN TOTAL'!AK264</f>
        <v>0</v>
      </c>
      <c r="AC259">
        <f>'RESUMEN TOTAL'!AL264</f>
        <v>0</v>
      </c>
      <c r="AD259">
        <f>'RESUMEN TOTAL'!AM264</f>
        <v>0</v>
      </c>
      <c r="AE259">
        <f>'RESUMEN TOTAL'!AN264</f>
        <v>0</v>
      </c>
      <c r="AF259">
        <f>'RESUMEN TOTAL'!AO264</f>
        <v>0</v>
      </c>
      <c r="AG259">
        <f>'RESUMEN TOTAL'!AP264</f>
        <v>0</v>
      </c>
    </row>
    <row r="260" spans="1:33" x14ac:dyDescent="0.3">
      <c r="A260" t="str">
        <f>'RESUMEN TOTAL'!A265</f>
        <v>SAN NICOLAS</v>
      </c>
      <c r="B260" t="str">
        <f>'RESUMEN TOTAL'!C265</f>
        <v>SNI03 (fija 1)</v>
      </c>
      <c r="C260" t="str">
        <f>'RESUMEN TOTAL'!D265</f>
        <v>SARRATEA Y LOS TREBOLES</v>
      </c>
      <c r="D260" t="str">
        <f>'RESUMEN TOTAL'!E265</f>
        <v>Fija</v>
      </c>
      <c r="E260" t="str">
        <f>'RESUMEN TOTAL'!F265</f>
        <v>Fibra Optica</v>
      </c>
      <c r="F260">
        <f>'RESUMEN TOTAL'!O265</f>
        <v>0</v>
      </c>
      <c r="G260" t="str">
        <f>'RESUMEN TOTAL'!P265</f>
        <v>APAGADO</v>
      </c>
      <c r="H260" t="str">
        <f>'RESUMEN TOTAL'!Q265</f>
        <v>APAGADO</v>
      </c>
      <c r="I260" t="str">
        <f>'RESUMEN TOTAL'!R265</f>
        <v>APAGADO</v>
      </c>
      <c r="J260" t="str">
        <f>'RESUMEN TOTAL'!S265</f>
        <v>APAGADO</v>
      </c>
      <c r="K260" t="str">
        <f>'RESUMEN TOTAL'!T265</f>
        <v>APAGADO</v>
      </c>
      <c r="L260" t="str">
        <f>'RESUMEN TOTAL'!U265</f>
        <v>APAGADO</v>
      </c>
      <c r="M260" t="str">
        <f>'RESUMEN TOTAL'!V265</f>
        <v>APAGADO</v>
      </c>
      <c r="N260" t="str">
        <f>'RESUMEN TOTAL'!W265</f>
        <v>APAGADO</v>
      </c>
      <c r="O260">
        <f>'RESUMEN TOTAL'!X265</f>
        <v>0</v>
      </c>
      <c r="P260">
        <f>'RESUMEN TOTAL'!Y265</f>
        <v>0</v>
      </c>
      <c r="Q260">
        <f>'RESUMEN TOTAL'!Z265</f>
        <v>0</v>
      </c>
      <c r="R260">
        <f>'RESUMEN TOTAL'!AA265</f>
        <v>0</v>
      </c>
      <c r="S260">
        <f>'RESUMEN TOTAL'!AB265</f>
        <v>0</v>
      </c>
      <c r="T260">
        <f>'RESUMEN TOTAL'!AC265</f>
        <v>0</v>
      </c>
      <c r="U260">
        <f>'RESUMEN TOTAL'!AD265</f>
        <v>0</v>
      </c>
      <c r="V260">
        <f>'RESUMEN TOTAL'!AE265</f>
        <v>0</v>
      </c>
      <c r="W260">
        <f>'RESUMEN TOTAL'!AF265</f>
        <v>0</v>
      </c>
      <c r="X260">
        <f>'RESUMEN TOTAL'!AG265</f>
        <v>0</v>
      </c>
      <c r="Y260">
        <f>'RESUMEN TOTAL'!AH265</f>
        <v>0</v>
      </c>
      <c r="Z260">
        <f>'RESUMEN TOTAL'!AI265</f>
        <v>0</v>
      </c>
      <c r="AA260">
        <f>'RESUMEN TOTAL'!AJ265</f>
        <v>0</v>
      </c>
      <c r="AB260">
        <f>'RESUMEN TOTAL'!AK265</f>
        <v>0</v>
      </c>
      <c r="AC260">
        <f>'RESUMEN TOTAL'!AL265</f>
        <v>0</v>
      </c>
      <c r="AD260">
        <f>'RESUMEN TOTAL'!AM265</f>
        <v>0</v>
      </c>
      <c r="AE260">
        <f>'RESUMEN TOTAL'!AN265</f>
        <v>0</v>
      </c>
      <c r="AF260">
        <f>'RESUMEN TOTAL'!AO265</f>
        <v>0</v>
      </c>
      <c r="AG260">
        <f>'RESUMEN TOTAL'!AP265</f>
        <v>0</v>
      </c>
    </row>
    <row r="261" spans="1:33" x14ac:dyDescent="0.3">
      <c r="A261" t="str">
        <f>'RESUMEN TOTAL'!A266</f>
        <v>SAN NICOLAS</v>
      </c>
      <c r="B261" t="str">
        <f>'RESUMEN TOTAL'!C266</f>
        <v>SNI04 (fija 2)</v>
      </c>
      <c r="C261" t="str">
        <f>'RESUMEN TOTAL'!D266</f>
        <v>SARRATEA Y LOS TREBOLES</v>
      </c>
      <c r="D261" t="str">
        <f>'RESUMEN TOTAL'!E266</f>
        <v>Fija</v>
      </c>
      <c r="E261" t="str">
        <f>'RESUMEN TOTAL'!F266</f>
        <v>Fibra Optica</v>
      </c>
      <c r="F261">
        <f>'RESUMEN TOTAL'!O266</f>
        <v>0</v>
      </c>
      <c r="G261" t="str">
        <f>'RESUMEN TOTAL'!P266</f>
        <v>APAGADO</v>
      </c>
      <c r="H261" t="str">
        <f>'RESUMEN TOTAL'!Q266</f>
        <v>APAGADO</v>
      </c>
      <c r="I261" t="str">
        <f>'RESUMEN TOTAL'!R266</f>
        <v>APAGADO</v>
      </c>
      <c r="J261" t="str">
        <f>'RESUMEN TOTAL'!S266</f>
        <v>APAGADO</v>
      </c>
      <c r="K261" t="str">
        <f>'RESUMEN TOTAL'!T266</f>
        <v>APAGADO</v>
      </c>
      <c r="L261" t="str">
        <f>'RESUMEN TOTAL'!U266</f>
        <v>APAGADO</v>
      </c>
      <c r="M261" t="str">
        <f>'RESUMEN TOTAL'!V266</f>
        <v>APAGADO</v>
      </c>
      <c r="N261" t="str">
        <f>'RESUMEN TOTAL'!W266</f>
        <v>APAGADO</v>
      </c>
      <c r="O261">
        <f>'RESUMEN TOTAL'!X266</f>
        <v>0</v>
      </c>
      <c r="P261">
        <f>'RESUMEN TOTAL'!Y266</f>
        <v>0</v>
      </c>
      <c r="Q261">
        <f>'RESUMEN TOTAL'!Z266</f>
        <v>0</v>
      </c>
      <c r="R261">
        <f>'RESUMEN TOTAL'!AA266</f>
        <v>0</v>
      </c>
      <c r="S261">
        <f>'RESUMEN TOTAL'!AB266</f>
        <v>0</v>
      </c>
      <c r="T261">
        <f>'RESUMEN TOTAL'!AC266</f>
        <v>0</v>
      </c>
      <c r="U261">
        <f>'RESUMEN TOTAL'!AD266</f>
        <v>0</v>
      </c>
      <c r="V261">
        <f>'RESUMEN TOTAL'!AE266</f>
        <v>0</v>
      </c>
      <c r="W261">
        <f>'RESUMEN TOTAL'!AF266</f>
        <v>0</v>
      </c>
      <c r="X261">
        <f>'RESUMEN TOTAL'!AG266</f>
        <v>0</v>
      </c>
      <c r="Y261">
        <f>'RESUMEN TOTAL'!AH266</f>
        <v>0</v>
      </c>
      <c r="Z261">
        <f>'RESUMEN TOTAL'!AI266</f>
        <v>0</v>
      </c>
      <c r="AA261">
        <f>'RESUMEN TOTAL'!AJ266</f>
        <v>0</v>
      </c>
      <c r="AB261">
        <f>'RESUMEN TOTAL'!AK266</f>
        <v>0</v>
      </c>
      <c r="AC261">
        <f>'RESUMEN TOTAL'!AL266</f>
        <v>0</v>
      </c>
      <c r="AD261">
        <f>'RESUMEN TOTAL'!AM266</f>
        <v>0</v>
      </c>
      <c r="AE261">
        <f>'RESUMEN TOTAL'!AN266</f>
        <v>0</v>
      </c>
      <c r="AF261">
        <f>'RESUMEN TOTAL'!AO266</f>
        <v>0</v>
      </c>
      <c r="AG261">
        <f>'RESUMEN TOTAL'!AP266</f>
        <v>0</v>
      </c>
    </row>
    <row r="262" spans="1:33" x14ac:dyDescent="0.3">
      <c r="A262" t="str">
        <f>'RESUMEN TOTAL'!A267</f>
        <v>SANTA ROSA</v>
      </c>
      <c r="B262" t="str">
        <f>'RESUMEN TOTAL'!C267</f>
        <v>SRO 05</v>
      </c>
      <c r="C262" t="str">
        <f>'RESUMEN TOTAL'!D267</f>
        <v>CAFFERATA Y BONN</v>
      </c>
      <c r="D262" t="str">
        <f>'RESUMEN TOTAL'!E267</f>
        <v>DOMO</v>
      </c>
      <c r="E262" t="str">
        <f>'RESUMEN TOTAL'!F267</f>
        <v>Radio</v>
      </c>
      <c r="F262">
        <f>'RESUMEN TOTAL'!O267</f>
        <v>0</v>
      </c>
      <c r="G262">
        <f>'RESUMEN TOTAL'!P267</f>
        <v>0</v>
      </c>
      <c r="H262">
        <f>'RESUMEN TOTAL'!Q267</f>
        <v>0</v>
      </c>
      <c r="I262">
        <f>'RESUMEN TOTAL'!R267</f>
        <v>0</v>
      </c>
      <c r="J262">
        <f>'RESUMEN TOTAL'!S267</f>
        <v>0</v>
      </c>
      <c r="K262">
        <f>'RESUMEN TOTAL'!T267</f>
        <v>0</v>
      </c>
      <c r="L262">
        <f>'RESUMEN TOTAL'!U267</f>
        <v>0</v>
      </c>
      <c r="M262">
        <f>'RESUMEN TOTAL'!V267</f>
        <v>0</v>
      </c>
      <c r="N262">
        <f>'RESUMEN TOTAL'!W267</f>
        <v>0</v>
      </c>
      <c r="O262">
        <f>'RESUMEN TOTAL'!X267</f>
        <v>0</v>
      </c>
      <c r="P262">
        <f>'RESUMEN TOTAL'!Y267</f>
        <v>0</v>
      </c>
      <c r="Q262">
        <f>'RESUMEN TOTAL'!Z267</f>
        <v>0</v>
      </c>
      <c r="R262">
        <f>'RESUMEN TOTAL'!AA267</f>
        <v>0</v>
      </c>
      <c r="S262">
        <f>'RESUMEN TOTAL'!AB267</f>
        <v>0</v>
      </c>
      <c r="T262">
        <f>'RESUMEN TOTAL'!AC267</f>
        <v>0</v>
      </c>
      <c r="U262">
        <f>'RESUMEN TOTAL'!AD267</f>
        <v>0</v>
      </c>
      <c r="V262">
        <f>'RESUMEN TOTAL'!AE267</f>
        <v>0</v>
      </c>
      <c r="W262">
        <f>'RESUMEN TOTAL'!AF267</f>
        <v>0</v>
      </c>
      <c r="X262">
        <f>'RESUMEN TOTAL'!AG267</f>
        <v>0</v>
      </c>
      <c r="Y262">
        <f>'RESUMEN TOTAL'!AH267</f>
        <v>0</v>
      </c>
      <c r="Z262">
        <f>'RESUMEN TOTAL'!AI267</f>
        <v>0</v>
      </c>
      <c r="AA262">
        <f>'RESUMEN TOTAL'!AJ267</f>
        <v>0</v>
      </c>
      <c r="AB262">
        <f>'RESUMEN TOTAL'!AK267</f>
        <v>0</v>
      </c>
      <c r="AC262">
        <f>'RESUMEN TOTAL'!AL267</f>
        <v>0</v>
      </c>
      <c r="AD262">
        <f>'RESUMEN TOTAL'!AM267</f>
        <v>0</v>
      </c>
      <c r="AE262">
        <f>'RESUMEN TOTAL'!AN267</f>
        <v>0</v>
      </c>
      <c r="AF262">
        <f>'RESUMEN TOTAL'!AO267</f>
        <v>0</v>
      </c>
      <c r="AG262">
        <f>'RESUMEN TOTAL'!AP267</f>
        <v>0</v>
      </c>
    </row>
    <row r="263" spans="1:33" x14ac:dyDescent="0.3">
      <c r="A263" t="str">
        <f>'RESUMEN TOTAL'!A268</f>
        <v>SANTA ROSA</v>
      </c>
      <c r="B263" t="str">
        <f>'RESUMEN TOTAL'!C268</f>
        <v>SRO 06</v>
      </c>
      <c r="C263" t="str">
        <f>'RESUMEN TOTAL'!D268</f>
        <v>Novak y Bonn</v>
      </c>
      <c r="D263" t="str">
        <f>'RESUMEN TOTAL'!E268</f>
        <v>Domo</v>
      </c>
      <c r="E263" t="str">
        <f>'RESUMEN TOTAL'!F268</f>
        <v>Fibra Optica</v>
      </c>
      <c r="F263">
        <f>'RESUMEN TOTAL'!O268</f>
        <v>0</v>
      </c>
      <c r="G263">
        <f>'RESUMEN TOTAL'!P268</f>
        <v>0</v>
      </c>
      <c r="H263">
        <f>'RESUMEN TOTAL'!Q268</f>
        <v>0</v>
      </c>
      <c r="I263">
        <f>'RESUMEN TOTAL'!R268</f>
        <v>0</v>
      </c>
      <c r="J263">
        <f>'RESUMEN TOTAL'!S268</f>
        <v>0</v>
      </c>
      <c r="K263">
        <f>'RESUMEN TOTAL'!T268</f>
        <v>0</v>
      </c>
      <c r="L263">
        <f>'RESUMEN TOTAL'!U268</f>
        <v>0</v>
      </c>
      <c r="M263">
        <f>'RESUMEN TOTAL'!V268</f>
        <v>0</v>
      </c>
      <c r="N263">
        <f>'RESUMEN TOTAL'!W268</f>
        <v>0</v>
      </c>
      <c r="O263">
        <f>'RESUMEN TOTAL'!X268</f>
        <v>0</v>
      </c>
      <c r="P263">
        <f>'RESUMEN TOTAL'!Y268</f>
        <v>0</v>
      </c>
      <c r="Q263">
        <f>'RESUMEN TOTAL'!Z268</f>
        <v>0</v>
      </c>
      <c r="R263">
        <f>'RESUMEN TOTAL'!AA268</f>
        <v>0</v>
      </c>
      <c r="S263">
        <f>'RESUMEN TOTAL'!AB268</f>
        <v>0</v>
      </c>
      <c r="T263">
        <f>'RESUMEN TOTAL'!AC268</f>
        <v>0</v>
      </c>
      <c r="U263">
        <f>'RESUMEN TOTAL'!AD268</f>
        <v>0</v>
      </c>
      <c r="V263">
        <f>'RESUMEN TOTAL'!AE268</f>
        <v>0</v>
      </c>
      <c r="W263">
        <f>'RESUMEN TOTAL'!AF268</f>
        <v>0</v>
      </c>
      <c r="X263">
        <f>'RESUMEN TOTAL'!AG268</f>
        <v>0</v>
      </c>
      <c r="Y263">
        <f>'RESUMEN TOTAL'!AH268</f>
        <v>0</v>
      </c>
      <c r="Z263">
        <f>'RESUMEN TOTAL'!AI268</f>
        <v>0</v>
      </c>
      <c r="AA263">
        <f>'RESUMEN TOTAL'!AJ268</f>
        <v>0</v>
      </c>
      <c r="AB263">
        <f>'RESUMEN TOTAL'!AK268</f>
        <v>0</v>
      </c>
      <c r="AC263">
        <f>'RESUMEN TOTAL'!AL268</f>
        <v>0</v>
      </c>
      <c r="AD263">
        <f>'RESUMEN TOTAL'!AM268</f>
        <v>0</v>
      </c>
      <c r="AE263">
        <f>'RESUMEN TOTAL'!AN268</f>
        <v>0</v>
      </c>
      <c r="AF263">
        <f>'RESUMEN TOTAL'!AO268</f>
        <v>0</v>
      </c>
      <c r="AG263">
        <f>'RESUMEN TOTAL'!AP268</f>
        <v>0</v>
      </c>
    </row>
    <row r="264" spans="1:33" x14ac:dyDescent="0.3">
      <c r="A264" t="str">
        <f>'RESUMEN TOTAL'!A269</f>
        <v>SANTA ROSA</v>
      </c>
      <c r="B264" t="str">
        <f>'RESUMEN TOTAL'!C269</f>
        <v>SRO 07</v>
      </c>
      <c r="C264" t="str">
        <f>'RESUMEN TOTAL'!D269</f>
        <v>NOVAK Y BELGICA</v>
      </c>
      <c r="D264" t="str">
        <f>'RESUMEN TOTAL'!E269</f>
        <v>Domo</v>
      </c>
      <c r="E264" t="str">
        <f>'RESUMEN TOTAL'!F269</f>
        <v>Fibra Optica</v>
      </c>
      <c r="F264">
        <f>'RESUMEN TOTAL'!O269</f>
        <v>0</v>
      </c>
      <c r="G264">
        <f>'RESUMEN TOTAL'!P269</f>
        <v>0</v>
      </c>
      <c r="H264">
        <f>'RESUMEN TOTAL'!Q269</f>
        <v>0</v>
      </c>
      <c r="I264">
        <f>'RESUMEN TOTAL'!R269</f>
        <v>0</v>
      </c>
      <c r="J264">
        <f>'RESUMEN TOTAL'!S269</f>
        <v>0</v>
      </c>
      <c r="K264">
        <f>'RESUMEN TOTAL'!T269</f>
        <v>0</v>
      </c>
      <c r="L264">
        <f>'RESUMEN TOTAL'!U269</f>
        <v>0</v>
      </c>
      <c r="M264">
        <f>'RESUMEN TOTAL'!V269</f>
        <v>0</v>
      </c>
      <c r="N264">
        <f>'RESUMEN TOTAL'!W269</f>
        <v>0</v>
      </c>
      <c r="O264">
        <f>'RESUMEN TOTAL'!X269</f>
        <v>0</v>
      </c>
      <c r="P264">
        <f>'RESUMEN TOTAL'!Y269</f>
        <v>0</v>
      </c>
      <c r="Q264">
        <f>'RESUMEN TOTAL'!Z269</f>
        <v>0</v>
      </c>
      <c r="R264">
        <f>'RESUMEN TOTAL'!AA269</f>
        <v>0</v>
      </c>
      <c r="S264">
        <f>'RESUMEN TOTAL'!AB269</f>
        <v>0</v>
      </c>
      <c r="T264">
        <f>'RESUMEN TOTAL'!AC269</f>
        <v>0</v>
      </c>
      <c r="U264">
        <f>'RESUMEN TOTAL'!AD269</f>
        <v>0</v>
      </c>
      <c r="V264">
        <f>'RESUMEN TOTAL'!AE269</f>
        <v>0</v>
      </c>
      <c r="W264">
        <f>'RESUMEN TOTAL'!AF269</f>
        <v>0</v>
      </c>
      <c r="X264">
        <f>'RESUMEN TOTAL'!AG269</f>
        <v>0</v>
      </c>
      <c r="Y264">
        <f>'RESUMEN TOTAL'!AH269</f>
        <v>0</v>
      </c>
      <c r="Z264">
        <f>'RESUMEN TOTAL'!AI269</f>
        <v>0</v>
      </c>
      <c r="AA264">
        <f>'RESUMEN TOTAL'!AJ269</f>
        <v>0</v>
      </c>
      <c r="AB264">
        <f>'RESUMEN TOTAL'!AK269</f>
        <v>0</v>
      </c>
      <c r="AC264">
        <f>'RESUMEN TOTAL'!AL269</f>
        <v>0</v>
      </c>
      <c r="AD264">
        <f>'RESUMEN TOTAL'!AM269</f>
        <v>0</v>
      </c>
      <c r="AE264">
        <f>'RESUMEN TOTAL'!AN269</f>
        <v>0</v>
      </c>
      <c r="AF264">
        <f>'RESUMEN TOTAL'!AO269</f>
        <v>0</v>
      </c>
      <c r="AG264">
        <f>'RESUMEN TOTAL'!AP269</f>
        <v>0</v>
      </c>
    </row>
    <row r="265" spans="1:33" x14ac:dyDescent="0.3">
      <c r="A265" t="str">
        <f>'RESUMEN TOTAL'!A270</f>
        <v>SANTA ROSA</v>
      </c>
      <c r="B265" t="str">
        <f>'RESUMEN TOTAL'!C270</f>
        <v>SRO 08</v>
      </c>
      <c r="C265" t="str">
        <f>'RESUMEN TOTAL'!D270</f>
        <v>NOVAK E/ DESSY Y BELGICA (POLIDEPORTIVO LA PATRIADA)</v>
      </c>
      <c r="D265" t="str">
        <f>'RESUMEN TOTAL'!E270</f>
        <v>Domo</v>
      </c>
      <c r="E265" t="str">
        <f>'RESUMEN TOTAL'!F270</f>
        <v>Fibra Optica</v>
      </c>
      <c r="F265">
        <f>'RESUMEN TOTAL'!O270</f>
        <v>0</v>
      </c>
      <c r="G265">
        <f>'RESUMEN TOTAL'!P270</f>
        <v>0</v>
      </c>
      <c r="H265">
        <f>'RESUMEN TOTAL'!Q270</f>
        <v>0</v>
      </c>
      <c r="I265">
        <f>'RESUMEN TOTAL'!R270</f>
        <v>0</v>
      </c>
      <c r="J265">
        <f>'RESUMEN TOTAL'!S270</f>
        <v>0</v>
      </c>
      <c r="K265">
        <f>'RESUMEN TOTAL'!T270</f>
        <v>0</v>
      </c>
      <c r="L265">
        <f>'RESUMEN TOTAL'!U270</f>
        <v>0</v>
      </c>
      <c r="M265">
        <f>'RESUMEN TOTAL'!V270</f>
        <v>0</v>
      </c>
      <c r="N265">
        <f>'RESUMEN TOTAL'!W270</f>
        <v>0</v>
      </c>
      <c r="O265">
        <f>'RESUMEN TOTAL'!X270</f>
        <v>0</v>
      </c>
      <c r="P265">
        <f>'RESUMEN TOTAL'!Y270</f>
        <v>0</v>
      </c>
      <c r="Q265">
        <f>'RESUMEN TOTAL'!Z270</f>
        <v>0</v>
      </c>
      <c r="R265">
        <f>'RESUMEN TOTAL'!AA270</f>
        <v>0</v>
      </c>
      <c r="S265">
        <f>'RESUMEN TOTAL'!AB270</f>
        <v>0</v>
      </c>
      <c r="T265">
        <f>'RESUMEN TOTAL'!AC270</f>
        <v>0</v>
      </c>
      <c r="U265">
        <f>'RESUMEN TOTAL'!AD270</f>
        <v>0</v>
      </c>
      <c r="V265">
        <f>'RESUMEN TOTAL'!AE270</f>
        <v>0</v>
      </c>
      <c r="W265">
        <f>'RESUMEN TOTAL'!AF270</f>
        <v>0</v>
      </c>
      <c r="X265">
        <f>'RESUMEN TOTAL'!AG270</f>
        <v>0</v>
      </c>
      <c r="Y265">
        <f>'RESUMEN TOTAL'!AH270</f>
        <v>0</v>
      </c>
      <c r="Z265">
        <f>'RESUMEN TOTAL'!AI270</f>
        <v>0</v>
      </c>
      <c r="AA265">
        <f>'RESUMEN TOTAL'!AJ270</f>
        <v>0</v>
      </c>
      <c r="AB265">
        <f>'RESUMEN TOTAL'!AK270</f>
        <v>0</v>
      </c>
      <c r="AC265">
        <f>'RESUMEN TOTAL'!AL270</f>
        <v>0</v>
      </c>
      <c r="AD265">
        <f>'RESUMEN TOTAL'!AM270</f>
        <v>0</v>
      </c>
      <c r="AE265">
        <f>'RESUMEN TOTAL'!AN270</f>
        <v>0</v>
      </c>
      <c r="AF265">
        <f>'RESUMEN TOTAL'!AO270</f>
        <v>0</v>
      </c>
      <c r="AG265">
        <f>'RESUMEN TOTAL'!AP270</f>
        <v>0</v>
      </c>
    </row>
    <row r="266" spans="1:33" x14ac:dyDescent="0.3">
      <c r="A266" t="str">
        <f>'RESUMEN TOTAL'!A271</f>
        <v>SANTA ROSA</v>
      </c>
      <c r="B266" t="str">
        <f>'RESUMEN TOTAL'!C271</f>
        <v>SRO 09</v>
      </c>
      <c r="C266" t="str">
        <f>'RESUMEN TOTAL'!D271</f>
        <v>BUCAREST E/ ALEMANIA Y CAFFERATA</v>
      </c>
      <c r="D266" t="str">
        <f>'RESUMEN TOTAL'!E271</f>
        <v>DOMO</v>
      </c>
      <c r="E266" t="str">
        <f>'RESUMEN TOTAL'!F271</f>
        <v>Radio</v>
      </c>
      <c r="F266">
        <f>'RESUMEN TOTAL'!O271</f>
        <v>0</v>
      </c>
      <c r="G266">
        <f>'RESUMEN TOTAL'!P271</f>
        <v>0</v>
      </c>
      <c r="H266">
        <f>'RESUMEN TOTAL'!Q271</f>
        <v>0</v>
      </c>
      <c r="I266">
        <f>'RESUMEN TOTAL'!R271</f>
        <v>0</v>
      </c>
      <c r="J266">
        <f>'RESUMEN TOTAL'!S271</f>
        <v>0</v>
      </c>
      <c r="K266">
        <f>'RESUMEN TOTAL'!T271</f>
        <v>0</v>
      </c>
      <c r="L266">
        <f>'RESUMEN TOTAL'!U271</f>
        <v>0</v>
      </c>
      <c r="M266">
        <f>'RESUMEN TOTAL'!V271</f>
        <v>0</v>
      </c>
      <c r="N266">
        <f>'RESUMEN TOTAL'!W271</f>
        <v>0</v>
      </c>
      <c r="O266">
        <f>'RESUMEN TOTAL'!X271</f>
        <v>0</v>
      </c>
      <c r="P266">
        <f>'RESUMEN TOTAL'!Y271</f>
        <v>0</v>
      </c>
      <c r="Q266">
        <f>'RESUMEN TOTAL'!Z271</f>
        <v>0</v>
      </c>
      <c r="R266">
        <f>'RESUMEN TOTAL'!AA271</f>
        <v>0</v>
      </c>
      <c r="S266">
        <f>'RESUMEN TOTAL'!AB271</f>
        <v>0</v>
      </c>
      <c r="T266">
        <f>'RESUMEN TOTAL'!AC271</f>
        <v>0</v>
      </c>
      <c r="U266">
        <f>'RESUMEN TOTAL'!AD271</f>
        <v>0</v>
      </c>
      <c r="V266">
        <f>'RESUMEN TOTAL'!AE271</f>
        <v>0</v>
      </c>
      <c r="W266">
        <f>'RESUMEN TOTAL'!AF271</f>
        <v>0</v>
      </c>
      <c r="X266">
        <f>'RESUMEN TOTAL'!AG271</f>
        <v>0</v>
      </c>
      <c r="Y266">
        <f>'RESUMEN TOTAL'!AH271</f>
        <v>0</v>
      </c>
      <c r="Z266">
        <f>'RESUMEN TOTAL'!AI271</f>
        <v>0</v>
      </c>
      <c r="AA266">
        <f>'RESUMEN TOTAL'!AJ271</f>
        <v>0</v>
      </c>
      <c r="AB266">
        <f>'RESUMEN TOTAL'!AK271</f>
        <v>0</v>
      </c>
      <c r="AC266">
        <f>'RESUMEN TOTAL'!AL271</f>
        <v>0</v>
      </c>
      <c r="AD266">
        <f>'RESUMEN TOTAL'!AM271</f>
        <v>0</v>
      </c>
      <c r="AE266">
        <f>'RESUMEN TOTAL'!AN271</f>
        <v>0</v>
      </c>
      <c r="AF266">
        <f>'RESUMEN TOTAL'!AO271</f>
        <v>0</v>
      </c>
      <c r="AG266">
        <f>'RESUMEN TOTAL'!AP271</f>
        <v>0</v>
      </c>
    </row>
    <row r="267" spans="1:33" x14ac:dyDescent="0.3">
      <c r="A267" t="str">
        <f>'RESUMEN TOTAL'!A272</f>
        <v>SANTA ROSA</v>
      </c>
      <c r="B267" t="str">
        <f>'RESUMEN TOTAL'!C272</f>
        <v>SRO 10</v>
      </c>
      <c r="C267" t="str">
        <f>'RESUMEN TOTAL'!D272</f>
        <v>DINAMARCA Y MILAN</v>
      </c>
      <c r="D267" t="str">
        <f>'RESUMEN TOTAL'!E272</f>
        <v>DOMO</v>
      </c>
      <c r="E267" t="str">
        <f>'RESUMEN TOTAL'!F272</f>
        <v>Radio</v>
      </c>
      <c r="F267">
        <f>'RESUMEN TOTAL'!O272</f>
        <v>0</v>
      </c>
      <c r="G267">
        <f>'RESUMEN TOTAL'!P272</f>
        <v>0</v>
      </c>
      <c r="H267">
        <f>'RESUMEN TOTAL'!Q272</f>
        <v>0</v>
      </c>
      <c r="I267">
        <f>'RESUMEN TOTAL'!R272</f>
        <v>0</v>
      </c>
      <c r="J267">
        <f>'RESUMEN TOTAL'!S272</f>
        <v>0</v>
      </c>
      <c r="K267">
        <f>'RESUMEN TOTAL'!T272</f>
        <v>0</v>
      </c>
      <c r="L267">
        <f>'RESUMEN TOTAL'!U272</f>
        <v>0</v>
      </c>
      <c r="M267">
        <f>'RESUMEN TOTAL'!V272</f>
        <v>0</v>
      </c>
      <c r="N267">
        <f>'RESUMEN TOTAL'!W272</f>
        <v>0</v>
      </c>
      <c r="O267">
        <f>'RESUMEN TOTAL'!X272</f>
        <v>0</v>
      </c>
      <c r="P267">
        <f>'RESUMEN TOTAL'!Y272</f>
        <v>0</v>
      </c>
      <c r="Q267">
        <f>'RESUMEN TOTAL'!Z272</f>
        <v>0</v>
      </c>
      <c r="R267">
        <f>'RESUMEN TOTAL'!AA272</f>
        <v>0</v>
      </c>
      <c r="S267">
        <f>'RESUMEN TOTAL'!AB272</f>
        <v>0</v>
      </c>
      <c r="T267">
        <f>'RESUMEN TOTAL'!AC272</f>
        <v>0</v>
      </c>
      <c r="U267">
        <f>'RESUMEN TOTAL'!AD272</f>
        <v>0</v>
      </c>
      <c r="V267">
        <f>'RESUMEN TOTAL'!AE272</f>
        <v>0</v>
      </c>
      <c r="W267">
        <f>'RESUMEN TOTAL'!AF272</f>
        <v>0</v>
      </c>
      <c r="X267">
        <f>'RESUMEN TOTAL'!AG272</f>
        <v>0</v>
      </c>
      <c r="Y267">
        <f>'RESUMEN TOTAL'!AH272</f>
        <v>0</v>
      </c>
      <c r="Z267">
        <f>'RESUMEN TOTAL'!AI272</f>
        <v>0</v>
      </c>
      <c r="AA267">
        <f>'RESUMEN TOTAL'!AJ272</f>
        <v>0</v>
      </c>
      <c r="AB267">
        <f>'RESUMEN TOTAL'!AK272</f>
        <v>0</v>
      </c>
      <c r="AC267">
        <f>'RESUMEN TOTAL'!AL272</f>
        <v>0</v>
      </c>
      <c r="AD267">
        <f>'RESUMEN TOTAL'!AM272</f>
        <v>0</v>
      </c>
      <c r="AE267">
        <f>'RESUMEN TOTAL'!AN272</f>
        <v>0</v>
      </c>
      <c r="AF267">
        <f>'RESUMEN TOTAL'!AO272</f>
        <v>0</v>
      </c>
      <c r="AG267">
        <f>'RESUMEN TOTAL'!AP272</f>
        <v>0</v>
      </c>
    </row>
    <row r="268" spans="1:33" x14ac:dyDescent="0.3">
      <c r="A268" t="str">
        <f>'RESUMEN TOTAL'!A273</f>
        <v>SANTA ROSA</v>
      </c>
      <c r="B268" t="str">
        <f>'RESUMEN TOTAL'!C273</f>
        <v>SRO 16 (fija 1)</v>
      </c>
      <c r="C268" t="str">
        <f>'RESUMEN TOTAL'!D273</f>
        <v>ANDORRA E/ BELGICA Y SAN MARINO</v>
      </c>
      <c r="D268" t="str">
        <f>'RESUMEN TOTAL'!E273</f>
        <v>Fija</v>
      </c>
      <c r="E268" t="str">
        <f>'RESUMEN TOTAL'!F273</f>
        <v>Fibra Optica</v>
      </c>
      <c r="F268" t="str">
        <f>'RESUMEN TOTAL'!O273</f>
        <v>APAGADO</v>
      </c>
      <c r="G268" t="str">
        <f>'RESUMEN TOTAL'!P273</f>
        <v>APAGADO</v>
      </c>
      <c r="H268" t="str">
        <f>'RESUMEN TOTAL'!Q273</f>
        <v>APAGADO</v>
      </c>
      <c r="I268" t="str">
        <f>'RESUMEN TOTAL'!R273</f>
        <v>APAGADO</v>
      </c>
      <c r="J268" t="str">
        <f>'RESUMEN TOTAL'!S273</f>
        <v>APAGADO</v>
      </c>
      <c r="K268" t="str">
        <f>'RESUMEN TOTAL'!T273</f>
        <v>APAGADO</v>
      </c>
      <c r="L268">
        <f>'RESUMEN TOTAL'!U273</f>
        <v>0</v>
      </c>
      <c r="M268" t="str">
        <f>'RESUMEN TOTAL'!V273</f>
        <v>APAGADO</v>
      </c>
      <c r="N268" t="str">
        <f>'RESUMEN TOTAL'!W273</f>
        <v>APAGADO</v>
      </c>
      <c r="O268" t="str">
        <f>'RESUMEN TOTAL'!X273</f>
        <v>APAGADO</v>
      </c>
      <c r="P268" t="str">
        <f>'RESUMEN TOTAL'!Y273</f>
        <v>APAGADO</v>
      </c>
      <c r="Q268" t="str">
        <f>'RESUMEN TOTAL'!Z273</f>
        <v>APAGADO</v>
      </c>
      <c r="R268" t="str">
        <f>'RESUMEN TOTAL'!AA273</f>
        <v>APAGADO</v>
      </c>
      <c r="S268" t="str">
        <f>'RESUMEN TOTAL'!AB273</f>
        <v>APAGADO</v>
      </c>
      <c r="T268">
        <f>'RESUMEN TOTAL'!AC273</f>
        <v>0</v>
      </c>
      <c r="U268">
        <f>'RESUMEN TOTAL'!AD273</f>
        <v>0</v>
      </c>
      <c r="V268">
        <f>'RESUMEN TOTAL'!AE273</f>
        <v>0</v>
      </c>
      <c r="W268">
        <f>'RESUMEN TOTAL'!AF273</f>
        <v>0</v>
      </c>
      <c r="X268">
        <f>'RESUMEN TOTAL'!AG273</f>
        <v>0</v>
      </c>
      <c r="Y268">
        <f>'RESUMEN TOTAL'!AH273</f>
        <v>0</v>
      </c>
      <c r="Z268">
        <f>'RESUMEN TOTAL'!AI273</f>
        <v>0</v>
      </c>
      <c r="AA268">
        <f>'RESUMEN TOTAL'!AJ273</f>
        <v>0</v>
      </c>
      <c r="AB268">
        <f>'RESUMEN TOTAL'!AK273</f>
        <v>0</v>
      </c>
      <c r="AC268">
        <f>'RESUMEN TOTAL'!AL273</f>
        <v>0</v>
      </c>
      <c r="AD268">
        <f>'RESUMEN TOTAL'!AM273</f>
        <v>0</v>
      </c>
      <c r="AE268">
        <f>'RESUMEN TOTAL'!AN273</f>
        <v>0</v>
      </c>
      <c r="AF268">
        <f>'RESUMEN TOTAL'!AO273</f>
        <v>0</v>
      </c>
      <c r="AG268">
        <f>'RESUMEN TOTAL'!AP273</f>
        <v>0</v>
      </c>
    </row>
    <row r="269" spans="1:33" x14ac:dyDescent="0.3">
      <c r="A269" t="str">
        <f>'RESUMEN TOTAL'!A274</f>
        <v>SANTA ROSA</v>
      </c>
      <c r="B269" t="str">
        <f>'RESUMEN TOTAL'!C274</f>
        <v>SRO 17 (fija 2)</v>
      </c>
      <c r="C269" t="str">
        <f>'RESUMEN TOTAL'!D274</f>
        <v>ANDORRA E/ BELGICA Y SAN MARINO</v>
      </c>
      <c r="D269" t="str">
        <f>'RESUMEN TOTAL'!E274</f>
        <v>Fija</v>
      </c>
      <c r="E269" t="str">
        <f>'RESUMEN TOTAL'!F274</f>
        <v>Fibra Optica</v>
      </c>
      <c r="F269" t="str">
        <f>'RESUMEN TOTAL'!O274</f>
        <v>APAGADO</v>
      </c>
      <c r="G269" t="str">
        <f>'RESUMEN TOTAL'!P274</f>
        <v>APAGADO</v>
      </c>
      <c r="H269" t="str">
        <f>'RESUMEN TOTAL'!Q274</f>
        <v>APAGADO</v>
      </c>
      <c r="I269" t="str">
        <f>'RESUMEN TOTAL'!R274</f>
        <v>APAGADO</v>
      </c>
      <c r="J269" t="str">
        <f>'RESUMEN TOTAL'!S274</f>
        <v>APAGADO</v>
      </c>
      <c r="K269" t="str">
        <f>'RESUMEN TOTAL'!T274</f>
        <v>APAGADO</v>
      </c>
      <c r="L269">
        <f>'RESUMEN TOTAL'!U274</f>
        <v>0</v>
      </c>
      <c r="M269" t="str">
        <f>'RESUMEN TOTAL'!V274</f>
        <v>APAGADO</v>
      </c>
      <c r="N269" t="str">
        <f>'RESUMEN TOTAL'!W274</f>
        <v>APAGADO</v>
      </c>
      <c r="O269" t="str">
        <f>'RESUMEN TOTAL'!X274</f>
        <v>APAGADO</v>
      </c>
      <c r="P269" t="str">
        <f>'RESUMEN TOTAL'!Y274</f>
        <v>APAGADO</v>
      </c>
      <c r="Q269">
        <f>'RESUMEN TOTAL'!Z274</f>
        <v>0</v>
      </c>
      <c r="R269" t="str">
        <f>'RESUMEN TOTAL'!AA274</f>
        <v>APAGADO</v>
      </c>
      <c r="S269" t="str">
        <f>'RESUMEN TOTAL'!AB274</f>
        <v>APAGADO</v>
      </c>
      <c r="T269">
        <f>'RESUMEN TOTAL'!AC274</f>
        <v>0</v>
      </c>
      <c r="U269">
        <f>'RESUMEN TOTAL'!AD274</f>
        <v>0</v>
      </c>
      <c r="V269">
        <f>'RESUMEN TOTAL'!AE274</f>
        <v>0</v>
      </c>
      <c r="W269">
        <f>'RESUMEN TOTAL'!AF274</f>
        <v>0</v>
      </c>
      <c r="X269">
        <f>'RESUMEN TOTAL'!AG274</f>
        <v>0</v>
      </c>
      <c r="Y269">
        <f>'RESUMEN TOTAL'!AH274</f>
        <v>0</v>
      </c>
      <c r="Z269">
        <f>'RESUMEN TOTAL'!AI274</f>
        <v>0</v>
      </c>
      <c r="AA269">
        <f>'RESUMEN TOTAL'!AJ274</f>
        <v>0</v>
      </c>
      <c r="AB269">
        <f>'RESUMEN TOTAL'!AK274</f>
        <v>0</v>
      </c>
      <c r="AC269">
        <f>'RESUMEN TOTAL'!AL274</f>
        <v>0</v>
      </c>
      <c r="AD269">
        <f>'RESUMEN TOTAL'!AM274</f>
        <v>0</v>
      </c>
      <c r="AE269">
        <f>'RESUMEN TOTAL'!AN274</f>
        <v>0</v>
      </c>
      <c r="AF269">
        <f>'RESUMEN TOTAL'!AO274</f>
        <v>0</v>
      </c>
      <c r="AG269">
        <f>'RESUMEN TOTAL'!AP274</f>
        <v>0</v>
      </c>
    </row>
    <row r="270" spans="1:33" x14ac:dyDescent="0.3">
      <c r="A270" t="str">
        <f>'RESUMEN TOTAL'!A275</f>
        <v>SANTA ROSA</v>
      </c>
      <c r="B270" t="str">
        <f>'RESUMEN TOTAL'!C275</f>
        <v>SRO01</v>
      </c>
      <c r="C270" t="str">
        <f>'RESUMEN TOTAL'!D275</f>
        <v>Yugoslavia y Milani</v>
      </c>
      <c r="D270" t="str">
        <f>'RESUMEN TOTAL'!E275</f>
        <v>Domo</v>
      </c>
      <c r="E270" t="str">
        <f>'RESUMEN TOTAL'!F275</f>
        <v>Radio</v>
      </c>
      <c r="F270">
        <f>'RESUMEN TOTAL'!O275</f>
        <v>0</v>
      </c>
      <c r="G270">
        <f>'RESUMEN TOTAL'!P275</f>
        <v>0</v>
      </c>
      <c r="H270">
        <f>'RESUMEN TOTAL'!Q275</f>
        <v>0</v>
      </c>
      <c r="I270">
        <f>'RESUMEN TOTAL'!R275</f>
        <v>0</v>
      </c>
      <c r="J270">
        <f>'RESUMEN TOTAL'!S275</f>
        <v>0</v>
      </c>
      <c r="K270">
        <f>'RESUMEN TOTAL'!T275</f>
        <v>0</v>
      </c>
      <c r="L270">
        <f>'RESUMEN TOTAL'!U275</f>
        <v>0</v>
      </c>
      <c r="M270">
        <f>'RESUMEN TOTAL'!V275</f>
        <v>0</v>
      </c>
      <c r="N270">
        <f>'RESUMEN TOTAL'!W275</f>
        <v>0</v>
      </c>
      <c r="O270">
        <f>'RESUMEN TOTAL'!X275</f>
        <v>0</v>
      </c>
      <c r="P270">
        <f>'RESUMEN TOTAL'!Y275</f>
        <v>0</v>
      </c>
      <c r="Q270">
        <f>'RESUMEN TOTAL'!Z275</f>
        <v>0</v>
      </c>
      <c r="R270">
        <f>'RESUMEN TOTAL'!AA275</f>
        <v>0</v>
      </c>
      <c r="S270">
        <f>'RESUMEN TOTAL'!AB275</f>
        <v>0</v>
      </c>
      <c r="T270">
        <f>'RESUMEN TOTAL'!AC275</f>
        <v>0</v>
      </c>
      <c r="U270">
        <f>'RESUMEN TOTAL'!AD275</f>
        <v>0</v>
      </c>
      <c r="V270">
        <f>'RESUMEN TOTAL'!AE275</f>
        <v>0</v>
      </c>
      <c r="W270">
        <f>'RESUMEN TOTAL'!AF275</f>
        <v>0</v>
      </c>
      <c r="X270">
        <f>'RESUMEN TOTAL'!AG275</f>
        <v>0</v>
      </c>
      <c r="Y270">
        <f>'RESUMEN TOTAL'!AH275</f>
        <v>0</v>
      </c>
      <c r="Z270">
        <f>'RESUMEN TOTAL'!AI275</f>
        <v>0</v>
      </c>
      <c r="AA270">
        <f>'RESUMEN TOTAL'!AJ275</f>
        <v>0</v>
      </c>
      <c r="AB270">
        <f>'RESUMEN TOTAL'!AK275</f>
        <v>0</v>
      </c>
      <c r="AC270">
        <f>'RESUMEN TOTAL'!AL275</f>
        <v>0</v>
      </c>
      <c r="AD270">
        <f>'RESUMEN TOTAL'!AM275</f>
        <v>0</v>
      </c>
      <c r="AE270">
        <f>'RESUMEN TOTAL'!AN275</f>
        <v>0</v>
      </c>
      <c r="AF270">
        <f>'RESUMEN TOTAL'!AO275</f>
        <v>0</v>
      </c>
      <c r="AG270">
        <f>'RESUMEN TOTAL'!AP275</f>
        <v>0</v>
      </c>
    </row>
    <row r="271" spans="1:33" x14ac:dyDescent="0.3">
      <c r="A271" t="str">
        <f>'RESUMEN TOTAL'!A276</f>
        <v>ZONA RURAL SANTA ROSA</v>
      </c>
      <c r="B271" t="str">
        <f>'RESUMEN TOTAL'!C276</f>
        <v>SRO02</v>
      </c>
      <c r="C271" t="str">
        <f>'RESUMEN TOTAL'!D276</f>
        <v>Bruselas y Calle 448</v>
      </c>
      <c r="D271" t="str">
        <f>'RESUMEN TOTAL'!E276</f>
        <v>Domo</v>
      </c>
      <c r="E271" t="str">
        <f>'RESUMEN TOTAL'!F276</f>
        <v>Radio</v>
      </c>
      <c r="F271">
        <f>'RESUMEN TOTAL'!O276</f>
        <v>0</v>
      </c>
      <c r="G271">
        <f>'RESUMEN TOTAL'!P276</f>
        <v>0</v>
      </c>
      <c r="H271">
        <f>'RESUMEN TOTAL'!Q276</f>
        <v>0</v>
      </c>
      <c r="I271">
        <f>'RESUMEN TOTAL'!R276</f>
        <v>0</v>
      </c>
      <c r="J271">
        <f>'RESUMEN TOTAL'!S276</f>
        <v>0</v>
      </c>
      <c r="K271">
        <f>'RESUMEN TOTAL'!T276</f>
        <v>0</v>
      </c>
      <c r="L271">
        <f>'RESUMEN TOTAL'!U276</f>
        <v>0</v>
      </c>
      <c r="M271">
        <f>'RESUMEN TOTAL'!V276</f>
        <v>0</v>
      </c>
      <c r="N271">
        <f>'RESUMEN TOTAL'!W276</f>
        <v>0</v>
      </c>
      <c r="O271">
        <f>'RESUMEN TOTAL'!X276</f>
        <v>0</v>
      </c>
      <c r="P271">
        <f>'RESUMEN TOTAL'!Y276</f>
        <v>0</v>
      </c>
      <c r="Q271">
        <f>'RESUMEN TOTAL'!Z276</f>
        <v>0</v>
      </c>
      <c r="R271">
        <f>'RESUMEN TOTAL'!AA276</f>
        <v>0</v>
      </c>
      <c r="S271">
        <f>'RESUMEN TOTAL'!AB276</f>
        <v>0</v>
      </c>
      <c r="T271">
        <f>'RESUMEN TOTAL'!AC276</f>
        <v>0</v>
      </c>
      <c r="U271">
        <f>'RESUMEN TOTAL'!AD276</f>
        <v>0</v>
      </c>
      <c r="V271">
        <f>'RESUMEN TOTAL'!AE276</f>
        <v>0</v>
      </c>
      <c r="W271">
        <f>'RESUMEN TOTAL'!AF276</f>
        <v>0</v>
      </c>
      <c r="X271">
        <f>'RESUMEN TOTAL'!AG276</f>
        <v>0</v>
      </c>
      <c r="Y271">
        <f>'RESUMEN TOTAL'!AH276</f>
        <v>0</v>
      </c>
      <c r="Z271">
        <f>'RESUMEN TOTAL'!AI276</f>
        <v>0</v>
      </c>
      <c r="AA271">
        <f>'RESUMEN TOTAL'!AJ276</f>
        <v>0</v>
      </c>
      <c r="AB271">
        <f>'RESUMEN TOTAL'!AK276</f>
        <v>0</v>
      </c>
      <c r="AC271">
        <f>'RESUMEN TOTAL'!AL276</f>
        <v>0</v>
      </c>
      <c r="AD271">
        <f>'RESUMEN TOTAL'!AM276</f>
        <v>0</v>
      </c>
      <c r="AE271">
        <f>'RESUMEN TOTAL'!AN276</f>
        <v>0</v>
      </c>
      <c r="AF271">
        <f>'RESUMEN TOTAL'!AO276</f>
        <v>0</v>
      </c>
      <c r="AG271">
        <f>'RESUMEN TOTAL'!AP276</f>
        <v>0</v>
      </c>
    </row>
    <row r="272" spans="1:33" x14ac:dyDescent="0.3">
      <c r="A272" t="str">
        <f>'RESUMEN TOTAL'!A277</f>
        <v>SANTA ROSA</v>
      </c>
      <c r="B272" t="str">
        <f>'RESUMEN TOTAL'!C277</f>
        <v>SRO03</v>
      </c>
      <c r="C272" t="str">
        <f>'RESUMEN TOTAL'!D277</f>
        <v>Eva Peron y Paysandu</v>
      </c>
      <c r="D272" t="str">
        <f>'RESUMEN TOTAL'!E277</f>
        <v>Domo</v>
      </c>
      <c r="E272" t="str">
        <f>'RESUMEN TOTAL'!F277</f>
        <v>Radio</v>
      </c>
      <c r="F272">
        <f>'RESUMEN TOTAL'!O277</f>
        <v>0</v>
      </c>
      <c r="G272">
        <f>'RESUMEN TOTAL'!P277</f>
        <v>0</v>
      </c>
      <c r="H272">
        <f>'RESUMEN TOTAL'!Q277</f>
        <v>0</v>
      </c>
      <c r="I272">
        <f>'RESUMEN TOTAL'!R277</f>
        <v>0</v>
      </c>
      <c r="J272">
        <f>'RESUMEN TOTAL'!S277</f>
        <v>0</v>
      </c>
      <c r="K272">
        <f>'RESUMEN TOTAL'!T277</f>
        <v>0</v>
      </c>
      <c r="L272">
        <f>'RESUMEN TOTAL'!U277</f>
        <v>0</v>
      </c>
      <c r="M272">
        <f>'RESUMEN TOTAL'!V277</f>
        <v>0</v>
      </c>
      <c r="N272">
        <f>'RESUMEN TOTAL'!W277</f>
        <v>0</v>
      </c>
      <c r="O272">
        <f>'RESUMEN TOTAL'!X277</f>
        <v>0</v>
      </c>
      <c r="P272">
        <f>'RESUMEN TOTAL'!Y277</f>
        <v>0</v>
      </c>
      <c r="Q272">
        <f>'RESUMEN TOTAL'!Z277</f>
        <v>0</v>
      </c>
      <c r="R272">
        <f>'RESUMEN TOTAL'!AA277</f>
        <v>0</v>
      </c>
      <c r="S272">
        <f>'RESUMEN TOTAL'!AB277</f>
        <v>0</v>
      </c>
      <c r="T272">
        <f>'RESUMEN TOTAL'!AC277</f>
        <v>0</v>
      </c>
      <c r="U272">
        <f>'RESUMEN TOTAL'!AD277</f>
        <v>0</v>
      </c>
      <c r="V272">
        <f>'RESUMEN TOTAL'!AE277</f>
        <v>0</v>
      </c>
      <c r="W272">
        <f>'RESUMEN TOTAL'!AF277</f>
        <v>0</v>
      </c>
      <c r="X272">
        <f>'RESUMEN TOTAL'!AG277</f>
        <v>0</v>
      </c>
      <c r="Y272">
        <f>'RESUMEN TOTAL'!AH277</f>
        <v>0</v>
      </c>
      <c r="Z272">
        <f>'RESUMEN TOTAL'!AI277</f>
        <v>0</v>
      </c>
      <c r="AA272">
        <f>'RESUMEN TOTAL'!AJ277</f>
        <v>0</v>
      </c>
      <c r="AB272">
        <f>'RESUMEN TOTAL'!AK277</f>
        <v>0</v>
      </c>
      <c r="AC272">
        <f>'RESUMEN TOTAL'!AL277</f>
        <v>0</v>
      </c>
      <c r="AD272">
        <f>'RESUMEN TOTAL'!AM277</f>
        <v>0</v>
      </c>
      <c r="AE272">
        <f>'RESUMEN TOTAL'!AN277</f>
        <v>0</v>
      </c>
      <c r="AF272">
        <f>'RESUMEN TOTAL'!AO277</f>
        <v>0</v>
      </c>
      <c r="AG272">
        <f>'RESUMEN TOTAL'!AP277</f>
        <v>0</v>
      </c>
    </row>
    <row r="273" spans="1:33" x14ac:dyDescent="0.3">
      <c r="A273" t="str">
        <f>'RESUMEN TOTAL'!A278</f>
        <v>SANTA ROSA</v>
      </c>
      <c r="B273" t="str">
        <f>'RESUMEN TOTAL'!C278</f>
        <v>SRO04</v>
      </c>
      <c r="C273" t="str">
        <f>'RESUMEN TOTAL'!D278</f>
        <v>Belgica y Andorra</v>
      </c>
      <c r="D273" t="str">
        <f>'RESUMEN TOTAL'!E278</f>
        <v>Domo</v>
      </c>
      <c r="E273" t="str">
        <f>'RESUMEN TOTAL'!F278</f>
        <v>Radio</v>
      </c>
      <c r="F273">
        <f>'RESUMEN TOTAL'!O278</f>
        <v>0</v>
      </c>
      <c r="G273" t="str">
        <f>'RESUMEN TOTAL'!P278</f>
        <v>APAGADO</v>
      </c>
      <c r="H273" t="str">
        <f>'RESUMEN TOTAL'!Q278</f>
        <v>APAGADO</v>
      </c>
      <c r="I273" t="str">
        <f>'RESUMEN TOTAL'!R278</f>
        <v>APAGADO</v>
      </c>
      <c r="J273">
        <f>'RESUMEN TOTAL'!S278</f>
        <v>0</v>
      </c>
      <c r="K273">
        <f>'RESUMEN TOTAL'!T278</f>
        <v>0</v>
      </c>
      <c r="L273">
        <f>'RESUMEN TOTAL'!U278</f>
        <v>0</v>
      </c>
      <c r="M273">
        <f>'RESUMEN TOTAL'!V278</f>
        <v>0</v>
      </c>
      <c r="N273">
        <f>'RESUMEN TOTAL'!W278</f>
        <v>0</v>
      </c>
      <c r="O273">
        <f>'RESUMEN TOTAL'!X278</f>
        <v>0</v>
      </c>
      <c r="P273">
        <f>'RESUMEN TOTAL'!Y278</f>
        <v>0</v>
      </c>
      <c r="Q273">
        <f>'RESUMEN TOTAL'!Z278</f>
        <v>0</v>
      </c>
      <c r="R273">
        <f>'RESUMEN TOTAL'!AA278</f>
        <v>0</v>
      </c>
      <c r="S273">
        <f>'RESUMEN TOTAL'!AB278</f>
        <v>0</v>
      </c>
      <c r="T273">
        <f>'RESUMEN TOTAL'!AC278</f>
        <v>0</v>
      </c>
      <c r="U273">
        <f>'RESUMEN TOTAL'!AD278</f>
        <v>0</v>
      </c>
      <c r="V273">
        <f>'RESUMEN TOTAL'!AE278</f>
        <v>0</v>
      </c>
      <c r="W273">
        <f>'RESUMEN TOTAL'!AF278</f>
        <v>0</v>
      </c>
      <c r="X273">
        <f>'RESUMEN TOTAL'!AG278</f>
        <v>0</v>
      </c>
      <c r="Y273">
        <f>'RESUMEN TOTAL'!AH278</f>
        <v>0</v>
      </c>
      <c r="Z273">
        <f>'RESUMEN TOTAL'!AI278</f>
        <v>0</v>
      </c>
      <c r="AA273">
        <f>'RESUMEN TOTAL'!AJ278</f>
        <v>0</v>
      </c>
      <c r="AB273">
        <f>'RESUMEN TOTAL'!AK278</f>
        <v>0</v>
      </c>
      <c r="AC273">
        <f>'RESUMEN TOTAL'!AL278</f>
        <v>0</v>
      </c>
      <c r="AD273">
        <f>'RESUMEN TOTAL'!AM278</f>
        <v>0</v>
      </c>
      <c r="AE273">
        <f>'RESUMEN TOTAL'!AN278</f>
        <v>0</v>
      </c>
      <c r="AF273">
        <f>'RESUMEN TOTAL'!AO278</f>
        <v>0</v>
      </c>
      <c r="AG273">
        <f>'RESUMEN TOTAL'!AP278</f>
        <v>0</v>
      </c>
    </row>
    <row r="274" spans="1:33" x14ac:dyDescent="0.3">
      <c r="A274" t="str">
        <f>'RESUMEN TOTAL'!A279</f>
        <v>SANTA ROSA</v>
      </c>
      <c r="B274" t="str">
        <f>'RESUMEN TOTAL'!C279</f>
        <v>SRO11</v>
      </c>
      <c r="C274" t="str">
        <f>'RESUMEN TOTAL'!D279</f>
        <v>MILAN Y MALLORCA</v>
      </c>
      <c r="D274" t="str">
        <f>'RESUMEN TOTAL'!E279</f>
        <v>DOMO</v>
      </c>
      <c r="E274" t="str">
        <f>'RESUMEN TOTAL'!F279</f>
        <v>Radio</v>
      </c>
      <c r="F274" t="str">
        <f>'RESUMEN TOTAL'!O279</f>
        <v>APAGADO</v>
      </c>
      <c r="G274" t="str">
        <f>'RESUMEN TOTAL'!P279</f>
        <v>APAGADO</v>
      </c>
      <c r="H274" t="str">
        <f>'RESUMEN TOTAL'!Q279</f>
        <v>APAGADO</v>
      </c>
      <c r="I274" t="str">
        <f>'RESUMEN TOTAL'!R279</f>
        <v>APAGADO</v>
      </c>
      <c r="J274">
        <f>'RESUMEN TOTAL'!S279</f>
        <v>0</v>
      </c>
      <c r="K274">
        <f>'RESUMEN TOTAL'!T279</f>
        <v>0</v>
      </c>
      <c r="L274">
        <f>'RESUMEN TOTAL'!U279</f>
        <v>0</v>
      </c>
      <c r="M274">
        <f>'RESUMEN TOTAL'!V279</f>
        <v>0</v>
      </c>
      <c r="N274">
        <f>'RESUMEN TOTAL'!W279</f>
        <v>0</v>
      </c>
      <c r="O274">
        <f>'RESUMEN TOTAL'!X279</f>
        <v>0</v>
      </c>
      <c r="P274">
        <f>'RESUMEN TOTAL'!Y279</f>
        <v>0</v>
      </c>
      <c r="Q274">
        <f>'RESUMEN TOTAL'!Z279</f>
        <v>0</v>
      </c>
      <c r="R274">
        <f>'RESUMEN TOTAL'!AA279</f>
        <v>0</v>
      </c>
      <c r="S274">
        <f>'RESUMEN TOTAL'!AB279</f>
        <v>0</v>
      </c>
      <c r="T274">
        <f>'RESUMEN TOTAL'!AC279</f>
        <v>0</v>
      </c>
      <c r="U274">
        <f>'RESUMEN TOTAL'!AD279</f>
        <v>0</v>
      </c>
      <c r="V274">
        <f>'RESUMEN TOTAL'!AE279</f>
        <v>0</v>
      </c>
      <c r="W274">
        <f>'RESUMEN TOTAL'!AF279</f>
        <v>0</v>
      </c>
      <c r="X274">
        <f>'RESUMEN TOTAL'!AG279</f>
        <v>0</v>
      </c>
      <c r="Y274">
        <f>'RESUMEN TOTAL'!AH279</f>
        <v>0</v>
      </c>
      <c r="Z274">
        <f>'RESUMEN TOTAL'!AI279</f>
        <v>0</v>
      </c>
      <c r="AA274">
        <f>'RESUMEN TOTAL'!AJ279</f>
        <v>0</v>
      </c>
      <c r="AB274">
        <f>'RESUMEN TOTAL'!AK279</f>
        <v>0</v>
      </c>
      <c r="AC274">
        <f>'RESUMEN TOTAL'!AL279</f>
        <v>0</v>
      </c>
      <c r="AD274">
        <f>'RESUMEN TOTAL'!AM279</f>
        <v>0</v>
      </c>
      <c r="AE274">
        <f>'RESUMEN TOTAL'!AN279</f>
        <v>0</v>
      </c>
      <c r="AF274">
        <f>'RESUMEN TOTAL'!AO279</f>
        <v>0</v>
      </c>
      <c r="AG274">
        <f>'RESUMEN TOTAL'!AP279</f>
        <v>0</v>
      </c>
    </row>
    <row r="275" spans="1:33" x14ac:dyDescent="0.3">
      <c r="A275" t="str">
        <f>'RESUMEN TOTAL'!A280</f>
        <v>SANTA ROSA</v>
      </c>
      <c r="B275" t="str">
        <f>'RESUMEN TOTAL'!C280</f>
        <v>SRO12</v>
      </c>
      <c r="C275" t="str">
        <f>'RESUMEN TOTAL'!D280</f>
        <v>YUGOSLAVIA Y PAYSANDU</v>
      </c>
      <c r="D275" t="str">
        <f>'RESUMEN TOTAL'!E280</f>
        <v>DOMO</v>
      </c>
      <c r="E275" t="str">
        <f>'RESUMEN TOTAL'!F280</f>
        <v>Radio</v>
      </c>
      <c r="F275">
        <f>'RESUMEN TOTAL'!O280</f>
        <v>0</v>
      </c>
      <c r="G275">
        <f>'RESUMEN TOTAL'!P280</f>
        <v>0</v>
      </c>
      <c r="H275">
        <f>'RESUMEN TOTAL'!Q280</f>
        <v>0</v>
      </c>
      <c r="I275">
        <f>'RESUMEN TOTAL'!R280</f>
        <v>0</v>
      </c>
      <c r="J275">
        <f>'RESUMEN TOTAL'!S280</f>
        <v>0</v>
      </c>
      <c r="K275">
        <f>'RESUMEN TOTAL'!T280</f>
        <v>0</v>
      </c>
      <c r="L275">
        <f>'RESUMEN TOTAL'!U280</f>
        <v>0</v>
      </c>
      <c r="M275">
        <f>'RESUMEN TOTAL'!V280</f>
        <v>0</v>
      </c>
      <c r="N275">
        <f>'RESUMEN TOTAL'!W280</f>
        <v>0</v>
      </c>
      <c r="O275">
        <f>'RESUMEN TOTAL'!X280</f>
        <v>0</v>
      </c>
      <c r="P275">
        <f>'RESUMEN TOTAL'!Y280</f>
        <v>0</v>
      </c>
      <c r="Q275">
        <f>'RESUMEN TOTAL'!Z280</f>
        <v>0</v>
      </c>
      <c r="R275">
        <f>'RESUMEN TOTAL'!AA280</f>
        <v>0</v>
      </c>
      <c r="S275">
        <f>'RESUMEN TOTAL'!AB280</f>
        <v>0</v>
      </c>
      <c r="T275">
        <f>'RESUMEN TOTAL'!AC280</f>
        <v>0</v>
      </c>
      <c r="U275">
        <f>'RESUMEN TOTAL'!AD280</f>
        <v>0</v>
      </c>
      <c r="V275">
        <f>'RESUMEN TOTAL'!AE280</f>
        <v>0</v>
      </c>
      <c r="W275">
        <f>'RESUMEN TOTAL'!AF280</f>
        <v>0</v>
      </c>
      <c r="X275">
        <f>'RESUMEN TOTAL'!AG280</f>
        <v>0</v>
      </c>
      <c r="Y275">
        <f>'RESUMEN TOTAL'!AH280</f>
        <v>0</v>
      </c>
      <c r="Z275">
        <f>'RESUMEN TOTAL'!AI280</f>
        <v>0</v>
      </c>
      <c r="AA275">
        <f>'RESUMEN TOTAL'!AJ280</f>
        <v>0</v>
      </c>
      <c r="AB275">
        <f>'RESUMEN TOTAL'!AK280</f>
        <v>0</v>
      </c>
      <c r="AC275">
        <f>'RESUMEN TOTAL'!AL280</f>
        <v>0</v>
      </c>
      <c r="AD275">
        <f>'RESUMEN TOTAL'!AM280</f>
        <v>0</v>
      </c>
      <c r="AE275">
        <f>'RESUMEN TOTAL'!AN280</f>
        <v>0</v>
      </c>
      <c r="AF275">
        <f>'RESUMEN TOTAL'!AO280</f>
        <v>0</v>
      </c>
      <c r="AG275">
        <f>'RESUMEN TOTAL'!AP280</f>
        <v>0</v>
      </c>
    </row>
    <row r="276" spans="1:33" x14ac:dyDescent="0.3">
      <c r="A276" t="str">
        <f>'RESUMEN TOTAL'!A281</f>
        <v>ZONA RURAL SANTA ROSA</v>
      </c>
      <c r="B276" t="str">
        <f>'RESUMEN TOTAL'!C281</f>
        <v>SRO13 (fija 1)</v>
      </c>
      <c r="C276" t="str">
        <f>'RESUMEN TOTAL'!D281</f>
        <v>BRUSELAS E/ GRECIA Y CHECOSLOVAQUIA</v>
      </c>
      <c r="D276" t="str">
        <f>'RESUMEN TOTAL'!E281</f>
        <v>Fija</v>
      </c>
      <c r="E276" t="str">
        <f>'RESUMEN TOTAL'!F281</f>
        <v>RADIO</v>
      </c>
      <c r="F276">
        <f>'RESUMEN TOTAL'!O281</f>
        <v>0</v>
      </c>
      <c r="G276">
        <f>'RESUMEN TOTAL'!P281</f>
        <v>0</v>
      </c>
      <c r="H276">
        <f>'RESUMEN TOTAL'!Q281</f>
        <v>0</v>
      </c>
      <c r="I276">
        <f>'RESUMEN TOTAL'!R281</f>
        <v>0</v>
      </c>
      <c r="J276">
        <f>'RESUMEN TOTAL'!S281</f>
        <v>0</v>
      </c>
      <c r="K276">
        <f>'RESUMEN TOTAL'!T281</f>
        <v>0</v>
      </c>
      <c r="L276">
        <f>'RESUMEN TOTAL'!U281</f>
        <v>0</v>
      </c>
      <c r="M276" t="str">
        <f>'RESUMEN TOTAL'!V281</f>
        <v>APAGADO</v>
      </c>
      <c r="N276" t="str">
        <f>'RESUMEN TOTAL'!W281</f>
        <v>APAGADO</v>
      </c>
      <c r="O276" t="str">
        <f>'RESUMEN TOTAL'!X281</f>
        <v>APAGADO</v>
      </c>
      <c r="P276" t="str">
        <f>'RESUMEN TOTAL'!Y281</f>
        <v>APAGADO</v>
      </c>
      <c r="Q276" t="str">
        <f>'RESUMEN TOTAL'!Z281</f>
        <v>APAGADO</v>
      </c>
      <c r="R276" t="str">
        <f>'RESUMEN TOTAL'!AA281</f>
        <v>APAGADO</v>
      </c>
      <c r="S276" t="str">
        <f>'RESUMEN TOTAL'!AB281</f>
        <v>APAGADO</v>
      </c>
      <c r="T276">
        <f>'RESUMEN TOTAL'!AC281</f>
        <v>0</v>
      </c>
      <c r="U276">
        <f>'RESUMEN TOTAL'!AD281</f>
        <v>0</v>
      </c>
      <c r="V276">
        <f>'RESUMEN TOTAL'!AE281</f>
        <v>0</v>
      </c>
      <c r="W276">
        <f>'RESUMEN TOTAL'!AF281</f>
        <v>0</v>
      </c>
      <c r="X276">
        <f>'RESUMEN TOTAL'!AG281</f>
        <v>0</v>
      </c>
      <c r="Y276">
        <f>'RESUMEN TOTAL'!AH281</f>
        <v>0</v>
      </c>
      <c r="Z276">
        <f>'RESUMEN TOTAL'!AI281</f>
        <v>0</v>
      </c>
      <c r="AA276">
        <f>'RESUMEN TOTAL'!AJ281</f>
        <v>0</v>
      </c>
      <c r="AB276">
        <f>'RESUMEN TOTAL'!AK281</f>
        <v>0</v>
      </c>
      <c r="AC276">
        <f>'RESUMEN TOTAL'!AL281</f>
        <v>0</v>
      </c>
      <c r="AD276">
        <f>'RESUMEN TOTAL'!AM281</f>
        <v>0</v>
      </c>
      <c r="AE276">
        <f>'RESUMEN TOTAL'!AN281</f>
        <v>0</v>
      </c>
      <c r="AF276">
        <f>'RESUMEN TOTAL'!AO281</f>
        <v>0</v>
      </c>
      <c r="AG276">
        <f>'RESUMEN TOTAL'!AP281</f>
        <v>0</v>
      </c>
    </row>
    <row r="277" spans="1:33" x14ac:dyDescent="0.3">
      <c r="A277" t="str">
        <f>'RESUMEN TOTAL'!A282</f>
        <v>ZONA RURAL SANTA ROSA</v>
      </c>
      <c r="B277" t="str">
        <f>'RESUMEN TOTAL'!C282</f>
        <v>SRO14 (fija 2)</v>
      </c>
      <c r="C277" t="str">
        <f>'RESUMEN TOTAL'!D282</f>
        <v>BRUSELAS E/ GRECIA Y CHECOSLOVAQUIA</v>
      </c>
      <c r="D277" t="str">
        <f>'RESUMEN TOTAL'!E282</f>
        <v>Fija</v>
      </c>
      <c r="E277" t="str">
        <f>'RESUMEN TOTAL'!F282</f>
        <v>RADIO</v>
      </c>
      <c r="F277" t="str">
        <f>'RESUMEN TOTAL'!O282</f>
        <v>APAGADO</v>
      </c>
      <c r="G277" t="str">
        <f>'RESUMEN TOTAL'!P282</f>
        <v>APAGADO</v>
      </c>
      <c r="H277" t="str">
        <f>'RESUMEN TOTAL'!Q282</f>
        <v>APAGADO</v>
      </c>
      <c r="I277" t="str">
        <f>'RESUMEN TOTAL'!R282</f>
        <v>APAGADO</v>
      </c>
      <c r="J277">
        <f>'RESUMEN TOTAL'!S282</f>
        <v>0</v>
      </c>
      <c r="K277">
        <f>'RESUMEN TOTAL'!T282</f>
        <v>0</v>
      </c>
      <c r="L277" t="str">
        <f>'RESUMEN TOTAL'!U282</f>
        <v>APAGADO</v>
      </c>
      <c r="M277" t="str">
        <f>'RESUMEN TOTAL'!V282</f>
        <v>APAGADO</v>
      </c>
      <c r="N277" t="str">
        <f>'RESUMEN TOTAL'!W282</f>
        <v>APAGADO</v>
      </c>
      <c r="O277" t="str">
        <f>'RESUMEN TOTAL'!X282</f>
        <v>APAGADO</v>
      </c>
      <c r="P277" t="str">
        <f>'RESUMEN TOTAL'!Y282</f>
        <v>APAGADO</v>
      </c>
      <c r="Q277" t="str">
        <f>'RESUMEN TOTAL'!Z282</f>
        <v>APAGADO</v>
      </c>
      <c r="R277" t="str">
        <f>'RESUMEN TOTAL'!AA282</f>
        <v>APAGADO</v>
      </c>
      <c r="S277" t="str">
        <f>'RESUMEN TOTAL'!AB282</f>
        <v>APAGADO</v>
      </c>
      <c r="T277">
        <f>'RESUMEN TOTAL'!AC282</f>
        <v>0</v>
      </c>
      <c r="U277">
        <f>'RESUMEN TOTAL'!AD282</f>
        <v>0</v>
      </c>
      <c r="V277">
        <f>'RESUMEN TOTAL'!AE282</f>
        <v>0</v>
      </c>
      <c r="W277">
        <f>'RESUMEN TOTAL'!AF282</f>
        <v>0</v>
      </c>
      <c r="X277">
        <f>'RESUMEN TOTAL'!AG282</f>
        <v>0</v>
      </c>
      <c r="Y277">
        <f>'RESUMEN TOTAL'!AH282</f>
        <v>0</v>
      </c>
      <c r="Z277">
        <f>'RESUMEN TOTAL'!AI282</f>
        <v>0</v>
      </c>
      <c r="AA277">
        <f>'RESUMEN TOTAL'!AJ282</f>
        <v>0</v>
      </c>
      <c r="AB277">
        <f>'RESUMEN TOTAL'!AK282</f>
        <v>0</v>
      </c>
      <c r="AC277">
        <f>'RESUMEN TOTAL'!AL282</f>
        <v>0</v>
      </c>
      <c r="AD277">
        <f>'RESUMEN TOTAL'!AM282</f>
        <v>0</v>
      </c>
      <c r="AE277">
        <f>'RESUMEN TOTAL'!AN282</f>
        <v>0</v>
      </c>
      <c r="AF277">
        <f>'RESUMEN TOTAL'!AO282</f>
        <v>0</v>
      </c>
      <c r="AG277">
        <f>'RESUMEN TOTAL'!AP282</f>
        <v>0</v>
      </c>
    </row>
    <row r="278" spans="1:33" x14ac:dyDescent="0.3">
      <c r="A278" t="str">
        <f>'RESUMEN TOTAL'!A283</f>
        <v>SANTA ROSA</v>
      </c>
      <c r="B278" t="str">
        <f>'RESUMEN TOTAL'!C283</f>
        <v>SRO15</v>
      </c>
      <c r="C278" t="str">
        <f>'RESUMEN TOTAL'!D283</f>
        <v>NOVAK Y TIRANA (614)</v>
      </c>
      <c r="D278" t="str">
        <f>'RESUMEN TOTAL'!E283</f>
        <v>DOMO</v>
      </c>
      <c r="E278" t="str">
        <f>'RESUMEN TOTAL'!F283</f>
        <v>Fibra Optica</v>
      </c>
      <c r="F278">
        <f>'RESUMEN TOTAL'!O283</f>
        <v>0</v>
      </c>
      <c r="G278">
        <f>'RESUMEN TOTAL'!P283</f>
        <v>0</v>
      </c>
      <c r="H278">
        <f>'RESUMEN TOTAL'!Q283</f>
        <v>0</v>
      </c>
      <c r="I278">
        <f>'RESUMEN TOTAL'!R283</f>
        <v>0</v>
      </c>
      <c r="J278">
        <f>'RESUMEN TOTAL'!S283</f>
        <v>0</v>
      </c>
      <c r="K278">
        <f>'RESUMEN TOTAL'!T283</f>
        <v>0</v>
      </c>
      <c r="L278">
        <f>'RESUMEN TOTAL'!U283</f>
        <v>0</v>
      </c>
      <c r="M278">
        <f>'RESUMEN TOTAL'!V283</f>
        <v>0</v>
      </c>
      <c r="N278">
        <f>'RESUMEN TOTAL'!W283</f>
        <v>0</v>
      </c>
      <c r="O278">
        <f>'RESUMEN TOTAL'!X283</f>
        <v>0</v>
      </c>
      <c r="P278">
        <f>'RESUMEN TOTAL'!Y283</f>
        <v>0</v>
      </c>
      <c r="Q278">
        <f>'RESUMEN TOTAL'!Z283</f>
        <v>0</v>
      </c>
      <c r="R278">
        <f>'RESUMEN TOTAL'!AA283</f>
        <v>0</v>
      </c>
      <c r="S278">
        <f>'RESUMEN TOTAL'!AB283</f>
        <v>0</v>
      </c>
      <c r="T278">
        <f>'RESUMEN TOTAL'!AC283</f>
        <v>0</v>
      </c>
      <c r="U278">
        <f>'RESUMEN TOTAL'!AD283</f>
        <v>0</v>
      </c>
      <c r="V278">
        <f>'RESUMEN TOTAL'!AE283</f>
        <v>0</v>
      </c>
      <c r="W278">
        <f>'RESUMEN TOTAL'!AF283</f>
        <v>0</v>
      </c>
      <c r="X278">
        <f>'RESUMEN TOTAL'!AG283</f>
        <v>0</v>
      </c>
      <c r="Y278">
        <f>'RESUMEN TOTAL'!AH283</f>
        <v>0</v>
      </c>
      <c r="Z278">
        <f>'RESUMEN TOTAL'!AI283</f>
        <v>0</v>
      </c>
      <c r="AA278">
        <f>'RESUMEN TOTAL'!AJ283</f>
        <v>0</v>
      </c>
      <c r="AB278">
        <f>'RESUMEN TOTAL'!AK283</f>
        <v>0</v>
      </c>
      <c r="AC278">
        <f>'RESUMEN TOTAL'!AL283</f>
        <v>0</v>
      </c>
      <c r="AD278">
        <f>'RESUMEN TOTAL'!AM283</f>
        <v>0</v>
      </c>
      <c r="AE278">
        <f>'RESUMEN TOTAL'!AN283</f>
        <v>0</v>
      </c>
      <c r="AF278">
        <f>'RESUMEN TOTAL'!AO283</f>
        <v>0</v>
      </c>
      <c r="AG278">
        <f>'RESUMEN TOTAL'!AP283</f>
        <v>0</v>
      </c>
    </row>
    <row r="279" spans="1:33" x14ac:dyDescent="0.3">
      <c r="A279" t="str">
        <f>'RESUMEN TOTAL'!A284</f>
        <v>SANTA ROSA</v>
      </c>
      <c r="B279" t="str">
        <f>'RESUMEN TOTAL'!C284</f>
        <v>SRO18 (fija 1)</v>
      </c>
      <c r="C279" t="str">
        <f>'RESUMEN TOTAL'!D284</f>
        <v>GRAN CANARIA Y BUDAPEST</v>
      </c>
      <c r="D279" t="str">
        <f>'RESUMEN TOTAL'!E284</f>
        <v>Fija</v>
      </c>
      <c r="E279" t="str">
        <f>'RESUMEN TOTAL'!F284</f>
        <v>Fibra Optica</v>
      </c>
      <c r="F279">
        <f>'RESUMEN TOTAL'!O284</f>
        <v>0</v>
      </c>
      <c r="G279">
        <f>'RESUMEN TOTAL'!P284</f>
        <v>0</v>
      </c>
      <c r="H279">
        <f>'RESUMEN TOTAL'!Q284</f>
        <v>0</v>
      </c>
      <c r="I279">
        <f>'RESUMEN TOTAL'!R284</f>
        <v>0</v>
      </c>
      <c r="J279">
        <f>'RESUMEN TOTAL'!S284</f>
        <v>0</v>
      </c>
      <c r="K279">
        <f>'RESUMEN TOTAL'!T284</f>
        <v>0</v>
      </c>
      <c r="L279">
        <f>'RESUMEN TOTAL'!U284</f>
        <v>0</v>
      </c>
      <c r="M279">
        <f>'RESUMEN TOTAL'!V284</f>
        <v>0</v>
      </c>
      <c r="N279">
        <f>'RESUMEN TOTAL'!W284</f>
        <v>0</v>
      </c>
      <c r="O279">
        <f>'RESUMEN TOTAL'!X284</f>
        <v>0</v>
      </c>
      <c r="P279">
        <f>'RESUMEN TOTAL'!Y284</f>
        <v>0</v>
      </c>
      <c r="Q279">
        <f>'RESUMEN TOTAL'!Z284</f>
        <v>0</v>
      </c>
      <c r="R279">
        <f>'RESUMEN TOTAL'!AA284</f>
        <v>0</v>
      </c>
      <c r="S279">
        <f>'RESUMEN TOTAL'!AB284</f>
        <v>0</v>
      </c>
      <c r="T279">
        <f>'RESUMEN TOTAL'!AC284</f>
        <v>0</v>
      </c>
      <c r="U279">
        <f>'RESUMEN TOTAL'!AD284</f>
        <v>0</v>
      </c>
      <c r="V279">
        <f>'RESUMEN TOTAL'!AE284</f>
        <v>0</v>
      </c>
      <c r="W279">
        <f>'RESUMEN TOTAL'!AF284</f>
        <v>0</v>
      </c>
      <c r="X279">
        <f>'RESUMEN TOTAL'!AG284</f>
        <v>0</v>
      </c>
      <c r="Y279">
        <f>'RESUMEN TOTAL'!AH284</f>
        <v>0</v>
      </c>
      <c r="Z279">
        <f>'RESUMEN TOTAL'!AI284</f>
        <v>0</v>
      </c>
      <c r="AA279">
        <f>'RESUMEN TOTAL'!AJ284</f>
        <v>0</v>
      </c>
      <c r="AB279">
        <f>'RESUMEN TOTAL'!AK284</f>
        <v>0</v>
      </c>
      <c r="AC279">
        <f>'RESUMEN TOTAL'!AL284</f>
        <v>0</v>
      </c>
      <c r="AD279">
        <f>'RESUMEN TOTAL'!AM284</f>
        <v>0</v>
      </c>
      <c r="AE279">
        <f>'RESUMEN TOTAL'!AN284</f>
        <v>0</v>
      </c>
      <c r="AF279">
        <f>'RESUMEN TOTAL'!AO284</f>
        <v>0</v>
      </c>
      <c r="AG279">
        <f>'RESUMEN TOTAL'!AP284</f>
        <v>0</v>
      </c>
    </row>
    <row r="280" spans="1:33" x14ac:dyDescent="0.3">
      <c r="A280" t="str">
        <f>'RESUMEN TOTAL'!A285</f>
        <v>SANTA ROSA</v>
      </c>
      <c r="B280" t="str">
        <f>'RESUMEN TOTAL'!C285</f>
        <v>SRO19 (fija 2)</v>
      </c>
      <c r="C280" t="str">
        <f>'RESUMEN TOTAL'!D285</f>
        <v>GRAN CANARIA Y BUDAPEST</v>
      </c>
      <c r="D280" t="str">
        <f>'RESUMEN TOTAL'!E285</f>
        <v>Fija</v>
      </c>
      <c r="E280" t="str">
        <f>'RESUMEN TOTAL'!F285</f>
        <v>Fibra Optica</v>
      </c>
      <c r="F280">
        <f>'RESUMEN TOTAL'!O285</f>
        <v>0</v>
      </c>
      <c r="G280">
        <f>'RESUMEN TOTAL'!P285</f>
        <v>0</v>
      </c>
      <c r="H280">
        <f>'RESUMEN TOTAL'!Q285</f>
        <v>0</v>
      </c>
      <c r="I280">
        <f>'RESUMEN TOTAL'!R285</f>
        <v>0</v>
      </c>
      <c r="J280">
        <f>'RESUMEN TOTAL'!S285</f>
        <v>0</v>
      </c>
      <c r="K280">
        <f>'RESUMEN TOTAL'!T285</f>
        <v>0</v>
      </c>
      <c r="L280">
        <f>'RESUMEN TOTAL'!U285</f>
        <v>0</v>
      </c>
      <c r="M280">
        <f>'RESUMEN TOTAL'!V285</f>
        <v>0</v>
      </c>
      <c r="N280">
        <f>'RESUMEN TOTAL'!W285</f>
        <v>0</v>
      </c>
      <c r="O280">
        <f>'RESUMEN TOTAL'!X285</f>
        <v>0</v>
      </c>
      <c r="P280">
        <f>'RESUMEN TOTAL'!Y285</f>
        <v>0</v>
      </c>
      <c r="Q280">
        <f>'RESUMEN TOTAL'!Z285</f>
        <v>0</v>
      </c>
      <c r="R280">
        <f>'RESUMEN TOTAL'!AA285</f>
        <v>0</v>
      </c>
      <c r="S280">
        <f>'RESUMEN TOTAL'!AB285</f>
        <v>0</v>
      </c>
      <c r="T280">
        <f>'RESUMEN TOTAL'!AC285</f>
        <v>0</v>
      </c>
      <c r="U280">
        <f>'RESUMEN TOTAL'!AD285</f>
        <v>0</v>
      </c>
      <c r="V280">
        <f>'RESUMEN TOTAL'!AE285</f>
        <v>0</v>
      </c>
      <c r="W280">
        <f>'RESUMEN TOTAL'!AF285</f>
        <v>0</v>
      </c>
      <c r="X280">
        <f>'RESUMEN TOTAL'!AG285</f>
        <v>0</v>
      </c>
      <c r="Y280">
        <f>'RESUMEN TOTAL'!AH285</f>
        <v>0</v>
      </c>
      <c r="Z280">
        <f>'RESUMEN TOTAL'!AI285</f>
        <v>0</v>
      </c>
      <c r="AA280">
        <f>'RESUMEN TOTAL'!AJ285</f>
        <v>0</v>
      </c>
      <c r="AB280">
        <f>'RESUMEN TOTAL'!AK285</f>
        <v>0</v>
      </c>
      <c r="AC280">
        <f>'RESUMEN TOTAL'!AL285</f>
        <v>0</v>
      </c>
      <c r="AD280">
        <f>'RESUMEN TOTAL'!AM285</f>
        <v>0</v>
      </c>
      <c r="AE280">
        <f>'RESUMEN TOTAL'!AN285</f>
        <v>0</v>
      </c>
      <c r="AF280">
        <f>'RESUMEN TOTAL'!AO285</f>
        <v>0</v>
      </c>
      <c r="AG280">
        <f>'RESUMEN TOTAL'!AP285</f>
        <v>0</v>
      </c>
    </row>
    <row r="281" spans="1:33" x14ac:dyDescent="0.3">
      <c r="A281" t="str">
        <f>'RESUMEN TOTAL'!A286</f>
        <v>SAN RUDECINDO</v>
      </c>
      <c r="B281" t="str">
        <f>'RESUMEN TOTAL'!C286</f>
        <v>SRU01 (fija 1)</v>
      </c>
      <c r="C281" t="str">
        <f>'RESUMEN TOTAL'!D286</f>
        <v>HERNANDARIAS Y AMBATO</v>
      </c>
      <c r="D281" t="str">
        <f>'RESUMEN TOTAL'!E286</f>
        <v>Fija</v>
      </c>
      <c r="E281" t="str">
        <f>'RESUMEN TOTAL'!F286</f>
        <v>Fibra Optica</v>
      </c>
      <c r="F281">
        <f>'RESUMEN TOTAL'!O286</f>
        <v>0</v>
      </c>
      <c r="G281">
        <f>'RESUMEN TOTAL'!P286</f>
        <v>0</v>
      </c>
      <c r="H281">
        <f>'RESUMEN TOTAL'!Q286</f>
        <v>0</v>
      </c>
      <c r="I281">
        <f>'RESUMEN TOTAL'!R286</f>
        <v>0</v>
      </c>
      <c r="J281">
        <f>'RESUMEN TOTAL'!S286</f>
        <v>0</v>
      </c>
      <c r="K281">
        <f>'RESUMEN TOTAL'!T286</f>
        <v>0</v>
      </c>
      <c r="L281">
        <f>'RESUMEN TOTAL'!U286</f>
        <v>0</v>
      </c>
      <c r="M281">
        <f>'RESUMEN TOTAL'!V286</f>
        <v>0</v>
      </c>
      <c r="N281">
        <f>'RESUMEN TOTAL'!W286</f>
        <v>0</v>
      </c>
      <c r="O281">
        <f>'RESUMEN TOTAL'!X286</f>
        <v>0</v>
      </c>
      <c r="P281">
        <f>'RESUMEN TOTAL'!Y286</f>
        <v>0</v>
      </c>
      <c r="Q281">
        <f>'RESUMEN TOTAL'!Z286</f>
        <v>0</v>
      </c>
      <c r="R281">
        <f>'RESUMEN TOTAL'!AA286</f>
        <v>0</v>
      </c>
      <c r="S281">
        <f>'RESUMEN TOTAL'!AB286</f>
        <v>0</v>
      </c>
      <c r="T281">
        <f>'RESUMEN TOTAL'!AC286</f>
        <v>0</v>
      </c>
      <c r="U281">
        <f>'RESUMEN TOTAL'!AD286</f>
        <v>0</v>
      </c>
      <c r="V281">
        <f>'RESUMEN TOTAL'!AE286</f>
        <v>0</v>
      </c>
      <c r="W281">
        <f>'RESUMEN TOTAL'!AF286</f>
        <v>0</v>
      </c>
      <c r="X281">
        <f>'RESUMEN TOTAL'!AG286</f>
        <v>0</v>
      </c>
      <c r="Y281">
        <f>'RESUMEN TOTAL'!AH286</f>
        <v>0</v>
      </c>
      <c r="Z281">
        <f>'RESUMEN TOTAL'!AI286</f>
        <v>0</v>
      </c>
      <c r="AA281">
        <f>'RESUMEN TOTAL'!AJ286</f>
        <v>0</v>
      </c>
      <c r="AB281">
        <f>'RESUMEN TOTAL'!AK286</f>
        <v>0</v>
      </c>
      <c r="AC281">
        <f>'RESUMEN TOTAL'!AL286</f>
        <v>0</v>
      </c>
      <c r="AD281">
        <f>'RESUMEN TOTAL'!AM286</f>
        <v>0</v>
      </c>
      <c r="AE281">
        <f>'RESUMEN TOTAL'!AN286</f>
        <v>0</v>
      </c>
      <c r="AF281">
        <f>'RESUMEN TOTAL'!AO286</f>
        <v>0</v>
      </c>
      <c r="AG281">
        <f>'RESUMEN TOTAL'!AP286</f>
        <v>0</v>
      </c>
    </row>
    <row r="282" spans="1:33" x14ac:dyDescent="0.3">
      <c r="A282" t="str">
        <f>'RESUMEN TOTAL'!A287</f>
        <v>SAN RUDECINDO</v>
      </c>
      <c r="B282" t="str">
        <f>'RESUMEN TOTAL'!C287</f>
        <v>SRU02 (fija 2)</v>
      </c>
      <c r="C282" t="str">
        <f>'RESUMEN TOTAL'!D287</f>
        <v>HERNANDARIAS Y AMBATO</v>
      </c>
      <c r="D282" t="str">
        <f>'RESUMEN TOTAL'!E287</f>
        <v>Fija</v>
      </c>
      <c r="E282" t="str">
        <f>'RESUMEN TOTAL'!F287</f>
        <v>Fibra Optica</v>
      </c>
      <c r="F282">
        <f>'RESUMEN TOTAL'!O287</f>
        <v>0</v>
      </c>
      <c r="G282">
        <f>'RESUMEN TOTAL'!P287</f>
        <v>0</v>
      </c>
      <c r="H282">
        <f>'RESUMEN TOTAL'!Q287</f>
        <v>0</v>
      </c>
      <c r="I282">
        <f>'RESUMEN TOTAL'!R287</f>
        <v>0</v>
      </c>
      <c r="J282">
        <f>'RESUMEN TOTAL'!S287</f>
        <v>0</v>
      </c>
      <c r="K282">
        <f>'RESUMEN TOTAL'!T287</f>
        <v>0</v>
      </c>
      <c r="L282">
        <f>'RESUMEN TOTAL'!U287</f>
        <v>0</v>
      </c>
      <c r="M282">
        <f>'RESUMEN TOTAL'!V287</f>
        <v>0</v>
      </c>
      <c r="N282">
        <f>'RESUMEN TOTAL'!W287</f>
        <v>0</v>
      </c>
      <c r="O282">
        <f>'RESUMEN TOTAL'!X287</f>
        <v>0</v>
      </c>
      <c r="P282">
        <f>'RESUMEN TOTAL'!Y287</f>
        <v>0</v>
      </c>
      <c r="Q282">
        <f>'RESUMEN TOTAL'!Z287</f>
        <v>0</v>
      </c>
      <c r="R282">
        <f>'RESUMEN TOTAL'!AA287</f>
        <v>0</v>
      </c>
      <c r="S282">
        <f>'RESUMEN TOTAL'!AB287</f>
        <v>0</v>
      </c>
      <c r="T282">
        <f>'RESUMEN TOTAL'!AC287</f>
        <v>0</v>
      </c>
      <c r="U282">
        <f>'RESUMEN TOTAL'!AD287</f>
        <v>0</v>
      </c>
      <c r="V282">
        <f>'RESUMEN TOTAL'!AE287</f>
        <v>0</v>
      </c>
      <c r="W282">
        <f>'RESUMEN TOTAL'!AF287</f>
        <v>0</v>
      </c>
      <c r="X282">
        <f>'RESUMEN TOTAL'!AG287</f>
        <v>0</v>
      </c>
      <c r="Y282">
        <f>'RESUMEN TOTAL'!AH287</f>
        <v>0</v>
      </c>
      <c r="Z282">
        <f>'RESUMEN TOTAL'!AI287</f>
        <v>0</v>
      </c>
      <c r="AA282">
        <f>'RESUMEN TOTAL'!AJ287</f>
        <v>0</v>
      </c>
      <c r="AB282">
        <f>'RESUMEN TOTAL'!AK287</f>
        <v>0</v>
      </c>
      <c r="AC282">
        <f>'RESUMEN TOTAL'!AL287</f>
        <v>0</v>
      </c>
      <c r="AD282">
        <f>'RESUMEN TOTAL'!AM287</f>
        <v>0</v>
      </c>
      <c r="AE282">
        <f>'RESUMEN TOTAL'!AN287</f>
        <v>0</v>
      </c>
      <c r="AF282">
        <f>'RESUMEN TOTAL'!AO287</f>
        <v>0</v>
      </c>
      <c r="AG282">
        <f>'RESUMEN TOTAL'!AP287</f>
        <v>0</v>
      </c>
    </row>
    <row r="283" spans="1:33" x14ac:dyDescent="0.3">
      <c r="A283" t="str">
        <f>'RESUMEN TOTAL'!A288</f>
        <v>VILLA ANGELICA</v>
      </c>
      <c r="B283" t="str">
        <f>'RESUMEN TOTAL'!C288</f>
        <v>VANG01</v>
      </c>
      <c r="C283" t="str">
        <f>'RESUMEN TOTAL'!D288</f>
        <v>Senzabello y Necochea</v>
      </c>
      <c r="D283" t="str">
        <f>'RESUMEN TOTAL'!E288</f>
        <v>Domo</v>
      </c>
      <c r="E283" t="str">
        <f>'RESUMEN TOTAL'!F288</f>
        <v>PTP A FO</v>
      </c>
      <c r="F283">
        <f>'RESUMEN TOTAL'!O288</f>
        <v>0</v>
      </c>
      <c r="G283">
        <f>'RESUMEN TOTAL'!P288</f>
        <v>0</v>
      </c>
      <c r="H283">
        <f>'RESUMEN TOTAL'!Q288</f>
        <v>0</v>
      </c>
      <c r="I283">
        <f>'RESUMEN TOTAL'!R288</f>
        <v>0</v>
      </c>
      <c r="J283">
        <f>'RESUMEN TOTAL'!S288</f>
        <v>0</v>
      </c>
      <c r="K283">
        <f>'RESUMEN TOTAL'!T288</f>
        <v>0</v>
      </c>
      <c r="L283">
        <f>'RESUMEN TOTAL'!U288</f>
        <v>0</v>
      </c>
      <c r="M283">
        <f>'RESUMEN TOTAL'!V288</f>
        <v>0</v>
      </c>
      <c r="N283">
        <f>'RESUMEN TOTAL'!W288</f>
        <v>0</v>
      </c>
      <c r="O283">
        <f>'RESUMEN TOTAL'!X288</f>
        <v>0</v>
      </c>
      <c r="P283" t="str">
        <f>'RESUMEN TOTAL'!Y288</f>
        <v>APAGADO</v>
      </c>
      <c r="Q283">
        <f>'RESUMEN TOTAL'!Z288</f>
        <v>0</v>
      </c>
      <c r="R283">
        <f>'RESUMEN TOTAL'!AA288</f>
        <v>0</v>
      </c>
      <c r="S283">
        <f>'RESUMEN TOTAL'!AB288</f>
        <v>0</v>
      </c>
      <c r="T283">
        <f>'RESUMEN TOTAL'!AC288</f>
        <v>0</v>
      </c>
      <c r="U283">
        <f>'RESUMEN TOTAL'!AD288</f>
        <v>0</v>
      </c>
      <c r="V283">
        <f>'RESUMEN TOTAL'!AE288</f>
        <v>0</v>
      </c>
      <c r="W283">
        <f>'RESUMEN TOTAL'!AF288</f>
        <v>0</v>
      </c>
      <c r="X283">
        <f>'RESUMEN TOTAL'!AG288</f>
        <v>0</v>
      </c>
      <c r="Y283">
        <f>'RESUMEN TOTAL'!AH288</f>
        <v>0</v>
      </c>
      <c r="Z283">
        <f>'RESUMEN TOTAL'!AI288</f>
        <v>0</v>
      </c>
      <c r="AA283">
        <f>'RESUMEN TOTAL'!AJ288</f>
        <v>0</v>
      </c>
      <c r="AB283">
        <f>'RESUMEN TOTAL'!AK288</f>
        <v>0</v>
      </c>
      <c r="AC283">
        <f>'RESUMEN TOTAL'!AL288</f>
        <v>0</v>
      </c>
      <c r="AD283">
        <f>'RESUMEN TOTAL'!AM288</f>
        <v>0</v>
      </c>
      <c r="AE283">
        <f>'RESUMEN TOTAL'!AN288</f>
        <v>0</v>
      </c>
      <c r="AF283">
        <f>'RESUMEN TOTAL'!AO288</f>
        <v>0</v>
      </c>
      <c r="AG283">
        <f>'RESUMEN TOTAL'!AP288</f>
        <v>0</v>
      </c>
    </row>
    <row r="284" spans="1:33" x14ac:dyDescent="0.3">
      <c r="A284" t="str">
        <f>'RESUMEN TOTAL'!A289</f>
        <v>VILLA ANGELICA</v>
      </c>
      <c r="B284" t="str">
        <f>'RESUMEN TOTAL'!C289</f>
        <v>VANG02</v>
      </c>
      <c r="C284" t="str">
        <f>'RESUMEN TOTAL'!D289</f>
        <v>Thevenet y Ruta 36</v>
      </c>
      <c r="D284" t="str">
        <f>'RESUMEN TOTAL'!E289</f>
        <v>Domo</v>
      </c>
      <c r="E284" t="str">
        <f>'RESUMEN TOTAL'!F289</f>
        <v>Fibra Optica</v>
      </c>
      <c r="F284">
        <f>'RESUMEN TOTAL'!O289</f>
        <v>0</v>
      </c>
      <c r="G284">
        <f>'RESUMEN TOTAL'!P289</f>
        <v>0</v>
      </c>
      <c r="H284">
        <f>'RESUMEN TOTAL'!Q289</f>
        <v>0</v>
      </c>
      <c r="I284">
        <f>'RESUMEN TOTAL'!R289</f>
        <v>0</v>
      </c>
      <c r="J284">
        <f>'RESUMEN TOTAL'!S289</f>
        <v>0</v>
      </c>
      <c r="K284">
        <f>'RESUMEN TOTAL'!T289</f>
        <v>0</v>
      </c>
      <c r="L284">
        <f>'RESUMEN TOTAL'!U289</f>
        <v>0</v>
      </c>
      <c r="M284">
        <f>'RESUMEN TOTAL'!V289</f>
        <v>0</v>
      </c>
      <c r="N284">
        <f>'RESUMEN TOTAL'!W289</f>
        <v>0</v>
      </c>
      <c r="O284">
        <f>'RESUMEN TOTAL'!X289</f>
        <v>0</v>
      </c>
      <c r="P284">
        <f>'RESUMEN TOTAL'!Y289</f>
        <v>0</v>
      </c>
      <c r="Q284">
        <f>'RESUMEN TOTAL'!Z289</f>
        <v>0</v>
      </c>
      <c r="R284">
        <f>'RESUMEN TOTAL'!AA289</f>
        <v>0</v>
      </c>
      <c r="S284">
        <f>'RESUMEN TOTAL'!AB289</f>
        <v>0</v>
      </c>
      <c r="T284">
        <f>'RESUMEN TOTAL'!AC289</f>
        <v>0</v>
      </c>
      <c r="U284">
        <f>'RESUMEN TOTAL'!AD289</f>
        <v>0</v>
      </c>
      <c r="V284">
        <f>'RESUMEN TOTAL'!AE289</f>
        <v>0</v>
      </c>
      <c r="W284">
        <f>'RESUMEN TOTAL'!AF289</f>
        <v>0</v>
      </c>
      <c r="X284">
        <f>'RESUMEN TOTAL'!AG289</f>
        <v>0</v>
      </c>
      <c r="Y284">
        <f>'RESUMEN TOTAL'!AH289</f>
        <v>0</v>
      </c>
      <c r="Z284">
        <f>'RESUMEN TOTAL'!AI289</f>
        <v>0</v>
      </c>
      <c r="AA284">
        <f>'RESUMEN TOTAL'!AJ289</f>
        <v>0</v>
      </c>
      <c r="AB284">
        <f>'RESUMEN TOTAL'!AK289</f>
        <v>0</v>
      </c>
      <c r="AC284">
        <f>'RESUMEN TOTAL'!AL289</f>
        <v>0</v>
      </c>
      <c r="AD284">
        <f>'RESUMEN TOTAL'!AM289</f>
        <v>0</v>
      </c>
      <c r="AE284">
        <f>'RESUMEN TOTAL'!AN289</f>
        <v>0</v>
      </c>
      <c r="AF284">
        <f>'RESUMEN TOTAL'!AO289</f>
        <v>0</v>
      </c>
      <c r="AG284">
        <f>'RESUMEN TOTAL'!AP289</f>
        <v>0</v>
      </c>
    </row>
    <row r="285" spans="1:33" x14ac:dyDescent="0.3">
      <c r="A285" t="str">
        <f>'RESUMEN TOTAL'!A290</f>
        <v>VILLA DEL PLATA</v>
      </c>
      <c r="B285" t="str">
        <f>'RESUMEN TOTAL'!C290</f>
        <v>VANG03</v>
      </c>
      <c r="C285" t="str">
        <f>'RESUMEN TOTAL'!D290</f>
        <v>Thevenet 1950</v>
      </c>
      <c r="D285" t="str">
        <f>'RESUMEN TOTAL'!E290</f>
        <v>Domo</v>
      </c>
      <c r="E285" t="str">
        <f>'RESUMEN TOTAL'!F290</f>
        <v>Fibra Optica</v>
      </c>
      <c r="F285">
        <f>'RESUMEN TOTAL'!O290</f>
        <v>0</v>
      </c>
      <c r="G285">
        <f>'RESUMEN TOTAL'!P290</f>
        <v>0</v>
      </c>
      <c r="H285">
        <f>'RESUMEN TOTAL'!Q290</f>
        <v>0</v>
      </c>
      <c r="I285">
        <f>'RESUMEN TOTAL'!R290</f>
        <v>0</v>
      </c>
      <c r="J285">
        <f>'RESUMEN TOTAL'!S290</f>
        <v>0</v>
      </c>
      <c r="K285">
        <f>'RESUMEN TOTAL'!T290</f>
        <v>0</v>
      </c>
      <c r="L285">
        <f>'RESUMEN TOTAL'!U290</f>
        <v>0</v>
      </c>
      <c r="M285">
        <f>'RESUMEN TOTAL'!V290</f>
        <v>0</v>
      </c>
      <c r="N285">
        <f>'RESUMEN TOTAL'!W290</f>
        <v>0</v>
      </c>
      <c r="O285">
        <f>'RESUMEN TOTAL'!X290</f>
        <v>0</v>
      </c>
      <c r="P285">
        <f>'RESUMEN TOTAL'!Y290</f>
        <v>0</v>
      </c>
      <c r="Q285">
        <f>'RESUMEN TOTAL'!Z290</f>
        <v>0</v>
      </c>
      <c r="R285">
        <f>'RESUMEN TOTAL'!AA290</f>
        <v>0</v>
      </c>
      <c r="S285">
        <f>'RESUMEN TOTAL'!AB290</f>
        <v>0</v>
      </c>
      <c r="T285">
        <f>'RESUMEN TOTAL'!AC290</f>
        <v>0</v>
      </c>
      <c r="U285">
        <f>'RESUMEN TOTAL'!AD290</f>
        <v>0</v>
      </c>
      <c r="V285">
        <f>'RESUMEN TOTAL'!AE290</f>
        <v>0</v>
      </c>
      <c r="W285">
        <f>'RESUMEN TOTAL'!AF290</f>
        <v>0</v>
      </c>
      <c r="X285">
        <f>'RESUMEN TOTAL'!AG290</f>
        <v>0</v>
      </c>
      <c r="Y285">
        <f>'RESUMEN TOTAL'!AH290</f>
        <v>0</v>
      </c>
      <c r="Z285">
        <f>'RESUMEN TOTAL'!AI290</f>
        <v>0</v>
      </c>
      <c r="AA285">
        <f>'RESUMEN TOTAL'!AJ290</f>
        <v>0</v>
      </c>
      <c r="AB285">
        <f>'RESUMEN TOTAL'!AK290</f>
        <v>0</v>
      </c>
      <c r="AC285">
        <f>'RESUMEN TOTAL'!AL290</f>
        <v>0</v>
      </c>
      <c r="AD285">
        <f>'RESUMEN TOTAL'!AM290</f>
        <v>0</v>
      </c>
      <c r="AE285">
        <f>'RESUMEN TOTAL'!AN290</f>
        <v>0</v>
      </c>
      <c r="AF285">
        <f>'RESUMEN TOTAL'!AO290</f>
        <v>0</v>
      </c>
      <c r="AG285">
        <f>'RESUMEN TOTAL'!AP290</f>
        <v>0</v>
      </c>
    </row>
    <row r="286" spans="1:33" x14ac:dyDescent="0.3">
      <c r="A286" t="str">
        <f>'RESUMEN TOTAL'!A291</f>
        <v>VILLA ANGELICA</v>
      </c>
      <c r="B286" t="str">
        <f>'RESUMEN TOTAL'!C291</f>
        <v>VANG04</v>
      </c>
      <c r="C286" t="str">
        <f>'RESUMEN TOTAL'!D291</f>
        <v>Storni e/Thevenet y Calle 158</v>
      </c>
      <c r="D286" t="str">
        <f>'RESUMEN TOTAL'!E291</f>
        <v>DOMO</v>
      </c>
      <c r="E286" t="str">
        <f>'RESUMEN TOTAL'!F291</f>
        <v>Fibra Optica</v>
      </c>
      <c r="F286">
        <f>'RESUMEN TOTAL'!O291</f>
        <v>0</v>
      </c>
      <c r="G286">
        <f>'RESUMEN TOTAL'!P291</f>
        <v>0</v>
      </c>
      <c r="H286">
        <f>'RESUMEN TOTAL'!Q291</f>
        <v>0</v>
      </c>
      <c r="I286">
        <f>'RESUMEN TOTAL'!R291</f>
        <v>0</v>
      </c>
      <c r="J286">
        <f>'RESUMEN TOTAL'!S291</f>
        <v>0</v>
      </c>
      <c r="K286">
        <f>'RESUMEN TOTAL'!T291</f>
        <v>0</v>
      </c>
      <c r="L286">
        <f>'RESUMEN TOTAL'!U291</f>
        <v>0</v>
      </c>
      <c r="M286">
        <f>'RESUMEN TOTAL'!V291</f>
        <v>0</v>
      </c>
      <c r="N286">
        <f>'RESUMEN TOTAL'!W291</f>
        <v>0</v>
      </c>
      <c r="O286">
        <f>'RESUMEN TOTAL'!X291</f>
        <v>0</v>
      </c>
      <c r="P286">
        <f>'RESUMEN TOTAL'!Y291</f>
        <v>0</v>
      </c>
      <c r="Q286">
        <f>'RESUMEN TOTAL'!Z291</f>
        <v>0</v>
      </c>
      <c r="R286">
        <f>'RESUMEN TOTAL'!AA291</f>
        <v>0</v>
      </c>
      <c r="S286">
        <f>'RESUMEN TOTAL'!AB291</f>
        <v>0</v>
      </c>
      <c r="T286">
        <f>'RESUMEN TOTAL'!AC291</f>
        <v>0</v>
      </c>
      <c r="U286">
        <f>'RESUMEN TOTAL'!AD291</f>
        <v>0</v>
      </c>
      <c r="V286">
        <f>'RESUMEN TOTAL'!AE291</f>
        <v>0</v>
      </c>
      <c r="W286">
        <f>'RESUMEN TOTAL'!AF291</f>
        <v>0</v>
      </c>
      <c r="X286">
        <f>'RESUMEN TOTAL'!AG291</f>
        <v>0</v>
      </c>
      <c r="Y286">
        <f>'RESUMEN TOTAL'!AH291</f>
        <v>0</v>
      </c>
      <c r="Z286">
        <f>'RESUMEN TOTAL'!AI291</f>
        <v>0</v>
      </c>
      <c r="AA286">
        <f>'RESUMEN TOTAL'!AJ291</f>
        <v>0</v>
      </c>
      <c r="AB286">
        <f>'RESUMEN TOTAL'!AK291</f>
        <v>0</v>
      </c>
      <c r="AC286">
        <f>'RESUMEN TOTAL'!AL291</f>
        <v>0</v>
      </c>
      <c r="AD286">
        <f>'RESUMEN TOTAL'!AM291</f>
        <v>0</v>
      </c>
      <c r="AE286">
        <f>'RESUMEN TOTAL'!AN291</f>
        <v>0</v>
      </c>
      <c r="AF286">
        <f>'RESUMEN TOTAL'!AO291</f>
        <v>0</v>
      </c>
      <c r="AG286">
        <f>'RESUMEN TOTAL'!AP291</f>
        <v>0</v>
      </c>
    </row>
    <row r="287" spans="1:33" x14ac:dyDescent="0.3">
      <c r="A287" t="str">
        <f>'RESUMEN TOTAL'!A292</f>
        <v>VILLA ANGELICA</v>
      </c>
      <c r="B287" t="str">
        <f>'RESUMEN TOTAL'!C292</f>
        <v>VANG05</v>
      </c>
      <c r="C287" t="str">
        <f>'RESUMEN TOTAL'!D292</f>
        <v>Storni y Thevenet</v>
      </c>
      <c r="D287" t="str">
        <f>'RESUMEN TOTAL'!E292</f>
        <v>Domo</v>
      </c>
      <c r="E287" t="str">
        <f>'RESUMEN TOTAL'!F292</f>
        <v>Fibra Optica</v>
      </c>
      <c r="F287">
        <f>'RESUMEN TOTAL'!O292</f>
        <v>0</v>
      </c>
      <c r="G287">
        <f>'RESUMEN TOTAL'!P292</f>
        <v>0</v>
      </c>
      <c r="H287">
        <f>'RESUMEN TOTAL'!Q292</f>
        <v>0</v>
      </c>
      <c r="I287">
        <f>'RESUMEN TOTAL'!R292</f>
        <v>0</v>
      </c>
      <c r="J287">
        <f>'RESUMEN TOTAL'!S292</f>
        <v>0</v>
      </c>
      <c r="K287">
        <f>'RESUMEN TOTAL'!T292</f>
        <v>0</v>
      </c>
      <c r="L287">
        <f>'RESUMEN TOTAL'!U292</f>
        <v>0</v>
      </c>
      <c r="M287">
        <f>'RESUMEN TOTAL'!V292</f>
        <v>0</v>
      </c>
      <c r="N287">
        <f>'RESUMEN TOTAL'!W292</f>
        <v>0</v>
      </c>
      <c r="O287">
        <f>'RESUMEN TOTAL'!X292</f>
        <v>0</v>
      </c>
      <c r="P287">
        <f>'RESUMEN TOTAL'!Y292</f>
        <v>0</v>
      </c>
      <c r="Q287">
        <f>'RESUMEN TOTAL'!Z292</f>
        <v>0</v>
      </c>
      <c r="R287">
        <f>'RESUMEN TOTAL'!AA292</f>
        <v>0</v>
      </c>
      <c r="S287">
        <f>'RESUMEN TOTAL'!AB292</f>
        <v>0</v>
      </c>
      <c r="T287">
        <f>'RESUMEN TOTAL'!AC292</f>
        <v>0</v>
      </c>
      <c r="U287">
        <f>'RESUMEN TOTAL'!AD292</f>
        <v>0</v>
      </c>
      <c r="V287">
        <f>'RESUMEN TOTAL'!AE292</f>
        <v>0</v>
      </c>
      <c r="W287">
        <f>'RESUMEN TOTAL'!AF292</f>
        <v>0</v>
      </c>
      <c r="X287">
        <f>'RESUMEN TOTAL'!AG292</f>
        <v>0</v>
      </c>
      <c r="Y287">
        <f>'RESUMEN TOTAL'!AH292</f>
        <v>0</v>
      </c>
      <c r="Z287">
        <f>'RESUMEN TOTAL'!AI292</f>
        <v>0</v>
      </c>
      <c r="AA287">
        <f>'RESUMEN TOTAL'!AJ292</f>
        <v>0</v>
      </c>
      <c r="AB287">
        <f>'RESUMEN TOTAL'!AK292</f>
        <v>0</v>
      </c>
      <c r="AC287">
        <f>'RESUMEN TOTAL'!AL292</f>
        <v>0</v>
      </c>
      <c r="AD287">
        <f>'RESUMEN TOTAL'!AM292</f>
        <v>0</v>
      </c>
      <c r="AE287">
        <f>'RESUMEN TOTAL'!AN292</f>
        <v>0</v>
      </c>
      <c r="AF287">
        <f>'RESUMEN TOTAL'!AO292</f>
        <v>0</v>
      </c>
      <c r="AG287">
        <f>'RESUMEN TOTAL'!AP292</f>
        <v>0</v>
      </c>
    </row>
    <row r="288" spans="1:33" x14ac:dyDescent="0.3">
      <c r="A288" t="str">
        <f>'RESUMEN TOTAL'!A293</f>
        <v>VILLA ANGELICA</v>
      </c>
      <c r="B288" t="str">
        <f>'RESUMEN TOTAL'!C293</f>
        <v>VANG06</v>
      </c>
      <c r="C288" t="str">
        <f>'RESUMEN TOTAL'!D293</f>
        <v>Arenales e/Thevenet y Calle 158</v>
      </c>
      <c r="D288" t="str">
        <f>'RESUMEN TOTAL'!E293</f>
        <v>DOMO</v>
      </c>
      <c r="E288" t="str">
        <f>'RESUMEN TOTAL'!F293</f>
        <v>Fibra Optica</v>
      </c>
      <c r="F288">
        <f>'RESUMEN TOTAL'!O293</f>
        <v>0</v>
      </c>
      <c r="G288">
        <f>'RESUMEN TOTAL'!P293</f>
        <v>0</v>
      </c>
      <c r="H288">
        <f>'RESUMEN TOTAL'!Q293</f>
        <v>0</v>
      </c>
      <c r="I288">
        <f>'RESUMEN TOTAL'!R293</f>
        <v>0</v>
      </c>
      <c r="J288">
        <f>'RESUMEN TOTAL'!S293</f>
        <v>0</v>
      </c>
      <c r="K288">
        <f>'RESUMEN TOTAL'!T293</f>
        <v>0</v>
      </c>
      <c r="L288">
        <f>'RESUMEN TOTAL'!U293</f>
        <v>0</v>
      </c>
      <c r="M288">
        <f>'RESUMEN TOTAL'!V293</f>
        <v>0</v>
      </c>
      <c r="N288">
        <f>'RESUMEN TOTAL'!W293</f>
        <v>0</v>
      </c>
      <c r="O288">
        <f>'RESUMEN TOTAL'!X293</f>
        <v>0</v>
      </c>
      <c r="P288">
        <f>'RESUMEN TOTAL'!Y293</f>
        <v>0</v>
      </c>
      <c r="Q288">
        <f>'RESUMEN TOTAL'!Z293</f>
        <v>0</v>
      </c>
      <c r="R288">
        <f>'RESUMEN TOTAL'!AA293</f>
        <v>0</v>
      </c>
      <c r="S288">
        <f>'RESUMEN TOTAL'!AB293</f>
        <v>0</v>
      </c>
      <c r="T288">
        <f>'RESUMEN TOTAL'!AC293</f>
        <v>0</v>
      </c>
      <c r="U288">
        <f>'RESUMEN TOTAL'!AD293</f>
        <v>0</v>
      </c>
      <c r="V288">
        <f>'RESUMEN TOTAL'!AE293</f>
        <v>0</v>
      </c>
      <c r="W288">
        <f>'RESUMEN TOTAL'!AF293</f>
        <v>0</v>
      </c>
      <c r="X288">
        <f>'RESUMEN TOTAL'!AG293</f>
        <v>0</v>
      </c>
      <c r="Y288">
        <f>'RESUMEN TOTAL'!AH293</f>
        <v>0</v>
      </c>
      <c r="Z288">
        <f>'RESUMEN TOTAL'!AI293</f>
        <v>0</v>
      </c>
      <c r="AA288">
        <f>'RESUMEN TOTAL'!AJ293</f>
        <v>0</v>
      </c>
      <c r="AB288">
        <f>'RESUMEN TOTAL'!AK293</f>
        <v>0</v>
      </c>
      <c r="AC288">
        <f>'RESUMEN TOTAL'!AL293</f>
        <v>0</v>
      </c>
      <c r="AD288">
        <f>'RESUMEN TOTAL'!AM293</f>
        <v>0</v>
      </c>
      <c r="AE288">
        <f>'RESUMEN TOTAL'!AN293</f>
        <v>0</v>
      </c>
      <c r="AF288">
        <f>'RESUMEN TOTAL'!AO293</f>
        <v>0</v>
      </c>
      <c r="AG288">
        <f>'RESUMEN TOTAL'!AP293</f>
        <v>0</v>
      </c>
    </row>
    <row r="289" spans="1:33" x14ac:dyDescent="0.3">
      <c r="A289" t="str">
        <f>'RESUMEN TOTAL'!A294</f>
        <v>VILLA ANGELICA</v>
      </c>
      <c r="B289" t="str">
        <f>'RESUMEN TOTAL'!C294</f>
        <v>VANG07</v>
      </c>
      <c r="C289" t="str">
        <f>'RESUMEN TOTAL'!D294</f>
        <v>Arenales y Thevenet</v>
      </c>
      <c r="D289" t="str">
        <f>'RESUMEN TOTAL'!E294</f>
        <v>Domo</v>
      </c>
      <c r="E289" t="str">
        <f>'RESUMEN TOTAL'!F294</f>
        <v>Fibra Optica</v>
      </c>
      <c r="F289">
        <f>'RESUMEN TOTAL'!O294</f>
        <v>0</v>
      </c>
      <c r="G289">
        <f>'RESUMEN TOTAL'!P294</f>
        <v>0</v>
      </c>
      <c r="H289">
        <f>'RESUMEN TOTAL'!Q294</f>
        <v>0</v>
      </c>
      <c r="I289">
        <f>'RESUMEN TOTAL'!R294</f>
        <v>0</v>
      </c>
      <c r="J289">
        <f>'RESUMEN TOTAL'!S294</f>
        <v>0</v>
      </c>
      <c r="K289">
        <f>'RESUMEN TOTAL'!T294</f>
        <v>0</v>
      </c>
      <c r="L289">
        <f>'RESUMEN TOTAL'!U294</f>
        <v>0</v>
      </c>
      <c r="M289">
        <f>'RESUMEN TOTAL'!V294</f>
        <v>0</v>
      </c>
      <c r="N289">
        <f>'RESUMEN TOTAL'!W294</f>
        <v>0</v>
      </c>
      <c r="O289">
        <f>'RESUMEN TOTAL'!X294</f>
        <v>0</v>
      </c>
      <c r="P289">
        <f>'RESUMEN TOTAL'!Y294</f>
        <v>0</v>
      </c>
      <c r="Q289">
        <f>'RESUMEN TOTAL'!Z294</f>
        <v>0</v>
      </c>
      <c r="R289">
        <f>'RESUMEN TOTAL'!AA294</f>
        <v>0</v>
      </c>
      <c r="S289">
        <f>'RESUMEN TOTAL'!AB294</f>
        <v>0</v>
      </c>
      <c r="T289">
        <f>'RESUMEN TOTAL'!AC294</f>
        <v>0</v>
      </c>
      <c r="U289">
        <f>'RESUMEN TOTAL'!AD294</f>
        <v>0</v>
      </c>
      <c r="V289">
        <f>'RESUMEN TOTAL'!AE294</f>
        <v>0</v>
      </c>
      <c r="W289">
        <f>'RESUMEN TOTAL'!AF294</f>
        <v>0</v>
      </c>
      <c r="X289">
        <f>'RESUMEN TOTAL'!AG294</f>
        <v>0</v>
      </c>
      <c r="Y289">
        <f>'RESUMEN TOTAL'!AH294</f>
        <v>0</v>
      </c>
      <c r="Z289">
        <f>'RESUMEN TOTAL'!AI294</f>
        <v>0</v>
      </c>
      <c r="AA289">
        <f>'RESUMEN TOTAL'!AJ294</f>
        <v>0</v>
      </c>
      <c r="AB289">
        <f>'RESUMEN TOTAL'!AK294</f>
        <v>0</v>
      </c>
      <c r="AC289">
        <f>'RESUMEN TOTAL'!AL294</f>
        <v>0</v>
      </c>
      <c r="AD289">
        <f>'RESUMEN TOTAL'!AM294</f>
        <v>0</v>
      </c>
      <c r="AE289">
        <f>'RESUMEN TOTAL'!AN294</f>
        <v>0</v>
      </c>
      <c r="AF289">
        <f>'RESUMEN TOTAL'!AO294</f>
        <v>0</v>
      </c>
      <c r="AG289">
        <f>'RESUMEN TOTAL'!AP294</f>
        <v>0</v>
      </c>
    </row>
    <row r="290" spans="1:33" x14ac:dyDescent="0.3">
      <c r="A290" t="str">
        <f>'RESUMEN TOTAL'!A295</f>
        <v>VILLA ANGELICA</v>
      </c>
      <c r="B290" t="str">
        <f>'RESUMEN TOTAL'!C295</f>
        <v>VANG08</v>
      </c>
      <c r="C290" t="str">
        <f>'RESUMEN TOTAL'!D295</f>
        <v>Calle 158 al 2200</v>
      </c>
      <c r="D290" t="str">
        <f>'RESUMEN TOTAL'!E295</f>
        <v>Domo</v>
      </c>
      <c r="E290" t="str">
        <f>'RESUMEN TOTAL'!F295</f>
        <v>PTP A FO</v>
      </c>
      <c r="F290">
        <f>'RESUMEN TOTAL'!O295</f>
        <v>0</v>
      </c>
      <c r="G290">
        <f>'RESUMEN TOTAL'!P295</f>
        <v>0</v>
      </c>
      <c r="H290">
        <f>'RESUMEN TOTAL'!Q295</f>
        <v>0</v>
      </c>
      <c r="I290">
        <f>'RESUMEN TOTAL'!R295</f>
        <v>0</v>
      </c>
      <c r="J290">
        <f>'RESUMEN TOTAL'!S295</f>
        <v>0</v>
      </c>
      <c r="K290">
        <f>'RESUMEN TOTAL'!T295</f>
        <v>0</v>
      </c>
      <c r="L290">
        <f>'RESUMEN TOTAL'!U295</f>
        <v>0</v>
      </c>
      <c r="M290">
        <f>'RESUMEN TOTAL'!V295</f>
        <v>0</v>
      </c>
      <c r="N290">
        <f>'RESUMEN TOTAL'!W295</f>
        <v>0</v>
      </c>
      <c r="O290">
        <f>'RESUMEN TOTAL'!X295</f>
        <v>0</v>
      </c>
      <c r="P290">
        <f>'RESUMEN TOTAL'!Y295</f>
        <v>0</v>
      </c>
      <c r="Q290">
        <f>'RESUMEN TOTAL'!Z295</f>
        <v>0</v>
      </c>
      <c r="R290">
        <f>'RESUMEN TOTAL'!AA295</f>
        <v>0</v>
      </c>
      <c r="S290">
        <f>'RESUMEN TOTAL'!AB295</f>
        <v>0</v>
      </c>
      <c r="T290">
        <f>'RESUMEN TOTAL'!AC295</f>
        <v>0</v>
      </c>
      <c r="U290">
        <f>'RESUMEN TOTAL'!AD295</f>
        <v>0</v>
      </c>
      <c r="V290">
        <f>'RESUMEN TOTAL'!AE295</f>
        <v>0</v>
      </c>
      <c r="W290">
        <f>'RESUMEN TOTAL'!AF295</f>
        <v>0</v>
      </c>
      <c r="X290">
        <f>'RESUMEN TOTAL'!AG295</f>
        <v>0</v>
      </c>
      <c r="Y290">
        <f>'RESUMEN TOTAL'!AH295</f>
        <v>0</v>
      </c>
      <c r="Z290">
        <f>'RESUMEN TOTAL'!AI295</f>
        <v>0</v>
      </c>
      <c r="AA290">
        <f>'RESUMEN TOTAL'!AJ295</f>
        <v>0</v>
      </c>
      <c r="AB290">
        <f>'RESUMEN TOTAL'!AK295</f>
        <v>0</v>
      </c>
      <c r="AC290">
        <f>'RESUMEN TOTAL'!AL295</f>
        <v>0</v>
      </c>
      <c r="AD290">
        <f>'RESUMEN TOTAL'!AM295</f>
        <v>0</v>
      </c>
      <c r="AE290">
        <f>'RESUMEN TOTAL'!AN295</f>
        <v>0</v>
      </c>
      <c r="AF290">
        <f>'RESUMEN TOTAL'!AO295</f>
        <v>0</v>
      </c>
      <c r="AG290">
        <f>'RESUMEN TOTAL'!AP295</f>
        <v>0</v>
      </c>
    </row>
    <row r="291" spans="1:33" x14ac:dyDescent="0.3">
      <c r="A291" t="str">
        <f>'RESUMEN TOTAL'!A296</f>
        <v>PRESIDENTE SARMIENTO</v>
      </c>
      <c r="B291" t="str">
        <f>'RESUMEN TOTAL'!C296</f>
        <v>VANG09</v>
      </c>
      <c r="C291" t="str">
        <f>'RESUMEN TOTAL'!D296</f>
        <v>Ruta 36 y Senzabello</v>
      </c>
      <c r="D291" t="str">
        <f>'RESUMEN TOTAL'!E296</f>
        <v>Domo</v>
      </c>
      <c r="E291" t="str">
        <f>'RESUMEN TOTAL'!F296</f>
        <v>PTP A FO</v>
      </c>
      <c r="F291">
        <f>'RESUMEN TOTAL'!O296</f>
        <v>0</v>
      </c>
      <c r="G291">
        <f>'RESUMEN TOTAL'!P296</f>
        <v>0</v>
      </c>
      <c r="H291">
        <f>'RESUMEN TOTAL'!Q296</f>
        <v>0</v>
      </c>
      <c r="I291">
        <f>'RESUMEN TOTAL'!R296</f>
        <v>0</v>
      </c>
      <c r="J291">
        <f>'RESUMEN TOTAL'!S296</f>
        <v>0</v>
      </c>
      <c r="K291">
        <f>'RESUMEN TOTAL'!T296</f>
        <v>0</v>
      </c>
      <c r="L291">
        <f>'RESUMEN TOTAL'!U296</f>
        <v>0</v>
      </c>
      <c r="M291">
        <f>'RESUMEN TOTAL'!V296</f>
        <v>0</v>
      </c>
      <c r="N291">
        <f>'RESUMEN TOTAL'!W296</f>
        <v>0</v>
      </c>
      <c r="O291">
        <f>'RESUMEN TOTAL'!X296</f>
        <v>0</v>
      </c>
      <c r="P291" t="str">
        <f>'RESUMEN TOTAL'!Y296</f>
        <v>APAGADO</v>
      </c>
      <c r="Q291">
        <f>'RESUMEN TOTAL'!Z296</f>
        <v>0</v>
      </c>
      <c r="R291">
        <f>'RESUMEN TOTAL'!AA296</f>
        <v>0</v>
      </c>
      <c r="S291">
        <f>'RESUMEN TOTAL'!AB296</f>
        <v>0</v>
      </c>
      <c r="T291">
        <f>'RESUMEN TOTAL'!AC296</f>
        <v>0</v>
      </c>
      <c r="U291">
        <f>'RESUMEN TOTAL'!AD296</f>
        <v>0</v>
      </c>
      <c r="V291">
        <f>'RESUMEN TOTAL'!AE296</f>
        <v>0</v>
      </c>
      <c r="W291">
        <f>'RESUMEN TOTAL'!AF296</f>
        <v>0</v>
      </c>
      <c r="X291">
        <f>'RESUMEN TOTAL'!AG296</f>
        <v>0</v>
      </c>
      <c r="Y291">
        <f>'RESUMEN TOTAL'!AH296</f>
        <v>0</v>
      </c>
      <c r="Z291">
        <f>'RESUMEN TOTAL'!AI296</f>
        <v>0</v>
      </c>
      <c r="AA291">
        <f>'RESUMEN TOTAL'!AJ296</f>
        <v>0</v>
      </c>
      <c r="AB291">
        <f>'RESUMEN TOTAL'!AK296</f>
        <v>0</v>
      </c>
      <c r="AC291">
        <f>'RESUMEN TOTAL'!AL296</f>
        <v>0</v>
      </c>
      <c r="AD291">
        <f>'RESUMEN TOTAL'!AM296</f>
        <v>0</v>
      </c>
      <c r="AE291">
        <f>'RESUMEN TOTAL'!AN296</f>
        <v>0</v>
      </c>
      <c r="AF291">
        <f>'RESUMEN TOTAL'!AO296</f>
        <v>0</v>
      </c>
      <c r="AG291">
        <f>'RESUMEN TOTAL'!AP296</f>
        <v>0</v>
      </c>
    </row>
    <row r="292" spans="1:33" x14ac:dyDescent="0.3">
      <c r="A292" t="str">
        <f>'RESUMEN TOTAL'!A297</f>
        <v>VILLA ARGENTINA</v>
      </c>
      <c r="B292" t="str">
        <f>'RESUMEN TOTAL'!C297</f>
        <v>VAR 01</v>
      </c>
      <c r="C292" t="str">
        <f>'RESUMEN TOTAL'!D297</f>
        <v>Calle 519 y 546</v>
      </c>
      <c r="D292" t="str">
        <f>'RESUMEN TOTAL'!E297</f>
        <v>Domo</v>
      </c>
      <c r="E292" t="str">
        <f>'RESUMEN TOTAL'!F297</f>
        <v>Radio</v>
      </c>
      <c r="F292">
        <f>'RESUMEN TOTAL'!O297</f>
        <v>0</v>
      </c>
      <c r="G292">
        <f>'RESUMEN TOTAL'!P297</f>
        <v>0</v>
      </c>
      <c r="H292">
        <f>'RESUMEN TOTAL'!Q297</f>
        <v>0</v>
      </c>
      <c r="I292">
        <f>'RESUMEN TOTAL'!R297</f>
        <v>0</v>
      </c>
      <c r="J292">
        <f>'RESUMEN TOTAL'!S297</f>
        <v>0</v>
      </c>
      <c r="K292" t="str">
        <f>'RESUMEN TOTAL'!T297</f>
        <v>APAGADO</v>
      </c>
      <c r="L292">
        <f>'RESUMEN TOTAL'!U297</f>
        <v>0</v>
      </c>
      <c r="M292" t="str">
        <f>'RESUMEN TOTAL'!V297</f>
        <v>APAGADO</v>
      </c>
      <c r="N292" t="str">
        <f>'RESUMEN TOTAL'!W297</f>
        <v>APAGADO</v>
      </c>
      <c r="O292" t="str">
        <f>'RESUMEN TOTAL'!X297</f>
        <v>APAGADO</v>
      </c>
      <c r="P292">
        <f>'RESUMEN TOTAL'!Y297</f>
        <v>0</v>
      </c>
      <c r="Q292">
        <f>'RESUMEN TOTAL'!Z297</f>
        <v>0</v>
      </c>
      <c r="R292">
        <f>'RESUMEN TOTAL'!AA297</f>
        <v>0</v>
      </c>
      <c r="S292">
        <f>'RESUMEN TOTAL'!AB297</f>
        <v>0</v>
      </c>
      <c r="T292">
        <f>'RESUMEN TOTAL'!AC297</f>
        <v>0</v>
      </c>
      <c r="U292">
        <f>'RESUMEN TOTAL'!AD297</f>
        <v>0</v>
      </c>
      <c r="V292">
        <f>'RESUMEN TOTAL'!AE297</f>
        <v>0</v>
      </c>
      <c r="W292">
        <f>'RESUMEN TOTAL'!AF297</f>
        <v>0</v>
      </c>
      <c r="X292">
        <f>'RESUMEN TOTAL'!AG297</f>
        <v>0</v>
      </c>
      <c r="Y292">
        <f>'RESUMEN TOTAL'!AH297</f>
        <v>0</v>
      </c>
      <c r="Z292">
        <f>'RESUMEN TOTAL'!AI297</f>
        <v>0</v>
      </c>
      <c r="AA292">
        <f>'RESUMEN TOTAL'!AJ297</f>
        <v>0</v>
      </c>
      <c r="AB292">
        <f>'RESUMEN TOTAL'!AK297</f>
        <v>0</v>
      </c>
      <c r="AC292">
        <f>'RESUMEN TOTAL'!AL297</f>
        <v>0</v>
      </c>
      <c r="AD292">
        <f>'RESUMEN TOTAL'!AM297</f>
        <v>0</v>
      </c>
      <c r="AE292">
        <f>'RESUMEN TOTAL'!AN297</f>
        <v>0</v>
      </c>
      <c r="AF292">
        <f>'RESUMEN TOTAL'!AO297</f>
        <v>0</v>
      </c>
      <c r="AG292">
        <f>'RESUMEN TOTAL'!AP297</f>
        <v>0</v>
      </c>
    </row>
    <row r="293" spans="1:33" x14ac:dyDescent="0.3">
      <c r="A293" t="str">
        <f>'RESUMEN TOTAL'!A298</f>
        <v>VILLA ARGENTINA</v>
      </c>
      <c r="B293" t="str">
        <f>'RESUMEN TOTAL'!C298</f>
        <v>VAR 02</v>
      </c>
      <c r="C293" t="str">
        <f>'RESUMEN TOTAL'!D298</f>
        <v>DIAGONAL LOS TILOS Y 542</v>
      </c>
      <c r="D293" t="str">
        <f>'RESUMEN TOTAL'!E298</f>
        <v>DOMO</v>
      </c>
      <c r="E293" t="str">
        <f>'RESUMEN TOTAL'!F298</f>
        <v>Radio</v>
      </c>
      <c r="F293">
        <f>'RESUMEN TOTAL'!O298</f>
        <v>0</v>
      </c>
      <c r="G293">
        <f>'RESUMEN TOTAL'!P298</f>
        <v>0</v>
      </c>
      <c r="H293">
        <f>'RESUMEN TOTAL'!Q298</f>
        <v>0</v>
      </c>
      <c r="I293">
        <f>'RESUMEN TOTAL'!R298</f>
        <v>0</v>
      </c>
      <c r="J293">
        <f>'RESUMEN TOTAL'!S298</f>
        <v>0</v>
      </c>
      <c r="K293">
        <f>'RESUMEN TOTAL'!T298</f>
        <v>0</v>
      </c>
      <c r="L293">
        <f>'RESUMEN TOTAL'!U298</f>
        <v>0</v>
      </c>
      <c r="M293">
        <f>'RESUMEN TOTAL'!V298</f>
        <v>0</v>
      </c>
      <c r="N293">
        <f>'RESUMEN TOTAL'!W298</f>
        <v>0</v>
      </c>
      <c r="O293">
        <f>'RESUMEN TOTAL'!X298</f>
        <v>0</v>
      </c>
      <c r="P293">
        <f>'RESUMEN TOTAL'!Y298</f>
        <v>0</v>
      </c>
      <c r="Q293">
        <f>'RESUMEN TOTAL'!Z298</f>
        <v>0</v>
      </c>
      <c r="R293">
        <f>'RESUMEN TOTAL'!AA298</f>
        <v>0</v>
      </c>
      <c r="S293">
        <f>'RESUMEN TOTAL'!AB298</f>
        <v>0</v>
      </c>
      <c r="T293">
        <f>'RESUMEN TOTAL'!AC298</f>
        <v>0</v>
      </c>
      <c r="U293">
        <f>'RESUMEN TOTAL'!AD298</f>
        <v>0</v>
      </c>
      <c r="V293">
        <f>'RESUMEN TOTAL'!AE298</f>
        <v>0</v>
      </c>
      <c r="W293">
        <f>'RESUMEN TOTAL'!AF298</f>
        <v>0</v>
      </c>
      <c r="X293">
        <f>'RESUMEN TOTAL'!AG298</f>
        <v>0</v>
      </c>
      <c r="Y293">
        <f>'RESUMEN TOTAL'!AH298</f>
        <v>0</v>
      </c>
      <c r="Z293">
        <f>'RESUMEN TOTAL'!AI298</f>
        <v>0</v>
      </c>
      <c r="AA293">
        <f>'RESUMEN TOTAL'!AJ298</f>
        <v>0</v>
      </c>
      <c r="AB293">
        <f>'RESUMEN TOTAL'!AK298</f>
        <v>0</v>
      </c>
      <c r="AC293">
        <f>'RESUMEN TOTAL'!AL298</f>
        <v>0</v>
      </c>
      <c r="AD293">
        <f>'RESUMEN TOTAL'!AM298</f>
        <v>0</v>
      </c>
      <c r="AE293">
        <f>'RESUMEN TOTAL'!AN298</f>
        <v>0</v>
      </c>
      <c r="AF293">
        <f>'RESUMEN TOTAL'!AO298</f>
        <v>0</v>
      </c>
      <c r="AG293">
        <f>'RESUMEN TOTAL'!AP298</f>
        <v>0</v>
      </c>
    </row>
    <row r="294" spans="1:33" x14ac:dyDescent="0.3">
      <c r="A294" t="str">
        <f>'RESUMEN TOTAL'!A299</f>
        <v>VILLA ARGENTINA</v>
      </c>
      <c r="B294" t="str">
        <f>'RESUMEN TOTAL'!C299</f>
        <v>VAR03 (fija 1)</v>
      </c>
      <c r="C294" t="str">
        <f>'RESUMEN TOTAL'!D299</f>
        <v>509 y 546</v>
      </c>
      <c r="D294" t="str">
        <f>'RESUMEN TOTAL'!E299</f>
        <v>Fija</v>
      </c>
      <c r="E294" t="str">
        <f>'RESUMEN TOTAL'!F299</f>
        <v>RADIO</v>
      </c>
      <c r="F294">
        <f>'RESUMEN TOTAL'!O299</f>
        <v>0</v>
      </c>
      <c r="G294">
        <f>'RESUMEN TOTAL'!P299</f>
        <v>0</v>
      </c>
      <c r="H294">
        <f>'RESUMEN TOTAL'!Q299</f>
        <v>0</v>
      </c>
      <c r="I294">
        <f>'RESUMEN TOTAL'!R299</f>
        <v>0</v>
      </c>
      <c r="J294">
        <f>'RESUMEN TOTAL'!S299</f>
        <v>0</v>
      </c>
      <c r="K294">
        <f>'RESUMEN TOTAL'!T299</f>
        <v>0</v>
      </c>
      <c r="L294">
        <f>'RESUMEN TOTAL'!U299</f>
        <v>0</v>
      </c>
      <c r="M294">
        <f>'RESUMEN TOTAL'!V299</f>
        <v>0</v>
      </c>
      <c r="N294">
        <f>'RESUMEN TOTAL'!W299</f>
        <v>0</v>
      </c>
      <c r="O294">
        <f>'RESUMEN TOTAL'!X299</f>
        <v>0</v>
      </c>
      <c r="P294">
        <f>'RESUMEN TOTAL'!Y299</f>
        <v>0</v>
      </c>
      <c r="Q294">
        <f>'RESUMEN TOTAL'!Z299</f>
        <v>0</v>
      </c>
      <c r="R294">
        <f>'RESUMEN TOTAL'!AA299</f>
        <v>0</v>
      </c>
      <c r="S294">
        <f>'RESUMEN TOTAL'!AB299</f>
        <v>0</v>
      </c>
      <c r="T294">
        <f>'RESUMEN TOTAL'!AC299</f>
        <v>0</v>
      </c>
      <c r="U294">
        <f>'RESUMEN TOTAL'!AD299</f>
        <v>0</v>
      </c>
      <c r="V294">
        <f>'RESUMEN TOTAL'!AE299</f>
        <v>0</v>
      </c>
      <c r="W294">
        <f>'RESUMEN TOTAL'!AF299</f>
        <v>0</v>
      </c>
      <c r="X294">
        <f>'RESUMEN TOTAL'!AG299</f>
        <v>0</v>
      </c>
      <c r="Y294">
        <f>'RESUMEN TOTAL'!AH299</f>
        <v>0</v>
      </c>
      <c r="Z294">
        <f>'RESUMEN TOTAL'!AI299</f>
        <v>0</v>
      </c>
      <c r="AA294">
        <f>'RESUMEN TOTAL'!AJ299</f>
        <v>0</v>
      </c>
      <c r="AB294">
        <f>'RESUMEN TOTAL'!AK299</f>
        <v>0</v>
      </c>
      <c r="AC294">
        <f>'RESUMEN TOTAL'!AL299</f>
        <v>0</v>
      </c>
      <c r="AD294">
        <f>'RESUMEN TOTAL'!AM299</f>
        <v>0</v>
      </c>
      <c r="AE294">
        <f>'RESUMEN TOTAL'!AN299</f>
        <v>0</v>
      </c>
      <c r="AF294">
        <f>'RESUMEN TOTAL'!AO299</f>
        <v>0</v>
      </c>
      <c r="AG294">
        <f>'RESUMEN TOTAL'!AP299</f>
        <v>0</v>
      </c>
    </row>
    <row r="295" spans="1:33" x14ac:dyDescent="0.3">
      <c r="A295" t="str">
        <f>'RESUMEN TOTAL'!A300</f>
        <v>VILLA ARGENTINA</v>
      </c>
      <c r="B295" t="str">
        <f>'RESUMEN TOTAL'!C300</f>
        <v>VAR04 (fija 2)</v>
      </c>
      <c r="C295" t="str">
        <f>'RESUMEN TOTAL'!D300</f>
        <v>509 y 546</v>
      </c>
      <c r="D295" t="str">
        <f>'RESUMEN TOTAL'!E300</f>
        <v>Fija</v>
      </c>
      <c r="E295" t="str">
        <f>'RESUMEN TOTAL'!F300</f>
        <v>RADIO</v>
      </c>
      <c r="F295">
        <f>'RESUMEN TOTAL'!O300</f>
        <v>0</v>
      </c>
      <c r="G295">
        <f>'RESUMEN TOTAL'!P300</f>
        <v>0</v>
      </c>
      <c r="H295">
        <f>'RESUMEN TOTAL'!Q300</f>
        <v>0</v>
      </c>
      <c r="I295">
        <f>'RESUMEN TOTAL'!R300</f>
        <v>0</v>
      </c>
      <c r="J295">
        <f>'RESUMEN TOTAL'!S300</f>
        <v>0</v>
      </c>
      <c r="K295">
        <f>'RESUMEN TOTAL'!T300</f>
        <v>0</v>
      </c>
      <c r="L295">
        <f>'RESUMEN TOTAL'!U300</f>
        <v>0</v>
      </c>
      <c r="M295">
        <f>'RESUMEN TOTAL'!V300</f>
        <v>0</v>
      </c>
      <c r="N295">
        <f>'RESUMEN TOTAL'!W300</f>
        <v>0</v>
      </c>
      <c r="O295">
        <f>'RESUMEN TOTAL'!X300</f>
        <v>0</v>
      </c>
      <c r="P295">
        <f>'RESUMEN TOTAL'!Y300</f>
        <v>0</v>
      </c>
      <c r="Q295">
        <f>'RESUMEN TOTAL'!Z300</f>
        <v>0</v>
      </c>
      <c r="R295">
        <f>'RESUMEN TOTAL'!AA300</f>
        <v>0</v>
      </c>
      <c r="S295">
        <f>'RESUMEN TOTAL'!AB300</f>
        <v>0</v>
      </c>
      <c r="T295">
        <f>'RESUMEN TOTAL'!AC300</f>
        <v>0</v>
      </c>
      <c r="U295">
        <f>'RESUMEN TOTAL'!AD300</f>
        <v>0</v>
      </c>
      <c r="V295">
        <f>'RESUMEN TOTAL'!AE300</f>
        <v>0</v>
      </c>
      <c r="W295">
        <f>'RESUMEN TOTAL'!AF300</f>
        <v>0</v>
      </c>
      <c r="X295">
        <f>'RESUMEN TOTAL'!AG300</f>
        <v>0</v>
      </c>
      <c r="Y295">
        <f>'RESUMEN TOTAL'!AH300</f>
        <v>0</v>
      </c>
      <c r="Z295">
        <f>'RESUMEN TOTAL'!AI300</f>
        <v>0</v>
      </c>
      <c r="AA295">
        <f>'RESUMEN TOTAL'!AJ300</f>
        <v>0</v>
      </c>
      <c r="AB295">
        <f>'RESUMEN TOTAL'!AK300</f>
        <v>0</v>
      </c>
      <c r="AC295">
        <f>'RESUMEN TOTAL'!AL300</f>
        <v>0</v>
      </c>
      <c r="AD295">
        <f>'RESUMEN TOTAL'!AM300</f>
        <v>0</v>
      </c>
      <c r="AE295">
        <f>'RESUMEN TOTAL'!AN300</f>
        <v>0</v>
      </c>
      <c r="AF295">
        <f>'RESUMEN TOTAL'!AO300</f>
        <v>0</v>
      </c>
      <c r="AG295">
        <f>'RESUMEN TOTAL'!AP300</f>
        <v>0</v>
      </c>
    </row>
    <row r="296" spans="1:33" x14ac:dyDescent="0.3">
      <c r="A296" t="str">
        <f>'RESUMEN TOTAL'!A301</f>
        <v>VILLA ARGENTINA</v>
      </c>
      <c r="B296" t="str">
        <f>'RESUMEN TOTAL'!C301</f>
        <v>VAR05 (fija 1)</v>
      </c>
      <c r="C296" t="str">
        <f>'RESUMEN TOTAL'!D301</f>
        <v>511 E/ 544 Y 546</v>
      </c>
      <c r="D296" t="str">
        <f>'RESUMEN TOTAL'!E301</f>
        <v>Fija</v>
      </c>
      <c r="E296" t="str">
        <f>'RESUMEN TOTAL'!F301</f>
        <v>RADIO</v>
      </c>
      <c r="F296">
        <f>'RESUMEN TOTAL'!O301</f>
        <v>0</v>
      </c>
      <c r="G296">
        <f>'RESUMEN TOTAL'!P301</f>
        <v>0</v>
      </c>
      <c r="H296">
        <f>'RESUMEN TOTAL'!Q301</f>
        <v>0</v>
      </c>
      <c r="I296">
        <f>'RESUMEN TOTAL'!R301</f>
        <v>0</v>
      </c>
      <c r="J296">
        <f>'RESUMEN TOTAL'!S301</f>
        <v>0</v>
      </c>
      <c r="K296">
        <f>'RESUMEN TOTAL'!T301</f>
        <v>0</v>
      </c>
      <c r="L296">
        <f>'RESUMEN TOTAL'!U301</f>
        <v>0</v>
      </c>
      <c r="M296">
        <f>'RESUMEN TOTAL'!V301</f>
        <v>0</v>
      </c>
      <c r="N296">
        <f>'RESUMEN TOTAL'!W301</f>
        <v>0</v>
      </c>
      <c r="O296">
        <f>'RESUMEN TOTAL'!X301</f>
        <v>0</v>
      </c>
      <c r="P296">
        <f>'RESUMEN TOTAL'!Y301</f>
        <v>0</v>
      </c>
      <c r="Q296">
        <f>'RESUMEN TOTAL'!Z301</f>
        <v>0</v>
      </c>
      <c r="R296">
        <f>'RESUMEN TOTAL'!AA301</f>
        <v>0</v>
      </c>
      <c r="S296">
        <f>'RESUMEN TOTAL'!AB301</f>
        <v>0</v>
      </c>
      <c r="T296">
        <f>'RESUMEN TOTAL'!AC301</f>
        <v>0</v>
      </c>
      <c r="U296">
        <f>'RESUMEN TOTAL'!AD301</f>
        <v>0</v>
      </c>
      <c r="V296">
        <f>'RESUMEN TOTAL'!AE301</f>
        <v>0</v>
      </c>
      <c r="W296">
        <f>'RESUMEN TOTAL'!AF301</f>
        <v>0</v>
      </c>
      <c r="X296">
        <f>'RESUMEN TOTAL'!AG301</f>
        <v>0</v>
      </c>
      <c r="Y296">
        <f>'RESUMEN TOTAL'!AH301</f>
        <v>0</v>
      </c>
      <c r="Z296">
        <f>'RESUMEN TOTAL'!AI301</f>
        <v>0</v>
      </c>
      <c r="AA296">
        <f>'RESUMEN TOTAL'!AJ301</f>
        <v>0</v>
      </c>
      <c r="AB296">
        <f>'RESUMEN TOTAL'!AK301</f>
        <v>0</v>
      </c>
      <c r="AC296">
        <f>'RESUMEN TOTAL'!AL301</f>
        <v>0</v>
      </c>
      <c r="AD296">
        <f>'RESUMEN TOTAL'!AM301</f>
        <v>0</v>
      </c>
      <c r="AE296">
        <f>'RESUMEN TOTAL'!AN301</f>
        <v>0</v>
      </c>
      <c r="AF296">
        <f>'RESUMEN TOTAL'!AO301</f>
        <v>0</v>
      </c>
      <c r="AG296">
        <f>'RESUMEN TOTAL'!AP301</f>
        <v>0</v>
      </c>
    </row>
    <row r="297" spans="1:33" x14ac:dyDescent="0.3">
      <c r="A297" t="str">
        <f>'RESUMEN TOTAL'!A302</f>
        <v>VILLA ARGENTINA</v>
      </c>
      <c r="B297" t="str">
        <f>'RESUMEN TOTAL'!C302</f>
        <v>VAR06 (fija 2)</v>
      </c>
      <c r="C297" t="str">
        <f>'RESUMEN TOTAL'!D302</f>
        <v>511 E/ 544 Y 546</v>
      </c>
      <c r="D297" t="str">
        <f>'RESUMEN TOTAL'!E302</f>
        <v>Fija</v>
      </c>
      <c r="E297" t="str">
        <f>'RESUMEN TOTAL'!F302</f>
        <v>RADIO</v>
      </c>
      <c r="F297">
        <f>'RESUMEN TOTAL'!O302</f>
        <v>0</v>
      </c>
      <c r="G297">
        <f>'RESUMEN TOTAL'!P302</f>
        <v>0</v>
      </c>
      <c r="H297">
        <f>'RESUMEN TOTAL'!Q302</f>
        <v>0</v>
      </c>
      <c r="I297">
        <f>'RESUMEN TOTAL'!R302</f>
        <v>0</v>
      </c>
      <c r="J297">
        <f>'RESUMEN TOTAL'!S302</f>
        <v>0</v>
      </c>
      <c r="K297">
        <f>'RESUMEN TOTAL'!T302</f>
        <v>0</v>
      </c>
      <c r="L297">
        <f>'RESUMEN TOTAL'!U302</f>
        <v>0</v>
      </c>
      <c r="M297">
        <f>'RESUMEN TOTAL'!V302</f>
        <v>0</v>
      </c>
      <c r="N297">
        <f>'RESUMEN TOTAL'!W302</f>
        <v>0</v>
      </c>
      <c r="O297">
        <f>'RESUMEN TOTAL'!X302</f>
        <v>0</v>
      </c>
      <c r="P297">
        <f>'RESUMEN TOTAL'!Y302</f>
        <v>0</v>
      </c>
      <c r="Q297">
        <f>'RESUMEN TOTAL'!Z302</f>
        <v>0</v>
      </c>
      <c r="R297">
        <f>'RESUMEN TOTAL'!AA302</f>
        <v>0</v>
      </c>
      <c r="S297">
        <f>'RESUMEN TOTAL'!AB302</f>
        <v>0</v>
      </c>
      <c r="T297">
        <f>'RESUMEN TOTAL'!AC302</f>
        <v>0</v>
      </c>
      <c r="U297">
        <f>'RESUMEN TOTAL'!AD302</f>
        <v>0</v>
      </c>
      <c r="V297">
        <f>'RESUMEN TOTAL'!AE302</f>
        <v>0</v>
      </c>
      <c r="W297">
        <f>'RESUMEN TOTAL'!AF302</f>
        <v>0</v>
      </c>
      <c r="X297">
        <f>'RESUMEN TOTAL'!AG302</f>
        <v>0</v>
      </c>
      <c r="Y297">
        <f>'RESUMEN TOTAL'!AH302</f>
        <v>0</v>
      </c>
      <c r="Z297">
        <f>'RESUMEN TOTAL'!AI302</f>
        <v>0</v>
      </c>
      <c r="AA297">
        <f>'RESUMEN TOTAL'!AJ302</f>
        <v>0</v>
      </c>
      <c r="AB297">
        <f>'RESUMEN TOTAL'!AK302</f>
        <v>0</v>
      </c>
      <c r="AC297">
        <f>'RESUMEN TOTAL'!AL302</f>
        <v>0</v>
      </c>
      <c r="AD297">
        <f>'RESUMEN TOTAL'!AM302</f>
        <v>0</v>
      </c>
      <c r="AE297">
        <f>'RESUMEN TOTAL'!AN302</f>
        <v>0</v>
      </c>
      <c r="AF297">
        <f>'RESUMEN TOTAL'!AO302</f>
        <v>0</v>
      </c>
      <c r="AG297">
        <f>'RESUMEN TOTAL'!AP302</f>
        <v>0</v>
      </c>
    </row>
    <row r="298" spans="1:33" x14ac:dyDescent="0.3">
      <c r="A298" t="str">
        <f>'RESUMEN TOTAL'!A303</f>
        <v>VILLA ARGENTINA</v>
      </c>
      <c r="B298" t="str">
        <f>'RESUMEN TOTAL'!C303</f>
        <v>VAR07</v>
      </c>
      <c r="C298" t="str">
        <f>'RESUMEN TOTAL'!D303</f>
        <v>DIAG. LOS TILOS Y 517</v>
      </c>
      <c r="D298" t="str">
        <f>'RESUMEN TOTAL'!E303</f>
        <v>DOMO</v>
      </c>
      <c r="E298" t="str">
        <f>'RESUMEN TOTAL'!F303</f>
        <v>Fibra Optica</v>
      </c>
      <c r="F298">
        <f>'RESUMEN TOTAL'!O303</f>
        <v>0</v>
      </c>
      <c r="G298">
        <f>'RESUMEN TOTAL'!P303</f>
        <v>0</v>
      </c>
      <c r="H298">
        <f>'RESUMEN TOTAL'!Q303</f>
        <v>0</v>
      </c>
      <c r="I298">
        <f>'RESUMEN TOTAL'!R303</f>
        <v>0</v>
      </c>
      <c r="J298">
        <f>'RESUMEN TOTAL'!S303</f>
        <v>0</v>
      </c>
      <c r="K298">
        <f>'RESUMEN TOTAL'!T303</f>
        <v>0</v>
      </c>
      <c r="L298">
        <f>'RESUMEN TOTAL'!U303</f>
        <v>0</v>
      </c>
      <c r="M298">
        <f>'RESUMEN TOTAL'!V303</f>
        <v>0</v>
      </c>
      <c r="N298">
        <f>'RESUMEN TOTAL'!W303</f>
        <v>0</v>
      </c>
      <c r="O298">
        <f>'RESUMEN TOTAL'!X303</f>
        <v>0</v>
      </c>
      <c r="P298">
        <f>'RESUMEN TOTAL'!Y303</f>
        <v>0</v>
      </c>
      <c r="Q298">
        <f>'RESUMEN TOTAL'!Z303</f>
        <v>0</v>
      </c>
      <c r="R298">
        <f>'RESUMEN TOTAL'!AA303</f>
        <v>0</v>
      </c>
      <c r="S298">
        <f>'RESUMEN TOTAL'!AB303</f>
        <v>0</v>
      </c>
      <c r="T298">
        <f>'RESUMEN TOTAL'!AC303</f>
        <v>0</v>
      </c>
      <c r="U298">
        <f>'RESUMEN TOTAL'!AD303</f>
        <v>0</v>
      </c>
      <c r="V298">
        <f>'RESUMEN TOTAL'!AE303</f>
        <v>0</v>
      </c>
      <c r="W298">
        <f>'RESUMEN TOTAL'!AF303</f>
        <v>0</v>
      </c>
      <c r="X298">
        <f>'RESUMEN TOTAL'!AG303</f>
        <v>0</v>
      </c>
      <c r="Y298">
        <f>'RESUMEN TOTAL'!AH303</f>
        <v>0</v>
      </c>
      <c r="Z298">
        <f>'RESUMEN TOTAL'!AI303</f>
        <v>0</v>
      </c>
      <c r="AA298">
        <f>'RESUMEN TOTAL'!AJ303</f>
        <v>0</v>
      </c>
      <c r="AB298">
        <f>'RESUMEN TOTAL'!AK303</f>
        <v>0</v>
      </c>
      <c r="AC298">
        <f>'RESUMEN TOTAL'!AL303</f>
        <v>0</v>
      </c>
      <c r="AD298">
        <f>'RESUMEN TOTAL'!AM303</f>
        <v>0</v>
      </c>
      <c r="AE298">
        <f>'RESUMEN TOTAL'!AN303</f>
        <v>0</v>
      </c>
      <c r="AF298">
        <f>'RESUMEN TOTAL'!AO303</f>
        <v>0</v>
      </c>
      <c r="AG298">
        <f>'RESUMEN TOTAL'!AP303</f>
        <v>0</v>
      </c>
    </row>
    <row r="299" spans="1:33" x14ac:dyDescent="0.3">
      <c r="A299" t="str">
        <f>'RESUMEN TOTAL'!A304</f>
        <v>VILLA ARGENTINA</v>
      </c>
      <c r="B299" t="str">
        <f>'RESUMEN TOTAL'!C304</f>
        <v>VAR08 (fija 1)</v>
      </c>
      <c r="C299" t="str">
        <f>'RESUMEN TOTAL'!D304</f>
        <v>534 Y 523</v>
      </c>
      <c r="D299" t="str">
        <f>'RESUMEN TOTAL'!E304</f>
        <v>Fija</v>
      </c>
      <c r="E299" t="str">
        <f>'RESUMEN TOTAL'!F304</f>
        <v>Fibra Optica</v>
      </c>
      <c r="F299">
        <f>'RESUMEN TOTAL'!O304</f>
        <v>0</v>
      </c>
      <c r="G299">
        <f>'RESUMEN TOTAL'!P304</f>
        <v>0</v>
      </c>
      <c r="H299">
        <f>'RESUMEN TOTAL'!Q304</f>
        <v>0</v>
      </c>
      <c r="I299">
        <f>'RESUMEN TOTAL'!R304</f>
        <v>0</v>
      </c>
      <c r="J299">
        <f>'RESUMEN TOTAL'!S304</f>
        <v>0</v>
      </c>
      <c r="K299">
        <f>'RESUMEN TOTAL'!T304</f>
        <v>0</v>
      </c>
      <c r="L299">
        <f>'RESUMEN TOTAL'!U304</f>
        <v>0</v>
      </c>
      <c r="M299">
        <f>'RESUMEN TOTAL'!V304</f>
        <v>0</v>
      </c>
      <c r="N299">
        <f>'RESUMEN TOTAL'!W304</f>
        <v>0</v>
      </c>
      <c r="O299">
        <f>'RESUMEN TOTAL'!X304</f>
        <v>0</v>
      </c>
      <c r="P299" t="str">
        <f>'RESUMEN TOTAL'!Y304</f>
        <v>APAGADO</v>
      </c>
      <c r="Q299" t="str">
        <f>'RESUMEN TOTAL'!Z304</f>
        <v>APAGADO</v>
      </c>
      <c r="R299" t="str">
        <f>'RESUMEN TOTAL'!AA304</f>
        <v>APAGADO</v>
      </c>
      <c r="S299" t="str">
        <f>'RESUMEN TOTAL'!AB304</f>
        <v>APAGADO</v>
      </c>
      <c r="T299">
        <f>'RESUMEN TOTAL'!AC304</f>
        <v>0</v>
      </c>
      <c r="U299">
        <f>'RESUMEN TOTAL'!AD304</f>
        <v>0</v>
      </c>
      <c r="V299">
        <f>'RESUMEN TOTAL'!AE304</f>
        <v>0</v>
      </c>
      <c r="W299">
        <f>'RESUMEN TOTAL'!AF304</f>
        <v>0</v>
      </c>
      <c r="X299">
        <f>'RESUMEN TOTAL'!AG304</f>
        <v>0</v>
      </c>
      <c r="Y299">
        <f>'RESUMEN TOTAL'!AH304</f>
        <v>0</v>
      </c>
      <c r="Z299">
        <f>'RESUMEN TOTAL'!AI304</f>
        <v>0</v>
      </c>
      <c r="AA299">
        <f>'RESUMEN TOTAL'!AJ304</f>
        <v>0</v>
      </c>
      <c r="AB299">
        <f>'RESUMEN TOTAL'!AK304</f>
        <v>0</v>
      </c>
      <c r="AC299">
        <f>'RESUMEN TOTAL'!AL304</f>
        <v>0</v>
      </c>
      <c r="AD299">
        <f>'RESUMEN TOTAL'!AM304</f>
        <v>0</v>
      </c>
      <c r="AE299">
        <f>'RESUMEN TOTAL'!AN304</f>
        <v>0</v>
      </c>
      <c r="AF299">
        <f>'RESUMEN TOTAL'!AO304</f>
        <v>0</v>
      </c>
      <c r="AG299">
        <f>'RESUMEN TOTAL'!AP304</f>
        <v>0</v>
      </c>
    </row>
    <row r="300" spans="1:33" x14ac:dyDescent="0.3">
      <c r="A300" t="str">
        <f>'RESUMEN TOTAL'!A305</f>
        <v>VILLA ARGENTINA</v>
      </c>
      <c r="B300" t="str">
        <f>'RESUMEN TOTAL'!C305</f>
        <v>VAR09 (fija 2)</v>
      </c>
      <c r="C300" t="str">
        <f>'RESUMEN TOTAL'!D305</f>
        <v>534 Y 523</v>
      </c>
      <c r="D300" t="str">
        <f>'RESUMEN TOTAL'!E305</f>
        <v>Fija</v>
      </c>
      <c r="E300" t="str">
        <f>'RESUMEN TOTAL'!F305</f>
        <v>Fibra Optica</v>
      </c>
      <c r="F300">
        <f>'RESUMEN TOTAL'!O305</f>
        <v>0</v>
      </c>
      <c r="G300">
        <f>'RESUMEN TOTAL'!P305</f>
        <v>0</v>
      </c>
      <c r="H300">
        <f>'RESUMEN TOTAL'!Q305</f>
        <v>0</v>
      </c>
      <c r="I300">
        <f>'RESUMEN TOTAL'!R305</f>
        <v>0</v>
      </c>
      <c r="J300">
        <f>'RESUMEN TOTAL'!S305</f>
        <v>0</v>
      </c>
      <c r="K300">
        <f>'RESUMEN TOTAL'!T305</f>
        <v>0</v>
      </c>
      <c r="L300">
        <f>'RESUMEN TOTAL'!U305</f>
        <v>0</v>
      </c>
      <c r="M300">
        <f>'RESUMEN TOTAL'!V305</f>
        <v>0</v>
      </c>
      <c r="N300">
        <f>'RESUMEN TOTAL'!W305</f>
        <v>0</v>
      </c>
      <c r="O300">
        <f>'RESUMEN TOTAL'!X305</f>
        <v>0</v>
      </c>
      <c r="P300" t="str">
        <f>'RESUMEN TOTAL'!Y305</f>
        <v>APAGADO</v>
      </c>
      <c r="Q300" t="str">
        <f>'RESUMEN TOTAL'!Z305</f>
        <v>APAGADO</v>
      </c>
      <c r="R300" t="str">
        <f>'RESUMEN TOTAL'!AA305</f>
        <v>APAGADO</v>
      </c>
      <c r="S300" t="str">
        <f>'RESUMEN TOTAL'!AB305</f>
        <v>APAGADO</v>
      </c>
      <c r="T300">
        <f>'RESUMEN TOTAL'!AC305</f>
        <v>0</v>
      </c>
      <c r="U300">
        <f>'RESUMEN TOTAL'!AD305</f>
        <v>0</v>
      </c>
      <c r="V300">
        <f>'RESUMEN TOTAL'!AE305</f>
        <v>0</v>
      </c>
      <c r="W300">
        <f>'RESUMEN TOTAL'!AF305</f>
        <v>0</v>
      </c>
      <c r="X300">
        <f>'RESUMEN TOTAL'!AG305</f>
        <v>0</v>
      </c>
      <c r="Y300">
        <f>'RESUMEN TOTAL'!AH305</f>
        <v>0</v>
      </c>
      <c r="Z300">
        <f>'RESUMEN TOTAL'!AI305</f>
        <v>0</v>
      </c>
      <c r="AA300">
        <f>'RESUMEN TOTAL'!AJ305</f>
        <v>0</v>
      </c>
      <c r="AB300">
        <f>'RESUMEN TOTAL'!AK305</f>
        <v>0</v>
      </c>
      <c r="AC300">
        <f>'RESUMEN TOTAL'!AL305</f>
        <v>0</v>
      </c>
      <c r="AD300">
        <f>'RESUMEN TOTAL'!AM305</f>
        <v>0</v>
      </c>
      <c r="AE300">
        <f>'RESUMEN TOTAL'!AN305</f>
        <v>0</v>
      </c>
      <c r="AF300">
        <f>'RESUMEN TOTAL'!AO305</f>
        <v>0</v>
      </c>
      <c r="AG300">
        <f>'RESUMEN TOTAL'!AP305</f>
        <v>0</v>
      </c>
    </row>
    <row r="301" spans="1:33" x14ac:dyDescent="0.3">
      <c r="A301" t="str">
        <f>'RESUMEN TOTAL'!A306</f>
        <v>VILLA ARGENTINA</v>
      </c>
      <c r="B301" t="str">
        <f>'RESUMEN TOTAL'!C306</f>
        <v>VAR10 (fija 1)</v>
      </c>
      <c r="C301" t="str">
        <f>'RESUMEN TOTAL'!D306</f>
        <v>532 A Y 523</v>
      </c>
      <c r="D301" t="str">
        <f>'RESUMEN TOTAL'!E306</f>
        <v>Fija</v>
      </c>
      <c r="E301" t="str">
        <f>'RESUMEN TOTAL'!F306</f>
        <v>Fibra Optica</v>
      </c>
      <c r="F301">
        <f>'RESUMEN TOTAL'!O306</f>
        <v>0</v>
      </c>
      <c r="G301">
        <f>'RESUMEN TOTAL'!P306</f>
        <v>0</v>
      </c>
      <c r="H301">
        <f>'RESUMEN TOTAL'!Q306</f>
        <v>0</v>
      </c>
      <c r="I301">
        <f>'RESUMEN TOTAL'!R306</f>
        <v>0</v>
      </c>
      <c r="J301">
        <f>'RESUMEN TOTAL'!S306</f>
        <v>0</v>
      </c>
      <c r="K301">
        <f>'RESUMEN TOTAL'!T306</f>
        <v>0</v>
      </c>
      <c r="L301">
        <f>'RESUMEN TOTAL'!U306</f>
        <v>0</v>
      </c>
      <c r="M301">
        <f>'RESUMEN TOTAL'!V306</f>
        <v>0</v>
      </c>
      <c r="N301">
        <f>'RESUMEN TOTAL'!W306</f>
        <v>0</v>
      </c>
      <c r="O301">
        <f>'RESUMEN TOTAL'!X306</f>
        <v>0</v>
      </c>
      <c r="P301" t="str">
        <f>'RESUMEN TOTAL'!Y306</f>
        <v>APAGADO</v>
      </c>
      <c r="Q301" t="str">
        <f>'RESUMEN TOTAL'!Z306</f>
        <v>APAGADO</v>
      </c>
      <c r="R301" t="str">
        <f>'RESUMEN TOTAL'!AA306</f>
        <v>APAGADO</v>
      </c>
      <c r="S301" t="str">
        <f>'RESUMEN TOTAL'!AB306</f>
        <v>APAGADO</v>
      </c>
      <c r="T301">
        <f>'RESUMEN TOTAL'!AC306</f>
        <v>0</v>
      </c>
      <c r="U301">
        <f>'RESUMEN TOTAL'!AD306</f>
        <v>0</v>
      </c>
      <c r="V301">
        <f>'RESUMEN TOTAL'!AE306</f>
        <v>0</v>
      </c>
      <c r="W301">
        <f>'RESUMEN TOTAL'!AF306</f>
        <v>0</v>
      </c>
      <c r="X301">
        <f>'RESUMEN TOTAL'!AG306</f>
        <v>0</v>
      </c>
      <c r="Y301">
        <f>'RESUMEN TOTAL'!AH306</f>
        <v>0</v>
      </c>
      <c r="Z301">
        <f>'RESUMEN TOTAL'!AI306</f>
        <v>0</v>
      </c>
      <c r="AA301">
        <f>'RESUMEN TOTAL'!AJ306</f>
        <v>0</v>
      </c>
      <c r="AB301">
        <f>'RESUMEN TOTAL'!AK306</f>
        <v>0</v>
      </c>
      <c r="AC301">
        <f>'RESUMEN TOTAL'!AL306</f>
        <v>0</v>
      </c>
      <c r="AD301">
        <f>'RESUMEN TOTAL'!AM306</f>
        <v>0</v>
      </c>
      <c r="AE301">
        <f>'RESUMEN TOTAL'!AN306</f>
        <v>0</v>
      </c>
      <c r="AF301">
        <f>'RESUMEN TOTAL'!AO306</f>
        <v>0</v>
      </c>
      <c r="AG301">
        <f>'RESUMEN TOTAL'!AP306</f>
        <v>0</v>
      </c>
    </row>
    <row r="302" spans="1:33" x14ac:dyDescent="0.3">
      <c r="A302" t="str">
        <f>'RESUMEN TOTAL'!A307</f>
        <v>VILLA ARGENTINA</v>
      </c>
      <c r="B302" t="str">
        <f>'RESUMEN TOTAL'!C307</f>
        <v>VAR11 (fija 2)</v>
      </c>
      <c r="C302" t="str">
        <f>'RESUMEN TOTAL'!D307</f>
        <v>532 A Y 523</v>
      </c>
      <c r="D302" t="str">
        <f>'RESUMEN TOTAL'!E307</f>
        <v>Fija</v>
      </c>
      <c r="E302" t="str">
        <f>'RESUMEN TOTAL'!F307</f>
        <v>Fibra Optica</v>
      </c>
      <c r="F302">
        <f>'RESUMEN TOTAL'!O307</f>
        <v>0</v>
      </c>
      <c r="G302">
        <f>'RESUMEN TOTAL'!P307</f>
        <v>0</v>
      </c>
      <c r="H302">
        <f>'RESUMEN TOTAL'!Q307</f>
        <v>0</v>
      </c>
      <c r="I302">
        <f>'RESUMEN TOTAL'!R307</f>
        <v>0</v>
      </c>
      <c r="J302">
        <f>'RESUMEN TOTAL'!S307</f>
        <v>0</v>
      </c>
      <c r="K302">
        <f>'RESUMEN TOTAL'!T307</f>
        <v>0</v>
      </c>
      <c r="L302">
        <f>'RESUMEN TOTAL'!U307</f>
        <v>0</v>
      </c>
      <c r="M302">
        <f>'RESUMEN TOTAL'!V307</f>
        <v>0</v>
      </c>
      <c r="N302">
        <f>'RESUMEN TOTAL'!W307</f>
        <v>0</v>
      </c>
      <c r="O302">
        <f>'RESUMEN TOTAL'!X307</f>
        <v>0</v>
      </c>
      <c r="P302" t="str">
        <f>'RESUMEN TOTAL'!Y307</f>
        <v>APAGADO</v>
      </c>
      <c r="Q302" t="str">
        <f>'RESUMEN TOTAL'!Z307</f>
        <v>APAGADO</v>
      </c>
      <c r="R302" t="str">
        <f>'RESUMEN TOTAL'!AA307</f>
        <v>APAGADO</v>
      </c>
      <c r="S302" t="str">
        <f>'RESUMEN TOTAL'!AB307</f>
        <v>APAGADO</v>
      </c>
      <c r="T302">
        <f>'RESUMEN TOTAL'!AC307</f>
        <v>0</v>
      </c>
      <c r="U302">
        <f>'RESUMEN TOTAL'!AD307</f>
        <v>0</v>
      </c>
      <c r="V302">
        <f>'RESUMEN TOTAL'!AE307</f>
        <v>0</v>
      </c>
      <c r="W302">
        <f>'RESUMEN TOTAL'!AF307</f>
        <v>0</v>
      </c>
      <c r="X302">
        <f>'RESUMEN TOTAL'!AG307</f>
        <v>0</v>
      </c>
      <c r="Y302">
        <f>'RESUMEN TOTAL'!AH307</f>
        <v>0</v>
      </c>
      <c r="Z302">
        <f>'RESUMEN TOTAL'!AI307</f>
        <v>0</v>
      </c>
      <c r="AA302">
        <f>'RESUMEN TOTAL'!AJ307</f>
        <v>0</v>
      </c>
      <c r="AB302">
        <f>'RESUMEN TOTAL'!AK307</f>
        <v>0</v>
      </c>
      <c r="AC302">
        <f>'RESUMEN TOTAL'!AL307</f>
        <v>0</v>
      </c>
      <c r="AD302">
        <f>'RESUMEN TOTAL'!AM307</f>
        <v>0</v>
      </c>
      <c r="AE302">
        <f>'RESUMEN TOTAL'!AN307</f>
        <v>0</v>
      </c>
      <c r="AF302">
        <f>'RESUMEN TOTAL'!AO307</f>
        <v>0</v>
      </c>
      <c r="AG302">
        <f>'RESUMEN TOTAL'!AP307</f>
        <v>0</v>
      </c>
    </row>
    <row r="303" spans="1:33" x14ac:dyDescent="0.3">
      <c r="A303">
        <f>'RESUMEN TOTAL'!A308</f>
        <v>0</v>
      </c>
      <c r="B303" t="str">
        <f>'RESUMEN TOTAL'!C308</f>
        <v>VAT 12</v>
      </c>
      <c r="C303" t="str">
        <f>'RESUMEN TOTAL'!D308</f>
        <v>12 DE OCTUBRE Y CHACO</v>
      </c>
      <c r="D303" t="str">
        <f>'RESUMEN TOTAL'!E308</f>
        <v>DOMO</v>
      </c>
      <c r="E303" t="str">
        <f>'RESUMEN TOTAL'!F308</f>
        <v>PTP A FO</v>
      </c>
      <c r="F303" t="str">
        <f>'RESUMEN TOTAL'!O308</f>
        <v>APAGADO</v>
      </c>
      <c r="G303" t="str">
        <f>'RESUMEN TOTAL'!P308</f>
        <v>APAGADO</v>
      </c>
      <c r="H303">
        <f>'RESUMEN TOTAL'!Q308</f>
        <v>0</v>
      </c>
      <c r="I303">
        <f>'RESUMEN TOTAL'!R308</f>
        <v>0</v>
      </c>
      <c r="J303" t="str">
        <f>'RESUMEN TOTAL'!S308</f>
        <v>APAGADO</v>
      </c>
      <c r="K303">
        <f>'RESUMEN TOTAL'!T308</f>
        <v>0</v>
      </c>
      <c r="L303">
        <f>'RESUMEN TOTAL'!U308</f>
        <v>0</v>
      </c>
      <c r="M303">
        <f>'RESUMEN TOTAL'!V308</f>
        <v>0</v>
      </c>
      <c r="N303">
        <f>'RESUMEN TOTAL'!W308</f>
        <v>0</v>
      </c>
      <c r="O303">
        <f>'RESUMEN TOTAL'!X308</f>
        <v>0</v>
      </c>
      <c r="P303">
        <f>'RESUMEN TOTAL'!Y308</f>
        <v>0</v>
      </c>
      <c r="Q303">
        <f>'RESUMEN TOTAL'!Z308</f>
        <v>0</v>
      </c>
      <c r="R303" t="str">
        <f>'RESUMEN TOTAL'!AA308</f>
        <v>APAGADO</v>
      </c>
      <c r="S303">
        <f>'RESUMEN TOTAL'!AB308</f>
        <v>0</v>
      </c>
      <c r="T303">
        <f>'RESUMEN TOTAL'!AC308</f>
        <v>0</v>
      </c>
      <c r="U303">
        <f>'RESUMEN TOTAL'!AD308</f>
        <v>0</v>
      </c>
      <c r="V303">
        <f>'RESUMEN TOTAL'!AE308</f>
        <v>0</v>
      </c>
      <c r="W303">
        <f>'RESUMEN TOTAL'!AF308</f>
        <v>0</v>
      </c>
      <c r="X303">
        <f>'RESUMEN TOTAL'!AG308</f>
        <v>0</v>
      </c>
      <c r="Y303">
        <f>'RESUMEN TOTAL'!AH308</f>
        <v>0</v>
      </c>
      <c r="Z303">
        <f>'RESUMEN TOTAL'!AI308</f>
        <v>0</v>
      </c>
      <c r="AA303">
        <f>'RESUMEN TOTAL'!AJ308</f>
        <v>0</v>
      </c>
      <c r="AB303">
        <f>'RESUMEN TOTAL'!AK308</f>
        <v>0</v>
      </c>
      <c r="AC303">
        <f>'RESUMEN TOTAL'!AL308</f>
        <v>0</v>
      </c>
      <c r="AD303">
        <f>'RESUMEN TOTAL'!AM308</f>
        <v>0</v>
      </c>
      <c r="AE303">
        <f>'RESUMEN TOTAL'!AN308</f>
        <v>0</v>
      </c>
      <c r="AF303">
        <f>'RESUMEN TOTAL'!AO308</f>
        <v>0</v>
      </c>
      <c r="AG303">
        <f>'RESUMEN TOTAL'!AP308</f>
        <v>0</v>
      </c>
    </row>
    <row r="304" spans="1:33" x14ac:dyDescent="0.3">
      <c r="A304" t="str">
        <f>'RESUMEN TOTAL'!A309</f>
        <v>VILLA VATTEONE CENTRO</v>
      </c>
      <c r="B304" t="str">
        <f>'RESUMEN TOTAL'!C309</f>
        <v>VAT 13</v>
      </c>
      <c r="C304" t="str">
        <f>'RESUMEN TOTAL'!D309</f>
        <v>Av.12 de Octubre y Belgrano</v>
      </c>
      <c r="D304" t="str">
        <f>'RESUMEN TOTAL'!E309</f>
        <v>Domo</v>
      </c>
      <c r="E304" t="str">
        <f>'RESUMEN TOTAL'!F309</f>
        <v>PTP A FO</v>
      </c>
      <c r="F304">
        <f>'RESUMEN TOTAL'!O309</f>
        <v>0</v>
      </c>
      <c r="G304">
        <f>'RESUMEN TOTAL'!P309</f>
        <v>0</v>
      </c>
      <c r="H304">
        <f>'RESUMEN TOTAL'!Q309</f>
        <v>0</v>
      </c>
      <c r="I304">
        <f>'RESUMEN TOTAL'!R309</f>
        <v>0</v>
      </c>
      <c r="J304">
        <f>'RESUMEN TOTAL'!S309</f>
        <v>0</v>
      </c>
      <c r="K304">
        <f>'RESUMEN TOTAL'!T309</f>
        <v>0</v>
      </c>
      <c r="L304">
        <f>'RESUMEN TOTAL'!U309</f>
        <v>0</v>
      </c>
      <c r="M304">
        <f>'RESUMEN TOTAL'!V309</f>
        <v>0</v>
      </c>
      <c r="N304">
        <f>'RESUMEN TOTAL'!W309</f>
        <v>0</v>
      </c>
      <c r="O304">
        <f>'RESUMEN TOTAL'!X309</f>
        <v>0</v>
      </c>
      <c r="P304">
        <f>'RESUMEN TOTAL'!Y309</f>
        <v>0</v>
      </c>
      <c r="Q304">
        <f>'RESUMEN TOTAL'!Z309</f>
        <v>0</v>
      </c>
      <c r="R304">
        <f>'RESUMEN TOTAL'!AA309</f>
        <v>0</v>
      </c>
      <c r="S304">
        <f>'RESUMEN TOTAL'!AB309</f>
        <v>0</v>
      </c>
      <c r="T304">
        <f>'RESUMEN TOTAL'!AC309</f>
        <v>0</v>
      </c>
      <c r="U304">
        <f>'RESUMEN TOTAL'!AD309</f>
        <v>0</v>
      </c>
      <c r="V304">
        <f>'RESUMEN TOTAL'!AE309</f>
        <v>0</v>
      </c>
      <c r="W304">
        <f>'RESUMEN TOTAL'!AF309</f>
        <v>0</v>
      </c>
      <c r="X304">
        <f>'RESUMEN TOTAL'!AG309</f>
        <v>0</v>
      </c>
      <c r="Y304">
        <f>'RESUMEN TOTAL'!AH309</f>
        <v>0</v>
      </c>
      <c r="Z304">
        <f>'RESUMEN TOTAL'!AI309</f>
        <v>0</v>
      </c>
      <c r="AA304">
        <f>'RESUMEN TOTAL'!AJ309</f>
        <v>0</v>
      </c>
      <c r="AB304">
        <f>'RESUMEN TOTAL'!AK309</f>
        <v>0</v>
      </c>
      <c r="AC304">
        <f>'RESUMEN TOTAL'!AL309</f>
        <v>0</v>
      </c>
      <c r="AD304">
        <f>'RESUMEN TOTAL'!AM309</f>
        <v>0</v>
      </c>
      <c r="AE304">
        <f>'RESUMEN TOTAL'!AN309</f>
        <v>0</v>
      </c>
      <c r="AF304">
        <f>'RESUMEN TOTAL'!AO309</f>
        <v>0</v>
      </c>
      <c r="AG304">
        <f>'RESUMEN TOTAL'!AP309</f>
        <v>0</v>
      </c>
    </row>
    <row r="305" spans="1:33" x14ac:dyDescent="0.3">
      <c r="A305">
        <f>'RESUMEN TOTAL'!A310</f>
        <v>0</v>
      </c>
      <c r="B305" t="str">
        <f>'RESUMEN TOTAL'!C310</f>
        <v>VAT 15</v>
      </c>
      <c r="C305" t="str">
        <f>'RESUMEN TOTAL'!D310</f>
        <v>CORRIENTES Y VICENTE LOPEZ</v>
      </c>
      <c r="D305" t="str">
        <f>'RESUMEN TOTAL'!E310</f>
        <v>DOMO</v>
      </c>
      <c r="E305" t="str">
        <f>'RESUMEN TOTAL'!F310</f>
        <v>PTP A FO</v>
      </c>
      <c r="F305">
        <f>'RESUMEN TOTAL'!O310</f>
        <v>0</v>
      </c>
      <c r="G305">
        <f>'RESUMEN TOTAL'!P310</f>
        <v>0</v>
      </c>
      <c r="H305">
        <f>'RESUMEN TOTAL'!Q310</f>
        <v>0</v>
      </c>
      <c r="I305">
        <f>'RESUMEN TOTAL'!R310</f>
        <v>0</v>
      </c>
      <c r="J305">
        <f>'RESUMEN TOTAL'!S310</f>
        <v>0</v>
      </c>
      <c r="K305">
        <f>'RESUMEN TOTAL'!T310</f>
        <v>0</v>
      </c>
      <c r="L305">
        <f>'RESUMEN TOTAL'!U310</f>
        <v>0</v>
      </c>
      <c r="M305">
        <f>'RESUMEN TOTAL'!V310</f>
        <v>0</v>
      </c>
      <c r="N305">
        <f>'RESUMEN TOTAL'!W310</f>
        <v>0</v>
      </c>
      <c r="O305">
        <f>'RESUMEN TOTAL'!X310</f>
        <v>0</v>
      </c>
      <c r="P305">
        <f>'RESUMEN TOTAL'!Y310</f>
        <v>0</v>
      </c>
      <c r="Q305">
        <f>'RESUMEN TOTAL'!Z310</f>
        <v>0</v>
      </c>
      <c r="R305">
        <f>'RESUMEN TOTAL'!AA310</f>
        <v>0</v>
      </c>
      <c r="S305">
        <f>'RESUMEN TOTAL'!AB310</f>
        <v>0</v>
      </c>
      <c r="T305">
        <f>'RESUMEN TOTAL'!AC310</f>
        <v>0</v>
      </c>
      <c r="U305">
        <f>'RESUMEN TOTAL'!AD310</f>
        <v>0</v>
      </c>
      <c r="V305">
        <f>'RESUMEN TOTAL'!AE310</f>
        <v>0</v>
      </c>
      <c r="W305">
        <f>'RESUMEN TOTAL'!AF310</f>
        <v>0</v>
      </c>
      <c r="X305">
        <f>'RESUMEN TOTAL'!AG310</f>
        <v>0</v>
      </c>
      <c r="Y305">
        <f>'RESUMEN TOTAL'!AH310</f>
        <v>0</v>
      </c>
      <c r="Z305">
        <f>'RESUMEN TOTAL'!AI310</f>
        <v>0</v>
      </c>
      <c r="AA305">
        <f>'RESUMEN TOTAL'!AJ310</f>
        <v>0</v>
      </c>
      <c r="AB305">
        <f>'RESUMEN TOTAL'!AK310</f>
        <v>0</v>
      </c>
      <c r="AC305">
        <f>'RESUMEN TOTAL'!AL310</f>
        <v>0</v>
      </c>
      <c r="AD305">
        <f>'RESUMEN TOTAL'!AM310</f>
        <v>0</v>
      </c>
      <c r="AE305">
        <f>'RESUMEN TOTAL'!AN310</f>
        <v>0</v>
      </c>
      <c r="AF305">
        <f>'RESUMEN TOTAL'!AO310</f>
        <v>0</v>
      </c>
      <c r="AG305">
        <f>'RESUMEN TOTAL'!AP310</f>
        <v>0</v>
      </c>
    </row>
    <row r="306" spans="1:33" x14ac:dyDescent="0.3">
      <c r="A306" t="str">
        <f>'RESUMEN TOTAL'!A311</f>
        <v>VILLA VATTEONE</v>
      </c>
      <c r="B306" t="str">
        <f>'RESUMEN TOTAL'!C311</f>
        <v>VAT 16</v>
      </c>
      <c r="C306" t="str">
        <f>'RESUMEN TOTAL'!D311</f>
        <v>MONTEVIDEO Y CHACO</v>
      </c>
      <c r="D306" t="str">
        <f>'RESUMEN TOTAL'!E311</f>
        <v>DOMO</v>
      </c>
      <c r="E306" t="str">
        <f>'RESUMEN TOTAL'!F311</f>
        <v>PTP A FO</v>
      </c>
      <c r="F306">
        <f>'RESUMEN TOTAL'!O311</f>
        <v>0</v>
      </c>
      <c r="G306">
        <f>'RESUMEN TOTAL'!P311</f>
        <v>0</v>
      </c>
      <c r="H306">
        <f>'RESUMEN TOTAL'!Q311</f>
        <v>0</v>
      </c>
      <c r="I306">
        <f>'RESUMEN TOTAL'!R311</f>
        <v>0</v>
      </c>
      <c r="J306">
        <f>'RESUMEN TOTAL'!S311</f>
        <v>0</v>
      </c>
      <c r="K306">
        <f>'RESUMEN TOTAL'!T311</f>
        <v>0</v>
      </c>
      <c r="L306">
        <f>'RESUMEN TOTAL'!U311</f>
        <v>0</v>
      </c>
      <c r="M306">
        <f>'RESUMEN TOTAL'!V311</f>
        <v>0</v>
      </c>
      <c r="N306">
        <f>'RESUMEN TOTAL'!W311</f>
        <v>0</v>
      </c>
      <c r="O306">
        <f>'RESUMEN TOTAL'!X311</f>
        <v>0</v>
      </c>
      <c r="P306">
        <f>'RESUMEN TOTAL'!Y311</f>
        <v>0</v>
      </c>
      <c r="Q306">
        <f>'RESUMEN TOTAL'!Z311</f>
        <v>0</v>
      </c>
      <c r="R306">
        <f>'RESUMEN TOTAL'!AA311</f>
        <v>0</v>
      </c>
      <c r="S306">
        <f>'RESUMEN TOTAL'!AB311</f>
        <v>0</v>
      </c>
      <c r="T306">
        <f>'RESUMEN TOTAL'!AC311</f>
        <v>0</v>
      </c>
      <c r="U306">
        <f>'RESUMEN TOTAL'!AD311</f>
        <v>0</v>
      </c>
      <c r="V306">
        <f>'RESUMEN TOTAL'!AE311</f>
        <v>0</v>
      </c>
      <c r="W306">
        <f>'RESUMEN TOTAL'!AF311</f>
        <v>0</v>
      </c>
      <c r="X306">
        <f>'RESUMEN TOTAL'!AG311</f>
        <v>0</v>
      </c>
      <c r="Y306">
        <f>'RESUMEN TOTAL'!AH311</f>
        <v>0</v>
      </c>
      <c r="Z306">
        <f>'RESUMEN TOTAL'!AI311</f>
        <v>0</v>
      </c>
      <c r="AA306">
        <f>'RESUMEN TOTAL'!AJ311</f>
        <v>0</v>
      </c>
      <c r="AB306">
        <f>'RESUMEN TOTAL'!AK311</f>
        <v>0</v>
      </c>
      <c r="AC306">
        <f>'RESUMEN TOTAL'!AL311</f>
        <v>0</v>
      </c>
      <c r="AD306">
        <f>'RESUMEN TOTAL'!AM311</f>
        <v>0</v>
      </c>
      <c r="AE306">
        <f>'RESUMEN TOTAL'!AN311</f>
        <v>0</v>
      </c>
      <c r="AF306">
        <f>'RESUMEN TOTAL'!AO311</f>
        <v>0</v>
      </c>
      <c r="AG306">
        <f>'RESUMEN TOTAL'!AP311</f>
        <v>0</v>
      </c>
    </row>
    <row r="307" spans="1:33" x14ac:dyDescent="0.3">
      <c r="A307" t="str">
        <f>'RESUMEN TOTAL'!A312</f>
        <v>VILLA VATTEONE</v>
      </c>
      <c r="B307" t="str">
        <f>'RESUMEN TOTAL'!C312</f>
        <v>VAT 17</v>
      </c>
      <c r="C307" t="str">
        <f>'RESUMEN TOTAL'!D312</f>
        <v>CHAÑAR Y URUGUAY</v>
      </c>
      <c r="D307" t="str">
        <f>'RESUMEN TOTAL'!E312</f>
        <v>DOMO</v>
      </c>
      <c r="E307" t="str">
        <f>'RESUMEN TOTAL'!F312</f>
        <v>PTP A FO</v>
      </c>
      <c r="F307">
        <f>'RESUMEN TOTAL'!O312</f>
        <v>0</v>
      </c>
      <c r="G307">
        <f>'RESUMEN TOTAL'!P312</f>
        <v>0</v>
      </c>
      <c r="H307">
        <f>'RESUMEN TOTAL'!Q312</f>
        <v>0</v>
      </c>
      <c r="I307">
        <f>'RESUMEN TOTAL'!R312</f>
        <v>0</v>
      </c>
      <c r="J307">
        <f>'RESUMEN TOTAL'!S312</f>
        <v>0</v>
      </c>
      <c r="K307">
        <f>'RESUMEN TOTAL'!T312</f>
        <v>0</v>
      </c>
      <c r="L307">
        <f>'RESUMEN TOTAL'!U312</f>
        <v>0</v>
      </c>
      <c r="M307">
        <f>'RESUMEN TOTAL'!V312</f>
        <v>0</v>
      </c>
      <c r="N307">
        <f>'RESUMEN TOTAL'!W312</f>
        <v>0</v>
      </c>
      <c r="O307">
        <f>'RESUMEN TOTAL'!X312</f>
        <v>0</v>
      </c>
      <c r="P307">
        <f>'RESUMEN TOTAL'!Y312</f>
        <v>0</v>
      </c>
      <c r="Q307">
        <f>'RESUMEN TOTAL'!Z312</f>
        <v>0</v>
      </c>
      <c r="R307">
        <f>'RESUMEN TOTAL'!AA312</f>
        <v>0</v>
      </c>
      <c r="S307">
        <f>'RESUMEN TOTAL'!AB312</f>
        <v>0</v>
      </c>
      <c r="T307">
        <f>'RESUMEN TOTAL'!AC312</f>
        <v>0</v>
      </c>
      <c r="U307">
        <f>'RESUMEN TOTAL'!AD312</f>
        <v>0</v>
      </c>
      <c r="V307">
        <f>'RESUMEN TOTAL'!AE312</f>
        <v>0</v>
      </c>
      <c r="W307">
        <f>'RESUMEN TOTAL'!AF312</f>
        <v>0</v>
      </c>
      <c r="X307">
        <f>'RESUMEN TOTAL'!AG312</f>
        <v>0</v>
      </c>
      <c r="Y307">
        <f>'RESUMEN TOTAL'!AH312</f>
        <v>0</v>
      </c>
      <c r="Z307">
        <f>'RESUMEN TOTAL'!AI312</f>
        <v>0</v>
      </c>
      <c r="AA307">
        <f>'RESUMEN TOTAL'!AJ312</f>
        <v>0</v>
      </c>
      <c r="AB307">
        <f>'RESUMEN TOTAL'!AK312</f>
        <v>0</v>
      </c>
      <c r="AC307">
        <f>'RESUMEN TOTAL'!AL312</f>
        <v>0</v>
      </c>
      <c r="AD307">
        <f>'RESUMEN TOTAL'!AM312</f>
        <v>0</v>
      </c>
      <c r="AE307">
        <f>'RESUMEN TOTAL'!AN312</f>
        <v>0</v>
      </c>
      <c r="AF307">
        <f>'RESUMEN TOTAL'!AO312</f>
        <v>0</v>
      </c>
      <c r="AG307">
        <f>'RESUMEN TOTAL'!AP312</f>
        <v>0</v>
      </c>
    </row>
    <row r="308" spans="1:33" x14ac:dyDescent="0.3">
      <c r="A308" t="str">
        <f>'RESUMEN TOTAL'!A313</f>
        <v>VILLA VATTEONE CENTRO</v>
      </c>
      <c r="B308" t="str">
        <f>'RESUMEN TOTAL'!C313</f>
        <v>VAT 18</v>
      </c>
      <c r="C308" t="str">
        <f>'RESUMEN TOTAL'!D313</f>
        <v>LAVALLE Y FONROUGE</v>
      </c>
      <c r="D308" t="str">
        <f>'RESUMEN TOTAL'!E313</f>
        <v>DOMO</v>
      </c>
      <c r="E308" t="str">
        <f>'RESUMEN TOTAL'!F313</f>
        <v>PTP A FO</v>
      </c>
      <c r="F308">
        <f>'RESUMEN TOTAL'!O313</f>
        <v>0</v>
      </c>
      <c r="G308">
        <f>'RESUMEN TOTAL'!P313</f>
        <v>0</v>
      </c>
      <c r="H308">
        <f>'RESUMEN TOTAL'!Q313</f>
        <v>0</v>
      </c>
      <c r="I308">
        <f>'RESUMEN TOTAL'!R313</f>
        <v>0</v>
      </c>
      <c r="J308">
        <f>'RESUMEN TOTAL'!S313</f>
        <v>0</v>
      </c>
      <c r="K308">
        <f>'RESUMEN TOTAL'!T313</f>
        <v>0</v>
      </c>
      <c r="L308">
        <f>'RESUMEN TOTAL'!U313</f>
        <v>0</v>
      </c>
      <c r="M308">
        <f>'RESUMEN TOTAL'!V313</f>
        <v>0</v>
      </c>
      <c r="N308">
        <f>'RESUMEN TOTAL'!W313</f>
        <v>0</v>
      </c>
      <c r="O308">
        <f>'RESUMEN TOTAL'!X313</f>
        <v>0</v>
      </c>
      <c r="P308">
        <f>'RESUMEN TOTAL'!Y313</f>
        <v>0</v>
      </c>
      <c r="Q308">
        <f>'RESUMEN TOTAL'!Z313</f>
        <v>0</v>
      </c>
      <c r="R308" t="str">
        <f>'RESUMEN TOTAL'!AA313</f>
        <v>APAGADO</v>
      </c>
      <c r="S308">
        <f>'RESUMEN TOTAL'!AB313</f>
        <v>0</v>
      </c>
      <c r="T308">
        <f>'RESUMEN TOTAL'!AC313</f>
        <v>0</v>
      </c>
      <c r="U308">
        <f>'RESUMEN TOTAL'!AD313</f>
        <v>0</v>
      </c>
      <c r="V308">
        <f>'RESUMEN TOTAL'!AE313</f>
        <v>0</v>
      </c>
      <c r="W308">
        <f>'RESUMEN TOTAL'!AF313</f>
        <v>0</v>
      </c>
      <c r="X308">
        <f>'RESUMEN TOTAL'!AG313</f>
        <v>0</v>
      </c>
      <c r="Y308">
        <f>'RESUMEN TOTAL'!AH313</f>
        <v>0</v>
      </c>
      <c r="Z308">
        <f>'RESUMEN TOTAL'!AI313</f>
        <v>0</v>
      </c>
      <c r="AA308">
        <f>'RESUMEN TOTAL'!AJ313</f>
        <v>0</v>
      </c>
      <c r="AB308">
        <f>'RESUMEN TOTAL'!AK313</f>
        <v>0</v>
      </c>
      <c r="AC308">
        <f>'RESUMEN TOTAL'!AL313</f>
        <v>0</v>
      </c>
      <c r="AD308">
        <f>'RESUMEN TOTAL'!AM313</f>
        <v>0</v>
      </c>
      <c r="AE308">
        <f>'RESUMEN TOTAL'!AN313</f>
        <v>0</v>
      </c>
      <c r="AF308">
        <f>'RESUMEN TOTAL'!AO313</f>
        <v>0</v>
      </c>
      <c r="AG308">
        <f>'RESUMEN TOTAL'!AP313</f>
        <v>0</v>
      </c>
    </row>
    <row r="309" spans="1:33" x14ac:dyDescent="0.3">
      <c r="A309" t="str">
        <f>'RESUMEN TOTAL'!A314</f>
        <v>VILLA VATTEONE CENTRO</v>
      </c>
      <c r="B309" t="str">
        <f>'RESUMEN TOTAL'!C314</f>
        <v>VAT 19</v>
      </c>
      <c r="C309" t="str">
        <f>'RESUMEN TOTAL'!D314</f>
        <v>QUINTANA Y FONROUGE ( TUCUMAN )</v>
      </c>
      <c r="D309" t="str">
        <f>'RESUMEN TOTAL'!E314</f>
        <v>DOMO</v>
      </c>
      <c r="E309" t="str">
        <f>'RESUMEN TOTAL'!F314</f>
        <v>Radio</v>
      </c>
      <c r="F309">
        <f>'RESUMEN TOTAL'!O314</f>
        <v>0</v>
      </c>
      <c r="G309">
        <f>'RESUMEN TOTAL'!P314</f>
        <v>0</v>
      </c>
      <c r="H309">
        <f>'RESUMEN TOTAL'!Q314</f>
        <v>0</v>
      </c>
      <c r="I309">
        <f>'RESUMEN TOTAL'!R314</f>
        <v>0</v>
      </c>
      <c r="J309">
        <f>'RESUMEN TOTAL'!S314</f>
        <v>0</v>
      </c>
      <c r="K309">
        <f>'RESUMEN TOTAL'!T314</f>
        <v>0</v>
      </c>
      <c r="L309">
        <f>'RESUMEN TOTAL'!U314</f>
        <v>0</v>
      </c>
      <c r="M309">
        <f>'RESUMEN TOTAL'!V314</f>
        <v>0</v>
      </c>
      <c r="N309">
        <f>'RESUMEN TOTAL'!W314</f>
        <v>0</v>
      </c>
      <c r="O309">
        <f>'RESUMEN TOTAL'!X314</f>
        <v>0</v>
      </c>
      <c r="P309">
        <f>'RESUMEN TOTAL'!Y314</f>
        <v>0</v>
      </c>
      <c r="Q309">
        <f>'RESUMEN TOTAL'!Z314</f>
        <v>0</v>
      </c>
      <c r="R309">
        <f>'RESUMEN TOTAL'!AA314</f>
        <v>0</v>
      </c>
      <c r="S309">
        <f>'RESUMEN TOTAL'!AB314</f>
        <v>0</v>
      </c>
      <c r="T309">
        <f>'RESUMEN TOTAL'!AC314</f>
        <v>0</v>
      </c>
      <c r="U309">
        <f>'RESUMEN TOTAL'!AD314</f>
        <v>0</v>
      </c>
      <c r="V309">
        <f>'RESUMEN TOTAL'!AE314</f>
        <v>0</v>
      </c>
      <c r="W309">
        <f>'RESUMEN TOTAL'!AF314</f>
        <v>0</v>
      </c>
      <c r="X309">
        <f>'RESUMEN TOTAL'!AG314</f>
        <v>0</v>
      </c>
      <c r="Y309">
        <f>'RESUMEN TOTAL'!AH314</f>
        <v>0</v>
      </c>
      <c r="Z309">
        <f>'RESUMEN TOTAL'!AI314</f>
        <v>0</v>
      </c>
      <c r="AA309">
        <f>'RESUMEN TOTAL'!AJ314</f>
        <v>0</v>
      </c>
      <c r="AB309">
        <f>'RESUMEN TOTAL'!AK314</f>
        <v>0</v>
      </c>
      <c r="AC309">
        <f>'RESUMEN TOTAL'!AL314</f>
        <v>0</v>
      </c>
      <c r="AD309">
        <f>'RESUMEN TOTAL'!AM314</f>
        <v>0</v>
      </c>
      <c r="AE309">
        <f>'RESUMEN TOTAL'!AN314</f>
        <v>0</v>
      </c>
      <c r="AF309">
        <f>'RESUMEN TOTAL'!AO314</f>
        <v>0</v>
      </c>
      <c r="AG309">
        <f>'RESUMEN TOTAL'!AP314</f>
        <v>0</v>
      </c>
    </row>
    <row r="310" spans="1:33" x14ac:dyDescent="0.3">
      <c r="A310" t="str">
        <f>'RESUMEN TOTAL'!A315</f>
        <v>VILLA VATTEONE</v>
      </c>
      <c r="B310" t="str">
        <f>'RESUMEN TOTAL'!C315</f>
        <v>VAT 20</v>
      </c>
      <c r="C310" t="str">
        <f>'RESUMEN TOTAL'!D315</f>
        <v>URUGUAY Y PILCOMAYO</v>
      </c>
      <c r="D310" t="str">
        <f>'RESUMEN TOTAL'!E315</f>
        <v>FIJA</v>
      </c>
      <c r="E310" t="str">
        <f>'RESUMEN TOTAL'!F315</f>
        <v>Radio</v>
      </c>
      <c r="F310">
        <f>'RESUMEN TOTAL'!O315</f>
        <v>0</v>
      </c>
      <c r="G310">
        <f>'RESUMEN TOTAL'!P315</f>
        <v>0</v>
      </c>
      <c r="H310">
        <f>'RESUMEN TOTAL'!Q315</f>
        <v>0</v>
      </c>
      <c r="I310">
        <f>'RESUMEN TOTAL'!R315</f>
        <v>0</v>
      </c>
      <c r="J310">
        <f>'RESUMEN TOTAL'!S315</f>
        <v>0</v>
      </c>
      <c r="K310">
        <f>'RESUMEN TOTAL'!T315</f>
        <v>0</v>
      </c>
      <c r="L310">
        <f>'RESUMEN TOTAL'!U315</f>
        <v>0</v>
      </c>
      <c r="M310">
        <f>'RESUMEN TOTAL'!V315</f>
        <v>0</v>
      </c>
      <c r="N310">
        <f>'RESUMEN TOTAL'!W315</f>
        <v>0</v>
      </c>
      <c r="O310">
        <f>'RESUMEN TOTAL'!X315</f>
        <v>0</v>
      </c>
      <c r="P310">
        <f>'RESUMEN TOTAL'!Y315</f>
        <v>0</v>
      </c>
      <c r="Q310">
        <f>'RESUMEN TOTAL'!Z315</f>
        <v>0</v>
      </c>
      <c r="R310" t="str">
        <f>'RESUMEN TOTAL'!AA315</f>
        <v>APAGADO</v>
      </c>
      <c r="S310">
        <f>'RESUMEN TOTAL'!AB315</f>
        <v>0</v>
      </c>
      <c r="T310">
        <f>'RESUMEN TOTAL'!AC315</f>
        <v>0</v>
      </c>
      <c r="U310">
        <f>'RESUMEN TOTAL'!AD315</f>
        <v>0</v>
      </c>
      <c r="V310">
        <f>'RESUMEN TOTAL'!AE315</f>
        <v>0</v>
      </c>
      <c r="W310">
        <f>'RESUMEN TOTAL'!AF315</f>
        <v>0</v>
      </c>
      <c r="X310">
        <f>'RESUMEN TOTAL'!AG315</f>
        <v>0</v>
      </c>
      <c r="Y310">
        <f>'RESUMEN TOTAL'!AH315</f>
        <v>0</v>
      </c>
      <c r="Z310">
        <f>'RESUMEN TOTAL'!AI315</f>
        <v>0</v>
      </c>
      <c r="AA310">
        <f>'RESUMEN TOTAL'!AJ315</f>
        <v>0</v>
      </c>
      <c r="AB310">
        <f>'RESUMEN TOTAL'!AK315</f>
        <v>0</v>
      </c>
      <c r="AC310">
        <f>'RESUMEN TOTAL'!AL315</f>
        <v>0</v>
      </c>
      <c r="AD310">
        <f>'RESUMEN TOTAL'!AM315</f>
        <v>0</v>
      </c>
      <c r="AE310">
        <f>'RESUMEN TOTAL'!AN315</f>
        <v>0</v>
      </c>
      <c r="AF310">
        <f>'RESUMEN TOTAL'!AO315</f>
        <v>0</v>
      </c>
      <c r="AG310">
        <f>'RESUMEN TOTAL'!AP315</f>
        <v>0</v>
      </c>
    </row>
    <row r="311" spans="1:33" x14ac:dyDescent="0.3">
      <c r="A311" t="str">
        <f>'RESUMEN TOTAL'!A316</f>
        <v>VILLA VATTEONE</v>
      </c>
      <c r="B311" t="str">
        <f>'RESUMEN TOTAL'!C316</f>
        <v>VAT01</v>
      </c>
      <c r="C311" t="str">
        <f>'RESUMEN TOTAL'!D316</f>
        <v>Montevideo y El Chañar</v>
      </c>
      <c r="D311" t="str">
        <f>'RESUMEN TOTAL'!E316</f>
        <v>Domo</v>
      </c>
      <c r="E311" t="str">
        <f>'RESUMEN TOTAL'!F316</f>
        <v>Fibra Optica</v>
      </c>
      <c r="F311">
        <f>'RESUMEN TOTAL'!O316</f>
        <v>0</v>
      </c>
      <c r="G311">
        <f>'RESUMEN TOTAL'!P316</f>
        <v>0</v>
      </c>
      <c r="H311">
        <f>'RESUMEN TOTAL'!Q316</f>
        <v>0</v>
      </c>
      <c r="I311">
        <f>'RESUMEN TOTAL'!R316</f>
        <v>0</v>
      </c>
      <c r="J311">
        <f>'RESUMEN TOTAL'!S316</f>
        <v>0</v>
      </c>
      <c r="K311">
        <f>'RESUMEN TOTAL'!T316</f>
        <v>0</v>
      </c>
      <c r="L311">
        <f>'RESUMEN TOTAL'!U316</f>
        <v>0</v>
      </c>
      <c r="M311">
        <f>'RESUMEN TOTAL'!V316</f>
        <v>0</v>
      </c>
      <c r="N311">
        <f>'RESUMEN TOTAL'!W316</f>
        <v>0</v>
      </c>
      <c r="O311">
        <f>'RESUMEN TOTAL'!X316</f>
        <v>0</v>
      </c>
      <c r="P311">
        <f>'RESUMEN TOTAL'!Y316</f>
        <v>0</v>
      </c>
      <c r="Q311">
        <f>'RESUMEN TOTAL'!Z316</f>
        <v>0</v>
      </c>
      <c r="R311">
        <f>'RESUMEN TOTAL'!AA316</f>
        <v>0</v>
      </c>
      <c r="S311">
        <f>'RESUMEN TOTAL'!AB316</f>
        <v>0</v>
      </c>
      <c r="T311">
        <f>'RESUMEN TOTAL'!AC316</f>
        <v>0</v>
      </c>
      <c r="U311">
        <f>'RESUMEN TOTAL'!AD316</f>
        <v>0</v>
      </c>
      <c r="V311">
        <f>'RESUMEN TOTAL'!AE316</f>
        <v>0</v>
      </c>
      <c r="W311">
        <f>'RESUMEN TOTAL'!AF316</f>
        <v>0</v>
      </c>
      <c r="X311">
        <f>'RESUMEN TOTAL'!AG316</f>
        <v>0</v>
      </c>
      <c r="Y311">
        <f>'RESUMEN TOTAL'!AH316</f>
        <v>0</v>
      </c>
      <c r="Z311">
        <f>'RESUMEN TOTAL'!AI316</f>
        <v>0</v>
      </c>
      <c r="AA311">
        <f>'RESUMEN TOTAL'!AJ316</f>
        <v>0</v>
      </c>
      <c r="AB311">
        <f>'RESUMEN TOTAL'!AK316</f>
        <v>0</v>
      </c>
      <c r="AC311">
        <f>'RESUMEN TOTAL'!AL316</f>
        <v>0</v>
      </c>
      <c r="AD311">
        <f>'RESUMEN TOTAL'!AM316</f>
        <v>0</v>
      </c>
      <c r="AE311">
        <f>'RESUMEN TOTAL'!AN316</f>
        <v>0</v>
      </c>
      <c r="AF311">
        <f>'RESUMEN TOTAL'!AO316</f>
        <v>0</v>
      </c>
      <c r="AG311">
        <f>'RESUMEN TOTAL'!AP316</f>
        <v>0</v>
      </c>
    </row>
    <row r="312" spans="1:33" x14ac:dyDescent="0.3">
      <c r="A312" t="str">
        <f>'RESUMEN TOTAL'!A317</f>
        <v>VILLA VATTEONE CENTRO</v>
      </c>
      <c r="B312" t="str">
        <f>'RESUMEN TOTAL'!C317</f>
        <v>VAT02</v>
      </c>
      <c r="C312" t="str">
        <f>'RESUMEN TOTAL'!D317</f>
        <v>Eva Peron y 12 de Octubre</v>
      </c>
      <c r="D312" t="str">
        <f>'RESUMEN TOTAL'!E317</f>
        <v>Domo</v>
      </c>
      <c r="E312" t="str">
        <f>'RESUMEN TOTAL'!F317</f>
        <v>Fibra Optica</v>
      </c>
      <c r="F312">
        <f>'RESUMEN TOTAL'!O317</f>
        <v>0</v>
      </c>
      <c r="G312">
        <f>'RESUMEN TOTAL'!P317</f>
        <v>0</v>
      </c>
      <c r="H312">
        <f>'RESUMEN TOTAL'!Q317</f>
        <v>0</v>
      </c>
      <c r="I312">
        <f>'RESUMEN TOTAL'!R317</f>
        <v>0</v>
      </c>
      <c r="J312">
        <f>'RESUMEN TOTAL'!S317</f>
        <v>0</v>
      </c>
      <c r="K312">
        <f>'RESUMEN TOTAL'!T317</f>
        <v>0</v>
      </c>
      <c r="L312">
        <f>'RESUMEN TOTAL'!U317</f>
        <v>0</v>
      </c>
      <c r="M312">
        <f>'RESUMEN TOTAL'!V317</f>
        <v>0</v>
      </c>
      <c r="N312">
        <f>'RESUMEN TOTAL'!W317</f>
        <v>0</v>
      </c>
      <c r="O312">
        <f>'RESUMEN TOTAL'!X317</f>
        <v>0</v>
      </c>
      <c r="P312">
        <f>'RESUMEN TOTAL'!Y317</f>
        <v>0</v>
      </c>
      <c r="Q312">
        <f>'RESUMEN TOTAL'!Z317</f>
        <v>0</v>
      </c>
      <c r="R312">
        <f>'RESUMEN TOTAL'!AA317</f>
        <v>0</v>
      </c>
      <c r="S312">
        <f>'RESUMEN TOTAL'!AB317</f>
        <v>0</v>
      </c>
      <c r="T312">
        <f>'RESUMEN TOTAL'!AC317</f>
        <v>0</v>
      </c>
      <c r="U312">
        <f>'RESUMEN TOTAL'!AD317</f>
        <v>0</v>
      </c>
      <c r="V312">
        <f>'RESUMEN TOTAL'!AE317</f>
        <v>0</v>
      </c>
      <c r="W312">
        <f>'RESUMEN TOTAL'!AF317</f>
        <v>0</v>
      </c>
      <c r="X312">
        <f>'RESUMEN TOTAL'!AG317</f>
        <v>0</v>
      </c>
      <c r="Y312">
        <f>'RESUMEN TOTAL'!AH317</f>
        <v>0</v>
      </c>
      <c r="Z312">
        <f>'RESUMEN TOTAL'!AI317</f>
        <v>0</v>
      </c>
      <c r="AA312">
        <f>'RESUMEN TOTAL'!AJ317</f>
        <v>0</v>
      </c>
      <c r="AB312">
        <f>'RESUMEN TOTAL'!AK317</f>
        <v>0</v>
      </c>
      <c r="AC312">
        <f>'RESUMEN TOTAL'!AL317</f>
        <v>0</v>
      </c>
      <c r="AD312">
        <f>'RESUMEN TOTAL'!AM317</f>
        <v>0</v>
      </c>
      <c r="AE312">
        <f>'RESUMEN TOTAL'!AN317</f>
        <v>0</v>
      </c>
      <c r="AF312">
        <f>'RESUMEN TOTAL'!AO317</f>
        <v>0</v>
      </c>
      <c r="AG312">
        <f>'RESUMEN TOTAL'!AP317</f>
        <v>0</v>
      </c>
    </row>
    <row r="313" spans="1:33" x14ac:dyDescent="0.3">
      <c r="A313" t="str">
        <f>'RESUMEN TOTAL'!A318</f>
        <v>VILLA VATTEONE CENTRO</v>
      </c>
      <c r="B313" t="str">
        <f>'RESUMEN TOTAL'!C318</f>
        <v>VAT03</v>
      </c>
      <c r="C313" t="str">
        <f>'RESUMEN TOTAL'!D318</f>
        <v>Lavalle y Belgrano</v>
      </c>
      <c r="D313" t="str">
        <f>'RESUMEN TOTAL'!E318</f>
        <v>Domo</v>
      </c>
      <c r="E313" t="str">
        <f>'RESUMEN TOTAL'!F318</f>
        <v>Fibra Optica</v>
      </c>
      <c r="F313">
        <f>'RESUMEN TOTAL'!O318</f>
        <v>0</v>
      </c>
      <c r="G313">
        <f>'RESUMEN TOTAL'!P318</f>
        <v>0</v>
      </c>
      <c r="H313">
        <f>'RESUMEN TOTAL'!Q318</f>
        <v>0</v>
      </c>
      <c r="I313">
        <f>'RESUMEN TOTAL'!R318</f>
        <v>0</v>
      </c>
      <c r="J313">
        <f>'RESUMEN TOTAL'!S318</f>
        <v>0</v>
      </c>
      <c r="K313">
        <f>'RESUMEN TOTAL'!T318</f>
        <v>0</v>
      </c>
      <c r="L313">
        <f>'RESUMEN TOTAL'!U318</f>
        <v>0</v>
      </c>
      <c r="M313">
        <f>'RESUMEN TOTAL'!V318</f>
        <v>0</v>
      </c>
      <c r="N313">
        <f>'RESUMEN TOTAL'!W318</f>
        <v>0</v>
      </c>
      <c r="O313">
        <f>'RESUMEN TOTAL'!X318</f>
        <v>0</v>
      </c>
      <c r="P313">
        <f>'RESUMEN TOTAL'!Y318</f>
        <v>0</v>
      </c>
      <c r="Q313">
        <f>'RESUMEN TOTAL'!Z318</f>
        <v>0</v>
      </c>
      <c r="R313">
        <f>'RESUMEN TOTAL'!AA318</f>
        <v>0</v>
      </c>
      <c r="S313">
        <f>'RESUMEN TOTAL'!AB318</f>
        <v>0</v>
      </c>
      <c r="T313">
        <f>'RESUMEN TOTAL'!AC318</f>
        <v>0</v>
      </c>
      <c r="U313">
        <f>'RESUMEN TOTAL'!AD318</f>
        <v>0</v>
      </c>
      <c r="V313">
        <f>'RESUMEN TOTAL'!AE318</f>
        <v>0</v>
      </c>
      <c r="W313">
        <f>'RESUMEN TOTAL'!AF318</f>
        <v>0</v>
      </c>
      <c r="X313">
        <f>'RESUMEN TOTAL'!AG318</f>
        <v>0</v>
      </c>
      <c r="Y313">
        <f>'RESUMEN TOTAL'!AH318</f>
        <v>0</v>
      </c>
      <c r="Z313">
        <f>'RESUMEN TOTAL'!AI318</f>
        <v>0</v>
      </c>
      <c r="AA313">
        <f>'RESUMEN TOTAL'!AJ318</f>
        <v>0</v>
      </c>
      <c r="AB313">
        <f>'RESUMEN TOTAL'!AK318</f>
        <v>0</v>
      </c>
      <c r="AC313">
        <f>'RESUMEN TOTAL'!AL318</f>
        <v>0</v>
      </c>
      <c r="AD313">
        <f>'RESUMEN TOTAL'!AM318</f>
        <v>0</v>
      </c>
      <c r="AE313">
        <f>'RESUMEN TOTAL'!AN318</f>
        <v>0</v>
      </c>
      <c r="AF313">
        <f>'RESUMEN TOTAL'!AO318</f>
        <v>0</v>
      </c>
      <c r="AG313">
        <f>'RESUMEN TOTAL'!AP318</f>
        <v>0</v>
      </c>
    </row>
    <row r="314" spans="1:33" x14ac:dyDescent="0.3">
      <c r="A314" t="str">
        <f>'RESUMEN TOTAL'!A319</f>
        <v>VILLA VATTEONE CENTRO</v>
      </c>
      <c r="B314" t="str">
        <f>'RESUMEN TOTAL'!C319</f>
        <v>VAT04</v>
      </c>
      <c r="C314" t="str">
        <f>'RESUMEN TOTAL'!D319</f>
        <v>Lavalle y Entre Rios</v>
      </c>
      <c r="D314" t="str">
        <f>'RESUMEN TOTAL'!E319</f>
        <v>Domo</v>
      </c>
      <c r="E314" t="str">
        <f>'RESUMEN TOTAL'!F319</f>
        <v>Fibra Optica</v>
      </c>
      <c r="F314">
        <f>'RESUMEN TOTAL'!O319</f>
        <v>0</v>
      </c>
      <c r="G314">
        <f>'RESUMEN TOTAL'!P319</f>
        <v>0</v>
      </c>
      <c r="H314">
        <f>'RESUMEN TOTAL'!Q319</f>
        <v>0</v>
      </c>
      <c r="I314">
        <f>'RESUMEN TOTAL'!R319</f>
        <v>0</v>
      </c>
      <c r="J314">
        <f>'RESUMEN TOTAL'!S319</f>
        <v>0</v>
      </c>
      <c r="K314">
        <f>'RESUMEN TOTAL'!T319</f>
        <v>0</v>
      </c>
      <c r="L314">
        <f>'RESUMEN TOTAL'!U319</f>
        <v>0</v>
      </c>
      <c r="M314">
        <f>'RESUMEN TOTAL'!V319</f>
        <v>0</v>
      </c>
      <c r="N314">
        <f>'RESUMEN TOTAL'!W319</f>
        <v>0</v>
      </c>
      <c r="O314">
        <f>'RESUMEN TOTAL'!X319</f>
        <v>0</v>
      </c>
      <c r="P314">
        <f>'RESUMEN TOTAL'!Y319</f>
        <v>0</v>
      </c>
      <c r="Q314">
        <f>'RESUMEN TOTAL'!Z319</f>
        <v>0</v>
      </c>
      <c r="R314">
        <f>'RESUMEN TOTAL'!AA319</f>
        <v>0</v>
      </c>
      <c r="S314">
        <f>'RESUMEN TOTAL'!AB319</f>
        <v>0</v>
      </c>
      <c r="T314">
        <f>'RESUMEN TOTAL'!AC319</f>
        <v>0</v>
      </c>
      <c r="U314">
        <f>'RESUMEN TOTAL'!AD319</f>
        <v>0</v>
      </c>
      <c r="V314">
        <f>'RESUMEN TOTAL'!AE319</f>
        <v>0</v>
      </c>
      <c r="W314">
        <f>'RESUMEN TOTAL'!AF319</f>
        <v>0</v>
      </c>
      <c r="X314">
        <f>'RESUMEN TOTAL'!AG319</f>
        <v>0</v>
      </c>
      <c r="Y314">
        <f>'RESUMEN TOTAL'!AH319</f>
        <v>0</v>
      </c>
      <c r="Z314">
        <f>'RESUMEN TOTAL'!AI319</f>
        <v>0</v>
      </c>
      <c r="AA314">
        <f>'RESUMEN TOTAL'!AJ319</f>
        <v>0</v>
      </c>
      <c r="AB314">
        <f>'RESUMEN TOTAL'!AK319</f>
        <v>0</v>
      </c>
      <c r="AC314">
        <f>'RESUMEN TOTAL'!AL319</f>
        <v>0</v>
      </c>
      <c r="AD314">
        <f>'RESUMEN TOTAL'!AM319</f>
        <v>0</v>
      </c>
      <c r="AE314">
        <f>'RESUMEN TOTAL'!AN319</f>
        <v>0</v>
      </c>
      <c r="AF314">
        <f>'RESUMEN TOTAL'!AO319</f>
        <v>0</v>
      </c>
      <c r="AG314">
        <f>'RESUMEN TOTAL'!AP319</f>
        <v>0</v>
      </c>
    </row>
    <row r="315" spans="1:33" x14ac:dyDescent="0.3">
      <c r="A315" t="str">
        <f>'RESUMEN TOTAL'!A320</f>
        <v>VILLA VATTEONE CENTRO</v>
      </c>
      <c r="B315" t="str">
        <f>'RESUMEN TOTAL'!C320</f>
        <v>VAT05</v>
      </c>
      <c r="C315" t="str">
        <f>'RESUMEN TOTAL'!D320</f>
        <v>Lavalle y Colombia</v>
      </c>
      <c r="D315" t="str">
        <f>'RESUMEN TOTAL'!E320</f>
        <v>Domo</v>
      </c>
      <c r="E315" t="str">
        <f>'RESUMEN TOTAL'!F320</f>
        <v>Radio</v>
      </c>
      <c r="F315">
        <f>'RESUMEN TOTAL'!O320</f>
        <v>0</v>
      </c>
      <c r="G315">
        <f>'RESUMEN TOTAL'!P320</f>
        <v>0</v>
      </c>
      <c r="H315">
        <f>'RESUMEN TOTAL'!Q320</f>
        <v>0</v>
      </c>
      <c r="I315">
        <f>'RESUMEN TOTAL'!R320</f>
        <v>0</v>
      </c>
      <c r="J315">
        <f>'RESUMEN TOTAL'!S320</f>
        <v>0</v>
      </c>
      <c r="K315">
        <f>'RESUMEN TOTAL'!T320</f>
        <v>0</v>
      </c>
      <c r="L315">
        <f>'RESUMEN TOTAL'!U320</f>
        <v>0</v>
      </c>
      <c r="M315">
        <f>'RESUMEN TOTAL'!V320</f>
        <v>0</v>
      </c>
      <c r="N315">
        <f>'RESUMEN TOTAL'!W320</f>
        <v>0</v>
      </c>
      <c r="O315">
        <f>'RESUMEN TOTAL'!X320</f>
        <v>0</v>
      </c>
      <c r="P315">
        <f>'RESUMEN TOTAL'!Y320</f>
        <v>0</v>
      </c>
      <c r="Q315">
        <f>'RESUMEN TOTAL'!Z320</f>
        <v>0</v>
      </c>
      <c r="R315">
        <f>'RESUMEN TOTAL'!AA320</f>
        <v>0</v>
      </c>
      <c r="S315">
        <f>'RESUMEN TOTAL'!AB320</f>
        <v>0</v>
      </c>
      <c r="T315">
        <f>'RESUMEN TOTAL'!AC320</f>
        <v>0</v>
      </c>
      <c r="U315">
        <f>'RESUMEN TOTAL'!AD320</f>
        <v>0</v>
      </c>
      <c r="V315">
        <f>'RESUMEN TOTAL'!AE320</f>
        <v>0</v>
      </c>
      <c r="W315">
        <f>'RESUMEN TOTAL'!AF320</f>
        <v>0</v>
      </c>
      <c r="X315">
        <f>'RESUMEN TOTAL'!AG320</f>
        <v>0</v>
      </c>
      <c r="Y315">
        <f>'RESUMEN TOTAL'!AH320</f>
        <v>0</v>
      </c>
      <c r="Z315">
        <f>'RESUMEN TOTAL'!AI320</f>
        <v>0</v>
      </c>
      <c r="AA315">
        <f>'RESUMEN TOTAL'!AJ320</f>
        <v>0</v>
      </c>
      <c r="AB315">
        <f>'RESUMEN TOTAL'!AK320</f>
        <v>0</v>
      </c>
      <c r="AC315">
        <f>'RESUMEN TOTAL'!AL320</f>
        <v>0</v>
      </c>
      <c r="AD315">
        <f>'RESUMEN TOTAL'!AM320</f>
        <v>0</v>
      </c>
      <c r="AE315">
        <f>'RESUMEN TOTAL'!AN320</f>
        <v>0</v>
      </c>
      <c r="AF315">
        <f>'RESUMEN TOTAL'!AO320</f>
        <v>0</v>
      </c>
      <c r="AG315">
        <f>'RESUMEN TOTAL'!AP320</f>
        <v>0</v>
      </c>
    </row>
    <row r="316" spans="1:33" x14ac:dyDescent="0.3">
      <c r="A316" t="str">
        <f>'RESUMEN TOTAL'!A321</f>
        <v>VILLA VATTEONE CENTRO</v>
      </c>
      <c r="B316" t="str">
        <f>'RESUMEN TOTAL'!C321</f>
        <v>VAT06</v>
      </c>
      <c r="C316" t="str">
        <f>'RESUMEN TOTAL'!D321</f>
        <v>Eva Peron y Pueyrredon</v>
      </c>
      <c r="D316" t="str">
        <f>'RESUMEN TOTAL'!E321</f>
        <v>Domo</v>
      </c>
      <c r="E316" t="str">
        <f>'RESUMEN TOTAL'!F321</f>
        <v>Fibra Optica</v>
      </c>
      <c r="F316" t="str">
        <f>'RESUMEN TOTAL'!O321</f>
        <v>APAGADO</v>
      </c>
      <c r="G316" t="str">
        <f>'RESUMEN TOTAL'!P321</f>
        <v>APAGADO</v>
      </c>
      <c r="H316" t="str">
        <f>'RESUMEN TOTAL'!Q321</f>
        <v>APAGADO</v>
      </c>
      <c r="I316" t="str">
        <f>'RESUMEN TOTAL'!R321</f>
        <v>APAGADO</v>
      </c>
      <c r="J316" t="str">
        <f>'RESUMEN TOTAL'!S321</f>
        <v>APAGADO</v>
      </c>
      <c r="K316" t="str">
        <f>'RESUMEN TOTAL'!T321</f>
        <v>APAGADO</v>
      </c>
      <c r="L316" t="str">
        <f>'RESUMEN TOTAL'!U321</f>
        <v>APAGADO</v>
      </c>
      <c r="M316" t="str">
        <f>'RESUMEN TOTAL'!V321</f>
        <v>APAGADO</v>
      </c>
      <c r="N316" t="str">
        <f>'RESUMEN TOTAL'!W321</f>
        <v>APAGADO</v>
      </c>
      <c r="O316" t="str">
        <f>'RESUMEN TOTAL'!X321</f>
        <v>APAGADO</v>
      </c>
      <c r="P316">
        <f>'RESUMEN TOTAL'!Y321</f>
        <v>0</v>
      </c>
      <c r="Q316">
        <f>'RESUMEN TOTAL'!Z321</f>
        <v>0</v>
      </c>
      <c r="R316">
        <f>'RESUMEN TOTAL'!AA321</f>
        <v>0</v>
      </c>
      <c r="S316">
        <f>'RESUMEN TOTAL'!AB321</f>
        <v>0</v>
      </c>
      <c r="T316">
        <f>'RESUMEN TOTAL'!AC321</f>
        <v>0</v>
      </c>
      <c r="U316">
        <f>'RESUMEN TOTAL'!AD321</f>
        <v>0</v>
      </c>
      <c r="V316">
        <f>'RESUMEN TOTAL'!AE321</f>
        <v>0</v>
      </c>
      <c r="W316">
        <f>'RESUMEN TOTAL'!AF321</f>
        <v>0</v>
      </c>
      <c r="X316">
        <f>'RESUMEN TOTAL'!AG321</f>
        <v>0</v>
      </c>
      <c r="Y316">
        <f>'RESUMEN TOTAL'!AH321</f>
        <v>0</v>
      </c>
      <c r="Z316">
        <f>'RESUMEN TOTAL'!AI321</f>
        <v>0</v>
      </c>
      <c r="AA316">
        <f>'RESUMEN TOTAL'!AJ321</f>
        <v>0</v>
      </c>
      <c r="AB316">
        <f>'RESUMEN TOTAL'!AK321</f>
        <v>0</v>
      </c>
      <c r="AC316">
        <f>'RESUMEN TOTAL'!AL321</f>
        <v>0</v>
      </c>
      <c r="AD316">
        <f>'RESUMEN TOTAL'!AM321</f>
        <v>0</v>
      </c>
      <c r="AE316">
        <f>'RESUMEN TOTAL'!AN321</f>
        <v>0</v>
      </c>
      <c r="AF316">
        <f>'RESUMEN TOTAL'!AO321</f>
        <v>0</v>
      </c>
      <c r="AG316">
        <f>'RESUMEN TOTAL'!AP321</f>
        <v>0</v>
      </c>
    </row>
    <row r="317" spans="1:33" x14ac:dyDescent="0.3">
      <c r="A317" t="str">
        <f>'RESUMEN TOTAL'!A322</f>
        <v>VILLA VATTEONE CENTRO</v>
      </c>
      <c r="B317" t="str">
        <f>'RESUMEN TOTAL'!C322</f>
        <v>VAT07</v>
      </c>
      <c r="C317" t="str">
        <f>'RESUMEN TOTAL'!D322</f>
        <v>Eva Peron y Lavalle</v>
      </c>
      <c r="D317" t="str">
        <f>'RESUMEN TOTAL'!E322</f>
        <v>DOMO</v>
      </c>
      <c r="E317" t="str">
        <f>'RESUMEN TOTAL'!F322</f>
        <v>PTP A FO</v>
      </c>
      <c r="F317" t="str">
        <f>'RESUMEN TOTAL'!O322</f>
        <v>APAGADO</v>
      </c>
      <c r="G317" t="str">
        <f>'RESUMEN TOTAL'!P322</f>
        <v>APAGADO</v>
      </c>
      <c r="H317" t="str">
        <f>'RESUMEN TOTAL'!Q322</f>
        <v>APAGADO</v>
      </c>
      <c r="I317" t="str">
        <f>'RESUMEN TOTAL'!R322</f>
        <v>APAGADO</v>
      </c>
      <c r="J317" t="str">
        <f>'RESUMEN TOTAL'!S322</f>
        <v>APAGADO</v>
      </c>
      <c r="K317" t="str">
        <f>'RESUMEN TOTAL'!T322</f>
        <v>APAGADO</v>
      </c>
      <c r="L317" t="str">
        <f>'RESUMEN TOTAL'!U322</f>
        <v>APAGADO</v>
      </c>
      <c r="M317" t="str">
        <f>'RESUMEN TOTAL'!V322</f>
        <v>APAGADO</v>
      </c>
      <c r="N317" t="str">
        <f>'RESUMEN TOTAL'!W322</f>
        <v>APAGADO</v>
      </c>
      <c r="O317" t="str">
        <f>'RESUMEN TOTAL'!X322</f>
        <v>APAGADO</v>
      </c>
      <c r="P317">
        <f>'RESUMEN TOTAL'!Y322</f>
        <v>0</v>
      </c>
      <c r="Q317">
        <f>'RESUMEN TOTAL'!Z322</f>
        <v>0</v>
      </c>
      <c r="R317">
        <f>'RESUMEN TOTAL'!AA322</f>
        <v>0</v>
      </c>
      <c r="S317">
        <f>'RESUMEN TOTAL'!AB322</f>
        <v>0</v>
      </c>
      <c r="T317">
        <f>'RESUMEN TOTAL'!AC322</f>
        <v>0</v>
      </c>
      <c r="U317">
        <f>'RESUMEN TOTAL'!AD322</f>
        <v>0</v>
      </c>
      <c r="V317">
        <f>'RESUMEN TOTAL'!AE322</f>
        <v>0</v>
      </c>
      <c r="W317">
        <f>'RESUMEN TOTAL'!AF322</f>
        <v>0</v>
      </c>
      <c r="X317">
        <f>'RESUMEN TOTAL'!AG322</f>
        <v>0</v>
      </c>
      <c r="Y317">
        <f>'RESUMEN TOTAL'!AH322</f>
        <v>0</v>
      </c>
      <c r="Z317">
        <f>'RESUMEN TOTAL'!AI322</f>
        <v>0</v>
      </c>
      <c r="AA317">
        <f>'RESUMEN TOTAL'!AJ322</f>
        <v>0</v>
      </c>
      <c r="AB317">
        <f>'RESUMEN TOTAL'!AK322</f>
        <v>0</v>
      </c>
      <c r="AC317">
        <f>'RESUMEN TOTAL'!AL322</f>
        <v>0</v>
      </c>
      <c r="AD317">
        <f>'RESUMEN TOTAL'!AM322</f>
        <v>0</v>
      </c>
      <c r="AE317">
        <f>'RESUMEN TOTAL'!AN322</f>
        <v>0</v>
      </c>
      <c r="AF317">
        <f>'RESUMEN TOTAL'!AO322</f>
        <v>0</v>
      </c>
      <c r="AG317">
        <f>'RESUMEN TOTAL'!AP322</f>
        <v>0</v>
      </c>
    </row>
    <row r="318" spans="1:33" x14ac:dyDescent="0.3">
      <c r="A318" t="str">
        <f>'RESUMEN TOTAL'!A323</f>
        <v>VILLA VATTEONE</v>
      </c>
      <c r="B318" t="str">
        <f>'RESUMEN TOTAL'!C323</f>
        <v>VAT08</v>
      </c>
      <c r="C318" t="str">
        <f>'RESUMEN TOTAL'!D323</f>
        <v>12 de Octubre y Florida</v>
      </c>
      <c r="D318" t="str">
        <f>'RESUMEN TOTAL'!E323</f>
        <v>Domo</v>
      </c>
      <c r="E318" t="str">
        <f>'RESUMEN TOTAL'!F323</f>
        <v>Fibra Optica</v>
      </c>
      <c r="F318">
        <f>'RESUMEN TOTAL'!O323</f>
        <v>0</v>
      </c>
      <c r="G318">
        <f>'RESUMEN TOTAL'!P323</f>
        <v>0</v>
      </c>
      <c r="H318">
        <f>'RESUMEN TOTAL'!Q323</f>
        <v>0</v>
      </c>
      <c r="I318">
        <f>'RESUMEN TOTAL'!R323</f>
        <v>0</v>
      </c>
      <c r="J318">
        <f>'RESUMEN TOTAL'!S323</f>
        <v>0</v>
      </c>
      <c r="K318">
        <f>'RESUMEN TOTAL'!T323</f>
        <v>0</v>
      </c>
      <c r="L318">
        <f>'RESUMEN TOTAL'!U323</f>
        <v>0</v>
      </c>
      <c r="M318">
        <f>'RESUMEN TOTAL'!V323</f>
        <v>0</v>
      </c>
      <c r="N318">
        <f>'RESUMEN TOTAL'!W323</f>
        <v>0</v>
      </c>
      <c r="O318">
        <f>'RESUMEN TOTAL'!X323</f>
        <v>0</v>
      </c>
      <c r="P318">
        <f>'RESUMEN TOTAL'!Y323</f>
        <v>0</v>
      </c>
      <c r="Q318">
        <f>'RESUMEN TOTAL'!Z323</f>
        <v>0</v>
      </c>
      <c r="R318">
        <f>'RESUMEN TOTAL'!AA323</f>
        <v>0</v>
      </c>
      <c r="S318">
        <f>'RESUMEN TOTAL'!AB323</f>
        <v>0</v>
      </c>
      <c r="T318">
        <f>'RESUMEN TOTAL'!AC323</f>
        <v>0</v>
      </c>
      <c r="U318">
        <f>'RESUMEN TOTAL'!AD323</f>
        <v>0</v>
      </c>
      <c r="V318">
        <f>'RESUMEN TOTAL'!AE323</f>
        <v>0</v>
      </c>
      <c r="W318">
        <f>'RESUMEN TOTAL'!AF323</f>
        <v>0</v>
      </c>
      <c r="X318">
        <f>'RESUMEN TOTAL'!AG323</f>
        <v>0</v>
      </c>
      <c r="Y318">
        <f>'RESUMEN TOTAL'!AH323</f>
        <v>0</v>
      </c>
      <c r="Z318">
        <f>'RESUMEN TOTAL'!AI323</f>
        <v>0</v>
      </c>
      <c r="AA318">
        <f>'RESUMEN TOTAL'!AJ323</f>
        <v>0</v>
      </c>
      <c r="AB318">
        <f>'RESUMEN TOTAL'!AK323</f>
        <v>0</v>
      </c>
      <c r="AC318">
        <f>'RESUMEN TOTAL'!AL323</f>
        <v>0</v>
      </c>
      <c r="AD318">
        <f>'RESUMEN TOTAL'!AM323</f>
        <v>0</v>
      </c>
      <c r="AE318">
        <f>'RESUMEN TOTAL'!AN323</f>
        <v>0</v>
      </c>
      <c r="AF318">
        <f>'RESUMEN TOTAL'!AO323</f>
        <v>0</v>
      </c>
      <c r="AG318">
        <f>'RESUMEN TOTAL'!AP323</f>
        <v>0</v>
      </c>
    </row>
    <row r="319" spans="1:33" x14ac:dyDescent="0.3">
      <c r="A319" t="str">
        <f>'RESUMEN TOTAL'!A324</f>
        <v>VILLA VATTEONE</v>
      </c>
      <c r="B319" t="str">
        <f>'RESUMEN TOTAL'!C324</f>
        <v>VAT09</v>
      </c>
      <c r="C319" t="str">
        <f>'RESUMEN TOTAL'!D324</f>
        <v>Montevideo y Alsina</v>
      </c>
      <c r="D319" t="str">
        <f>'RESUMEN TOTAL'!E324</f>
        <v>Domo</v>
      </c>
      <c r="E319" t="str">
        <f>'RESUMEN TOTAL'!F324</f>
        <v>Fibra Optica</v>
      </c>
      <c r="F319">
        <f>'RESUMEN TOTAL'!O324</f>
        <v>0</v>
      </c>
      <c r="G319">
        <f>'RESUMEN TOTAL'!P324</f>
        <v>0</v>
      </c>
      <c r="H319">
        <f>'RESUMEN TOTAL'!Q324</f>
        <v>0</v>
      </c>
      <c r="I319">
        <f>'RESUMEN TOTAL'!R324</f>
        <v>0</v>
      </c>
      <c r="J319">
        <f>'RESUMEN TOTAL'!S324</f>
        <v>0</v>
      </c>
      <c r="K319">
        <f>'RESUMEN TOTAL'!T324</f>
        <v>0</v>
      </c>
      <c r="L319">
        <f>'RESUMEN TOTAL'!U324</f>
        <v>0</v>
      </c>
      <c r="M319">
        <f>'RESUMEN TOTAL'!V324</f>
        <v>0</v>
      </c>
      <c r="N319">
        <f>'RESUMEN TOTAL'!W324</f>
        <v>0</v>
      </c>
      <c r="O319">
        <f>'RESUMEN TOTAL'!X324</f>
        <v>0</v>
      </c>
      <c r="P319">
        <f>'RESUMEN TOTAL'!Y324</f>
        <v>0</v>
      </c>
      <c r="Q319">
        <f>'RESUMEN TOTAL'!Z324</f>
        <v>0</v>
      </c>
      <c r="R319">
        <f>'RESUMEN TOTAL'!AA324</f>
        <v>0</v>
      </c>
      <c r="S319">
        <f>'RESUMEN TOTAL'!AB324</f>
        <v>0</v>
      </c>
      <c r="T319">
        <f>'RESUMEN TOTAL'!AC324</f>
        <v>0</v>
      </c>
      <c r="U319">
        <f>'RESUMEN TOTAL'!AD324</f>
        <v>0</v>
      </c>
      <c r="V319">
        <f>'RESUMEN TOTAL'!AE324</f>
        <v>0</v>
      </c>
      <c r="W319">
        <f>'RESUMEN TOTAL'!AF324</f>
        <v>0</v>
      </c>
      <c r="X319">
        <f>'RESUMEN TOTAL'!AG324</f>
        <v>0</v>
      </c>
      <c r="Y319">
        <f>'RESUMEN TOTAL'!AH324</f>
        <v>0</v>
      </c>
      <c r="Z319">
        <f>'RESUMEN TOTAL'!AI324</f>
        <v>0</v>
      </c>
      <c r="AA319">
        <f>'RESUMEN TOTAL'!AJ324</f>
        <v>0</v>
      </c>
      <c r="AB319">
        <f>'RESUMEN TOTAL'!AK324</f>
        <v>0</v>
      </c>
      <c r="AC319">
        <f>'RESUMEN TOTAL'!AL324</f>
        <v>0</v>
      </c>
      <c r="AD319">
        <f>'RESUMEN TOTAL'!AM324</f>
        <v>0</v>
      </c>
      <c r="AE319">
        <f>'RESUMEN TOTAL'!AN324</f>
        <v>0</v>
      </c>
      <c r="AF319">
        <f>'RESUMEN TOTAL'!AO324</f>
        <v>0</v>
      </c>
      <c r="AG319">
        <f>'RESUMEN TOTAL'!AP324</f>
        <v>0</v>
      </c>
    </row>
    <row r="320" spans="1:33" x14ac:dyDescent="0.3">
      <c r="A320" t="str">
        <f>'RESUMEN TOTAL'!A325</f>
        <v>VILLA VATTEONE CENTRO</v>
      </c>
      <c r="B320" t="str">
        <f>'RESUMEN TOTAL'!C325</f>
        <v>VAT10</v>
      </c>
      <c r="C320" t="str">
        <f>'RESUMEN TOTAL'!D325</f>
        <v>Belgrano y Quintana</v>
      </c>
      <c r="D320" t="str">
        <f>'RESUMEN TOTAL'!E325</f>
        <v>Domo</v>
      </c>
      <c r="E320" t="str">
        <f>'RESUMEN TOTAL'!F325</f>
        <v>Fibra Optica</v>
      </c>
      <c r="F320">
        <f>'RESUMEN TOTAL'!O325</f>
        <v>0</v>
      </c>
      <c r="G320">
        <f>'RESUMEN TOTAL'!P325</f>
        <v>0</v>
      </c>
      <c r="H320">
        <f>'RESUMEN TOTAL'!Q325</f>
        <v>0</v>
      </c>
      <c r="I320">
        <f>'RESUMEN TOTAL'!R325</f>
        <v>0</v>
      </c>
      <c r="J320">
        <f>'RESUMEN TOTAL'!S325</f>
        <v>0</v>
      </c>
      <c r="K320">
        <f>'RESUMEN TOTAL'!T325</f>
        <v>0</v>
      </c>
      <c r="L320">
        <f>'RESUMEN TOTAL'!U325</f>
        <v>0</v>
      </c>
      <c r="M320">
        <f>'RESUMEN TOTAL'!V325</f>
        <v>0</v>
      </c>
      <c r="N320">
        <f>'RESUMEN TOTAL'!W325</f>
        <v>0</v>
      </c>
      <c r="O320">
        <f>'RESUMEN TOTAL'!X325</f>
        <v>0</v>
      </c>
      <c r="P320">
        <f>'RESUMEN TOTAL'!Y325</f>
        <v>0</v>
      </c>
      <c r="Q320">
        <f>'RESUMEN TOTAL'!Z325</f>
        <v>0</v>
      </c>
      <c r="R320">
        <f>'RESUMEN TOTAL'!AA325</f>
        <v>0</v>
      </c>
      <c r="S320">
        <f>'RESUMEN TOTAL'!AB325</f>
        <v>0</v>
      </c>
      <c r="T320">
        <f>'RESUMEN TOTAL'!AC325</f>
        <v>0</v>
      </c>
      <c r="U320">
        <f>'RESUMEN TOTAL'!AD325</f>
        <v>0</v>
      </c>
      <c r="V320">
        <f>'RESUMEN TOTAL'!AE325</f>
        <v>0</v>
      </c>
      <c r="W320">
        <f>'RESUMEN TOTAL'!AF325</f>
        <v>0</v>
      </c>
      <c r="X320">
        <f>'RESUMEN TOTAL'!AG325</f>
        <v>0</v>
      </c>
      <c r="Y320">
        <f>'RESUMEN TOTAL'!AH325</f>
        <v>0</v>
      </c>
      <c r="Z320">
        <f>'RESUMEN TOTAL'!AI325</f>
        <v>0</v>
      </c>
      <c r="AA320">
        <f>'RESUMEN TOTAL'!AJ325</f>
        <v>0</v>
      </c>
      <c r="AB320">
        <f>'RESUMEN TOTAL'!AK325</f>
        <v>0</v>
      </c>
      <c r="AC320">
        <f>'RESUMEN TOTAL'!AL325</f>
        <v>0</v>
      </c>
      <c r="AD320">
        <f>'RESUMEN TOTAL'!AM325</f>
        <v>0</v>
      </c>
      <c r="AE320">
        <f>'RESUMEN TOTAL'!AN325</f>
        <v>0</v>
      </c>
      <c r="AF320">
        <f>'RESUMEN TOTAL'!AO325</f>
        <v>0</v>
      </c>
      <c r="AG320">
        <f>'RESUMEN TOTAL'!AP325</f>
        <v>0</v>
      </c>
    </row>
    <row r="321" spans="1:33" x14ac:dyDescent="0.3">
      <c r="A321" t="str">
        <f>'RESUMEN TOTAL'!A326</f>
        <v>VILLA VATTEONE</v>
      </c>
      <c r="B321" t="str">
        <f>'RESUMEN TOTAL'!C326</f>
        <v>VAT11</v>
      </c>
      <c r="C321" t="str">
        <f>'RESUMEN TOTAL'!D326</f>
        <v>Mainini y Montevideo</v>
      </c>
      <c r="D321" t="str">
        <f>'RESUMEN TOTAL'!E326</f>
        <v>Domo</v>
      </c>
      <c r="E321" t="str">
        <f>'RESUMEN TOTAL'!F326</f>
        <v>Fibra Optica</v>
      </c>
      <c r="F321">
        <f>'RESUMEN TOTAL'!O326</f>
        <v>0</v>
      </c>
      <c r="G321">
        <f>'RESUMEN TOTAL'!P326</f>
        <v>0</v>
      </c>
      <c r="H321">
        <f>'RESUMEN TOTAL'!Q326</f>
        <v>0</v>
      </c>
      <c r="I321">
        <f>'RESUMEN TOTAL'!R326</f>
        <v>0</v>
      </c>
      <c r="J321">
        <f>'RESUMEN TOTAL'!S326</f>
        <v>0</v>
      </c>
      <c r="K321">
        <f>'RESUMEN TOTAL'!T326</f>
        <v>0</v>
      </c>
      <c r="L321">
        <f>'RESUMEN TOTAL'!U326</f>
        <v>0</v>
      </c>
      <c r="M321">
        <f>'RESUMEN TOTAL'!V326</f>
        <v>0</v>
      </c>
      <c r="N321">
        <f>'RESUMEN TOTAL'!W326</f>
        <v>0</v>
      </c>
      <c r="O321">
        <f>'RESUMEN TOTAL'!X326</f>
        <v>0</v>
      </c>
      <c r="P321">
        <f>'RESUMEN TOTAL'!Y326</f>
        <v>0</v>
      </c>
      <c r="Q321">
        <f>'RESUMEN TOTAL'!Z326</f>
        <v>0</v>
      </c>
      <c r="R321">
        <f>'RESUMEN TOTAL'!AA326</f>
        <v>0</v>
      </c>
      <c r="S321">
        <f>'RESUMEN TOTAL'!AB326</f>
        <v>0</v>
      </c>
      <c r="T321">
        <f>'RESUMEN TOTAL'!AC326</f>
        <v>0</v>
      </c>
      <c r="U321">
        <f>'RESUMEN TOTAL'!AD326</f>
        <v>0</v>
      </c>
      <c r="V321">
        <f>'RESUMEN TOTAL'!AE326</f>
        <v>0</v>
      </c>
      <c r="W321">
        <f>'RESUMEN TOTAL'!AF326</f>
        <v>0</v>
      </c>
      <c r="X321">
        <f>'RESUMEN TOTAL'!AG326</f>
        <v>0</v>
      </c>
      <c r="Y321">
        <f>'RESUMEN TOTAL'!AH326</f>
        <v>0</v>
      </c>
      <c r="Z321">
        <f>'RESUMEN TOTAL'!AI326</f>
        <v>0</v>
      </c>
      <c r="AA321">
        <f>'RESUMEN TOTAL'!AJ326</f>
        <v>0</v>
      </c>
      <c r="AB321">
        <f>'RESUMEN TOTAL'!AK326</f>
        <v>0</v>
      </c>
      <c r="AC321">
        <f>'RESUMEN TOTAL'!AL326</f>
        <v>0</v>
      </c>
      <c r="AD321">
        <f>'RESUMEN TOTAL'!AM326</f>
        <v>0</v>
      </c>
      <c r="AE321">
        <f>'RESUMEN TOTAL'!AN326</f>
        <v>0</v>
      </c>
      <c r="AF321">
        <f>'RESUMEN TOTAL'!AO326</f>
        <v>0</v>
      </c>
      <c r="AG321">
        <f>'RESUMEN TOTAL'!AP326</f>
        <v>0</v>
      </c>
    </row>
    <row r="322" spans="1:33" x14ac:dyDescent="0.3">
      <c r="A322">
        <f>'RESUMEN TOTAL'!A327</f>
        <v>0</v>
      </c>
      <c r="B322" t="str">
        <f>'RESUMEN TOTAL'!C327</f>
        <v>VAT14</v>
      </c>
      <c r="C322" t="str">
        <f>'RESUMEN TOTAL'!D327</f>
        <v>FLORIDA Y MONTEVIDEO</v>
      </c>
      <c r="D322" t="str">
        <f>'RESUMEN TOTAL'!E327</f>
        <v>DOMO</v>
      </c>
      <c r="E322" t="str">
        <f>'RESUMEN TOTAL'!F327</f>
        <v>Fibra Optica</v>
      </c>
      <c r="F322">
        <f>'RESUMEN TOTAL'!O327</f>
        <v>0</v>
      </c>
      <c r="G322">
        <f>'RESUMEN TOTAL'!P327</f>
        <v>0</v>
      </c>
      <c r="H322">
        <f>'RESUMEN TOTAL'!Q327</f>
        <v>0</v>
      </c>
      <c r="I322">
        <f>'RESUMEN TOTAL'!R327</f>
        <v>0</v>
      </c>
      <c r="J322">
        <f>'RESUMEN TOTAL'!S327</f>
        <v>0</v>
      </c>
      <c r="K322">
        <f>'RESUMEN TOTAL'!T327</f>
        <v>0</v>
      </c>
      <c r="L322">
        <f>'RESUMEN TOTAL'!U327</f>
        <v>0</v>
      </c>
      <c r="M322">
        <f>'RESUMEN TOTAL'!V327</f>
        <v>0</v>
      </c>
      <c r="N322">
        <f>'RESUMEN TOTAL'!W327</f>
        <v>0</v>
      </c>
      <c r="O322">
        <f>'RESUMEN TOTAL'!X327</f>
        <v>0</v>
      </c>
      <c r="P322">
        <f>'RESUMEN TOTAL'!Y327</f>
        <v>0</v>
      </c>
      <c r="Q322">
        <f>'RESUMEN TOTAL'!Z327</f>
        <v>0</v>
      </c>
      <c r="R322">
        <f>'RESUMEN TOTAL'!AA327</f>
        <v>0</v>
      </c>
      <c r="S322">
        <f>'RESUMEN TOTAL'!AB327</f>
        <v>0</v>
      </c>
      <c r="T322">
        <f>'RESUMEN TOTAL'!AC327</f>
        <v>0</v>
      </c>
      <c r="U322">
        <f>'RESUMEN TOTAL'!AD327</f>
        <v>0</v>
      </c>
      <c r="V322">
        <f>'RESUMEN TOTAL'!AE327</f>
        <v>0</v>
      </c>
      <c r="W322">
        <f>'RESUMEN TOTAL'!AF327</f>
        <v>0</v>
      </c>
      <c r="X322">
        <f>'RESUMEN TOTAL'!AG327</f>
        <v>0</v>
      </c>
      <c r="Y322">
        <f>'RESUMEN TOTAL'!AH327</f>
        <v>0</v>
      </c>
      <c r="Z322">
        <f>'RESUMEN TOTAL'!AI327</f>
        <v>0</v>
      </c>
      <c r="AA322">
        <f>'RESUMEN TOTAL'!AJ327</f>
        <v>0</v>
      </c>
      <c r="AB322">
        <f>'RESUMEN TOTAL'!AK327</f>
        <v>0</v>
      </c>
      <c r="AC322">
        <f>'RESUMEN TOTAL'!AL327</f>
        <v>0</v>
      </c>
      <c r="AD322">
        <f>'RESUMEN TOTAL'!AM327</f>
        <v>0</v>
      </c>
      <c r="AE322">
        <f>'RESUMEN TOTAL'!AN327</f>
        <v>0</v>
      </c>
      <c r="AF322">
        <f>'RESUMEN TOTAL'!AO327</f>
        <v>0</v>
      </c>
      <c r="AG322">
        <f>'RESUMEN TOTAL'!AP327</f>
        <v>0</v>
      </c>
    </row>
    <row r="323" spans="1:33" x14ac:dyDescent="0.3">
      <c r="A323" t="str">
        <f>'RESUMEN TOTAL'!A328</f>
        <v>VILLA VATTEONE CENTRO</v>
      </c>
      <c r="B323" t="str">
        <f>'RESUMEN TOTAL'!C328</f>
        <v>VAT21 (fija 1)</v>
      </c>
      <c r="C323" t="str">
        <f>'RESUMEN TOTAL'!D328</f>
        <v>QUINTANA E/ BELGRANO Y FONROUGE</v>
      </c>
      <c r="D323" t="str">
        <f>'RESUMEN TOTAL'!E328</f>
        <v>Fija</v>
      </c>
      <c r="E323" t="str">
        <f>'RESUMEN TOTAL'!F328</f>
        <v>Fibra Optica</v>
      </c>
      <c r="F323">
        <f>'RESUMEN TOTAL'!O328</f>
        <v>0</v>
      </c>
      <c r="G323">
        <f>'RESUMEN TOTAL'!P328</f>
        <v>0</v>
      </c>
      <c r="H323">
        <f>'RESUMEN TOTAL'!Q328</f>
        <v>0</v>
      </c>
      <c r="I323">
        <f>'RESUMEN TOTAL'!R328</f>
        <v>0</v>
      </c>
      <c r="J323">
        <f>'RESUMEN TOTAL'!S328</f>
        <v>0</v>
      </c>
      <c r="K323">
        <f>'RESUMEN TOTAL'!T328</f>
        <v>0</v>
      </c>
      <c r="L323">
        <f>'RESUMEN TOTAL'!U328</f>
        <v>0</v>
      </c>
      <c r="M323">
        <f>'RESUMEN TOTAL'!V328</f>
        <v>0</v>
      </c>
      <c r="N323">
        <f>'RESUMEN TOTAL'!W328</f>
        <v>0</v>
      </c>
      <c r="O323">
        <f>'RESUMEN TOTAL'!X328</f>
        <v>0</v>
      </c>
      <c r="P323">
        <f>'RESUMEN TOTAL'!Y328</f>
        <v>0</v>
      </c>
      <c r="Q323">
        <f>'RESUMEN TOTAL'!Z328</f>
        <v>0</v>
      </c>
      <c r="R323">
        <f>'RESUMEN TOTAL'!AA328</f>
        <v>0</v>
      </c>
      <c r="S323">
        <f>'RESUMEN TOTAL'!AB328</f>
        <v>0</v>
      </c>
      <c r="T323">
        <f>'RESUMEN TOTAL'!AC328</f>
        <v>0</v>
      </c>
      <c r="U323">
        <f>'RESUMEN TOTAL'!AD328</f>
        <v>0</v>
      </c>
      <c r="V323">
        <f>'RESUMEN TOTAL'!AE328</f>
        <v>0</v>
      </c>
      <c r="W323">
        <f>'RESUMEN TOTAL'!AF328</f>
        <v>0</v>
      </c>
      <c r="X323">
        <f>'RESUMEN TOTAL'!AG328</f>
        <v>0</v>
      </c>
      <c r="Y323">
        <f>'RESUMEN TOTAL'!AH328</f>
        <v>0</v>
      </c>
      <c r="Z323">
        <f>'RESUMEN TOTAL'!AI328</f>
        <v>0</v>
      </c>
      <c r="AA323">
        <f>'RESUMEN TOTAL'!AJ328</f>
        <v>0</v>
      </c>
      <c r="AB323">
        <f>'RESUMEN TOTAL'!AK328</f>
        <v>0</v>
      </c>
      <c r="AC323">
        <f>'RESUMEN TOTAL'!AL328</f>
        <v>0</v>
      </c>
      <c r="AD323">
        <f>'RESUMEN TOTAL'!AM328</f>
        <v>0</v>
      </c>
      <c r="AE323">
        <f>'RESUMEN TOTAL'!AN328</f>
        <v>0</v>
      </c>
      <c r="AF323">
        <f>'RESUMEN TOTAL'!AO328</f>
        <v>0</v>
      </c>
      <c r="AG323">
        <f>'RESUMEN TOTAL'!AP328</f>
        <v>0</v>
      </c>
    </row>
    <row r="324" spans="1:33" x14ac:dyDescent="0.3">
      <c r="A324" t="str">
        <f>'RESUMEN TOTAL'!A329</f>
        <v>VILLA VATTEONE CENTRO</v>
      </c>
      <c r="B324" t="str">
        <f>'RESUMEN TOTAL'!C329</f>
        <v>VAT22 (fija 2)</v>
      </c>
      <c r="C324" t="str">
        <f>'RESUMEN TOTAL'!D329</f>
        <v>QUINTANA E/ BELGRANO Y FONROUGE</v>
      </c>
      <c r="D324" t="str">
        <f>'RESUMEN TOTAL'!E329</f>
        <v>Fija</v>
      </c>
      <c r="E324" t="str">
        <f>'RESUMEN TOTAL'!F329</f>
        <v>Fibra Optica</v>
      </c>
      <c r="F324">
        <f>'RESUMEN TOTAL'!O329</f>
        <v>0</v>
      </c>
      <c r="G324">
        <f>'RESUMEN TOTAL'!P329</f>
        <v>0</v>
      </c>
      <c r="H324">
        <f>'RESUMEN TOTAL'!Q329</f>
        <v>0</v>
      </c>
      <c r="I324">
        <f>'RESUMEN TOTAL'!R329</f>
        <v>0</v>
      </c>
      <c r="J324">
        <f>'RESUMEN TOTAL'!S329</f>
        <v>0</v>
      </c>
      <c r="K324">
        <f>'RESUMEN TOTAL'!T329</f>
        <v>0</v>
      </c>
      <c r="L324">
        <f>'RESUMEN TOTAL'!U329</f>
        <v>0</v>
      </c>
      <c r="M324">
        <f>'RESUMEN TOTAL'!V329</f>
        <v>0</v>
      </c>
      <c r="N324">
        <f>'RESUMEN TOTAL'!W329</f>
        <v>0</v>
      </c>
      <c r="O324">
        <f>'RESUMEN TOTAL'!X329</f>
        <v>0</v>
      </c>
      <c r="P324">
        <f>'RESUMEN TOTAL'!Y329</f>
        <v>0</v>
      </c>
      <c r="Q324">
        <f>'RESUMEN TOTAL'!Z329</f>
        <v>0</v>
      </c>
      <c r="R324">
        <f>'RESUMEN TOTAL'!AA329</f>
        <v>0</v>
      </c>
      <c r="S324">
        <f>'RESUMEN TOTAL'!AB329</f>
        <v>0</v>
      </c>
      <c r="T324">
        <f>'RESUMEN TOTAL'!AC329</f>
        <v>0</v>
      </c>
      <c r="U324">
        <f>'RESUMEN TOTAL'!AD329</f>
        <v>0</v>
      </c>
      <c r="V324">
        <f>'RESUMEN TOTAL'!AE329</f>
        <v>0</v>
      </c>
      <c r="W324">
        <f>'RESUMEN TOTAL'!AF329</f>
        <v>0</v>
      </c>
      <c r="X324">
        <f>'RESUMEN TOTAL'!AG329</f>
        <v>0</v>
      </c>
      <c r="Y324">
        <f>'RESUMEN TOTAL'!AH329</f>
        <v>0</v>
      </c>
      <c r="Z324">
        <f>'RESUMEN TOTAL'!AI329</f>
        <v>0</v>
      </c>
      <c r="AA324">
        <f>'RESUMEN TOTAL'!AJ329</f>
        <v>0</v>
      </c>
      <c r="AB324">
        <f>'RESUMEN TOTAL'!AK329</f>
        <v>0</v>
      </c>
      <c r="AC324">
        <f>'RESUMEN TOTAL'!AL329</f>
        <v>0</v>
      </c>
      <c r="AD324">
        <f>'RESUMEN TOTAL'!AM329</f>
        <v>0</v>
      </c>
      <c r="AE324">
        <f>'RESUMEN TOTAL'!AN329</f>
        <v>0</v>
      </c>
      <c r="AF324">
        <f>'RESUMEN TOTAL'!AO329</f>
        <v>0</v>
      </c>
      <c r="AG324">
        <f>'RESUMEN TOTAL'!AP329</f>
        <v>0</v>
      </c>
    </row>
    <row r="325" spans="1:33" x14ac:dyDescent="0.3">
      <c r="A325" t="str">
        <f>'RESUMEN TOTAL'!A330</f>
        <v>VILLA VATTEONE CENTRO</v>
      </c>
      <c r="B325" t="str">
        <f>'RESUMEN TOTAL'!C330</f>
        <v>VAT23 (fija 1)</v>
      </c>
      <c r="C325" t="str">
        <f>'RESUMEN TOTAL'!D330</f>
        <v>EVA PERON Y "EL TUNEL" (BAJO NIVEL)</v>
      </c>
      <c r="D325" t="str">
        <f>'RESUMEN TOTAL'!E330</f>
        <v>Fija</v>
      </c>
      <c r="E325" t="str">
        <f>'RESUMEN TOTAL'!F330</f>
        <v>Fibra Optica</v>
      </c>
      <c r="F325">
        <f>'RESUMEN TOTAL'!O330</f>
        <v>0</v>
      </c>
      <c r="G325" t="str">
        <f>'RESUMEN TOTAL'!P330</f>
        <v>APAGADO</v>
      </c>
      <c r="H325" t="str">
        <f>'RESUMEN TOTAL'!Q330</f>
        <v>APAGADO</v>
      </c>
      <c r="I325" t="str">
        <f>'RESUMEN TOTAL'!R330</f>
        <v>APAGADO</v>
      </c>
      <c r="J325" t="str">
        <f>'RESUMEN TOTAL'!S330</f>
        <v>APAGADO</v>
      </c>
      <c r="K325" t="str">
        <f>'RESUMEN TOTAL'!T330</f>
        <v>APAGADO</v>
      </c>
      <c r="L325" t="str">
        <f>'RESUMEN TOTAL'!U330</f>
        <v>APAGADO</v>
      </c>
      <c r="M325" t="str">
        <f>'RESUMEN TOTAL'!V330</f>
        <v>APAGADO</v>
      </c>
      <c r="N325" t="str">
        <f>'RESUMEN TOTAL'!W330</f>
        <v>APAGADO</v>
      </c>
      <c r="O325" t="str">
        <f>'RESUMEN TOTAL'!X330</f>
        <v>APAGADO</v>
      </c>
      <c r="P325">
        <f>'RESUMEN TOTAL'!Y330</f>
        <v>0</v>
      </c>
      <c r="Q325">
        <f>'RESUMEN TOTAL'!Z330</f>
        <v>0</v>
      </c>
      <c r="R325">
        <f>'RESUMEN TOTAL'!AA330</f>
        <v>0</v>
      </c>
      <c r="S325" t="str">
        <f>'RESUMEN TOTAL'!AB330</f>
        <v>APAGADO</v>
      </c>
      <c r="T325">
        <f>'RESUMEN TOTAL'!AC330</f>
        <v>0</v>
      </c>
      <c r="U325">
        <f>'RESUMEN TOTAL'!AD330</f>
        <v>0</v>
      </c>
      <c r="V325">
        <f>'RESUMEN TOTAL'!AE330</f>
        <v>0</v>
      </c>
      <c r="W325">
        <f>'RESUMEN TOTAL'!AF330</f>
        <v>0</v>
      </c>
      <c r="X325">
        <f>'RESUMEN TOTAL'!AG330</f>
        <v>0</v>
      </c>
      <c r="Y325">
        <f>'RESUMEN TOTAL'!AH330</f>
        <v>0</v>
      </c>
      <c r="Z325">
        <f>'RESUMEN TOTAL'!AI330</f>
        <v>0</v>
      </c>
      <c r="AA325">
        <f>'RESUMEN TOTAL'!AJ330</f>
        <v>0</v>
      </c>
      <c r="AB325">
        <f>'RESUMEN TOTAL'!AK330</f>
        <v>0</v>
      </c>
      <c r="AC325">
        <f>'RESUMEN TOTAL'!AL330</f>
        <v>0</v>
      </c>
      <c r="AD325">
        <f>'RESUMEN TOTAL'!AM330</f>
        <v>0</v>
      </c>
      <c r="AE325">
        <f>'RESUMEN TOTAL'!AN330</f>
        <v>0</v>
      </c>
      <c r="AF325">
        <f>'RESUMEN TOTAL'!AO330</f>
        <v>0</v>
      </c>
      <c r="AG325">
        <f>'RESUMEN TOTAL'!AP330</f>
        <v>0</v>
      </c>
    </row>
    <row r="326" spans="1:33" x14ac:dyDescent="0.3">
      <c r="A326" t="str">
        <f>'RESUMEN TOTAL'!A331</f>
        <v>VILLA VATTEONE CENTRO</v>
      </c>
      <c r="B326" t="str">
        <f>'RESUMEN TOTAL'!C331</f>
        <v>VAT24 (fija 2)</v>
      </c>
      <c r="C326" t="str">
        <f>'RESUMEN TOTAL'!D331</f>
        <v>EVA PERON Y "EL TUNEL" (BAJO NIVEL)</v>
      </c>
      <c r="D326" t="str">
        <f>'RESUMEN TOTAL'!E331</f>
        <v>Fija</v>
      </c>
      <c r="E326" t="str">
        <f>'RESUMEN TOTAL'!F331</f>
        <v>Fibra Optica</v>
      </c>
      <c r="F326">
        <f>'RESUMEN TOTAL'!O331</f>
        <v>0</v>
      </c>
      <c r="G326" t="str">
        <f>'RESUMEN TOTAL'!P331</f>
        <v>APAGADO</v>
      </c>
      <c r="H326" t="str">
        <f>'RESUMEN TOTAL'!Q331</f>
        <v>APAGADO</v>
      </c>
      <c r="I326" t="str">
        <f>'RESUMEN TOTAL'!R331</f>
        <v>APAGADO</v>
      </c>
      <c r="J326" t="str">
        <f>'RESUMEN TOTAL'!S331</f>
        <v>APAGADO</v>
      </c>
      <c r="K326" t="str">
        <f>'RESUMEN TOTAL'!T331</f>
        <v>APAGADO</v>
      </c>
      <c r="L326" t="str">
        <f>'RESUMEN TOTAL'!U331</f>
        <v>APAGADO</v>
      </c>
      <c r="M326" t="str">
        <f>'RESUMEN TOTAL'!V331</f>
        <v>APAGADO</v>
      </c>
      <c r="N326" t="str">
        <f>'RESUMEN TOTAL'!W331</f>
        <v>APAGADO</v>
      </c>
      <c r="O326" t="str">
        <f>'RESUMEN TOTAL'!X331</f>
        <v>APAGADO</v>
      </c>
      <c r="P326">
        <f>'RESUMEN TOTAL'!Y331</f>
        <v>0</v>
      </c>
      <c r="Q326">
        <f>'RESUMEN TOTAL'!Z331</f>
        <v>0</v>
      </c>
      <c r="R326">
        <f>'RESUMEN TOTAL'!AA331</f>
        <v>0</v>
      </c>
      <c r="S326" t="str">
        <f>'RESUMEN TOTAL'!AB331</f>
        <v>APAGADO</v>
      </c>
      <c r="T326">
        <f>'RESUMEN TOTAL'!AC331</f>
        <v>0</v>
      </c>
      <c r="U326">
        <f>'RESUMEN TOTAL'!AD331</f>
        <v>0</v>
      </c>
      <c r="V326">
        <f>'RESUMEN TOTAL'!AE331</f>
        <v>0</v>
      </c>
      <c r="W326">
        <f>'RESUMEN TOTAL'!AF331</f>
        <v>0</v>
      </c>
      <c r="X326">
        <f>'RESUMEN TOTAL'!AG331</f>
        <v>0</v>
      </c>
      <c r="Y326">
        <f>'RESUMEN TOTAL'!AH331</f>
        <v>0</v>
      </c>
      <c r="Z326">
        <f>'RESUMEN TOTAL'!AI331</f>
        <v>0</v>
      </c>
      <c r="AA326">
        <f>'RESUMEN TOTAL'!AJ331</f>
        <v>0</v>
      </c>
      <c r="AB326">
        <f>'RESUMEN TOTAL'!AK331</f>
        <v>0</v>
      </c>
      <c r="AC326">
        <f>'RESUMEN TOTAL'!AL331</f>
        <v>0</v>
      </c>
      <c r="AD326">
        <f>'RESUMEN TOTAL'!AM331</f>
        <v>0</v>
      </c>
      <c r="AE326">
        <f>'RESUMEN TOTAL'!AN331</f>
        <v>0</v>
      </c>
      <c r="AF326">
        <f>'RESUMEN TOTAL'!AO331</f>
        <v>0</v>
      </c>
      <c r="AG326">
        <f>'RESUMEN TOTAL'!AP331</f>
        <v>0</v>
      </c>
    </row>
    <row r="327" spans="1:33" x14ac:dyDescent="0.3">
      <c r="A327" t="str">
        <f>'RESUMEN TOTAL'!A332</f>
        <v>VILLA AURORA</v>
      </c>
      <c r="B327" t="str">
        <f>'RESUMEN TOTAL'!C332</f>
        <v>VAU 07</v>
      </c>
      <c r="C327" t="str">
        <f>'RESUMEN TOTAL'!D332</f>
        <v>VICTORINO DE LA PLAZA Y MONTEVERDE</v>
      </c>
      <c r="D327" t="str">
        <f>'RESUMEN TOTAL'!E332</f>
        <v>Domo</v>
      </c>
      <c r="E327" t="str">
        <f>'RESUMEN TOTAL'!F332</f>
        <v>Fibra Optica</v>
      </c>
      <c r="F327">
        <f>'RESUMEN TOTAL'!O332</f>
        <v>0</v>
      </c>
      <c r="G327">
        <f>'RESUMEN TOTAL'!P332</f>
        <v>0</v>
      </c>
      <c r="H327">
        <f>'RESUMEN TOTAL'!Q332</f>
        <v>0</v>
      </c>
      <c r="I327">
        <f>'RESUMEN TOTAL'!R332</f>
        <v>0</v>
      </c>
      <c r="J327">
        <f>'RESUMEN TOTAL'!S332</f>
        <v>0</v>
      </c>
      <c r="K327">
        <f>'RESUMEN TOTAL'!T332</f>
        <v>0</v>
      </c>
      <c r="L327">
        <f>'RESUMEN TOTAL'!U332</f>
        <v>0</v>
      </c>
      <c r="M327">
        <f>'RESUMEN TOTAL'!V332</f>
        <v>0</v>
      </c>
      <c r="N327">
        <f>'RESUMEN TOTAL'!W332</f>
        <v>0</v>
      </c>
      <c r="O327">
        <f>'RESUMEN TOTAL'!X332</f>
        <v>0</v>
      </c>
      <c r="P327">
        <f>'RESUMEN TOTAL'!Y332</f>
        <v>0</v>
      </c>
      <c r="Q327">
        <f>'RESUMEN TOTAL'!Z332</f>
        <v>0</v>
      </c>
      <c r="R327">
        <f>'RESUMEN TOTAL'!AA332</f>
        <v>0</v>
      </c>
      <c r="S327">
        <f>'RESUMEN TOTAL'!AB332</f>
        <v>0</v>
      </c>
      <c r="T327">
        <f>'RESUMEN TOTAL'!AC332</f>
        <v>0</v>
      </c>
      <c r="U327">
        <f>'RESUMEN TOTAL'!AD332</f>
        <v>0</v>
      </c>
      <c r="V327">
        <f>'RESUMEN TOTAL'!AE332</f>
        <v>0</v>
      </c>
      <c r="W327">
        <f>'RESUMEN TOTAL'!AF332</f>
        <v>0</v>
      </c>
      <c r="X327">
        <f>'RESUMEN TOTAL'!AG332</f>
        <v>0</v>
      </c>
      <c r="Y327">
        <f>'RESUMEN TOTAL'!AH332</f>
        <v>0</v>
      </c>
      <c r="Z327">
        <f>'RESUMEN TOTAL'!AI332</f>
        <v>0</v>
      </c>
      <c r="AA327">
        <f>'RESUMEN TOTAL'!AJ332</f>
        <v>0</v>
      </c>
      <c r="AB327">
        <f>'RESUMEN TOTAL'!AK332</f>
        <v>0</v>
      </c>
      <c r="AC327">
        <f>'RESUMEN TOTAL'!AL332</f>
        <v>0</v>
      </c>
      <c r="AD327">
        <f>'RESUMEN TOTAL'!AM332</f>
        <v>0</v>
      </c>
      <c r="AE327">
        <f>'RESUMEN TOTAL'!AN332</f>
        <v>0</v>
      </c>
      <c r="AF327">
        <f>'RESUMEN TOTAL'!AO332</f>
        <v>0</v>
      </c>
      <c r="AG327">
        <f>'RESUMEN TOTAL'!AP332</f>
        <v>0</v>
      </c>
    </row>
    <row r="328" spans="1:33" x14ac:dyDescent="0.3">
      <c r="A328" t="str">
        <f>'RESUMEN TOTAL'!A333</f>
        <v>VILLA AURORA</v>
      </c>
      <c r="B328" t="str">
        <f>'RESUMEN TOTAL'!C333</f>
        <v>VAU01</v>
      </c>
      <c r="C328" t="str">
        <f>'RESUMEN TOTAL'!D333</f>
        <v>San Martin y Monteverde</v>
      </c>
      <c r="D328" t="str">
        <f>'RESUMEN TOTAL'!E333</f>
        <v>Domo</v>
      </c>
      <c r="E328" t="str">
        <f>'RESUMEN TOTAL'!F333</f>
        <v>Fibra Optica</v>
      </c>
      <c r="F328" t="str">
        <f>'RESUMEN TOTAL'!O333</f>
        <v>APAGADO</v>
      </c>
      <c r="G328" t="str">
        <f>'RESUMEN TOTAL'!P333</f>
        <v>APAGADO</v>
      </c>
      <c r="H328" t="str">
        <f>'RESUMEN TOTAL'!Q333</f>
        <v>APAGADO</v>
      </c>
      <c r="I328" t="str">
        <f>'RESUMEN TOTAL'!R333</f>
        <v>APAGADO</v>
      </c>
      <c r="J328" t="str">
        <f>'RESUMEN TOTAL'!S333</f>
        <v>APAGADO</v>
      </c>
      <c r="K328" t="str">
        <f>'RESUMEN TOTAL'!T333</f>
        <v>APAGADO</v>
      </c>
      <c r="L328" t="str">
        <f>'RESUMEN TOTAL'!U333</f>
        <v>APAGADO</v>
      </c>
      <c r="M328" t="str">
        <f>'RESUMEN TOTAL'!V333</f>
        <v>APAGADO</v>
      </c>
      <c r="N328">
        <f>'RESUMEN TOTAL'!W333</f>
        <v>0</v>
      </c>
      <c r="O328">
        <f>'RESUMEN TOTAL'!X333</f>
        <v>0</v>
      </c>
      <c r="P328">
        <f>'RESUMEN TOTAL'!Y333</f>
        <v>0</v>
      </c>
      <c r="Q328">
        <f>'RESUMEN TOTAL'!Z333</f>
        <v>0</v>
      </c>
      <c r="R328">
        <f>'RESUMEN TOTAL'!AA333</f>
        <v>0</v>
      </c>
      <c r="S328">
        <f>'RESUMEN TOTAL'!AB333</f>
        <v>0</v>
      </c>
      <c r="T328">
        <f>'RESUMEN TOTAL'!AC333</f>
        <v>0</v>
      </c>
      <c r="U328">
        <f>'RESUMEN TOTAL'!AD333</f>
        <v>0</v>
      </c>
      <c r="V328">
        <f>'RESUMEN TOTAL'!AE333</f>
        <v>0</v>
      </c>
      <c r="W328">
        <f>'RESUMEN TOTAL'!AF333</f>
        <v>0</v>
      </c>
      <c r="X328">
        <f>'RESUMEN TOTAL'!AG333</f>
        <v>0</v>
      </c>
      <c r="Y328">
        <f>'RESUMEN TOTAL'!AH333</f>
        <v>0</v>
      </c>
      <c r="Z328">
        <f>'RESUMEN TOTAL'!AI333</f>
        <v>0</v>
      </c>
      <c r="AA328">
        <f>'RESUMEN TOTAL'!AJ333</f>
        <v>0</v>
      </c>
      <c r="AB328">
        <f>'RESUMEN TOTAL'!AK333</f>
        <v>0</v>
      </c>
      <c r="AC328">
        <f>'RESUMEN TOTAL'!AL333</f>
        <v>0</v>
      </c>
      <c r="AD328">
        <f>'RESUMEN TOTAL'!AM333</f>
        <v>0</v>
      </c>
      <c r="AE328">
        <f>'RESUMEN TOTAL'!AN333</f>
        <v>0</v>
      </c>
      <c r="AF328">
        <f>'RESUMEN TOTAL'!AO333</f>
        <v>0</v>
      </c>
      <c r="AG328">
        <f>'RESUMEN TOTAL'!AP333</f>
        <v>0</v>
      </c>
    </row>
    <row r="329" spans="1:33" x14ac:dyDescent="0.3">
      <c r="A329" t="str">
        <f>'RESUMEN TOTAL'!A334</f>
        <v>SAN EMILIO</v>
      </c>
      <c r="B329" t="str">
        <f>'RESUMEN TOTAL'!C334</f>
        <v>VAU02</v>
      </c>
      <c r="C329" t="str">
        <f>'RESUMEN TOTAL'!D334</f>
        <v>San Martin y Lope de Vega</v>
      </c>
      <c r="D329" t="str">
        <f>'RESUMEN TOTAL'!E334</f>
        <v>Domo</v>
      </c>
      <c r="E329" t="str">
        <f>'RESUMEN TOTAL'!F334</f>
        <v>Fibra Optica</v>
      </c>
      <c r="F329">
        <f>'RESUMEN TOTAL'!O334</f>
        <v>0</v>
      </c>
      <c r="G329">
        <f>'RESUMEN TOTAL'!P334</f>
        <v>0</v>
      </c>
      <c r="H329">
        <f>'RESUMEN TOTAL'!Q334</f>
        <v>0</v>
      </c>
      <c r="I329">
        <f>'RESUMEN TOTAL'!R334</f>
        <v>0</v>
      </c>
      <c r="J329">
        <f>'RESUMEN TOTAL'!S334</f>
        <v>0</v>
      </c>
      <c r="K329">
        <f>'RESUMEN TOTAL'!T334</f>
        <v>0</v>
      </c>
      <c r="L329">
        <f>'RESUMEN TOTAL'!U334</f>
        <v>0</v>
      </c>
      <c r="M329">
        <f>'RESUMEN TOTAL'!V334</f>
        <v>0</v>
      </c>
      <c r="N329">
        <f>'RESUMEN TOTAL'!W334</f>
        <v>0</v>
      </c>
      <c r="O329">
        <f>'RESUMEN TOTAL'!X334</f>
        <v>0</v>
      </c>
      <c r="P329">
        <f>'RESUMEN TOTAL'!Y334</f>
        <v>0</v>
      </c>
      <c r="Q329">
        <f>'RESUMEN TOTAL'!Z334</f>
        <v>0</v>
      </c>
      <c r="R329">
        <f>'RESUMEN TOTAL'!AA334</f>
        <v>0</v>
      </c>
      <c r="S329">
        <f>'RESUMEN TOTAL'!AB334</f>
        <v>0</v>
      </c>
      <c r="T329">
        <f>'RESUMEN TOTAL'!AC334</f>
        <v>0</v>
      </c>
      <c r="U329">
        <f>'RESUMEN TOTAL'!AD334</f>
        <v>0</v>
      </c>
      <c r="V329">
        <f>'RESUMEN TOTAL'!AE334</f>
        <v>0</v>
      </c>
      <c r="W329">
        <f>'RESUMEN TOTAL'!AF334</f>
        <v>0</v>
      </c>
      <c r="X329">
        <f>'RESUMEN TOTAL'!AG334</f>
        <v>0</v>
      </c>
      <c r="Y329">
        <f>'RESUMEN TOTAL'!AH334</f>
        <v>0</v>
      </c>
      <c r="Z329">
        <f>'RESUMEN TOTAL'!AI334</f>
        <v>0</v>
      </c>
      <c r="AA329">
        <f>'RESUMEN TOTAL'!AJ334</f>
        <v>0</v>
      </c>
      <c r="AB329">
        <f>'RESUMEN TOTAL'!AK334</f>
        <v>0</v>
      </c>
      <c r="AC329">
        <f>'RESUMEN TOTAL'!AL334</f>
        <v>0</v>
      </c>
      <c r="AD329">
        <f>'RESUMEN TOTAL'!AM334</f>
        <v>0</v>
      </c>
      <c r="AE329">
        <f>'RESUMEN TOTAL'!AN334</f>
        <v>0</v>
      </c>
      <c r="AF329">
        <f>'RESUMEN TOTAL'!AO334</f>
        <v>0</v>
      </c>
      <c r="AG329">
        <f>'RESUMEN TOTAL'!AP334</f>
        <v>0</v>
      </c>
    </row>
    <row r="330" spans="1:33" x14ac:dyDescent="0.3">
      <c r="A330" t="str">
        <f>'RESUMEN TOTAL'!A335</f>
        <v>VILLA AURORA</v>
      </c>
      <c r="B330" t="str">
        <f>'RESUMEN TOTAL'!C335</f>
        <v>VAU03 (fija 1)</v>
      </c>
      <c r="C330" t="str">
        <f>'RESUMEN TOTAL'!D335</f>
        <v>PIZZURNO Y NUESTRAS MALVINAS</v>
      </c>
      <c r="D330" t="str">
        <f>'RESUMEN TOTAL'!E335</f>
        <v>Fija</v>
      </c>
      <c r="E330" t="str">
        <f>'RESUMEN TOTAL'!F335</f>
        <v>Fibra Optica</v>
      </c>
      <c r="F330">
        <f>'RESUMEN TOTAL'!O335</f>
        <v>0</v>
      </c>
      <c r="G330">
        <f>'RESUMEN TOTAL'!P335</f>
        <v>0</v>
      </c>
      <c r="H330">
        <f>'RESUMEN TOTAL'!Q335</f>
        <v>0</v>
      </c>
      <c r="I330">
        <f>'RESUMEN TOTAL'!R335</f>
        <v>0</v>
      </c>
      <c r="J330">
        <f>'RESUMEN TOTAL'!S335</f>
        <v>0</v>
      </c>
      <c r="K330">
        <f>'RESUMEN TOTAL'!T335</f>
        <v>0</v>
      </c>
      <c r="L330">
        <f>'RESUMEN TOTAL'!U335</f>
        <v>0</v>
      </c>
      <c r="M330">
        <f>'RESUMEN TOTAL'!V335</f>
        <v>0</v>
      </c>
      <c r="N330">
        <f>'RESUMEN TOTAL'!W335</f>
        <v>0</v>
      </c>
      <c r="O330">
        <f>'RESUMEN TOTAL'!X335</f>
        <v>0</v>
      </c>
      <c r="P330">
        <f>'RESUMEN TOTAL'!Y335</f>
        <v>0</v>
      </c>
      <c r="Q330">
        <f>'RESUMEN TOTAL'!Z335</f>
        <v>0</v>
      </c>
      <c r="R330">
        <f>'RESUMEN TOTAL'!AA335</f>
        <v>0</v>
      </c>
      <c r="S330">
        <f>'RESUMEN TOTAL'!AB335</f>
        <v>0</v>
      </c>
      <c r="T330">
        <f>'RESUMEN TOTAL'!AC335</f>
        <v>0</v>
      </c>
      <c r="U330">
        <f>'RESUMEN TOTAL'!AD335</f>
        <v>0</v>
      </c>
      <c r="V330">
        <f>'RESUMEN TOTAL'!AE335</f>
        <v>0</v>
      </c>
      <c r="W330">
        <f>'RESUMEN TOTAL'!AF335</f>
        <v>0</v>
      </c>
      <c r="X330">
        <f>'RESUMEN TOTAL'!AG335</f>
        <v>0</v>
      </c>
      <c r="Y330">
        <f>'RESUMEN TOTAL'!AH335</f>
        <v>0</v>
      </c>
      <c r="Z330">
        <f>'RESUMEN TOTAL'!AI335</f>
        <v>0</v>
      </c>
      <c r="AA330">
        <f>'RESUMEN TOTAL'!AJ335</f>
        <v>0</v>
      </c>
      <c r="AB330">
        <f>'RESUMEN TOTAL'!AK335</f>
        <v>0</v>
      </c>
      <c r="AC330">
        <f>'RESUMEN TOTAL'!AL335</f>
        <v>0</v>
      </c>
      <c r="AD330">
        <f>'RESUMEN TOTAL'!AM335</f>
        <v>0</v>
      </c>
      <c r="AE330">
        <f>'RESUMEN TOTAL'!AN335</f>
        <v>0</v>
      </c>
      <c r="AF330">
        <f>'RESUMEN TOTAL'!AO335</f>
        <v>0</v>
      </c>
      <c r="AG330">
        <f>'RESUMEN TOTAL'!AP335</f>
        <v>0</v>
      </c>
    </row>
    <row r="331" spans="1:33" x14ac:dyDescent="0.3">
      <c r="A331" t="str">
        <f>'RESUMEN TOTAL'!A336</f>
        <v>VILLA AURORA</v>
      </c>
      <c r="B331" t="str">
        <f>'RESUMEN TOTAL'!C336</f>
        <v>VAU04 (fija 2)</v>
      </c>
      <c r="C331" t="str">
        <f>'RESUMEN TOTAL'!D336</f>
        <v>PIZZURNO Y NUESTRAS MALVINAS</v>
      </c>
      <c r="D331" t="str">
        <f>'RESUMEN TOTAL'!E336</f>
        <v>Fija</v>
      </c>
      <c r="E331" t="str">
        <f>'RESUMEN TOTAL'!F336</f>
        <v>Fibra Optica</v>
      </c>
      <c r="F331">
        <f>'RESUMEN TOTAL'!O336</f>
        <v>0</v>
      </c>
      <c r="G331">
        <f>'RESUMEN TOTAL'!P336</f>
        <v>0</v>
      </c>
      <c r="H331">
        <f>'RESUMEN TOTAL'!Q336</f>
        <v>0</v>
      </c>
      <c r="I331">
        <f>'RESUMEN TOTAL'!R336</f>
        <v>0</v>
      </c>
      <c r="J331">
        <f>'RESUMEN TOTAL'!S336</f>
        <v>0</v>
      </c>
      <c r="K331">
        <f>'RESUMEN TOTAL'!T336</f>
        <v>0</v>
      </c>
      <c r="L331">
        <f>'RESUMEN TOTAL'!U336</f>
        <v>0</v>
      </c>
      <c r="M331">
        <f>'RESUMEN TOTAL'!V336</f>
        <v>0</v>
      </c>
      <c r="N331">
        <f>'RESUMEN TOTAL'!W336</f>
        <v>0</v>
      </c>
      <c r="O331">
        <f>'RESUMEN TOTAL'!X336</f>
        <v>0</v>
      </c>
      <c r="P331">
        <f>'RESUMEN TOTAL'!Y336</f>
        <v>0</v>
      </c>
      <c r="Q331">
        <f>'RESUMEN TOTAL'!Z336</f>
        <v>0</v>
      </c>
      <c r="R331">
        <f>'RESUMEN TOTAL'!AA336</f>
        <v>0</v>
      </c>
      <c r="S331">
        <f>'RESUMEN TOTAL'!AB336</f>
        <v>0</v>
      </c>
      <c r="T331">
        <f>'RESUMEN TOTAL'!AC336</f>
        <v>0</v>
      </c>
      <c r="U331">
        <f>'RESUMEN TOTAL'!AD336</f>
        <v>0</v>
      </c>
      <c r="V331">
        <f>'RESUMEN TOTAL'!AE336</f>
        <v>0</v>
      </c>
      <c r="W331">
        <f>'RESUMEN TOTAL'!AF336</f>
        <v>0</v>
      </c>
      <c r="X331">
        <f>'RESUMEN TOTAL'!AG336</f>
        <v>0</v>
      </c>
      <c r="Y331">
        <f>'RESUMEN TOTAL'!AH336</f>
        <v>0</v>
      </c>
      <c r="Z331">
        <f>'RESUMEN TOTAL'!AI336</f>
        <v>0</v>
      </c>
      <c r="AA331">
        <f>'RESUMEN TOTAL'!AJ336</f>
        <v>0</v>
      </c>
      <c r="AB331">
        <f>'RESUMEN TOTAL'!AK336</f>
        <v>0</v>
      </c>
      <c r="AC331">
        <f>'RESUMEN TOTAL'!AL336</f>
        <v>0</v>
      </c>
      <c r="AD331">
        <f>'RESUMEN TOTAL'!AM336</f>
        <v>0</v>
      </c>
      <c r="AE331">
        <f>'RESUMEN TOTAL'!AN336</f>
        <v>0</v>
      </c>
      <c r="AF331">
        <f>'RESUMEN TOTAL'!AO336</f>
        <v>0</v>
      </c>
      <c r="AG331">
        <f>'RESUMEN TOTAL'!AP336</f>
        <v>0</v>
      </c>
    </row>
    <row r="332" spans="1:33" x14ac:dyDescent="0.3">
      <c r="A332" t="str">
        <f>'RESUMEN TOTAL'!A337</f>
        <v>VILLA AURORA</v>
      </c>
      <c r="B332" t="str">
        <f>'RESUMEN TOTAL'!C337</f>
        <v>VAU05 (fija 1)</v>
      </c>
      <c r="C332" t="str">
        <f>'RESUMEN TOTAL'!D337</f>
        <v>GUIDO SPANO Y VICTORINO DE LA PLAZA</v>
      </c>
      <c r="D332" t="str">
        <f>'RESUMEN TOTAL'!E337</f>
        <v>Fija</v>
      </c>
      <c r="E332" t="str">
        <f>'RESUMEN TOTAL'!F337</f>
        <v>Fibra Optica</v>
      </c>
      <c r="F332">
        <f>'RESUMEN TOTAL'!O337</f>
        <v>0</v>
      </c>
      <c r="G332">
        <f>'RESUMEN TOTAL'!P337</f>
        <v>0</v>
      </c>
      <c r="H332">
        <f>'RESUMEN TOTAL'!Q337</f>
        <v>0</v>
      </c>
      <c r="I332">
        <f>'RESUMEN TOTAL'!R337</f>
        <v>0</v>
      </c>
      <c r="J332">
        <f>'RESUMEN TOTAL'!S337</f>
        <v>0</v>
      </c>
      <c r="K332">
        <f>'RESUMEN TOTAL'!T337</f>
        <v>0</v>
      </c>
      <c r="L332">
        <f>'RESUMEN TOTAL'!U337</f>
        <v>0</v>
      </c>
      <c r="M332">
        <f>'RESUMEN TOTAL'!V337</f>
        <v>0</v>
      </c>
      <c r="N332">
        <f>'RESUMEN TOTAL'!W337</f>
        <v>0</v>
      </c>
      <c r="O332">
        <f>'RESUMEN TOTAL'!X337</f>
        <v>0</v>
      </c>
      <c r="P332">
        <f>'RESUMEN TOTAL'!Y337</f>
        <v>0</v>
      </c>
      <c r="Q332">
        <f>'RESUMEN TOTAL'!Z337</f>
        <v>0</v>
      </c>
      <c r="R332">
        <f>'RESUMEN TOTAL'!AA337</f>
        <v>0</v>
      </c>
      <c r="S332">
        <f>'RESUMEN TOTAL'!AB337</f>
        <v>0</v>
      </c>
      <c r="T332">
        <f>'RESUMEN TOTAL'!AC337</f>
        <v>0</v>
      </c>
      <c r="U332">
        <f>'RESUMEN TOTAL'!AD337</f>
        <v>0</v>
      </c>
      <c r="V332">
        <f>'RESUMEN TOTAL'!AE337</f>
        <v>0</v>
      </c>
      <c r="W332">
        <f>'RESUMEN TOTAL'!AF337</f>
        <v>0</v>
      </c>
      <c r="X332">
        <f>'RESUMEN TOTAL'!AG337</f>
        <v>0</v>
      </c>
      <c r="Y332">
        <f>'RESUMEN TOTAL'!AH337</f>
        <v>0</v>
      </c>
      <c r="Z332">
        <f>'RESUMEN TOTAL'!AI337</f>
        <v>0</v>
      </c>
      <c r="AA332">
        <f>'RESUMEN TOTAL'!AJ337</f>
        <v>0</v>
      </c>
      <c r="AB332">
        <f>'RESUMEN TOTAL'!AK337</f>
        <v>0</v>
      </c>
      <c r="AC332">
        <f>'RESUMEN TOTAL'!AL337</f>
        <v>0</v>
      </c>
      <c r="AD332">
        <f>'RESUMEN TOTAL'!AM337</f>
        <v>0</v>
      </c>
      <c r="AE332">
        <f>'RESUMEN TOTAL'!AN337</f>
        <v>0</v>
      </c>
      <c r="AF332">
        <f>'RESUMEN TOTAL'!AO337</f>
        <v>0</v>
      </c>
      <c r="AG332">
        <f>'RESUMEN TOTAL'!AP337</f>
        <v>0</v>
      </c>
    </row>
    <row r="333" spans="1:33" x14ac:dyDescent="0.3">
      <c r="A333" t="str">
        <f>'RESUMEN TOTAL'!A338</f>
        <v>VILLA AURORA</v>
      </c>
      <c r="B333" t="str">
        <f>'RESUMEN TOTAL'!C338</f>
        <v>VAU06 (fija 2)</v>
      </c>
      <c r="C333" t="str">
        <f>'RESUMEN TOTAL'!D338</f>
        <v>GUIDO SPANO Y VICTORINO DE LA PLAZA</v>
      </c>
      <c r="D333" t="str">
        <f>'RESUMEN TOTAL'!E338</f>
        <v>Fija</v>
      </c>
      <c r="E333" t="str">
        <f>'RESUMEN TOTAL'!F338</f>
        <v>Fibra Optica</v>
      </c>
      <c r="F333">
        <f>'RESUMEN TOTAL'!O338</f>
        <v>0</v>
      </c>
      <c r="G333">
        <f>'RESUMEN TOTAL'!P338</f>
        <v>0</v>
      </c>
      <c r="H333">
        <f>'RESUMEN TOTAL'!Q338</f>
        <v>0</v>
      </c>
      <c r="I333">
        <f>'RESUMEN TOTAL'!R338</f>
        <v>0</v>
      </c>
      <c r="J333">
        <f>'RESUMEN TOTAL'!S338</f>
        <v>0</v>
      </c>
      <c r="K333">
        <f>'RESUMEN TOTAL'!T338</f>
        <v>0</v>
      </c>
      <c r="L333">
        <f>'RESUMEN TOTAL'!U338</f>
        <v>0</v>
      </c>
      <c r="M333">
        <f>'RESUMEN TOTAL'!V338</f>
        <v>0</v>
      </c>
      <c r="N333">
        <f>'RESUMEN TOTAL'!W338</f>
        <v>0</v>
      </c>
      <c r="O333">
        <f>'RESUMEN TOTAL'!X338</f>
        <v>0</v>
      </c>
      <c r="P333">
        <f>'RESUMEN TOTAL'!Y338</f>
        <v>0</v>
      </c>
      <c r="Q333">
        <f>'RESUMEN TOTAL'!Z338</f>
        <v>0</v>
      </c>
      <c r="R333">
        <f>'RESUMEN TOTAL'!AA338</f>
        <v>0</v>
      </c>
      <c r="S333">
        <f>'RESUMEN TOTAL'!AB338</f>
        <v>0</v>
      </c>
      <c r="T333">
        <f>'RESUMEN TOTAL'!AC338</f>
        <v>0</v>
      </c>
      <c r="U333">
        <f>'RESUMEN TOTAL'!AD338</f>
        <v>0</v>
      </c>
      <c r="V333">
        <f>'RESUMEN TOTAL'!AE338</f>
        <v>0</v>
      </c>
      <c r="W333">
        <f>'RESUMEN TOTAL'!AF338</f>
        <v>0</v>
      </c>
      <c r="X333">
        <f>'RESUMEN TOTAL'!AG338</f>
        <v>0</v>
      </c>
      <c r="Y333">
        <f>'RESUMEN TOTAL'!AH338</f>
        <v>0</v>
      </c>
      <c r="Z333">
        <f>'RESUMEN TOTAL'!AI338</f>
        <v>0</v>
      </c>
      <c r="AA333">
        <f>'RESUMEN TOTAL'!AJ338</f>
        <v>0</v>
      </c>
      <c r="AB333">
        <f>'RESUMEN TOTAL'!AK338</f>
        <v>0</v>
      </c>
      <c r="AC333">
        <f>'RESUMEN TOTAL'!AL338</f>
        <v>0</v>
      </c>
      <c r="AD333">
        <f>'RESUMEN TOTAL'!AM338</f>
        <v>0</v>
      </c>
      <c r="AE333">
        <f>'RESUMEN TOTAL'!AN338</f>
        <v>0</v>
      </c>
      <c r="AF333">
        <f>'RESUMEN TOTAL'!AO338</f>
        <v>0</v>
      </c>
      <c r="AG333">
        <f>'RESUMEN TOTAL'!AP338</f>
        <v>0</v>
      </c>
    </row>
    <row r="334" spans="1:33" x14ac:dyDescent="0.3">
      <c r="A334" t="str">
        <f>'RESUMEN TOTAL'!A339</f>
        <v>VILLA AURORA</v>
      </c>
      <c r="B334" t="str">
        <f>'RESUMEN TOTAL'!C339</f>
        <v>VAU08</v>
      </c>
      <c r="C334" t="str">
        <f>'RESUMEN TOTAL'!D339</f>
        <v>MONTEVERDE Y WASHINGTON</v>
      </c>
      <c r="D334" t="str">
        <f>'RESUMEN TOTAL'!E339</f>
        <v>DOMO</v>
      </c>
      <c r="E334" t="str">
        <f>'RESUMEN TOTAL'!F339</f>
        <v>Fibra Optica</v>
      </c>
      <c r="F334">
        <f>'RESUMEN TOTAL'!O339</f>
        <v>0</v>
      </c>
      <c r="G334">
        <f>'RESUMEN TOTAL'!P339</f>
        <v>0</v>
      </c>
      <c r="H334">
        <f>'RESUMEN TOTAL'!Q339</f>
        <v>0</v>
      </c>
      <c r="I334">
        <f>'RESUMEN TOTAL'!R339</f>
        <v>0</v>
      </c>
      <c r="J334">
        <f>'RESUMEN TOTAL'!S339</f>
        <v>0</v>
      </c>
      <c r="K334">
        <f>'RESUMEN TOTAL'!T339</f>
        <v>0</v>
      </c>
      <c r="L334">
        <f>'RESUMEN TOTAL'!U339</f>
        <v>0</v>
      </c>
      <c r="M334">
        <f>'RESUMEN TOTAL'!V339</f>
        <v>0</v>
      </c>
      <c r="N334">
        <f>'RESUMEN TOTAL'!W339</f>
        <v>0</v>
      </c>
      <c r="O334">
        <f>'RESUMEN TOTAL'!X339</f>
        <v>0</v>
      </c>
      <c r="P334">
        <f>'RESUMEN TOTAL'!Y339</f>
        <v>0</v>
      </c>
      <c r="Q334">
        <f>'RESUMEN TOTAL'!Z339</f>
        <v>0</v>
      </c>
      <c r="R334">
        <f>'RESUMEN TOTAL'!AA339</f>
        <v>0</v>
      </c>
      <c r="S334">
        <f>'RESUMEN TOTAL'!AB339</f>
        <v>0</v>
      </c>
      <c r="T334">
        <f>'RESUMEN TOTAL'!AC339</f>
        <v>0</v>
      </c>
      <c r="U334">
        <f>'RESUMEN TOTAL'!AD339</f>
        <v>0</v>
      </c>
      <c r="V334">
        <f>'RESUMEN TOTAL'!AE339</f>
        <v>0</v>
      </c>
      <c r="W334">
        <f>'RESUMEN TOTAL'!AF339</f>
        <v>0</v>
      </c>
      <c r="X334">
        <f>'RESUMEN TOTAL'!AG339</f>
        <v>0</v>
      </c>
      <c r="Y334">
        <f>'RESUMEN TOTAL'!AH339</f>
        <v>0</v>
      </c>
      <c r="Z334">
        <f>'RESUMEN TOTAL'!AI339</f>
        <v>0</v>
      </c>
      <c r="AA334">
        <f>'RESUMEN TOTAL'!AJ339</f>
        <v>0</v>
      </c>
      <c r="AB334">
        <f>'RESUMEN TOTAL'!AK339</f>
        <v>0</v>
      </c>
      <c r="AC334">
        <f>'RESUMEN TOTAL'!AL339</f>
        <v>0</v>
      </c>
      <c r="AD334">
        <f>'RESUMEN TOTAL'!AM339</f>
        <v>0</v>
      </c>
      <c r="AE334">
        <f>'RESUMEN TOTAL'!AN339</f>
        <v>0</v>
      </c>
      <c r="AF334">
        <f>'RESUMEN TOTAL'!AO339</f>
        <v>0</v>
      </c>
      <c r="AG334">
        <f>'RESUMEN TOTAL'!AP339</f>
        <v>0</v>
      </c>
    </row>
    <row r="335" spans="1:33" x14ac:dyDescent="0.3">
      <c r="A335" t="str">
        <f>'RESUMEN TOTAL'!A340</f>
        <v>VILLA DEL PLATA</v>
      </c>
      <c r="B335" t="str">
        <f>'RESUMEN TOTAL'!C340</f>
        <v>VDPL02</v>
      </c>
      <c r="C335" t="str">
        <f>'RESUMEN TOTAL'!D340</f>
        <v>Thevenet y Berutti</v>
      </c>
      <c r="D335" t="str">
        <f>'RESUMEN TOTAL'!E340</f>
        <v>Domo</v>
      </c>
      <c r="E335" t="str">
        <f>'RESUMEN TOTAL'!F340</f>
        <v>Fibra Optica</v>
      </c>
      <c r="F335">
        <f>'RESUMEN TOTAL'!O340</f>
        <v>0</v>
      </c>
      <c r="G335">
        <f>'RESUMEN TOTAL'!P340</f>
        <v>0</v>
      </c>
      <c r="H335">
        <f>'RESUMEN TOTAL'!Q340</f>
        <v>0</v>
      </c>
      <c r="I335">
        <f>'RESUMEN TOTAL'!R340</f>
        <v>0</v>
      </c>
      <c r="J335">
        <f>'RESUMEN TOTAL'!S340</f>
        <v>0</v>
      </c>
      <c r="K335">
        <f>'RESUMEN TOTAL'!T340</f>
        <v>0</v>
      </c>
      <c r="L335">
        <f>'RESUMEN TOTAL'!U340</f>
        <v>0</v>
      </c>
      <c r="M335">
        <f>'RESUMEN TOTAL'!V340</f>
        <v>0</v>
      </c>
      <c r="N335">
        <f>'RESUMEN TOTAL'!W340</f>
        <v>0</v>
      </c>
      <c r="O335">
        <f>'RESUMEN TOTAL'!X340</f>
        <v>0</v>
      </c>
      <c r="P335">
        <f>'RESUMEN TOTAL'!Y340</f>
        <v>0</v>
      </c>
      <c r="Q335">
        <f>'RESUMEN TOTAL'!Z340</f>
        <v>0</v>
      </c>
      <c r="R335">
        <f>'RESUMEN TOTAL'!AA340</f>
        <v>0</v>
      </c>
      <c r="S335">
        <f>'RESUMEN TOTAL'!AB340</f>
        <v>0</v>
      </c>
      <c r="T335">
        <f>'RESUMEN TOTAL'!AC340</f>
        <v>0</v>
      </c>
      <c r="U335">
        <f>'RESUMEN TOTAL'!AD340</f>
        <v>0</v>
      </c>
      <c r="V335">
        <f>'RESUMEN TOTAL'!AE340</f>
        <v>0</v>
      </c>
      <c r="W335">
        <f>'RESUMEN TOTAL'!AF340</f>
        <v>0</v>
      </c>
      <c r="X335">
        <f>'RESUMEN TOTAL'!AG340</f>
        <v>0</v>
      </c>
      <c r="Y335">
        <f>'RESUMEN TOTAL'!AH340</f>
        <v>0</v>
      </c>
      <c r="Z335">
        <f>'RESUMEN TOTAL'!AI340</f>
        <v>0</v>
      </c>
      <c r="AA335">
        <f>'RESUMEN TOTAL'!AJ340</f>
        <v>0</v>
      </c>
      <c r="AB335">
        <f>'RESUMEN TOTAL'!AK340</f>
        <v>0</v>
      </c>
      <c r="AC335">
        <f>'RESUMEN TOTAL'!AL340</f>
        <v>0</v>
      </c>
      <c r="AD335">
        <f>'RESUMEN TOTAL'!AM340</f>
        <v>0</v>
      </c>
      <c r="AE335">
        <f>'RESUMEN TOTAL'!AN340</f>
        <v>0</v>
      </c>
      <c r="AF335">
        <f>'RESUMEN TOTAL'!AO340</f>
        <v>0</v>
      </c>
      <c r="AG335">
        <f>'RESUMEN TOTAL'!AP340</f>
        <v>0</v>
      </c>
    </row>
    <row r="336" spans="1:33" x14ac:dyDescent="0.3">
      <c r="A336" t="str">
        <f>'RESUMEN TOTAL'!A341</f>
        <v>VILLA DEL PLATA</v>
      </c>
      <c r="B336" t="str">
        <f>'RESUMEN TOTAL'!C341</f>
        <v>VDPL03</v>
      </c>
      <c r="C336" t="str">
        <f>'RESUMEN TOTAL'!D341</f>
        <v>Neuquen y Alvarado</v>
      </c>
      <c r="D336" t="str">
        <f>'RESUMEN TOTAL'!E341</f>
        <v>Domo</v>
      </c>
      <c r="E336" t="str">
        <f>'RESUMEN TOTAL'!F341</f>
        <v>Radio</v>
      </c>
      <c r="F336">
        <f>'RESUMEN TOTAL'!O341</f>
        <v>0</v>
      </c>
      <c r="G336">
        <f>'RESUMEN TOTAL'!P341</f>
        <v>0</v>
      </c>
      <c r="H336">
        <f>'RESUMEN TOTAL'!Q341</f>
        <v>0</v>
      </c>
      <c r="I336">
        <f>'RESUMEN TOTAL'!R341</f>
        <v>0</v>
      </c>
      <c r="J336">
        <f>'RESUMEN TOTAL'!S341</f>
        <v>0</v>
      </c>
      <c r="K336">
        <f>'RESUMEN TOTAL'!T341</f>
        <v>0</v>
      </c>
      <c r="L336">
        <f>'RESUMEN TOTAL'!U341</f>
        <v>0</v>
      </c>
      <c r="M336">
        <f>'RESUMEN TOTAL'!V341</f>
        <v>0</v>
      </c>
      <c r="N336">
        <f>'RESUMEN TOTAL'!W341</f>
        <v>0</v>
      </c>
      <c r="O336">
        <f>'RESUMEN TOTAL'!X341</f>
        <v>0</v>
      </c>
      <c r="P336">
        <f>'RESUMEN TOTAL'!Y341</f>
        <v>0</v>
      </c>
      <c r="Q336">
        <f>'RESUMEN TOTAL'!Z341</f>
        <v>0</v>
      </c>
      <c r="R336">
        <f>'RESUMEN TOTAL'!AA341</f>
        <v>0</v>
      </c>
      <c r="S336">
        <f>'RESUMEN TOTAL'!AB341</f>
        <v>0</v>
      </c>
      <c r="T336">
        <f>'RESUMEN TOTAL'!AC341</f>
        <v>0</v>
      </c>
      <c r="U336">
        <f>'RESUMEN TOTAL'!AD341</f>
        <v>0</v>
      </c>
      <c r="V336">
        <f>'RESUMEN TOTAL'!AE341</f>
        <v>0</v>
      </c>
      <c r="W336">
        <f>'RESUMEN TOTAL'!AF341</f>
        <v>0</v>
      </c>
      <c r="X336">
        <f>'RESUMEN TOTAL'!AG341</f>
        <v>0</v>
      </c>
      <c r="Y336">
        <f>'RESUMEN TOTAL'!AH341</f>
        <v>0</v>
      </c>
      <c r="Z336">
        <f>'RESUMEN TOTAL'!AI341</f>
        <v>0</v>
      </c>
      <c r="AA336">
        <f>'RESUMEN TOTAL'!AJ341</f>
        <v>0</v>
      </c>
      <c r="AB336">
        <f>'RESUMEN TOTAL'!AK341</f>
        <v>0</v>
      </c>
      <c r="AC336">
        <f>'RESUMEN TOTAL'!AL341</f>
        <v>0</v>
      </c>
      <c r="AD336">
        <f>'RESUMEN TOTAL'!AM341</f>
        <v>0</v>
      </c>
      <c r="AE336">
        <f>'RESUMEN TOTAL'!AN341</f>
        <v>0</v>
      </c>
      <c r="AF336">
        <f>'RESUMEN TOTAL'!AO341</f>
        <v>0</v>
      </c>
      <c r="AG336">
        <f>'RESUMEN TOTAL'!AP341</f>
        <v>0</v>
      </c>
    </row>
    <row r="337" spans="1:33" x14ac:dyDescent="0.3">
      <c r="A337" t="str">
        <f>'RESUMEN TOTAL'!A342</f>
        <v>VILLA DEL PLATA</v>
      </c>
      <c r="B337" t="str">
        <f>'RESUMEN TOTAL'!C342</f>
        <v>VDPL04</v>
      </c>
      <c r="C337" t="str">
        <f>'RESUMEN TOTAL'!D342</f>
        <v>Neuquen y Diagonal Guemes</v>
      </c>
      <c r="D337" t="str">
        <f>'RESUMEN TOTAL'!E342</f>
        <v>Domo</v>
      </c>
      <c r="E337" t="str">
        <f>'RESUMEN TOTAL'!F342</f>
        <v>Radio</v>
      </c>
      <c r="F337">
        <f>'RESUMEN TOTAL'!O342</f>
        <v>0</v>
      </c>
      <c r="G337">
        <f>'RESUMEN TOTAL'!P342</f>
        <v>0</v>
      </c>
      <c r="H337">
        <f>'RESUMEN TOTAL'!Q342</f>
        <v>0</v>
      </c>
      <c r="I337">
        <f>'RESUMEN TOTAL'!R342</f>
        <v>0</v>
      </c>
      <c r="J337">
        <f>'RESUMEN TOTAL'!S342</f>
        <v>0</v>
      </c>
      <c r="K337">
        <f>'RESUMEN TOTAL'!T342</f>
        <v>0</v>
      </c>
      <c r="L337">
        <f>'RESUMEN TOTAL'!U342</f>
        <v>0</v>
      </c>
      <c r="M337">
        <f>'RESUMEN TOTAL'!V342</f>
        <v>0</v>
      </c>
      <c r="N337">
        <f>'RESUMEN TOTAL'!W342</f>
        <v>0</v>
      </c>
      <c r="O337">
        <f>'RESUMEN TOTAL'!X342</f>
        <v>0</v>
      </c>
      <c r="P337">
        <f>'RESUMEN TOTAL'!Y342</f>
        <v>0</v>
      </c>
      <c r="Q337">
        <f>'RESUMEN TOTAL'!Z342</f>
        <v>0</v>
      </c>
      <c r="R337">
        <f>'RESUMEN TOTAL'!AA342</f>
        <v>0</v>
      </c>
      <c r="S337">
        <f>'RESUMEN TOTAL'!AB342</f>
        <v>0</v>
      </c>
      <c r="T337">
        <f>'RESUMEN TOTAL'!AC342</f>
        <v>0</v>
      </c>
      <c r="U337">
        <f>'RESUMEN TOTAL'!AD342</f>
        <v>0</v>
      </c>
      <c r="V337">
        <f>'RESUMEN TOTAL'!AE342</f>
        <v>0</v>
      </c>
      <c r="W337">
        <f>'RESUMEN TOTAL'!AF342</f>
        <v>0</v>
      </c>
      <c r="X337">
        <f>'RESUMEN TOTAL'!AG342</f>
        <v>0</v>
      </c>
      <c r="Y337">
        <f>'RESUMEN TOTAL'!AH342</f>
        <v>0</v>
      </c>
      <c r="Z337">
        <f>'RESUMEN TOTAL'!AI342</f>
        <v>0</v>
      </c>
      <c r="AA337">
        <f>'RESUMEN TOTAL'!AJ342</f>
        <v>0</v>
      </c>
      <c r="AB337">
        <f>'RESUMEN TOTAL'!AK342</f>
        <v>0</v>
      </c>
      <c r="AC337">
        <f>'RESUMEN TOTAL'!AL342</f>
        <v>0</v>
      </c>
      <c r="AD337">
        <f>'RESUMEN TOTAL'!AM342</f>
        <v>0</v>
      </c>
      <c r="AE337">
        <f>'RESUMEN TOTAL'!AN342</f>
        <v>0</v>
      </c>
      <c r="AF337">
        <f>'RESUMEN TOTAL'!AO342</f>
        <v>0</v>
      </c>
      <c r="AG337">
        <f>'RESUMEN TOTAL'!AP342</f>
        <v>0</v>
      </c>
    </row>
    <row r="338" spans="1:33" x14ac:dyDescent="0.3">
      <c r="A338" t="str">
        <f>'RESUMEN TOTAL'!A343</f>
        <v>VILLA DEL PLATA</v>
      </c>
      <c r="B338" t="str">
        <f>'RESUMEN TOTAL'!C343</f>
        <v>VDPL05</v>
      </c>
      <c r="C338" t="str">
        <f>'RESUMEN TOTAL'!D343</f>
        <v>Ruta 36 y Abraham</v>
      </c>
      <c r="D338" t="str">
        <f>'RESUMEN TOTAL'!E343</f>
        <v>Domo</v>
      </c>
      <c r="E338" t="str">
        <f>'RESUMEN TOTAL'!F343</f>
        <v>PTP A FO</v>
      </c>
      <c r="F338">
        <f>'RESUMEN TOTAL'!O343</f>
        <v>0</v>
      </c>
      <c r="G338">
        <f>'RESUMEN TOTAL'!P343</f>
        <v>0</v>
      </c>
      <c r="H338">
        <f>'RESUMEN TOTAL'!Q343</f>
        <v>0</v>
      </c>
      <c r="I338">
        <f>'RESUMEN TOTAL'!R343</f>
        <v>0</v>
      </c>
      <c r="J338">
        <f>'RESUMEN TOTAL'!S343</f>
        <v>0</v>
      </c>
      <c r="K338">
        <f>'RESUMEN TOTAL'!T343</f>
        <v>0</v>
      </c>
      <c r="L338">
        <f>'RESUMEN TOTAL'!U343</f>
        <v>0</v>
      </c>
      <c r="M338">
        <f>'RESUMEN TOTAL'!V343</f>
        <v>0</v>
      </c>
      <c r="N338">
        <f>'RESUMEN TOTAL'!W343</f>
        <v>0</v>
      </c>
      <c r="O338">
        <f>'RESUMEN TOTAL'!X343</f>
        <v>0</v>
      </c>
      <c r="P338">
        <f>'RESUMEN TOTAL'!Y343</f>
        <v>0</v>
      </c>
      <c r="Q338">
        <f>'RESUMEN TOTAL'!Z343</f>
        <v>0</v>
      </c>
      <c r="R338">
        <f>'RESUMEN TOTAL'!AA343</f>
        <v>0</v>
      </c>
      <c r="S338">
        <f>'RESUMEN TOTAL'!AB343</f>
        <v>0</v>
      </c>
      <c r="T338">
        <f>'RESUMEN TOTAL'!AC343</f>
        <v>0</v>
      </c>
      <c r="U338">
        <f>'RESUMEN TOTAL'!AD343</f>
        <v>0</v>
      </c>
      <c r="V338">
        <f>'RESUMEN TOTAL'!AE343</f>
        <v>0</v>
      </c>
      <c r="W338">
        <f>'RESUMEN TOTAL'!AF343</f>
        <v>0</v>
      </c>
      <c r="X338">
        <f>'RESUMEN TOTAL'!AG343</f>
        <v>0</v>
      </c>
      <c r="Y338">
        <f>'RESUMEN TOTAL'!AH343</f>
        <v>0</v>
      </c>
      <c r="Z338">
        <f>'RESUMEN TOTAL'!AI343</f>
        <v>0</v>
      </c>
      <c r="AA338">
        <f>'RESUMEN TOTAL'!AJ343</f>
        <v>0</v>
      </c>
      <c r="AB338">
        <f>'RESUMEN TOTAL'!AK343</f>
        <v>0</v>
      </c>
      <c r="AC338">
        <f>'RESUMEN TOTAL'!AL343</f>
        <v>0</v>
      </c>
      <c r="AD338">
        <f>'RESUMEN TOTAL'!AM343</f>
        <v>0</v>
      </c>
      <c r="AE338">
        <f>'RESUMEN TOTAL'!AN343</f>
        <v>0</v>
      </c>
      <c r="AF338">
        <f>'RESUMEN TOTAL'!AO343</f>
        <v>0</v>
      </c>
      <c r="AG338">
        <f>'RESUMEN TOTAL'!AP343</f>
        <v>0</v>
      </c>
    </row>
    <row r="339" spans="1:33" x14ac:dyDescent="0.3">
      <c r="A339" t="str">
        <f>'RESUMEN TOTAL'!A344</f>
        <v>VILLA ANGELICA</v>
      </c>
      <c r="B339" t="str">
        <f>'RESUMEN TOTAL'!C344</f>
        <v>VDPL06</v>
      </c>
      <c r="C339" t="str">
        <f>'RESUMEN TOTAL'!D344</f>
        <v>Thevenet e/ Islas Orcadas y Gardel</v>
      </c>
      <c r="D339" t="str">
        <f>'RESUMEN TOTAL'!E344</f>
        <v>Domo</v>
      </c>
      <c r="E339" t="str">
        <f>'RESUMEN TOTAL'!F344</f>
        <v>Radio</v>
      </c>
      <c r="F339">
        <f>'RESUMEN TOTAL'!O344</f>
        <v>0</v>
      </c>
      <c r="G339">
        <f>'RESUMEN TOTAL'!P344</f>
        <v>0</v>
      </c>
      <c r="H339">
        <f>'RESUMEN TOTAL'!Q344</f>
        <v>0</v>
      </c>
      <c r="I339">
        <f>'RESUMEN TOTAL'!R344</f>
        <v>0</v>
      </c>
      <c r="J339">
        <f>'RESUMEN TOTAL'!S344</f>
        <v>0</v>
      </c>
      <c r="K339">
        <f>'RESUMEN TOTAL'!T344</f>
        <v>0</v>
      </c>
      <c r="L339">
        <f>'RESUMEN TOTAL'!U344</f>
        <v>0</v>
      </c>
      <c r="M339">
        <f>'RESUMEN TOTAL'!V344</f>
        <v>0</v>
      </c>
      <c r="N339">
        <f>'RESUMEN TOTAL'!W344</f>
        <v>0</v>
      </c>
      <c r="O339">
        <f>'RESUMEN TOTAL'!X344</f>
        <v>0</v>
      </c>
      <c r="P339">
        <f>'RESUMEN TOTAL'!Y344</f>
        <v>0</v>
      </c>
      <c r="Q339">
        <f>'RESUMEN TOTAL'!Z344</f>
        <v>0</v>
      </c>
      <c r="R339">
        <f>'RESUMEN TOTAL'!AA344</f>
        <v>0</v>
      </c>
      <c r="S339">
        <f>'RESUMEN TOTAL'!AB344</f>
        <v>0</v>
      </c>
      <c r="T339">
        <f>'RESUMEN TOTAL'!AC344</f>
        <v>0</v>
      </c>
      <c r="U339">
        <f>'RESUMEN TOTAL'!AD344</f>
        <v>0</v>
      </c>
      <c r="V339">
        <f>'RESUMEN TOTAL'!AE344</f>
        <v>0</v>
      </c>
      <c r="W339">
        <f>'RESUMEN TOTAL'!AF344</f>
        <v>0</v>
      </c>
      <c r="X339">
        <f>'RESUMEN TOTAL'!AG344</f>
        <v>0</v>
      </c>
      <c r="Y339">
        <f>'RESUMEN TOTAL'!AH344</f>
        <v>0</v>
      </c>
      <c r="Z339">
        <f>'RESUMEN TOTAL'!AI344</f>
        <v>0</v>
      </c>
      <c r="AA339">
        <f>'RESUMEN TOTAL'!AJ344</f>
        <v>0</v>
      </c>
      <c r="AB339">
        <f>'RESUMEN TOTAL'!AK344</f>
        <v>0</v>
      </c>
      <c r="AC339">
        <f>'RESUMEN TOTAL'!AL344</f>
        <v>0</v>
      </c>
      <c r="AD339">
        <f>'RESUMEN TOTAL'!AM344</f>
        <v>0</v>
      </c>
      <c r="AE339">
        <f>'RESUMEN TOTAL'!AN344</f>
        <v>0</v>
      </c>
      <c r="AF339">
        <f>'RESUMEN TOTAL'!AO344</f>
        <v>0</v>
      </c>
      <c r="AG339">
        <f>'RESUMEN TOTAL'!AP344</f>
        <v>0</v>
      </c>
    </row>
    <row r="340" spans="1:33" x14ac:dyDescent="0.3">
      <c r="A340" t="str">
        <f>'RESUMEN TOTAL'!A345</f>
        <v>VILLA HUDSON</v>
      </c>
      <c r="B340" t="str">
        <f>'RESUMEN TOTAL'!C345</f>
        <v>VHS 01</v>
      </c>
      <c r="C340" t="str">
        <f>'RESUMEN TOTAL'!D345</f>
        <v>AV. HUDSON Y AV. LUJAN</v>
      </c>
      <c r="D340" t="str">
        <f>'RESUMEN TOTAL'!E345</f>
        <v>DOMO</v>
      </c>
      <c r="E340" t="str">
        <f>'RESUMEN TOTAL'!F345</f>
        <v>Fibra Optica</v>
      </c>
      <c r="F340">
        <f>'RESUMEN TOTAL'!O345</f>
        <v>0</v>
      </c>
      <c r="G340">
        <f>'RESUMEN TOTAL'!P345</f>
        <v>0</v>
      </c>
      <c r="H340">
        <f>'RESUMEN TOTAL'!Q345</f>
        <v>0</v>
      </c>
      <c r="I340">
        <f>'RESUMEN TOTAL'!R345</f>
        <v>0</v>
      </c>
      <c r="J340">
        <f>'RESUMEN TOTAL'!S345</f>
        <v>0</v>
      </c>
      <c r="K340">
        <f>'RESUMEN TOTAL'!T345</f>
        <v>0</v>
      </c>
      <c r="L340">
        <f>'RESUMEN TOTAL'!U345</f>
        <v>0</v>
      </c>
      <c r="M340">
        <f>'RESUMEN TOTAL'!V345</f>
        <v>0</v>
      </c>
      <c r="N340">
        <f>'RESUMEN TOTAL'!W345</f>
        <v>0</v>
      </c>
      <c r="O340">
        <f>'RESUMEN TOTAL'!X345</f>
        <v>0</v>
      </c>
      <c r="P340">
        <f>'RESUMEN TOTAL'!Y345</f>
        <v>0</v>
      </c>
      <c r="Q340">
        <f>'RESUMEN TOTAL'!Z345</f>
        <v>0</v>
      </c>
      <c r="R340">
        <f>'RESUMEN TOTAL'!AA345</f>
        <v>0</v>
      </c>
      <c r="S340">
        <f>'RESUMEN TOTAL'!AB345</f>
        <v>0</v>
      </c>
      <c r="T340">
        <f>'RESUMEN TOTAL'!AC345</f>
        <v>0</v>
      </c>
      <c r="U340">
        <f>'RESUMEN TOTAL'!AD345</f>
        <v>0</v>
      </c>
      <c r="V340">
        <f>'RESUMEN TOTAL'!AE345</f>
        <v>0</v>
      </c>
      <c r="W340">
        <f>'RESUMEN TOTAL'!AF345</f>
        <v>0</v>
      </c>
      <c r="X340">
        <f>'RESUMEN TOTAL'!AG345</f>
        <v>0</v>
      </c>
      <c r="Y340">
        <f>'RESUMEN TOTAL'!AH345</f>
        <v>0</v>
      </c>
      <c r="Z340">
        <f>'RESUMEN TOTAL'!AI345</f>
        <v>0</v>
      </c>
      <c r="AA340">
        <f>'RESUMEN TOTAL'!AJ345</f>
        <v>0</v>
      </c>
      <c r="AB340">
        <f>'RESUMEN TOTAL'!AK345</f>
        <v>0</v>
      </c>
      <c r="AC340">
        <f>'RESUMEN TOTAL'!AL345</f>
        <v>0</v>
      </c>
      <c r="AD340">
        <f>'RESUMEN TOTAL'!AM345</f>
        <v>0</v>
      </c>
      <c r="AE340">
        <f>'RESUMEN TOTAL'!AN345</f>
        <v>0</v>
      </c>
      <c r="AF340">
        <f>'RESUMEN TOTAL'!AO345</f>
        <v>0</v>
      </c>
      <c r="AG340">
        <f>'RESUMEN TOTAL'!AP345</f>
        <v>0</v>
      </c>
    </row>
    <row r="341" spans="1:33" x14ac:dyDescent="0.3">
      <c r="A341" t="str">
        <f>'RESUMEN TOTAL'!A346</f>
        <v>VILLA HUDSON</v>
      </c>
      <c r="B341" t="str">
        <f>'RESUMEN TOTAL'!C346</f>
        <v>VHS 02</v>
      </c>
      <c r="C341" t="str">
        <f>'RESUMEN TOTAL'!D346</f>
        <v>AV. LUJAN Y CALLE 909 A</v>
      </c>
      <c r="D341" t="str">
        <f>'RESUMEN TOTAL'!E346</f>
        <v>DOMO</v>
      </c>
      <c r="E341" t="str">
        <f>'RESUMEN TOTAL'!F346</f>
        <v>Fibra Optica</v>
      </c>
      <c r="F341">
        <f>'RESUMEN TOTAL'!O346</f>
        <v>0</v>
      </c>
      <c r="G341">
        <f>'RESUMEN TOTAL'!P346</f>
        <v>0</v>
      </c>
      <c r="H341">
        <f>'RESUMEN TOTAL'!Q346</f>
        <v>0</v>
      </c>
      <c r="I341">
        <f>'RESUMEN TOTAL'!R346</f>
        <v>0</v>
      </c>
      <c r="J341">
        <f>'RESUMEN TOTAL'!S346</f>
        <v>0</v>
      </c>
      <c r="K341">
        <f>'RESUMEN TOTAL'!T346</f>
        <v>0</v>
      </c>
      <c r="L341">
        <f>'RESUMEN TOTAL'!U346</f>
        <v>0</v>
      </c>
      <c r="M341">
        <f>'RESUMEN TOTAL'!V346</f>
        <v>0</v>
      </c>
      <c r="N341">
        <f>'RESUMEN TOTAL'!W346</f>
        <v>0</v>
      </c>
      <c r="O341">
        <f>'RESUMEN TOTAL'!X346</f>
        <v>0</v>
      </c>
      <c r="P341">
        <f>'RESUMEN TOTAL'!Y346</f>
        <v>0</v>
      </c>
      <c r="Q341">
        <f>'RESUMEN TOTAL'!Z346</f>
        <v>0</v>
      </c>
      <c r="R341">
        <f>'RESUMEN TOTAL'!AA346</f>
        <v>0</v>
      </c>
      <c r="S341">
        <f>'RESUMEN TOTAL'!AB346</f>
        <v>0</v>
      </c>
      <c r="T341">
        <f>'RESUMEN TOTAL'!AC346</f>
        <v>0</v>
      </c>
      <c r="U341">
        <f>'RESUMEN TOTAL'!AD346</f>
        <v>0</v>
      </c>
      <c r="V341">
        <f>'RESUMEN TOTAL'!AE346</f>
        <v>0</v>
      </c>
      <c r="W341">
        <f>'RESUMEN TOTAL'!AF346</f>
        <v>0</v>
      </c>
      <c r="X341">
        <f>'RESUMEN TOTAL'!AG346</f>
        <v>0</v>
      </c>
      <c r="Y341">
        <f>'RESUMEN TOTAL'!AH346</f>
        <v>0</v>
      </c>
      <c r="Z341">
        <f>'RESUMEN TOTAL'!AI346</f>
        <v>0</v>
      </c>
      <c r="AA341">
        <f>'RESUMEN TOTAL'!AJ346</f>
        <v>0</v>
      </c>
      <c r="AB341">
        <f>'RESUMEN TOTAL'!AK346</f>
        <v>0</v>
      </c>
      <c r="AC341">
        <f>'RESUMEN TOTAL'!AL346</f>
        <v>0</v>
      </c>
      <c r="AD341">
        <f>'RESUMEN TOTAL'!AM346</f>
        <v>0</v>
      </c>
      <c r="AE341">
        <f>'RESUMEN TOTAL'!AN346</f>
        <v>0</v>
      </c>
      <c r="AF341">
        <f>'RESUMEN TOTAL'!AO346</f>
        <v>0</v>
      </c>
      <c r="AG341">
        <f>'RESUMEN TOTAL'!AP346</f>
        <v>0</v>
      </c>
    </row>
    <row r="342" spans="1:33" x14ac:dyDescent="0.3">
      <c r="A342" t="str">
        <f>'RESUMEN TOTAL'!A347</f>
        <v>VILLA HUDSON</v>
      </c>
      <c r="B342" t="str">
        <f>'RESUMEN TOTAL'!C347</f>
        <v>VHS03 (fija 1)</v>
      </c>
      <c r="C342" t="str">
        <f>'RESUMEN TOTAL'!D347</f>
        <v>AV. HUDSON Y LOS INMIGRANTES</v>
      </c>
      <c r="D342" t="str">
        <f>'RESUMEN TOTAL'!E347</f>
        <v>Fija</v>
      </c>
      <c r="E342" t="str">
        <f>'RESUMEN TOTAL'!F347</f>
        <v>Fibra Optica</v>
      </c>
      <c r="F342" t="str">
        <f>'RESUMEN TOTAL'!O347</f>
        <v>APAGADO</v>
      </c>
      <c r="G342" t="str">
        <f>'RESUMEN TOTAL'!P347</f>
        <v>APAGADO</v>
      </c>
      <c r="H342" t="str">
        <f>'RESUMEN TOTAL'!Q347</f>
        <v>APAGADO</v>
      </c>
      <c r="I342" t="str">
        <f>'RESUMEN TOTAL'!R347</f>
        <v>APAGADO</v>
      </c>
      <c r="J342" t="str">
        <f>'RESUMEN TOTAL'!S347</f>
        <v>APAGADO</v>
      </c>
      <c r="K342" t="str">
        <f>'RESUMEN TOTAL'!T347</f>
        <v>APAGADO</v>
      </c>
      <c r="L342" t="str">
        <f>'RESUMEN TOTAL'!U347</f>
        <v>APAGADO</v>
      </c>
      <c r="M342" t="str">
        <f>'RESUMEN TOTAL'!V347</f>
        <v>APAGADO</v>
      </c>
      <c r="N342" t="str">
        <f>'RESUMEN TOTAL'!W347</f>
        <v>APAGADO</v>
      </c>
      <c r="O342" t="str">
        <f>'RESUMEN TOTAL'!X347</f>
        <v>APAGADO</v>
      </c>
      <c r="P342" t="str">
        <f>'RESUMEN TOTAL'!Y347</f>
        <v>APAGADO</v>
      </c>
      <c r="Q342">
        <f>'RESUMEN TOTAL'!Z347</f>
        <v>0</v>
      </c>
      <c r="R342">
        <f>'RESUMEN TOTAL'!AA347</f>
        <v>0</v>
      </c>
      <c r="S342">
        <f>'RESUMEN TOTAL'!AB347</f>
        <v>0</v>
      </c>
      <c r="T342">
        <f>'RESUMEN TOTAL'!AC347</f>
        <v>0</v>
      </c>
      <c r="U342">
        <f>'RESUMEN TOTAL'!AD347</f>
        <v>0</v>
      </c>
      <c r="V342">
        <f>'RESUMEN TOTAL'!AE347</f>
        <v>0</v>
      </c>
      <c r="W342">
        <f>'RESUMEN TOTAL'!AF347</f>
        <v>0</v>
      </c>
      <c r="X342">
        <f>'RESUMEN TOTAL'!AG347</f>
        <v>0</v>
      </c>
      <c r="Y342">
        <f>'RESUMEN TOTAL'!AH347</f>
        <v>0</v>
      </c>
      <c r="Z342">
        <f>'RESUMEN TOTAL'!AI347</f>
        <v>0</v>
      </c>
      <c r="AA342">
        <f>'RESUMEN TOTAL'!AJ347</f>
        <v>0</v>
      </c>
      <c r="AB342">
        <f>'RESUMEN TOTAL'!AK347</f>
        <v>0</v>
      </c>
      <c r="AC342">
        <f>'RESUMEN TOTAL'!AL347</f>
        <v>0</v>
      </c>
      <c r="AD342">
        <f>'RESUMEN TOTAL'!AM347</f>
        <v>0</v>
      </c>
      <c r="AE342">
        <f>'RESUMEN TOTAL'!AN347</f>
        <v>0</v>
      </c>
      <c r="AF342">
        <f>'RESUMEN TOTAL'!AO347</f>
        <v>0</v>
      </c>
      <c r="AG342">
        <f>'RESUMEN TOTAL'!AP347</f>
        <v>0</v>
      </c>
    </row>
    <row r="343" spans="1:33" x14ac:dyDescent="0.3">
      <c r="A343" t="str">
        <f>'RESUMEN TOTAL'!A348</f>
        <v>VILLA HUDSON</v>
      </c>
      <c r="B343" t="str">
        <f>'RESUMEN TOTAL'!C348</f>
        <v>VHS04 (fija 2)</v>
      </c>
      <c r="C343" t="str">
        <f>'RESUMEN TOTAL'!D348</f>
        <v>AV. HUDSON Y LOS INMIGRANTES</v>
      </c>
      <c r="D343" t="str">
        <f>'RESUMEN TOTAL'!E348</f>
        <v>Fija</v>
      </c>
      <c r="E343" t="str">
        <f>'RESUMEN TOTAL'!F348</f>
        <v>Fibra Optica</v>
      </c>
      <c r="F343" t="str">
        <f>'RESUMEN TOTAL'!O348</f>
        <v>APAGADO</v>
      </c>
      <c r="G343" t="str">
        <f>'RESUMEN TOTAL'!P348</f>
        <v>APAGADO</v>
      </c>
      <c r="H343" t="str">
        <f>'RESUMEN TOTAL'!Q348</f>
        <v>APAGADO</v>
      </c>
      <c r="I343" t="str">
        <f>'RESUMEN TOTAL'!R348</f>
        <v>APAGADO</v>
      </c>
      <c r="J343" t="str">
        <f>'RESUMEN TOTAL'!S348</f>
        <v>APAGADO</v>
      </c>
      <c r="K343" t="str">
        <f>'RESUMEN TOTAL'!T348</f>
        <v>APAGADO</v>
      </c>
      <c r="L343" t="str">
        <f>'RESUMEN TOTAL'!U348</f>
        <v>APAGADO</v>
      </c>
      <c r="M343" t="str">
        <f>'RESUMEN TOTAL'!V348</f>
        <v>APAGADO</v>
      </c>
      <c r="N343" t="str">
        <f>'RESUMEN TOTAL'!W348</f>
        <v>APAGADO</v>
      </c>
      <c r="O343" t="str">
        <f>'RESUMEN TOTAL'!X348</f>
        <v>APAGADO</v>
      </c>
      <c r="P343" t="str">
        <f>'RESUMEN TOTAL'!Y348</f>
        <v>APAGADO</v>
      </c>
      <c r="Q343">
        <f>'RESUMEN TOTAL'!Z348</f>
        <v>0</v>
      </c>
      <c r="R343">
        <f>'RESUMEN TOTAL'!AA348</f>
        <v>0</v>
      </c>
      <c r="S343">
        <f>'RESUMEN TOTAL'!AB348</f>
        <v>0</v>
      </c>
      <c r="T343">
        <f>'RESUMEN TOTAL'!AC348</f>
        <v>0</v>
      </c>
      <c r="U343">
        <f>'RESUMEN TOTAL'!AD348</f>
        <v>0</v>
      </c>
      <c r="V343">
        <f>'RESUMEN TOTAL'!AE348</f>
        <v>0</v>
      </c>
      <c r="W343">
        <f>'RESUMEN TOTAL'!AF348</f>
        <v>0</v>
      </c>
      <c r="X343">
        <f>'RESUMEN TOTAL'!AG348</f>
        <v>0</v>
      </c>
      <c r="Y343">
        <f>'RESUMEN TOTAL'!AH348</f>
        <v>0</v>
      </c>
      <c r="Z343">
        <f>'RESUMEN TOTAL'!AI348</f>
        <v>0</v>
      </c>
      <c r="AA343">
        <f>'RESUMEN TOTAL'!AJ348</f>
        <v>0</v>
      </c>
      <c r="AB343">
        <f>'RESUMEN TOTAL'!AK348</f>
        <v>0</v>
      </c>
      <c r="AC343">
        <f>'RESUMEN TOTAL'!AL348</f>
        <v>0</v>
      </c>
      <c r="AD343">
        <f>'RESUMEN TOTAL'!AM348</f>
        <v>0</v>
      </c>
      <c r="AE343">
        <f>'RESUMEN TOTAL'!AN348</f>
        <v>0</v>
      </c>
      <c r="AF343">
        <f>'RESUMEN TOTAL'!AO348</f>
        <v>0</v>
      </c>
      <c r="AG343">
        <f>'RESUMEN TOTAL'!AP348</f>
        <v>0</v>
      </c>
    </row>
    <row r="344" spans="1:33" x14ac:dyDescent="0.3">
      <c r="A344" t="str">
        <f>'RESUMEN TOTAL'!A349</f>
        <v>VILLA ARIAS</v>
      </c>
      <c r="B344" t="str">
        <f>'RESUMEN TOTAL'!C349</f>
        <v>VLA01 (fija 1)</v>
      </c>
      <c r="C344" t="str">
        <f>'RESUMEN TOTAL'!D349</f>
        <v>820 Y SOLER</v>
      </c>
      <c r="D344" t="str">
        <f>'RESUMEN TOTAL'!E349</f>
        <v>Fija</v>
      </c>
      <c r="E344" t="str">
        <f>'RESUMEN TOTAL'!F349</f>
        <v>Fibra Optica</v>
      </c>
      <c r="F344" t="str">
        <f>'RESUMEN TOTAL'!O349</f>
        <v>APAGADO</v>
      </c>
      <c r="G344" t="str">
        <f>'RESUMEN TOTAL'!P349</f>
        <v>APAGADO</v>
      </c>
      <c r="H344" t="str">
        <f>'RESUMEN TOTAL'!Q349</f>
        <v>APAGADO</v>
      </c>
      <c r="I344" t="str">
        <f>'RESUMEN TOTAL'!R349</f>
        <v>APAGADO</v>
      </c>
      <c r="J344" t="str">
        <f>'RESUMEN TOTAL'!S349</f>
        <v>APAGADO</v>
      </c>
      <c r="K344" t="str">
        <f>'RESUMEN TOTAL'!T349</f>
        <v>APAGADO</v>
      </c>
      <c r="L344" t="str">
        <f>'RESUMEN TOTAL'!U349</f>
        <v>APAGADO</v>
      </c>
      <c r="M344" t="str">
        <f>'RESUMEN TOTAL'!V349</f>
        <v>APAGADO</v>
      </c>
      <c r="N344" t="str">
        <f>'RESUMEN TOTAL'!W349</f>
        <v>APAGADO</v>
      </c>
      <c r="O344" t="str">
        <f>'RESUMEN TOTAL'!X349</f>
        <v>APAGADO</v>
      </c>
      <c r="P344" t="str">
        <f>'RESUMEN TOTAL'!Y349</f>
        <v>APAGADO</v>
      </c>
      <c r="Q344">
        <f>'RESUMEN TOTAL'!Z349</f>
        <v>0</v>
      </c>
      <c r="R344">
        <f>'RESUMEN TOTAL'!AA349</f>
        <v>0</v>
      </c>
      <c r="S344" t="str">
        <f>'RESUMEN TOTAL'!AB349</f>
        <v>APAGADO</v>
      </c>
      <c r="T344">
        <f>'RESUMEN TOTAL'!AC349</f>
        <v>0</v>
      </c>
      <c r="U344">
        <f>'RESUMEN TOTAL'!AD349</f>
        <v>0</v>
      </c>
      <c r="V344">
        <f>'RESUMEN TOTAL'!AE349</f>
        <v>0</v>
      </c>
      <c r="W344">
        <f>'RESUMEN TOTAL'!AF349</f>
        <v>0</v>
      </c>
      <c r="X344">
        <f>'RESUMEN TOTAL'!AG349</f>
        <v>0</v>
      </c>
      <c r="Y344">
        <f>'RESUMEN TOTAL'!AH349</f>
        <v>0</v>
      </c>
      <c r="Z344">
        <f>'RESUMEN TOTAL'!AI349</f>
        <v>0</v>
      </c>
      <c r="AA344">
        <f>'RESUMEN TOTAL'!AJ349</f>
        <v>0</v>
      </c>
      <c r="AB344">
        <f>'RESUMEN TOTAL'!AK349</f>
        <v>0</v>
      </c>
      <c r="AC344">
        <f>'RESUMEN TOTAL'!AL349</f>
        <v>0</v>
      </c>
      <c r="AD344">
        <f>'RESUMEN TOTAL'!AM349</f>
        <v>0</v>
      </c>
      <c r="AE344">
        <f>'RESUMEN TOTAL'!AN349</f>
        <v>0</v>
      </c>
      <c r="AF344">
        <f>'RESUMEN TOTAL'!AO349</f>
        <v>0</v>
      </c>
      <c r="AG344">
        <f>'RESUMEN TOTAL'!AP349</f>
        <v>0</v>
      </c>
    </row>
    <row r="345" spans="1:33" x14ac:dyDescent="0.3">
      <c r="A345" t="str">
        <f>'RESUMEN TOTAL'!A350</f>
        <v>VILLA ARIAS</v>
      </c>
      <c r="B345" t="str">
        <f>'RESUMEN TOTAL'!C350</f>
        <v>VLA02</v>
      </c>
      <c r="C345" t="str">
        <f>'RESUMEN TOTAL'!D350</f>
        <v>ESPORA Y HUDSON</v>
      </c>
      <c r="D345" t="str">
        <f>'RESUMEN TOTAL'!E350</f>
        <v>DOMO</v>
      </c>
      <c r="E345" t="str">
        <f>'RESUMEN TOTAL'!F350</f>
        <v>Fibra Optica</v>
      </c>
      <c r="F345" t="str">
        <f>'RESUMEN TOTAL'!O350</f>
        <v>APAGADO</v>
      </c>
      <c r="G345" t="str">
        <f>'RESUMEN TOTAL'!P350</f>
        <v>APAGADO</v>
      </c>
      <c r="H345" t="str">
        <f>'RESUMEN TOTAL'!Q350</f>
        <v>APAGADO</v>
      </c>
      <c r="I345" t="str">
        <f>'RESUMEN TOTAL'!R350</f>
        <v>APAGADO</v>
      </c>
      <c r="J345">
        <f>'RESUMEN TOTAL'!S350</f>
        <v>0</v>
      </c>
      <c r="K345" t="str">
        <f>'RESUMEN TOTAL'!T350</f>
        <v>APAGADO</v>
      </c>
      <c r="L345" t="str">
        <f>'RESUMEN TOTAL'!U350</f>
        <v>APAGADO</v>
      </c>
      <c r="M345" t="str">
        <f>'RESUMEN TOTAL'!V350</f>
        <v>APAGADO</v>
      </c>
      <c r="N345">
        <f>'RESUMEN TOTAL'!W350</f>
        <v>0</v>
      </c>
      <c r="O345">
        <f>'RESUMEN TOTAL'!X350</f>
        <v>0</v>
      </c>
      <c r="P345">
        <f>'RESUMEN TOTAL'!Y350</f>
        <v>0</v>
      </c>
      <c r="Q345" t="str">
        <f>'RESUMEN TOTAL'!Z350</f>
        <v>APAGADO</v>
      </c>
      <c r="R345" t="str">
        <f>'RESUMEN TOTAL'!AA350</f>
        <v>APAGADO</v>
      </c>
      <c r="S345">
        <f>'RESUMEN TOTAL'!AB350</f>
        <v>0</v>
      </c>
      <c r="T345">
        <f>'RESUMEN TOTAL'!AC350</f>
        <v>0</v>
      </c>
      <c r="U345">
        <f>'RESUMEN TOTAL'!AD350</f>
        <v>0</v>
      </c>
      <c r="V345">
        <f>'RESUMEN TOTAL'!AE350</f>
        <v>0</v>
      </c>
      <c r="W345">
        <f>'RESUMEN TOTAL'!AF350</f>
        <v>0</v>
      </c>
      <c r="X345">
        <f>'RESUMEN TOTAL'!AG350</f>
        <v>0</v>
      </c>
      <c r="Y345">
        <f>'RESUMEN TOTAL'!AH350</f>
        <v>0</v>
      </c>
      <c r="Z345">
        <f>'RESUMEN TOTAL'!AI350</f>
        <v>0</v>
      </c>
      <c r="AA345">
        <f>'RESUMEN TOTAL'!AJ350</f>
        <v>0</v>
      </c>
      <c r="AB345">
        <f>'RESUMEN TOTAL'!AK350</f>
        <v>0</v>
      </c>
      <c r="AC345">
        <f>'RESUMEN TOTAL'!AL350</f>
        <v>0</v>
      </c>
      <c r="AD345">
        <f>'RESUMEN TOTAL'!AM350</f>
        <v>0</v>
      </c>
      <c r="AE345">
        <f>'RESUMEN TOTAL'!AN350</f>
        <v>0</v>
      </c>
      <c r="AF345">
        <f>'RESUMEN TOTAL'!AO350</f>
        <v>0</v>
      </c>
      <c r="AG345">
        <f>'RESUMEN TOTAL'!AP350</f>
        <v>0</v>
      </c>
    </row>
    <row r="346" spans="1:33" x14ac:dyDescent="0.3">
      <c r="A346" t="str">
        <f>'RESUMEN TOTAL'!A351</f>
        <v>VILLA ARIAS</v>
      </c>
      <c r="B346" t="str">
        <f>'RESUMEN TOTAL'!C351</f>
        <v>VLA03 (fija 2)</v>
      </c>
      <c r="C346" t="str">
        <f>'RESUMEN TOTAL'!D351</f>
        <v>820 y SOLER</v>
      </c>
      <c r="D346" t="str">
        <f>'RESUMEN TOTAL'!E351</f>
        <v>Fija</v>
      </c>
      <c r="E346" t="str">
        <f>'RESUMEN TOTAL'!F351</f>
        <v>Fibra Optica</v>
      </c>
      <c r="F346" t="str">
        <f>'RESUMEN TOTAL'!O351</f>
        <v>APAGADO</v>
      </c>
      <c r="G346" t="str">
        <f>'RESUMEN TOTAL'!P351</f>
        <v>APAGADO</v>
      </c>
      <c r="H346" t="str">
        <f>'RESUMEN TOTAL'!Q351</f>
        <v>APAGADO</v>
      </c>
      <c r="I346" t="str">
        <f>'RESUMEN TOTAL'!R351</f>
        <v>APAGADO</v>
      </c>
      <c r="J346" t="str">
        <f>'RESUMEN TOTAL'!S351</f>
        <v>APAGADO</v>
      </c>
      <c r="K346" t="str">
        <f>'RESUMEN TOTAL'!T351</f>
        <v>APAGADO</v>
      </c>
      <c r="L346" t="str">
        <f>'RESUMEN TOTAL'!U351</f>
        <v>APAGADO</v>
      </c>
      <c r="M346" t="str">
        <f>'RESUMEN TOTAL'!V351</f>
        <v>APAGADO</v>
      </c>
      <c r="N346" t="str">
        <f>'RESUMEN TOTAL'!W351</f>
        <v>APAGADO</v>
      </c>
      <c r="O346" t="str">
        <f>'RESUMEN TOTAL'!X351</f>
        <v>APAGADO</v>
      </c>
      <c r="P346" t="str">
        <f>'RESUMEN TOTAL'!Y351</f>
        <v>APAGADO</v>
      </c>
      <c r="Q346">
        <f>'RESUMEN TOTAL'!Z351</f>
        <v>0</v>
      </c>
      <c r="R346">
        <f>'RESUMEN TOTAL'!AA351</f>
        <v>0</v>
      </c>
      <c r="S346">
        <f>'RESUMEN TOTAL'!AB351</f>
        <v>0</v>
      </c>
      <c r="T346">
        <f>'RESUMEN TOTAL'!AC351</f>
        <v>0</v>
      </c>
      <c r="U346">
        <f>'RESUMEN TOTAL'!AD351</f>
        <v>0</v>
      </c>
      <c r="V346">
        <f>'RESUMEN TOTAL'!AE351</f>
        <v>0</v>
      </c>
      <c r="W346">
        <f>'RESUMEN TOTAL'!AF351</f>
        <v>0</v>
      </c>
      <c r="X346">
        <f>'RESUMEN TOTAL'!AG351</f>
        <v>0</v>
      </c>
      <c r="Y346">
        <f>'RESUMEN TOTAL'!AH351</f>
        <v>0</v>
      </c>
      <c r="Z346">
        <f>'RESUMEN TOTAL'!AI351</f>
        <v>0</v>
      </c>
      <c r="AA346">
        <f>'RESUMEN TOTAL'!AJ351</f>
        <v>0</v>
      </c>
      <c r="AB346">
        <f>'RESUMEN TOTAL'!AK351</f>
        <v>0</v>
      </c>
      <c r="AC346">
        <f>'RESUMEN TOTAL'!AL351</f>
        <v>0</v>
      </c>
      <c r="AD346">
        <f>'RESUMEN TOTAL'!AM351</f>
        <v>0</v>
      </c>
      <c r="AE346">
        <f>'RESUMEN TOTAL'!AN351</f>
        <v>0</v>
      </c>
      <c r="AF346">
        <f>'RESUMEN TOTAL'!AO351</f>
        <v>0</v>
      </c>
      <c r="AG346">
        <f>'RESUMEN TOTAL'!AP351</f>
        <v>0</v>
      </c>
    </row>
    <row r="347" spans="1:33" x14ac:dyDescent="0.3">
      <c r="A347" t="str">
        <f>'RESUMEN TOTAL'!A352</f>
        <v>VILLA ARIAS</v>
      </c>
      <c r="B347" t="str">
        <f>'RESUMEN TOTAL'!C352</f>
        <v>VLA04</v>
      </c>
      <c r="C347" t="str">
        <f>'RESUMEN TOTAL'!D352</f>
        <v>ESPORA Y MARTIN GRASS</v>
      </c>
      <c r="D347" t="str">
        <f>'RESUMEN TOTAL'!E352</f>
        <v>DOMO</v>
      </c>
      <c r="E347" t="str">
        <f>'RESUMEN TOTAL'!F352</f>
        <v>Fibra Optica</v>
      </c>
      <c r="F347">
        <f>'RESUMEN TOTAL'!O352</f>
        <v>0</v>
      </c>
      <c r="G347">
        <f>'RESUMEN TOTAL'!P352</f>
        <v>0</v>
      </c>
      <c r="H347">
        <f>'RESUMEN TOTAL'!Q352</f>
        <v>0</v>
      </c>
      <c r="I347">
        <f>'RESUMEN TOTAL'!R352</f>
        <v>0</v>
      </c>
      <c r="J347">
        <f>'RESUMEN TOTAL'!S352</f>
        <v>0</v>
      </c>
      <c r="K347">
        <f>'RESUMEN TOTAL'!T352</f>
        <v>0</v>
      </c>
      <c r="L347">
        <f>'RESUMEN TOTAL'!U352</f>
        <v>0</v>
      </c>
      <c r="M347">
        <f>'RESUMEN TOTAL'!V352</f>
        <v>0</v>
      </c>
      <c r="N347">
        <f>'RESUMEN TOTAL'!W352</f>
        <v>0</v>
      </c>
      <c r="O347">
        <f>'RESUMEN TOTAL'!X352</f>
        <v>0</v>
      </c>
      <c r="P347">
        <f>'RESUMEN TOTAL'!Y352</f>
        <v>0</v>
      </c>
      <c r="Q347">
        <f>'RESUMEN TOTAL'!Z352</f>
        <v>0</v>
      </c>
      <c r="R347">
        <f>'RESUMEN TOTAL'!AA352</f>
        <v>0</v>
      </c>
      <c r="S347">
        <f>'RESUMEN TOTAL'!AB352</f>
        <v>0</v>
      </c>
      <c r="T347">
        <f>'RESUMEN TOTAL'!AC352</f>
        <v>0</v>
      </c>
      <c r="U347">
        <f>'RESUMEN TOTAL'!AD352</f>
        <v>0</v>
      </c>
      <c r="V347">
        <f>'RESUMEN TOTAL'!AE352</f>
        <v>0</v>
      </c>
      <c r="W347">
        <f>'RESUMEN TOTAL'!AF352</f>
        <v>0</v>
      </c>
      <c r="X347">
        <f>'RESUMEN TOTAL'!AG352</f>
        <v>0</v>
      </c>
      <c r="Y347">
        <f>'RESUMEN TOTAL'!AH352</f>
        <v>0</v>
      </c>
      <c r="Z347">
        <f>'RESUMEN TOTAL'!AI352</f>
        <v>0</v>
      </c>
      <c r="AA347">
        <f>'RESUMEN TOTAL'!AJ352</f>
        <v>0</v>
      </c>
      <c r="AB347">
        <f>'RESUMEN TOTAL'!AK352</f>
        <v>0</v>
      </c>
      <c r="AC347">
        <f>'RESUMEN TOTAL'!AL352</f>
        <v>0</v>
      </c>
      <c r="AD347">
        <f>'RESUMEN TOTAL'!AM352</f>
        <v>0</v>
      </c>
      <c r="AE347">
        <f>'RESUMEN TOTAL'!AN352</f>
        <v>0</v>
      </c>
      <c r="AF347">
        <f>'RESUMEN TOTAL'!AO352</f>
        <v>0</v>
      </c>
      <c r="AG347">
        <f>'RESUMEN TOTAL'!AP352</f>
        <v>0</v>
      </c>
    </row>
    <row r="348" spans="1:33" x14ac:dyDescent="0.3">
      <c r="A348" t="str">
        <f>'RESUMEN TOTAL'!A353</f>
        <v>VILLA ARIAS</v>
      </c>
      <c r="B348" t="str">
        <f>'RESUMEN TOTAL'!C353</f>
        <v>VLA05</v>
      </c>
      <c r="C348" t="str">
        <f>'RESUMEN TOTAL'!D353</f>
        <v>ESPORA Y 802</v>
      </c>
      <c r="D348" t="str">
        <f>'RESUMEN TOTAL'!E353</f>
        <v>DOMO</v>
      </c>
      <c r="E348" t="str">
        <f>'RESUMEN TOTAL'!F353</f>
        <v>Fibra Optica</v>
      </c>
      <c r="F348">
        <f>'RESUMEN TOTAL'!O353</f>
        <v>0</v>
      </c>
      <c r="G348">
        <f>'RESUMEN TOTAL'!P353</f>
        <v>0</v>
      </c>
      <c r="H348">
        <f>'RESUMEN TOTAL'!Q353</f>
        <v>0</v>
      </c>
      <c r="I348">
        <f>'RESUMEN TOTAL'!R353</f>
        <v>0</v>
      </c>
      <c r="J348">
        <f>'RESUMEN TOTAL'!S353</f>
        <v>0</v>
      </c>
      <c r="K348">
        <f>'RESUMEN TOTAL'!T353</f>
        <v>0</v>
      </c>
      <c r="L348">
        <f>'RESUMEN TOTAL'!U353</f>
        <v>0</v>
      </c>
      <c r="M348">
        <f>'RESUMEN TOTAL'!V353</f>
        <v>0</v>
      </c>
      <c r="N348">
        <f>'RESUMEN TOTAL'!W353</f>
        <v>0</v>
      </c>
      <c r="O348">
        <f>'RESUMEN TOTAL'!X353</f>
        <v>0</v>
      </c>
      <c r="P348">
        <f>'RESUMEN TOTAL'!Y353</f>
        <v>0</v>
      </c>
      <c r="Q348">
        <f>'RESUMEN TOTAL'!Z353</f>
        <v>0</v>
      </c>
      <c r="R348">
        <f>'RESUMEN TOTAL'!AA353</f>
        <v>0</v>
      </c>
      <c r="S348">
        <f>'RESUMEN TOTAL'!AB353</f>
        <v>0</v>
      </c>
      <c r="T348">
        <f>'RESUMEN TOTAL'!AC353</f>
        <v>0</v>
      </c>
      <c r="U348">
        <f>'RESUMEN TOTAL'!AD353</f>
        <v>0</v>
      </c>
      <c r="V348">
        <f>'RESUMEN TOTAL'!AE353</f>
        <v>0</v>
      </c>
      <c r="W348">
        <f>'RESUMEN TOTAL'!AF353</f>
        <v>0</v>
      </c>
      <c r="X348">
        <f>'RESUMEN TOTAL'!AG353</f>
        <v>0</v>
      </c>
      <c r="Y348">
        <f>'RESUMEN TOTAL'!AH353</f>
        <v>0</v>
      </c>
      <c r="Z348">
        <f>'RESUMEN TOTAL'!AI353</f>
        <v>0</v>
      </c>
      <c r="AA348">
        <f>'RESUMEN TOTAL'!AJ353</f>
        <v>0</v>
      </c>
      <c r="AB348">
        <f>'RESUMEN TOTAL'!AK353</f>
        <v>0</v>
      </c>
      <c r="AC348">
        <f>'RESUMEN TOTAL'!AL353</f>
        <v>0</v>
      </c>
      <c r="AD348">
        <f>'RESUMEN TOTAL'!AM353</f>
        <v>0</v>
      </c>
      <c r="AE348">
        <f>'RESUMEN TOTAL'!AN353</f>
        <v>0</v>
      </c>
      <c r="AF348">
        <f>'RESUMEN TOTAL'!AO353</f>
        <v>0</v>
      </c>
      <c r="AG348">
        <f>'RESUMEN TOTAL'!AP353</f>
        <v>0</v>
      </c>
    </row>
    <row r="349" spans="1:33" x14ac:dyDescent="0.3">
      <c r="A349" t="str">
        <f>'RESUMEN TOTAL'!A354</f>
        <v>VILLA MONICA NUEVA</v>
      </c>
      <c r="B349" t="str">
        <f>'RESUMEN TOTAL'!C354</f>
        <v>VMO 02</v>
      </c>
      <c r="C349" t="str">
        <f>'RESUMEN TOTAL'!D354</f>
        <v>Rio Carapachay y Oroño</v>
      </c>
      <c r="D349" t="str">
        <f>'RESUMEN TOTAL'!E354</f>
        <v>Domo</v>
      </c>
      <c r="E349" t="str">
        <f>'RESUMEN TOTAL'!F354</f>
        <v>Radio</v>
      </c>
      <c r="F349">
        <f>'RESUMEN TOTAL'!O354</f>
        <v>0</v>
      </c>
      <c r="G349">
        <f>'RESUMEN TOTAL'!P354</f>
        <v>0</v>
      </c>
      <c r="H349">
        <f>'RESUMEN TOTAL'!Q354</f>
        <v>0</v>
      </c>
      <c r="I349">
        <f>'RESUMEN TOTAL'!R354</f>
        <v>0</v>
      </c>
      <c r="J349">
        <f>'RESUMEN TOTAL'!S354</f>
        <v>0</v>
      </c>
      <c r="K349">
        <f>'RESUMEN TOTAL'!T354</f>
        <v>0</v>
      </c>
      <c r="L349">
        <f>'RESUMEN TOTAL'!U354</f>
        <v>0</v>
      </c>
      <c r="M349">
        <f>'RESUMEN TOTAL'!V354</f>
        <v>0</v>
      </c>
      <c r="N349">
        <f>'RESUMEN TOTAL'!W354</f>
        <v>0</v>
      </c>
      <c r="O349">
        <f>'RESUMEN TOTAL'!X354</f>
        <v>0</v>
      </c>
      <c r="P349">
        <f>'RESUMEN TOTAL'!Y354</f>
        <v>0</v>
      </c>
      <c r="Q349">
        <f>'RESUMEN TOTAL'!Z354</f>
        <v>0</v>
      </c>
      <c r="R349">
        <f>'RESUMEN TOTAL'!AA354</f>
        <v>0</v>
      </c>
      <c r="S349">
        <f>'RESUMEN TOTAL'!AB354</f>
        <v>0</v>
      </c>
      <c r="T349">
        <f>'RESUMEN TOTAL'!AC354</f>
        <v>0</v>
      </c>
      <c r="U349">
        <f>'RESUMEN TOTAL'!AD354</f>
        <v>0</v>
      </c>
      <c r="V349">
        <f>'RESUMEN TOTAL'!AE354</f>
        <v>0</v>
      </c>
      <c r="W349">
        <f>'RESUMEN TOTAL'!AF354</f>
        <v>0</v>
      </c>
      <c r="X349">
        <f>'RESUMEN TOTAL'!AG354</f>
        <v>0</v>
      </c>
      <c r="Y349">
        <f>'RESUMEN TOTAL'!AH354</f>
        <v>0</v>
      </c>
      <c r="Z349">
        <f>'RESUMEN TOTAL'!AI354</f>
        <v>0</v>
      </c>
      <c r="AA349">
        <f>'RESUMEN TOTAL'!AJ354</f>
        <v>0</v>
      </c>
      <c r="AB349">
        <f>'RESUMEN TOTAL'!AK354</f>
        <v>0</v>
      </c>
      <c r="AC349">
        <f>'RESUMEN TOTAL'!AL354</f>
        <v>0</v>
      </c>
      <c r="AD349">
        <f>'RESUMEN TOTAL'!AM354</f>
        <v>0</v>
      </c>
      <c r="AE349">
        <f>'RESUMEN TOTAL'!AN354</f>
        <v>0</v>
      </c>
      <c r="AF349">
        <f>'RESUMEN TOTAL'!AO354</f>
        <v>0</v>
      </c>
      <c r="AG349">
        <f>'RESUMEN TOTAL'!AP354</f>
        <v>0</v>
      </c>
    </row>
    <row r="350" spans="1:33" x14ac:dyDescent="0.3">
      <c r="A350">
        <f>'RESUMEN TOTAL'!A355</f>
        <v>0</v>
      </c>
      <c r="B350" t="str">
        <f>'RESUMEN TOTAL'!C355</f>
        <v>VMO01</v>
      </c>
      <c r="C350" t="str">
        <f>'RESUMEN TOTAL'!D355</f>
        <v>Eva Peron y Monseñor de las Casas</v>
      </c>
      <c r="D350" t="str">
        <f>'RESUMEN TOTAL'!E355</f>
        <v>DOMO</v>
      </c>
      <c r="E350">
        <f>'RESUMEN TOTAL'!F355</f>
        <v>0</v>
      </c>
      <c r="F350">
        <f>'RESUMEN TOTAL'!O355</f>
        <v>0</v>
      </c>
      <c r="G350">
        <f>'RESUMEN TOTAL'!P355</f>
        <v>0</v>
      </c>
      <c r="H350">
        <f>'RESUMEN TOTAL'!Q355</f>
        <v>0</v>
      </c>
      <c r="I350">
        <f>'RESUMEN TOTAL'!R355</f>
        <v>0</v>
      </c>
      <c r="J350" t="str">
        <f>'RESUMEN TOTAL'!S355</f>
        <v>APAGADO</v>
      </c>
      <c r="K350" t="str">
        <f>'RESUMEN TOTAL'!T355</f>
        <v>APAGADO</v>
      </c>
      <c r="L350">
        <f>'RESUMEN TOTAL'!U355</f>
        <v>0</v>
      </c>
      <c r="M350">
        <f>'RESUMEN TOTAL'!V355</f>
        <v>0</v>
      </c>
      <c r="N350">
        <f>'RESUMEN TOTAL'!W355</f>
        <v>0</v>
      </c>
      <c r="O350">
        <f>'RESUMEN TOTAL'!X355</f>
        <v>0</v>
      </c>
      <c r="P350">
        <f>'RESUMEN TOTAL'!Y355</f>
        <v>0</v>
      </c>
      <c r="Q350" t="str">
        <f>'RESUMEN TOTAL'!Z355</f>
        <v>APAGADO</v>
      </c>
      <c r="R350" t="str">
        <f>'RESUMEN TOTAL'!AA355</f>
        <v>APAGADO</v>
      </c>
      <c r="S350">
        <f>'RESUMEN TOTAL'!AB355</f>
        <v>0</v>
      </c>
      <c r="T350">
        <f>'RESUMEN TOTAL'!AC355</f>
        <v>0</v>
      </c>
      <c r="U350">
        <f>'RESUMEN TOTAL'!AD355</f>
        <v>0</v>
      </c>
      <c r="V350">
        <f>'RESUMEN TOTAL'!AE355</f>
        <v>0</v>
      </c>
      <c r="W350">
        <f>'RESUMEN TOTAL'!AF355</f>
        <v>0</v>
      </c>
      <c r="X350">
        <f>'RESUMEN TOTAL'!AG355</f>
        <v>0</v>
      </c>
      <c r="Y350">
        <f>'RESUMEN TOTAL'!AH355</f>
        <v>0</v>
      </c>
      <c r="Z350">
        <f>'RESUMEN TOTAL'!AI355</f>
        <v>0</v>
      </c>
      <c r="AA350">
        <f>'RESUMEN TOTAL'!AJ355</f>
        <v>0</v>
      </c>
      <c r="AB350">
        <f>'RESUMEN TOTAL'!AK355</f>
        <v>0</v>
      </c>
      <c r="AC350">
        <f>'RESUMEN TOTAL'!AL355</f>
        <v>0</v>
      </c>
      <c r="AD350">
        <f>'RESUMEN TOTAL'!AM355</f>
        <v>0</v>
      </c>
      <c r="AE350">
        <f>'RESUMEN TOTAL'!AN355</f>
        <v>0</v>
      </c>
      <c r="AF350">
        <f>'RESUMEN TOTAL'!AO355</f>
        <v>0</v>
      </c>
      <c r="AG350">
        <f>'RESUMEN TOTAL'!AP355</f>
        <v>0</v>
      </c>
    </row>
    <row r="351" spans="1:33" x14ac:dyDescent="0.3">
      <c r="A351" t="str">
        <f>'RESUMEN TOTAL'!A356</f>
        <v>VILLA MONICA NUEVA</v>
      </c>
      <c r="B351" t="str">
        <f>'RESUMEN TOTAL'!C356</f>
        <v>VMO03 (fija 1)</v>
      </c>
      <c r="C351" t="str">
        <f>'RESUMEN TOTAL'!D356</f>
        <v>EVA PERON E/ OROÑO Y 734 A</v>
      </c>
      <c r="D351" t="str">
        <f>'RESUMEN TOTAL'!E356</f>
        <v>Fija</v>
      </c>
      <c r="E351" t="str">
        <f>'RESUMEN TOTAL'!F356</f>
        <v>Fibra Optica</v>
      </c>
      <c r="F351">
        <f>'RESUMEN TOTAL'!O356</f>
        <v>0</v>
      </c>
      <c r="G351">
        <f>'RESUMEN TOTAL'!P356</f>
        <v>0</v>
      </c>
      <c r="H351">
        <f>'RESUMEN TOTAL'!Q356</f>
        <v>0</v>
      </c>
      <c r="I351">
        <f>'RESUMEN TOTAL'!R356</f>
        <v>0</v>
      </c>
      <c r="J351">
        <f>'RESUMEN TOTAL'!S356</f>
        <v>0</v>
      </c>
      <c r="K351">
        <f>'RESUMEN TOTAL'!T356</f>
        <v>0</v>
      </c>
      <c r="L351">
        <f>'RESUMEN TOTAL'!U356</f>
        <v>0</v>
      </c>
      <c r="M351">
        <f>'RESUMEN TOTAL'!V356</f>
        <v>0</v>
      </c>
      <c r="N351">
        <f>'RESUMEN TOTAL'!W356</f>
        <v>0</v>
      </c>
      <c r="O351">
        <f>'RESUMEN TOTAL'!X356</f>
        <v>0</v>
      </c>
      <c r="P351">
        <f>'RESUMEN TOTAL'!Y356</f>
        <v>0</v>
      </c>
      <c r="Q351">
        <f>'RESUMEN TOTAL'!Z356</f>
        <v>0</v>
      </c>
      <c r="R351">
        <f>'RESUMEN TOTAL'!AA356</f>
        <v>0</v>
      </c>
      <c r="S351">
        <f>'RESUMEN TOTAL'!AB356</f>
        <v>0</v>
      </c>
      <c r="T351">
        <f>'RESUMEN TOTAL'!AC356</f>
        <v>0</v>
      </c>
      <c r="U351">
        <f>'RESUMEN TOTAL'!AD356</f>
        <v>0</v>
      </c>
      <c r="V351">
        <f>'RESUMEN TOTAL'!AE356</f>
        <v>0</v>
      </c>
      <c r="W351">
        <f>'RESUMEN TOTAL'!AF356</f>
        <v>0</v>
      </c>
      <c r="X351">
        <f>'RESUMEN TOTAL'!AG356</f>
        <v>0</v>
      </c>
      <c r="Y351">
        <f>'RESUMEN TOTAL'!AH356</f>
        <v>0</v>
      </c>
      <c r="Z351">
        <f>'RESUMEN TOTAL'!AI356</f>
        <v>0</v>
      </c>
      <c r="AA351">
        <f>'RESUMEN TOTAL'!AJ356</f>
        <v>0</v>
      </c>
      <c r="AB351">
        <f>'RESUMEN TOTAL'!AK356</f>
        <v>0</v>
      </c>
      <c r="AC351">
        <f>'RESUMEN TOTAL'!AL356</f>
        <v>0</v>
      </c>
      <c r="AD351">
        <f>'RESUMEN TOTAL'!AM356</f>
        <v>0</v>
      </c>
      <c r="AE351">
        <f>'RESUMEN TOTAL'!AN356</f>
        <v>0</v>
      </c>
      <c r="AF351">
        <f>'RESUMEN TOTAL'!AO356</f>
        <v>0</v>
      </c>
      <c r="AG351">
        <f>'RESUMEN TOTAL'!AP356</f>
        <v>0</v>
      </c>
    </row>
    <row r="352" spans="1:33" x14ac:dyDescent="0.3">
      <c r="A352" t="str">
        <f>'RESUMEN TOTAL'!A357</f>
        <v>VILLA MONICA NUEVA</v>
      </c>
      <c r="B352" t="str">
        <f>'RESUMEN TOTAL'!C357</f>
        <v>VMO04 (fija 2)</v>
      </c>
      <c r="C352" t="str">
        <f>'RESUMEN TOTAL'!D357</f>
        <v>EVA PERON E/ OROÑO Y 734 A</v>
      </c>
      <c r="D352" t="str">
        <f>'RESUMEN TOTAL'!E357</f>
        <v>Fija</v>
      </c>
      <c r="E352" t="str">
        <f>'RESUMEN TOTAL'!F357</f>
        <v>Fibra Optica</v>
      </c>
      <c r="F352">
        <f>'RESUMEN TOTAL'!O357</f>
        <v>0</v>
      </c>
      <c r="G352">
        <f>'RESUMEN TOTAL'!P357</f>
        <v>0</v>
      </c>
      <c r="H352">
        <f>'RESUMEN TOTAL'!Q357</f>
        <v>0</v>
      </c>
      <c r="I352">
        <f>'RESUMEN TOTAL'!R357</f>
        <v>0</v>
      </c>
      <c r="J352">
        <f>'RESUMEN TOTAL'!S357</f>
        <v>0</v>
      </c>
      <c r="K352">
        <f>'RESUMEN TOTAL'!T357</f>
        <v>0</v>
      </c>
      <c r="L352">
        <f>'RESUMEN TOTAL'!U357</f>
        <v>0</v>
      </c>
      <c r="M352">
        <f>'RESUMEN TOTAL'!V357</f>
        <v>0</v>
      </c>
      <c r="N352">
        <f>'RESUMEN TOTAL'!W357</f>
        <v>0</v>
      </c>
      <c r="O352">
        <f>'RESUMEN TOTAL'!X357</f>
        <v>0</v>
      </c>
      <c r="P352">
        <f>'RESUMEN TOTAL'!Y357</f>
        <v>0</v>
      </c>
      <c r="Q352">
        <f>'RESUMEN TOTAL'!Z357</f>
        <v>0</v>
      </c>
      <c r="R352">
        <f>'RESUMEN TOTAL'!AA357</f>
        <v>0</v>
      </c>
      <c r="S352">
        <f>'RESUMEN TOTAL'!AB357</f>
        <v>0</v>
      </c>
      <c r="T352">
        <f>'RESUMEN TOTAL'!AC357</f>
        <v>0</v>
      </c>
      <c r="U352">
        <f>'RESUMEN TOTAL'!AD357</f>
        <v>0</v>
      </c>
      <c r="V352">
        <f>'RESUMEN TOTAL'!AE357</f>
        <v>0</v>
      </c>
      <c r="W352">
        <f>'RESUMEN TOTAL'!AF357</f>
        <v>0</v>
      </c>
      <c r="X352">
        <f>'RESUMEN TOTAL'!AG357</f>
        <v>0</v>
      </c>
      <c r="Y352">
        <f>'RESUMEN TOTAL'!AH357</f>
        <v>0</v>
      </c>
      <c r="Z352">
        <f>'RESUMEN TOTAL'!AI357</f>
        <v>0</v>
      </c>
      <c r="AA352">
        <f>'RESUMEN TOTAL'!AJ357</f>
        <v>0</v>
      </c>
      <c r="AB352">
        <f>'RESUMEN TOTAL'!AK357</f>
        <v>0</v>
      </c>
      <c r="AC352">
        <f>'RESUMEN TOTAL'!AL357</f>
        <v>0</v>
      </c>
      <c r="AD352">
        <f>'RESUMEN TOTAL'!AM357</f>
        <v>0</v>
      </c>
      <c r="AE352">
        <f>'RESUMEN TOTAL'!AN357</f>
        <v>0</v>
      </c>
      <c r="AF352">
        <f>'RESUMEN TOTAL'!AO357</f>
        <v>0</v>
      </c>
      <c r="AG352">
        <f>'RESUMEN TOTAL'!AP357</f>
        <v>0</v>
      </c>
    </row>
    <row r="353" spans="1:33" x14ac:dyDescent="0.3">
      <c r="A353" t="str">
        <f>'RESUMEN TOTAL'!A358</f>
        <v>VILLA MONICA NUEVA</v>
      </c>
      <c r="B353" t="str">
        <f>'RESUMEN TOTAL'!C358</f>
        <v>VMO05</v>
      </c>
      <c r="C353" t="str">
        <f>'RESUMEN TOTAL'!D358</f>
        <v>OROÑO Y EVA PERON</v>
      </c>
      <c r="D353" t="str">
        <f>'RESUMEN TOTAL'!E358</f>
        <v>DOMO</v>
      </c>
      <c r="E353" t="str">
        <f>'RESUMEN TOTAL'!F358</f>
        <v>Fibra Optica</v>
      </c>
      <c r="F353">
        <f>'RESUMEN TOTAL'!O358</f>
        <v>0</v>
      </c>
      <c r="G353">
        <f>'RESUMEN TOTAL'!P358</f>
        <v>0</v>
      </c>
      <c r="H353">
        <f>'RESUMEN TOTAL'!Q358</f>
        <v>0</v>
      </c>
      <c r="I353">
        <f>'RESUMEN TOTAL'!R358</f>
        <v>0</v>
      </c>
      <c r="J353">
        <f>'RESUMEN TOTAL'!S358</f>
        <v>0</v>
      </c>
      <c r="K353">
        <f>'RESUMEN TOTAL'!T358</f>
        <v>0</v>
      </c>
      <c r="L353">
        <f>'RESUMEN TOTAL'!U358</f>
        <v>0</v>
      </c>
      <c r="M353">
        <f>'RESUMEN TOTAL'!V358</f>
        <v>0</v>
      </c>
      <c r="N353">
        <f>'RESUMEN TOTAL'!W358</f>
        <v>0</v>
      </c>
      <c r="O353">
        <f>'RESUMEN TOTAL'!X358</f>
        <v>0</v>
      </c>
      <c r="P353">
        <f>'RESUMEN TOTAL'!Y358</f>
        <v>0</v>
      </c>
      <c r="Q353">
        <f>'RESUMEN TOTAL'!Z358</f>
        <v>0</v>
      </c>
      <c r="R353">
        <f>'RESUMEN TOTAL'!AA358</f>
        <v>0</v>
      </c>
      <c r="S353">
        <f>'RESUMEN TOTAL'!AB358</f>
        <v>0</v>
      </c>
      <c r="T353">
        <f>'RESUMEN TOTAL'!AC358</f>
        <v>0</v>
      </c>
      <c r="U353">
        <f>'RESUMEN TOTAL'!AD358</f>
        <v>0</v>
      </c>
      <c r="V353">
        <f>'RESUMEN TOTAL'!AE358</f>
        <v>0</v>
      </c>
      <c r="W353">
        <f>'RESUMEN TOTAL'!AF358</f>
        <v>0</v>
      </c>
      <c r="X353">
        <f>'RESUMEN TOTAL'!AG358</f>
        <v>0</v>
      </c>
      <c r="Y353">
        <f>'RESUMEN TOTAL'!AH358</f>
        <v>0</v>
      </c>
      <c r="Z353">
        <f>'RESUMEN TOTAL'!AI358</f>
        <v>0</v>
      </c>
      <c r="AA353">
        <f>'RESUMEN TOTAL'!AJ358</f>
        <v>0</v>
      </c>
      <c r="AB353">
        <f>'RESUMEN TOTAL'!AK358</f>
        <v>0</v>
      </c>
      <c r="AC353">
        <f>'RESUMEN TOTAL'!AL358</f>
        <v>0</v>
      </c>
      <c r="AD353">
        <f>'RESUMEN TOTAL'!AM358</f>
        <v>0</v>
      </c>
      <c r="AE353">
        <f>'RESUMEN TOTAL'!AN358</f>
        <v>0</v>
      </c>
      <c r="AF353">
        <f>'RESUMEN TOTAL'!AO358</f>
        <v>0</v>
      </c>
      <c r="AG353">
        <f>'RESUMEN TOTAL'!AP358</f>
        <v>0</v>
      </c>
    </row>
    <row r="354" spans="1:33" x14ac:dyDescent="0.3">
      <c r="A354" t="str">
        <f>'RESUMEN TOTAL'!A359</f>
        <v>VILLA MONICA VIEJA</v>
      </c>
      <c r="B354" t="str">
        <f>'RESUMEN TOTAL'!C359</f>
        <v>VMOV01 (fija 1)</v>
      </c>
      <c r="C354" t="str">
        <f>'RESUMEN TOTAL'!D359</f>
        <v>ATENAS E/ CAFFERATA Y ALEMANIA</v>
      </c>
      <c r="D354" t="str">
        <f>'RESUMEN TOTAL'!E359</f>
        <v>Fija</v>
      </c>
      <c r="E354" t="str">
        <f>'RESUMEN TOTAL'!F359</f>
        <v>Fibra Optica</v>
      </c>
      <c r="F354">
        <f>'RESUMEN TOTAL'!O359</f>
        <v>0</v>
      </c>
      <c r="G354">
        <f>'RESUMEN TOTAL'!P359</f>
        <v>0</v>
      </c>
      <c r="H354">
        <f>'RESUMEN TOTAL'!Q359</f>
        <v>0</v>
      </c>
      <c r="I354">
        <f>'RESUMEN TOTAL'!R359</f>
        <v>0</v>
      </c>
      <c r="J354">
        <f>'RESUMEN TOTAL'!S359</f>
        <v>0</v>
      </c>
      <c r="K354">
        <f>'RESUMEN TOTAL'!T359</f>
        <v>0</v>
      </c>
      <c r="L354">
        <f>'RESUMEN TOTAL'!U359</f>
        <v>0</v>
      </c>
      <c r="M354">
        <f>'RESUMEN TOTAL'!V359</f>
        <v>0</v>
      </c>
      <c r="N354">
        <f>'RESUMEN TOTAL'!W359</f>
        <v>0</v>
      </c>
      <c r="O354">
        <f>'RESUMEN TOTAL'!X359</f>
        <v>0</v>
      </c>
      <c r="P354">
        <f>'RESUMEN TOTAL'!Y359</f>
        <v>0</v>
      </c>
      <c r="Q354">
        <f>'RESUMEN TOTAL'!Z359</f>
        <v>0</v>
      </c>
      <c r="R354">
        <f>'RESUMEN TOTAL'!AA359</f>
        <v>0</v>
      </c>
      <c r="S354">
        <f>'RESUMEN TOTAL'!AB359</f>
        <v>0</v>
      </c>
      <c r="T354">
        <f>'RESUMEN TOTAL'!AC359</f>
        <v>0</v>
      </c>
      <c r="U354">
        <f>'RESUMEN TOTAL'!AD359</f>
        <v>0</v>
      </c>
      <c r="V354">
        <f>'RESUMEN TOTAL'!AE359</f>
        <v>0</v>
      </c>
      <c r="W354">
        <f>'RESUMEN TOTAL'!AF359</f>
        <v>0</v>
      </c>
      <c r="X354">
        <f>'RESUMEN TOTAL'!AG359</f>
        <v>0</v>
      </c>
      <c r="Y354">
        <f>'RESUMEN TOTAL'!AH359</f>
        <v>0</v>
      </c>
      <c r="Z354">
        <f>'RESUMEN TOTAL'!AI359</f>
        <v>0</v>
      </c>
      <c r="AA354">
        <f>'RESUMEN TOTAL'!AJ359</f>
        <v>0</v>
      </c>
      <c r="AB354">
        <f>'RESUMEN TOTAL'!AK359</f>
        <v>0</v>
      </c>
      <c r="AC354">
        <f>'RESUMEN TOTAL'!AL359</f>
        <v>0</v>
      </c>
      <c r="AD354">
        <f>'RESUMEN TOTAL'!AM359</f>
        <v>0</v>
      </c>
      <c r="AE354">
        <f>'RESUMEN TOTAL'!AN359</f>
        <v>0</v>
      </c>
      <c r="AF354">
        <f>'RESUMEN TOTAL'!AO359</f>
        <v>0</v>
      </c>
      <c r="AG354">
        <f>'RESUMEN TOTAL'!AP359</f>
        <v>0</v>
      </c>
    </row>
    <row r="355" spans="1:33" x14ac:dyDescent="0.3">
      <c r="A355" t="str">
        <f>'RESUMEN TOTAL'!A360</f>
        <v>VILLA MONICA VIEJA</v>
      </c>
      <c r="B355" t="str">
        <f>'RESUMEN TOTAL'!C360</f>
        <v>VMOV02 (fija 2)</v>
      </c>
      <c r="C355" t="str">
        <f>'RESUMEN TOTAL'!D360</f>
        <v>ATENAS E/ CAFFERATA Y ALEMANIA</v>
      </c>
      <c r="D355" t="str">
        <f>'RESUMEN TOTAL'!E360</f>
        <v>Fija</v>
      </c>
      <c r="E355" t="str">
        <f>'RESUMEN TOTAL'!F360</f>
        <v>Fibra Optica</v>
      </c>
      <c r="F355">
        <f>'RESUMEN TOTAL'!O360</f>
        <v>0</v>
      </c>
      <c r="G355">
        <f>'RESUMEN TOTAL'!P360</f>
        <v>0</v>
      </c>
      <c r="H355">
        <f>'RESUMEN TOTAL'!Q360</f>
        <v>0</v>
      </c>
      <c r="I355">
        <f>'RESUMEN TOTAL'!R360</f>
        <v>0</v>
      </c>
      <c r="J355">
        <f>'RESUMEN TOTAL'!S360</f>
        <v>0</v>
      </c>
      <c r="K355">
        <f>'RESUMEN TOTAL'!T360</f>
        <v>0</v>
      </c>
      <c r="L355">
        <f>'RESUMEN TOTAL'!U360</f>
        <v>0</v>
      </c>
      <c r="M355">
        <f>'RESUMEN TOTAL'!V360</f>
        <v>0</v>
      </c>
      <c r="N355">
        <f>'RESUMEN TOTAL'!W360</f>
        <v>0</v>
      </c>
      <c r="O355">
        <f>'RESUMEN TOTAL'!X360</f>
        <v>0</v>
      </c>
      <c r="P355">
        <f>'RESUMEN TOTAL'!Y360</f>
        <v>0</v>
      </c>
      <c r="Q355">
        <f>'RESUMEN TOTAL'!Z360</f>
        <v>0</v>
      </c>
      <c r="R355">
        <f>'RESUMEN TOTAL'!AA360</f>
        <v>0</v>
      </c>
      <c r="S355">
        <f>'RESUMEN TOTAL'!AB360</f>
        <v>0</v>
      </c>
      <c r="T355">
        <f>'RESUMEN TOTAL'!AC360</f>
        <v>0</v>
      </c>
      <c r="U355">
        <f>'RESUMEN TOTAL'!AD360</f>
        <v>0</v>
      </c>
      <c r="V355">
        <f>'RESUMEN TOTAL'!AE360</f>
        <v>0</v>
      </c>
      <c r="W355">
        <f>'RESUMEN TOTAL'!AF360</f>
        <v>0</v>
      </c>
      <c r="X355">
        <f>'RESUMEN TOTAL'!AG360</f>
        <v>0</v>
      </c>
      <c r="Y355">
        <f>'RESUMEN TOTAL'!AH360</f>
        <v>0</v>
      </c>
      <c r="Z355">
        <f>'RESUMEN TOTAL'!AI360</f>
        <v>0</v>
      </c>
      <c r="AA355">
        <f>'RESUMEN TOTAL'!AJ360</f>
        <v>0</v>
      </c>
      <c r="AB355">
        <f>'RESUMEN TOTAL'!AK360</f>
        <v>0</v>
      </c>
      <c r="AC355">
        <f>'RESUMEN TOTAL'!AL360</f>
        <v>0</v>
      </c>
      <c r="AD355">
        <f>'RESUMEN TOTAL'!AM360</f>
        <v>0</v>
      </c>
      <c r="AE355">
        <f>'RESUMEN TOTAL'!AN360</f>
        <v>0</v>
      </c>
      <c r="AF355">
        <f>'RESUMEN TOTAL'!AO360</f>
        <v>0</v>
      </c>
      <c r="AG355">
        <f>'RESUMEN TOTAL'!AP360</f>
        <v>0</v>
      </c>
    </row>
    <row r="356" spans="1:33" x14ac:dyDescent="0.3">
      <c r="A356" t="str">
        <f>'RESUMEN TOTAL'!A361</f>
        <v>VILLA MONICA VIEJA</v>
      </c>
      <c r="B356" t="str">
        <f>'RESUMEN TOTAL'!C361</f>
        <v>VMOV03 (fija 1)</v>
      </c>
      <c r="C356" t="str">
        <f>'RESUMEN TOTAL'!D361</f>
        <v>ROMA E/ HOLANDA Y CAFFERATA</v>
      </c>
      <c r="D356" t="str">
        <f>'RESUMEN TOTAL'!E361</f>
        <v>Fija</v>
      </c>
      <c r="E356" t="str">
        <f>'RESUMEN TOTAL'!F361</f>
        <v>Fibra Optica</v>
      </c>
      <c r="F356">
        <f>'RESUMEN TOTAL'!O361</f>
        <v>0</v>
      </c>
      <c r="G356">
        <f>'RESUMEN TOTAL'!P361</f>
        <v>0</v>
      </c>
      <c r="H356">
        <f>'RESUMEN TOTAL'!Q361</f>
        <v>0</v>
      </c>
      <c r="I356">
        <f>'RESUMEN TOTAL'!R361</f>
        <v>0</v>
      </c>
      <c r="J356">
        <f>'RESUMEN TOTAL'!S361</f>
        <v>0</v>
      </c>
      <c r="K356">
        <f>'RESUMEN TOTAL'!T361</f>
        <v>0</v>
      </c>
      <c r="L356">
        <f>'RESUMEN TOTAL'!U361</f>
        <v>0</v>
      </c>
      <c r="M356">
        <f>'RESUMEN TOTAL'!V361</f>
        <v>0</v>
      </c>
      <c r="N356">
        <f>'RESUMEN TOTAL'!W361</f>
        <v>0</v>
      </c>
      <c r="O356">
        <f>'RESUMEN TOTAL'!X361</f>
        <v>0</v>
      </c>
      <c r="P356">
        <f>'RESUMEN TOTAL'!Y361</f>
        <v>0</v>
      </c>
      <c r="Q356">
        <f>'RESUMEN TOTAL'!Z361</f>
        <v>0</v>
      </c>
      <c r="R356">
        <f>'RESUMEN TOTAL'!AA361</f>
        <v>0</v>
      </c>
      <c r="S356">
        <f>'RESUMEN TOTAL'!AB361</f>
        <v>0</v>
      </c>
      <c r="T356">
        <f>'RESUMEN TOTAL'!AC361</f>
        <v>0</v>
      </c>
      <c r="U356">
        <f>'RESUMEN TOTAL'!AD361</f>
        <v>0</v>
      </c>
      <c r="V356">
        <f>'RESUMEN TOTAL'!AE361</f>
        <v>0</v>
      </c>
      <c r="W356">
        <f>'RESUMEN TOTAL'!AF361</f>
        <v>0</v>
      </c>
      <c r="X356">
        <f>'RESUMEN TOTAL'!AG361</f>
        <v>0</v>
      </c>
      <c r="Y356">
        <f>'RESUMEN TOTAL'!AH361</f>
        <v>0</v>
      </c>
      <c r="Z356">
        <f>'RESUMEN TOTAL'!AI361</f>
        <v>0</v>
      </c>
      <c r="AA356">
        <f>'RESUMEN TOTAL'!AJ361</f>
        <v>0</v>
      </c>
      <c r="AB356">
        <f>'RESUMEN TOTAL'!AK361</f>
        <v>0</v>
      </c>
      <c r="AC356">
        <f>'RESUMEN TOTAL'!AL361</f>
        <v>0</v>
      </c>
      <c r="AD356">
        <f>'RESUMEN TOTAL'!AM361</f>
        <v>0</v>
      </c>
      <c r="AE356">
        <f>'RESUMEN TOTAL'!AN361</f>
        <v>0</v>
      </c>
      <c r="AF356">
        <f>'RESUMEN TOTAL'!AO361</f>
        <v>0</v>
      </c>
      <c r="AG356">
        <f>'RESUMEN TOTAL'!AP361</f>
        <v>0</v>
      </c>
    </row>
    <row r="357" spans="1:33" x14ac:dyDescent="0.3">
      <c r="A357" t="str">
        <f>'RESUMEN TOTAL'!A362</f>
        <v>VILLA MONICA VIEJA</v>
      </c>
      <c r="B357" t="str">
        <f>'RESUMEN TOTAL'!C362</f>
        <v>VMOV04 (fija 2)</v>
      </c>
      <c r="C357" t="str">
        <f>'RESUMEN TOTAL'!D362</f>
        <v>ROMA E/ HOLANDA Y CAFFERATA</v>
      </c>
      <c r="D357" t="str">
        <f>'RESUMEN TOTAL'!E362</f>
        <v>Fija</v>
      </c>
      <c r="E357" t="str">
        <f>'RESUMEN TOTAL'!F362</f>
        <v>Fibra Optica</v>
      </c>
      <c r="F357">
        <f>'RESUMEN TOTAL'!O362</f>
        <v>0</v>
      </c>
      <c r="G357">
        <f>'RESUMEN TOTAL'!P362</f>
        <v>0</v>
      </c>
      <c r="H357">
        <f>'RESUMEN TOTAL'!Q362</f>
        <v>0</v>
      </c>
      <c r="I357">
        <f>'RESUMEN TOTAL'!R362</f>
        <v>0</v>
      </c>
      <c r="J357">
        <f>'RESUMEN TOTAL'!S362</f>
        <v>0</v>
      </c>
      <c r="K357">
        <f>'RESUMEN TOTAL'!T362</f>
        <v>0</v>
      </c>
      <c r="L357">
        <f>'RESUMEN TOTAL'!U362</f>
        <v>0</v>
      </c>
      <c r="M357">
        <f>'RESUMEN TOTAL'!V362</f>
        <v>0</v>
      </c>
      <c r="N357">
        <f>'RESUMEN TOTAL'!W362</f>
        <v>0</v>
      </c>
      <c r="O357">
        <f>'RESUMEN TOTAL'!X362</f>
        <v>0</v>
      </c>
      <c r="P357">
        <f>'RESUMEN TOTAL'!Y362</f>
        <v>0</v>
      </c>
      <c r="Q357">
        <f>'RESUMEN TOTAL'!Z362</f>
        <v>0</v>
      </c>
      <c r="R357">
        <f>'RESUMEN TOTAL'!AA362</f>
        <v>0</v>
      </c>
      <c r="S357">
        <f>'RESUMEN TOTAL'!AB362</f>
        <v>0</v>
      </c>
      <c r="T357">
        <f>'RESUMEN TOTAL'!AC362</f>
        <v>0</v>
      </c>
      <c r="U357">
        <f>'RESUMEN TOTAL'!AD362</f>
        <v>0</v>
      </c>
      <c r="V357">
        <f>'RESUMEN TOTAL'!AE362</f>
        <v>0</v>
      </c>
      <c r="W357">
        <f>'RESUMEN TOTAL'!AF362</f>
        <v>0</v>
      </c>
      <c r="X357">
        <f>'RESUMEN TOTAL'!AG362</f>
        <v>0</v>
      </c>
      <c r="Y357">
        <f>'RESUMEN TOTAL'!AH362</f>
        <v>0</v>
      </c>
      <c r="Z357">
        <f>'RESUMEN TOTAL'!AI362</f>
        <v>0</v>
      </c>
      <c r="AA357">
        <f>'RESUMEN TOTAL'!AJ362</f>
        <v>0</v>
      </c>
      <c r="AB357">
        <f>'RESUMEN TOTAL'!AK362</f>
        <v>0</v>
      </c>
      <c r="AC357">
        <f>'RESUMEN TOTAL'!AL362</f>
        <v>0</v>
      </c>
      <c r="AD357">
        <f>'RESUMEN TOTAL'!AM362</f>
        <v>0</v>
      </c>
      <c r="AE357">
        <f>'RESUMEN TOTAL'!AN362</f>
        <v>0</v>
      </c>
      <c r="AF357">
        <f>'RESUMEN TOTAL'!AO362</f>
        <v>0</v>
      </c>
      <c r="AG357">
        <f>'RESUMEN TOTAL'!AP362</f>
        <v>0</v>
      </c>
    </row>
    <row r="358" spans="1:33" x14ac:dyDescent="0.3">
      <c r="A358" t="str">
        <f>'RESUMEN TOTAL'!A363</f>
        <v>VILLA SAN LUIS</v>
      </c>
      <c r="B358" t="str">
        <f>'RESUMEN TOTAL'!C363</f>
        <v>VSL 01</v>
      </c>
      <c r="C358" t="str">
        <f>'RESUMEN TOTAL'!D363</f>
        <v>AV. HUDSON Y CACHEUTA</v>
      </c>
      <c r="D358" t="str">
        <f>'RESUMEN TOTAL'!E363</f>
        <v>DOMO</v>
      </c>
      <c r="E358" t="str">
        <f>'RESUMEN TOTAL'!F363</f>
        <v>Fibra Optica</v>
      </c>
      <c r="F358">
        <f>'RESUMEN TOTAL'!O363</f>
        <v>0</v>
      </c>
      <c r="G358">
        <f>'RESUMEN TOTAL'!P363</f>
        <v>0</v>
      </c>
      <c r="H358">
        <f>'RESUMEN TOTAL'!Q363</f>
        <v>0</v>
      </c>
      <c r="I358">
        <f>'RESUMEN TOTAL'!R363</f>
        <v>0</v>
      </c>
      <c r="J358">
        <f>'RESUMEN TOTAL'!S363</f>
        <v>0</v>
      </c>
      <c r="K358">
        <f>'RESUMEN TOTAL'!T363</f>
        <v>0</v>
      </c>
      <c r="L358">
        <f>'RESUMEN TOTAL'!U363</f>
        <v>0</v>
      </c>
      <c r="M358">
        <f>'RESUMEN TOTAL'!V363</f>
        <v>0</v>
      </c>
      <c r="N358">
        <f>'RESUMEN TOTAL'!W363</f>
        <v>0</v>
      </c>
      <c r="O358">
        <f>'RESUMEN TOTAL'!X363</f>
        <v>0</v>
      </c>
      <c r="P358">
        <f>'RESUMEN TOTAL'!Y363</f>
        <v>0</v>
      </c>
      <c r="Q358">
        <f>'RESUMEN TOTAL'!Z363</f>
        <v>0</v>
      </c>
      <c r="R358">
        <f>'RESUMEN TOTAL'!AA363</f>
        <v>0</v>
      </c>
      <c r="S358">
        <f>'RESUMEN TOTAL'!AB363</f>
        <v>0</v>
      </c>
      <c r="T358">
        <f>'RESUMEN TOTAL'!AC363</f>
        <v>0</v>
      </c>
      <c r="U358">
        <f>'RESUMEN TOTAL'!AD363</f>
        <v>0</v>
      </c>
      <c r="V358">
        <f>'RESUMEN TOTAL'!AE363</f>
        <v>0</v>
      </c>
      <c r="W358">
        <f>'RESUMEN TOTAL'!AF363</f>
        <v>0</v>
      </c>
      <c r="X358">
        <f>'RESUMEN TOTAL'!AG363</f>
        <v>0</v>
      </c>
      <c r="Y358">
        <f>'RESUMEN TOTAL'!AH363</f>
        <v>0</v>
      </c>
      <c r="Z358">
        <f>'RESUMEN TOTAL'!AI363</f>
        <v>0</v>
      </c>
      <c r="AA358">
        <f>'RESUMEN TOTAL'!AJ363</f>
        <v>0</v>
      </c>
      <c r="AB358">
        <f>'RESUMEN TOTAL'!AK363</f>
        <v>0</v>
      </c>
      <c r="AC358">
        <f>'RESUMEN TOTAL'!AL363</f>
        <v>0</v>
      </c>
      <c r="AD358">
        <f>'RESUMEN TOTAL'!AM363</f>
        <v>0</v>
      </c>
      <c r="AE358">
        <f>'RESUMEN TOTAL'!AN363</f>
        <v>0</v>
      </c>
      <c r="AF358">
        <f>'RESUMEN TOTAL'!AO363</f>
        <v>0</v>
      </c>
      <c r="AG358">
        <f>'RESUMEN TOTAL'!AP363</f>
        <v>0</v>
      </c>
    </row>
    <row r="359" spans="1:33" x14ac:dyDescent="0.3">
      <c r="A359" t="str">
        <f>'RESUMEN TOTAL'!A364</f>
        <v>VILLA SUSANA</v>
      </c>
      <c r="B359" t="str">
        <f>'RESUMEN TOTAL'!C364</f>
        <v>VSU 01</v>
      </c>
      <c r="C359" t="str">
        <f>'RESUMEN TOTAL'!D364</f>
        <v>CJAL. JUAN BROWN Y SANTA FE</v>
      </c>
      <c r="D359" t="str">
        <f>'RESUMEN TOTAL'!E364</f>
        <v>DOMO</v>
      </c>
      <c r="E359" t="str">
        <f>'RESUMEN TOTAL'!F364</f>
        <v>Radio</v>
      </c>
      <c r="F359">
        <f>'RESUMEN TOTAL'!O364</f>
        <v>0</v>
      </c>
      <c r="G359">
        <f>'RESUMEN TOTAL'!P364</f>
        <v>0</v>
      </c>
      <c r="H359">
        <f>'RESUMEN TOTAL'!Q364</f>
        <v>0</v>
      </c>
      <c r="I359">
        <f>'RESUMEN TOTAL'!R364</f>
        <v>0</v>
      </c>
      <c r="J359">
        <f>'RESUMEN TOTAL'!S364</f>
        <v>0</v>
      </c>
      <c r="K359">
        <f>'RESUMEN TOTAL'!T364</f>
        <v>0</v>
      </c>
      <c r="L359" t="str">
        <f>'RESUMEN TOTAL'!U364</f>
        <v>APAGADO</v>
      </c>
      <c r="M359" t="str">
        <f>'RESUMEN TOTAL'!V364</f>
        <v>APAGADO</v>
      </c>
      <c r="N359" t="str">
        <f>'RESUMEN TOTAL'!W364</f>
        <v>APAGADO</v>
      </c>
      <c r="O359" t="str">
        <f>'RESUMEN TOTAL'!X364</f>
        <v>APAGADO</v>
      </c>
      <c r="P359" t="str">
        <f>'RESUMEN TOTAL'!Y364</f>
        <v>APAGADO</v>
      </c>
      <c r="Q359">
        <f>'RESUMEN TOTAL'!Z364</f>
        <v>0</v>
      </c>
      <c r="R359" t="str">
        <f>'RESUMEN TOTAL'!AA364</f>
        <v>APAGADO</v>
      </c>
      <c r="S359" t="str">
        <f>'RESUMEN TOTAL'!AB364</f>
        <v>APAGADO</v>
      </c>
      <c r="T359">
        <f>'RESUMEN TOTAL'!AC364</f>
        <v>0</v>
      </c>
      <c r="U359">
        <f>'RESUMEN TOTAL'!AD364</f>
        <v>0</v>
      </c>
      <c r="V359">
        <f>'RESUMEN TOTAL'!AE364</f>
        <v>0</v>
      </c>
      <c r="W359">
        <f>'RESUMEN TOTAL'!AF364</f>
        <v>0</v>
      </c>
      <c r="X359">
        <f>'RESUMEN TOTAL'!AG364</f>
        <v>0</v>
      </c>
      <c r="Y359">
        <f>'RESUMEN TOTAL'!AH364</f>
        <v>0</v>
      </c>
      <c r="Z359">
        <f>'RESUMEN TOTAL'!AI364</f>
        <v>0</v>
      </c>
      <c r="AA359">
        <f>'RESUMEN TOTAL'!AJ364</f>
        <v>0</v>
      </c>
      <c r="AB359">
        <f>'RESUMEN TOTAL'!AK364</f>
        <v>0</v>
      </c>
      <c r="AC359">
        <f>'RESUMEN TOTAL'!AL364</f>
        <v>0</v>
      </c>
      <c r="AD359">
        <f>'RESUMEN TOTAL'!AM364</f>
        <v>0</v>
      </c>
      <c r="AE359">
        <f>'RESUMEN TOTAL'!AN364</f>
        <v>0</v>
      </c>
      <c r="AF359">
        <f>'RESUMEN TOTAL'!AO364</f>
        <v>0</v>
      </c>
      <c r="AG359">
        <f>'RESUMEN TOTAL'!AP364</f>
        <v>0</v>
      </c>
    </row>
    <row r="360" spans="1:33" x14ac:dyDescent="0.3">
      <c r="A360" t="str">
        <f>'RESUMEN TOTAL'!A365</f>
        <v>VILLA SUSANA</v>
      </c>
      <c r="B360" t="str">
        <f>'RESUMEN TOTAL'!C365</f>
        <v>VSU 02</v>
      </c>
      <c r="C360" t="str">
        <f>'RESUMEN TOTAL'!D365</f>
        <v>CABELLO Y SANTA FE</v>
      </c>
      <c r="D360" t="str">
        <f>'RESUMEN TOTAL'!E365</f>
        <v>DOMO</v>
      </c>
      <c r="E360" t="str">
        <f>'RESUMEN TOTAL'!F365</f>
        <v>Radio</v>
      </c>
      <c r="F360">
        <f>'RESUMEN TOTAL'!O365</f>
        <v>0</v>
      </c>
      <c r="G360">
        <f>'RESUMEN TOTAL'!P365</f>
        <v>0</v>
      </c>
      <c r="H360">
        <f>'RESUMEN TOTAL'!Q365</f>
        <v>0</v>
      </c>
      <c r="I360">
        <f>'RESUMEN TOTAL'!R365</f>
        <v>0</v>
      </c>
      <c r="J360">
        <f>'RESUMEN TOTAL'!S365</f>
        <v>0</v>
      </c>
      <c r="K360">
        <f>'RESUMEN TOTAL'!T365</f>
        <v>0</v>
      </c>
      <c r="L360">
        <f>'RESUMEN TOTAL'!U365</f>
        <v>0</v>
      </c>
      <c r="M360">
        <f>'RESUMEN TOTAL'!V365</f>
        <v>0</v>
      </c>
      <c r="N360">
        <f>'RESUMEN TOTAL'!W365</f>
        <v>0</v>
      </c>
      <c r="O360">
        <f>'RESUMEN TOTAL'!X365</f>
        <v>0</v>
      </c>
      <c r="P360">
        <f>'RESUMEN TOTAL'!Y365</f>
        <v>0</v>
      </c>
      <c r="Q360">
        <f>'RESUMEN TOTAL'!Z365</f>
        <v>0</v>
      </c>
      <c r="R360">
        <f>'RESUMEN TOTAL'!AA365</f>
        <v>0</v>
      </c>
      <c r="S360">
        <f>'RESUMEN TOTAL'!AB365</f>
        <v>0</v>
      </c>
      <c r="T360">
        <f>'RESUMEN TOTAL'!AC365</f>
        <v>0</v>
      </c>
      <c r="U360">
        <f>'RESUMEN TOTAL'!AD365</f>
        <v>0</v>
      </c>
      <c r="V360">
        <f>'RESUMEN TOTAL'!AE365</f>
        <v>0</v>
      </c>
      <c r="W360">
        <f>'RESUMEN TOTAL'!AF365</f>
        <v>0</v>
      </c>
      <c r="X360">
        <f>'RESUMEN TOTAL'!AG365</f>
        <v>0</v>
      </c>
      <c r="Y360">
        <f>'RESUMEN TOTAL'!AH365</f>
        <v>0</v>
      </c>
      <c r="Z360">
        <f>'RESUMEN TOTAL'!AI365</f>
        <v>0</v>
      </c>
      <c r="AA360">
        <f>'RESUMEN TOTAL'!AJ365</f>
        <v>0</v>
      </c>
      <c r="AB360">
        <f>'RESUMEN TOTAL'!AK365</f>
        <v>0</v>
      </c>
      <c r="AC360">
        <f>'RESUMEN TOTAL'!AL365</f>
        <v>0</v>
      </c>
      <c r="AD360">
        <f>'RESUMEN TOTAL'!AM365</f>
        <v>0</v>
      </c>
      <c r="AE360">
        <f>'RESUMEN TOTAL'!AN365</f>
        <v>0</v>
      </c>
      <c r="AF360">
        <f>'RESUMEN TOTAL'!AO365</f>
        <v>0</v>
      </c>
      <c r="AG360">
        <f>'RESUMEN TOTAL'!AP365</f>
        <v>0</v>
      </c>
    </row>
    <row r="361" spans="1:33" x14ac:dyDescent="0.3">
      <c r="A361" t="str">
        <f>'RESUMEN TOTAL'!A366</f>
        <v>VILLA SUSANA</v>
      </c>
      <c r="B361" t="str">
        <f>'RESUMEN TOTAL'!C366</f>
        <v>VSU 03</v>
      </c>
      <c r="C361" t="str">
        <f>'RESUMEN TOTAL'!D366</f>
        <v>EE.UU Y SERRANO</v>
      </c>
      <c r="D361" t="str">
        <f>'RESUMEN TOTAL'!E366</f>
        <v>DOMO</v>
      </c>
      <c r="E361" t="str">
        <f>'RESUMEN TOTAL'!F366</f>
        <v>Radio</v>
      </c>
      <c r="F361">
        <f>'RESUMEN TOTAL'!O366</f>
        <v>0</v>
      </c>
      <c r="G361">
        <f>'RESUMEN TOTAL'!P366</f>
        <v>0</v>
      </c>
      <c r="H361">
        <f>'RESUMEN TOTAL'!Q366</f>
        <v>0</v>
      </c>
      <c r="I361">
        <f>'RESUMEN TOTAL'!R366</f>
        <v>0</v>
      </c>
      <c r="J361">
        <f>'RESUMEN TOTAL'!S366</f>
        <v>0</v>
      </c>
      <c r="K361">
        <f>'RESUMEN TOTAL'!T366</f>
        <v>0</v>
      </c>
      <c r="L361">
        <f>'RESUMEN TOTAL'!U366</f>
        <v>0</v>
      </c>
      <c r="M361">
        <f>'RESUMEN TOTAL'!V366</f>
        <v>0</v>
      </c>
      <c r="N361">
        <f>'RESUMEN TOTAL'!W366</f>
        <v>0</v>
      </c>
      <c r="O361">
        <f>'RESUMEN TOTAL'!X366</f>
        <v>0</v>
      </c>
      <c r="P361">
        <f>'RESUMEN TOTAL'!Y366</f>
        <v>0</v>
      </c>
      <c r="Q361">
        <f>'RESUMEN TOTAL'!Z366</f>
        <v>0</v>
      </c>
      <c r="R361">
        <f>'RESUMEN TOTAL'!AA366</f>
        <v>0</v>
      </c>
      <c r="S361">
        <f>'RESUMEN TOTAL'!AB366</f>
        <v>0</v>
      </c>
      <c r="T361">
        <f>'RESUMEN TOTAL'!AC366</f>
        <v>0</v>
      </c>
      <c r="U361">
        <f>'RESUMEN TOTAL'!AD366</f>
        <v>0</v>
      </c>
      <c r="V361">
        <f>'RESUMEN TOTAL'!AE366</f>
        <v>0</v>
      </c>
      <c r="W361">
        <f>'RESUMEN TOTAL'!AF366</f>
        <v>0</v>
      </c>
      <c r="X361">
        <f>'RESUMEN TOTAL'!AG366</f>
        <v>0</v>
      </c>
      <c r="Y361">
        <f>'RESUMEN TOTAL'!AH366</f>
        <v>0</v>
      </c>
      <c r="Z361">
        <f>'RESUMEN TOTAL'!AI366</f>
        <v>0</v>
      </c>
      <c r="AA361">
        <f>'RESUMEN TOTAL'!AJ366</f>
        <v>0</v>
      </c>
      <c r="AB361">
        <f>'RESUMEN TOTAL'!AK366</f>
        <v>0</v>
      </c>
      <c r="AC361">
        <f>'RESUMEN TOTAL'!AL366</f>
        <v>0</v>
      </c>
      <c r="AD361">
        <f>'RESUMEN TOTAL'!AM366</f>
        <v>0</v>
      </c>
      <c r="AE361">
        <f>'RESUMEN TOTAL'!AN366</f>
        <v>0</v>
      </c>
      <c r="AF361">
        <f>'RESUMEN TOTAL'!AO366</f>
        <v>0</v>
      </c>
      <c r="AG361">
        <f>'RESUMEN TOTAL'!AP366</f>
        <v>0</v>
      </c>
    </row>
    <row r="362" spans="1:33" x14ac:dyDescent="0.3">
      <c r="A362">
        <f>'RESUMEN TOTAL'!A367</f>
        <v>0</v>
      </c>
      <c r="B362" t="str">
        <f>'RESUMEN TOTAL'!C367</f>
        <v>ZEB 05</v>
      </c>
      <c r="C362" t="str">
        <f>'RESUMEN TOTAL'!D367</f>
        <v>DIAG. GRANADEROS Y 214 BIS</v>
      </c>
      <c r="D362" t="str">
        <f>'RESUMEN TOTAL'!E367</f>
        <v>Domo</v>
      </c>
      <c r="E362" t="str">
        <f>'RESUMEN TOTAL'!F367</f>
        <v>Radio</v>
      </c>
      <c r="F362">
        <f>'RESUMEN TOTAL'!O367</f>
        <v>0</v>
      </c>
      <c r="G362">
        <f>'RESUMEN TOTAL'!P367</f>
        <v>0</v>
      </c>
      <c r="H362">
        <f>'RESUMEN TOTAL'!Q367</f>
        <v>0</v>
      </c>
      <c r="I362">
        <f>'RESUMEN TOTAL'!R367</f>
        <v>0</v>
      </c>
      <c r="J362">
        <f>'RESUMEN TOTAL'!S367</f>
        <v>0</v>
      </c>
      <c r="K362">
        <f>'RESUMEN TOTAL'!T367</f>
        <v>0</v>
      </c>
      <c r="L362">
        <f>'RESUMEN TOTAL'!U367</f>
        <v>0</v>
      </c>
      <c r="M362">
        <f>'RESUMEN TOTAL'!V367</f>
        <v>0</v>
      </c>
      <c r="N362">
        <f>'RESUMEN TOTAL'!W367</f>
        <v>0</v>
      </c>
      <c r="O362">
        <f>'RESUMEN TOTAL'!X367</f>
        <v>0</v>
      </c>
      <c r="P362">
        <f>'RESUMEN TOTAL'!Y367</f>
        <v>0</v>
      </c>
      <c r="Q362">
        <f>'RESUMEN TOTAL'!Z367</f>
        <v>0</v>
      </c>
      <c r="R362">
        <f>'RESUMEN TOTAL'!AA367</f>
        <v>0</v>
      </c>
      <c r="S362">
        <f>'RESUMEN TOTAL'!AB367</f>
        <v>0</v>
      </c>
      <c r="T362">
        <f>'RESUMEN TOTAL'!AC367</f>
        <v>0</v>
      </c>
      <c r="U362">
        <f>'RESUMEN TOTAL'!AD367</f>
        <v>0</v>
      </c>
      <c r="V362">
        <f>'RESUMEN TOTAL'!AE367</f>
        <v>0</v>
      </c>
      <c r="W362">
        <f>'RESUMEN TOTAL'!AF367</f>
        <v>0</v>
      </c>
      <c r="X362">
        <f>'RESUMEN TOTAL'!AG367</f>
        <v>0</v>
      </c>
      <c r="Y362">
        <f>'RESUMEN TOTAL'!AH367</f>
        <v>0</v>
      </c>
      <c r="Z362">
        <f>'RESUMEN TOTAL'!AI367</f>
        <v>0</v>
      </c>
      <c r="AA362">
        <f>'RESUMEN TOTAL'!AJ367</f>
        <v>0</v>
      </c>
      <c r="AB362">
        <f>'RESUMEN TOTAL'!AK367</f>
        <v>0</v>
      </c>
      <c r="AC362">
        <f>'RESUMEN TOTAL'!AL367</f>
        <v>0</v>
      </c>
      <c r="AD362">
        <f>'RESUMEN TOTAL'!AM367</f>
        <v>0</v>
      </c>
      <c r="AE362">
        <f>'RESUMEN TOTAL'!AN367</f>
        <v>0</v>
      </c>
      <c r="AF362">
        <f>'RESUMEN TOTAL'!AO367</f>
        <v>0</v>
      </c>
      <c r="AG362">
        <f>'RESUMEN TOTAL'!AP367</f>
        <v>0</v>
      </c>
    </row>
    <row r="363" spans="1:33" x14ac:dyDescent="0.3">
      <c r="A363" t="str">
        <f>'RESUMEN TOTAL'!A368</f>
        <v>ZEBALLOS</v>
      </c>
      <c r="B363" t="str">
        <f>'RESUMEN TOTAL'!C368</f>
        <v>ZEB02</v>
      </c>
      <c r="C363" t="str">
        <f>'RESUMEN TOTAL'!D368</f>
        <v>Quinquela Martin y Sgo. del Estero</v>
      </c>
      <c r="D363" t="str">
        <f>'RESUMEN TOTAL'!E368</f>
        <v>Domo</v>
      </c>
      <c r="E363" t="str">
        <f>'RESUMEN TOTAL'!F368</f>
        <v>Radio</v>
      </c>
      <c r="F363">
        <f>'RESUMEN TOTAL'!O368</f>
        <v>0</v>
      </c>
      <c r="G363">
        <f>'RESUMEN TOTAL'!P368</f>
        <v>0</v>
      </c>
      <c r="H363">
        <f>'RESUMEN TOTAL'!Q368</f>
        <v>0</v>
      </c>
      <c r="I363">
        <f>'RESUMEN TOTAL'!R368</f>
        <v>0</v>
      </c>
      <c r="J363">
        <f>'RESUMEN TOTAL'!S368</f>
        <v>0</v>
      </c>
      <c r="K363">
        <f>'RESUMEN TOTAL'!T368</f>
        <v>0</v>
      </c>
      <c r="L363">
        <f>'RESUMEN TOTAL'!U368</f>
        <v>0</v>
      </c>
      <c r="M363">
        <f>'RESUMEN TOTAL'!V368</f>
        <v>0</v>
      </c>
      <c r="N363">
        <f>'RESUMEN TOTAL'!W368</f>
        <v>0</v>
      </c>
      <c r="O363">
        <f>'RESUMEN TOTAL'!X368</f>
        <v>0</v>
      </c>
      <c r="P363">
        <f>'RESUMEN TOTAL'!Y368</f>
        <v>0</v>
      </c>
      <c r="Q363">
        <f>'RESUMEN TOTAL'!Z368</f>
        <v>0</v>
      </c>
      <c r="R363">
        <f>'RESUMEN TOTAL'!AA368</f>
        <v>0</v>
      </c>
      <c r="S363">
        <f>'RESUMEN TOTAL'!AB368</f>
        <v>0</v>
      </c>
      <c r="T363">
        <f>'RESUMEN TOTAL'!AC368</f>
        <v>0</v>
      </c>
      <c r="U363">
        <f>'RESUMEN TOTAL'!AD368</f>
        <v>0</v>
      </c>
      <c r="V363">
        <f>'RESUMEN TOTAL'!AE368</f>
        <v>0</v>
      </c>
      <c r="W363">
        <f>'RESUMEN TOTAL'!AF368</f>
        <v>0</v>
      </c>
      <c r="X363">
        <f>'RESUMEN TOTAL'!AG368</f>
        <v>0</v>
      </c>
      <c r="Y363">
        <f>'RESUMEN TOTAL'!AH368</f>
        <v>0</v>
      </c>
      <c r="Z363">
        <f>'RESUMEN TOTAL'!AI368</f>
        <v>0</v>
      </c>
      <c r="AA363">
        <f>'RESUMEN TOTAL'!AJ368</f>
        <v>0</v>
      </c>
      <c r="AB363">
        <f>'RESUMEN TOTAL'!AK368</f>
        <v>0</v>
      </c>
      <c r="AC363">
        <f>'RESUMEN TOTAL'!AL368</f>
        <v>0</v>
      </c>
      <c r="AD363">
        <f>'RESUMEN TOTAL'!AM368</f>
        <v>0</v>
      </c>
      <c r="AE363">
        <f>'RESUMEN TOTAL'!AN368</f>
        <v>0</v>
      </c>
      <c r="AF363">
        <f>'RESUMEN TOTAL'!AO368</f>
        <v>0</v>
      </c>
      <c r="AG363">
        <f>'RESUMEN TOTAL'!AP368</f>
        <v>0</v>
      </c>
    </row>
    <row r="364" spans="1:33" x14ac:dyDescent="0.3">
      <c r="A364" t="str">
        <f>'RESUMEN TOTAL'!A369</f>
        <v>9 DE JULIO</v>
      </c>
      <c r="B364" t="str">
        <f>'RESUMEN TOTAL'!C369</f>
        <v>ZEB03</v>
      </c>
      <c r="C364" t="str">
        <f>'RESUMEN TOTAL'!D369</f>
        <v>Quinquela Martin y Pte. Peron</v>
      </c>
      <c r="D364" t="str">
        <f>'RESUMEN TOTAL'!E369</f>
        <v>Domo</v>
      </c>
      <c r="E364" t="str">
        <f>'RESUMEN TOTAL'!F369</f>
        <v>Radio</v>
      </c>
      <c r="F364" t="str">
        <f>'RESUMEN TOTAL'!O369</f>
        <v>APAGADO</v>
      </c>
      <c r="G364" t="str">
        <f>'RESUMEN TOTAL'!P369</f>
        <v>APAGADO</v>
      </c>
      <c r="H364" t="str">
        <f>'RESUMEN TOTAL'!Q369</f>
        <v>APAGADO</v>
      </c>
      <c r="I364" t="str">
        <f>'RESUMEN TOTAL'!R369</f>
        <v>APAGADO</v>
      </c>
      <c r="J364" t="str">
        <f>'RESUMEN TOTAL'!S369</f>
        <v>APAGADO</v>
      </c>
      <c r="K364" t="str">
        <f>'RESUMEN TOTAL'!T369</f>
        <v>APAGADO</v>
      </c>
      <c r="L364" t="str">
        <f>'RESUMEN TOTAL'!U369</f>
        <v>APAGADO</v>
      </c>
      <c r="M364" t="str">
        <f>'RESUMEN TOTAL'!V369</f>
        <v>APAGADO</v>
      </c>
      <c r="N364" t="str">
        <f>'RESUMEN TOTAL'!W369</f>
        <v>APAGADO</v>
      </c>
      <c r="O364" t="str">
        <f>'RESUMEN TOTAL'!X369</f>
        <v>APAGADO</v>
      </c>
      <c r="P364" t="str">
        <f>'RESUMEN TOTAL'!Y369</f>
        <v>APAGADO</v>
      </c>
      <c r="Q364">
        <f>'RESUMEN TOTAL'!Z369</f>
        <v>0</v>
      </c>
      <c r="R364">
        <f>'RESUMEN TOTAL'!AA369</f>
        <v>0</v>
      </c>
      <c r="S364">
        <f>'RESUMEN TOTAL'!AB369</f>
        <v>0</v>
      </c>
      <c r="T364">
        <f>'RESUMEN TOTAL'!AC369</f>
        <v>0</v>
      </c>
      <c r="U364">
        <f>'RESUMEN TOTAL'!AD369</f>
        <v>0</v>
      </c>
      <c r="V364">
        <f>'RESUMEN TOTAL'!AE369</f>
        <v>0</v>
      </c>
      <c r="W364">
        <f>'RESUMEN TOTAL'!AF369</f>
        <v>0</v>
      </c>
      <c r="X364">
        <f>'RESUMEN TOTAL'!AG369</f>
        <v>0</v>
      </c>
      <c r="Y364">
        <f>'RESUMEN TOTAL'!AH369</f>
        <v>0</v>
      </c>
      <c r="Z364">
        <f>'RESUMEN TOTAL'!AI369</f>
        <v>0</v>
      </c>
      <c r="AA364">
        <f>'RESUMEN TOTAL'!AJ369</f>
        <v>0</v>
      </c>
      <c r="AB364">
        <f>'RESUMEN TOTAL'!AK369</f>
        <v>0</v>
      </c>
      <c r="AC364">
        <f>'RESUMEN TOTAL'!AL369</f>
        <v>0</v>
      </c>
      <c r="AD364">
        <f>'RESUMEN TOTAL'!AM369</f>
        <v>0</v>
      </c>
      <c r="AE364">
        <f>'RESUMEN TOTAL'!AN369</f>
        <v>0</v>
      </c>
      <c r="AF364">
        <f>'RESUMEN TOTAL'!AO369</f>
        <v>0</v>
      </c>
      <c r="AG364">
        <f>'RESUMEN TOTAL'!AP369</f>
        <v>0</v>
      </c>
    </row>
    <row r="365" spans="1:33" x14ac:dyDescent="0.3">
      <c r="A365">
        <f>'RESUMEN TOTAL'!A370</f>
        <v>0</v>
      </c>
      <c r="B365" t="str">
        <f>'RESUMEN TOTAL'!C370</f>
        <v>ZEB04</v>
      </c>
      <c r="C365" t="str">
        <f>'RESUMEN TOTAL'!D370</f>
        <v>THEVENET Y DIAGONAL GRANADEROS</v>
      </c>
      <c r="D365" t="str">
        <f>'RESUMEN TOTAL'!E370</f>
        <v>DOMO</v>
      </c>
      <c r="E365" t="str">
        <f>'RESUMEN TOTAL'!F370</f>
        <v>Radio</v>
      </c>
      <c r="F365">
        <f>'RESUMEN TOTAL'!O370</f>
        <v>0</v>
      </c>
      <c r="G365">
        <f>'RESUMEN TOTAL'!P370</f>
        <v>0</v>
      </c>
      <c r="H365">
        <f>'RESUMEN TOTAL'!Q370</f>
        <v>0</v>
      </c>
      <c r="I365">
        <f>'RESUMEN TOTAL'!R370</f>
        <v>0</v>
      </c>
      <c r="J365">
        <f>'RESUMEN TOTAL'!S370</f>
        <v>0</v>
      </c>
      <c r="K365">
        <f>'RESUMEN TOTAL'!T370</f>
        <v>0</v>
      </c>
      <c r="L365">
        <f>'RESUMEN TOTAL'!U370</f>
        <v>0</v>
      </c>
      <c r="M365">
        <f>'RESUMEN TOTAL'!V370</f>
        <v>0</v>
      </c>
      <c r="N365">
        <f>'RESUMEN TOTAL'!W370</f>
        <v>0</v>
      </c>
      <c r="O365">
        <f>'RESUMEN TOTAL'!X370</f>
        <v>0</v>
      </c>
      <c r="P365">
        <f>'RESUMEN TOTAL'!Y370</f>
        <v>0</v>
      </c>
      <c r="Q365">
        <f>'RESUMEN TOTAL'!Z370</f>
        <v>0</v>
      </c>
      <c r="R365">
        <f>'RESUMEN TOTAL'!AA370</f>
        <v>0</v>
      </c>
      <c r="S365">
        <f>'RESUMEN TOTAL'!AB370</f>
        <v>0</v>
      </c>
      <c r="T365">
        <f>'RESUMEN TOTAL'!AC370</f>
        <v>0</v>
      </c>
      <c r="U365">
        <f>'RESUMEN TOTAL'!AD370</f>
        <v>0</v>
      </c>
      <c r="V365">
        <f>'RESUMEN TOTAL'!AE370</f>
        <v>0</v>
      </c>
      <c r="W365">
        <f>'RESUMEN TOTAL'!AF370</f>
        <v>0</v>
      </c>
      <c r="X365">
        <f>'RESUMEN TOTAL'!AG370</f>
        <v>0</v>
      </c>
      <c r="Y365">
        <f>'RESUMEN TOTAL'!AH370</f>
        <v>0</v>
      </c>
      <c r="Z365">
        <f>'RESUMEN TOTAL'!AI370</f>
        <v>0</v>
      </c>
      <c r="AA365">
        <f>'RESUMEN TOTAL'!AJ370</f>
        <v>0</v>
      </c>
      <c r="AB365">
        <f>'RESUMEN TOTAL'!AK370</f>
        <v>0</v>
      </c>
      <c r="AC365">
        <f>'RESUMEN TOTAL'!AL370</f>
        <v>0</v>
      </c>
      <c r="AD365">
        <f>'RESUMEN TOTAL'!AM370</f>
        <v>0</v>
      </c>
      <c r="AE365">
        <f>'RESUMEN TOTAL'!AN370</f>
        <v>0</v>
      </c>
      <c r="AF365">
        <f>'RESUMEN TOTAL'!AO370</f>
        <v>0</v>
      </c>
      <c r="AG365">
        <f>'RESUMEN TOTAL'!AP370</f>
        <v>0</v>
      </c>
    </row>
    <row r="366" spans="1:33" x14ac:dyDescent="0.3">
      <c r="A366" t="str">
        <f>'RESUMEN TOTAL'!A371</f>
        <v>SANTA ANA</v>
      </c>
      <c r="B366" t="str">
        <f>'RESUMEN TOTAL'!C371</f>
        <v>SAN01</v>
      </c>
      <c r="C366" t="str">
        <f>'RESUMEN TOTAL'!D371</f>
        <v>HUDSON Y SUIPACHA FIJA 1</v>
      </c>
      <c r="D366" t="str">
        <f>'RESUMEN TOTAL'!E371</f>
        <v>Fija</v>
      </c>
      <c r="E366" t="str">
        <f>'RESUMEN TOTAL'!F371</f>
        <v>Fibra Optica</v>
      </c>
      <c r="F366">
        <f>'RESUMEN TOTAL'!O371</f>
        <v>0</v>
      </c>
      <c r="G366">
        <f>'RESUMEN TOTAL'!P371</f>
        <v>0</v>
      </c>
      <c r="H366">
        <f>'RESUMEN TOTAL'!Q371</f>
        <v>0</v>
      </c>
      <c r="I366">
        <f>'RESUMEN TOTAL'!R371</f>
        <v>0</v>
      </c>
      <c r="J366">
        <f>'RESUMEN TOTAL'!S371</f>
        <v>0</v>
      </c>
      <c r="K366">
        <f>'RESUMEN TOTAL'!T371</f>
        <v>0</v>
      </c>
      <c r="L366">
        <f>'RESUMEN TOTAL'!U371</f>
        <v>0</v>
      </c>
      <c r="M366">
        <f>'RESUMEN TOTAL'!V371</f>
        <v>0</v>
      </c>
      <c r="N366">
        <f>'RESUMEN TOTAL'!W371</f>
        <v>0</v>
      </c>
      <c r="O366">
        <f>'RESUMEN TOTAL'!X371</f>
        <v>0</v>
      </c>
      <c r="P366">
        <f>'RESUMEN TOTAL'!Y371</f>
        <v>0</v>
      </c>
      <c r="Q366">
        <f>'RESUMEN TOTAL'!Z371</f>
        <v>0</v>
      </c>
      <c r="R366">
        <f>'RESUMEN TOTAL'!AA371</f>
        <v>0</v>
      </c>
      <c r="S366">
        <f>'RESUMEN TOTAL'!AB371</f>
        <v>0</v>
      </c>
      <c r="T366">
        <f>'RESUMEN TOTAL'!AC371</f>
        <v>0</v>
      </c>
      <c r="U366">
        <f>'RESUMEN TOTAL'!AD371</f>
        <v>0</v>
      </c>
      <c r="V366">
        <f>'RESUMEN TOTAL'!AE371</f>
        <v>0</v>
      </c>
      <c r="W366">
        <f>'RESUMEN TOTAL'!AF371</f>
        <v>0</v>
      </c>
      <c r="X366">
        <f>'RESUMEN TOTAL'!AG371</f>
        <v>0</v>
      </c>
      <c r="Y366">
        <f>'RESUMEN TOTAL'!AH371</f>
        <v>0</v>
      </c>
      <c r="Z366">
        <f>'RESUMEN TOTAL'!AI371</f>
        <v>0</v>
      </c>
      <c r="AA366">
        <f>'RESUMEN TOTAL'!AJ371</f>
        <v>0</v>
      </c>
      <c r="AB366">
        <f>'RESUMEN TOTAL'!AK371</f>
        <v>0</v>
      </c>
      <c r="AC366">
        <f>'RESUMEN TOTAL'!AL371</f>
        <v>0</v>
      </c>
      <c r="AD366">
        <f>'RESUMEN TOTAL'!AM371</f>
        <v>0</v>
      </c>
      <c r="AE366">
        <f>'RESUMEN TOTAL'!AN371</f>
        <v>0</v>
      </c>
      <c r="AF366">
        <f>'RESUMEN TOTAL'!AO371</f>
        <v>0</v>
      </c>
      <c r="AG366">
        <f>'RESUMEN TOTAL'!AP371</f>
        <v>0</v>
      </c>
    </row>
    <row r="367" spans="1:33" x14ac:dyDescent="0.3">
      <c r="A367" t="str">
        <f>'RESUMEN TOTAL'!A372</f>
        <v>SANTA ANA</v>
      </c>
      <c r="B367" t="str">
        <f>'RESUMEN TOTAL'!C372</f>
        <v>SAN02</v>
      </c>
      <c r="C367" t="str">
        <f>'RESUMEN TOTAL'!D372</f>
        <v>HUDSON Y SUIPACHA FIJA 2</v>
      </c>
      <c r="D367" t="str">
        <f>'RESUMEN TOTAL'!E372</f>
        <v>Fija</v>
      </c>
      <c r="E367" t="str">
        <f>'RESUMEN TOTAL'!F372</f>
        <v>Fibra Optica</v>
      </c>
      <c r="F367">
        <f>'RESUMEN TOTAL'!O372</f>
        <v>0</v>
      </c>
      <c r="G367">
        <f>'RESUMEN TOTAL'!P372</f>
        <v>0</v>
      </c>
      <c r="H367">
        <f>'RESUMEN TOTAL'!Q372</f>
        <v>0</v>
      </c>
      <c r="I367">
        <f>'RESUMEN TOTAL'!R372</f>
        <v>0</v>
      </c>
      <c r="J367">
        <f>'RESUMEN TOTAL'!S372</f>
        <v>0</v>
      </c>
      <c r="K367">
        <f>'RESUMEN TOTAL'!T372</f>
        <v>0</v>
      </c>
      <c r="L367">
        <f>'RESUMEN TOTAL'!U372</f>
        <v>0</v>
      </c>
      <c r="M367">
        <f>'RESUMEN TOTAL'!V372</f>
        <v>0</v>
      </c>
      <c r="N367">
        <f>'RESUMEN TOTAL'!W372</f>
        <v>0</v>
      </c>
      <c r="O367">
        <f>'RESUMEN TOTAL'!X372</f>
        <v>0</v>
      </c>
      <c r="P367">
        <f>'RESUMEN TOTAL'!Y372</f>
        <v>0</v>
      </c>
      <c r="Q367">
        <f>'RESUMEN TOTAL'!Z372</f>
        <v>0</v>
      </c>
      <c r="R367">
        <f>'RESUMEN TOTAL'!AA372</f>
        <v>0</v>
      </c>
      <c r="S367">
        <f>'RESUMEN TOTAL'!AB372</f>
        <v>0</v>
      </c>
      <c r="T367">
        <f>'RESUMEN TOTAL'!AC372</f>
        <v>0</v>
      </c>
      <c r="U367">
        <f>'RESUMEN TOTAL'!AD372</f>
        <v>0</v>
      </c>
      <c r="V367">
        <f>'RESUMEN TOTAL'!AE372</f>
        <v>0</v>
      </c>
      <c r="W367">
        <f>'RESUMEN TOTAL'!AF372</f>
        <v>0</v>
      </c>
      <c r="X367">
        <f>'RESUMEN TOTAL'!AG372</f>
        <v>0</v>
      </c>
      <c r="Y367">
        <f>'RESUMEN TOTAL'!AH372</f>
        <v>0</v>
      </c>
      <c r="Z367">
        <f>'RESUMEN TOTAL'!AI372</f>
        <v>0</v>
      </c>
      <c r="AA367">
        <f>'RESUMEN TOTAL'!AJ372</f>
        <v>0</v>
      </c>
      <c r="AB367">
        <f>'RESUMEN TOTAL'!AK372</f>
        <v>0</v>
      </c>
      <c r="AC367">
        <f>'RESUMEN TOTAL'!AL372</f>
        <v>0</v>
      </c>
      <c r="AD367">
        <f>'RESUMEN TOTAL'!AM372</f>
        <v>0</v>
      </c>
      <c r="AE367">
        <f>'RESUMEN TOTAL'!AN372</f>
        <v>0</v>
      </c>
      <c r="AF367">
        <f>'RESUMEN TOTAL'!AO372</f>
        <v>0</v>
      </c>
      <c r="AG367">
        <f>'RESUMEN TOTAL'!AP372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53</v>
      </c>
      <c r="S1" s="27">
        <f t="shared" si="0"/>
        <v>57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 t="str">
        <f>ESTADISTICA!S325</f>
        <v>APAGADO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 t="str">
        <f>ESTADISTICA!S326</f>
        <v>APAGADO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 t="str">
        <f>ESTADISTICA!R359</f>
        <v>APAGADO</v>
      </c>
      <c r="S360" t="str">
        <f>ESTADISTICA!S359</f>
        <v>APAGADO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842" priority="1" operator="equal">
      <formula>0</formula>
    </cfRule>
    <cfRule type="cellIs" dxfId="8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3" sqref="A3:XFD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1323</v>
      </c>
      <c r="D1" s="55">
        <f>COUNTIFS(E4:E369,"=Fibra Optica")</f>
        <v>237</v>
      </c>
    </row>
    <row r="2" spans="1:36" ht="21" x14ac:dyDescent="0.4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45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8">
      <filters>
        <filter val="APAGADO"/>
      </filters>
    </filterColumn>
  </autoFilter>
  <conditionalFormatting sqref="F9:AG360">
    <cfRule type="containsText" dxfId="8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1324</v>
      </c>
      <c r="D1" s="56">
        <f>COUNTIFS(E4:E367,"=PTP A FO")</f>
        <v>38</v>
      </c>
    </row>
    <row r="2" spans="1:36" ht="21" x14ac:dyDescent="0.4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8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8">
      <filters>
        <filter val="APAGADO"/>
      </filters>
    </filterColumn>
  </autoFilter>
  <conditionalFormatting sqref="AE3:AE1048576">
    <cfRule type="containsText" dxfId="839" priority="2" operator="containsText" text="APAGADO">
      <formula>NOT(ISERROR(SEARCH("APAGADO",AE3)))</formula>
    </cfRule>
  </conditionalFormatting>
  <conditionalFormatting sqref="F4:AG370">
    <cfRule type="containsText" dxfId="8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6" t="s">
        <v>1325</v>
      </c>
      <c r="D1" s="56">
        <f>COUNTIFS(E4:E367,"=radio")</f>
        <v>90</v>
      </c>
    </row>
    <row r="2" spans="1:36" ht="21" x14ac:dyDescent="0.4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4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 t="str">
        <f>ESTADISTICA!S247</f>
        <v>APAGADO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 t="str">
        <f>ESTADISTICA!S268</f>
        <v>APAGADO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 t="str">
        <f>ESTADISTICA!S269</f>
        <v>APAGADO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 t="str">
        <f>ESTADISTICA!S277</f>
        <v>APAGADO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 t="str">
        <f>ESTADISTICA!S326</f>
        <v>APAGADO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8">
      <filters>
        <filter val="APAGADO"/>
      </filters>
    </filterColumn>
  </autoFilter>
  <conditionalFormatting sqref="AE3:AE1048576">
    <cfRule type="containsText" dxfId="837" priority="2" operator="containsText" text="APAGADO">
      <formula>NOT(ISERROR(SEARCH("APAGADO",AE3)))</formula>
    </cfRule>
  </conditionalFormatting>
  <conditionalFormatting sqref="F4:AG370">
    <cfRule type="containsText" dxfId="8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E25" sqref="E25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368</v>
      </c>
    </row>
    <row r="3" spans="1:6" x14ac:dyDescent="0.3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368</v>
      </c>
    </row>
    <row r="4" spans="1:6" x14ac:dyDescent="0.3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368</v>
      </c>
    </row>
    <row r="5" spans="1:6" x14ac:dyDescent="0.3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368</v>
      </c>
    </row>
    <row r="6" spans="1:6" x14ac:dyDescent="0.3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368</v>
      </c>
    </row>
    <row r="7" spans="1:6" x14ac:dyDescent="0.3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368</v>
      </c>
    </row>
    <row r="8" spans="1:6" x14ac:dyDescent="0.3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368</v>
      </c>
    </row>
    <row r="9" spans="1:6" x14ac:dyDescent="0.3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368</v>
      </c>
    </row>
    <row r="10" spans="1:6" x14ac:dyDescent="0.3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368</v>
      </c>
    </row>
    <row r="11" spans="1:6" x14ac:dyDescent="0.3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368</v>
      </c>
    </row>
    <row r="12" spans="1:6" x14ac:dyDescent="0.3">
      <c r="A12" s="26">
        <f>'APAGADOS RADIO'!P3</f>
        <v>44631</v>
      </c>
      <c r="B12">
        <f>'APAGADOS RADIO'!P2+D12</f>
        <v>17</v>
      </c>
      <c r="C12" s="31">
        <f>'APAGADOS FIBRA'!P2</f>
        <v>42</v>
      </c>
      <c r="D12">
        <f>'APAGADOS ANTENA'!P2</f>
        <v>11</v>
      </c>
      <c r="E12">
        <f t="shared" ref="E12:E16" si="4">B12+C12</f>
        <v>59</v>
      </c>
      <c r="F12">
        <f>'RESUMEN TOTAL'!C1</f>
        <v>368</v>
      </c>
    </row>
    <row r="13" spans="1:6" x14ac:dyDescent="0.3">
      <c r="A13" s="26">
        <f>'APAGADOS RADIO'!Q3</f>
        <v>44632</v>
      </c>
      <c r="B13">
        <f>'APAGADOS RADIO'!Q2+D13</f>
        <v>12</v>
      </c>
      <c r="C13" s="31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6">
        <f>'APAGADOS RADIO'!R3</f>
        <v>44633</v>
      </c>
      <c r="B14">
        <f>'APAGADOS RADIO'!R2+D14</f>
        <v>15</v>
      </c>
      <c r="C14" s="31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6">
        <f>'APAGADOS RADIO'!S3</f>
        <v>44634</v>
      </c>
      <c r="B15">
        <f>'APAGADOS RADIO'!S2+D15</f>
        <v>12</v>
      </c>
      <c r="C15" s="31">
        <f>'APAGADOS FIBRA'!S2</f>
        <v>45</v>
      </c>
      <c r="D15">
        <f>'APAGADOS ANTENA'!S2</f>
        <v>8</v>
      </c>
      <c r="E15">
        <f t="shared" si="4"/>
        <v>57</v>
      </c>
      <c r="F15">
        <f>'RESUMEN TOTAL'!C1</f>
        <v>368</v>
      </c>
    </row>
    <row r="16" spans="1:6" x14ac:dyDescent="0.3">
      <c r="A16" s="26">
        <f>'APAGADOS RADIO'!T3</f>
        <v>44635</v>
      </c>
      <c r="C16" s="31"/>
      <c r="F16">
        <f>'RESUMEN TOTAL'!C1</f>
        <v>368</v>
      </c>
    </row>
    <row r="17" spans="1:6" x14ac:dyDescent="0.3">
      <c r="A17" s="26">
        <f>'APAGADOS RADIO'!U3</f>
        <v>44636</v>
      </c>
      <c r="F17">
        <f>'RESUMEN TOTAL'!C1</f>
        <v>368</v>
      </c>
    </row>
    <row r="18" spans="1:6" x14ac:dyDescent="0.3">
      <c r="A18" s="26">
        <f>'APAGADOS RADIO'!V3</f>
        <v>44637</v>
      </c>
      <c r="F18">
        <f>'RESUMEN TOTAL'!C1</f>
        <v>368</v>
      </c>
    </row>
    <row r="19" spans="1:6" x14ac:dyDescent="0.3">
      <c r="A19" s="26">
        <f>'APAGADOS RADIO'!W3</f>
        <v>44638</v>
      </c>
      <c r="F19">
        <f>'RESUMEN TOTAL'!C1</f>
        <v>368</v>
      </c>
    </row>
    <row r="20" spans="1:6" x14ac:dyDescent="0.3">
      <c r="A20" s="26">
        <f>'APAGADOS RADIO'!X3</f>
        <v>44639</v>
      </c>
      <c r="C20" s="31"/>
      <c r="F20">
        <f>'RESUMEN TOTAL'!C1</f>
        <v>368</v>
      </c>
    </row>
    <row r="21" spans="1:6" x14ac:dyDescent="0.3">
      <c r="A21" s="26">
        <f>'APAGADOS RADIO'!Y3</f>
        <v>44640</v>
      </c>
      <c r="F21">
        <f>'RESUMEN TOTAL'!C1</f>
        <v>368</v>
      </c>
    </row>
    <row r="22" spans="1:6" x14ac:dyDescent="0.3">
      <c r="A22" s="26">
        <f>'APAGADOS RADIO'!Z3</f>
        <v>44641</v>
      </c>
      <c r="B22" s="31"/>
      <c r="C22" s="31"/>
      <c r="F22">
        <f>'RESUMEN TOTAL'!C1</f>
        <v>368</v>
      </c>
    </row>
    <row r="23" spans="1:6" x14ac:dyDescent="0.3">
      <c r="A23" s="26">
        <f>'APAGADOS RADIO'!AA3</f>
        <v>44642</v>
      </c>
      <c r="B23" s="31"/>
      <c r="C23" s="31"/>
      <c r="F23">
        <f>'RESUMEN TOTAL'!C1</f>
        <v>368</v>
      </c>
    </row>
    <row r="24" spans="1:6" x14ac:dyDescent="0.3">
      <c r="A24" s="26">
        <f>'APAGADOS RADIO'!AB3</f>
        <v>44643</v>
      </c>
      <c r="B24" s="31"/>
      <c r="C24" s="31"/>
      <c r="F24">
        <f>'RESUMEN TOTAL'!C1</f>
        <v>368</v>
      </c>
    </row>
    <row r="25" spans="1:6" x14ac:dyDescent="0.3">
      <c r="A25" s="26">
        <f>'APAGADOS RADIO'!AC3</f>
        <v>44644</v>
      </c>
      <c r="B25" s="31"/>
      <c r="C25" s="31"/>
      <c r="F25">
        <f>'RESUMEN TOTAL'!C1</f>
        <v>368</v>
      </c>
    </row>
    <row r="26" spans="1:6" x14ac:dyDescent="0.3">
      <c r="A26" s="26">
        <f>'APAGADOS RADIO'!AD3</f>
        <v>44645</v>
      </c>
      <c r="B26" s="31"/>
      <c r="C26" s="31"/>
      <c r="F26">
        <f>'RESUMEN TOTAL'!C1</f>
        <v>368</v>
      </c>
    </row>
    <row r="27" spans="1:6" x14ac:dyDescent="0.3">
      <c r="A27" s="26">
        <f>'APAGADOS RADIO'!AE3</f>
        <v>44646</v>
      </c>
      <c r="F27">
        <f>'RESUMEN TOTAL'!C1</f>
        <v>368</v>
      </c>
    </row>
    <row r="28" spans="1:6" x14ac:dyDescent="0.3">
      <c r="A28" s="26">
        <f>'APAGADOS RADIO'!AF3</f>
        <v>44647</v>
      </c>
      <c r="F28">
        <f>'RESUMEN TOTAL'!C1</f>
        <v>368</v>
      </c>
    </row>
    <row r="29" spans="1:6" x14ac:dyDescent="0.3">
      <c r="A29" s="26">
        <f>'APAGADOS RADIO'!AG3</f>
        <v>44648</v>
      </c>
      <c r="F29">
        <f>'RESUMEN TOTAL'!C1</f>
        <v>368</v>
      </c>
    </row>
    <row r="30" spans="1:6" x14ac:dyDescent="0.3">
      <c r="A30" s="26">
        <f>'APAGADOS RADIO'!AH3</f>
        <v>44649</v>
      </c>
      <c r="F30">
        <f>'RESUMEN TOTAL'!C1</f>
        <v>368</v>
      </c>
    </row>
    <row r="31" spans="1:6" x14ac:dyDescent="0.3">
      <c r="A31" s="26">
        <f>'APAGADOS RADIO'!AI3</f>
        <v>44650</v>
      </c>
      <c r="F31">
        <f>'RESUMEN TOTAL'!C1</f>
        <v>368</v>
      </c>
    </row>
    <row r="32" spans="1:6" x14ac:dyDescent="0.3">
      <c r="A32" s="26">
        <f>'APAGADOS RADIO'!AJ3</f>
        <v>44651</v>
      </c>
      <c r="F32">
        <f>'RESUMEN TOTAL'!C1</f>
        <v>368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2022-03-14T20:27:01Z</dcterms:modified>
</cp:coreProperties>
</file>