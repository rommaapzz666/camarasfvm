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9161EE89-0FE6-44C5-8073-014B5294E6C6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4" l="1"/>
  <c r="G15" i="14"/>
  <c r="G16" i="14"/>
  <c r="G17" i="14"/>
  <c r="G18" i="14"/>
  <c r="G19" i="14"/>
  <c r="G20" i="14"/>
  <c r="G21" i="14"/>
  <c r="D21" i="14"/>
  <c r="B21" i="14" s="1"/>
  <c r="C21" i="14"/>
  <c r="B20" i="14"/>
  <c r="B19" i="14"/>
  <c r="B18" i="14"/>
  <c r="B17" i="14"/>
  <c r="B16" i="14"/>
  <c r="B15" i="14"/>
  <c r="B14" i="14"/>
  <c r="D20" i="14"/>
  <c r="D19" i="14"/>
  <c r="D18" i="14"/>
  <c r="D17" i="14"/>
  <c r="D16" i="14"/>
  <c r="D15" i="14"/>
  <c r="D14" i="14"/>
  <c r="C20" i="14"/>
  <c r="C19" i="14"/>
  <c r="C18" i="14"/>
  <c r="C17" i="14"/>
  <c r="C16" i="14"/>
  <c r="C15" i="14"/>
  <c r="C14" i="14"/>
  <c r="G3" i="14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E21" i="14" l="1"/>
  <c r="E19" i="14"/>
  <c r="E20" i="14"/>
  <c r="E18" i="14"/>
  <c r="E17" i="14"/>
  <c r="E16" i="14"/>
  <c r="E15" i="14"/>
  <c r="E14" i="14"/>
  <c r="N377" i="2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N309" i="2" s="1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N363" i="2" s="1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25" i="2" l="1"/>
  <c r="N334" i="2"/>
  <c r="N310" i="2"/>
  <c r="N327" i="2"/>
  <c r="N247" i="2"/>
  <c r="N343" i="2"/>
  <c r="N355" i="2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<sst xmlns="http://schemas.openxmlformats.org/spreadsheetml/2006/main" count="3266" uniqueCount="1351">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</sst>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AH197" activePane="bottomRight" state="frozen"/>
      <selection pane="topRight" activeCell="M1" sqref="M1"/>
      <selection pane="bottomLeft" activeCell="A5" sqref="A5"/>
      <selection pane="bottomRight" activeCell="AH207" sqref="AH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12</v>
      </c>
      <c r="M7" s="17">
        <f t="shared" si="6"/>
        <v>16</v>
      </c>
      <c r="N7" s="18">
        <f t="shared" si="7"/>
        <v>0.42857142857142855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25</v>
      </c>
      <c r="M12" s="17">
        <f t="shared" si="6"/>
        <v>3</v>
      </c>
      <c r="N12" s="18">
        <f t="shared" si="7"/>
        <v>0.8928571428571429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26</v>
      </c>
      <c r="M13" s="17">
        <f t="shared" si="6"/>
        <v>2</v>
      </c>
      <c r="N13" s="18">
        <f t="shared" si="7"/>
        <v>0.9285714285714286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22</v>
      </c>
      <c r="M21" s="17">
        <f t="shared" si="6"/>
        <v>6</v>
      </c>
      <c r="N21" s="18">
        <f t="shared" si="7"/>
        <v>0.7857142857142857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26</v>
      </c>
      <c r="M53" s="17">
        <f t="shared" si="6"/>
        <v>2</v>
      </c>
      <c r="N53" s="18">
        <f t="shared" si="7"/>
        <v>0.9285714285714286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23</v>
      </c>
      <c r="M66" s="17">
        <f t="shared" si="6"/>
        <v>5</v>
      </c>
      <c r="N66" s="18">
        <f t="shared" si="7"/>
        <v>0.8214285714285714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26</v>
      </c>
      <c r="M73" s="17">
        <f t="shared" si="9"/>
        <v>2</v>
      </c>
      <c r="N73" s="18">
        <f t="shared" si="10"/>
        <v>0.9285714285714286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10</v>
      </c>
      <c r="M80" s="17">
        <f t="shared" si="9"/>
        <v>18</v>
      </c>
      <c r="N80" s="18">
        <f t="shared" si="10"/>
        <v>0.35714285714285715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22</v>
      </c>
      <c r="M115" s="17">
        <f t="shared" si="9"/>
        <v>6</v>
      </c>
      <c r="N115" s="18">
        <f t="shared" si="10"/>
        <v>0.7857142857142857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25</v>
      </c>
      <c r="M116" s="17">
        <f t="shared" si="9"/>
        <v>3</v>
      </c>
      <c r="N116" s="18">
        <f t="shared" si="10"/>
        <v>0.8928571428571429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26</v>
      </c>
      <c r="M124" s="17">
        <f t="shared" si="9"/>
        <v>2</v>
      </c>
      <c r="N124" s="18">
        <f t="shared" si="10"/>
        <v>0.9285714285714286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10</v>
      </c>
      <c r="M133" s="17">
        <f t="shared" ref="M133:M196" si="12">COUNTIF(O133:AP133,"APAGADO")</f>
        <v>18</v>
      </c>
      <c r="N133" s="18">
        <f t="shared" ref="N133:N196" si="13">(L133)/(M133+L133)</f>
        <v>0.35714285714285715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18</v>
      </c>
      <c r="M177" s="17">
        <f t="shared" si="12"/>
        <v>10</v>
      </c>
      <c r="N177" s="18">
        <f t="shared" si="13"/>
        <v>0.6428571428571429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26</v>
      </c>
      <c r="M186" s="17">
        <f t="shared" si="12"/>
        <v>2</v>
      </c>
      <c r="N186" s="18">
        <f t="shared" si="13"/>
        <v>0.9285714285714286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27</v>
      </c>
      <c r="M190" s="17">
        <f t="shared" si="12"/>
        <v>1</v>
      </c>
      <c r="N190" s="18">
        <f t="shared" si="13"/>
        <v>0.9642857142857143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10</v>
      </c>
      <c r="M191" s="17">
        <f t="shared" si="12"/>
        <v>18</v>
      </c>
      <c r="N191" s="18">
        <f t="shared" si="13"/>
        <v>0.35714285714285715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10</v>
      </c>
      <c r="M192" s="17">
        <f t="shared" si="12"/>
        <v>18</v>
      </c>
      <c r="N192" s="18">
        <f t="shared" si="13"/>
        <v>0.35714285714285715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16</v>
      </c>
      <c r="M194" s="17">
        <f t="shared" si="12"/>
        <v>12</v>
      </c>
      <c r="N194" s="18">
        <f t="shared" si="13"/>
        <v>0.5714285714285714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20</v>
      </c>
      <c r="M199" s="17">
        <f t="shared" si="15"/>
        <v>8</v>
      </c>
      <c r="N199" s="18">
        <f t="shared" si="16"/>
        <v>0.7142857142857143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20</v>
      </c>
      <c r="M200" s="17">
        <f t="shared" si="15"/>
        <v>8</v>
      </c>
      <c r="N200" s="18">
        <f t="shared" si="16"/>
        <v>0.7142857142857143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10</v>
      </c>
      <c r="M206" s="17">
        <f t="shared" si="15"/>
        <v>18</v>
      </c>
      <c r="N206" s="18">
        <f t="shared" si="16"/>
        <v>0.35714285714285715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26</v>
      </c>
      <c r="M227" s="17">
        <f t="shared" si="15"/>
        <v>2</v>
      </c>
      <c r="N227" s="18">
        <f t="shared" si="16"/>
        <v>0.9285714285714286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21</v>
      </c>
      <c r="M241" s="17">
        <f t="shared" si="15"/>
        <v>7</v>
      </c>
      <c r="N241" s="18">
        <f t="shared" si="16"/>
        <v>0.75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21</v>
      </c>
      <c r="M244" s="17">
        <f t="shared" si="15"/>
        <v>7</v>
      </c>
      <c r="N244" s="18">
        <f t="shared" si="16"/>
        <v>0.75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21</v>
      </c>
      <c r="M246" s="17">
        <f t="shared" si="15"/>
        <v>7</v>
      </c>
      <c r="N246" s="18">
        <f t="shared" si="16"/>
        <v>0.75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20</v>
      </c>
      <c r="M289" s="17">
        <f t="shared" si="18"/>
        <v>8</v>
      </c>
      <c r="N289" s="18">
        <f t="shared" si="19"/>
        <v>0.7142857142857143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21</v>
      </c>
      <c r="M296" s="17">
        <f t="shared" si="18"/>
        <v>7</v>
      </c>
      <c r="N296" s="18">
        <f t="shared" si="19"/>
        <v>0.75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10</v>
      </c>
      <c r="M303" s="17">
        <f t="shared" si="18"/>
        <v>18</v>
      </c>
      <c r="N303" s="18">
        <f t="shared" si="19"/>
        <v>0.35714285714285715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25</v>
      </c>
      <c r="M309" s="17">
        <f t="shared" si="18"/>
        <v>3</v>
      </c>
      <c r="N309" s="18">
        <f t="shared" si="19"/>
        <v>0.8928571428571429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26</v>
      </c>
      <c r="M325" s="17">
        <f t="shared" si="18"/>
        <v>2</v>
      </c>
      <c r="N325" s="18">
        <f t="shared" si="19"/>
        <v>0.9285714285714286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25</v>
      </c>
      <c r="M327" s="17">
        <f t="shared" ref="M327:M372" si="21">COUNTIF(O327:AP327,"APAGADO")</f>
        <v>3</v>
      </c>
      <c r="N327" s="18">
        <f t="shared" ref="N327:N372" si="22">(L327)/(M327+L327)</f>
        <v>0.8928571428571429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26</v>
      </c>
      <c r="M334" s="17">
        <f t="shared" si="21"/>
        <v>2</v>
      </c>
      <c r="N334" s="18">
        <f t="shared" si="22"/>
        <v>0.9285714285714286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20</v>
      </c>
      <c r="M343" s="17">
        <f t="shared" si="21"/>
        <v>8</v>
      </c>
      <c r="N343" s="18">
        <f t="shared" si="22"/>
        <v>0.7142857142857143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10</v>
      </c>
      <c r="M352" s="17">
        <f t="shared" si="21"/>
        <v>18</v>
      </c>
      <c r="N352" s="18">
        <f t="shared" si="22"/>
        <v>0.35714285714285715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26</v>
      </c>
      <c r="M363" s="17">
        <f t="shared" si="21"/>
        <v>2</v>
      </c>
      <c r="N363" s="18">
        <f t="shared" si="22"/>
        <v>0.9285714285714286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4" sqref="P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opLeftCell="G13" workbookViewId="0">
      <selection activeCell="H20" sqref="H20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1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3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3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3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3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3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3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3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3">
      <c r="A22" s="25">
        <f>'APAGADOS RADIO'!Z3</f>
        <v>44672</v>
      </c>
      <c r="C22" s="30"/>
      <c r="F22">
        <f>'RESUMEN TOTAL'!C1</f>
        <v>373</v>
      </c>
    </row>
    <row r="23" spans="1:7" x14ac:dyDescent="0.3">
      <c r="A23" s="25">
        <f>'APAGADOS RADIO'!AA3</f>
        <v>44673</v>
      </c>
      <c r="C23" s="30"/>
      <c r="F23">
        <f>'RESUMEN TOTAL'!C1</f>
        <v>373</v>
      </c>
    </row>
    <row r="24" spans="1:7" x14ac:dyDescent="0.3">
      <c r="A24" s="25">
        <f>'APAGADOS RADIO'!AB3</f>
        <v>44674</v>
      </c>
      <c r="C24" s="30"/>
      <c r="F24">
        <f>'RESUMEN TOTAL'!C1</f>
        <v>373</v>
      </c>
    </row>
    <row r="25" spans="1:7" x14ac:dyDescent="0.3">
      <c r="A25" s="25">
        <f>'APAGADOS RADIO'!AC3</f>
        <v>44675</v>
      </c>
      <c r="C25" s="30"/>
      <c r="F25">
        <f>'RESUMEN TOTAL'!C1</f>
        <v>373</v>
      </c>
    </row>
    <row r="26" spans="1:7" x14ac:dyDescent="0.3">
      <c r="A26" s="25">
        <f>'APAGADOS RADIO'!AD3</f>
        <v>44676</v>
      </c>
      <c r="C26" s="30"/>
      <c r="F26">
        <f>'RESUMEN TOTAL'!C1</f>
        <v>373</v>
      </c>
    </row>
    <row r="27" spans="1:7" x14ac:dyDescent="0.3">
      <c r="A27" s="25">
        <f>'APAGADOS RADIO'!AE3</f>
        <v>44677</v>
      </c>
      <c r="C27" s="30"/>
      <c r="F27">
        <f>'RESUMEN TOTAL'!C1</f>
        <v>373</v>
      </c>
    </row>
    <row r="28" spans="1:7" x14ac:dyDescent="0.3">
      <c r="A28" s="25">
        <f>'APAGADOS RADIO'!AF3</f>
        <v>44678</v>
      </c>
      <c r="C28" s="30"/>
      <c r="F28">
        <f>'RESUMEN TOTAL'!C1</f>
        <v>373</v>
      </c>
    </row>
    <row r="29" spans="1:7" x14ac:dyDescent="0.3">
      <c r="A29" s="25">
        <f>'APAGADOS RADIO'!AG3</f>
        <v>44679</v>
      </c>
      <c r="C29" s="30"/>
      <c r="F29">
        <f>'RESUMEN TOTAL'!C1</f>
        <v>373</v>
      </c>
    </row>
    <row r="30" spans="1:7" x14ac:dyDescent="0.3">
      <c r="A30" s="25">
        <f>'APAGADOS RADIO'!AH3</f>
        <v>44680</v>
      </c>
      <c r="C30" s="30"/>
      <c r="F30">
        <f>'RESUMEN TOTAL'!C1</f>
        <v>373</v>
      </c>
    </row>
    <row r="31" spans="1:7" x14ac:dyDescent="0.3">
      <c r="A31" s="25">
        <f>'APAGADOS RADIO'!AI3</f>
        <v>44681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 t="shared" ref="E41:E60" si="8"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 t="shared" si="8"/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 t="shared" si="8"/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 t="shared" si="8"/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 t="shared" si="8"/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 t="shared" si="8"/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 t="shared" si="8"/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 t="shared" si="8"/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 t="shared" si="8"/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 t="shared" si="8"/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 t="shared" si="8"/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 t="shared" si="8"/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 t="shared" si="8"/>
        <v>0</v>
      </c>
    </row>
    <row r="54" spans="1:5" x14ac:dyDescent="0.3">
      <c r="A54" s="70"/>
      <c r="B54" s="70">
        <v>373</v>
      </c>
      <c r="D54" s="25">
        <v>44665</v>
      </c>
      <c r="E54" s="77">
        <f t="shared" si="8"/>
        <v>0</v>
      </c>
    </row>
    <row r="55" spans="1:5" x14ac:dyDescent="0.3">
      <c r="A55" s="70"/>
      <c r="B55" s="70">
        <v>373</v>
      </c>
      <c r="D55" s="25">
        <v>44666</v>
      </c>
      <c r="E55" s="77">
        <f t="shared" si="8"/>
        <v>0</v>
      </c>
    </row>
    <row r="56" spans="1:5" x14ac:dyDescent="0.3">
      <c r="A56" s="70"/>
      <c r="B56" s="70">
        <v>373</v>
      </c>
      <c r="D56" s="25">
        <v>44667</v>
      </c>
      <c r="E56" s="77">
        <f t="shared" si="8"/>
        <v>0</v>
      </c>
    </row>
    <row r="57" spans="1:5" x14ac:dyDescent="0.3">
      <c r="A57" s="70"/>
      <c r="B57" s="70">
        <v>373</v>
      </c>
      <c r="D57" s="25">
        <v>44668</v>
      </c>
      <c r="E57" s="77">
        <f t="shared" si="8"/>
        <v>0</v>
      </c>
    </row>
    <row r="58" spans="1:5" x14ac:dyDescent="0.3">
      <c r="A58" s="70"/>
      <c r="B58" s="70">
        <v>373</v>
      </c>
      <c r="D58" s="25">
        <v>44669</v>
      </c>
      <c r="E58" s="77">
        <f t="shared" si="8"/>
        <v>0</v>
      </c>
    </row>
    <row r="59" spans="1:5" x14ac:dyDescent="0.3">
      <c r="A59" s="70"/>
      <c r="B59" s="70">
        <v>373</v>
      </c>
      <c r="D59" s="25">
        <v>44670</v>
      </c>
      <c r="E59" s="77">
        <f t="shared" si="8"/>
        <v>0</v>
      </c>
    </row>
    <row r="60" spans="1:5" x14ac:dyDescent="0.3">
      <c r="A60" s="70"/>
      <c r="B60" s="70">
        <v>373</v>
      </c>
      <c r="D60" s="25">
        <v>44671</v>
      </c>
      <c r="E60" s="77">
        <f t="shared" si="8"/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2022-04-20T12:37:30Z</dcterms:modified>
</cp:coreProperties>
</file>