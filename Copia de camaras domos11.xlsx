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BD4B5CFE-0C71-47DD-B4D7-CACFECFDB87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ado" sheetId="1" r:id="rId1"/>
    <sheet name="resumen" sheetId="2" r:id="rId2"/>
    <sheet name="bonomo" sheetId="3" r:id="rId3"/>
    <sheet name="ivan" sheetId="4" r:id="rId4"/>
  </sheets>
  <definedNames>
    <definedName name="_xlnm._FilterDatabase" localSheetId="2" hidden="1">bonomo!$A$5:$U$144</definedName>
    <definedName name="_xlnm._FilterDatabase" localSheetId="3" hidden="1">ivan!$A$5:$U$144</definedName>
    <definedName name="_xlnm._FilterDatabase" localSheetId="0" hidden="1">listado!$A$5:$U$144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" i="4" l="1"/>
  <c r="X4" i="4"/>
  <c r="T4" i="4"/>
  <c r="S4" i="4"/>
  <c r="R4" i="4"/>
  <c r="Q4" i="4"/>
  <c r="P4" i="4"/>
  <c r="O4" i="4"/>
  <c r="N4" i="4"/>
  <c r="F4" i="4" s="1"/>
  <c r="G4" i="4" s="1"/>
  <c r="M4" i="4"/>
  <c r="F3" i="4" s="1"/>
  <c r="O2" i="4"/>
  <c r="E2" i="4"/>
  <c r="Y4" i="3"/>
  <c r="X4" i="3"/>
  <c r="T4" i="3"/>
  <c r="S4" i="3"/>
  <c r="R4" i="3"/>
  <c r="Q4" i="3"/>
  <c r="P4" i="3"/>
  <c r="O4" i="3"/>
  <c r="N4" i="3"/>
  <c r="F4" i="3" s="1"/>
  <c r="G4" i="3" s="1"/>
  <c r="M4" i="3"/>
  <c r="F3" i="3" s="1"/>
  <c r="O2" i="3"/>
  <c r="E2" i="3"/>
  <c r="L1" i="3" l="1"/>
  <c r="F2" i="4"/>
  <c r="G2" i="4" s="1"/>
  <c r="G3" i="4"/>
  <c r="F2" i="3"/>
  <c r="G2" i="3" s="1"/>
  <c r="G3" i="3"/>
  <c r="E2" i="1" l="1"/>
  <c r="D10" i="2"/>
  <c r="D9" i="2"/>
  <c r="C2" i="2" l="1"/>
  <c r="Y4" i="1" l="1"/>
  <c r="X4" i="1"/>
  <c r="T4" i="1"/>
  <c r="S4" i="1"/>
  <c r="R4" i="1"/>
  <c r="Q4" i="1"/>
  <c r="P4" i="1"/>
  <c r="O4" i="1"/>
  <c r="O2" i="1"/>
  <c r="N4" i="1"/>
  <c r="M4" i="1"/>
  <c r="D4" i="2" l="1"/>
  <c r="E4" i="2" s="1"/>
  <c r="F4" i="1"/>
  <c r="G4" i="1" s="1"/>
  <c r="D3" i="2"/>
  <c r="E3" i="2" s="1"/>
  <c r="F3" i="1"/>
  <c r="F2" i="1" l="1"/>
  <c r="G2" i="1" s="1"/>
  <c r="D2" i="2"/>
  <c r="E2" i="2" s="1"/>
  <c r="G3" i="1"/>
</calcChain>
</file>

<file path=xl/sharedStrings.xml><?xml version="1.0" encoding="utf-8"?>
<sst xmlns="http://schemas.openxmlformats.org/spreadsheetml/2006/main" count="4751" uniqueCount="617">
  <si>
    <t>PATRIMONIO</t>
  </si>
  <si>
    <t>MAC</t>
  </si>
  <si>
    <t>NUMERO DE SERIE</t>
  </si>
  <si>
    <t>IP</t>
  </si>
  <si>
    <t>MASCARA</t>
  </si>
  <si>
    <t>CALLE</t>
  </si>
  <si>
    <t>ENTRE</t>
  </si>
  <si>
    <t>Y ENTRE</t>
  </si>
  <si>
    <t>TIPO</t>
  </si>
  <si>
    <t xml:space="preserve">DOMO </t>
  </si>
  <si>
    <t>FIJA</t>
  </si>
  <si>
    <t>CONEXIÓN</t>
  </si>
  <si>
    <t>PUNTOS MARCADOS</t>
  </si>
  <si>
    <t>PUNTOS INSTALADOS</t>
  </si>
  <si>
    <t>CAMARAS INSTALADAS</t>
  </si>
  <si>
    <t xml:space="preserve"> PUNTOS QUE REPORTAN IMAGEN EN MONITOREO</t>
  </si>
  <si>
    <t>CAMARAS QUE REPORTAN IMAGEN EN MONITOREO</t>
  </si>
  <si>
    <t>CONTRATISTA</t>
  </si>
  <si>
    <t>OBSERVACIONES</t>
  </si>
  <si>
    <t>DOMOS INSTALADOS</t>
  </si>
  <si>
    <t>FIJAS INSTALADAS</t>
  </si>
  <si>
    <t xml:space="preserve">FIBRA= </t>
  </si>
  <si>
    <t>RADIO=</t>
  </si>
  <si>
    <t>00:07:5F:BE:58:F5</t>
  </si>
  <si>
    <t>44593107327101036</t>
  </si>
  <si>
    <t>172.20.11.130</t>
  </si>
  <si>
    <t>255.255.248.0/172.20.12.250</t>
  </si>
  <si>
    <t>Diag. Los Tilos</t>
  </si>
  <si>
    <t>domo</t>
  </si>
  <si>
    <t>FIBRA</t>
  </si>
  <si>
    <t>SI</t>
  </si>
  <si>
    <t>BONOMO SISTEMAS</t>
  </si>
  <si>
    <t>problemas en el contacto del brazo, tambien con el domo. Se cambia brazo y domo. El numero del que se retira es :</t>
  </si>
  <si>
    <t>49806</t>
  </si>
  <si>
    <t>00:07:5F:AB:BB:50</t>
  </si>
  <si>
    <t>44593103708101015</t>
  </si>
  <si>
    <t>00:07:5F:BE:59:01</t>
  </si>
  <si>
    <t>44593107327101031</t>
  </si>
  <si>
    <t>172.20.11.70</t>
  </si>
  <si>
    <t>Novak</t>
  </si>
  <si>
    <t>el Overo</t>
  </si>
  <si>
    <t>00:07:5F:BE:58:0F</t>
  </si>
  <si>
    <t>44593107326101007</t>
  </si>
  <si>
    <t>172.20.11.71</t>
  </si>
  <si>
    <t>Maipu</t>
  </si>
  <si>
    <t>Alvarez Thomas</t>
  </si>
  <si>
    <t>404636603925013210</t>
  </si>
  <si>
    <t>172.20.11.72</t>
  </si>
  <si>
    <t>LPI02</t>
  </si>
  <si>
    <t>Posadas</t>
  </si>
  <si>
    <t>Valentin Gomez</t>
  </si>
  <si>
    <t>fija</t>
  </si>
  <si>
    <t>00:07:5F:BD:54:8F</t>
  </si>
  <si>
    <t>404636603710010024</t>
  </si>
  <si>
    <t>172.20.11.73</t>
  </si>
  <si>
    <t>LPI03</t>
  </si>
  <si>
    <t>00:07:5F:B7:8F:06</t>
  </si>
  <si>
    <t>172.20.11.74</t>
  </si>
  <si>
    <t>Estados Unidos</t>
  </si>
  <si>
    <t>Moreno</t>
  </si>
  <si>
    <t>TUNEL 58</t>
  </si>
  <si>
    <t>00:07:5F:B6:B8:F9</t>
  </si>
  <si>
    <t>404636603924013374</t>
  </si>
  <si>
    <t>172.20.11.75</t>
  </si>
  <si>
    <t>00:07:5F:B4:43:38</t>
  </si>
  <si>
    <t>404636603924013275</t>
  </si>
  <si>
    <t>172.20.11.76</t>
  </si>
  <si>
    <t>Cabello</t>
  </si>
  <si>
    <t>00:07:5F:BC:DF:6D</t>
  </si>
  <si>
    <t>404636603924013333</t>
  </si>
  <si>
    <t>172.20.11.77</t>
  </si>
  <si>
    <t>se Cambio por otra, esta en la oficin ESTA CAMARA</t>
  </si>
  <si>
    <t>00:07:5F:AB:BA:BF</t>
  </si>
  <si>
    <t>044593103708101036</t>
  </si>
  <si>
    <t>172.20.11.78</t>
  </si>
  <si>
    <t>Eva Peron</t>
  </si>
  <si>
    <t>Oroño</t>
  </si>
  <si>
    <t>00:07:5F:B6:B8:C3</t>
  </si>
  <si>
    <t>404636603925013099</t>
  </si>
  <si>
    <t>172.20.11.79</t>
  </si>
  <si>
    <t xml:space="preserve">Oroño </t>
  </si>
  <si>
    <t>ESCUELA 6</t>
  </si>
  <si>
    <t>00:07:5F:B4:17:0B</t>
  </si>
  <si>
    <t>404636603710015049</t>
  </si>
  <si>
    <t>172.20.11.80</t>
  </si>
  <si>
    <t>00:07:5F:AB:B6:1B</t>
  </si>
  <si>
    <t>44593196010101017</t>
  </si>
  <si>
    <t>172.20.11.81</t>
  </si>
  <si>
    <t>LPR01</t>
  </si>
  <si>
    <t>Cacheuta</t>
  </si>
  <si>
    <t>00:07:5F:B4:43:84</t>
  </si>
  <si>
    <t>404636603925012136</t>
  </si>
  <si>
    <t>172.20.11.82</t>
  </si>
  <si>
    <t>00:07:5F:B6:B9:02</t>
  </si>
  <si>
    <t>404636603924013347</t>
  </si>
  <si>
    <t>172.20.11.83</t>
  </si>
  <si>
    <t>00:07:5F:B7:8E:C5</t>
  </si>
  <si>
    <t>404636604026012590</t>
  </si>
  <si>
    <t>172.20.11.131</t>
  </si>
  <si>
    <t>ESM11</t>
  </si>
  <si>
    <t>Lambardi</t>
  </si>
  <si>
    <t>Lieja</t>
  </si>
  <si>
    <t>00:07:5F:B6:B8:9F</t>
  </si>
  <si>
    <t>404636603924013363</t>
  </si>
  <si>
    <t>172.20.11.132</t>
  </si>
  <si>
    <t>ESM12</t>
  </si>
  <si>
    <t>50101</t>
  </si>
  <si>
    <t>00-07-5F-B6-B8-B3</t>
  </si>
  <si>
    <t>404636603926013004</t>
  </si>
  <si>
    <t>172.20.11.133</t>
  </si>
  <si>
    <t>San Martin</t>
  </si>
  <si>
    <t>Boccuzzi</t>
  </si>
  <si>
    <t>50072</t>
  </si>
  <si>
    <t>00:07:5F:B7:85:A1</t>
  </si>
  <si>
    <t>404636603925013022</t>
  </si>
  <si>
    <t>172.20.11.135</t>
  </si>
  <si>
    <t>Peron Juan</t>
  </si>
  <si>
    <t>404636603925013187</t>
  </si>
  <si>
    <t>172.20.11.136</t>
  </si>
  <si>
    <t>404636603924013440</t>
  </si>
  <si>
    <t>172.20.11.137</t>
  </si>
  <si>
    <t>TUNEL</t>
  </si>
  <si>
    <t>lavalle</t>
  </si>
  <si>
    <t>tunel</t>
  </si>
  <si>
    <t>00:07:5F:B6:B9:6F</t>
  </si>
  <si>
    <t>404636603926015018</t>
  </si>
  <si>
    <t>172.20.11.138</t>
  </si>
  <si>
    <t>00:07:5F:B4:4E:C7</t>
  </si>
  <si>
    <t>404636604026012550</t>
  </si>
  <si>
    <t>172.20.11.142</t>
  </si>
  <si>
    <t>Quintana</t>
  </si>
  <si>
    <t>Belgrano</t>
  </si>
  <si>
    <t>Fonrouge</t>
  </si>
  <si>
    <t>50129</t>
  </si>
  <si>
    <t>00:07:5F:BC:DF:66</t>
  </si>
  <si>
    <t>404636603924012220</t>
  </si>
  <si>
    <t>172.20.11.141</t>
  </si>
  <si>
    <t>00:07:5F:B6:C4:42</t>
  </si>
  <si>
    <t>404636604026013565</t>
  </si>
  <si>
    <t>172.20.11.143</t>
  </si>
  <si>
    <t>Andorra</t>
  </si>
  <si>
    <t>Belgica</t>
  </si>
  <si>
    <t>San Marino</t>
  </si>
  <si>
    <t>00:07:5F:BC:67:B7</t>
  </si>
  <si>
    <t>404636603925015003</t>
  </si>
  <si>
    <t>172.20.11.144</t>
  </si>
  <si>
    <t>problemas con la contraseña</t>
  </si>
  <si>
    <t>50093</t>
  </si>
  <si>
    <t>00:07:5F:B6:C4:69</t>
  </si>
  <si>
    <t>40463660406012083</t>
  </si>
  <si>
    <t>172.20.11.145</t>
  </si>
  <si>
    <t>Las Americas</t>
  </si>
  <si>
    <t>Braile</t>
  </si>
  <si>
    <t>Alvarado</t>
  </si>
  <si>
    <t>50049</t>
  </si>
  <si>
    <t>00:07:5F:B4:42:AF</t>
  </si>
  <si>
    <t>404636603924012219</t>
  </si>
  <si>
    <t>172.20.11.146</t>
  </si>
  <si>
    <t>172.20.11.147</t>
  </si>
  <si>
    <t>Berutti</t>
  </si>
  <si>
    <t>El Callao</t>
  </si>
  <si>
    <t>172.20.11.148</t>
  </si>
  <si>
    <t>POSTE INSTALADO 23-8</t>
  </si>
  <si>
    <t>172.20.11.149</t>
  </si>
  <si>
    <t>LRO14</t>
  </si>
  <si>
    <t>Yrigoyen</t>
  </si>
  <si>
    <t>Storni</t>
  </si>
  <si>
    <t>pedida por el intendente</t>
  </si>
  <si>
    <t>50123</t>
  </si>
  <si>
    <t>00:07:5F:B7:84:E4</t>
  </si>
  <si>
    <t>404636603925012148</t>
  </si>
  <si>
    <t>172.20.11.151</t>
  </si>
  <si>
    <t>00:07:5F:BC:DF:15</t>
  </si>
  <si>
    <t>404636603924013362</t>
  </si>
  <si>
    <t>172.20.11.150</t>
  </si>
  <si>
    <t>10.20.30.49</t>
  </si>
  <si>
    <t>RADIO</t>
  </si>
  <si>
    <t>radio 18</t>
  </si>
  <si>
    <t>RETIRAN 27-8</t>
  </si>
  <si>
    <t>10.20.30.50</t>
  </si>
  <si>
    <t>00:07:5F:B6:C4:3A</t>
  </si>
  <si>
    <t>404636604026012045</t>
  </si>
  <si>
    <t>10.20.30.42</t>
  </si>
  <si>
    <t>radio 30</t>
  </si>
  <si>
    <t>00:07:5F:B7:8E:C8</t>
  </si>
  <si>
    <t>404636604026013548</t>
  </si>
  <si>
    <t>10.20.30.43</t>
  </si>
  <si>
    <t>00:07:5F:BC:C5:6A</t>
  </si>
  <si>
    <t>404636603926015004</t>
  </si>
  <si>
    <t>10.20.30.44</t>
  </si>
  <si>
    <t>radio 42 Esta es la dirección correcta del Centro de Salud de Villa Argentina. La dirección que aparece en el listado es 521 entre 544 y 546</t>
  </si>
  <si>
    <t>00:07:5F:B7:85:E6</t>
  </si>
  <si>
    <t>404636603924013114</t>
  </si>
  <si>
    <t>10.20.30.45</t>
  </si>
  <si>
    <t>00:07:5f:B7:85:63</t>
  </si>
  <si>
    <t>404636603924013295</t>
  </si>
  <si>
    <t>10.20.30.46</t>
  </si>
  <si>
    <t>Bruselas</t>
  </si>
  <si>
    <t>Grecia</t>
  </si>
  <si>
    <t>Checoslovaquia</t>
  </si>
  <si>
    <t>radio 35</t>
  </si>
  <si>
    <t>00:07:5F:B6:C4:1E</t>
  </si>
  <si>
    <t>404636604026013637</t>
  </si>
  <si>
    <t>10.20.30.47</t>
  </si>
  <si>
    <t>172.20.11.152</t>
  </si>
  <si>
    <t>SRU 01</t>
  </si>
  <si>
    <t>Hernandarias</t>
  </si>
  <si>
    <t>Ambato</t>
  </si>
  <si>
    <t>IPCOMS</t>
  </si>
  <si>
    <t>172.20.11.153</t>
  </si>
  <si>
    <t>SRU 02</t>
  </si>
  <si>
    <t>172.20.11.154</t>
  </si>
  <si>
    <t>Santa Sofia</t>
  </si>
  <si>
    <t>Luis Agote</t>
  </si>
  <si>
    <t>172.20.11.155</t>
  </si>
  <si>
    <t>Olavarria</t>
  </si>
  <si>
    <t>Concordia</t>
  </si>
  <si>
    <t>172.20.11.156</t>
  </si>
  <si>
    <t>172.20.11.157</t>
  </si>
  <si>
    <t>Lobos</t>
  </si>
  <si>
    <t>Chascomus</t>
  </si>
  <si>
    <t>172.20.11.158</t>
  </si>
  <si>
    <t>172.20.11.159</t>
  </si>
  <si>
    <t xml:space="preserve">Av. Hudson </t>
  </si>
  <si>
    <t>Los Inmigrantes</t>
  </si>
  <si>
    <t>172.20.11.160</t>
  </si>
  <si>
    <t>172.20.11.161</t>
  </si>
  <si>
    <t>Soler</t>
  </si>
  <si>
    <t>172.20.11.162</t>
  </si>
  <si>
    <t>172.20.11.163</t>
  </si>
  <si>
    <t>Espora</t>
  </si>
  <si>
    <t>Martin Grass</t>
  </si>
  <si>
    <t>172.20.11.164</t>
  </si>
  <si>
    <t>Calle 802</t>
  </si>
  <si>
    <t>172.20.11.165</t>
  </si>
  <si>
    <t>Hudson</t>
  </si>
  <si>
    <t>172.20.11.166</t>
  </si>
  <si>
    <t>Lujan</t>
  </si>
  <si>
    <t>Ruta 36</t>
  </si>
  <si>
    <t>172.20.11.167</t>
  </si>
  <si>
    <t>Ruben Dario</t>
  </si>
  <si>
    <t>Fader</t>
  </si>
  <si>
    <t>Diag. Los Poetas</t>
  </si>
  <si>
    <t>172.20.11.168</t>
  </si>
  <si>
    <t>00:07:5F:AB:B7:3E</t>
  </si>
  <si>
    <t>04459319617101012</t>
  </si>
  <si>
    <t>172.20.11.169</t>
  </si>
  <si>
    <t>Ruta Prov. 36</t>
  </si>
  <si>
    <t xml:space="preserve"> RETIRA 25-8</t>
  </si>
  <si>
    <t>00:07:5F:BE:58:F6</t>
  </si>
  <si>
    <t>044593107327101037</t>
  </si>
  <si>
    <t>172.20.11.170</t>
  </si>
  <si>
    <t>Grierson</t>
  </si>
  <si>
    <t>00:07:5F:BE:59:03</t>
  </si>
  <si>
    <t>044593107327101029</t>
  </si>
  <si>
    <t>172.20.11.171</t>
  </si>
  <si>
    <t>Baldomero Moreno</t>
  </si>
  <si>
    <t>tiene mal la contraseña</t>
  </si>
  <si>
    <t>00:07:5F:BE:58:0B</t>
  </si>
  <si>
    <t>044593107326101015</t>
  </si>
  <si>
    <t>172.20.11.172</t>
  </si>
  <si>
    <t>Bialet Masse</t>
  </si>
  <si>
    <t>00:07:5F:AB:BA:C0</t>
  </si>
  <si>
    <t>708101037</t>
  </si>
  <si>
    <t>172.20.11.173</t>
  </si>
  <si>
    <t>00:07:5F:AB:B9:F4</t>
  </si>
  <si>
    <t>703101044</t>
  </si>
  <si>
    <t>172.20.11.174</t>
  </si>
  <si>
    <t>00:07:5F:B6:B9:5D</t>
  </si>
  <si>
    <t>0404636603924013289</t>
  </si>
  <si>
    <t>172.20.11.176</t>
  </si>
  <si>
    <t>Atenas</t>
  </si>
  <si>
    <t xml:space="preserve">Cafferatta </t>
  </si>
  <si>
    <t>Holanda</t>
  </si>
  <si>
    <t>50094</t>
  </si>
  <si>
    <t>00:07:5F:B6:A1:33</t>
  </si>
  <si>
    <t>0404636603924015012</t>
  </si>
  <si>
    <t>172.20.11.175</t>
  </si>
  <si>
    <t>50051</t>
  </si>
  <si>
    <t>00:07:5F:B4:42:D1</t>
  </si>
  <si>
    <t>172.20.11.178</t>
  </si>
  <si>
    <t>Roma</t>
  </si>
  <si>
    <t>Cafferatta</t>
  </si>
  <si>
    <t>50077</t>
  </si>
  <si>
    <t>00:07:5F:B4:43:5D</t>
  </si>
  <si>
    <t>0404636603925013096</t>
  </si>
  <si>
    <t>172.20.11.177</t>
  </si>
  <si>
    <t>00:07:5F:B4:43:0A</t>
  </si>
  <si>
    <t>404636603924012229</t>
  </si>
  <si>
    <t>172.20.11.180</t>
  </si>
  <si>
    <t>Gorriti</t>
  </si>
  <si>
    <t>Galarza</t>
  </si>
  <si>
    <t>Lope de Vega</t>
  </si>
  <si>
    <t>RETIRARON 26-7</t>
  </si>
  <si>
    <t>00:07:5F:BC:DF:2E</t>
  </si>
  <si>
    <t>404636603925013225</t>
  </si>
  <si>
    <t>172.20.11.181</t>
  </si>
  <si>
    <t>00:07:5F:BD:C7:12</t>
  </si>
  <si>
    <t>404636604025012066</t>
  </si>
  <si>
    <t>172.20.11.182</t>
  </si>
  <si>
    <t>Pizurno</t>
  </si>
  <si>
    <t>Nuestras Malvinas</t>
  </si>
  <si>
    <t>00:07:5F:BC:E7:B3</t>
  </si>
  <si>
    <t>404636604026012035</t>
  </si>
  <si>
    <t>172.20.11.183</t>
  </si>
  <si>
    <t>172.20.11.184</t>
  </si>
  <si>
    <t>Dardo Rocha</t>
  </si>
  <si>
    <t>Mistral</t>
  </si>
  <si>
    <t>RETIRARON 28-7</t>
  </si>
  <si>
    <t>00:07:5F:B6:B8:E9</t>
  </si>
  <si>
    <t>172.20.11.185</t>
  </si>
  <si>
    <t>00:07:5F:B6:8C:69</t>
  </si>
  <si>
    <t>172.20.11.186</t>
  </si>
  <si>
    <t>Tapalque</t>
  </si>
  <si>
    <t>Bolivar</t>
  </si>
  <si>
    <t>00:07:5F:BC:DF:1A</t>
  </si>
  <si>
    <t>172.20.11.187</t>
  </si>
  <si>
    <t>00:07:5F:B6:B9:B4</t>
  </si>
  <si>
    <t>172.20.11.188</t>
  </si>
  <si>
    <t>9 de Julio</t>
  </si>
  <si>
    <t xml:space="preserve">Brown </t>
  </si>
  <si>
    <t>Pringles</t>
  </si>
  <si>
    <t>00:07:5F:B7:84:C0</t>
  </si>
  <si>
    <t>172.20.11.189</t>
  </si>
  <si>
    <t>Contreras</t>
  </si>
  <si>
    <t>Antognoli</t>
  </si>
  <si>
    <t>Parrillo</t>
  </si>
  <si>
    <t>00:07:5F:BE:58:5C</t>
  </si>
  <si>
    <t>044593107326101043</t>
  </si>
  <si>
    <t>172.20.11.191</t>
  </si>
  <si>
    <t>CHA04</t>
  </si>
  <si>
    <t>EE: UU.</t>
  </si>
  <si>
    <t>Illia</t>
  </si>
  <si>
    <t>00:07:5F:CO:16:F7</t>
  </si>
  <si>
    <t>404636608014012067</t>
  </si>
  <si>
    <t>172.20.11.192</t>
  </si>
  <si>
    <t>SNI01</t>
  </si>
  <si>
    <t>Sarratea</t>
  </si>
  <si>
    <t>EE. UU.</t>
  </si>
  <si>
    <t>Agrello</t>
  </si>
  <si>
    <t>00:07:5F:B7:84:BA</t>
  </si>
  <si>
    <t>404636603924012143</t>
  </si>
  <si>
    <t>172.20.11.193</t>
  </si>
  <si>
    <t>SNI02</t>
  </si>
  <si>
    <t>00:07:5F:B6:C4:23</t>
  </si>
  <si>
    <t>404636604026012603</t>
  </si>
  <si>
    <t>172.20.11.194</t>
  </si>
  <si>
    <t>SNI03</t>
  </si>
  <si>
    <t>Los Treboles</t>
  </si>
  <si>
    <t>00:07:5F:B6:B8:AB</t>
  </si>
  <si>
    <t>404636603924013312</t>
  </si>
  <si>
    <t>172.20.11.95</t>
  </si>
  <si>
    <t>SNI04</t>
  </si>
  <si>
    <t>172.20.11.196</t>
  </si>
  <si>
    <t>Los Pinos</t>
  </si>
  <si>
    <t>Los Tilos</t>
  </si>
  <si>
    <t>00:07:5F:AB:BB:42</t>
  </si>
  <si>
    <t>172.20.11.197</t>
  </si>
  <si>
    <t>Tirana</t>
  </si>
  <si>
    <t>RETIRARON 30-7</t>
  </si>
  <si>
    <t>172.20.11.207</t>
  </si>
  <si>
    <t>Gran Canaria</t>
  </si>
  <si>
    <t>Budapest</t>
  </si>
  <si>
    <t>retiraron el 31-8</t>
  </si>
  <si>
    <t>00:07:5F:B6:B9:E4</t>
  </si>
  <si>
    <t>172.20.11.208</t>
  </si>
  <si>
    <t>172.20.11.198</t>
  </si>
  <si>
    <t>Carapachay</t>
  </si>
  <si>
    <t>Rio Colorado</t>
  </si>
  <si>
    <t>00:07:5F:B7:84:C2</t>
  </si>
  <si>
    <t>925012049</t>
  </si>
  <si>
    <t>172.20.11.201</t>
  </si>
  <si>
    <t>Cafferata</t>
  </si>
  <si>
    <t>Alemania</t>
  </si>
  <si>
    <t>00:07:5F:B4:4F:05</t>
  </si>
  <si>
    <t>026013611</t>
  </si>
  <si>
    <t>172.20.11.202</t>
  </si>
  <si>
    <t>00:07:5F:BC:E0:0A</t>
  </si>
  <si>
    <t>925013098</t>
  </si>
  <si>
    <t>172.20.11.205</t>
  </si>
  <si>
    <t>Sicilia</t>
  </si>
  <si>
    <t>Viena</t>
  </si>
  <si>
    <t>Varsovia</t>
  </si>
  <si>
    <t>00:07:5F:BC:DF:08</t>
  </si>
  <si>
    <t>924013322</t>
  </si>
  <si>
    <t>172.20.11.206</t>
  </si>
  <si>
    <t>00:07:5F:B4:18:12</t>
  </si>
  <si>
    <t>923012194</t>
  </si>
  <si>
    <t>172.20.11.199</t>
  </si>
  <si>
    <t>Berna</t>
  </si>
  <si>
    <t>Polonia</t>
  </si>
  <si>
    <t>00:07:5F:B7:8E:D2</t>
  </si>
  <si>
    <t>026012092</t>
  </si>
  <si>
    <t>172.20.11.200</t>
  </si>
  <si>
    <t>00:07:5F:B6:B9:40</t>
  </si>
  <si>
    <t>404636603925013075</t>
  </si>
  <si>
    <t>calle 532 A</t>
  </si>
  <si>
    <t>RETIRARON 2-8</t>
  </si>
  <si>
    <t>00:07:5F:BC:DF:B5</t>
  </si>
  <si>
    <t>404636603925012037</t>
  </si>
  <si>
    <t>00:07:5F:BD:69:73</t>
  </si>
  <si>
    <t>404636603924012062</t>
  </si>
  <si>
    <t>00:07:5F:B7:85:FA</t>
  </si>
  <si>
    <t>404636603924012050</t>
  </si>
  <si>
    <t>PATAGONES</t>
  </si>
  <si>
    <t>RUTA 36</t>
  </si>
  <si>
    <t>00:07:5F:B4:4F:3E</t>
  </si>
  <si>
    <t>404636604026012076</t>
  </si>
  <si>
    <t>00:07:57:C1:94:BF</t>
  </si>
  <si>
    <t>172.20.12.97</t>
  </si>
  <si>
    <t>Donato Alvarez</t>
  </si>
  <si>
    <t>El Apero</t>
  </si>
  <si>
    <t>00:07:5F:B6:A1:30</t>
  </si>
  <si>
    <t>172.20.12.98</t>
  </si>
  <si>
    <t>172.20.12.91</t>
  </si>
  <si>
    <t>Calle Monteverde</t>
  </si>
  <si>
    <t>El Indio</t>
  </si>
  <si>
    <t>172.20.12.92</t>
  </si>
  <si>
    <t>00:07:5F:B6:B8:B3</t>
  </si>
  <si>
    <t>404636603925013054</t>
  </si>
  <si>
    <t>172.20.12.85</t>
  </si>
  <si>
    <t>Blandengue</t>
  </si>
  <si>
    <t>El Zamba</t>
  </si>
  <si>
    <t>00:07:5F:BC:DF:43</t>
  </si>
  <si>
    <t>404636603925012062</t>
  </si>
  <si>
    <t>172.20.12.86</t>
  </si>
  <si>
    <t>RETIRA 25-8</t>
  </si>
  <si>
    <t>00:07:5F:B6:B8:B8</t>
  </si>
  <si>
    <t>404636603925013209</t>
  </si>
  <si>
    <t>172.20.12.88</t>
  </si>
  <si>
    <t>El Gaucho</t>
  </si>
  <si>
    <t>Martin Fierro</t>
  </si>
  <si>
    <t>00:07:5F:B6:B8:C8</t>
  </si>
  <si>
    <t>404636603924013460</t>
  </si>
  <si>
    <t>172.12.20.89</t>
  </si>
  <si>
    <t>172.20.12.94</t>
  </si>
  <si>
    <t>El Zonda</t>
  </si>
  <si>
    <t>00:07:5F:BC:DF:E3</t>
  </si>
  <si>
    <t>172.20.12.95</t>
  </si>
  <si>
    <t>Washington</t>
  </si>
  <si>
    <t>172.20.11.215</t>
  </si>
  <si>
    <t>Necochea</t>
  </si>
  <si>
    <t>Humaita</t>
  </si>
  <si>
    <t>RETIRARON 19-08</t>
  </si>
  <si>
    <t>00:07:5F:BE:59:27</t>
  </si>
  <si>
    <t>044593107327101049</t>
  </si>
  <si>
    <t>172.20.11.216</t>
  </si>
  <si>
    <t>Curupaity</t>
  </si>
  <si>
    <t>POSTE INSTALADO 23-8 - RETIRA 25-8</t>
  </si>
  <si>
    <t>172.20.11.203</t>
  </si>
  <si>
    <t>CAMBIO POR LA DE EVA PERON Y EL BAJO NIVEL PEDIDO POR OSCAR</t>
  </si>
  <si>
    <t>172.20.11.204</t>
  </si>
  <si>
    <t>734 a</t>
  </si>
  <si>
    <t>ruta 36</t>
  </si>
  <si>
    <t>LA ESMERALDA</t>
  </si>
  <si>
    <t xml:space="preserve">REPUBLICA DE Francia </t>
  </si>
  <si>
    <t>Calchaqui</t>
  </si>
  <si>
    <t>Avenida Monteverde (ruta 4)</t>
  </si>
  <si>
    <t>Victorino de la Plaza</t>
  </si>
  <si>
    <t>Uriburu</t>
  </si>
  <si>
    <t>Pedro Moran</t>
  </si>
  <si>
    <t>Darregueira</t>
  </si>
  <si>
    <t>Larrea</t>
  </si>
  <si>
    <t>Guardia Nacional</t>
  </si>
  <si>
    <t>Guido Spano</t>
  </si>
  <si>
    <t>Pereyra Lucena</t>
  </si>
  <si>
    <t>Iglesias</t>
  </si>
  <si>
    <t>Francisco Segui</t>
  </si>
  <si>
    <t>pendiente</t>
  </si>
  <si>
    <t>O.C.</t>
  </si>
  <si>
    <t>ADQUIRIDAS</t>
  </si>
  <si>
    <t>INSTALADAS</t>
  </si>
  <si>
    <t>RESTAN</t>
  </si>
  <si>
    <t>CAMARAS</t>
  </si>
  <si>
    <t>TOTAL</t>
  </si>
  <si>
    <t>DOMOS</t>
  </si>
  <si>
    <t>FIJAS</t>
  </si>
  <si>
    <t>BONOMO</t>
  </si>
  <si>
    <t>PUNTO</t>
  </si>
  <si>
    <t>L</t>
  </si>
  <si>
    <t>404636604026012583</t>
  </si>
  <si>
    <t>00:07:5F:B6:B9:E9</t>
  </si>
  <si>
    <t>044593196016101059</t>
  </si>
  <si>
    <t>00:07:5F:AB:B7:52</t>
  </si>
  <si>
    <t>172.20.11.101</t>
  </si>
  <si>
    <t>255.255.255.0/10.20.30.254</t>
  </si>
  <si>
    <t>404636603924012001</t>
  </si>
  <si>
    <t>404636604026012101</t>
  </si>
  <si>
    <t>00:07:5F:B6:C4:1C</t>
  </si>
  <si>
    <t>00-07-5F-AB-BB-41</t>
  </si>
  <si>
    <t>172.20.12.156</t>
  </si>
  <si>
    <t>00-07-5F-BE-59-28</t>
  </si>
  <si>
    <t>00-07-5F-BE-59-2D</t>
  </si>
  <si>
    <t>00-07-5F-B7-8E-A6</t>
  </si>
  <si>
    <t>00-07-5F-B7-8E-A7</t>
  </si>
  <si>
    <t>00-07-5F-AB-BB-4F</t>
  </si>
  <si>
    <t>00-07-5F-B7-56-20</t>
  </si>
  <si>
    <t>00-07-5F-B7-92-B8</t>
  </si>
  <si>
    <t>404636603710012007</t>
  </si>
  <si>
    <t>404636604026012535</t>
  </si>
  <si>
    <t>00-07-5F-AB-BB-55</t>
  </si>
  <si>
    <t>044593103708101024</t>
  </si>
  <si>
    <t>00-07-5F-BE-58-FE</t>
  </si>
  <si>
    <t>00-07-5F-BE-58-4E</t>
  </si>
  <si>
    <t>044593107326101040</t>
  </si>
  <si>
    <t>044593107327101027</t>
  </si>
  <si>
    <t>00-07-5F-AB-B6-4A</t>
  </si>
  <si>
    <t>044593196010101006</t>
  </si>
  <si>
    <t>404636604026012069</t>
  </si>
  <si>
    <t>044593107327101064</t>
  </si>
  <si>
    <t>172.20.11.86</t>
  </si>
  <si>
    <t>00-07-5F-AB-BB-48</t>
  </si>
  <si>
    <t>044593103708101005</t>
  </si>
  <si>
    <t>00-07-5F-B7-84-A7</t>
  </si>
  <si>
    <t>172.20.11.89</t>
  </si>
  <si>
    <t>172.20.11.88</t>
  </si>
  <si>
    <t>404636603924012210</t>
  </si>
  <si>
    <t>404636603925012066</t>
  </si>
  <si>
    <t>00-07-5F-B6-B8-E2</t>
  </si>
  <si>
    <t>00-07-5F-BE-58-F7</t>
  </si>
  <si>
    <t>044593107327101038</t>
  </si>
  <si>
    <t>172.20.11.90</t>
  </si>
  <si>
    <t>172.20.11.91</t>
  </si>
  <si>
    <t>172.20.11.92</t>
  </si>
  <si>
    <t>00-07-5F-B6-C4-AA</t>
  </si>
  <si>
    <t>00-07-5F-B4-42-42-F8</t>
  </si>
  <si>
    <t>404636604026013618</t>
  </si>
  <si>
    <t>404636603924012257</t>
  </si>
  <si>
    <t>172.20.11.94</t>
  </si>
  <si>
    <t>00-07-5F-B7-56-C0</t>
  </si>
  <si>
    <t>00-07-5F-B4-4F-05</t>
  </si>
  <si>
    <t>404636603923012193</t>
  </si>
  <si>
    <t>172.20.11.96</t>
  </si>
  <si>
    <t>172.20.11.97</t>
  </si>
  <si>
    <t>00-07-5F-B6-8B-B9</t>
  </si>
  <si>
    <t>00-07-5F-B4-42-BE</t>
  </si>
  <si>
    <t>404636603923012206</t>
  </si>
  <si>
    <t>404636603926013009</t>
  </si>
  <si>
    <t>172.20.11.98</t>
  </si>
  <si>
    <t>172.20.11.99</t>
  </si>
  <si>
    <t>00-07-5F-B4-2C-37</t>
  </si>
  <si>
    <t>00-07-5F-B7-20-73</t>
  </si>
  <si>
    <t>404636604026013547</t>
  </si>
  <si>
    <t>404636603925015031</t>
  </si>
  <si>
    <t>044593107327101047</t>
  </si>
  <si>
    <t>00-07-5F-B4-4F-3B</t>
  </si>
  <si>
    <t>00-07-5F-B7-84-95</t>
  </si>
  <si>
    <t>404636604026012073</t>
  </si>
  <si>
    <t>00-07-5F-BD-54-F5</t>
  </si>
  <si>
    <t>404636603924013328</t>
  </si>
  <si>
    <t>404636603710015009</t>
  </si>
  <si>
    <t>172.29.11.</t>
  </si>
  <si>
    <t>404636603925012280</t>
  </si>
  <si>
    <t>255.255.255.0/172.20.30.254</t>
  </si>
  <si>
    <t>172.20.12.213</t>
  </si>
  <si>
    <t>00:07:5F:B6:B8:CC</t>
  </si>
  <si>
    <t>404636603925013076</t>
  </si>
  <si>
    <t>404636603925012140</t>
  </si>
  <si>
    <t>404636603925015006</t>
  </si>
  <si>
    <t>404636608014012060</t>
  </si>
  <si>
    <t>172.20.11.209</t>
  </si>
  <si>
    <t>172.20.11.210</t>
  </si>
  <si>
    <t>172.20.11.211</t>
  </si>
  <si>
    <t>172.20.11.212</t>
  </si>
  <si>
    <t>172.20.11.219</t>
  </si>
  <si>
    <t>172.20.11.220</t>
  </si>
  <si>
    <t>172.20.11.221</t>
  </si>
  <si>
    <t>172.20.11.222</t>
  </si>
  <si>
    <t>25 de Mayo</t>
  </si>
  <si>
    <t>044593103708101008</t>
  </si>
  <si>
    <t>00-07-5F-AB-BB-44</t>
  </si>
  <si>
    <t>044593103708101042</t>
  </si>
  <si>
    <t>00-07-5F-AB-BA-BE</t>
  </si>
  <si>
    <t>Bourel</t>
  </si>
  <si>
    <t>Rivadavia</t>
  </si>
  <si>
    <t>00-07-5F-AE-59-31</t>
  </si>
  <si>
    <t>044593107327101051</t>
  </si>
  <si>
    <t>00-07-5F-BE-59-32</t>
  </si>
  <si>
    <t>044593107327101052</t>
  </si>
  <si>
    <t>172.20.11.85</t>
  </si>
  <si>
    <t>00-07-5F-AB-B5-7A</t>
  </si>
  <si>
    <t>044593196016101063</t>
  </si>
  <si>
    <t>172.20.11.87</t>
  </si>
  <si>
    <t>00-07-5F-BE-67-17</t>
  </si>
  <si>
    <t>044593107522101067</t>
  </si>
  <si>
    <t>172.20.11.223</t>
  </si>
  <si>
    <t>255.255.248.0/172.20.12.251</t>
  </si>
  <si>
    <t>255.255.248.0/172.20.12.252</t>
  </si>
  <si>
    <t>Las Heras</t>
  </si>
  <si>
    <t>Maipú</t>
  </si>
  <si>
    <t>Defensa</t>
  </si>
  <si>
    <t>00:07:5F:B7:85:78</t>
  </si>
  <si>
    <t>00:07:5F:B6:B8:DA</t>
  </si>
  <si>
    <t>00-07-5F-AB-B5-81</t>
  </si>
  <si>
    <t>044599430703000035</t>
  </si>
  <si>
    <t>00-07-5F-AB-BB-47</t>
  </si>
  <si>
    <t>044593103708101026</t>
  </si>
  <si>
    <t>172.20.11.53</t>
  </si>
  <si>
    <t>00-07-5F-B4-4E-CF</t>
  </si>
  <si>
    <t>404636604026012552</t>
  </si>
  <si>
    <t>Constancio Vigil</t>
  </si>
  <si>
    <t>Jose Ingenieros</t>
  </si>
  <si>
    <t>Pablo Podesta</t>
  </si>
  <si>
    <t>Estanislao del Campo</t>
  </si>
  <si>
    <t>Becquer</t>
  </si>
  <si>
    <t>D'Anuncio</t>
  </si>
  <si>
    <t>Lord Biron</t>
  </si>
  <si>
    <t xml:space="preserve">Capdevila </t>
  </si>
  <si>
    <t xml:space="preserve">Yamandu Rodriguez </t>
  </si>
  <si>
    <t>colectora</t>
  </si>
  <si>
    <t>Groussac</t>
  </si>
  <si>
    <t>Montes de Oca</t>
  </si>
  <si>
    <t>Suipacha</t>
  </si>
  <si>
    <t>fIBRA</t>
  </si>
  <si>
    <t>25 DE MAYO</t>
  </si>
  <si>
    <t>CASTELLI</t>
  </si>
  <si>
    <t>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</si>
</sst>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000000"/>
      <name val="Calibri"/>
      <family val="2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12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2" fillId="0" borderId="0" xfId="0" applyFont="1"/>
    <xf numFmtId="0" fontId="7" fillId="5" borderId="6" xfId="0" applyFont="1" applyFill="1" applyBorder="1"/>
    <xf numFmtId="0" fontId="7" fillId="5" borderId="21" xfId="0" applyFont="1" applyFill="1" applyBorder="1"/>
    <xf numFmtId="0" fontId="7" fillId="5" borderId="4" xfId="0" applyFont="1" applyFill="1" applyBorder="1" applyAlignment="1">
      <alignment horizontal="right" vertical="center"/>
    </xf>
    <xf numFmtId="0" fontId="7" fillId="5" borderId="4" xfId="0" applyFont="1" applyFill="1" applyBorder="1"/>
    <xf numFmtId="0" fontId="7" fillId="5" borderId="22" xfId="0" applyFont="1" applyFill="1" applyBorder="1"/>
    <xf numFmtId="0" fontId="7" fillId="5" borderId="0" xfId="0" applyFont="1" applyFill="1"/>
    <xf numFmtId="0" fontId="7" fillId="5" borderId="0" xfId="0" applyFont="1" applyFill="1" applyAlignment="1">
      <alignment horizontal="right" vertical="center"/>
    </xf>
    <xf numFmtId="0" fontId="7" fillId="0" borderId="0" xfId="0" applyFont="1"/>
    <xf numFmtId="0" fontId="7" fillId="8" borderId="6" xfId="0" applyFont="1" applyFill="1" applyBorder="1"/>
    <xf numFmtId="0" fontId="7" fillId="8" borderId="4" xfId="0" applyFont="1" applyFill="1" applyBorder="1"/>
    <xf numFmtId="0" fontId="7" fillId="8" borderId="23" xfId="0" applyFont="1" applyFill="1" applyBorder="1" applyAlignment="1">
      <alignment horizontal="center" vertical="center"/>
    </xf>
    <xf numFmtId="0" fontId="7" fillId="8" borderId="22" xfId="0" applyFont="1" applyFill="1" applyBorder="1"/>
    <xf numFmtId="0" fontId="7" fillId="9" borderId="6" xfId="0" applyFont="1" applyFill="1" applyBorder="1"/>
    <xf numFmtId="0" fontId="7" fillId="9" borderId="4" xfId="0" applyFont="1" applyFill="1" applyBorder="1"/>
    <xf numFmtId="0" fontId="7" fillId="9" borderId="22" xfId="0" applyFont="1" applyFill="1" applyBorder="1"/>
    <xf numFmtId="0" fontId="7" fillId="9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" fontId="1" fillId="0" borderId="24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4" fontId="1" fillId="0" borderId="24" xfId="0" applyNumberFormat="1" applyFont="1" applyBorder="1" applyAlignment="1">
      <alignment horizontal="center" vertical="center"/>
    </xf>
    <xf numFmtId="14" fontId="1" fillId="0" borderId="26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" fontId="1" fillId="10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49" fontId="1" fillId="10" borderId="8" xfId="0" applyNumberFormat="1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10" xfId="0" applyFont="1" applyFill="1" applyBorder="1" applyAlignment="1">
      <alignment horizontal="center"/>
    </xf>
    <xf numFmtId="1" fontId="3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91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4"/>
  <sheetViews>
    <sheetView showGridLines="0" tabSelected="1" topLeftCell="E1" zoomScale="80" zoomScaleNormal="80" workbookViewId="0">
      <pane ySplit="5" topLeftCell="A57" activePane="bottomLeft" state="frozen"/>
      <selection activeCell="F1" sqref="F1"/>
      <selection pane="bottomLeft" activeCell="P65" sqref="P65"/>
    </sheetView>
  </sheetViews>
  <sheetFormatPr baseColWidth="10" defaultColWidth="11.44140625" defaultRowHeight="25.8" thickBottom="1" x14ac:dyDescent="0.35"/>
  <cols>
    <col min="1" max="1" width="9" style="1" bestFit="1" customWidth="1"/>
    <col min="2" max="2" width="7.6640625" style="1" customWidth="1"/>
    <col min="3" max="3" width="16.6640625" style="10" bestFit="1" customWidth="1"/>
    <col min="4" max="4" width="23" style="1" bestFit="1" customWidth="1"/>
    <col min="5" max="5" width="25.33203125" style="2" bestFit="1" customWidth="1"/>
    <col min="6" max="6" width="13.88671875" style="11" bestFit="1" customWidth="1"/>
    <col min="7" max="7" width="29.88671875" style="12" bestFit="1" customWidth="1"/>
    <col min="8" max="8" width="0.44140625" style="12" customWidth="1"/>
    <col min="9" max="9" width="32.33203125" style="1" customWidth="1"/>
    <col min="10" max="10" width="14.6640625" style="1" bestFit="1" customWidth="1"/>
    <col min="11" max="11" width="22.5546875" style="1" bestFit="1" customWidth="1"/>
    <col min="12" max="12" width="7.5546875" style="1" bestFit="1" customWidth="1"/>
    <col min="13" max="13" width="10.109375" style="1" bestFit="1" customWidth="1"/>
    <col min="14" max="14" width="6.5546875" style="1" bestFit="1" customWidth="1"/>
    <col min="15" max="15" width="14.6640625" style="1" bestFit="1" customWidth="1"/>
    <col min="16" max="16" width="17.6640625" style="14" customWidth="1"/>
    <col min="17" max="17" width="18.44140625" style="14" customWidth="1"/>
    <col min="18" max="18" width="20.6640625" style="10" bestFit="1" customWidth="1"/>
    <col min="19" max="20" width="20.6640625" style="14" customWidth="1"/>
    <col min="21" max="21" width="27.88671875" style="14" bestFit="1" customWidth="1"/>
    <col min="22" max="22" width="38.6640625" style="1" hidden="1" customWidth="1"/>
    <col min="23" max="23" width="7.6640625" style="1" hidden="1" customWidth="1"/>
    <col min="24" max="24" width="22" style="1" hidden="1" customWidth="1"/>
    <col min="25" max="25" width="23.44140625" style="1" hidden="1" customWidth="1"/>
    <col min="26" max="16384" width="11.44140625" style="1"/>
  </cols>
  <sheetData>
    <row r="1" spans="1:25" ht="25.2" customHeight="1" thickTop="1" thickBot="1" x14ac:dyDescent="0.45">
      <c r="A1" s="58"/>
      <c r="B1" s="58"/>
      <c r="C1" s="28"/>
      <c r="D1" s="29"/>
      <c r="E1" s="29" t="s">
        <v>470</v>
      </c>
      <c r="F1" s="29" t="s">
        <v>471</v>
      </c>
      <c r="G1" s="30" t="s">
        <v>472</v>
      </c>
      <c r="H1" s="60"/>
      <c r="I1" s="41" t="s">
        <v>13</v>
      </c>
      <c r="J1" s="42"/>
      <c r="K1" s="81">
        <v>84</v>
      </c>
      <c r="L1" s="44"/>
      <c r="M1" s="45"/>
      <c r="N1" s="70"/>
      <c r="O1" s="69" t="s">
        <v>21</v>
      </c>
      <c r="P1" s="72"/>
      <c r="Q1" s="58"/>
      <c r="R1" s="58"/>
      <c r="S1" s="58"/>
      <c r="T1" s="58"/>
      <c r="U1" s="73"/>
      <c r="V1" s="58"/>
      <c r="W1" s="58"/>
      <c r="X1" s="58"/>
      <c r="Y1" s="58"/>
    </row>
    <row r="2" spans="1:25" ht="18.600000000000001" customHeight="1" thickTop="1" thickBot="1" x14ac:dyDescent="0.35">
      <c r="A2" s="58"/>
      <c r="B2" s="58"/>
      <c r="C2" s="82" t="s">
        <v>473</v>
      </c>
      <c r="D2" s="32" t="s">
        <v>474</v>
      </c>
      <c r="E2" s="32">
        <f>SUM(E3:E4)</f>
        <v>200</v>
      </c>
      <c r="F2" s="32">
        <f>SUM(F3:F4)</f>
        <v>144</v>
      </c>
      <c r="G2" s="33">
        <f>E2-F2</f>
        <v>56</v>
      </c>
      <c r="H2" s="60"/>
      <c r="I2" s="58"/>
      <c r="J2" s="58"/>
      <c r="K2" s="58"/>
      <c r="L2" s="58"/>
      <c r="M2" s="58"/>
      <c r="N2" s="70"/>
      <c r="O2" s="57">
        <f>COUNTIF(O6:O193,"FIBRA")</f>
        <v>125</v>
      </c>
      <c r="P2" s="72"/>
      <c r="Q2" s="58"/>
      <c r="R2" s="59"/>
      <c r="S2" s="58"/>
      <c r="T2" s="58"/>
      <c r="U2" s="73"/>
      <c r="V2" s="58"/>
      <c r="W2" s="58"/>
      <c r="X2" s="58"/>
      <c r="Y2" s="58"/>
    </row>
    <row r="3" spans="1:25" ht="21.6" customHeight="1" thickTop="1" thickBot="1" x14ac:dyDescent="0.35">
      <c r="A3" s="58"/>
      <c r="B3" s="58"/>
      <c r="C3" s="34"/>
      <c r="D3" s="35" t="s">
        <v>475</v>
      </c>
      <c r="E3" s="35">
        <v>50</v>
      </c>
      <c r="F3" s="35">
        <f>M4</f>
        <v>43</v>
      </c>
      <c r="G3" s="36">
        <f>E3-F3</f>
        <v>7</v>
      </c>
      <c r="H3" s="60"/>
      <c r="I3" s="58"/>
      <c r="J3" s="58"/>
      <c r="K3" s="58"/>
      <c r="L3" s="58"/>
      <c r="M3" s="66"/>
      <c r="N3" s="71"/>
      <c r="O3" s="15" t="s">
        <v>22</v>
      </c>
      <c r="P3" s="74"/>
      <c r="Q3" s="66"/>
      <c r="R3" s="67"/>
      <c r="S3" s="66"/>
      <c r="T3" s="66"/>
      <c r="U3" s="75"/>
      <c r="V3" s="66"/>
      <c r="W3" s="66"/>
      <c r="X3" s="66"/>
      <c r="Y3" s="66"/>
    </row>
    <row r="4" spans="1:25" ht="19.2" customHeight="1" thickTop="1" thickBot="1" x14ac:dyDescent="0.35">
      <c r="A4" s="66"/>
      <c r="B4" s="66"/>
      <c r="C4" s="37"/>
      <c r="D4" s="38" t="s">
        <v>476</v>
      </c>
      <c r="E4" s="38">
        <v>150</v>
      </c>
      <c r="F4" s="38">
        <f>N4</f>
        <v>101</v>
      </c>
      <c r="G4" s="39">
        <f>E4-F4</f>
        <v>49</v>
      </c>
      <c r="H4" s="68"/>
      <c r="I4" s="66"/>
      <c r="J4" s="66"/>
      <c r="K4" s="66"/>
      <c r="L4" s="66"/>
      <c r="M4" s="80">
        <f>SUM(M6:M193)</f>
        <v>43</v>
      </c>
      <c r="N4" s="4">
        <f>SUM(N6:N193)</f>
        <v>101</v>
      </c>
      <c r="O4" s="16">
        <f>COUNTIF(O6:O193,"RADIO")</f>
        <v>26</v>
      </c>
      <c r="P4" s="4">
        <f>COUNTA(P6:P193)</f>
        <v>70</v>
      </c>
      <c r="Q4" s="4">
        <f>COUNTA(Q6:Q193)</f>
        <v>67</v>
      </c>
      <c r="R4" s="13">
        <f>SUM(R6:R193)</f>
        <v>110</v>
      </c>
      <c r="S4" s="65">
        <f>COUNTA(S6:S193)</f>
        <v>66</v>
      </c>
      <c r="T4" s="65">
        <f>COUNTA(T6:T193)</f>
        <v>106</v>
      </c>
      <c r="U4" s="76"/>
      <c r="V4" s="77"/>
      <c r="X4" s="78">
        <f>COUNTIF(R6:R193,1)</f>
        <v>24</v>
      </c>
      <c r="Y4" s="79">
        <f>COUNTIF(R6:R193,2)*2</f>
        <v>86</v>
      </c>
    </row>
    <row r="5" spans="1:25" ht="73.2" thickTop="1" thickBot="1" x14ac:dyDescent="0.35">
      <c r="A5" s="83" t="s">
        <v>478</v>
      </c>
      <c r="B5" s="1" t="s">
        <v>469</v>
      </c>
      <c r="C5" s="61" t="s">
        <v>0</v>
      </c>
      <c r="D5" s="62" t="s">
        <v>1</v>
      </c>
      <c r="E5" s="63" t="s">
        <v>2</v>
      </c>
      <c r="F5" s="64" t="s">
        <v>3</v>
      </c>
      <c r="G5" s="63" t="s">
        <v>4</v>
      </c>
      <c r="H5" s="3"/>
      <c r="I5" s="65" t="s">
        <v>5</v>
      </c>
      <c r="J5" s="65" t="s">
        <v>6</v>
      </c>
      <c r="K5" s="65" t="s">
        <v>7</v>
      </c>
      <c r="L5" s="65" t="s">
        <v>8</v>
      </c>
      <c r="M5" s="4" t="s">
        <v>9</v>
      </c>
      <c r="N5" s="4" t="s">
        <v>10</v>
      </c>
      <c r="O5" s="5" t="s">
        <v>11</v>
      </c>
      <c r="P5" s="6" t="s">
        <v>12</v>
      </c>
      <c r="Q5" s="6" t="s">
        <v>13</v>
      </c>
      <c r="R5" s="7" t="s">
        <v>14</v>
      </c>
      <c r="S5" s="6" t="s">
        <v>15</v>
      </c>
      <c r="T5" s="6" t="s">
        <v>16</v>
      </c>
      <c r="U5" s="8" t="s">
        <v>17</v>
      </c>
      <c r="V5" s="4" t="s">
        <v>18</v>
      </c>
      <c r="X5" s="9" t="s">
        <v>19</v>
      </c>
      <c r="Y5" s="9" t="s">
        <v>20</v>
      </c>
    </row>
    <row r="6" spans="1:25" s="27" customFormat="1" ht="33" customHeight="1" thickBot="1" x14ac:dyDescent="0.35">
      <c r="A6" s="17">
        <v>38</v>
      </c>
      <c r="B6" s="18">
        <v>4231</v>
      </c>
      <c r="C6" s="19">
        <v>49824</v>
      </c>
      <c r="D6" s="18" t="s">
        <v>262</v>
      </c>
      <c r="E6" s="20" t="s">
        <v>263</v>
      </c>
      <c r="F6" s="21" t="s">
        <v>264</v>
      </c>
      <c r="G6" s="22" t="s">
        <v>26</v>
      </c>
      <c r="H6" s="22"/>
      <c r="I6" s="100">
        <v>1138</v>
      </c>
      <c r="J6" s="100"/>
      <c r="K6" s="100">
        <v>1155</v>
      </c>
      <c r="L6" s="100" t="s">
        <v>28</v>
      </c>
      <c r="M6" s="100">
        <v>1</v>
      </c>
      <c r="N6" s="100">
        <v>0</v>
      </c>
      <c r="O6" s="23" t="s">
        <v>29</v>
      </c>
      <c r="P6" s="24" t="s">
        <v>30</v>
      </c>
      <c r="Q6" s="24" t="s">
        <v>30</v>
      </c>
      <c r="R6" s="19">
        <v>1</v>
      </c>
      <c r="S6" s="24" t="s">
        <v>30</v>
      </c>
      <c r="T6" s="24" t="s">
        <v>30</v>
      </c>
      <c r="U6" s="24" t="s">
        <v>31</v>
      </c>
      <c r="V6" s="18" t="s">
        <v>32</v>
      </c>
      <c r="W6" s="19" t="s">
        <v>33</v>
      </c>
      <c r="X6" s="25" t="s">
        <v>34</v>
      </c>
      <c r="Y6" s="26" t="s">
        <v>35</v>
      </c>
    </row>
    <row r="7" spans="1:25" s="27" customFormat="1" ht="33" customHeight="1" thickBot="1" x14ac:dyDescent="0.35">
      <c r="A7" s="17">
        <v>39</v>
      </c>
      <c r="B7" s="18">
        <v>4231</v>
      </c>
      <c r="C7" s="19">
        <v>49818</v>
      </c>
      <c r="D7" s="18" t="s">
        <v>265</v>
      </c>
      <c r="E7" s="20" t="s">
        <v>266</v>
      </c>
      <c r="F7" s="21" t="s">
        <v>267</v>
      </c>
      <c r="G7" s="22" t="s">
        <v>26</v>
      </c>
      <c r="H7" s="22"/>
      <c r="I7" s="100">
        <v>1155</v>
      </c>
      <c r="J7" s="100"/>
      <c r="K7" s="100">
        <v>1144</v>
      </c>
      <c r="L7" s="100" t="s">
        <v>28</v>
      </c>
      <c r="M7" s="100">
        <v>1</v>
      </c>
      <c r="N7" s="100">
        <v>0</v>
      </c>
      <c r="O7" s="23" t="s">
        <v>29</v>
      </c>
      <c r="P7" s="24" t="s">
        <v>30</v>
      </c>
      <c r="Q7" s="24" t="s">
        <v>30</v>
      </c>
      <c r="R7" s="19">
        <v>1</v>
      </c>
      <c r="S7" s="24" t="s">
        <v>30</v>
      </c>
      <c r="T7" s="24" t="s">
        <v>30</v>
      </c>
      <c r="U7" s="24" t="s">
        <v>31</v>
      </c>
      <c r="V7" s="18"/>
      <c r="W7" s="19"/>
      <c r="X7" s="25"/>
      <c r="Y7" s="26"/>
    </row>
    <row r="8" spans="1:25" s="27" customFormat="1" ht="33" customHeight="1" thickBot="1" x14ac:dyDescent="0.35">
      <c r="A8" s="17">
        <v>34</v>
      </c>
      <c r="B8" s="18">
        <v>4231</v>
      </c>
      <c r="C8" s="19">
        <v>49786</v>
      </c>
      <c r="D8" s="18" t="s">
        <v>244</v>
      </c>
      <c r="E8" s="20" t="s">
        <v>245</v>
      </c>
      <c r="F8" s="21" t="s">
        <v>246</v>
      </c>
      <c r="G8" s="22" t="s">
        <v>26</v>
      </c>
      <c r="H8" s="22"/>
      <c r="I8" s="100">
        <v>1282</v>
      </c>
      <c r="J8" s="100"/>
      <c r="K8" s="100" t="s">
        <v>247</v>
      </c>
      <c r="L8" s="100" t="s">
        <v>28</v>
      </c>
      <c r="M8" s="100">
        <v>1</v>
      </c>
      <c r="N8" s="100">
        <v>0</v>
      </c>
      <c r="O8" s="23" t="s">
        <v>29</v>
      </c>
      <c r="P8" s="24" t="s">
        <v>30</v>
      </c>
      <c r="Q8" s="24">
        <v>44439</v>
      </c>
      <c r="R8" s="19">
        <v>1</v>
      </c>
      <c r="S8" s="24" t="s">
        <v>30</v>
      </c>
      <c r="T8" s="24" t="s">
        <v>30</v>
      </c>
      <c r="U8" s="24" t="s">
        <v>31</v>
      </c>
      <c r="V8" s="18"/>
      <c r="W8" s="19"/>
      <c r="X8" s="25"/>
      <c r="Y8" s="26"/>
    </row>
    <row r="9" spans="1:25" s="27" customFormat="1" ht="33" customHeight="1" thickBot="1" x14ac:dyDescent="0.35">
      <c r="A9" s="17">
        <v>35</v>
      </c>
      <c r="B9" s="18">
        <v>4231</v>
      </c>
      <c r="C9" s="19">
        <v>49799</v>
      </c>
      <c r="D9" s="23" t="s">
        <v>249</v>
      </c>
      <c r="E9" s="20" t="s">
        <v>250</v>
      </c>
      <c r="F9" s="21" t="s">
        <v>251</v>
      </c>
      <c r="G9" s="22" t="s">
        <v>26</v>
      </c>
      <c r="H9" s="22"/>
      <c r="I9" s="100">
        <v>1282</v>
      </c>
      <c r="J9" s="100"/>
      <c r="K9" s="100" t="s">
        <v>252</v>
      </c>
      <c r="L9" s="100" t="s">
        <v>28</v>
      </c>
      <c r="M9" s="100">
        <v>1</v>
      </c>
      <c r="N9" s="100">
        <v>0</v>
      </c>
      <c r="O9" s="23" t="s">
        <v>29</v>
      </c>
      <c r="P9" s="24" t="s">
        <v>30</v>
      </c>
      <c r="Q9" s="24" t="s">
        <v>30</v>
      </c>
      <c r="R9" s="19">
        <v>1</v>
      </c>
      <c r="S9" s="24" t="s">
        <v>30</v>
      </c>
      <c r="T9" s="24" t="s">
        <v>30</v>
      </c>
      <c r="U9" s="24" t="s">
        <v>31</v>
      </c>
      <c r="V9" s="18">
        <v>5</v>
      </c>
      <c r="W9" s="19"/>
      <c r="X9" s="25"/>
      <c r="Y9" s="26"/>
    </row>
    <row r="10" spans="1:25" s="27" customFormat="1" ht="33" customHeight="1" thickBot="1" x14ac:dyDescent="0.35">
      <c r="A10" s="17">
        <v>36</v>
      </c>
      <c r="B10" s="18">
        <v>4231</v>
      </c>
      <c r="C10" s="19">
        <v>49822</v>
      </c>
      <c r="D10" s="18" t="s">
        <v>253</v>
      </c>
      <c r="E10" s="20" t="s">
        <v>254</v>
      </c>
      <c r="F10" s="21" t="s">
        <v>255</v>
      </c>
      <c r="G10" s="22" t="s">
        <v>26</v>
      </c>
      <c r="H10" s="22"/>
      <c r="I10" s="100">
        <v>1282</v>
      </c>
      <c r="J10" s="100"/>
      <c r="K10" s="100" t="s">
        <v>256</v>
      </c>
      <c r="L10" s="100" t="s">
        <v>28</v>
      </c>
      <c r="M10" s="100">
        <v>1</v>
      </c>
      <c r="N10" s="100">
        <v>0</v>
      </c>
      <c r="O10" s="23" t="s">
        <v>29</v>
      </c>
      <c r="P10" s="24" t="s">
        <v>30</v>
      </c>
      <c r="Q10" s="24" t="s">
        <v>30</v>
      </c>
      <c r="R10" s="19">
        <v>1</v>
      </c>
      <c r="S10" s="24" t="s">
        <v>30</v>
      </c>
      <c r="T10" s="24" t="s">
        <v>30</v>
      </c>
      <c r="U10" s="24" t="s">
        <v>31</v>
      </c>
      <c r="V10" s="18"/>
      <c r="W10" s="19"/>
      <c r="X10" s="25"/>
      <c r="Y10" s="26"/>
    </row>
    <row r="11" spans="1:25" s="27" customFormat="1" ht="33" customHeight="1" thickBot="1" x14ac:dyDescent="0.35">
      <c r="A11" s="17">
        <v>37</v>
      </c>
      <c r="B11" s="18">
        <v>4231</v>
      </c>
      <c r="C11" s="19">
        <v>49817</v>
      </c>
      <c r="D11" s="18" t="s">
        <v>258</v>
      </c>
      <c r="E11" s="20" t="s">
        <v>259</v>
      </c>
      <c r="F11" s="21" t="s">
        <v>260</v>
      </c>
      <c r="G11" s="22" t="s">
        <v>26</v>
      </c>
      <c r="H11" s="22"/>
      <c r="I11" s="100">
        <v>1282</v>
      </c>
      <c r="J11" s="100"/>
      <c r="K11" s="100" t="s">
        <v>261</v>
      </c>
      <c r="L11" s="100" t="s">
        <v>28</v>
      </c>
      <c r="M11" s="100">
        <v>1</v>
      </c>
      <c r="N11" s="100">
        <v>0</v>
      </c>
      <c r="O11" s="23" t="s">
        <v>29</v>
      </c>
      <c r="P11" s="24" t="s">
        <v>30</v>
      </c>
      <c r="Q11" s="24" t="s">
        <v>30</v>
      </c>
      <c r="R11" s="19">
        <v>1</v>
      </c>
      <c r="S11" s="24" t="s">
        <v>30</v>
      </c>
      <c r="T11" s="24" t="s">
        <v>30</v>
      </c>
      <c r="U11" s="24" t="s">
        <v>31</v>
      </c>
      <c r="V11" s="18" t="s">
        <v>60</v>
      </c>
      <c r="W11" s="19"/>
      <c r="X11" s="25"/>
      <c r="Y11" s="26"/>
    </row>
    <row r="12" spans="1:25" s="27" customFormat="1" ht="33" customHeight="1" thickBot="1" x14ac:dyDescent="0.35">
      <c r="A12" s="17"/>
      <c r="B12" s="18"/>
      <c r="C12" s="19"/>
      <c r="D12" s="18"/>
      <c r="E12" s="20"/>
      <c r="F12" s="21"/>
      <c r="G12" s="22"/>
      <c r="H12" s="22"/>
      <c r="I12" s="100" t="s">
        <v>614</v>
      </c>
      <c r="J12" s="100"/>
      <c r="K12" s="100" t="s">
        <v>615</v>
      </c>
      <c r="L12" s="100" t="s">
        <v>28</v>
      </c>
      <c r="M12" s="100">
        <v>1</v>
      </c>
      <c r="N12" s="100">
        <v>0</v>
      </c>
      <c r="O12" s="23" t="s">
        <v>29</v>
      </c>
      <c r="P12" s="24"/>
      <c r="Q12" s="24"/>
      <c r="R12" s="19"/>
      <c r="S12" s="24"/>
      <c r="T12" s="24"/>
      <c r="U12" s="24" t="s">
        <v>31</v>
      </c>
      <c r="V12" s="18"/>
      <c r="W12" s="19"/>
      <c r="X12" s="25"/>
      <c r="Y12" s="26"/>
    </row>
    <row r="13" spans="1:25" s="27" customFormat="1" ht="33" customHeight="1" thickBot="1" x14ac:dyDescent="0.35">
      <c r="A13" s="17"/>
      <c r="B13" s="18"/>
      <c r="C13" s="19"/>
      <c r="D13" s="18"/>
      <c r="E13" s="20"/>
      <c r="F13" s="21"/>
      <c r="G13" s="22"/>
      <c r="H13" s="22"/>
      <c r="I13" s="100" t="s">
        <v>153</v>
      </c>
      <c r="J13" s="100"/>
      <c r="K13" s="100" t="s">
        <v>611</v>
      </c>
      <c r="L13" s="100" t="s">
        <v>28</v>
      </c>
      <c r="M13" s="100">
        <v>1</v>
      </c>
      <c r="N13" s="100">
        <v>0</v>
      </c>
      <c r="O13" s="23" t="s">
        <v>613</v>
      </c>
      <c r="P13" s="24"/>
      <c r="Q13" s="24"/>
      <c r="R13" s="19"/>
      <c r="S13" s="24"/>
      <c r="T13" s="24"/>
      <c r="U13" s="24" t="s">
        <v>31</v>
      </c>
      <c r="V13" s="18" t="s">
        <v>60</v>
      </c>
      <c r="W13" s="19"/>
      <c r="X13" s="25"/>
      <c r="Y13" s="26"/>
    </row>
    <row r="14" spans="1:25" s="27" customFormat="1" ht="33" customHeight="1" thickBot="1" x14ac:dyDescent="0.35">
      <c r="A14" s="17"/>
      <c r="B14" s="18"/>
      <c r="C14" s="19"/>
      <c r="D14" s="18"/>
      <c r="E14" s="20"/>
      <c r="F14" s="21"/>
      <c r="G14" s="22"/>
      <c r="H14" s="22"/>
      <c r="I14" s="100" t="s">
        <v>153</v>
      </c>
      <c r="J14" s="100"/>
      <c r="K14" s="100" t="s">
        <v>306</v>
      </c>
      <c r="L14" s="100" t="s">
        <v>28</v>
      </c>
      <c r="M14" s="100">
        <v>1</v>
      </c>
      <c r="N14" s="100">
        <v>0</v>
      </c>
      <c r="O14" s="23" t="s">
        <v>613</v>
      </c>
      <c r="P14" s="24"/>
      <c r="Q14" s="24"/>
      <c r="R14" s="19"/>
      <c r="S14" s="24"/>
      <c r="T14" s="24"/>
      <c r="U14" s="24" t="s">
        <v>31</v>
      </c>
      <c r="V14" s="18" t="s">
        <v>71</v>
      </c>
      <c r="W14" s="19"/>
      <c r="X14" s="25"/>
      <c r="Y14" s="26"/>
    </row>
    <row r="15" spans="1:25" s="27" customFormat="1" ht="33" customHeight="1" thickBot="1" x14ac:dyDescent="0.35">
      <c r="A15" s="17">
        <v>71</v>
      </c>
      <c r="B15" s="18"/>
      <c r="C15" s="19"/>
      <c r="D15" s="18" t="s">
        <v>580</v>
      </c>
      <c r="E15" s="20" t="s">
        <v>581</v>
      </c>
      <c r="F15" s="21" t="s">
        <v>579</v>
      </c>
      <c r="G15" s="22" t="s">
        <v>26</v>
      </c>
      <c r="H15" s="22"/>
      <c r="I15" s="100" t="s">
        <v>457</v>
      </c>
      <c r="J15" s="100"/>
      <c r="K15" s="100" t="s">
        <v>439</v>
      </c>
      <c r="L15" s="100" t="s">
        <v>28</v>
      </c>
      <c r="M15" s="100">
        <v>1</v>
      </c>
      <c r="N15" s="100">
        <v>0</v>
      </c>
      <c r="O15" s="23" t="s">
        <v>29</v>
      </c>
      <c r="P15" s="24"/>
      <c r="Q15" s="24"/>
      <c r="R15" s="19"/>
      <c r="S15" s="24"/>
      <c r="T15" s="24"/>
      <c r="U15" s="24" t="s">
        <v>31</v>
      </c>
      <c r="V15" s="18"/>
      <c r="W15" s="19"/>
      <c r="X15" s="25"/>
      <c r="Y15" s="26"/>
    </row>
    <row r="16" spans="1:25" s="27" customFormat="1" ht="33" customHeight="1" thickBot="1" x14ac:dyDescent="0.35">
      <c r="A16" s="17">
        <v>72</v>
      </c>
      <c r="B16" s="18">
        <v>4319</v>
      </c>
      <c r="C16" s="19"/>
      <c r="D16" s="18" t="s">
        <v>511</v>
      </c>
      <c r="E16" s="20" t="s">
        <v>512</v>
      </c>
      <c r="F16" s="21" t="s">
        <v>510</v>
      </c>
      <c r="G16" s="22" t="s">
        <v>26</v>
      </c>
      <c r="H16" s="22"/>
      <c r="I16" s="100" t="s">
        <v>457</v>
      </c>
      <c r="J16" s="100"/>
      <c r="K16" s="100" t="s">
        <v>458</v>
      </c>
      <c r="L16" s="100" t="s">
        <v>28</v>
      </c>
      <c r="M16" s="100">
        <v>1</v>
      </c>
      <c r="N16" s="100">
        <v>0</v>
      </c>
      <c r="O16" s="23" t="s">
        <v>29</v>
      </c>
      <c r="P16" s="24"/>
      <c r="Q16" s="24"/>
      <c r="R16" s="19"/>
      <c r="S16" s="24"/>
      <c r="T16" s="24"/>
      <c r="U16" s="24" t="s">
        <v>31</v>
      </c>
      <c r="V16" s="18" t="s">
        <v>81</v>
      </c>
      <c r="W16" s="19"/>
      <c r="X16" s="25"/>
      <c r="Y16" s="26"/>
    </row>
    <row r="17" spans="1:25" s="27" customFormat="1" ht="33" customHeight="1" thickBot="1" x14ac:dyDescent="0.35">
      <c r="A17" s="17"/>
      <c r="B17" s="18"/>
      <c r="C17" s="19"/>
      <c r="D17" s="18" t="s">
        <v>583</v>
      </c>
      <c r="E17" s="20" t="s">
        <v>584</v>
      </c>
      <c r="F17" s="21" t="s">
        <v>582</v>
      </c>
      <c r="G17" s="22" t="s">
        <v>26</v>
      </c>
      <c r="H17" s="22"/>
      <c r="I17" s="100" t="s">
        <v>457</v>
      </c>
      <c r="J17" s="100"/>
      <c r="K17" s="100" t="s">
        <v>459</v>
      </c>
      <c r="L17" s="100" t="s">
        <v>28</v>
      </c>
      <c r="M17" s="100">
        <v>1</v>
      </c>
      <c r="N17" s="100">
        <v>0</v>
      </c>
      <c r="O17" s="23" t="s">
        <v>29</v>
      </c>
      <c r="P17" s="24"/>
      <c r="Q17" s="24"/>
      <c r="R17" s="19"/>
      <c r="S17" s="24"/>
      <c r="T17" s="24"/>
      <c r="U17" s="24"/>
      <c r="V17" s="18"/>
      <c r="W17" s="19"/>
      <c r="X17" s="25"/>
      <c r="Y17" s="26"/>
    </row>
    <row r="18" spans="1:25" s="27" customFormat="1" ht="33" customHeight="1" thickBot="1" x14ac:dyDescent="0.35">
      <c r="A18" s="17">
        <v>74</v>
      </c>
      <c r="B18" s="18">
        <v>4319</v>
      </c>
      <c r="C18" s="19"/>
      <c r="D18" s="18" t="s">
        <v>519</v>
      </c>
      <c r="E18" s="20" t="s">
        <v>520</v>
      </c>
      <c r="F18" s="21" t="s">
        <v>521</v>
      </c>
      <c r="G18" s="22" t="s">
        <v>26</v>
      </c>
      <c r="H18" s="22"/>
      <c r="I18" s="100" t="s">
        <v>457</v>
      </c>
      <c r="J18" s="100"/>
      <c r="K18" s="100" t="s">
        <v>460</v>
      </c>
      <c r="L18" s="100" t="s">
        <v>28</v>
      </c>
      <c r="M18" s="100">
        <v>1</v>
      </c>
      <c r="N18" s="100">
        <v>0</v>
      </c>
      <c r="O18" s="23" t="s">
        <v>29</v>
      </c>
      <c r="P18" s="24"/>
      <c r="Q18" s="24"/>
      <c r="R18" s="19"/>
      <c r="S18" s="24"/>
      <c r="T18" s="24"/>
      <c r="U18" s="24" t="s">
        <v>31</v>
      </c>
      <c r="V18" s="18"/>
      <c r="W18" s="19"/>
      <c r="X18" s="25"/>
      <c r="Y18" s="26"/>
    </row>
    <row r="19" spans="1:25" s="27" customFormat="1" ht="33" customHeight="1" thickBot="1" x14ac:dyDescent="0.35">
      <c r="A19" s="85"/>
      <c r="B19" s="86"/>
      <c r="C19" s="87"/>
      <c r="D19" s="86"/>
      <c r="E19" s="88"/>
      <c r="F19" s="89"/>
      <c r="G19" s="90" t="s">
        <v>26</v>
      </c>
      <c r="H19" s="90"/>
      <c r="I19" s="86" t="s">
        <v>457</v>
      </c>
      <c r="J19" s="86"/>
      <c r="K19" s="86" t="s">
        <v>461</v>
      </c>
      <c r="L19" s="86" t="s">
        <v>28</v>
      </c>
      <c r="M19" s="86">
        <v>0</v>
      </c>
      <c r="N19" s="86">
        <v>0</v>
      </c>
      <c r="O19" s="86" t="s">
        <v>29</v>
      </c>
      <c r="P19" s="91"/>
      <c r="Q19" s="91"/>
      <c r="R19" s="87"/>
      <c r="S19" s="91"/>
      <c r="T19" s="91"/>
      <c r="U19" s="86"/>
      <c r="V19" s="18">
        <v>68</v>
      </c>
      <c r="W19" s="19"/>
      <c r="X19" s="25"/>
      <c r="Y19" s="26"/>
    </row>
    <row r="20" spans="1:25" s="27" customFormat="1" ht="33" customHeight="1" thickBot="1" x14ac:dyDescent="0.35">
      <c r="A20" s="17"/>
      <c r="B20" s="18"/>
      <c r="C20" s="19"/>
      <c r="D20" s="18"/>
      <c r="E20" s="20"/>
      <c r="F20" s="21"/>
      <c r="G20" s="22"/>
      <c r="H20" s="22"/>
      <c r="I20" s="23" t="s">
        <v>607</v>
      </c>
      <c r="J20" s="18" t="s">
        <v>608</v>
      </c>
      <c r="K20" s="18" t="s">
        <v>601</v>
      </c>
      <c r="L20" s="18" t="s">
        <v>28</v>
      </c>
      <c r="M20" s="18"/>
      <c r="N20" s="18"/>
      <c r="O20" s="23"/>
      <c r="P20" s="24"/>
      <c r="Q20" s="24"/>
      <c r="R20" s="19"/>
      <c r="S20" s="24"/>
      <c r="T20" s="24"/>
      <c r="U20" s="24"/>
      <c r="V20" s="18"/>
      <c r="W20" s="19"/>
      <c r="X20" s="25"/>
      <c r="Y20" s="26"/>
    </row>
    <row r="21" spans="1:25" s="27" customFormat="1" ht="33" customHeight="1" thickBot="1" x14ac:dyDescent="0.35">
      <c r="A21" s="17">
        <v>52</v>
      </c>
      <c r="B21" s="18">
        <v>4319</v>
      </c>
      <c r="C21" s="19"/>
      <c r="D21" s="18"/>
      <c r="E21" s="20"/>
      <c r="F21" s="21" t="s">
        <v>366</v>
      </c>
      <c r="G21" s="22" t="s">
        <v>26</v>
      </c>
      <c r="H21" s="22"/>
      <c r="I21" s="100" t="s">
        <v>367</v>
      </c>
      <c r="J21" s="100"/>
      <c r="K21" s="100" t="s">
        <v>368</v>
      </c>
      <c r="L21" s="100" t="s">
        <v>28</v>
      </c>
      <c r="M21" s="100">
        <v>1</v>
      </c>
      <c r="N21" s="100">
        <v>0</v>
      </c>
      <c r="O21" s="23" t="s">
        <v>176</v>
      </c>
      <c r="P21" s="24">
        <v>44392</v>
      </c>
      <c r="Q21" s="24">
        <v>44435</v>
      </c>
      <c r="R21" s="19">
        <v>1</v>
      </c>
      <c r="S21" s="24" t="s">
        <v>30</v>
      </c>
      <c r="T21" s="24" t="s">
        <v>30</v>
      </c>
      <c r="U21" s="24" t="s">
        <v>31</v>
      </c>
      <c r="V21" s="18">
        <v>44</v>
      </c>
      <c r="W21" s="19"/>
      <c r="X21" s="25"/>
      <c r="Y21" s="26"/>
    </row>
    <row r="22" spans="1:25" s="27" customFormat="1" ht="33" customHeight="1" thickBot="1" x14ac:dyDescent="0.35">
      <c r="A22" s="17"/>
      <c r="B22" s="18"/>
      <c r="C22" s="19"/>
      <c r="D22" s="18"/>
      <c r="E22" s="20"/>
      <c r="F22" s="21"/>
      <c r="G22" s="22"/>
      <c r="H22" s="22"/>
      <c r="I22" s="100" t="s">
        <v>600</v>
      </c>
      <c r="J22" s="100"/>
      <c r="K22" s="100" t="s">
        <v>601</v>
      </c>
      <c r="L22" s="100" t="s">
        <v>28</v>
      </c>
      <c r="M22" s="100">
        <v>1</v>
      </c>
      <c r="N22" s="100">
        <v>0</v>
      </c>
      <c r="O22" s="23" t="s">
        <v>613</v>
      </c>
      <c r="P22" s="24"/>
      <c r="Q22" s="24"/>
      <c r="R22" s="19"/>
      <c r="S22" s="24"/>
      <c r="T22" s="24"/>
      <c r="U22" s="24" t="s">
        <v>31</v>
      </c>
      <c r="V22" s="18"/>
      <c r="W22" s="19"/>
      <c r="X22" s="25"/>
      <c r="Y22" s="26"/>
    </row>
    <row r="23" spans="1:25" s="27" customFormat="1" ht="33" customHeight="1" thickBot="1" x14ac:dyDescent="0.35">
      <c r="A23" s="17"/>
      <c r="B23" s="18"/>
      <c r="C23" s="19"/>
      <c r="D23" s="18"/>
      <c r="E23" s="20"/>
      <c r="F23" s="21"/>
      <c r="G23" s="22"/>
      <c r="H23" s="22"/>
      <c r="I23" s="100" t="s">
        <v>600</v>
      </c>
      <c r="J23" s="100"/>
      <c r="K23" s="100" t="s">
        <v>602</v>
      </c>
      <c r="L23" s="100" t="s">
        <v>28</v>
      </c>
      <c r="M23" s="100">
        <v>1</v>
      </c>
      <c r="N23" s="100">
        <v>0</v>
      </c>
      <c r="O23" s="23" t="s">
        <v>613</v>
      </c>
      <c r="P23" s="24"/>
      <c r="Q23" s="24"/>
      <c r="R23" s="19"/>
      <c r="S23" s="24"/>
      <c r="T23" s="24"/>
      <c r="U23" s="24" t="s">
        <v>31</v>
      </c>
      <c r="V23" s="18">
        <v>59</v>
      </c>
      <c r="W23" s="19"/>
      <c r="X23" s="25"/>
      <c r="Y23" s="26"/>
    </row>
    <row r="24" spans="1:25" s="27" customFormat="1" ht="33" customHeight="1" thickBot="1" x14ac:dyDescent="0.35">
      <c r="A24" s="17"/>
      <c r="B24" s="18"/>
      <c r="C24" s="19"/>
      <c r="D24" s="18"/>
      <c r="E24" s="20"/>
      <c r="F24" s="21"/>
      <c r="G24" s="22"/>
      <c r="H24" s="22"/>
      <c r="I24" s="100" t="s">
        <v>600</v>
      </c>
      <c r="J24" s="100"/>
      <c r="K24" s="100" t="s">
        <v>603</v>
      </c>
      <c r="L24" s="100" t="s">
        <v>28</v>
      </c>
      <c r="M24" s="100">
        <v>1</v>
      </c>
      <c r="N24" s="100">
        <v>0</v>
      </c>
      <c r="O24" s="23" t="s">
        <v>613</v>
      </c>
      <c r="P24" s="24"/>
      <c r="Q24" s="24"/>
      <c r="R24" s="19"/>
      <c r="S24" s="24"/>
      <c r="T24" s="24"/>
      <c r="U24" s="24" t="s">
        <v>31</v>
      </c>
      <c r="V24" s="18">
        <v>57</v>
      </c>
      <c r="W24" s="19"/>
      <c r="X24" s="25"/>
      <c r="Y24" s="26"/>
    </row>
    <row r="25" spans="1:25" s="27" customFormat="1" ht="33" customHeight="1" thickBot="1" x14ac:dyDescent="0.35">
      <c r="A25" s="17"/>
      <c r="B25" s="18"/>
      <c r="C25" s="19"/>
      <c r="D25" s="23"/>
      <c r="E25" s="20"/>
      <c r="F25" s="21"/>
      <c r="G25" s="22"/>
      <c r="H25" s="22"/>
      <c r="I25" s="100" t="s">
        <v>600</v>
      </c>
      <c r="J25" s="100"/>
      <c r="K25" s="100" t="s">
        <v>610</v>
      </c>
      <c r="L25" s="100" t="s">
        <v>28</v>
      </c>
      <c r="M25" s="100">
        <v>1</v>
      </c>
      <c r="N25" s="100"/>
      <c r="O25" s="23"/>
      <c r="P25" s="24"/>
      <c r="Q25" s="24"/>
      <c r="R25" s="19"/>
      <c r="S25" s="24"/>
      <c r="T25" s="24"/>
      <c r="U25" s="24"/>
      <c r="V25" s="18"/>
      <c r="W25" s="19"/>
      <c r="X25" s="25"/>
      <c r="Y25" s="26"/>
    </row>
    <row r="26" spans="1:25" s="27" customFormat="1" ht="33" customHeight="1" thickBot="1" x14ac:dyDescent="0.4">
      <c r="A26" s="85"/>
      <c r="B26" s="101">
        <v>4319</v>
      </c>
      <c r="C26" s="87"/>
      <c r="D26" s="86"/>
      <c r="E26" s="88"/>
      <c r="F26" s="84" t="s">
        <v>551</v>
      </c>
      <c r="G26" s="90" t="s">
        <v>26</v>
      </c>
      <c r="H26" s="96"/>
      <c r="I26" s="104" t="s">
        <v>324</v>
      </c>
      <c r="J26" s="100" t="s">
        <v>325</v>
      </c>
      <c r="K26" s="100" t="s">
        <v>326</v>
      </c>
      <c r="L26" s="100" t="s">
        <v>28</v>
      </c>
      <c r="M26" s="100">
        <v>1</v>
      </c>
      <c r="N26" s="100">
        <v>0</v>
      </c>
      <c r="O26" s="86" t="s">
        <v>29</v>
      </c>
      <c r="P26" s="91">
        <v>44392</v>
      </c>
      <c r="Q26" s="91"/>
      <c r="R26" s="87"/>
      <c r="S26" s="91"/>
      <c r="T26" s="91"/>
      <c r="U26" s="86"/>
      <c r="V26" s="18" t="s">
        <v>123</v>
      </c>
      <c r="W26" s="19"/>
      <c r="X26" s="25"/>
      <c r="Y26" s="26"/>
    </row>
    <row r="27" spans="1:25" s="27" customFormat="1" ht="33" customHeight="1" thickBot="1" x14ac:dyDescent="0.35">
      <c r="A27" s="17">
        <v>83</v>
      </c>
      <c r="B27" s="18"/>
      <c r="C27" s="19"/>
      <c r="D27" s="18" t="s">
        <v>593</v>
      </c>
      <c r="E27" s="20" t="s">
        <v>594</v>
      </c>
      <c r="F27" s="21" t="s">
        <v>585</v>
      </c>
      <c r="G27" s="22" t="s">
        <v>586</v>
      </c>
      <c r="H27" s="22"/>
      <c r="I27" s="100" t="s">
        <v>590</v>
      </c>
      <c r="J27" s="100"/>
      <c r="K27" s="100" t="s">
        <v>573</v>
      </c>
      <c r="L27" s="100" t="s">
        <v>28</v>
      </c>
      <c r="M27" s="100">
        <v>1</v>
      </c>
      <c r="N27" s="100">
        <v>0</v>
      </c>
      <c r="O27" s="23" t="s">
        <v>29</v>
      </c>
      <c r="P27" s="24"/>
      <c r="Q27" s="24"/>
      <c r="R27" s="19"/>
      <c r="S27" s="24"/>
      <c r="T27" s="24"/>
      <c r="U27" s="24" t="s">
        <v>31</v>
      </c>
      <c r="V27" s="18"/>
      <c r="W27" s="19"/>
      <c r="X27" s="25"/>
      <c r="Y27" s="26"/>
    </row>
    <row r="28" spans="1:25" s="27" customFormat="1" ht="33" customHeight="1" thickBot="1" x14ac:dyDescent="0.35">
      <c r="A28" s="17">
        <v>1</v>
      </c>
      <c r="B28" s="18">
        <v>4230</v>
      </c>
      <c r="C28" s="19"/>
      <c r="D28" s="18" t="s">
        <v>23</v>
      </c>
      <c r="E28" s="20" t="s">
        <v>24</v>
      </c>
      <c r="F28" s="21" t="s">
        <v>25</v>
      </c>
      <c r="G28" s="22" t="s">
        <v>26</v>
      </c>
      <c r="H28" s="22"/>
      <c r="I28" s="100" t="s">
        <v>27</v>
      </c>
      <c r="J28" s="100"/>
      <c r="K28" s="100">
        <v>517</v>
      </c>
      <c r="L28" s="100" t="s">
        <v>28</v>
      </c>
      <c r="M28" s="100">
        <v>1</v>
      </c>
      <c r="N28" s="100">
        <v>0</v>
      </c>
      <c r="O28" s="23" t="s">
        <v>29</v>
      </c>
      <c r="P28" s="24">
        <v>44377</v>
      </c>
      <c r="Q28" s="24">
        <v>44384</v>
      </c>
      <c r="R28" s="19">
        <v>1</v>
      </c>
      <c r="S28" s="24" t="s">
        <v>30</v>
      </c>
      <c r="T28" s="24" t="s">
        <v>30</v>
      </c>
      <c r="U28" s="24" t="s">
        <v>31</v>
      </c>
      <c r="V28" s="18">
        <v>33</v>
      </c>
      <c r="W28" s="19"/>
      <c r="X28" s="25"/>
      <c r="Y28" s="26"/>
    </row>
    <row r="29" spans="1:25" s="27" customFormat="1" ht="33" customHeight="1" thickBot="1" x14ac:dyDescent="0.35">
      <c r="A29" s="17">
        <v>47</v>
      </c>
      <c r="B29" s="18">
        <v>4319</v>
      </c>
      <c r="C29" s="19">
        <v>49803</v>
      </c>
      <c r="D29" s="18" t="s">
        <v>327</v>
      </c>
      <c r="E29" s="20" t="s">
        <v>328</v>
      </c>
      <c r="F29" s="21" t="s">
        <v>329</v>
      </c>
      <c r="G29" s="22" t="s">
        <v>26</v>
      </c>
      <c r="H29" s="22" t="s">
        <v>330</v>
      </c>
      <c r="I29" s="100" t="s">
        <v>331</v>
      </c>
      <c r="J29" s="100"/>
      <c r="K29" s="100" t="s">
        <v>332</v>
      </c>
      <c r="L29" s="100" t="s">
        <v>28</v>
      </c>
      <c r="M29" s="100">
        <v>1</v>
      </c>
      <c r="N29" s="100">
        <v>0</v>
      </c>
      <c r="O29" s="23" t="s">
        <v>29</v>
      </c>
      <c r="P29" s="24">
        <v>44392</v>
      </c>
      <c r="Q29" s="24" t="s">
        <v>30</v>
      </c>
      <c r="R29" s="19">
        <v>1</v>
      </c>
      <c r="S29" s="24" t="s">
        <v>30</v>
      </c>
      <c r="T29" s="24" t="s">
        <v>30</v>
      </c>
      <c r="U29" s="24" t="s">
        <v>31</v>
      </c>
      <c r="V29" s="18"/>
      <c r="W29" s="19"/>
      <c r="X29" s="25"/>
      <c r="Y29" s="26"/>
    </row>
    <row r="30" spans="1:25" s="27" customFormat="1" ht="33" customHeight="1" thickBot="1" x14ac:dyDescent="0.35">
      <c r="A30" s="17">
        <v>29</v>
      </c>
      <c r="B30" s="18">
        <v>4145</v>
      </c>
      <c r="C30" s="19"/>
      <c r="D30" s="18" t="s">
        <v>500</v>
      </c>
      <c r="E30" s="20" t="s">
        <v>501</v>
      </c>
      <c r="F30" s="21" t="s">
        <v>229</v>
      </c>
      <c r="G30" s="22" t="s">
        <v>26</v>
      </c>
      <c r="H30" s="22"/>
      <c r="I30" s="100" t="s">
        <v>230</v>
      </c>
      <c r="J30" s="100"/>
      <c r="K30" s="100" t="s">
        <v>231</v>
      </c>
      <c r="L30" s="100" t="s">
        <v>28</v>
      </c>
      <c r="M30" s="100">
        <v>1</v>
      </c>
      <c r="N30" s="100">
        <v>0</v>
      </c>
      <c r="O30" s="23" t="s">
        <v>29</v>
      </c>
      <c r="P30" s="24" t="s">
        <v>30</v>
      </c>
      <c r="Q30" s="24" t="s">
        <v>30</v>
      </c>
      <c r="R30" s="19">
        <v>1</v>
      </c>
      <c r="S30" s="24" t="s">
        <v>30</v>
      </c>
      <c r="T30" s="24" t="s">
        <v>30</v>
      </c>
      <c r="U30" s="24" t="s">
        <v>208</v>
      </c>
      <c r="V30" s="18">
        <v>11</v>
      </c>
      <c r="W30" s="19"/>
      <c r="X30" s="25"/>
      <c r="Y30" s="26"/>
    </row>
    <row r="31" spans="1:25" s="27" customFormat="1" ht="33" customHeight="1" thickBot="1" x14ac:dyDescent="0.35">
      <c r="A31" s="17">
        <v>30</v>
      </c>
      <c r="B31" s="18">
        <v>4145</v>
      </c>
      <c r="C31" s="19"/>
      <c r="D31" s="18" t="s">
        <v>502</v>
      </c>
      <c r="E31" s="20" t="s">
        <v>505</v>
      </c>
      <c r="F31" s="21" t="s">
        <v>232</v>
      </c>
      <c r="G31" s="22" t="s">
        <v>26</v>
      </c>
      <c r="H31" s="22"/>
      <c r="I31" s="100" t="s">
        <v>230</v>
      </c>
      <c r="J31" s="100"/>
      <c r="K31" s="100" t="s">
        <v>233</v>
      </c>
      <c r="L31" s="100" t="s">
        <v>28</v>
      </c>
      <c r="M31" s="100">
        <v>1</v>
      </c>
      <c r="N31" s="100">
        <v>0</v>
      </c>
      <c r="O31" s="23" t="s">
        <v>29</v>
      </c>
      <c r="P31" s="24" t="s">
        <v>30</v>
      </c>
      <c r="Q31" s="24" t="s">
        <v>30</v>
      </c>
      <c r="R31" s="19">
        <v>1</v>
      </c>
      <c r="S31" s="24" t="s">
        <v>30</v>
      </c>
      <c r="T31" s="24" t="s">
        <v>30</v>
      </c>
      <c r="U31" s="24" t="s">
        <v>208</v>
      </c>
      <c r="V31" s="18"/>
      <c r="W31" s="19"/>
      <c r="X31" s="25"/>
      <c r="Y31" s="26"/>
    </row>
    <row r="32" spans="1:25" s="27" customFormat="1" ht="33" customHeight="1" thickBot="1" x14ac:dyDescent="0.35">
      <c r="A32" s="17">
        <v>31</v>
      </c>
      <c r="B32" s="18">
        <v>4145</v>
      </c>
      <c r="C32" s="19"/>
      <c r="D32" s="23" t="s">
        <v>503</v>
      </c>
      <c r="E32" s="20" t="s">
        <v>504</v>
      </c>
      <c r="F32" s="21" t="s">
        <v>234</v>
      </c>
      <c r="G32" s="22" t="s">
        <v>26</v>
      </c>
      <c r="H32" s="22"/>
      <c r="I32" s="100" t="s">
        <v>230</v>
      </c>
      <c r="J32" s="100"/>
      <c r="K32" s="100" t="s">
        <v>235</v>
      </c>
      <c r="L32" s="100" t="s">
        <v>28</v>
      </c>
      <c r="M32" s="100">
        <v>1</v>
      </c>
      <c r="N32" s="100">
        <v>0</v>
      </c>
      <c r="O32" s="23" t="s">
        <v>29</v>
      </c>
      <c r="P32" s="24" t="s">
        <v>30</v>
      </c>
      <c r="Q32" s="24" t="s">
        <v>30</v>
      </c>
      <c r="R32" s="19">
        <v>1</v>
      </c>
      <c r="S32" s="24" t="s">
        <v>30</v>
      </c>
      <c r="T32" s="24" t="s">
        <v>30</v>
      </c>
      <c r="U32" s="24" t="s">
        <v>208</v>
      </c>
      <c r="V32" s="18" t="s">
        <v>167</v>
      </c>
      <c r="W32" s="19"/>
      <c r="X32" s="25"/>
      <c r="Y32" s="26"/>
    </row>
    <row r="33" spans="1:25" s="27" customFormat="1" ht="33" customHeight="1" thickBot="1" x14ac:dyDescent="0.35">
      <c r="A33" s="17">
        <v>7</v>
      </c>
      <c r="B33" s="18">
        <v>4230</v>
      </c>
      <c r="C33" s="19"/>
      <c r="D33" s="18" t="s">
        <v>72</v>
      </c>
      <c r="E33" s="20" t="s">
        <v>73</v>
      </c>
      <c r="F33" s="21" t="s">
        <v>74</v>
      </c>
      <c r="G33" s="22" t="s">
        <v>26</v>
      </c>
      <c r="H33" s="22"/>
      <c r="I33" s="100" t="s">
        <v>75</v>
      </c>
      <c r="J33" s="100"/>
      <c r="K33" s="100" t="s">
        <v>76</v>
      </c>
      <c r="L33" s="100" t="s">
        <v>28</v>
      </c>
      <c r="M33" s="100">
        <v>1</v>
      </c>
      <c r="N33" s="100">
        <v>0</v>
      </c>
      <c r="O33" s="23" t="s">
        <v>29</v>
      </c>
      <c r="P33" s="24">
        <v>44377</v>
      </c>
      <c r="Q33" s="24">
        <v>44379</v>
      </c>
      <c r="R33" s="19">
        <v>1</v>
      </c>
      <c r="S33" s="24" t="s">
        <v>30</v>
      </c>
      <c r="T33" s="24" t="s">
        <v>30</v>
      </c>
      <c r="U33" s="24" t="s">
        <v>31</v>
      </c>
      <c r="V33" s="18">
        <v>43</v>
      </c>
      <c r="W33" s="19"/>
      <c r="X33" s="25"/>
      <c r="Y33" s="26"/>
    </row>
    <row r="34" spans="1:25" s="27" customFormat="1" ht="33" customHeight="1" thickBot="1" x14ac:dyDescent="0.35">
      <c r="A34" s="17">
        <v>9</v>
      </c>
      <c r="B34" s="18">
        <v>4230</v>
      </c>
      <c r="C34" s="19"/>
      <c r="D34" s="18" t="s">
        <v>85</v>
      </c>
      <c r="E34" s="20" t="s">
        <v>86</v>
      </c>
      <c r="F34" s="21" t="s">
        <v>87</v>
      </c>
      <c r="G34" s="22" t="s">
        <v>26</v>
      </c>
      <c r="H34" s="22" t="s">
        <v>88</v>
      </c>
      <c r="I34" s="100" t="s">
        <v>75</v>
      </c>
      <c r="J34" s="100"/>
      <c r="K34" s="100" t="s">
        <v>89</v>
      </c>
      <c r="L34" s="100" t="s">
        <v>28</v>
      </c>
      <c r="M34" s="100">
        <v>1</v>
      </c>
      <c r="N34" s="100">
        <v>0</v>
      </c>
      <c r="O34" s="23" t="s">
        <v>29</v>
      </c>
      <c r="P34" s="24">
        <v>44377</v>
      </c>
      <c r="Q34" s="24">
        <v>44379</v>
      </c>
      <c r="R34" s="19">
        <v>1</v>
      </c>
      <c r="S34" s="24" t="s">
        <v>30</v>
      </c>
      <c r="T34" s="24" t="s">
        <v>30</v>
      </c>
      <c r="U34" s="24" t="s">
        <v>31</v>
      </c>
      <c r="V34" s="18"/>
      <c r="W34" s="19"/>
      <c r="X34" s="25"/>
      <c r="Y34" s="26"/>
    </row>
    <row r="35" spans="1:25" s="27" customFormat="1" ht="33" customHeight="1" thickBot="1" x14ac:dyDescent="0.35">
      <c r="A35" s="85"/>
      <c r="B35" s="86">
        <v>4319</v>
      </c>
      <c r="C35" s="87"/>
      <c r="D35" s="86"/>
      <c r="E35" s="88"/>
      <c r="F35" s="89"/>
      <c r="G35" s="90" t="s">
        <v>468</v>
      </c>
      <c r="H35" s="90"/>
      <c r="I35" s="100" t="s">
        <v>466</v>
      </c>
      <c r="J35" s="100"/>
      <c r="K35" s="100" t="s">
        <v>616</v>
      </c>
      <c r="L35" s="100" t="s">
        <v>28</v>
      </c>
      <c r="M35" s="100">
        <v>1</v>
      </c>
      <c r="N35" s="100">
        <v>0</v>
      </c>
      <c r="O35" s="86" t="s">
        <v>29</v>
      </c>
      <c r="P35" s="91"/>
      <c r="Q35" s="91"/>
      <c r="R35" s="87"/>
      <c r="S35" s="91"/>
      <c r="T35" s="91"/>
      <c r="U35" s="86"/>
      <c r="V35" s="18" t="s">
        <v>177</v>
      </c>
      <c r="W35" s="19"/>
      <c r="X35" s="25" t="s">
        <v>178</v>
      </c>
      <c r="Y35" s="26"/>
    </row>
    <row r="36" spans="1:25" s="27" customFormat="1" ht="33" customHeight="1" thickBot="1" x14ac:dyDescent="0.35">
      <c r="A36" s="17">
        <v>84</v>
      </c>
      <c r="B36" s="18"/>
      <c r="C36" s="19"/>
      <c r="D36" s="18" t="s">
        <v>595</v>
      </c>
      <c r="E36" s="20" t="s">
        <v>596</v>
      </c>
      <c r="F36" s="21" t="s">
        <v>597</v>
      </c>
      <c r="G36" s="22" t="s">
        <v>587</v>
      </c>
      <c r="H36" s="22"/>
      <c r="I36" s="100" t="s">
        <v>588</v>
      </c>
      <c r="J36" s="100"/>
      <c r="K36" s="100" t="s">
        <v>589</v>
      </c>
      <c r="L36" s="100" t="s">
        <v>28</v>
      </c>
      <c r="M36" s="100">
        <v>1</v>
      </c>
      <c r="N36" s="100">
        <v>0</v>
      </c>
      <c r="O36" s="23" t="s">
        <v>29</v>
      </c>
      <c r="P36" s="24"/>
      <c r="Q36" s="24"/>
      <c r="R36" s="19"/>
      <c r="S36" s="24"/>
      <c r="T36" s="24"/>
      <c r="U36" s="24" t="s">
        <v>208</v>
      </c>
      <c r="V36" s="18" t="s">
        <v>162</v>
      </c>
      <c r="W36" s="19"/>
      <c r="X36" s="25"/>
      <c r="Y36" s="26"/>
    </row>
    <row r="37" spans="1:25" s="27" customFormat="1" ht="33" customHeight="1" thickBot="1" x14ac:dyDescent="0.35">
      <c r="A37" s="17">
        <v>50</v>
      </c>
      <c r="B37" s="18">
        <v>4319</v>
      </c>
      <c r="C37" s="19"/>
      <c r="D37" s="18" t="s">
        <v>495</v>
      </c>
      <c r="E37" s="20"/>
      <c r="F37" s="21" t="s">
        <v>353</v>
      </c>
      <c r="G37" s="22" t="s">
        <v>26</v>
      </c>
      <c r="H37" s="22"/>
      <c r="I37" s="100" t="s">
        <v>354</v>
      </c>
      <c r="J37" s="100"/>
      <c r="K37" s="100" t="s">
        <v>355</v>
      </c>
      <c r="L37" s="100" t="s">
        <v>28</v>
      </c>
      <c r="M37" s="100">
        <v>1</v>
      </c>
      <c r="N37" s="100">
        <v>0</v>
      </c>
      <c r="O37" s="23" t="s">
        <v>176</v>
      </c>
      <c r="P37" s="24">
        <v>44392</v>
      </c>
      <c r="Q37" s="24">
        <v>44435</v>
      </c>
      <c r="R37" s="19">
        <v>1</v>
      </c>
      <c r="S37" s="24" t="s">
        <v>30</v>
      </c>
      <c r="T37" s="24" t="s">
        <v>30</v>
      </c>
      <c r="U37" s="24" t="s">
        <v>31</v>
      </c>
      <c r="V37" s="18" t="s">
        <v>183</v>
      </c>
      <c r="W37" s="19"/>
      <c r="X37" s="25"/>
      <c r="Y37" s="26"/>
    </row>
    <row r="38" spans="1:25" s="27" customFormat="1" ht="33" customHeight="1" thickBot="1" x14ac:dyDescent="0.35">
      <c r="A38" s="17"/>
      <c r="B38" s="18"/>
      <c r="C38" s="19"/>
      <c r="D38" s="18"/>
      <c r="E38" s="20"/>
      <c r="F38" s="21"/>
      <c r="G38" s="22"/>
      <c r="H38" s="22"/>
      <c r="I38" s="23" t="s">
        <v>213</v>
      </c>
      <c r="J38" s="18"/>
      <c r="K38" s="18" t="s">
        <v>604</v>
      </c>
      <c r="L38" s="18" t="s">
        <v>28</v>
      </c>
      <c r="M38" s="18"/>
      <c r="N38" s="18">
        <v>0</v>
      </c>
      <c r="O38" s="23" t="s">
        <v>176</v>
      </c>
      <c r="P38" s="24"/>
      <c r="Q38" s="24"/>
      <c r="R38" s="19"/>
      <c r="S38" s="24"/>
      <c r="T38" s="24"/>
      <c r="U38" s="24" t="s">
        <v>31</v>
      </c>
      <c r="V38" s="18"/>
      <c r="W38" s="19"/>
      <c r="X38" s="25"/>
      <c r="Y38" s="26"/>
    </row>
    <row r="39" spans="1:25" s="27" customFormat="1" ht="33" customHeight="1" thickBot="1" x14ac:dyDescent="0.35">
      <c r="A39" s="17"/>
      <c r="B39" s="18"/>
      <c r="C39" s="19"/>
      <c r="D39" s="18"/>
      <c r="E39" s="20"/>
      <c r="F39" s="21"/>
      <c r="G39" s="22"/>
      <c r="H39" s="22"/>
      <c r="I39" s="23" t="s">
        <v>213</v>
      </c>
      <c r="J39" s="18"/>
      <c r="K39" s="18" t="s">
        <v>605</v>
      </c>
      <c r="L39" s="18" t="s">
        <v>28</v>
      </c>
      <c r="M39" s="18"/>
      <c r="N39" s="18">
        <v>0</v>
      </c>
      <c r="O39" s="23" t="s">
        <v>176</v>
      </c>
      <c r="P39" s="24"/>
      <c r="Q39" s="24"/>
      <c r="R39" s="19"/>
      <c r="S39" s="24"/>
      <c r="T39" s="24"/>
      <c r="U39" s="24" t="s">
        <v>31</v>
      </c>
      <c r="V39" s="18" t="s">
        <v>190</v>
      </c>
      <c r="W39" s="19"/>
      <c r="X39" s="25"/>
      <c r="Y39" s="26"/>
    </row>
    <row r="40" spans="1:25" s="27" customFormat="1" ht="33" customHeight="1" thickBot="1" x14ac:dyDescent="0.35">
      <c r="A40" s="17"/>
      <c r="B40" s="18"/>
      <c r="C40" s="19"/>
      <c r="D40" s="18"/>
      <c r="E40" s="20"/>
      <c r="F40" s="21"/>
      <c r="G40" s="22"/>
      <c r="H40" s="22"/>
      <c r="I40" s="23" t="s">
        <v>213</v>
      </c>
      <c r="J40" s="18"/>
      <c r="K40" s="18" t="s">
        <v>606</v>
      </c>
      <c r="L40" s="18" t="s">
        <v>28</v>
      </c>
      <c r="M40" s="18"/>
      <c r="N40" s="18"/>
      <c r="O40" s="23"/>
      <c r="P40" s="24"/>
      <c r="Q40" s="24"/>
      <c r="R40" s="19"/>
      <c r="S40" s="24"/>
      <c r="T40" s="24"/>
      <c r="U40" s="24"/>
      <c r="V40" s="18"/>
      <c r="W40" s="19"/>
      <c r="X40" s="25"/>
      <c r="Y40" s="26"/>
    </row>
    <row r="41" spans="1:25" s="27" customFormat="1" ht="33" customHeight="1" thickBot="1" x14ac:dyDescent="0.35">
      <c r="A41" s="17"/>
      <c r="B41" s="18"/>
      <c r="C41" s="19"/>
      <c r="D41" s="18"/>
      <c r="E41" s="20"/>
      <c r="F41" s="21"/>
      <c r="G41" s="22"/>
      <c r="H41" s="22"/>
      <c r="I41" s="23" t="s">
        <v>213</v>
      </c>
      <c r="J41" s="18"/>
      <c r="K41" s="18" t="s">
        <v>609</v>
      </c>
      <c r="L41" s="18" t="s">
        <v>28</v>
      </c>
      <c r="M41" s="18"/>
      <c r="N41" s="18">
        <v>0</v>
      </c>
      <c r="O41" s="23" t="s">
        <v>176</v>
      </c>
      <c r="P41" s="24"/>
      <c r="Q41" s="24"/>
      <c r="R41" s="19"/>
      <c r="S41" s="24"/>
      <c r="T41" s="24"/>
      <c r="U41" s="24" t="s">
        <v>31</v>
      </c>
      <c r="V41" s="18" t="s">
        <v>200</v>
      </c>
      <c r="W41" s="19"/>
      <c r="X41" s="25"/>
      <c r="Y41" s="26"/>
    </row>
    <row r="42" spans="1:25" s="27" customFormat="1" ht="33" customHeight="1" thickBot="1" x14ac:dyDescent="0.35">
      <c r="A42" s="17"/>
      <c r="B42" s="18"/>
      <c r="C42" s="19"/>
      <c r="D42" s="18"/>
      <c r="E42" s="20"/>
      <c r="F42" s="21"/>
      <c r="G42" s="22"/>
      <c r="H42" s="22"/>
      <c r="I42" s="23" t="s">
        <v>213</v>
      </c>
      <c r="J42" s="18"/>
      <c r="K42" s="18" t="s">
        <v>453</v>
      </c>
      <c r="L42" s="18" t="s">
        <v>28</v>
      </c>
      <c r="M42" s="18"/>
      <c r="N42" s="18">
        <v>0</v>
      </c>
      <c r="O42" s="23" t="s">
        <v>176</v>
      </c>
      <c r="P42" s="24"/>
      <c r="Q42" s="24"/>
      <c r="R42" s="19"/>
      <c r="S42" s="24"/>
      <c r="T42" s="24"/>
      <c r="U42" s="24" t="s">
        <v>31</v>
      </c>
      <c r="V42" s="18"/>
      <c r="W42" s="19"/>
      <c r="X42" s="25"/>
      <c r="Y42" s="26"/>
    </row>
    <row r="43" spans="1:25" s="27" customFormat="1" ht="33" customHeight="1" thickBot="1" x14ac:dyDescent="0.35">
      <c r="A43" s="17">
        <v>32</v>
      </c>
      <c r="B43" s="18">
        <v>4145</v>
      </c>
      <c r="C43" s="19"/>
      <c r="D43" s="18" t="s">
        <v>506</v>
      </c>
      <c r="E43" s="20" t="s">
        <v>507</v>
      </c>
      <c r="F43" s="21" t="s">
        <v>236</v>
      </c>
      <c r="G43" s="22" t="s">
        <v>26</v>
      </c>
      <c r="H43" s="22"/>
      <c r="I43" s="100" t="s">
        <v>237</v>
      </c>
      <c r="J43" s="100"/>
      <c r="K43" s="100" t="s">
        <v>238</v>
      </c>
      <c r="L43" s="100" t="s">
        <v>28</v>
      </c>
      <c r="M43" s="100">
        <v>1</v>
      </c>
      <c r="N43" s="100">
        <v>0</v>
      </c>
      <c r="O43" s="23" t="s">
        <v>29</v>
      </c>
      <c r="P43" s="24" t="s">
        <v>30</v>
      </c>
      <c r="Q43" s="24" t="s">
        <v>30</v>
      </c>
      <c r="R43" s="19">
        <v>1</v>
      </c>
      <c r="S43" s="24" t="s">
        <v>30</v>
      </c>
      <c r="T43" s="24" t="s">
        <v>30</v>
      </c>
      <c r="U43" s="24" t="s">
        <v>208</v>
      </c>
      <c r="V43" s="18"/>
      <c r="W43" s="19"/>
      <c r="X43" s="25"/>
      <c r="Y43" s="26"/>
    </row>
    <row r="44" spans="1:25" s="27" customFormat="1" ht="33" customHeight="1" thickBot="1" x14ac:dyDescent="0.35">
      <c r="A44" s="17">
        <v>3</v>
      </c>
      <c r="B44" s="18">
        <v>4230</v>
      </c>
      <c r="C44" s="19"/>
      <c r="D44" s="23" t="s">
        <v>41</v>
      </c>
      <c r="E44" s="20" t="s">
        <v>42</v>
      </c>
      <c r="F44" s="21" t="s">
        <v>43</v>
      </c>
      <c r="G44" s="22" t="s">
        <v>26</v>
      </c>
      <c r="H44" s="22"/>
      <c r="I44" s="100" t="s">
        <v>44</v>
      </c>
      <c r="J44" s="100"/>
      <c r="K44" s="100" t="s">
        <v>45</v>
      </c>
      <c r="L44" s="100" t="s">
        <v>28</v>
      </c>
      <c r="M44" s="100">
        <v>1</v>
      </c>
      <c r="N44" s="100">
        <v>0</v>
      </c>
      <c r="O44" s="100" t="s">
        <v>29</v>
      </c>
      <c r="P44" s="24">
        <v>44377</v>
      </c>
      <c r="Q44" s="24">
        <v>44379</v>
      </c>
      <c r="R44" s="19">
        <v>1</v>
      </c>
      <c r="S44" s="24" t="s">
        <v>30</v>
      </c>
      <c r="T44" s="24" t="s">
        <v>30</v>
      </c>
      <c r="U44" s="24" t="s">
        <v>31</v>
      </c>
      <c r="V44" s="18"/>
      <c r="W44" s="19"/>
      <c r="X44" s="25"/>
      <c r="Y44" s="26"/>
    </row>
    <row r="45" spans="1:25" s="27" customFormat="1" ht="33" customHeight="1" thickBot="1" x14ac:dyDescent="0.35">
      <c r="A45" s="17">
        <v>79</v>
      </c>
      <c r="B45" s="18"/>
      <c r="C45" s="19"/>
      <c r="D45" s="18" t="s">
        <v>570</v>
      </c>
      <c r="E45" s="20" t="s">
        <v>569</v>
      </c>
      <c r="F45" s="21" t="s">
        <v>564</v>
      </c>
      <c r="G45" s="22" t="s">
        <v>26</v>
      </c>
      <c r="H45" s="22"/>
      <c r="I45" s="100" t="s">
        <v>59</v>
      </c>
      <c r="J45" s="100"/>
      <c r="K45" s="100" t="s">
        <v>568</v>
      </c>
      <c r="L45" s="100" t="s">
        <v>28</v>
      </c>
      <c r="M45" s="100">
        <v>1</v>
      </c>
      <c r="N45" s="100">
        <v>0</v>
      </c>
      <c r="O45" s="23" t="s">
        <v>29</v>
      </c>
      <c r="P45" s="24"/>
      <c r="Q45" s="24"/>
      <c r="R45" s="19"/>
      <c r="S45" s="24"/>
      <c r="T45" s="24"/>
      <c r="U45" s="24" t="s">
        <v>31</v>
      </c>
      <c r="V45" s="18"/>
      <c r="W45" s="19"/>
      <c r="X45" s="25"/>
      <c r="Y45" s="26"/>
    </row>
    <row r="46" spans="1:25" s="27" customFormat="1" ht="33" customHeight="1" thickBot="1" x14ac:dyDescent="0.35">
      <c r="A46" s="17">
        <v>80</v>
      </c>
      <c r="B46" s="18"/>
      <c r="C46" s="19"/>
      <c r="D46" s="18" t="s">
        <v>572</v>
      </c>
      <c r="E46" s="20" t="s">
        <v>571</v>
      </c>
      <c r="F46" s="21" t="s">
        <v>565</v>
      </c>
      <c r="G46" s="22" t="s">
        <v>26</v>
      </c>
      <c r="H46" s="22"/>
      <c r="I46" s="100" t="s">
        <v>59</v>
      </c>
      <c r="J46" s="100"/>
      <c r="K46" s="100" t="s">
        <v>573</v>
      </c>
      <c r="L46" s="100" t="s">
        <v>28</v>
      </c>
      <c r="M46" s="100">
        <v>1</v>
      </c>
      <c r="N46" s="100">
        <v>0</v>
      </c>
      <c r="O46" s="23" t="s">
        <v>29</v>
      </c>
      <c r="P46" s="24"/>
      <c r="Q46" s="24"/>
      <c r="R46" s="19"/>
      <c r="S46" s="24"/>
      <c r="T46" s="24"/>
      <c r="U46" s="24" t="s">
        <v>31</v>
      </c>
      <c r="V46" s="18"/>
      <c r="W46" s="19"/>
      <c r="X46" s="25"/>
      <c r="Y46" s="26"/>
    </row>
    <row r="47" spans="1:25" s="27" customFormat="1" ht="33" customHeight="1" thickBot="1" x14ac:dyDescent="0.35">
      <c r="A47" s="17">
        <v>64</v>
      </c>
      <c r="B47" s="18">
        <v>4319</v>
      </c>
      <c r="C47" s="19"/>
      <c r="D47" s="23" t="s">
        <v>492</v>
      </c>
      <c r="E47" s="20" t="s">
        <v>509</v>
      </c>
      <c r="F47" s="21" t="s">
        <v>440</v>
      </c>
      <c r="G47" s="22" t="s">
        <v>26</v>
      </c>
      <c r="H47" s="22"/>
      <c r="I47" s="100" t="s">
        <v>441</v>
      </c>
      <c r="J47" s="100"/>
      <c r="K47" s="100" t="s">
        <v>442</v>
      </c>
      <c r="L47" s="100" t="s">
        <v>28</v>
      </c>
      <c r="M47" s="100">
        <v>1</v>
      </c>
      <c r="N47" s="100">
        <v>0</v>
      </c>
      <c r="O47" s="23" t="s">
        <v>29</v>
      </c>
      <c r="P47" s="24" t="s">
        <v>30</v>
      </c>
      <c r="Q47" s="24" t="s">
        <v>30</v>
      </c>
      <c r="R47" s="19">
        <v>1</v>
      </c>
      <c r="S47" s="24" t="s">
        <v>30</v>
      </c>
      <c r="T47" s="24" t="s">
        <v>30</v>
      </c>
      <c r="U47" s="24" t="s">
        <v>31</v>
      </c>
      <c r="V47" s="18"/>
      <c r="W47" s="19"/>
      <c r="X47" s="25"/>
      <c r="Y47" s="26"/>
    </row>
    <row r="48" spans="1:25" s="27" customFormat="1" ht="33" customHeight="1" thickBot="1" x14ac:dyDescent="0.35">
      <c r="A48" s="17">
        <v>65</v>
      </c>
      <c r="B48" s="18">
        <v>4319</v>
      </c>
      <c r="C48" s="19">
        <v>49780</v>
      </c>
      <c r="D48" s="18" t="s">
        <v>444</v>
      </c>
      <c r="E48" s="20" t="s">
        <v>445</v>
      </c>
      <c r="F48" s="21" t="s">
        <v>446</v>
      </c>
      <c r="G48" s="22" t="s">
        <v>26</v>
      </c>
      <c r="H48" s="22"/>
      <c r="I48" s="100" t="s">
        <v>441</v>
      </c>
      <c r="J48" s="100"/>
      <c r="K48" s="100" t="s">
        <v>447</v>
      </c>
      <c r="L48" s="100" t="s">
        <v>28</v>
      </c>
      <c r="M48" s="100">
        <v>1</v>
      </c>
      <c r="N48" s="100">
        <v>0</v>
      </c>
      <c r="O48" s="23" t="s">
        <v>29</v>
      </c>
      <c r="P48" s="24" t="s">
        <v>30</v>
      </c>
      <c r="Q48" s="24">
        <v>44433</v>
      </c>
      <c r="R48" s="19">
        <v>1</v>
      </c>
      <c r="S48" s="24" t="s">
        <v>30</v>
      </c>
      <c r="T48" s="24" t="s">
        <v>30</v>
      </c>
      <c r="U48" s="24" t="s">
        <v>31</v>
      </c>
      <c r="V48" s="18"/>
      <c r="W48" s="19"/>
      <c r="X48" s="25"/>
      <c r="Y48" s="26"/>
    </row>
    <row r="49" spans="1:25" s="27" customFormat="1" ht="33" customHeight="1" thickBot="1" x14ac:dyDescent="0.35">
      <c r="A49" s="17">
        <v>2</v>
      </c>
      <c r="B49" s="18">
        <v>4230</v>
      </c>
      <c r="C49" s="19"/>
      <c r="D49" s="23" t="s">
        <v>36</v>
      </c>
      <c r="E49" s="20" t="s">
        <v>37</v>
      </c>
      <c r="F49" s="21" t="s">
        <v>38</v>
      </c>
      <c r="G49" s="22" t="s">
        <v>26</v>
      </c>
      <c r="H49" s="22"/>
      <c r="I49" s="100" t="s">
        <v>39</v>
      </c>
      <c r="J49" s="100"/>
      <c r="K49" s="100" t="s">
        <v>40</v>
      </c>
      <c r="L49" s="100" t="s">
        <v>28</v>
      </c>
      <c r="M49" s="100">
        <v>1</v>
      </c>
      <c r="N49" s="100">
        <v>0</v>
      </c>
      <c r="O49" s="100" t="s">
        <v>29</v>
      </c>
      <c r="P49" s="24">
        <v>44377</v>
      </c>
      <c r="Q49" s="24">
        <v>44379</v>
      </c>
      <c r="R49" s="19">
        <v>1</v>
      </c>
      <c r="S49" s="24" t="s">
        <v>30</v>
      </c>
      <c r="T49" s="24" t="s">
        <v>30</v>
      </c>
      <c r="U49" s="24" t="s">
        <v>31</v>
      </c>
      <c r="V49" s="18"/>
      <c r="W49" s="19"/>
      <c r="X49" s="25"/>
      <c r="Y49" s="26"/>
    </row>
    <row r="50" spans="1:25" s="27" customFormat="1" ht="33" customHeight="1" thickBot="1" x14ac:dyDescent="0.35">
      <c r="A50" s="17">
        <v>51</v>
      </c>
      <c r="B50" s="18">
        <v>4319</v>
      </c>
      <c r="C50" s="19">
        <v>49794</v>
      </c>
      <c r="D50" s="18" t="s">
        <v>356</v>
      </c>
      <c r="E50" s="20">
        <v>708101003</v>
      </c>
      <c r="F50" s="21" t="s">
        <v>357</v>
      </c>
      <c r="G50" s="22" t="s">
        <v>26</v>
      </c>
      <c r="H50" s="22"/>
      <c r="I50" s="100" t="s">
        <v>39</v>
      </c>
      <c r="J50" s="100"/>
      <c r="K50" s="100" t="s">
        <v>358</v>
      </c>
      <c r="L50" s="100" t="s">
        <v>28</v>
      </c>
      <c r="M50" s="100">
        <v>1</v>
      </c>
      <c r="N50" s="100">
        <v>0</v>
      </c>
      <c r="O50" s="23" t="s">
        <v>29</v>
      </c>
      <c r="P50" s="24">
        <v>44392</v>
      </c>
      <c r="Q50" s="24" t="s">
        <v>30</v>
      </c>
      <c r="R50" s="19">
        <v>1</v>
      </c>
      <c r="S50" s="24" t="s">
        <v>30</v>
      </c>
      <c r="T50" s="24" t="s">
        <v>30</v>
      </c>
      <c r="U50" s="24" t="s">
        <v>31</v>
      </c>
      <c r="V50" s="18"/>
      <c r="W50" s="19"/>
      <c r="X50" s="25"/>
      <c r="Y50" s="26"/>
    </row>
    <row r="51" spans="1:25" s="27" customFormat="1" ht="33" customHeight="1" thickBot="1" x14ac:dyDescent="0.35">
      <c r="A51" s="17">
        <v>70</v>
      </c>
      <c r="B51" s="18">
        <v>4319</v>
      </c>
      <c r="C51" s="19"/>
      <c r="D51" s="18" t="s">
        <v>489</v>
      </c>
      <c r="E51" s="20" t="s">
        <v>543</v>
      </c>
      <c r="F51" s="21" t="s">
        <v>490</v>
      </c>
      <c r="G51" s="22" t="s">
        <v>26</v>
      </c>
      <c r="H51" s="22"/>
      <c r="I51" s="100" t="s">
        <v>455</v>
      </c>
      <c r="J51" s="100"/>
      <c r="K51" s="100" t="s">
        <v>456</v>
      </c>
      <c r="L51" s="100" t="s">
        <v>28</v>
      </c>
      <c r="M51" s="100">
        <v>1</v>
      </c>
      <c r="N51" s="100">
        <v>0</v>
      </c>
      <c r="O51" s="23" t="s">
        <v>176</v>
      </c>
      <c r="P51" s="24"/>
      <c r="Q51" s="24"/>
      <c r="R51" s="19"/>
      <c r="S51" s="24"/>
      <c r="T51" s="24"/>
      <c r="U51" s="24" t="s">
        <v>31</v>
      </c>
      <c r="V51" s="18"/>
      <c r="W51" s="19"/>
      <c r="X51" s="25"/>
      <c r="Y51" s="26"/>
    </row>
    <row r="52" spans="1:25" s="27" customFormat="1" ht="33" customHeight="1" thickBot="1" x14ac:dyDescent="0.35">
      <c r="A52" s="17">
        <v>81</v>
      </c>
      <c r="B52" s="18"/>
      <c r="C52" s="19"/>
      <c r="D52" s="23" t="s">
        <v>575</v>
      </c>
      <c r="E52" s="20" t="s">
        <v>576</v>
      </c>
      <c r="F52" s="21" t="s">
        <v>566</v>
      </c>
      <c r="G52" s="22" t="s">
        <v>26</v>
      </c>
      <c r="H52" s="22"/>
      <c r="I52" s="100" t="s">
        <v>574</v>
      </c>
      <c r="J52" s="100"/>
      <c r="K52" s="100" t="s">
        <v>568</v>
      </c>
      <c r="L52" s="100" t="s">
        <v>28</v>
      </c>
      <c r="M52" s="100">
        <v>1</v>
      </c>
      <c r="N52" s="100">
        <v>0</v>
      </c>
      <c r="O52" s="23" t="s">
        <v>29</v>
      </c>
      <c r="P52" s="24"/>
      <c r="Q52" s="24"/>
      <c r="R52" s="19"/>
      <c r="S52" s="24"/>
      <c r="T52" s="24"/>
      <c r="U52" s="24" t="s">
        <v>31</v>
      </c>
      <c r="V52" s="18"/>
      <c r="W52" s="19"/>
      <c r="X52" s="25"/>
      <c r="Y52" s="26"/>
    </row>
    <row r="53" spans="1:25" s="27" customFormat="1" ht="33" customHeight="1" thickBot="1" x14ac:dyDescent="0.35">
      <c r="A53" s="17">
        <v>82</v>
      </c>
      <c r="B53" s="18"/>
      <c r="C53" s="19"/>
      <c r="D53" s="18" t="s">
        <v>577</v>
      </c>
      <c r="E53" s="20" t="s">
        <v>578</v>
      </c>
      <c r="F53" s="21" t="s">
        <v>567</v>
      </c>
      <c r="G53" s="22" t="s">
        <v>26</v>
      </c>
      <c r="H53" s="22"/>
      <c r="I53" s="100" t="s">
        <v>574</v>
      </c>
      <c r="J53" s="100"/>
      <c r="K53" s="100" t="s">
        <v>573</v>
      </c>
      <c r="L53" s="100" t="s">
        <v>28</v>
      </c>
      <c r="M53" s="100">
        <v>1</v>
      </c>
      <c r="N53" s="100">
        <v>0</v>
      </c>
      <c r="O53" s="23" t="s">
        <v>29</v>
      </c>
      <c r="P53" s="24"/>
      <c r="Q53" s="24"/>
      <c r="R53" s="19"/>
      <c r="S53" s="24"/>
      <c r="T53" s="24"/>
      <c r="U53" s="24" t="s">
        <v>31</v>
      </c>
      <c r="V53" s="18"/>
      <c r="W53" s="19"/>
      <c r="X53" s="25"/>
      <c r="Y53" s="26"/>
    </row>
    <row r="54" spans="1:25" s="27" customFormat="1" ht="33" customHeight="1" thickBot="1" x14ac:dyDescent="0.35">
      <c r="A54" s="17">
        <v>69</v>
      </c>
      <c r="B54" s="18">
        <v>4319</v>
      </c>
      <c r="C54" s="19"/>
      <c r="D54" s="23" t="s">
        <v>491</v>
      </c>
      <c r="E54" s="20" t="s">
        <v>544</v>
      </c>
      <c r="F54" s="21" t="s">
        <v>484</v>
      </c>
      <c r="G54" s="22" t="s">
        <v>485</v>
      </c>
      <c r="H54" s="22"/>
      <c r="I54" s="100" t="s">
        <v>405</v>
      </c>
      <c r="J54" s="100"/>
      <c r="K54" s="100" t="s">
        <v>454</v>
      </c>
      <c r="L54" s="100" t="s">
        <v>28</v>
      </c>
      <c r="M54" s="100">
        <v>1</v>
      </c>
      <c r="N54" s="100">
        <v>0</v>
      </c>
      <c r="O54" s="23" t="s">
        <v>176</v>
      </c>
      <c r="P54" s="24"/>
      <c r="Q54" s="24"/>
      <c r="R54" s="19"/>
      <c r="S54" s="24"/>
      <c r="T54" s="24"/>
      <c r="U54" s="24" t="s">
        <v>31</v>
      </c>
      <c r="V54" s="18"/>
      <c r="W54" s="19"/>
      <c r="X54" s="25"/>
      <c r="Y54" s="26"/>
    </row>
    <row r="55" spans="1:25" s="27" customFormat="1" ht="33" customHeight="1" thickBot="1" x14ac:dyDescent="0.35">
      <c r="A55" s="17">
        <v>24</v>
      </c>
      <c r="B55" s="18"/>
      <c r="C55" s="19"/>
      <c r="D55" s="18"/>
      <c r="E55" s="20"/>
      <c r="F55" s="21" t="s">
        <v>211</v>
      </c>
      <c r="G55" s="22" t="s">
        <v>26</v>
      </c>
      <c r="H55" s="22"/>
      <c r="I55" s="99" t="s">
        <v>212</v>
      </c>
      <c r="J55" s="18"/>
      <c r="K55" s="18" t="s">
        <v>213</v>
      </c>
      <c r="L55" s="18" t="s">
        <v>28</v>
      </c>
      <c r="M55" s="18"/>
      <c r="N55" s="18">
        <v>0</v>
      </c>
      <c r="O55" s="23" t="s">
        <v>29</v>
      </c>
      <c r="P55" s="24" t="s">
        <v>30</v>
      </c>
      <c r="Q55" s="24" t="s">
        <v>30</v>
      </c>
      <c r="R55" s="19">
        <v>1</v>
      </c>
      <c r="S55" s="24"/>
      <c r="T55" s="24"/>
      <c r="U55" s="24" t="s">
        <v>208</v>
      </c>
      <c r="V55" s="18"/>
      <c r="W55" s="19"/>
      <c r="X55" s="25"/>
      <c r="Y55" s="26"/>
    </row>
    <row r="56" spans="1:25" s="27" customFormat="1" ht="33" customHeight="1" thickBot="1" x14ac:dyDescent="0.35">
      <c r="A56" s="17">
        <v>17</v>
      </c>
      <c r="B56" s="18"/>
      <c r="C56" s="19"/>
      <c r="D56" s="18" t="s">
        <v>483</v>
      </c>
      <c r="E56" s="20" t="s">
        <v>482</v>
      </c>
      <c r="F56" s="21" t="s">
        <v>163</v>
      </c>
      <c r="G56" s="22" t="s">
        <v>26</v>
      </c>
      <c r="H56" s="22" t="s">
        <v>164</v>
      </c>
      <c r="I56" s="100" t="s">
        <v>165</v>
      </c>
      <c r="J56" s="100"/>
      <c r="K56" s="100" t="s">
        <v>166</v>
      </c>
      <c r="L56" s="100" t="s">
        <v>28</v>
      </c>
      <c r="M56" s="100">
        <v>1</v>
      </c>
      <c r="N56" s="100">
        <v>0</v>
      </c>
      <c r="O56" s="23" t="s">
        <v>29</v>
      </c>
      <c r="P56" s="24">
        <v>44385</v>
      </c>
      <c r="Q56" s="24">
        <v>44397</v>
      </c>
      <c r="R56" s="19">
        <v>1</v>
      </c>
      <c r="S56" s="24" t="s">
        <v>30</v>
      </c>
      <c r="T56" s="24" t="s">
        <v>30</v>
      </c>
      <c r="U56" s="24" t="s">
        <v>31</v>
      </c>
      <c r="V56" s="18"/>
      <c r="W56" s="19"/>
      <c r="X56" s="25"/>
      <c r="Y56" s="26"/>
    </row>
    <row r="57" spans="1:25" s="27" customFormat="1" ht="33" customHeight="1" thickBot="1" x14ac:dyDescent="0.35">
      <c r="A57" s="17">
        <v>18</v>
      </c>
      <c r="B57" s="18">
        <v>4319</v>
      </c>
      <c r="C57" s="19">
        <v>50191</v>
      </c>
      <c r="D57" s="18" t="s">
        <v>172</v>
      </c>
      <c r="E57" s="20" t="s">
        <v>173</v>
      </c>
      <c r="F57" s="21" t="s">
        <v>174</v>
      </c>
      <c r="G57" s="22" t="s">
        <v>26</v>
      </c>
      <c r="H57" s="22"/>
      <c r="I57" s="105">
        <v>503</v>
      </c>
      <c r="J57" s="105"/>
      <c r="K57" s="105">
        <v>556</v>
      </c>
      <c r="L57" s="105" t="s">
        <v>51</v>
      </c>
      <c r="M57" s="105">
        <v>0</v>
      </c>
      <c r="N57" s="105">
        <v>1</v>
      </c>
      <c r="O57" s="23" t="s">
        <v>29</v>
      </c>
      <c r="P57" s="24"/>
      <c r="Q57" s="24"/>
      <c r="R57" s="19"/>
      <c r="S57" s="24"/>
      <c r="T57" s="24" t="s">
        <v>30</v>
      </c>
      <c r="U57" s="24" t="s">
        <v>31</v>
      </c>
      <c r="V57" s="18"/>
      <c r="W57" s="19"/>
      <c r="X57" s="25"/>
      <c r="Y57" s="26"/>
    </row>
    <row r="58" spans="1:25" s="27" customFormat="1" ht="33" customHeight="1" thickBot="1" x14ac:dyDescent="0.35">
      <c r="A58" s="17">
        <v>18</v>
      </c>
      <c r="B58" s="18">
        <v>4319</v>
      </c>
      <c r="C58" s="19" t="s">
        <v>168</v>
      </c>
      <c r="D58" s="18" t="s">
        <v>169</v>
      </c>
      <c r="E58" s="20" t="s">
        <v>170</v>
      </c>
      <c r="F58" s="21" t="s">
        <v>171</v>
      </c>
      <c r="G58" s="22" t="s">
        <v>26</v>
      </c>
      <c r="H58" s="22"/>
      <c r="I58" s="105">
        <v>503</v>
      </c>
      <c r="J58" s="105"/>
      <c r="K58" s="105">
        <v>556</v>
      </c>
      <c r="L58" s="105" t="s">
        <v>51</v>
      </c>
      <c r="M58" s="105">
        <v>0</v>
      </c>
      <c r="N58" s="105">
        <v>1</v>
      </c>
      <c r="O58" s="23" t="s">
        <v>29</v>
      </c>
      <c r="P58" s="24" t="s">
        <v>30</v>
      </c>
      <c r="Q58" s="24">
        <v>44442</v>
      </c>
      <c r="R58" s="19">
        <v>2</v>
      </c>
      <c r="S58" s="24" t="s">
        <v>30</v>
      </c>
      <c r="T58" s="24" t="s">
        <v>30</v>
      </c>
      <c r="U58" s="24" t="s">
        <v>31</v>
      </c>
      <c r="V58" s="18">
        <v>53</v>
      </c>
      <c r="W58" s="19"/>
      <c r="X58" s="25"/>
      <c r="Y58" s="26"/>
    </row>
    <row r="59" spans="1:25" s="27" customFormat="1" ht="33" customHeight="1" thickBot="1" x14ac:dyDescent="0.35">
      <c r="A59" s="17">
        <v>20</v>
      </c>
      <c r="B59" s="23">
        <v>4319</v>
      </c>
      <c r="C59" s="19"/>
      <c r="D59" s="23" t="s">
        <v>180</v>
      </c>
      <c r="E59" s="20" t="s">
        <v>181</v>
      </c>
      <c r="F59" s="21" t="s">
        <v>182</v>
      </c>
      <c r="G59" s="22" t="s">
        <v>553</v>
      </c>
      <c r="H59" s="22"/>
      <c r="I59" s="105">
        <v>509</v>
      </c>
      <c r="J59" s="105"/>
      <c r="K59" s="105">
        <v>546</v>
      </c>
      <c r="L59" s="105" t="s">
        <v>51</v>
      </c>
      <c r="M59" s="105">
        <v>0</v>
      </c>
      <c r="N59" s="105">
        <v>1</v>
      </c>
      <c r="O59" s="23" t="s">
        <v>176</v>
      </c>
      <c r="P59" s="24">
        <v>44379</v>
      </c>
      <c r="Q59" s="24">
        <v>44379</v>
      </c>
      <c r="R59" s="19">
        <v>2</v>
      </c>
      <c r="S59" s="24" t="s">
        <v>30</v>
      </c>
      <c r="T59" s="24" t="s">
        <v>30</v>
      </c>
      <c r="U59" s="24" t="s">
        <v>31</v>
      </c>
      <c r="V59" s="18"/>
      <c r="W59" s="19"/>
      <c r="X59" s="25"/>
      <c r="Y59" s="26"/>
    </row>
    <row r="60" spans="1:25" s="27" customFormat="1" ht="33" customHeight="1" thickBot="1" x14ac:dyDescent="0.35">
      <c r="A60" s="17">
        <v>20</v>
      </c>
      <c r="B60" s="23">
        <v>4319</v>
      </c>
      <c r="C60" s="19"/>
      <c r="D60" s="23" t="s">
        <v>184</v>
      </c>
      <c r="E60" s="20" t="s">
        <v>185</v>
      </c>
      <c r="F60" s="21" t="s">
        <v>186</v>
      </c>
      <c r="G60" s="22" t="s">
        <v>553</v>
      </c>
      <c r="H60" s="22"/>
      <c r="I60" s="105">
        <v>509</v>
      </c>
      <c r="J60" s="105"/>
      <c r="K60" s="105">
        <v>546</v>
      </c>
      <c r="L60" s="105" t="s">
        <v>51</v>
      </c>
      <c r="M60" s="105">
        <v>0</v>
      </c>
      <c r="N60" s="105">
        <v>1</v>
      </c>
      <c r="O60" s="23" t="s">
        <v>176</v>
      </c>
      <c r="P60" s="24"/>
      <c r="Q60" s="24"/>
      <c r="R60" s="19"/>
      <c r="S60" s="24"/>
      <c r="T60" s="24" t="s">
        <v>30</v>
      </c>
      <c r="U60" s="24" t="s">
        <v>31</v>
      </c>
      <c r="V60" s="23" t="s">
        <v>248</v>
      </c>
      <c r="W60" s="19"/>
      <c r="X60" s="25"/>
      <c r="Y60" s="26"/>
    </row>
    <row r="61" spans="1:25" s="27" customFormat="1" ht="33" customHeight="1" thickBot="1" x14ac:dyDescent="0.35">
      <c r="A61" s="17">
        <v>21</v>
      </c>
      <c r="B61" s="18">
        <v>4319</v>
      </c>
      <c r="C61" s="19"/>
      <c r="D61" s="18" t="s">
        <v>187</v>
      </c>
      <c r="E61" s="20" t="s">
        <v>188</v>
      </c>
      <c r="F61" s="21" t="s">
        <v>189</v>
      </c>
      <c r="G61" s="22" t="s">
        <v>553</v>
      </c>
      <c r="H61" s="22"/>
      <c r="I61" s="105">
        <v>511</v>
      </c>
      <c r="J61" s="105">
        <v>546</v>
      </c>
      <c r="K61" s="105">
        <v>544</v>
      </c>
      <c r="L61" s="105" t="s">
        <v>51</v>
      </c>
      <c r="M61" s="105">
        <v>0</v>
      </c>
      <c r="N61" s="105">
        <v>1</v>
      </c>
      <c r="O61" s="23" t="s">
        <v>176</v>
      </c>
      <c r="P61" s="24">
        <v>44379</v>
      </c>
      <c r="Q61" s="24">
        <v>44379</v>
      </c>
      <c r="R61" s="19">
        <v>2</v>
      </c>
      <c r="S61" s="24" t="s">
        <v>30</v>
      </c>
      <c r="T61" s="24" t="s">
        <v>30</v>
      </c>
      <c r="U61" s="24" t="s">
        <v>31</v>
      </c>
      <c r="V61" s="18"/>
      <c r="W61" s="19"/>
      <c r="X61" s="25"/>
      <c r="Y61" s="26"/>
    </row>
    <row r="62" spans="1:25" s="27" customFormat="1" ht="33" customHeight="1" thickBot="1" x14ac:dyDescent="0.35">
      <c r="A62" s="17">
        <v>21</v>
      </c>
      <c r="B62" s="18">
        <v>4319</v>
      </c>
      <c r="C62" s="19"/>
      <c r="D62" s="18" t="s">
        <v>191</v>
      </c>
      <c r="E62" s="20" t="s">
        <v>192</v>
      </c>
      <c r="F62" s="21" t="s">
        <v>193</v>
      </c>
      <c r="G62" s="22" t="s">
        <v>553</v>
      </c>
      <c r="H62" s="22"/>
      <c r="I62" s="105">
        <v>511</v>
      </c>
      <c r="J62" s="105">
        <v>546</v>
      </c>
      <c r="K62" s="105">
        <v>544</v>
      </c>
      <c r="L62" s="105" t="s">
        <v>51</v>
      </c>
      <c r="M62" s="105">
        <v>0</v>
      </c>
      <c r="N62" s="105">
        <v>1</v>
      </c>
      <c r="O62" s="23" t="s">
        <v>176</v>
      </c>
      <c r="P62" s="24"/>
      <c r="Q62" s="24"/>
      <c r="R62" s="19"/>
      <c r="S62" s="24"/>
      <c r="T62" s="24" t="s">
        <v>30</v>
      </c>
      <c r="U62" s="24" t="s">
        <v>31</v>
      </c>
      <c r="V62" s="18" t="s">
        <v>257</v>
      </c>
      <c r="W62" s="19"/>
      <c r="X62" s="25"/>
      <c r="Y62" s="26"/>
    </row>
    <row r="63" spans="1:25" s="27" customFormat="1" ht="33" customHeight="1" thickBot="1" x14ac:dyDescent="0.35">
      <c r="A63" s="17">
        <v>66</v>
      </c>
      <c r="B63" s="18">
        <v>4319</v>
      </c>
      <c r="C63" s="19"/>
      <c r="D63" s="18"/>
      <c r="E63" s="20"/>
      <c r="F63" s="21" t="s">
        <v>449</v>
      </c>
      <c r="G63" s="22" t="s">
        <v>26</v>
      </c>
      <c r="H63" s="22"/>
      <c r="I63" s="105">
        <v>511</v>
      </c>
      <c r="J63" s="105"/>
      <c r="K63" s="105">
        <v>560</v>
      </c>
      <c r="L63" s="105" t="s">
        <v>51</v>
      </c>
      <c r="M63" s="105">
        <v>0</v>
      </c>
      <c r="N63" s="105">
        <v>1</v>
      </c>
      <c r="O63" s="23" t="s">
        <v>29</v>
      </c>
      <c r="P63" s="24" t="s">
        <v>30</v>
      </c>
      <c r="Q63" s="24" t="s">
        <v>30</v>
      </c>
      <c r="R63" s="19">
        <v>2</v>
      </c>
      <c r="S63" s="24" t="s">
        <v>30</v>
      </c>
      <c r="T63" s="24" t="s">
        <v>30</v>
      </c>
      <c r="U63" s="24" t="s">
        <v>31</v>
      </c>
      <c r="V63" s="18"/>
      <c r="W63" s="19"/>
      <c r="X63" s="25"/>
      <c r="Y63" s="26"/>
    </row>
    <row r="64" spans="1:25" s="27" customFormat="1" ht="33" customHeight="1" thickBot="1" x14ac:dyDescent="0.35">
      <c r="A64" s="17">
        <v>66</v>
      </c>
      <c r="B64" s="18">
        <v>4319</v>
      </c>
      <c r="C64" s="19"/>
      <c r="D64" s="18"/>
      <c r="E64" s="20"/>
      <c r="F64" s="21" t="s">
        <v>451</v>
      </c>
      <c r="G64" s="22" t="s">
        <v>26</v>
      </c>
      <c r="H64" s="22"/>
      <c r="I64" s="105">
        <v>511</v>
      </c>
      <c r="J64" s="105"/>
      <c r="K64" s="105">
        <v>560</v>
      </c>
      <c r="L64" s="105" t="s">
        <v>51</v>
      </c>
      <c r="M64" s="105">
        <v>0</v>
      </c>
      <c r="N64" s="105">
        <v>1</v>
      </c>
      <c r="O64" s="23" t="s">
        <v>29</v>
      </c>
      <c r="P64" s="24"/>
      <c r="Q64" s="24"/>
      <c r="R64" s="19"/>
      <c r="S64" s="24"/>
      <c r="T64" s="24" t="s">
        <v>30</v>
      </c>
      <c r="U64" s="24" t="s">
        <v>31</v>
      </c>
      <c r="V64" s="18"/>
      <c r="W64" s="19"/>
      <c r="X64" s="25"/>
      <c r="Y64" s="26"/>
    </row>
    <row r="65" spans="1:25" s="27" customFormat="1" ht="33" customHeight="1" thickBot="1" x14ac:dyDescent="0.35">
      <c r="A65" s="17">
        <v>19</v>
      </c>
      <c r="B65" s="18">
        <v>4319</v>
      </c>
      <c r="C65" s="19"/>
      <c r="D65" s="18"/>
      <c r="E65" s="20"/>
      <c r="F65" s="21" t="s">
        <v>175</v>
      </c>
      <c r="G65" s="22"/>
      <c r="H65" s="22"/>
      <c r="I65" s="99">
        <v>515</v>
      </c>
      <c r="J65" s="18"/>
      <c r="K65" s="18">
        <v>566</v>
      </c>
      <c r="L65" s="18" t="s">
        <v>51</v>
      </c>
      <c r="M65" s="18">
        <v>0</v>
      </c>
      <c r="N65" s="18">
        <v>1</v>
      </c>
      <c r="O65" s="23" t="s">
        <v>176</v>
      </c>
      <c r="P65" s="24">
        <v>44379</v>
      </c>
      <c r="Q65" s="24">
        <v>44435</v>
      </c>
      <c r="R65" s="19">
        <v>2</v>
      </c>
      <c r="S65" s="24" t="s">
        <v>30</v>
      </c>
      <c r="T65" s="24" t="s">
        <v>30</v>
      </c>
      <c r="U65" s="24" t="s">
        <v>31</v>
      </c>
      <c r="V65" s="18"/>
      <c r="W65" s="19"/>
      <c r="X65" s="25"/>
      <c r="Y65" s="26"/>
    </row>
    <row r="66" spans="1:25" s="27" customFormat="1" ht="33" customHeight="1" thickBot="1" x14ac:dyDescent="0.35">
      <c r="A66" s="17">
        <v>19</v>
      </c>
      <c r="B66" s="18">
        <v>4319</v>
      </c>
      <c r="C66" s="19"/>
      <c r="D66" s="18"/>
      <c r="E66" s="20"/>
      <c r="F66" s="21" t="s">
        <v>179</v>
      </c>
      <c r="G66" s="22"/>
      <c r="H66" s="22"/>
      <c r="I66" s="99">
        <v>515</v>
      </c>
      <c r="J66" s="18"/>
      <c r="K66" s="18">
        <v>566</v>
      </c>
      <c r="L66" s="18" t="s">
        <v>51</v>
      </c>
      <c r="M66" s="18">
        <v>0</v>
      </c>
      <c r="N66" s="18">
        <v>1</v>
      </c>
      <c r="O66" s="23" t="s">
        <v>176</v>
      </c>
      <c r="P66" s="24"/>
      <c r="Q66" s="24"/>
      <c r="R66" s="19"/>
      <c r="S66" s="24" t="s">
        <v>30</v>
      </c>
      <c r="T66" s="24" t="s">
        <v>30</v>
      </c>
      <c r="U66" s="24" t="s">
        <v>31</v>
      </c>
      <c r="V66" s="18"/>
      <c r="W66" s="19"/>
      <c r="X66" s="25"/>
      <c r="Y66" s="26"/>
    </row>
    <row r="67" spans="1:25" s="27" customFormat="1" ht="33" customHeight="1" thickBot="1" x14ac:dyDescent="0.35">
      <c r="A67" s="17">
        <v>57</v>
      </c>
      <c r="B67" s="18">
        <v>4145</v>
      </c>
      <c r="C67" s="19">
        <v>50080</v>
      </c>
      <c r="D67" s="18" t="s">
        <v>398</v>
      </c>
      <c r="E67" s="20" t="s">
        <v>399</v>
      </c>
      <c r="F67" s="21" t="s">
        <v>562</v>
      </c>
      <c r="G67" s="22" t="s">
        <v>26</v>
      </c>
      <c r="H67" s="22"/>
      <c r="I67" s="105">
        <v>534</v>
      </c>
      <c r="J67" s="105"/>
      <c r="K67" s="105">
        <v>523</v>
      </c>
      <c r="L67" s="105" t="s">
        <v>51</v>
      </c>
      <c r="M67" s="105">
        <v>0</v>
      </c>
      <c r="N67" s="105">
        <v>1</v>
      </c>
      <c r="O67" s="23" t="s">
        <v>29</v>
      </c>
      <c r="P67" s="24">
        <v>44392</v>
      </c>
      <c r="Q67" s="24">
        <v>44443</v>
      </c>
      <c r="R67" s="19">
        <v>2</v>
      </c>
      <c r="S67" s="24" t="s">
        <v>30</v>
      </c>
      <c r="T67" s="24" t="s">
        <v>30</v>
      </c>
      <c r="U67" s="24" t="s">
        <v>208</v>
      </c>
      <c r="V67" s="18"/>
      <c r="W67" s="19"/>
      <c r="X67" s="25"/>
      <c r="Y67" s="26"/>
    </row>
    <row r="68" spans="1:25" s="27" customFormat="1" ht="33" customHeight="1" thickBot="1" x14ac:dyDescent="0.35">
      <c r="A68" s="17">
        <v>57</v>
      </c>
      <c r="B68" s="18">
        <v>4145</v>
      </c>
      <c r="C68" s="19">
        <v>50092</v>
      </c>
      <c r="D68" s="18" t="s">
        <v>394</v>
      </c>
      <c r="E68" s="20" t="s">
        <v>395</v>
      </c>
      <c r="F68" s="21" t="s">
        <v>563</v>
      </c>
      <c r="G68" s="22" t="s">
        <v>26</v>
      </c>
      <c r="H68" s="22"/>
      <c r="I68" s="105">
        <v>534</v>
      </c>
      <c r="J68" s="105"/>
      <c r="K68" s="105">
        <v>523</v>
      </c>
      <c r="L68" s="105" t="s">
        <v>51</v>
      </c>
      <c r="M68" s="105">
        <v>0</v>
      </c>
      <c r="N68" s="105">
        <v>1</v>
      </c>
      <c r="O68" s="23" t="s">
        <v>29</v>
      </c>
      <c r="P68" s="24"/>
      <c r="Q68" s="24"/>
      <c r="R68" s="19"/>
      <c r="S68" s="24"/>
      <c r="T68" s="24" t="s">
        <v>30</v>
      </c>
      <c r="U68" s="24" t="s">
        <v>208</v>
      </c>
      <c r="V68" s="18"/>
      <c r="W68" s="19"/>
      <c r="X68" s="25"/>
      <c r="Y68" s="26"/>
    </row>
    <row r="69" spans="1:25" s="27" customFormat="1" ht="33" customHeight="1" thickBot="1" x14ac:dyDescent="0.35">
      <c r="A69" s="17">
        <v>28</v>
      </c>
      <c r="B69" s="18">
        <v>4145</v>
      </c>
      <c r="C69" s="19"/>
      <c r="D69" s="18"/>
      <c r="E69" s="20"/>
      <c r="F69" s="21" t="s">
        <v>226</v>
      </c>
      <c r="G69" s="22" t="s">
        <v>26</v>
      </c>
      <c r="H69" s="22"/>
      <c r="I69" s="105">
        <v>820</v>
      </c>
      <c r="J69" s="105"/>
      <c r="K69" s="105" t="s">
        <v>227</v>
      </c>
      <c r="L69" s="105" t="s">
        <v>51</v>
      </c>
      <c r="M69" s="105">
        <v>0</v>
      </c>
      <c r="N69" s="105">
        <v>1</v>
      </c>
      <c r="O69" s="23" t="s">
        <v>29</v>
      </c>
      <c r="P69" s="24" t="s">
        <v>30</v>
      </c>
      <c r="Q69" s="24" t="s">
        <v>30</v>
      </c>
      <c r="R69" s="19">
        <v>2</v>
      </c>
      <c r="S69" s="24" t="s">
        <v>30</v>
      </c>
      <c r="T69" s="24" t="s">
        <v>30</v>
      </c>
      <c r="U69" s="24" t="s">
        <v>208</v>
      </c>
      <c r="V69" s="18"/>
      <c r="W69" s="19"/>
      <c r="X69" s="25"/>
      <c r="Y69" s="26"/>
    </row>
    <row r="70" spans="1:25" s="27" customFormat="1" ht="33" customHeight="1" thickBot="1" x14ac:dyDescent="0.35">
      <c r="A70" s="17">
        <v>28</v>
      </c>
      <c r="B70" s="18">
        <v>4145</v>
      </c>
      <c r="C70" s="19"/>
      <c r="D70" s="18"/>
      <c r="E70" s="20"/>
      <c r="F70" s="21" t="s">
        <v>228</v>
      </c>
      <c r="G70" s="22" t="s">
        <v>26</v>
      </c>
      <c r="H70" s="22"/>
      <c r="I70" s="105">
        <v>820</v>
      </c>
      <c r="J70" s="105"/>
      <c r="K70" s="105" t="s">
        <v>227</v>
      </c>
      <c r="L70" s="105" t="s">
        <v>51</v>
      </c>
      <c r="M70" s="105">
        <v>0</v>
      </c>
      <c r="N70" s="105">
        <v>1</v>
      </c>
      <c r="O70" s="23" t="s">
        <v>29</v>
      </c>
      <c r="P70" s="24"/>
      <c r="Q70" s="24"/>
      <c r="R70" s="19"/>
      <c r="S70" s="24"/>
      <c r="T70" s="24" t="s">
        <v>30</v>
      </c>
      <c r="U70" s="24" t="s">
        <v>208</v>
      </c>
      <c r="V70" s="18" t="s">
        <v>293</v>
      </c>
      <c r="W70" s="19"/>
      <c r="X70" s="25"/>
      <c r="Y70" s="26"/>
    </row>
    <row r="71" spans="1:25" s="27" customFormat="1" ht="33" customHeight="1" thickBot="1" x14ac:dyDescent="0.35">
      <c r="A71" s="17">
        <v>46</v>
      </c>
      <c r="B71" s="18">
        <v>4319</v>
      </c>
      <c r="C71" s="19"/>
      <c r="D71" s="18" t="s">
        <v>317</v>
      </c>
      <c r="E71" s="20"/>
      <c r="F71" s="21" t="s">
        <v>318</v>
      </c>
      <c r="G71" s="22"/>
      <c r="H71" s="22"/>
      <c r="I71" s="105" t="s">
        <v>319</v>
      </c>
      <c r="J71" s="105" t="s">
        <v>320</v>
      </c>
      <c r="K71" s="105" t="s">
        <v>321</v>
      </c>
      <c r="L71" s="105" t="s">
        <v>51</v>
      </c>
      <c r="M71" s="105">
        <v>0</v>
      </c>
      <c r="N71" s="105">
        <v>1</v>
      </c>
      <c r="O71" s="23" t="s">
        <v>29</v>
      </c>
      <c r="P71" s="24">
        <v>44392</v>
      </c>
      <c r="Q71" s="24" t="s">
        <v>30</v>
      </c>
      <c r="R71" s="19">
        <v>2</v>
      </c>
      <c r="S71" s="24" t="s">
        <v>30</v>
      </c>
      <c r="T71" s="24" t="s">
        <v>30</v>
      </c>
      <c r="U71" s="24" t="s">
        <v>31</v>
      </c>
      <c r="V71" s="18" t="s">
        <v>293</v>
      </c>
      <c r="W71" s="19"/>
      <c r="X71" s="25"/>
      <c r="Y71" s="26"/>
    </row>
    <row r="72" spans="1:25" s="27" customFormat="1" ht="33" customHeight="1" thickBot="1" x14ac:dyDescent="0.35">
      <c r="A72" s="17">
        <v>46</v>
      </c>
      <c r="B72" s="18">
        <v>4319</v>
      </c>
      <c r="C72" s="19"/>
      <c r="D72" s="18" t="s">
        <v>322</v>
      </c>
      <c r="E72" s="20"/>
      <c r="F72" s="21" t="s">
        <v>323</v>
      </c>
      <c r="G72" s="22"/>
      <c r="H72" s="22"/>
      <c r="I72" s="105" t="s">
        <v>319</v>
      </c>
      <c r="J72" s="105" t="s">
        <v>320</v>
      </c>
      <c r="K72" s="105" t="s">
        <v>321</v>
      </c>
      <c r="L72" s="105" t="s">
        <v>51</v>
      </c>
      <c r="M72" s="105">
        <v>0</v>
      </c>
      <c r="N72" s="105">
        <v>1</v>
      </c>
      <c r="O72" s="23" t="s">
        <v>29</v>
      </c>
      <c r="P72" s="24"/>
      <c r="Q72" s="24"/>
      <c r="R72" s="19"/>
      <c r="S72" s="24"/>
      <c r="T72" s="24" t="s">
        <v>30</v>
      </c>
      <c r="U72" s="24" t="s">
        <v>31</v>
      </c>
      <c r="V72" s="18" t="s">
        <v>293</v>
      </c>
      <c r="W72" s="19"/>
      <c r="X72" s="25"/>
      <c r="Y72" s="26"/>
    </row>
    <row r="73" spans="1:25" s="27" customFormat="1" ht="33" customHeight="1" thickBot="1" x14ac:dyDescent="0.35">
      <c r="A73" s="17">
        <v>67</v>
      </c>
      <c r="B73" s="18">
        <v>4319</v>
      </c>
      <c r="C73" s="19"/>
      <c r="D73" s="18" t="s">
        <v>137</v>
      </c>
      <c r="E73" s="20" t="s">
        <v>138</v>
      </c>
      <c r="F73" s="21" t="s">
        <v>139</v>
      </c>
      <c r="G73" s="22" t="s">
        <v>26</v>
      </c>
      <c r="H73" s="22"/>
      <c r="I73" s="105" t="s">
        <v>140</v>
      </c>
      <c r="J73" s="105" t="s">
        <v>141</v>
      </c>
      <c r="K73" s="105" t="s">
        <v>142</v>
      </c>
      <c r="L73" s="105" t="s">
        <v>51</v>
      </c>
      <c r="M73" s="105">
        <v>0</v>
      </c>
      <c r="N73" s="105">
        <v>1</v>
      </c>
      <c r="O73" s="23" t="s">
        <v>29</v>
      </c>
      <c r="P73" s="24">
        <v>44385</v>
      </c>
      <c r="Q73" s="24">
        <v>44385</v>
      </c>
      <c r="R73" s="19">
        <v>2</v>
      </c>
      <c r="S73" s="24"/>
      <c r="T73" s="24"/>
      <c r="U73" s="24" t="s">
        <v>31</v>
      </c>
      <c r="V73" s="18" t="s">
        <v>293</v>
      </c>
      <c r="W73" s="19"/>
      <c r="X73" s="25"/>
      <c r="Y73" s="26"/>
    </row>
    <row r="74" spans="1:25" s="27" customFormat="1" ht="33" customHeight="1" thickBot="1" x14ac:dyDescent="0.35">
      <c r="A74" s="17">
        <v>67</v>
      </c>
      <c r="B74" s="18">
        <v>4319</v>
      </c>
      <c r="C74" s="19"/>
      <c r="D74" s="18" t="s">
        <v>143</v>
      </c>
      <c r="E74" s="20" t="s">
        <v>144</v>
      </c>
      <c r="F74" s="21" t="s">
        <v>145</v>
      </c>
      <c r="G74" s="22" t="s">
        <v>26</v>
      </c>
      <c r="H74" s="22"/>
      <c r="I74" s="105" t="s">
        <v>140</v>
      </c>
      <c r="J74" s="105" t="s">
        <v>141</v>
      </c>
      <c r="K74" s="105" t="s">
        <v>142</v>
      </c>
      <c r="L74" s="105" t="s">
        <v>51</v>
      </c>
      <c r="M74" s="105">
        <v>0</v>
      </c>
      <c r="N74" s="105">
        <v>1</v>
      </c>
      <c r="O74" s="23" t="s">
        <v>29</v>
      </c>
      <c r="P74" s="24"/>
      <c r="Q74" s="24"/>
      <c r="R74" s="19"/>
      <c r="S74" s="24"/>
      <c r="T74" s="24"/>
      <c r="U74" s="24" t="s">
        <v>31</v>
      </c>
      <c r="V74" s="18" t="s">
        <v>308</v>
      </c>
      <c r="W74" s="19"/>
      <c r="X74" s="25"/>
      <c r="Y74" s="26"/>
    </row>
    <row r="75" spans="1:25" s="27" customFormat="1" ht="33" customHeight="1" thickBot="1" x14ac:dyDescent="0.35">
      <c r="A75" s="17">
        <v>53</v>
      </c>
      <c r="B75" s="18">
        <v>4319</v>
      </c>
      <c r="C75" s="19">
        <v>50073</v>
      </c>
      <c r="D75" s="18" t="s">
        <v>369</v>
      </c>
      <c r="E75" s="20" t="s">
        <v>370</v>
      </c>
      <c r="F75" s="21" t="s">
        <v>371</v>
      </c>
      <c r="G75" s="22"/>
      <c r="H75" s="22"/>
      <c r="I75" s="105" t="s">
        <v>271</v>
      </c>
      <c r="J75" s="105" t="s">
        <v>372</v>
      </c>
      <c r="K75" s="105" t="s">
        <v>373</v>
      </c>
      <c r="L75" s="105" t="s">
        <v>51</v>
      </c>
      <c r="M75" s="105">
        <v>0</v>
      </c>
      <c r="N75" s="105">
        <v>1</v>
      </c>
      <c r="O75" s="23" t="s">
        <v>29</v>
      </c>
      <c r="P75" s="24">
        <v>44392</v>
      </c>
      <c r="Q75" s="24" t="s">
        <v>30</v>
      </c>
      <c r="R75" s="19">
        <v>2</v>
      </c>
      <c r="S75" s="24" t="s">
        <v>30</v>
      </c>
      <c r="T75" s="24" t="s">
        <v>30</v>
      </c>
      <c r="U75" s="24" t="s">
        <v>31</v>
      </c>
      <c r="V75" s="18" t="s">
        <v>308</v>
      </c>
      <c r="W75" s="19"/>
      <c r="X75" s="25"/>
      <c r="Y75" s="26"/>
    </row>
    <row r="76" spans="1:25" s="27" customFormat="1" ht="33" customHeight="1" thickBot="1" x14ac:dyDescent="0.35">
      <c r="A76" s="17">
        <v>53</v>
      </c>
      <c r="B76" s="18">
        <v>4319</v>
      </c>
      <c r="C76" s="19">
        <v>50128</v>
      </c>
      <c r="D76" s="18" t="s">
        <v>374</v>
      </c>
      <c r="E76" s="20" t="s">
        <v>375</v>
      </c>
      <c r="F76" s="21" t="s">
        <v>376</v>
      </c>
      <c r="G76" s="22" t="s">
        <v>26</v>
      </c>
      <c r="H76" s="22"/>
      <c r="I76" s="105" t="s">
        <v>271</v>
      </c>
      <c r="J76" s="105" t="s">
        <v>372</v>
      </c>
      <c r="K76" s="105" t="s">
        <v>373</v>
      </c>
      <c r="L76" s="105" t="s">
        <v>51</v>
      </c>
      <c r="M76" s="105">
        <v>0</v>
      </c>
      <c r="N76" s="105">
        <v>1</v>
      </c>
      <c r="O76" s="23" t="s">
        <v>29</v>
      </c>
      <c r="P76" s="24"/>
      <c r="Q76" s="24"/>
      <c r="R76" s="19"/>
      <c r="S76" s="24"/>
      <c r="T76" s="24" t="s">
        <v>30</v>
      </c>
      <c r="U76" s="24" t="s">
        <v>31</v>
      </c>
      <c r="V76" s="18" t="s">
        <v>308</v>
      </c>
      <c r="W76" s="19"/>
      <c r="X76" s="25"/>
      <c r="Y76" s="26"/>
    </row>
    <row r="77" spans="1:25" s="27" customFormat="1" ht="33" customHeight="1" thickBot="1" x14ac:dyDescent="0.35">
      <c r="A77" s="17">
        <v>40</v>
      </c>
      <c r="B77" s="18">
        <v>4319</v>
      </c>
      <c r="C77" s="19" t="s">
        <v>274</v>
      </c>
      <c r="D77" s="18" t="s">
        <v>275</v>
      </c>
      <c r="E77" s="20" t="s">
        <v>276</v>
      </c>
      <c r="F77" s="21" t="s">
        <v>277</v>
      </c>
      <c r="G77" s="22" t="s">
        <v>26</v>
      </c>
      <c r="H77" s="22"/>
      <c r="I77" s="99" t="s">
        <v>271</v>
      </c>
      <c r="J77" s="18" t="s">
        <v>272</v>
      </c>
      <c r="K77" s="18" t="s">
        <v>273</v>
      </c>
      <c r="L77" s="18" t="s">
        <v>51</v>
      </c>
      <c r="M77" s="18">
        <v>0</v>
      </c>
      <c r="N77" s="18">
        <v>1</v>
      </c>
      <c r="O77" s="23" t="s">
        <v>29</v>
      </c>
      <c r="P77" s="24"/>
      <c r="Q77" s="24"/>
      <c r="R77" s="19"/>
      <c r="S77" s="24"/>
      <c r="T77" s="24" t="s">
        <v>30</v>
      </c>
      <c r="U77" s="24" t="s">
        <v>31</v>
      </c>
      <c r="V77" s="18" t="s">
        <v>308</v>
      </c>
      <c r="W77" s="19"/>
      <c r="X77" s="25"/>
      <c r="Y77" s="26"/>
    </row>
    <row r="78" spans="1:25" s="27" customFormat="1" ht="33" customHeight="1" thickBot="1" x14ac:dyDescent="0.35">
      <c r="A78" s="17">
        <v>40</v>
      </c>
      <c r="B78" s="18">
        <v>4319</v>
      </c>
      <c r="C78" s="19">
        <v>50157</v>
      </c>
      <c r="D78" s="18" t="s">
        <v>268</v>
      </c>
      <c r="E78" s="20" t="s">
        <v>269</v>
      </c>
      <c r="F78" s="21" t="s">
        <v>270</v>
      </c>
      <c r="G78" s="22" t="s">
        <v>26</v>
      </c>
      <c r="H78" s="22"/>
      <c r="I78" s="99" t="s">
        <v>271</v>
      </c>
      <c r="J78" s="18" t="s">
        <v>272</v>
      </c>
      <c r="K78" s="18" t="s">
        <v>273</v>
      </c>
      <c r="L78" s="18" t="s">
        <v>51</v>
      </c>
      <c r="M78" s="18">
        <v>0</v>
      </c>
      <c r="N78" s="18">
        <v>1</v>
      </c>
      <c r="O78" s="23" t="s">
        <v>29</v>
      </c>
      <c r="P78" s="24" t="s">
        <v>30</v>
      </c>
      <c r="Q78" s="24" t="s">
        <v>30</v>
      </c>
      <c r="R78" s="19">
        <v>2</v>
      </c>
      <c r="S78" s="24" t="s">
        <v>30</v>
      </c>
      <c r="T78" s="24" t="s">
        <v>30</v>
      </c>
      <c r="U78" s="24" t="s">
        <v>31</v>
      </c>
      <c r="V78" s="18" t="s">
        <v>308</v>
      </c>
      <c r="W78" s="19"/>
      <c r="X78" s="25"/>
      <c r="Y78" s="26"/>
    </row>
    <row r="79" spans="1:25" s="27" customFormat="1" ht="33" customHeight="1" thickBot="1" x14ac:dyDescent="0.35">
      <c r="A79" s="17">
        <v>27</v>
      </c>
      <c r="B79" s="18">
        <v>4145</v>
      </c>
      <c r="C79" s="19"/>
      <c r="D79" s="18"/>
      <c r="E79" s="20"/>
      <c r="F79" s="21" t="s">
        <v>222</v>
      </c>
      <c r="G79" s="22" t="s">
        <v>26</v>
      </c>
      <c r="H79" s="22"/>
      <c r="I79" s="99" t="s">
        <v>223</v>
      </c>
      <c r="J79" s="18"/>
      <c r="K79" s="18" t="s">
        <v>224</v>
      </c>
      <c r="L79" s="18" t="s">
        <v>51</v>
      </c>
      <c r="M79" s="18">
        <v>0</v>
      </c>
      <c r="N79" s="18">
        <v>1</v>
      </c>
      <c r="O79" s="23" t="s">
        <v>29</v>
      </c>
      <c r="P79" s="24" t="s">
        <v>30</v>
      </c>
      <c r="Q79" s="24" t="s">
        <v>30</v>
      </c>
      <c r="R79" s="19">
        <v>2</v>
      </c>
      <c r="S79" s="24" t="s">
        <v>30</v>
      </c>
      <c r="T79" s="24" t="s">
        <v>30</v>
      </c>
      <c r="U79" s="24" t="s">
        <v>208</v>
      </c>
      <c r="V79" s="18" t="s">
        <v>308</v>
      </c>
      <c r="W79" s="19"/>
      <c r="X79" s="25"/>
      <c r="Y79" s="26"/>
    </row>
    <row r="80" spans="1:25" s="27" customFormat="1" ht="33" customHeight="1" thickBot="1" x14ac:dyDescent="0.35">
      <c r="A80" s="17">
        <v>27</v>
      </c>
      <c r="B80" s="18">
        <v>4145</v>
      </c>
      <c r="C80" s="19"/>
      <c r="D80" s="18"/>
      <c r="E80" s="20"/>
      <c r="F80" s="21" t="s">
        <v>225</v>
      </c>
      <c r="G80" s="22" t="s">
        <v>26</v>
      </c>
      <c r="H80" s="22"/>
      <c r="I80" s="99" t="s">
        <v>223</v>
      </c>
      <c r="J80" s="18"/>
      <c r="K80" s="18" t="s">
        <v>224</v>
      </c>
      <c r="L80" s="18" t="s">
        <v>51</v>
      </c>
      <c r="M80" s="18">
        <v>0</v>
      </c>
      <c r="N80" s="18">
        <v>1</v>
      </c>
      <c r="O80" s="23" t="s">
        <v>29</v>
      </c>
      <c r="P80" s="24"/>
      <c r="Q80" s="24"/>
      <c r="R80" s="19"/>
      <c r="S80" s="24"/>
      <c r="T80" s="24" t="s">
        <v>30</v>
      </c>
      <c r="U80" s="24" t="s">
        <v>208</v>
      </c>
      <c r="V80" s="18" t="s">
        <v>293</v>
      </c>
      <c r="W80" s="19"/>
      <c r="X80" s="25"/>
      <c r="Y80" s="26"/>
    </row>
    <row r="81" spans="1:25" s="27" customFormat="1" ht="33" customHeight="1" thickBot="1" x14ac:dyDescent="0.35">
      <c r="A81" s="17">
        <v>73</v>
      </c>
      <c r="B81" s="18">
        <v>4319</v>
      </c>
      <c r="C81" s="19"/>
      <c r="D81" s="18" t="s">
        <v>513</v>
      </c>
      <c r="E81" s="20" t="s">
        <v>516</v>
      </c>
      <c r="F81" s="21" t="s">
        <v>515</v>
      </c>
      <c r="G81" s="22" t="s">
        <v>26</v>
      </c>
      <c r="H81" s="22"/>
      <c r="I81" s="105" t="s">
        <v>457</v>
      </c>
      <c r="J81" s="105"/>
      <c r="K81" s="105" t="s">
        <v>459</v>
      </c>
      <c r="L81" s="105" t="s">
        <v>51</v>
      </c>
      <c r="M81" s="105">
        <v>0</v>
      </c>
      <c r="N81" s="105">
        <v>1</v>
      </c>
      <c r="O81" s="23" t="s">
        <v>29</v>
      </c>
      <c r="P81" s="24"/>
      <c r="Q81" s="24"/>
      <c r="R81" s="19"/>
      <c r="S81" s="24"/>
      <c r="T81" s="24"/>
      <c r="U81" s="24" t="s">
        <v>31</v>
      </c>
      <c r="V81" s="18" t="s">
        <v>293</v>
      </c>
      <c r="W81" s="19"/>
      <c r="X81" s="25"/>
      <c r="Y81" s="26"/>
    </row>
    <row r="82" spans="1:25" s="27" customFormat="1" ht="33" customHeight="1" thickBot="1" x14ac:dyDescent="0.35">
      <c r="A82" s="17">
        <v>73</v>
      </c>
      <c r="B82" s="18">
        <v>4319</v>
      </c>
      <c r="C82" s="19"/>
      <c r="D82" s="18" t="s">
        <v>518</v>
      </c>
      <c r="E82" s="20" t="s">
        <v>517</v>
      </c>
      <c r="F82" s="21" t="s">
        <v>514</v>
      </c>
      <c r="G82" s="22" t="s">
        <v>26</v>
      </c>
      <c r="H82" s="22"/>
      <c r="I82" s="105" t="s">
        <v>457</v>
      </c>
      <c r="J82" s="105"/>
      <c r="K82" s="105" t="s">
        <v>459</v>
      </c>
      <c r="L82" s="105" t="s">
        <v>51</v>
      </c>
      <c r="M82" s="105">
        <v>0</v>
      </c>
      <c r="N82" s="105">
        <v>1</v>
      </c>
      <c r="O82" s="23" t="s">
        <v>29</v>
      </c>
      <c r="P82" s="24"/>
      <c r="Q82" s="24"/>
      <c r="R82" s="19"/>
      <c r="S82" s="24"/>
      <c r="T82" s="24"/>
      <c r="U82" s="24" t="s">
        <v>31</v>
      </c>
      <c r="V82" s="18" t="s">
        <v>293</v>
      </c>
      <c r="W82" s="19"/>
      <c r="X82" s="25"/>
      <c r="Y82" s="26"/>
    </row>
    <row r="83" spans="1:25" s="27" customFormat="1" ht="33" customHeight="1" thickBot="1" x14ac:dyDescent="0.35">
      <c r="A83" s="17">
        <v>75</v>
      </c>
      <c r="B83" s="18">
        <v>4319</v>
      </c>
      <c r="C83" s="19"/>
      <c r="D83" s="18" t="s">
        <v>524</v>
      </c>
      <c r="E83" s="20" t="s">
        <v>526</v>
      </c>
      <c r="F83" s="21" t="s">
        <v>522</v>
      </c>
      <c r="G83" s="22" t="s">
        <v>26</v>
      </c>
      <c r="H83" s="22"/>
      <c r="I83" s="105" t="s">
        <v>457</v>
      </c>
      <c r="J83" s="105"/>
      <c r="K83" s="105" t="s">
        <v>460</v>
      </c>
      <c r="L83" s="105" t="s">
        <v>51</v>
      </c>
      <c r="M83" s="105">
        <v>0</v>
      </c>
      <c r="N83" s="105">
        <v>1</v>
      </c>
      <c r="O83" s="23" t="s">
        <v>29</v>
      </c>
      <c r="P83" s="24"/>
      <c r="Q83" s="24"/>
      <c r="R83" s="19"/>
      <c r="S83" s="24"/>
      <c r="T83" s="24"/>
      <c r="U83" s="24" t="s">
        <v>31</v>
      </c>
      <c r="V83" s="18" t="s">
        <v>293</v>
      </c>
      <c r="W83" s="19"/>
      <c r="X83" s="25"/>
      <c r="Y83" s="26"/>
    </row>
    <row r="84" spans="1:25" s="27" customFormat="1" ht="33" customHeight="1" thickBot="1" x14ac:dyDescent="0.35">
      <c r="A84" s="17">
        <v>75</v>
      </c>
      <c r="B84" s="18">
        <v>4319</v>
      </c>
      <c r="C84" s="19"/>
      <c r="D84" s="18" t="s">
        <v>525</v>
      </c>
      <c r="E84" s="20" t="s">
        <v>527</v>
      </c>
      <c r="F84" s="21" t="s">
        <v>523</v>
      </c>
      <c r="G84" s="22" t="s">
        <v>26</v>
      </c>
      <c r="H84" s="22"/>
      <c r="I84" s="105" t="s">
        <v>457</v>
      </c>
      <c r="J84" s="105"/>
      <c r="K84" s="105" t="s">
        <v>460</v>
      </c>
      <c r="L84" s="105" t="s">
        <v>51</v>
      </c>
      <c r="M84" s="105">
        <v>0</v>
      </c>
      <c r="N84" s="105">
        <v>1</v>
      </c>
      <c r="O84" s="23" t="s">
        <v>29</v>
      </c>
      <c r="P84" s="24"/>
      <c r="Q84" s="24"/>
      <c r="R84" s="19"/>
      <c r="S84" s="24"/>
      <c r="T84" s="24"/>
      <c r="U84" s="24" t="s">
        <v>31</v>
      </c>
      <c r="V84" s="18" t="s">
        <v>293</v>
      </c>
      <c r="W84" s="19"/>
      <c r="X84" s="25"/>
      <c r="Y84" s="26"/>
    </row>
    <row r="85" spans="1:25" s="27" customFormat="1" ht="33" customHeight="1" thickBot="1" x14ac:dyDescent="0.35">
      <c r="A85" s="17">
        <v>55</v>
      </c>
      <c r="B85" s="18">
        <v>4319</v>
      </c>
      <c r="C85" s="19">
        <v>50141</v>
      </c>
      <c r="D85" s="18" t="s">
        <v>386</v>
      </c>
      <c r="E85" s="20" t="s">
        <v>387</v>
      </c>
      <c r="F85" s="21" t="s">
        <v>388</v>
      </c>
      <c r="G85" s="22"/>
      <c r="H85" s="22"/>
      <c r="I85" s="105" t="s">
        <v>389</v>
      </c>
      <c r="J85" s="105"/>
      <c r="K85" s="105" t="s">
        <v>390</v>
      </c>
      <c r="L85" s="105" t="s">
        <v>51</v>
      </c>
      <c r="M85" s="105">
        <v>0</v>
      </c>
      <c r="N85" s="105">
        <v>1</v>
      </c>
      <c r="O85" s="23" t="s">
        <v>29</v>
      </c>
      <c r="P85" s="24">
        <v>44392</v>
      </c>
      <c r="Q85" s="24" t="s">
        <v>30</v>
      </c>
      <c r="R85" s="19">
        <v>2</v>
      </c>
      <c r="S85" s="24" t="s">
        <v>30</v>
      </c>
      <c r="T85" s="24" t="s">
        <v>30</v>
      </c>
      <c r="U85" s="24" t="s">
        <v>31</v>
      </c>
      <c r="V85" s="18" t="s">
        <v>162</v>
      </c>
      <c r="W85" s="19"/>
      <c r="X85" s="25" t="s">
        <v>178</v>
      </c>
      <c r="Y85" s="26"/>
    </row>
    <row r="86" spans="1:25" s="27" customFormat="1" ht="33" customHeight="1" thickBot="1" x14ac:dyDescent="0.35">
      <c r="A86" s="17">
        <v>55</v>
      </c>
      <c r="B86" s="18">
        <v>4319</v>
      </c>
      <c r="C86" s="19">
        <v>50099</v>
      </c>
      <c r="D86" s="18" t="s">
        <v>391</v>
      </c>
      <c r="E86" s="20" t="s">
        <v>392</v>
      </c>
      <c r="F86" s="21" t="s">
        <v>393</v>
      </c>
      <c r="G86" s="22"/>
      <c r="H86" s="22"/>
      <c r="I86" s="105" t="s">
        <v>389</v>
      </c>
      <c r="J86" s="105"/>
      <c r="K86" s="105" t="s">
        <v>390</v>
      </c>
      <c r="L86" s="105" t="s">
        <v>51</v>
      </c>
      <c r="M86" s="105">
        <v>0</v>
      </c>
      <c r="N86" s="105">
        <v>1</v>
      </c>
      <c r="O86" s="23" t="s">
        <v>29</v>
      </c>
      <c r="P86" s="24"/>
      <c r="Q86" s="24"/>
      <c r="R86" s="19"/>
      <c r="S86" s="24"/>
      <c r="T86" s="24" t="s">
        <v>30</v>
      </c>
      <c r="U86" s="24" t="s">
        <v>31</v>
      </c>
      <c r="V86" s="18" t="s">
        <v>359</v>
      </c>
      <c r="W86" s="19"/>
      <c r="X86" s="25"/>
      <c r="Y86" s="26"/>
    </row>
    <row r="87" spans="1:25" s="27" customFormat="1" ht="33" customHeight="1" thickBot="1" x14ac:dyDescent="0.35">
      <c r="A87" s="85"/>
      <c r="B87" s="86"/>
      <c r="C87" s="87"/>
      <c r="D87" s="86"/>
      <c r="E87" s="88"/>
      <c r="F87" s="89" t="s">
        <v>158</v>
      </c>
      <c r="G87" s="90" t="s">
        <v>26</v>
      </c>
      <c r="H87" s="90"/>
      <c r="I87" s="99" t="s">
        <v>159</v>
      </c>
      <c r="J87" s="86"/>
      <c r="K87" s="86" t="s">
        <v>160</v>
      </c>
      <c r="L87" s="86" t="s">
        <v>51</v>
      </c>
      <c r="M87" s="86">
        <v>0</v>
      </c>
      <c r="N87" s="86">
        <v>0</v>
      </c>
      <c r="O87" s="86" t="s">
        <v>29</v>
      </c>
      <c r="P87" s="91">
        <v>44385</v>
      </c>
      <c r="Q87" s="91"/>
      <c r="R87" s="87"/>
      <c r="S87" s="91"/>
      <c r="T87" s="91"/>
      <c r="U87" s="86"/>
      <c r="V87" s="18" t="s">
        <v>162</v>
      </c>
      <c r="W87" s="19"/>
      <c r="X87" s="25"/>
      <c r="Y87" s="26"/>
    </row>
    <row r="88" spans="1:25" s="27" customFormat="1" ht="33" customHeight="1" thickBot="1" x14ac:dyDescent="0.35">
      <c r="A88" s="85"/>
      <c r="B88" s="86"/>
      <c r="C88" s="87"/>
      <c r="D88" s="86"/>
      <c r="E88" s="88"/>
      <c r="F88" s="89" t="s">
        <v>161</v>
      </c>
      <c r="G88" s="90" t="s">
        <v>26</v>
      </c>
      <c r="H88" s="90"/>
      <c r="I88" s="99" t="s">
        <v>159</v>
      </c>
      <c r="J88" s="86"/>
      <c r="K88" s="86" t="s">
        <v>160</v>
      </c>
      <c r="L88" s="86" t="s">
        <v>51</v>
      </c>
      <c r="M88" s="86">
        <v>0</v>
      </c>
      <c r="N88" s="86">
        <v>0</v>
      </c>
      <c r="O88" s="86" t="s">
        <v>29</v>
      </c>
      <c r="P88" s="91"/>
      <c r="Q88" s="91"/>
      <c r="R88" s="87"/>
      <c r="S88" s="91"/>
      <c r="T88" s="91"/>
      <c r="U88" s="86"/>
      <c r="V88" s="18"/>
      <c r="W88" s="19"/>
      <c r="X88" s="25"/>
      <c r="Y88" s="26"/>
    </row>
    <row r="89" spans="1:25" s="27" customFormat="1" ht="33" customHeight="1" thickBot="1" x14ac:dyDescent="0.35">
      <c r="A89" s="17">
        <v>61</v>
      </c>
      <c r="B89" s="18">
        <v>4319</v>
      </c>
      <c r="C89" s="19">
        <v>50151</v>
      </c>
      <c r="D89" s="18" t="s">
        <v>418</v>
      </c>
      <c r="E89" s="20" t="s">
        <v>419</v>
      </c>
      <c r="F89" s="21" t="s">
        <v>420</v>
      </c>
      <c r="G89" s="22"/>
      <c r="H89" s="22"/>
      <c r="I89" s="105" t="s">
        <v>421</v>
      </c>
      <c r="J89" s="105"/>
      <c r="K89" s="105" t="s">
        <v>422</v>
      </c>
      <c r="L89" s="105" t="s">
        <v>51</v>
      </c>
      <c r="M89" s="105">
        <v>0</v>
      </c>
      <c r="N89" s="105">
        <v>1</v>
      </c>
      <c r="O89" s="23" t="s">
        <v>176</v>
      </c>
      <c r="P89" s="24" t="s">
        <v>30</v>
      </c>
      <c r="Q89" s="24">
        <v>44434</v>
      </c>
      <c r="R89" s="19">
        <v>2</v>
      </c>
      <c r="S89" s="24" t="s">
        <v>30</v>
      </c>
      <c r="T89" s="24" t="s">
        <v>30</v>
      </c>
      <c r="U89" s="24" t="s">
        <v>31</v>
      </c>
      <c r="V89" s="18"/>
      <c r="W89" s="19"/>
      <c r="X89" s="25"/>
      <c r="Y89" s="26"/>
    </row>
    <row r="90" spans="1:25" s="27" customFormat="1" ht="33" customHeight="1" thickBot="1" x14ac:dyDescent="0.35">
      <c r="A90" s="17">
        <v>62</v>
      </c>
      <c r="B90" s="18">
        <v>4319</v>
      </c>
      <c r="C90" s="19">
        <v>50152</v>
      </c>
      <c r="D90" s="18" t="s">
        <v>423</v>
      </c>
      <c r="E90" s="20" t="s">
        <v>424</v>
      </c>
      <c r="F90" s="21" t="s">
        <v>425</v>
      </c>
      <c r="G90" s="22"/>
      <c r="H90" s="22"/>
      <c r="I90" s="105" t="s">
        <v>421</v>
      </c>
      <c r="J90" s="105"/>
      <c r="K90" s="105" t="s">
        <v>422</v>
      </c>
      <c r="L90" s="105" t="s">
        <v>51</v>
      </c>
      <c r="M90" s="105">
        <v>0</v>
      </c>
      <c r="N90" s="105">
        <v>1</v>
      </c>
      <c r="O90" s="23" t="s">
        <v>176</v>
      </c>
      <c r="P90" s="24"/>
      <c r="Q90" s="24"/>
      <c r="R90" s="19"/>
      <c r="S90" s="24"/>
      <c r="T90" s="24" t="s">
        <v>30</v>
      </c>
      <c r="U90" s="24" t="s">
        <v>31</v>
      </c>
      <c r="V90" s="18" t="s">
        <v>359</v>
      </c>
      <c r="W90" s="19"/>
      <c r="X90" s="25"/>
      <c r="Y90" s="26"/>
    </row>
    <row r="91" spans="1:25" s="27" customFormat="1" ht="33" customHeight="1" thickBot="1" x14ac:dyDescent="0.35">
      <c r="A91" s="17">
        <v>22</v>
      </c>
      <c r="B91" s="18">
        <v>4319</v>
      </c>
      <c r="C91" s="19"/>
      <c r="D91" s="18" t="s">
        <v>194</v>
      </c>
      <c r="E91" s="20" t="s">
        <v>195</v>
      </c>
      <c r="F91" s="21" t="s">
        <v>196</v>
      </c>
      <c r="G91" s="22" t="s">
        <v>553</v>
      </c>
      <c r="H91" s="22"/>
      <c r="I91" s="105" t="s">
        <v>197</v>
      </c>
      <c r="J91" s="105" t="s">
        <v>198</v>
      </c>
      <c r="K91" s="105" t="s">
        <v>199</v>
      </c>
      <c r="L91" s="105" t="s">
        <v>51</v>
      </c>
      <c r="M91" s="105">
        <v>0</v>
      </c>
      <c r="N91" s="105">
        <v>1</v>
      </c>
      <c r="O91" s="23" t="s">
        <v>176</v>
      </c>
      <c r="P91" s="24">
        <v>44379</v>
      </c>
      <c r="Q91" s="24">
        <v>44379</v>
      </c>
      <c r="R91" s="19">
        <v>2</v>
      </c>
      <c r="S91" s="24" t="s">
        <v>30</v>
      </c>
      <c r="T91" s="24" t="s">
        <v>30</v>
      </c>
      <c r="U91" s="24" t="s">
        <v>31</v>
      </c>
      <c r="V91" s="18"/>
      <c r="W91" s="19"/>
      <c r="X91" s="25"/>
      <c r="Y91" s="26"/>
    </row>
    <row r="92" spans="1:25" s="27" customFormat="1" ht="33" customHeight="1" thickBot="1" x14ac:dyDescent="0.35">
      <c r="A92" s="17">
        <v>22</v>
      </c>
      <c r="B92" s="18">
        <v>4319</v>
      </c>
      <c r="C92" s="19"/>
      <c r="D92" s="18" t="s">
        <v>201</v>
      </c>
      <c r="E92" s="20" t="s">
        <v>202</v>
      </c>
      <c r="F92" s="21" t="s">
        <v>203</v>
      </c>
      <c r="G92" s="22" t="s">
        <v>553</v>
      </c>
      <c r="H92" s="22"/>
      <c r="I92" s="105" t="s">
        <v>197</v>
      </c>
      <c r="J92" s="105" t="s">
        <v>198</v>
      </c>
      <c r="K92" s="105" t="s">
        <v>199</v>
      </c>
      <c r="L92" s="105" t="s">
        <v>51</v>
      </c>
      <c r="M92" s="105">
        <v>0</v>
      </c>
      <c r="N92" s="105">
        <v>1</v>
      </c>
      <c r="O92" s="23" t="s">
        <v>176</v>
      </c>
      <c r="P92" s="24"/>
      <c r="Q92" s="24"/>
      <c r="R92" s="19"/>
      <c r="S92" s="24"/>
      <c r="T92" s="24" t="s">
        <v>30</v>
      </c>
      <c r="U92" s="24" t="s">
        <v>31</v>
      </c>
      <c r="V92" s="18" t="s">
        <v>359</v>
      </c>
      <c r="W92" s="19"/>
      <c r="X92" s="25"/>
      <c r="Y92" s="26"/>
    </row>
    <row r="93" spans="1:25" s="27" customFormat="1" ht="33" customHeight="1" thickBot="1" x14ac:dyDescent="0.35">
      <c r="A93" s="17">
        <v>56</v>
      </c>
      <c r="B93" s="18">
        <v>4145</v>
      </c>
      <c r="C93" s="19">
        <v>50155</v>
      </c>
      <c r="D93" s="18" t="s">
        <v>406</v>
      </c>
      <c r="E93" s="20" t="s">
        <v>407</v>
      </c>
      <c r="F93" s="21" t="s">
        <v>560</v>
      </c>
      <c r="G93" s="22" t="s">
        <v>26</v>
      </c>
      <c r="H93" s="22"/>
      <c r="I93" s="105" t="s">
        <v>396</v>
      </c>
      <c r="J93" s="105"/>
      <c r="K93" s="105">
        <v>523</v>
      </c>
      <c r="L93" s="105" t="s">
        <v>51</v>
      </c>
      <c r="M93" s="105">
        <v>0</v>
      </c>
      <c r="N93" s="105">
        <v>1</v>
      </c>
      <c r="O93" s="23" t="s">
        <v>29</v>
      </c>
      <c r="P93" s="24">
        <v>44392</v>
      </c>
      <c r="Q93" s="24">
        <v>44443</v>
      </c>
      <c r="R93" s="19">
        <v>2</v>
      </c>
      <c r="S93" s="24" t="s">
        <v>30</v>
      </c>
      <c r="T93" s="24" t="s">
        <v>30</v>
      </c>
      <c r="U93" s="24" t="s">
        <v>208</v>
      </c>
      <c r="V93" s="18"/>
      <c r="W93" s="19"/>
      <c r="X93" s="25"/>
      <c r="Y93" s="26"/>
    </row>
    <row r="94" spans="1:25" s="27" customFormat="1" ht="33" customHeight="1" thickBot="1" x14ac:dyDescent="0.35">
      <c r="A94" s="17">
        <v>56</v>
      </c>
      <c r="B94" s="18">
        <v>4145</v>
      </c>
      <c r="C94" s="19">
        <v>50153</v>
      </c>
      <c r="D94" s="18" t="s">
        <v>400</v>
      </c>
      <c r="E94" s="20" t="s">
        <v>401</v>
      </c>
      <c r="F94" s="21" t="s">
        <v>561</v>
      </c>
      <c r="G94" s="22" t="s">
        <v>26</v>
      </c>
      <c r="H94" s="22"/>
      <c r="I94" s="105" t="s">
        <v>396</v>
      </c>
      <c r="J94" s="105"/>
      <c r="K94" s="105">
        <v>523</v>
      </c>
      <c r="L94" s="105" t="s">
        <v>51</v>
      </c>
      <c r="M94" s="105">
        <v>0</v>
      </c>
      <c r="N94" s="105">
        <v>1</v>
      </c>
      <c r="O94" s="23" t="s">
        <v>29</v>
      </c>
      <c r="P94" s="24"/>
      <c r="Q94" s="24"/>
      <c r="R94" s="19"/>
      <c r="S94" s="24"/>
      <c r="T94" s="24" t="s">
        <v>30</v>
      </c>
      <c r="U94" s="24" t="s">
        <v>208</v>
      </c>
      <c r="V94" s="18" t="s">
        <v>397</v>
      </c>
      <c r="W94" s="19"/>
      <c r="X94" s="25"/>
      <c r="Y94" s="26"/>
    </row>
    <row r="95" spans="1:25" s="27" customFormat="1" ht="33" customHeight="1" thickBot="1" x14ac:dyDescent="0.35">
      <c r="A95" s="17">
        <v>60</v>
      </c>
      <c r="B95" s="18">
        <v>4319</v>
      </c>
      <c r="C95" s="19"/>
      <c r="D95" s="18"/>
      <c r="E95" s="20"/>
      <c r="F95" s="21" t="s">
        <v>414</v>
      </c>
      <c r="G95" s="22" t="s">
        <v>26</v>
      </c>
      <c r="H95" s="22"/>
      <c r="I95" s="99" t="s">
        <v>415</v>
      </c>
      <c r="J95" s="18"/>
      <c r="K95" s="18" t="s">
        <v>416</v>
      </c>
      <c r="L95" s="18" t="s">
        <v>51</v>
      </c>
      <c r="M95" s="18">
        <v>0</v>
      </c>
      <c r="N95" s="18">
        <v>1</v>
      </c>
      <c r="O95" s="23" t="s">
        <v>176</v>
      </c>
      <c r="P95" s="24" t="s">
        <v>30</v>
      </c>
      <c r="Q95" s="24">
        <v>44435</v>
      </c>
      <c r="R95" s="19">
        <v>2</v>
      </c>
      <c r="S95" s="24" t="s">
        <v>30</v>
      </c>
      <c r="T95" s="24" t="s">
        <v>30</v>
      </c>
      <c r="U95" s="24" t="s">
        <v>31</v>
      </c>
      <c r="V95" s="18"/>
      <c r="W95" s="19"/>
      <c r="X95" s="25"/>
      <c r="Y95" s="26"/>
    </row>
    <row r="96" spans="1:25" s="27" customFormat="1" ht="33" customHeight="1" thickBot="1" x14ac:dyDescent="0.35">
      <c r="A96" s="17">
        <v>60</v>
      </c>
      <c r="B96" s="18">
        <v>4319</v>
      </c>
      <c r="C96" s="19"/>
      <c r="D96" s="18"/>
      <c r="E96" s="20"/>
      <c r="F96" s="21" t="s">
        <v>417</v>
      </c>
      <c r="G96" s="22"/>
      <c r="H96" s="22"/>
      <c r="I96" s="99" t="s">
        <v>415</v>
      </c>
      <c r="J96" s="18"/>
      <c r="K96" s="18" t="s">
        <v>416</v>
      </c>
      <c r="L96" s="18" t="s">
        <v>51</v>
      </c>
      <c r="M96" s="18">
        <v>0</v>
      </c>
      <c r="N96" s="18">
        <v>1</v>
      </c>
      <c r="O96" s="23" t="s">
        <v>176</v>
      </c>
      <c r="P96" s="24"/>
      <c r="Q96" s="24"/>
      <c r="R96" s="19"/>
      <c r="S96" s="24"/>
      <c r="T96" s="24" t="s">
        <v>30</v>
      </c>
      <c r="U96" s="24" t="s">
        <v>31</v>
      </c>
      <c r="V96" s="18" t="s">
        <v>397</v>
      </c>
      <c r="W96" s="19"/>
      <c r="X96" s="25"/>
      <c r="Y96" s="26"/>
    </row>
    <row r="97" spans="1:25" s="27" customFormat="1" ht="33" customHeight="1" thickBot="1" x14ac:dyDescent="0.35">
      <c r="A97" s="17">
        <v>44</v>
      </c>
      <c r="B97" s="18">
        <v>4319</v>
      </c>
      <c r="C97" s="19"/>
      <c r="D97" s="18" t="s">
        <v>134</v>
      </c>
      <c r="E97" s="20" t="s">
        <v>135</v>
      </c>
      <c r="F97" s="21" t="s">
        <v>305</v>
      </c>
      <c r="G97" s="22" t="s">
        <v>26</v>
      </c>
      <c r="H97" s="22"/>
      <c r="I97" s="105" t="s">
        <v>306</v>
      </c>
      <c r="J97" s="105"/>
      <c r="K97" s="105" t="s">
        <v>307</v>
      </c>
      <c r="L97" s="105" t="s">
        <v>51</v>
      </c>
      <c r="M97" s="105">
        <v>0</v>
      </c>
      <c r="N97" s="105">
        <v>1</v>
      </c>
      <c r="O97" s="23" t="s">
        <v>29</v>
      </c>
      <c r="P97" s="24">
        <v>44392</v>
      </c>
      <c r="Q97" s="24" t="s">
        <v>30</v>
      </c>
      <c r="R97" s="19">
        <v>2</v>
      </c>
      <c r="S97" s="24" t="s">
        <v>30</v>
      </c>
      <c r="T97" s="24" t="s">
        <v>30</v>
      </c>
      <c r="U97" s="24" t="s">
        <v>31</v>
      </c>
      <c r="V97" s="18"/>
      <c r="W97" s="19"/>
      <c r="X97" s="25"/>
      <c r="Y97" s="26"/>
    </row>
    <row r="98" spans="1:25" s="27" customFormat="1" ht="33" customHeight="1" thickBot="1" x14ac:dyDescent="0.35">
      <c r="A98" s="17">
        <v>44</v>
      </c>
      <c r="B98" s="18">
        <v>4319</v>
      </c>
      <c r="C98" s="19"/>
      <c r="D98" s="18" t="s">
        <v>309</v>
      </c>
      <c r="E98" s="20" t="s">
        <v>552</v>
      </c>
      <c r="F98" s="21" t="s">
        <v>310</v>
      </c>
      <c r="G98" s="22"/>
      <c r="H98" s="22"/>
      <c r="I98" s="105" t="s">
        <v>306</v>
      </c>
      <c r="J98" s="105"/>
      <c r="K98" s="105" t="s">
        <v>307</v>
      </c>
      <c r="L98" s="105" t="s">
        <v>51</v>
      </c>
      <c r="M98" s="105">
        <v>0</v>
      </c>
      <c r="N98" s="105">
        <v>1</v>
      </c>
      <c r="O98" s="23" t="s">
        <v>29</v>
      </c>
      <c r="P98" s="24"/>
      <c r="Q98" s="24"/>
      <c r="R98" s="19"/>
      <c r="S98" s="24"/>
      <c r="T98" s="24" t="s">
        <v>30</v>
      </c>
      <c r="U98" s="24" t="s">
        <v>31</v>
      </c>
      <c r="V98" s="18" t="s">
        <v>397</v>
      </c>
      <c r="W98" s="19"/>
      <c r="X98" s="25"/>
      <c r="Y98" s="26"/>
    </row>
    <row r="99" spans="1:25" s="27" customFormat="1" ht="33" customHeight="1" thickBot="1" x14ac:dyDescent="0.35">
      <c r="A99" s="17">
        <v>59</v>
      </c>
      <c r="B99" s="18">
        <v>4319</v>
      </c>
      <c r="C99" s="19"/>
      <c r="D99" s="18" t="s">
        <v>408</v>
      </c>
      <c r="E99" s="20" t="s">
        <v>559</v>
      </c>
      <c r="F99" s="21" t="s">
        <v>409</v>
      </c>
      <c r="G99" s="22"/>
      <c r="H99" s="22"/>
      <c r="I99" s="105" t="s">
        <v>410</v>
      </c>
      <c r="J99" s="105"/>
      <c r="K99" s="105" t="s">
        <v>411</v>
      </c>
      <c r="L99" s="105" t="s">
        <v>51</v>
      </c>
      <c r="M99" s="105">
        <v>0</v>
      </c>
      <c r="N99" s="105">
        <v>1</v>
      </c>
      <c r="O99" s="23" t="s">
        <v>176</v>
      </c>
      <c r="P99" s="24" t="s">
        <v>30</v>
      </c>
      <c r="Q99" s="24">
        <v>44439</v>
      </c>
      <c r="R99" s="19">
        <v>2</v>
      </c>
      <c r="S99" s="24" t="s">
        <v>30</v>
      </c>
      <c r="T99" s="24" t="s">
        <v>30</v>
      </c>
      <c r="U99" s="24" t="s">
        <v>31</v>
      </c>
      <c r="V99" s="18"/>
      <c r="W99" s="19"/>
      <c r="X99" s="25"/>
      <c r="Y99" s="26"/>
    </row>
    <row r="100" spans="1:25" s="27" customFormat="1" ht="33" customHeight="1" thickBot="1" x14ac:dyDescent="0.35">
      <c r="A100" s="17">
        <v>59</v>
      </c>
      <c r="B100" s="18">
        <v>4319</v>
      </c>
      <c r="C100" s="19"/>
      <c r="D100" s="18" t="s">
        <v>412</v>
      </c>
      <c r="E100" s="20" t="s">
        <v>558</v>
      </c>
      <c r="F100" s="21" t="s">
        <v>413</v>
      </c>
      <c r="G100" s="22"/>
      <c r="H100" s="22"/>
      <c r="I100" s="105" t="s">
        <v>410</v>
      </c>
      <c r="J100" s="105"/>
      <c r="K100" s="105" t="s">
        <v>411</v>
      </c>
      <c r="L100" s="105" t="s">
        <v>51</v>
      </c>
      <c r="M100" s="105">
        <v>0</v>
      </c>
      <c r="N100" s="105">
        <v>1</v>
      </c>
      <c r="O100" s="23" t="s">
        <v>176</v>
      </c>
      <c r="P100" s="24"/>
      <c r="Q100" s="24"/>
      <c r="R100" s="19"/>
      <c r="S100" s="24"/>
      <c r="T100" s="24" t="s">
        <v>30</v>
      </c>
      <c r="U100" s="24" t="s">
        <v>31</v>
      </c>
      <c r="V100" s="18"/>
      <c r="W100" s="19"/>
      <c r="X100" s="25"/>
      <c r="Y100" s="26"/>
    </row>
    <row r="101" spans="1:25" s="27" customFormat="1" ht="33" customHeight="1" thickBot="1" x14ac:dyDescent="0.35">
      <c r="A101" s="17">
        <v>62</v>
      </c>
      <c r="B101" s="18">
        <v>4319</v>
      </c>
      <c r="C101" s="19">
        <v>50081</v>
      </c>
      <c r="D101" s="18" t="s">
        <v>432</v>
      </c>
      <c r="E101" s="20" t="s">
        <v>433</v>
      </c>
      <c r="F101" s="21" t="s">
        <v>434</v>
      </c>
      <c r="G101" s="22"/>
      <c r="H101" s="22"/>
      <c r="I101" s="105" t="s">
        <v>430</v>
      </c>
      <c r="J101" s="105"/>
      <c r="K101" s="105" t="s">
        <v>431</v>
      </c>
      <c r="L101" s="105" t="s">
        <v>51</v>
      </c>
      <c r="M101" s="105">
        <v>0</v>
      </c>
      <c r="N101" s="105">
        <v>1</v>
      </c>
      <c r="O101" s="23" t="s">
        <v>176</v>
      </c>
      <c r="P101" s="24"/>
      <c r="Q101" s="24"/>
      <c r="R101" s="19"/>
      <c r="S101" s="24"/>
      <c r="T101" s="24" t="s">
        <v>30</v>
      </c>
      <c r="U101" s="24" t="s">
        <v>31</v>
      </c>
      <c r="V101" s="18"/>
      <c r="W101" s="19"/>
      <c r="X101" s="25"/>
      <c r="Y101" s="26"/>
    </row>
    <row r="102" spans="1:25" s="27" customFormat="1" ht="33" customHeight="1" thickBot="1" x14ac:dyDescent="0.35">
      <c r="A102" s="17">
        <v>62</v>
      </c>
      <c r="B102" s="18">
        <v>4319</v>
      </c>
      <c r="C102" s="19">
        <v>50083</v>
      </c>
      <c r="D102" s="18" t="s">
        <v>427</v>
      </c>
      <c r="E102" s="20" t="s">
        <v>428</v>
      </c>
      <c r="F102" s="21" t="s">
        <v>429</v>
      </c>
      <c r="G102" s="22"/>
      <c r="H102" s="22"/>
      <c r="I102" s="105" t="s">
        <v>430</v>
      </c>
      <c r="J102" s="105"/>
      <c r="K102" s="105" t="s">
        <v>431</v>
      </c>
      <c r="L102" s="105" t="s">
        <v>51</v>
      </c>
      <c r="M102" s="105">
        <v>0</v>
      </c>
      <c r="N102" s="105">
        <v>1</v>
      </c>
      <c r="O102" s="23" t="s">
        <v>176</v>
      </c>
      <c r="P102" s="24" t="s">
        <v>30</v>
      </c>
      <c r="Q102" s="24">
        <v>44434</v>
      </c>
      <c r="R102" s="19">
        <v>2</v>
      </c>
      <c r="S102" s="24" t="s">
        <v>30</v>
      </c>
      <c r="T102" s="24" t="s">
        <v>30</v>
      </c>
      <c r="U102" s="24" t="s">
        <v>31</v>
      </c>
      <c r="V102" s="18" t="s">
        <v>162</v>
      </c>
      <c r="W102" s="19"/>
      <c r="X102" s="25" t="s">
        <v>178</v>
      </c>
      <c r="Y102" s="26"/>
    </row>
    <row r="103" spans="1:25" s="27" customFormat="1" ht="33" customHeight="1" thickBot="1" x14ac:dyDescent="0.35">
      <c r="A103" s="17">
        <v>63</v>
      </c>
      <c r="B103" s="18">
        <v>4319</v>
      </c>
      <c r="C103" s="19"/>
      <c r="D103" s="18" t="s">
        <v>555</v>
      </c>
      <c r="E103" s="20" t="s">
        <v>556</v>
      </c>
      <c r="F103" s="21" t="s">
        <v>435</v>
      </c>
      <c r="G103" s="22"/>
      <c r="H103" s="22"/>
      <c r="I103" s="105" t="s">
        <v>436</v>
      </c>
      <c r="J103" s="105"/>
      <c r="K103" s="105" t="s">
        <v>430</v>
      </c>
      <c r="L103" s="105" t="s">
        <v>51</v>
      </c>
      <c r="M103" s="105">
        <v>0</v>
      </c>
      <c r="N103" s="105">
        <v>1</v>
      </c>
      <c r="O103" s="23" t="s">
        <v>176</v>
      </c>
      <c r="P103" s="24" t="s">
        <v>30</v>
      </c>
      <c r="Q103" s="24">
        <v>44439</v>
      </c>
      <c r="R103" s="19">
        <v>2</v>
      </c>
      <c r="S103" s="24" t="s">
        <v>30</v>
      </c>
      <c r="T103" s="24" t="s">
        <v>30</v>
      </c>
      <c r="U103" s="24" t="s">
        <v>31</v>
      </c>
      <c r="V103" s="18"/>
      <c r="W103" s="19"/>
      <c r="X103" s="25"/>
      <c r="Y103" s="26"/>
    </row>
    <row r="104" spans="1:25" s="27" customFormat="1" ht="33" customHeight="1" thickBot="1" x14ac:dyDescent="0.35">
      <c r="A104" s="17">
        <v>63</v>
      </c>
      <c r="B104" s="18">
        <v>4319</v>
      </c>
      <c r="C104" s="19"/>
      <c r="D104" s="18" t="s">
        <v>437</v>
      </c>
      <c r="E104" s="20" t="s">
        <v>557</v>
      </c>
      <c r="F104" s="21" t="s">
        <v>438</v>
      </c>
      <c r="G104" s="22"/>
      <c r="H104" s="22"/>
      <c r="I104" s="105" t="s">
        <v>436</v>
      </c>
      <c r="J104" s="105"/>
      <c r="K104" s="105" t="s">
        <v>430</v>
      </c>
      <c r="L104" s="105" t="s">
        <v>51</v>
      </c>
      <c r="M104" s="105">
        <v>0</v>
      </c>
      <c r="N104" s="105">
        <v>1</v>
      </c>
      <c r="O104" s="23" t="s">
        <v>176</v>
      </c>
      <c r="P104" s="24"/>
      <c r="Q104" s="24"/>
      <c r="R104" s="19"/>
      <c r="S104" s="24"/>
      <c r="T104" s="24" t="s">
        <v>30</v>
      </c>
      <c r="U104" s="24" t="s">
        <v>31</v>
      </c>
      <c r="V104" s="18" t="s">
        <v>162</v>
      </c>
      <c r="W104" s="19"/>
      <c r="X104" s="25"/>
      <c r="Y104" s="26"/>
    </row>
    <row r="105" spans="1:25" s="27" customFormat="1" ht="33" customHeight="1" thickBot="1" x14ac:dyDescent="0.35">
      <c r="A105" s="17">
        <v>5</v>
      </c>
      <c r="B105" s="18">
        <v>4230</v>
      </c>
      <c r="C105" s="19">
        <v>50160</v>
      </c>
      <c r="D105" s="18" t="s">
        <v>56</v>
      </c>
      <c r="E105" s="20" t="s">
        <v>480</v>
      </c>
      <c r="F105" s="21" t="s">
        <v>57</v>
      </c>
      <c r="G105" s="22" t="s">
        <v>26</v>
      </c>
      <c r="H105" s="22"/>
      <c r="I105" s="105" t="s">
        <v>58</v>
      </c>
      <c r="J105" s="105"/>
      <c r="K105" s="105" t="s">
        <v>59</v>
      </c>
      <c r="L105" s="105" t="s">
        <v>51</v>
      </c>
      <c r="M105" s="105">
        <v>0</v>
      </c>
      <c r="N105" s="105">
        <v>1</v>
      </c>
      <c r="O105" s="23" t="s">
        <v>29</v>
      </c>
      <c r="P105" s="24">
        <v>44377</v>
      </c>
      <c r="Q105" s="24">
        <v>44379</v>
      </c>
      <c r="R105" s="19">
        <v>2</v>
      </c>
      <c r="S105" s="24" t="s">
        <v>30</v>
      </c>
      <c r="T105" s="24" t="s">
        <v>30</v>
      </c>
      <c r="U105" s="24" t="s">
        <v>31</v>
      </c>
      <c r="V105" s="18" t="s">
        <v>426</v>
      </c>
      <c r="W105" s="19"/>
      <c r="X105" s="25"/>
      <c r="Y105" s="26"/>
    </row>
    <row r="106" spans="1:25" s="27" customFormat="1" ht="33" customHeight="1" thickBot="1" x14ac:dyDescent="0.35">
      <c r="A106" s="17">
        <v>5</v>
      </c>
      <c r="B106" s="18">
        <v>4230</v>
      </c>
      <c r="C106" s="19">
        <v>50106</v>
      </c>
      <c r="D106" s="18" t="s">
        <v>61</v>
      </c>
      <c r="E106" s="20" t="s">
        <v>62</v>
      </c>
      <c r="F106" s="21" t="s">
        <v>63</v>
      </c>
      <c r="G106" s="22" t="s">
        <v>26</v>
      </c>
      <c r="H106" s="22"/>
      <c r="I106" s="105" t="s">
        <v>58</v>
      </c>
      <c r="J106" s="105"/>
      <c r="K106" s="105" t="s">
        <v>59</v>
      </c>
      <c r="L106" s="105" t="s">
        <v>51</v>
      </c>
      <c r="M106" s="105">
        <v>0</v>
      </c>
      <c r="N106" s="105">
        <v>1</v>
      </c>
      <c r="O106" s="23" t="s">
        <v>29</v>
      </c>
      <c r="P106" s="24"/>
      <c r="Q106" s="24"/>
      <c r="R106" s="19"/>
      <c r="S106" s="24"/>
      <c r="T106" s="24" t="s">
        <v>30</v>
      </c>
      <c r="U106" s="24" t="s">
        <v>31</v>
      </c>
      <c r="V106" s="18" t="s">
        <v>162</v>
      </c>
      <c r="W106" s="19"/>
      <c r="X106" s="25"/>
      <c r="Y106" s="26"/>
    </row>
    <row r="107" spans="1:25" s="27" customFormat="1" ht="33" customHeight="1" thickBot="1" x14ac:dyDescent="0.35">
      <c r="A107" s="17">
        <v>6</v>
      </c>
      <c r="B107" s="18">
        <v>4230</v>
      </c>
      <c r="C107" s="19"/>
      <c r="D107" s="18" t="s">
        <v>64</v>
      </c>
      <c r="E107" s="20" t="s">
        <v>65</v>
      </c>
      <c r="F107" s="21" t="s">
        <v>66</v>
      </c>
      <c r="G107" s="22" t="s">
        <v>26</v>
      </c>
      <c r="H107" s="22"/>
      <c r="I107" s="105" t="s">
        <v>58</v>
      </c>
      <c r="J107" s="105"/>
      <c r="K107" s="105" t="s">
        <v>67</v>
      </c>
      <c r="L107" s="105" t="s">
        <v>51</v>
      </c>
      <c r="M107" s="105">
        <v>0</v>
      </c>
      <c r="N107" s="105">
        <v>1</v>
      </c>
      <c r="O107" s="23" t="s">
        <v>29</v>
      </c>
      <c r="P107" s="24">
        <v>44377</v>
      </c>
      <c r="Q107" s="24">
        <v>2</v>
      </c>
      <c r="R107" s="19">
        <v>2</v>
      </c>
      <c r="S107" s="24" t="s">
        <v>30</v>
      </c>
      <c r="T107" s="24" t="s">
        <v>30</v>
      </c>
      <c r="U107" s="24" t="s">
        <v>31</v>
      </c>
      <c r="V107" s="18" t="s">
        <v>426</v>
      </c>
      <c r="W107" s="19"/>
      <c r="X107" s="25"/>
      <c r="Y107" s="26"/>
    </row>
    <row r="108" spans="1:25" s="27" customFormat="1" ht="33" customHeight="1" thickBot="1" x14ac:dyDescent="0.35">
      <c r="A108" s="17">
        <v>6</v>
      </c>
      <c r="B108" s="18">
        <v>4230</v>
      </c>
      <c r="C108" s="19"/>
      <c r="D108" s="18" t="s">
        <v>68</v>
      </c>
      <c r="E108" s="20" t="s">
        <v>69</v>
      </c>
      <c r="F108" s="21" t="s">
        <v>70</v>
      </c>
      <c r="G108" s="22" t="s">
        <v>26</v>
      </c>
      <c r="H108" s="22"/>
      <c r="I108" s="105" t="s">
        <v>58</v>
      </c>
      <c r="J108" s="105"/>
      <c r="K108" s="105" t="s">
        <v>67</v>
      </c>
      <c r="L108" s="105" t="s">
        <v>51</v>
      </c>
      <c r="M108" s="105">
        <v>0</v>
      </c>
      <c r="N108" s="105">
        <v>1</v>
      </c>
      <c r="O108" s="23" t="s">
        <v>29</v>
      </c>
      <c r="P108" s="24"/>
      <c r="Q108" s="24"/>
      <c r="R108" s="19"/>
      <c r="S108" s="24"/>
      <c r="T108" s="24" t="s">
        <v>30</v>
      </c>
      <c r="U108" s="24" t="s">
        <v>31</v>
      </c>
      <c r="V108" s="18"/>
      <c r="W108" s="19"/>
      <c r="X108" s="25"/>
      <c r="Y108" s="26"/>
    </row>
    <row r="109" spans="1:25" s="27" customFormat="1" ht="33" customHeight="1" thickBot="1" x14ac:dyDescent="0.35">
      <c r="A109" s="17">
        <v>10</v>
      </c>
      <c r="B109" s="18">
        <v>4230</v>
      </c>
      <c r="C109" s="19"/>
      <c r="D109" s="18" t="s">
        <v>90</v>
      </c>
      <c r="E109" s="20" t="s">
        <v>91</v>
      </c>
      <c r="F109" s="21" t="s">
        <v>92</v>
      </c>
      <c r="G109" s="22" t="s">
        <v>26</v>
      </c>
      <c r="H109" s="22"/>
      <c r="I109" s="105" t="s">
        <v>75</v>
      </c>
      <c r="J109" s="105" t="s">
        <v>89</v>
      </c>
      <c r="K109" s="105">
        <v>1406</v>
      </c>
      <c r="L109" s="105" t="s">
        <v>51</v>
      </c>
      <c r="M109" s="105">
        <v>0</v>
      </c>
      <c r="N109" s="105">
        <v>1</v>
      </c>
      <c r="O109" s="23" t="s">
        <v>29</v>
      </c>
      <c r="P109" s="24">
        <v>44377</v>
      </c>
      <c r="Q109" s="24">
        <v>44379</v>
      </c>
      <c r="R109" s="19">
        <v>2</v>
      </c>
      <c r="S109" s="24" t="s">
        <v>30</v>
      </c>
      <c r="T109" s="24" t="s">
        <v>30</v>
      </c>
      <c r="U109" s="24" t="s">
        <v>31</v>
      </c>
      <c r="V109" s="18"/>
      <c r="W109" s="19"/>
      <c r="X109" s="25"/>
      <c r="Y109" s="26"/>
    </row>
    <row r="110" spans="1:25" s="27" customFormat="1" ht="33" customHeight="1" thickBot="1" x14ac:dyDescent="0.35">
      <c r="A110" s="17">
        <v>10</v>
      </c>
      <c r="B110" s="18">
        <v>4230</v>
      </c>
      <c r="C110" s="19"/>
      <c r="D110" s="18" t="s">
        <v>93</v>
      </c>
      <c r="E110" s="20" t="s">
        <v>94</v>
      </c>
      <c r="F110" s="21" t="s">
        <v>95</v>
      </c>
      <c r="G110" s="22" t="s">
        <v>26</v>
      </c>
      <c r="H110" s="22"/>
      <c r="I110" s="105" t="s">
        <v>75</v>
      </c>
      <c r="J110" s="105" t="s">
        <v>89</v>
      </c>
      <c r="K110" s="105">
        <v>1406</v>
      </c>
      <c r="L110" s="105" t="s">
        <v>51</v>
      </c>
      <c r="M110" s="105">
        <v>0</v>
      </c>
      <c r="N110" s="105">
        <v>1</v>
      </c>
      <c r="O110" s="23" t="s">
        <v>29</v>
      </c>
      <c r="P110" s="24"/>
      <c r="Q110" s="24"/>
      <c r="R110" s="19"/>
      <c r="S110" s="24"/>
      <c r="T110" s="24" t="s">
        <v>30</v>
      </c>
      <c r="U110" s="24" t="s">
        <v>31</v>
      </c>
      <c r="V110" s="18" t="s">
        <v>443</v>
      </c>
      <c r="W110" s="19"/>
      <c r="X110" s="25"/>
      <c r="Y110" s="26"/>
    </row>
    <row r="111" spans="1:25" s="27" customFormat="1" ht="33" customHeight="1" thickBot="1" x14ac:dyDescent="0.35">
      <c r="A111" s="17">
        <v>8</v>
      </c>
      <c r="B111" s="18">
        <v>4230</v>
      </c>
      <c r="C111" s="19"/>
      <c r="D111" s="18" t="s">
        <v>77</v>
      </c>
      <c r="E111" s="20" t="s">
        <v>78</v>
      </c>
      <c r="F111" s="21" t="s">
        <v>79</v>
      </c>
      <c r="G111" s="22" t="s">
        <v>26</v>
      </c>
      <c r="H111" s="22"/>
      <c r="I111" s="105" t="s">
        <v>75</v>
      </c>
      <c r="J111" s="105" t="s">
        <v>80</v>
      </c>
      <c r="K111" s="105" t="s">
        <v>479</v>
      </c>
      <c r="L111" s="105" t="s">
        <v>51</v>
      </c>
      <c r="M111" s="105">
        <v>0</v>
      </c>
      <c r="N111" s="105">
        <v>1</v>
      </c>
      <c r="O111" s="23" t="s">
        <v>29</v>
      </c>
      <c r="P111" s="24">
        <v>44377</v>
      </c>
      <c r="Q111" s="24">
        <v>44379</v>
      </c>
      <c r="R111" s="19">
        <v>2</v>
      </c>
      <c r="S111" s="24" t="s">
        <v>30</v>
      </c>
      <c r="T111" s="24" t="s">
        <v>30</v>
      </c>
      <c r="U111" s="24" t="s">
        <v>31</v>
      </c>
      <c r="V111" s="18" t="s">
        <v>448</v>
      </c>
      <c r="W111" s="19"/>
      <c r="X111" s="25"/>
      <c r="Y111" s="26"/>
    </row>
    <row r="112" spans="1:25" s="27" customFormat="1" ht="33" customHeight="1" thickBot="1" x14ac:dyDescent="0.35">
      <c r="A112" s="17">
        <v>8</v>
      </c>
      <c r="B112" s="18">
        <v>4230</v>
      </c>
      <c r="C112" s="19"/>
      <c r="D112" s="18" t="s">
        <v>82</v>
      </c>
      <c r="E112" s="20" t="s">
        <v>83</v>
      </c>
      <c r="F112" s="21" t="s">
        <v>84</v>
      </c>
      <c r="G112" s="22" t="s">
        <v>26</v>
      </c>
      <c r="H112" s="22"/>
      <c r="I112" s="105" t="s">
        <v>75</v>
      </c>
      <c r="J112" s="105" t="s">
        <v>80</v>
      </c>
      <c r="K112" s="105" t="s">
        <v>452</v>
      </c>
      <c r="L112" s="105" t="s">
        <v>51</v>
      </c>
      <c r="M112" s="105">
        <v>0</v>
      </c>
      <c r="N112" s="105">
        <v>1</v>
      </c>
      <c r="O112" s="23" t="s">
        <v>29</v>
      </c>
      <c r="P112" s="24"/>
      <c r="Q112" s="24"/>
      <c r="R112" s="19"/>
      <c r="S112" s="24"/>
      <c r="T112" s="24" t="s">
        <v>30</v>
      </c>
      <c r="U112" s="24" t="s">
        <v>31</v>
      </c>
      <c r="V112" s="18" t="s">
        <v>450</v>
      </c>
      <c r="W112" s="19"/>
      <c r="X112" s="25"/>
      <c r="Y112" s="26"/>
    </row>
    <row r="113" spans="1:26" s="27" customFormat="1" ht="33" customHeight="1" thickBot="1" x14ac:dyDescent="0.35">
      <c r="A113" s="17">
        <v>14</v>
      </c>
      <c r="B113" s="18"/>
      <c r="C113" s="19"/>
      <c r="D113" s="18" t="s">
        <v>592</v>
      </c>
      <c r="E113" s="20" t="s">
        <v>119</v>
      </c>
      <c r="F113" s="21" t="s">
        <v>120</v>
      </c>
      <c r="G113" s="22" t="s">
        <v>26</v>
      </c>
      <c r="H113" s="22"/>
      <c r="I113" s="105" t="s">
        <v>75</v>
      </c>
      <c r="J113" s="105" t="s">
        <v>121</v>
      </c>
      <c r="K113" s="105" t="s">
        <v>122</v>
      </c>
      <c r="L113" s="105" t="s">
        <v>51</v>
      </c>
      <c r="M113" s="105">
        <v>0</v>
      </c>
      <c r="N113" s="105">
        <v>1</v>
      </c>
      <c r="O113" s="23" t="s">
        <v>29</v>
      </c>
      <c r="P113" s="24">
        <v>44385</v>
      </c>
      <c r="Q113" s="24">
        <v>44442</v>
      </c>
      <c r="R113" s="19">
        <v>2</v>
      </c>
      <c r="S113" s="24" t="s">
        <v>30</v>
      </c>
      <c r="T113" s="24" t="s">
        <v>30</v>
      </c>
      <c r="U113" s="24" t="s">
        <v>31</v>
      </c>
      <c r="V113" s="18"/>
      <c r="W113" s="19"/>
      <c r="X113" s="25"/>
      <c r="Y113" s="26"/>
    </row>
    <row r="114" spans="1:26" s="27" customFormat="1" ht="33" customHeight="1" thickBot="1" x14ac:dyDescent="0.35">
      <c r="A114" s="17">
        <v>14</v>
      </c>
      <c r="B114" s="18"/>
      <c r="C114" s="19"/>
      <c r="D114" s="18" t="s">
        <v>124</v>
      </c>
      <c r="E114" s="20" t="s">
        <v>125</v>
      </c>
      <c r="F114" s="21" t="s">
        <v>126</v>
      </c>
      <c r="G114" s="22" t="s">
        <v>26</v>
      </c>
      <c r="H114" s="22"/>
      <c r="I114" s="105" t="s">
        <v>75</v>
      </c>
      <c r="J114" s="105" t="s">
        <v>121</v>
      </c>
      <c r="K114" s="105" t="s">
        <v>122</v>
      </c>
      <c r="L114" s="105" t="s">
        <v>51</v>
      </c>
      <c r="M114" s="105">
        <v>0</v>
      </c>
      <c r="N114" s="105">
        <v>1</v>
      </c>
      <c r="O114" s="23" t="s">
        <v>29</v>
      </c>
      <c r="P114" s="24"/>
      <c r="Q114" s="24"/>
      <c r="R114" s="19"/>
      <c r="S114" s="24"/>
      <c r="T114" s="24" t="s">
        <v>30</v>
      </c>
      <c r="U114" s="24" t="s">
        <v>31</v>
      </c>
      <c r="V114" s="18">
        <v>14</v>
      </c>
      <c r="W114" s="19"/>
      <c r="X114" s="25"/>
      <c r="Y114" s="26"/>
    </row>
    <row r="115" spans="1:26" s="27" customFormat="1" ht="33" customHeight="1" thickBot="1" x14ac:dyDescent="0.35">
      <c r="A115" s="17">
        <v>42</v>
      </c>
      <c r="B115" s="18">
        <v>4319</v>
      </c>
      <c r="C115" s="19">
        <v>50095</v>
      </c>
      <c r="D115" s="18" t="s">
        <v>287</v>
      </c>
      <c r="E115" s="20" t="s">
        <v>288</v>
      </c>
      <c r="F115" s="21" t="s">
        <v>289</v>
      </c>
      <c r="G115" s="22" t="s">
        <v>26</v>
      </c>
      <c r="H115" s="22"/>
      <c r="I115" s="105" t="s">
        <v>290</v>
      </c>
      <c r="J115" s="105" t="s">
        <v>291</v>
      </c>
      <c r="K115" s="105" t="s">
        <v>292</v>
      </c>
      <c r="L115" s="105" t="s">
        <v>51</v>
      </c>
      <c r="M115" s="105">
        <v>0</v>
      </c>
      <c r="N115" s="105">
        <v>1</v>
      </c>
      <c r="O115" s="23" t="s">
        <v>29</v>
      </c>
      <c r="P115" s="24">
        <v>44392</v>
      </c>
      <c r="Q115" s="24" t="s">
        <v>30</v>
      </c>
      <c r="R115" s="19">
        <v>2</v>
      </c>
      <c r="S115" s="24" t="s">
        <v>30</v>
      </c>
      <c r="T115" s="24" t="s">
        <v>30</v>
      </c>
      <c r="U115" s="24" t="s">
        <v>31</v>
      </c>
      <c r="V115" s="18" t="s">
        <v>146</v>
      </c>
      <c r="W115" s="19"/>
      <c r="X115" s="25"/>
      <c r="Y115" s="26"/>
    </row>
    <row r="116" spans="1:26" s="94" customFormat="1" ht="33" customHeight="1" thickBot="1" x14ac:dyDescent="0.35">
      <c r="A116" s="17">
        <v>42</v>
      </c>
      <c r="B116" s="23">
        <v>4319</v>
      </c>
      <c r="C116" s="19">
        <v>50082</v>
      </c>
      <c r="D116" s="23" t="s">
        <v>294</v>
      </c>
      <c r="E116" s="20" t="s">
        <v>295</v>
      </c>
      <c r="F116" s="21" t="s">
        <v>296</v>
      </c>
      <c r="G116" s="22" t="s">
        <v>26</v>
      </c>
      <c r="H116" s="22"/>
      <c r="I116" s="105" t="s">
        <v>290</v>
      </c>
      <c r="J116" s="105" t="s">
        <v>291</v>
      </c>
      <c r="K116" s="105" t="s">
        <v>292</v>
      </c>
      <c r="L116" s="105" t="s">
        <v>51</v>
      </c>
      <c r="M116" s="105">
        <v>0</v>
      </c>
      <c r="N116" s="105">
        <v>1</v>
      </c>
      <c r="O116" s="23" t="s">
        <v>29</v>
      </c>
      <c r="P116" s="24"/>
      <c r="Q116" s="24"/>
      <c r="R116" s="19"/>
      <c r="S116" s="24"/>
      <c r="T116" s="24" t="s">
        <v>30</v>
      </c>
      <c r="U116" s="103" t="s">
        <v>31</v>
      </c>
      <c r="V116" s="86">
        <v>3</v>
      </c>
      <c r="W116" s="87"/>
      <c r="X116" s="92"/>
      <c r="Y116" s="93"/>
      <c r="Z116" s="91" t="s">
        <v>31</v>
      </c>
    </row>
    <row r="117" spans="1:26" s="94" customFormat="1" ht="33" customHeight="1" thickBot="1" x14ac:dyDescent="0.35">
      <c r="A117" s="17">
        <v>68</v>
      </c>
      <c r="B117" s="23">
        <v>4319</v>
      </c>
      <c r="C117" s="19">
        <v>50133</v>
      </c>
      <c r="D117" s="23" t="s">
        <v>488</v>
      </c>
      <c r="E117" s="20" t="s">
        <v>487</v>
      </c>
      <c r="F117" s="21" t="s">
        <v>360</v>
      </c>
      <c r="G117" s="22" t="s">
        <v>26</v>
      </c>
      <c r="H117" s="22"/>
      <c r="I117" s="105" t="s">
        <v>361</v>
      </c>
      <c r="J117" s="105"/>
      <c r="K117" s="105" t="s">
        <v>362</v>
      </c>
      <c r="L117" s="105" t="s">
        <v>51</v>
      </c>
      <c r="M117" s="105">
        <v>0</v>
      </c>
      <c r="N117" s="105">
        <v>1</v>
      </c>
      <c r="O117" s="23" t="s">
        <v>29</v>
      </c>
      <c r="P117" s="24">
        <v>44392</v>
      </c>
      <c r="Q117" s="24"/>
      <c r="R117" s="19"/>
      <c r="S117" s="24"/>
      <c r="T117" s="24"/>
      <c r="U117" s="103" t="s">
        <v>31</v>
      </c>
      <c r="V117" s="86" t="s">
        <v>162</v>
      </c>
      <c r="W117" s="87"/>
      <c r="X117" s="92"/>
      <c r="Y117" s="93"/>
      <c r="Z117" s="91" t="s">
        <v>31</v>
      </c>
    </row>
    <row r="118" spans="1:26" s="94" customFormat="1" ht="33" customHeight="1" thickBot="1" x14ac:dyDescent="0.35">
      <c r="A118" s="17">
        <v>68</v>
      </c>
      <c r="B118" s="102">
        <v>4319</v>
      </c>
      <c r="C118" s="19">
        <v>50162</v>
      </c>
      <c r="D118" s="23" t="s">
        <v>364</v>
      </c>
      <c r="E118" s="20" t="s">
        <v>486</v>
      </c>
      <c r="F118" s="21" t="s">
        <v>365</v>
      </c>
      <c r="G118" s="22" t="s">
        <v>26</v>
      </c>
      <c r="H118" s="22"/>
      <c r="I118" s="105" t="s">
        <v>361</v>
      </c>
      <c r="J118" s="105"/>
      <c r="K118" s="105" t="s">
        <v>362</v>
      </c>
      <c r="L118" s="105" t="s">
        <v>51</v>
      </c>
      <c r="M118" s="105">
        <v>0</v>
      </c>
      <c r="N118" s="105">
        <v>1</v>
      </c>
      <c r="O118" s="23" t="s">
        <v>29</v>
      </c>
      <c r="P118" s="24"/>
      <c r="Q118" s="24"/>
      <c r="R118" s="19"/>
      <c r="S118" s="24"/>
      <c r="T118" s="24"/>
      <c r="U118" s="103" t="s">
        <v>31</v>
      </c>
      <c r="V118" s="86" t="s">
        <v>308</v>
      </c>
      <c r="W118" s="98"/>
      <c r="X118" s="98"/>
      <c r="Y118" s="98"/>
      <c r="Z118" s="91" t="s">
        <v>31</v>
      </c>
    </row>
    <row r="119" spans="1:26" s="27" customFormat="1" ht="33" customHeight="1" thickBot="1" x14ac:dyDescent="0.35">
      <c r="A119" s="17">
        <v>77</v>
      </c>
      <c r="B119" s="18">
        <v>4319</v>
      </c>
      <c r="C119" s="19"/>
      <c r="D119" s="18" t="s">
        <v>534</v>
      </c>
      <c r="E119" s="20" t="s">
        <v>536</v>
      </c>
      <c r="F119" s="21" t="s">
        <v>532</v>
      </c>
      <c r="G119" s="22" t="s">
        <v>26</v>
      </c>
      <c r="H119" s="22"/>
      <c r="I119" s="105" t="s">
        <v>464</v>
      </c>
      <c r="J119" s="105" t="s">
        <v>460</v>
      </c>
      <c r="K119" s="105" t="s">
        <v>463</v>
      </c>
      <c r="L119" s="105" t="s">
        <v>51</v>
      </c>
      <c r="M119" s="105">
        <v>0</v>
      </c>
      <c r="N119" s="105">
        <v>1</v>
      </c>
      <c r="O119" s="23" t="s">
        <v>29</v>
      </c>
      <c r="P119" s="24"/>
      <c r="Q119" s="24"/>
      <c r="R119" s="19"/>
      <c r="S119" s="24"/>
      <c r="T119" s="24"/>
      <c r="U119" s="24" t="s">
        <v>31</v>
      </c>
      <c r="V119" s="18" t="s">
        <v>359</v>
      </c>
      <c r="W119" s="19"/>
      <c r="X119" s="25" t="s">
        <v>363</v>
      </c>
      <c r="Y119" s="26"/>
    </row>
    <row r="120" spans="1:26" s="27" customFormat="1" ht="33" customHeight="1" thickBot="1" x14ac:dyDescent="0.35">
      <c r="A120" s="17">
        <v>77</v>
      </c>
      <c r="B120" s="18">
        <v>4319</v>
      </c>
      <c r="C120" s="19"/>
      <c r="D120" s="18" t="s">
        <v>535</v>
      </c>
      <c r="E120" s="20" t="s">
        <v>537</v>
      </c>
      <c r="F120" s="21" t="s">
        <v>533</v>
      </c>
      <c r="G120" s="22" t="s">
        <v>26</v>
      </c>
      <c r="H120" s="22"/>
      <c r="I120" s="105" t="s">
        <v>464</v>
      </c>
      <c r="J120" s="105" t="s">
        <v>460</v>
      </c>
      <c r="K120" s="105" t="s">
        <v>463</v>
      </c>
      <c r="L120" s="105" t="s">
        <v>51</v>
      </c>
      <c r="M120" s="105">
        <v>0</v>
      </c>
      <c r="N120" s="105">
        <v>1</v>
      </c>
      <c r="O120" s="23" t="s">
        <v>29</v>
      </c>
      <c r="P120" s="24"/>
      <c r="Q120" s="24"/>
      <c r="R120" s="19"/>
      <c r="S120" s="24"/>
      <c r="T120" s="24"/>
      <c r="U120" s="24" t="s">
        <v>31</v>
      </c>
      <c r="V120" s="18"/>
      <c r="W120" s="19"/>
      <c r="X120" s="25"/>
      <c r="Y120" s="26"/>
    </row>
    <row r="121" spans="1:26" s="27" customFormat="1" ht="33" customHeight="1" thickBot="1" x14ac:dyDescent="0.35">
      <c r="A121" s="17">
        <v>23</v>
      </c>
      <c r="B121" s="18">
        <v>4145</v>
      </c>
      <c r="C121" s="19"/>
      <c r="D121" s="18" t="s">
        <v>496</v>
      </c>
      <c r="E121" s="20" t="s">
        <v>498</v>
      </c>
      <c r="F121" s="21" t="s">
        <v>204</v>
      </c>
      <c r="G121" s="22" t="s">
        <v>26</v>
      </c>
      <c r="H121" s="22" t="s">
        <v>205</v>
      </c>
      <c r="I121" s="105" t="s">
        <v>206</v>
      </c>
      <c r="J121" s="105"/>
      <c r="K121" s="105" t="s">
        <v>207</v>
      </c>
      <c r="L121" s="105" t="s">
        <v>51</v>
      </c>
      <c r="M121" s="105">
        <v>0</v>
      </c>
      <c r="N121" s="105">
        <v>1</v>
      </c>
      <c r="O121" s="23" t="s">
        <v>29</v>
      </c>
      <c r="P121" s="24" t="s">
        <v>30</v>
      </c>
      <c r="Q121" s="24" t="s">
        <v>30</v>
      </c>
      <c r="R121" s="19">
        <v>2</v>
      </c>
      <c r="S121" s="24" t="s">
        <v>30</v>
      </c>
      <c r="T121" s="24" t="s">
        <v>30</v>
      </c>
      <c r="U121" s="24" t="s">
        <v>208</v>
      </c>
      <c r="V121" s="18"/>
      <c r="W121" s="19"/>
      <c r="X121" s="25"/>
      <c r="Y121" s="26"/>
    </row>
    <row r="122" spans="1:26" s="27" customFormat="1" ht="33" customHeight="1" thickBot="1" x14ac:dyDescent="0.35">
      <c r="A122" s="17">
        <v>23</v>
      </c>
      <c r="B122" s="23">
        <v>4145</v>
      </c>
      <c r="C122" s="19"/>
      <c r="D122" s="18" t="s">
        <v>497</v>
      </c>
      <c r="E122" s="20" t="s">
        <v>499</v>
      </c>
      <c r="F122" s="21" t="s">
        <v>209</v>
      </c>
      <c r="G122" s="22" t="s">
        <v>26</v>
      </c>
      <c r="H122" s="22" t="s">
        <v>210</v>
      </c>
      <c r="I122" s="105" t="s">
        <v>206</v>
      </c>
      <c r="J122" s="105"/>
      <c r="K122" s="105" t="s">
        <v>207</v>
      </c>
      <c r="L122" s="105" t="s">
        <v>51</v>
      </c>
      <c r="M122" s="105">
        <v>0</v>
      </c>
      <c r="N122" s="105">
        <v>1</v>
      </c>
      <c r="O122" s="23" t="s">
        <v>29</v>
      </c>
      <c r="P122" s="24"/>
      <c r="Q122" s="24"/>
      <c r="R122" s="19"/>
      <c r="S122" s="24"/>
      <c r="T122" s="24" t="s">
        <v>30</v>
      </c>
      <c r="U122" s="24" t="s">
        <v>208</v>
      </c>
      <c r="V122" s="18"/>
      <c r="W122" s="19"/>
      <c r="X122" s="25"/>
      <c r="Y122" s="26"/>
    </row>
    <row r="123" spans="1:26" s="27" customFormat="1" ht="33" customHeight="1" thickBot="1" x14ac:dyDescent="0.35">
      <c r="A123" s="17"/>
      <c r="B123" s="18"/>
      <c r="C123" s="19"/>
      <c r="D123" s="23"/>
      <c r="E123" s="20"/>
      <c r="F123" s="21"/>
      <c r="G123" s="22"/>
      <c r="H123" s="22"/>
      <c r="I123" s="105" t="s">
        <v>235</v>
      </c>
      <c r="J123" s="105"/>
      <c r="K123" s="105" t="s">
        <v>612</v>
      </c>
      <c r="L123" s="105" t="s">
        <v>51</v>
      </c>
      <c r="M123" s="105">
        <v>0</v>
      </c>
      <c r="N123" s="105">
        <v>1</v>
      </c>
      <c r="O123" s="23" t="s">
        <v>613</v>
      </c>
      <c r="P123" s="24"/>
      <c r="Q123" s="24"/>
      <c r="R123" s="19"/>
      <c r="S123" s="24"/>
      <c r="T123" s="24"/>
      <c r="U123" s="24" t="s">
        <v>31</v>
      </c>
      <c r="V123" s="18"/>
      <c r="W123" s="19"/>
      <c r="X123" s="25"/>
      <c r="Y123" s="26"/>
    </row>
    <row r="124" spans="1:26" s="27" customFormat="1" ht="33" customHeight="1" thickBot="1" x14ac:dyDescent="0.35">
      <c r="A124" s="17"/>
      <c r="B124" s="18"/>
      <c r="C124" s="19"/>
      <c r="D124" s="18"/>
      <c r="E124" s="20"/>
      <c r="F124" s="21"/>
      <c r="G124" s="22"/>
      <c r="H124" s="22"/>
      <c r="I124" s="105" t="s">
        <v>235</v>
      </c>
      <c r="J124" s="105"/>
      <c r="K124" s="105" t="s">
        <v>612</v>
      </c>
      <c r="L124" s="105" t="s">
        <v>51</v>
      </c>
      <c r="M124" s="105">
        <v>0</v>
      </c>
      <c r="N124" s="105">
        <v>1</v>
      </c>
      <c r="O124" s="23" t="s">
        <v>613</v>
      </c>
      <c r="P124" s="24"/>
      <c r="Q124" s="24"/>
      <c r="R124" s="19"/>
      <c r="S124" s="24"/>
      <c r="T124" s="24"/>
      <c r="U124" s="24" t="s">
        <v>31</v>
      </c>
      <c r="V124" s="18"/>
      <c r="W124" s="19"/>
      <c r="X124" s="25"/>
      <c r="Y124" s="26"/>
    </row>
    <row r="125" spans="1:26" s="27" customFormat="1" ht="33" customHeight="1" thickBot="1" x14ac:dyDescent="0.35">
      <c r="A125" s="17">
        <v>76</v>
      </c>
      <c r="B125" s="23">
        <v>4319</v>
      </c>
      <c r="C125" s="19"/>
      <c r="D125" s="23" t="s">
        <v>529</v>
      </c>
      <c r="E125" s="20" t="s">
        <v>531</v>
      </c>
      <c r="F125" s="21" t="s">
        <v>528</v>
      </c>
      <c r="G125" s="22" t="s">
        <v>26</v>
      </c>
      <c r="H125" s="22"/>
      <c r="I125" s="105" t="s">
        <v>462</v>
      </c>
      <c r="J125" s="105"/>
      <c r="K125" s="105" t="s">
        <v>463</v>
      </c>
      <c r="L125" s="105" t="s">
        <v>51</v>
      </c>
      <c r="M125" s="105">
        <v>0</v>
      </c>
      <c r="N125" s="105">
        <v>1</v>
      </c>
      <c r="O125" s="23" t="s">
        <v>29</v>
      </c>
      <c r="P125" s="24"/>
      <c r="Q125" s="24"/>
      <c r="R125" s="19"/>
      <c r="S125" s="24"/>
      <c r="T125" s="24"/>
      <c r="U125" s="24" t="s">
        <v>31</v>
      </c>
      <c r="V125" s="23"/>
      <c r="W125" s="19"/>
      <c r="X125" s="25"/>
      <c r="Y125" s="26"/>
      <c r="Z125" s="27" t="s">
        <v>31</v>
      </c>
    </row>
    <row r="126" spans="1:26" s="27" customFormat="1" ht="33" customHeight="1" thickBot="1" x14ac:dyDescent="0.35">
      <c r="A126" s="17">
        <v>76</v>
      </c>
      <c r="B126" s="18">
        <v>4319</v>
      </c>
      <c r="C126" s="19"/>
      <c r="D126" s="18" t="s">
        <v>530</v>
      </c>
      <c r="E126" s="20" t="s">
        <v>531</v>
      </c>
      <c r="F126" s="21" t="s">
        <v>351</v>
      </c>
      <c r="G126" s="22" t="s">
        <v>26</v>
      </c>
      <c r="H126" s="22"/>
      <c r="I126" s="105" t="s">
        <v>462</v>
      </c>
      <c r="J126" s="105"/>
      <c r="K126" s="105" t="s">
        <v>463</v>
      </c>
      <c r="L126" s="105" t="s">
        <v>51</v>
      </c>
      <c r="M126" s="105">
        <v>0</v>
      </c>
      <c r="N126" s="105">
        <v>1</v>
      </c>
      <c r="O126" s="23" t="s">
        <v>29</v>
      </c>
      <c r="P126" s="24"/>
      <c r="Q126" s="24"/>
      <c r="R126" s="19"/>
      <c r="S126" s="24"/>
      <c r="T126" s="24"/>
      <c r="U126" s="24" t="s">
        <v>31</v>
      </c>
      <c r="V126" s="18"/>
      <c r="W126" s="19"/>
      <c r="X126" s="25"/>
      <c r="Y126" s="26"/>
    </row>
    <row r="127" spans="1:26" s="27" customFormat="1" ht="33" customHeight="1" thickBot="1" x14ac:dyDescent="0.35">
      <c r="A127" s="17">
        <v>16</v>
      </c>
      <c r="B127" s="18">
        <v>4319</v>
      </c>
      <c r="C127" s="19" t="s">
        <v>147</v>
      </c>
      <c r="D127" s="23" t="s">
        <v>148</v>
      </c>
      <c r="E127" s="20" t="s">
        <v>149</v>
      </c>
      <c r="F127" s="21" t="s">
        <v>150</v>
      </c>
      <c r="G127" s="22" t="s">
        <v>26</v>
      </c>
      <c r="H127" s="22"/>
      <c r="I127" s="105" t="s">
        <v>151</v>
      </c>
      <c r="J127" s="105" t="s">
        <v>152</v>
      </c>
      <c r="K127" s="105" t="s">
        <v>153</v>
      </c>
      <c r="L127" s="105" t="s">
        <v>51</v>
      </c>
      <c r="M127" s="105">
        <v>0</v>
      </c>
      <c r="N127" s="105">
        <v>1</v>
      </c>
      <c r="O127" s="23" t="s">
        <v>29</v>
      </c>
      <c r="P127" s="24">
        <v>44385</v>
      </c>
      <c r="Q127" s="24">
        <v>44392</v>
      </c>
      <c r="R127" s="19">
        <v>2</v>
      </c>
      <c r="S127" s="24" t="s">
        <v>30</v>
      </c>
      <c r="T127" s="24" t="s">
        <v>30</v>
      </c>
      <c r="U127" s="24" t="s">
        <v>31</v>
      </c>
      <c r="V127" s="18"/>
      <c r="W127" s="19"/>
      <c r="X127" s="25"/>
      <c r="Y127" s="26"/>
    </row>
    <row r="128" spans="1:26" s="27" customFormat="1" ht="33" customHeight="1" thickBot="1" x14ac:dyDescent="0.35">
      <c r="A128" s="17">
        <v>16</v>
      </c>
      <c r="B128" s="18">
        <v>4319</v>
      </c>
      <c r="C128" s="19" t="s">
        <v>154</v>
      </c>
      <c r="D128" s="18" t="s">
        <v>155</v>
      </c>
      <c r="E128" s="20" t="s">
        <v>156</v>
      </c>
      <c r="F128" s="21" t="s">
        <v>157</v>
      </c>
      <c r="G128" s="22" t="s">
        <v>26</v>
      </c>
      <c r="H128" s="22"/>
      <c r="I128" s="105" t="s">
        <v>151</v>
      </c>
      <c r="J128" s="105" t="s">
        <v>152</v>
      </c>
      <c r="K128" s="105" t="s">
        <v>153</v>
      </c>
      <c r="L128" s="105" t="s">
        <v>51</v>
      </c>
      <c r="M128" s="105">
        <v>0</v>
      </c>
      <c r="N128" s="105">
        <v>1</v>
      </c>
      <c r="O128" s="23" t="s">
        <v>29</v>
      </c>
      <c r="P128" s="24"/>
      <c r="Q128" s="24"/>
      <c r="R128" s="19"/>
      <c r="S128" s="24"/>
      <c r="T128" s="24" t="s">
        <v>30</v>
      </c>
      <c r="U128" s="24" t="s">
        <v>31</v>
      </c>
      <c r="V128" s="18"/>
      <c r="W128" s="19"/>
      <c r="X128" s="25"/>
      <c r="Y128" s="26"/>
    </row>
    <row r="129" spans="1:26" s="27" customFormat="1" ht="33" customHeight="1" thickBot="1" x14ac:dyDescent="0.35">
      <c r="A129" s="17">
        <v>26</v>
      </c>
      <c r="B129" s="18">
        <v>4145</v>
      </c>
      <c r="C129" s="19"/>
      <c r="D129" s="18" t="s">
        <v>548</v>
      </c>
      <c r="E129" s="20" t="s">
        <v>550</v>
      </c>
      <c r="F129" s="21" t="s">
        <v>218</v>
      </c>
      <c r="G129" s="22" t="s">
        <v>26</v>
      </c>
      <c r="H129" s="22"/>
      <c r="I129" s="105" t="s">
        <v>219</v>
      </c>
      <c r="J129" s="105"/>
      <c r="K129" s="105" t="s">
        <v>220</v>
      </c>
      <c r="L129" s="105" t="s">
        <v>51</v>
      </c>
      <c r="M129" s="105">
        <v>0</v>
      </c>
      <c r="N129" s="105">
        <v>1</v>
      </c>
      <c r="O129" s="23" t="s">
        <v>29</v>
      </c>
      <c r="P129" s="24" t="s">
        <v>30</v>
      </c>
      <c r="Q129" s="24" t="s">
        <v>30</v>
      </c>
      <c r="R129" s="19">
        <v>2</v>
      </c>
      <c r="S129" s="24" t="s">
        <v>30</v>
      </c>
      <c r="T129" s="24" t="s">
        <v>30</v>
      </c>
      <c r="U129" s="24" t="s">
        <v>208</v>
      </c>
      <c r="V129" s="18"/>
      <c r="W129" s="19"/>
      <c r="X129" s="25"/>
      <c r="Y129" s="26"/>
    </row>
    <row r="130" spans="1:26" s="27" customFormat="1" ht="33" customHeight="1" thickBot="1" x14ac:dyDescent="0.35">
      <c r="A130" s="17">
        <v>26</v>
      </c>
      <c r="B130" s="18">
        <v>4145</v>
      </c>
      <c r="C130" s="19"/>
      <c r="D130" s="18" t="s">
        <v>598</v>
      </c>
      <c r="E130" s="20" t="s">
        <v>599</v>
      </c>
      <c r="F130" s="21" t="s">
        <v>221</v>
      </c>
      <c r="G130" s="22" t="s">
        <v>26</v>
      </c>
      <c r="H130" s="22"/>
      <c r="I130" s="105" t="s">
        <v>219</v>
      </c>
      <c r="J130" s="105"/>
      <c r="K130" s="105" t="s">
        <v>220</v>
      </c>
      <c r="L130" s="105" t="s">
        <v>51</v>
      </c>
      <c r="M130" s="105">
        <v>0</v>
      </c>
      <c r="N130" s="105">
        <v>1</v>
      </c>
      <c r="O130" s="23" t="s">
        <v>29</v>
      </c>
      <c r="P130" s="24"/>
      <c r="Q130" s="24"/>
      <c r="R130" s="19"/>
      <c r="S130" s="24"/>
      <c r="T130" s="24"/>
      <c r="U130" s="24" t="s">
        <v>208</v>
      </c>
      <c r="V130" s="18"/>
      <c r="W130" s="19"/>
      <c r="X130" s="25"/>
      <c r="Y130" s="26"/>
    </row>
    <row r="131" spans="1:26" s="94" customFormat="1" ht="33" customHeight="1" thickBot="1" x14ac:dyDescent="0.35">
      <c r="A131" s="17">
        <v>4</v>
      </c>
      <c r="B131" s="23"/>
      <c r="C131" s="19"/>
      <c r="D131" s="23" t="s">
        <v>591</v>
      </c>
      <c r="E131" s="20" t="s">
        <v>46</v>
      </c>
      <c r="F131" s="21" t="s">
        <v>47</v>
      </c>
      <c r="G131" s="22" t="s">
        <v>26</v>
      </c>
      <c r="H131" s="22" t="s">
        <v>48</v>
      </c>
      <c r="I131" s="105" t="s">
        <v>44</v>
      </c>
      <c r="J131" s="105" t="s">
        <v>49</v>
      </c>
      <c r="K131" s="105" t="s">
        <v>50</v>
      </c>
      <c r="L131" s="105" t="s">
        <v>51</v>
      </c>
      <c r="M131" s="105">
        <v>0</v>
      </c>
      <c r="N131" s="105">
        <v>1</v>
      </c>
      <c r="O131" s="23" t="s">
        <v>29</v>
      </c>
      <c r="P131" s="24">
        <v>44377</v>
      </c>
      <c r="Q131" s="24">
        <v>44379</v>
      </c>
      <c r="R131" s="19">
        <v>2</v>
      </c>
      <c r="S131" s="24" t="s">
        <v>30</v>
      </c>
      <c r="T131" s="24" t="s">
        <v>30</v>
      </c>
      <c r="U131" s="103" t="s">
        <v>31</v>
      </c>
      <c r="V131" s="86"/>
      <c r="W131" s="87"/>
      <c r="X131" s="92"/>
      <c r="Y131" s="93"/>
      <c r="Z131" s="91" t="s">
        <v>31</v>
      </c>
    </row>
    <row r="132" spans="1:26" s="27" customFormat="1" ht="33" customHeight="1" thickBot="1" x14ac:dyDescent="0.35">
      <c r="A132" s="17">
        <v>4</v>
      </c>
      <c r="B132" s="23"/>
      <c r="C132" s="19"/>
      <c r="D132" s="23" t="s">
        <v>52</v>
      </c>
      <c r="E132" s="20" t="s">
        <v>53</v>
      </c>
      <c r="F132" s="21" t="s">
        <v>54</v>
      </c>
      <c r="G132" s="22" t="s">
        <v>26</v>
      </c>
      <c r="H132" s="22" t="s">
        <v>55</v>
      </c>
      <c r="I132" s="105" t="s">
        <v>44</v>
      </c>
      <c r="J132" s="105" t="s">
        <v>49</v>
      </c>
      <c r="K132" s="105" t="s">
        <v>50</v>
      </c>
      <c r="L132" s="105" t="s">
        <v>51</v>
      </c>
      <c r="M132" s="105">
        <v>0</v>
      </c>
      <c r="N132" s="105">
        <v>1</v>
      </c>
      <c r="O132" s="23" t="s">
        <v>29</v>
      </c>
      <c r="P132" s="24"/>
      <c r="Q132" s="24"/>
      <c r="R132" s="19"/>
      <c r="S132" s="24"/>
      <c r="T132" s="24" t="s">
        <v>30</v>
      </c>
      <c r="U132" s="24" t="s">
        <v>31</v>
      </c>
      <c r="V132" s="18"/>
      <c r="W132" s="19"/>
      <c r="X132" s="25"/>
      <c r="Y132" s="26"/>
    </row>
    <row r="133" spans="1:26" s="27" customFormat="1" ht="33" customHeight="1" thickBot="1" x14ac:dyDescent="0.35">
      <c r="A133" s="17">
        <v>11</v>
      </c>
      <c r="B133" s="18">
        <v>4230</v>
      </c>
      <c r="C133" s="19">
        <v>50154</v>
      </c>
      <c r="D133" s="23" t="s">
        <v>96</v>
      </c>
      <c r="E133" s="20" t="s">
        <v>97</v>
      </c>
      <c r="F133" s="21" t="s">
        <v>98</v>
      </c>
      <c r="G133" s="22" t="s">
        <v>26</v>
      </c>
      <c r="H133" s="22" t="s">
        <v>99</v>
      </c>
      <c r="I133" s="105" t="s">
        <v>39</v>
      </c>
      <c r="J133" s="105" t="s">
        <v>100</v>
      </c>
      <c r="K133" s="105" t="s">
        <v>101</v>
      </c>
      <c r="L133" s="105" t="s">
        <v>51</v>
      </c>
      <c r="M133" s="105">
        <v>0</v>
      </c>
      <c r="N133" s="105">
        <v>1</v>
      </c>
      <c r="O133" s="23" t="s">
        <v>29</v>
      </c>
      <c r="P133" s="24">
        <v>44377</v>
      </c>
      <c r="Q133" s="24">
        <v>44384</v>
      </c>
      <c r="R133" s="19">
        <v>2</v>
      </c>
      <c r="S133" s="24" t="s">
        <v>30</v>
      </c>
      <c r="T133" s="24" t="s">
        <v>30</v>
      </c>
      <c r="U133" s="24" t="s">
        <v>31</v>
      </c>
      <c r="V133" s="18"/>
      <c r="W133" s="19"/>
      <c r="X133" s="25"/>
      <c r="Y133" s="26"/>
    </row>
    <row r="134" spans="1:26" s="27" customFormat="1" ht="33" customHeight="1" thickBot="1" x14ac:dyDescent="0.35">
      <c r="A134" s="17">
        <v>11</v>
      </c>
      <c r="B134" s="18">
        <v>4230</v>
      </c>
      <c r="C134" s="19">
        <v>50055</v>
      </c>
      <c r="D134" s="18" t="s">
        <v>102</v>
      </c>
      <c r="E134" s="20" t="s">
        <v>103</v>
      </c>
      <c r="F134" s="21" t="s">
        <v>104</v>
      </c>
      <c r="G134" s="22" t="s">
        <v>26</v>
      </c>
      <c r="H134" s="22" t="s">
        <v>105</v>
      </c>
      <c r="I134" s="105" t="s">
        <v>39</v>
      </c>
      <c r="J134" s="105" t="s">
        <v>100</v>
      </c>
      <c r="K134" s="105" t="s">
        <v>101</v>
      </c>
      <c r="L134" s="105" t="s">
        <v>51</v>
      </c>
      <c r="M134" s="105">
        <v>0</v>
      </c>
      <c r="N134" s="105">
        <v>1</v>
      </c>
      <c r="O134" s="23" t="s">
        <v>29</v>
      </c>
      <c r="P134" s="24"/>
      <c r="Q134" s="24"/>
      <c r="R134" s="19"/>
      <c r="S134" s="24"/>
      <c r="T134" s="24" t="s">
        <v>30</v>
      </c>
      <c r="U134" s="24" t="s">
        <v>31</v>
      </c>
      <c r="V134" s="18"/>
      <c r="W134" s="19"/>
      <c r="X134" s="25"/>
      <c r="Y134" s="26"/>
    </row>
    <row r="135" spans="1:26" s="27" customFormat="1" ht="33" customHeight="1" thickBot="1" x14ac:dyDescent="0.35">
      <c r="A135" s="17">
        <v>25</v>
      </c>
      <c r="B135" s="18">
        <v>4145</v>
      </c>
      <c r="C135" s="19"/>
      <c r="D135" s="23" t="s">
        <v>545</v>
      </c>
      <c r="E135" s="20" t="s">
        <v>547</v>
      </c>
      <c r="F135" s="21" t="s">
        <v>214</v>
      </c>
      <c r="G135" s="22" t="s">
        <v>26</v>
      </c>
      <c r="H135" s="22"/>
      <c r="I135" s="105" t="s">
        <v>215</v>
      </c>
      <c r="J135" s="105"/>
      <c r="K135" s="105" t="s">
        <v>216</v>
      </c>
      <c r="L135" s="105" t="s">
        <v>51</v>
      </c>
      <c r="M135" s="105">
        <v>0</v>
      </c>
      <c r="N135" s="105">
        <v>1</v>
      </c>
      <c r="O135" s="23" t="s">
        <v>29</v>
      </c>
      <c r="P135" s="24" t="s">
        <v>30</v>
      </c>
      <c r="Q135" s="24" t="s">
        <v>30</v>
      </c>
      <c r="R135" s="19">
        <v>2</v>
      </c>
      <c r="S135" s="24" t="s">
        <v>30</v>
      </c>
      <c r="T135" s="24" t="s">
        <v>30</v>
      </c>
      <c r="U135" s="24" t="s">
        <v>208</v>
      </c>
      <c r="V135" s="18"/>
      <c r="W135" s="19"/>
      <c r="X135" s="25"/>
      <c r="Y135" s="26"/>
    </row>
    <row r="136" spans="1:26" s="27" customFormat="1" ht="33" customHeight="1" thickBot="1" x14ac:dyDescent="0.35">
      <c r="A136" s="17">
        <v>25</v>
      </c>
      <c r="B136" s="23">
        <v>4145</v>
      </c>
      <c r="C136" s="19"/>
      <c r="D136" s="23" t="s">
        <v>546</v>
      </c>
      <c r="E136" s="20" t="s">
        <v>549</v>
      </c>
      <c r="F136" s="21" t="s">
        <v>217</v>
      </c>
      <c r="G136" s="22" t="s">
        <v>26</v>
      </c>
      <c r="H136" s="22"/>
      <c r="I136" s="105" t="s">
        <v>215</v>
      </c>
      <c r="J136" s="105"/>
      <c r="K136" s="105" t="s">
        <v>216</v>
      </c>
      <c r="L136" s="105" t="s">
        <v>51</v>
      </c>
      <c r="M136" s="105">
        <v>0</v>
      </c>
      <c r="N136" s="105">
        <v>1</v>
      </c>
      <c r="O136" s="23" t="s">
        <v>29</v>
      </c>
      <c r="P136" s="24"/>
      <c r="Q136" s="24"/>
      <c r="R136" s="19"/>
      <c r="S136" s="24"/>
      <c r="T136" s="24" t="s">
        <v>30</v>
      </c>
      <c r="U136" s="24" t="s">
        <v>208</v>
      </c>
      <c r="V136" s="18"/>
      <c r="W136" s="19"/>
      <c r="X136" s="25"/>
      <c r="Y136" s="26"/>
    </row>
    <row r="137" spans="1:26" s="27" customFormat="1" ht="33" customHeight="1" thickBot="1" x14ac:dyDescent="0.35">
      <c r="A137" s="17">
        <v>58</v>
      </c>
      <c r="B137" s="18">
        <v>4145</v>
      </c>
      <c r="C137" s="19">
        <v>50097</v>
      </c>
      <c r="D137" s="23" t="s">
        <v>402</v>
      </c>
      <c r="E137" s="20" t="s">
        <v>403</v>
      </c>
      <c r="F137" s="21" t="s">
        <v>554</v>
      </c>
      <c r="G137" s="22" t="s">
        <v>26</v>
      </c>
      <c r="H137" s="22"/>
      <c r="I137" s="99" t="s">
        <v>404</v>
      </c>
      <c r="J137" s="18"/>
      <c r="K137" s="18" t="s">
        <v>405</v>
      </c>
      <c r="L137" s="18" t="s">
        <v>51</v>
      </c>
      <c r="M137" s="18">
        <v>0</v>
      </c>
      <c r="N137" s="18">
        <v>1</v>
      </c>
      <c r="O137" s="23" t="s">
        <v>29</v>
      </c>
      <c r="P137" s="24">
        <v>44392</v>
      </c>
      <c r="Q137" s="24">
        <v>44443</v>
      </c>
      <c r="R137" s="19">
        <v>2</v>
      </c>
      <c r="S137" s="24" t="s">
        <v>30</v>
      </c>
      <c r="T137" s="24" t="s">
        <v>30</v>
      </c>
      <c r="U137" s="24" t="s">
        <v>208</v>
      </c>
      <c r="V137" s="18"/>
      <c r="W137" s="19"/>
      <c r="X137" s="25"/>
      <c r="Y137" s="26"/>
    </row>
    <row r="138" spans="1:26" s="94" customFormat="1" ht="33" customHeight="1" thickBot="1" x14ac:dyDescent="0.35">
      <c r="A138" s="17">
        <v>58</v>
      </c>
      <c r="B138" s="23">
        <v>4145</v>
      </c>
      <c r="C138" s="19">
        <v>50105</v>
      </c>
      <c r="D138" s="23" t="s">
        <v>406</v>
      </c>
      <c r="E138" s="20" t="s">
        <v>407</v>
      </c>
      <c r="F138" s="21" t="s">
        <v>554</v>
      </c>
      <c r="G138" s="22" t="s">
        <v>26</v>
      </c>
      <c r="H138" s="22"/>
      <c r="I138" s="99" t="s">
        <v>404</v>
      </c>
      <c r="J138" s="23"/>
      <c r="K138" s="23" t="s">
        <v>453</v>
      </c>
      <c r="L138" s="23" t="s">
        <v>51</v>
      </c>
      <c r="M138" s="23">
        <v>0</v>
      </c>
      <c r="N138" s="23">
        <v>1</v>
      </c>
      <c r="O138" s="23" t="s">
        <v>29</v>
      </c>
      <c r="P138" s="24"/>
      <c r="Q138" s="24"/>
      <c r="R138" s="19"/>
      <c r="S138" s="24"/>
      <c r="T138" s="24" t="s">
        <v>30</v>
      </c>
      <c r="U138" s="103" t="s">
        <v>208</v>
      </c>
      <c r="V138" s="86"/>
      <c r="W138" s="87"/>
      <c r="X138" s="92"/>
      <c r="Y138" s="93"/>
      <c r="Z138" s="91" t="s">
        <v>31</v>
      </c>
    </row>
    <row r="139" spans="1:26" s="27" customFormat="1" ht="33" customHeight="1" thickBot="1" x14ac:dyDescent="0.35">
      <c r="A139" s="17">
        <v>43</v>
      </c>
      <c r="B139" s="23">
        <v>4319</v>
      </c>
      <c r="C139" s="19">
        <v>50096</v>
      </c>
      <c r="D139" s="23" t="s">
        <v>297</v>
      </c>
      <c r="E139" s="20" t="s">
        <v>298</v>
      </c>
      <c r="F139" s="21" t="s">
        <v>299</v>
      </c>
      <c r="G139" s="22" t="s">
        <v>26</v>
      </c>
      <c r="H139" s="22"/>
      <c r="I139" s="105" t="s">
        <v>300</v>
      </c>
      <c r="J139" s="105"/>
      <c r="K139" s="105" t="s">
        <v>301</v>
      </c>
      <c r="L139" s="105" t="s">
        <v>51</v>
      </c>
      <c r="M139" s="105">
        <v>0</v>
      </c>
      <c r="N139" s="105">
        <v>1</v>
      </c>
      <c r="O139" s="23" t="s">
        <v>29</v>
      </c>
      <c r="P139" s="24">
        <v>44392</v>
      </c>
      <c r="Q139" s="24" t="s">
        <v>30</v>
      </c>
      <c r="R139" s="19">
        <v>2</v>
      </c>
      <c r="S139" s="24" t="s">
        <v>30</v>
      </c>
      <c r="T139" s="24" t="s">
        <v>30</v>
      </c>
      <c r="U139" s="24" t="s">
        <v>31</v>
      </c>
      <c r="V139" s="23"/>
      <c r="W139" s="19"/>
      <c r="X139" s="25"/>
      <c r="Y139" s="26"/>
    </row>
    <row r="140" spans="1:26" s="27" customFormat="1" ht="33" customHeight="1" thickBot="1" x14ac:dyDescent="0.35">
      <c r="A140" s="17">
        <v>43</v>
      </c>
      <c r="B140" s="23">
        <v>4319</v>
      </c>
      <c r="C140" s="19">
        <v>50158</v>
      </c>
      <c r="D140" s="23" t="s">
        <v>302</v>
      </c>
      <c r="E140" s="20" t="s">
        <v>303</v>
      </c>
      <c r="F140" s="21" t="s">
        <v>304</v>
      </c>
      <c r="G140" s="22" t="s">
        <v>26</v>
      </c>
      <c r="H140" s="22"/>
      <c r="I140" s="105" t="s">
        <v>300</v>
      </c>
      <c r="J140" s="105"/>
      <c r="K140" s="105" t="s">
        <v>301</v>
      </c>
      <c r="L140" s="105" t="s">
        <v>51</v>
      </c>
      <c r="M140" s="105">
        <v>0</v>
      </c>
      <c r="N140" s="105">
        <v>1</v>
      </c>
      <c r="O140" s="23" t="s">
        <v>29</v>
      </c>
      <c r="P140" s="24"/>
      <c r="Q140" s="24"/>
      <c r="R140" s="19"/>
      <c r="S140" s="24"/>
      <c r="T140" s="24" t="s">
        <v>30</v>
      </c>
      <c r="U140" s="24" t="s">
        <v>31</v>
      </c>
      <c r="V140" s="23"/>
      <c r="W140" s="19"/>
      <c r="X140" s="25"/>
      <c r="Y140" s="26"/>
    </row>
    <row r="141" spans="1:26" s="27" customFormat="1" ht="33" customHeight="1" thickBot="1" x14ac:dyDescent="0.35">
      <c r="A141" s="17">
        <v>15</v>
      </c>
      <c r="B141" s="23">
        <v>4319</v>
      </c>
      <c r="C141" s="19" t="s">
        <v>133</v>
      </c>
      <c r="D141" s="23" t="s">
        <v>134</v>
      </c>
      <c r="E141" s="20" t="s">
        <v>135</v>
      </c>
      <c r="F141" s="21" t="s">
        <v>136</v>
      </c>
      <c r="G141" s="22" t="s">
        <v>26</v>
      </c>
      <c r="H141" s="22"/>
      <c r="I141" s="105" t="s">
        <v>130</v>
      </c>
      <c r="J141" s="105" t="s">
        <v>131</v>
      </c>
      <c r="K141" s="105" t="s">
        <v>132</v>
      </c>
      <c r="L141" s="105" t="s">
        <v>51</v>
      </c>
      <c r="M141" s="105">
        <v>0</v>
      </c>
      <c r="N141" s="105">
        <v>1</v>
      </c>
      <c r="O141" s="23" t="s">
        <v>29</v>
      </c>
      <c r="P141" s="24"/>
      <c r="Q141" s="24"/>
      <c r="R141" s="19"/>
      <c r="S141" s="24"/>
      <c r="T141" s="24" t="s">
        <v>30</v>
      </c>
      <c r="U141" s="24" t="s">
        <v>31</v>
      </c>
      <c r="V141" s="23"/>
      <c r="W141" s="19"/>
      <c r="X141" s="25"/>
      <c r="Y141" s="26"/>
    </row>
    <row r="142" spans="1:26" s="27" customFormat="1" ht="33" customHeight="1" thickBot="1" x14ac:dyDescent="0.35">
      <c r="A142" s="17">
        <v>15</v>
      </c>
      <c r="B142" s="18">
        <v>4319</v>
      </c>
      <c r="C142" s="19">
        <v>50185</v>
      </c>
      <c r="D142" s="23" t="s">
        <v>127</v>
      </c>
      <c r="E142" s="20" t="s">
        <v>128</v>
      </c>
      <c r="F142" s="21" t="s">
        <v>129</v>
      </c>
      <c r="G142" s="22" t="s">
        <v>26</v>
      </c>
      <c r="H142" s="22"/>
      <c r="I142" s="105" t="s">
        <v>130</v>
      </c>
      <c r="J142" s="105" t="s">
        <v>131</v>
      </c>
      <c r="K142" s="105" t="s">
        <v>132</v>
      </c>
      <c r="L142" s="105" t="s">
        <v>51</v>
      </c>
      <c r="M142" s="105">
        <v>0</v>
      </c>
      <c r="N142" s="105">
        <v>1</v>
      </c>
      <c r="O142" s="23" t="s">
        <v>29</v>
      </c>
      <c r="P142" s="24">
        <v>44385</v>
      </c>
      <c r="Q142" s="24">
        <v>44392</v>
      </c>
      <c r="R142" s="19">
        <v>2</v>
      </c>
      <c r="S142" s="24" t="s">
        <v>30</v>
      </c>
      <c r="T142" s="24" t="s">
        <v>30</v>
      </c>
      <c r="U142" s="24" t="s">
        <v>31</v>
      </c>
      <c r="V142" s="18"/>
      <c r="W142" s="19"/>
      <c r="X142" s="25"/>
      <c r="Y142" s="26"/>
    </row>
    <row r="143" spans="1:26" ht="33" customHeight="1" thickBot="1" x14ac:dyDescent="0.35">
      <c r="A143" s="17">
        <v>41</v>
      </c>
      <c r="B143" s="23">
        <v>4319</v>
      </c>
      <c r="C143" s="19" t="s">
        <v>283</v>
      </c>
      <c r="D143" s="23" t="s">
        <v>284</v>
      </c>
      <c r="E143" s="20" t="s">
        <v>285</v>
      </c>
      <c r="F143" s="21" t="s">
        <v>286</v>
      </c>
      <c r="G143" s="22" t="s">
        <v>26</v>
      </c>
      <c r="H143" s="22"/>
      <c r="I143" s="105" t="s">
        <v>281</v>
      </c>
      <c r="J143" s="105" t="s">
        <v>273</v>
      </c>
      <c r="K143" s="105" t="s">
        <v>282</v>
      </c>
      <c r="L143" s="105" t="s">
        <v>51</v>
      </c>
      <c r="M143" s="105">
        <v>0</v>
      </c>
      <c r="N143" s="105">
        <v>1</v>
      </c>
      <c r="O143" s="23" t="s">
        <v>29</v>
      </c>
      <c r="P143" s="24"/>
      <c r="Q143" s="24"/>
      <c r="R143" s="19"/>
      <c r="S143" s="24"/>
      <c r="T143" s="24" t="s">
        <v>30</v>
      </c>
      <c r="U143" s="24" t="s">
        <v>31</v>
      </c>
    </row>
    <row r="144" spans="1:26" ht="33" customHeight="1" thickBot="1" x14ac:dyDescent="0.35">
      <c r="A144" s="17">
        <v>41</v>
      </c>
      <c r="B144" s="23">
        <v>4319</v>
      </c>
      <c r="C144" s="19" t="s">
        <v>278</v>
      </c>
      <c r="D144" s="23" t="s">
        <v>279</v>
      </c>
      <c r="E144" s="20" t="s">
        <v>276</v>
      </c>
      <c r="F144" s="21" t="s">
        <v>280</v>
      </c>
      <c r="G144" s="22" t="s">
        <v>26</v>
      </c>
      <c r="H144" s="22"/>
      <c r="I144" s="105" t="s">
        <v>281</v>
      </c>
      <c r="J144" s="105" t="s">
        <v>273</v>
      </c>
      <c r="K144" s="105" t="s">
        <v>282</v>
      </c>
      <c r="L144" s="105" t="s">
        <v>51</v>
      </c>
      <c r="M144" s="105">
        <v>0</v>
      </c>
      <c r="N144" s="105">
        <v>1</v>
      </c>
      <c r="O144" s="23" t="s">
        <v>29</v>
      </c>
      <c r="P144" s="24" t="s">
        <v>30</v>
      </c>
      <c r="Q144" s="24" t="s">
        <v>30</v>
      </c>
      <c r="R144" s="19">
        <v>2</v>
      </c>
      <c r="S144" s="24" t="s">
        <v>30</v>
      </c>
      <c r="T144" s="24" t="s">
        <v>30</v>
      </c>
      <c r="U144" s="24" t="s">
        <v>31</v>
      </c>
    </row>
    <row r="145" spans="1:21" ht="33" customHeight="1" thickBot="1" x14ac:dyDescent="0.35">
      <c r="A145" s="17">
        <v>33</v>
      </c>
      <c r="B145" s="23">
        <v>4145</v>
      </c>
      <c r="C145" s="19"/>
      <c r="D145" s="23" t="s">
        <v>494</v>
      </c>
      <c r="E145" s="20" t="s">
        <v>508</v>
      </c>
      <c r="F145" s="21" t="s">
        <v>239</v>
      </c>
      <c r="G145" s="22" t="s">
        <v>26</v>
      </c>
      <c r="H145" s="22"/>
      <c r="I145" s="105" t="s">
        <v>240</v>
      </c>
      <c r="J145" s="105" t="s">
        <v>241</v>
      </c>
      <c r="K145" s="105" t="s">
        <v>242</v>
      </c>
      <c r="L145" s="105" t="s">
        <v>51</v>
      </c>
      <c r="M145" s="105">
        <v>0</v>
      </c>
      <c r="N145" s="105">
        <v>1</v>
      </c>
      <c r="O145" s="23" t="s">
        <v>29</v>
      </c>
      <c r="P145" s="24" t="s">
        <v>30</v>
      </c>
      <c r="Q145" s="24" t="s">
        <v>30</v>
      </c>
      <c r="R145" s="19">
        <v>2</v>
      </c>
      <c r="S145" s="24" t="s">
        <v>30</v>
      </c>
      <c r="T145" s="24" t="s">
        <v>30</v>
      </c>
      <c r="U145" s="24" t="s">
        <v>208</v>
      </c>
    </row>
    <row r="146" spans="1:21" ht="33" customHeight="1" thickBot="1" x14ac:dyDescent="0.35">
      <c r="A146" s="17">
        <v>33</v>
      </c>
      <c r="B146" s="23">
        <v>4145</v>
      </c>
      <c r="C146" s="19"/>
      <c r="D146" s="23" t="s">
        <v>493</v>
      </c>
      <c r="E146" s="20" t="s">
        <v>508</v>
      </c>
      <c r="F146" s="21" t="s">
        <v>243</v>
      </c>
      <c r="G146" s="22" t="s">
        <v>26</v>
      </c>
      <c r="H146" s="22"/>
      <c r="I146" s="105" t="s">
        <v>240</v>
      </c>
      <c r="J146" s="105" t="s">
        <v>241</v>
      </c>
      <c r="K146" s="105" t="s">
        <v>242</v>
      </c>
      <c r="L146" s="105" t="s">
        <v>51</v>
      </c>
      <c r="M146" s="105">
        <v>0</v>
      </c>
      <c r="N146" s="105">
        <v>1</v>
      </c>
      <c r="O146" s="23" t="s">
        <v>29</v>
      </c>
      <c r="P146" s="24"/>
      <c r="Q146" s="24"/>
      <c r="R146" s="19"/>
      <c r="S146" s="24"/>
      <c r="T146" s="24" t="s">
        <v>30</v>
      </c>
      <c r="U146" s="24" t="s">
        <v>208</v>
      </c>
    </row>
    <row r="147" spans="1:21" ht="33" customHeight="1" thickBot="1" x14ac:dyDescent="0.35">
      <c r="A147" s="17">
        <v>13</v>
      </c>
      <c r="B147" s="23">
        <v>4230</v>
      </c>
      <c r="C147" s="19" t="s">
        <v>112</v>
      </c>
      <c r="D147" s="23" t="s">
        <v>113</v>
      </c>
      <c r="E147" s="20" t="s">
        <v>114</v>
      </c>
      <c r="F147" s="21" t="s">
        <v>115</v>
      </c>
      <c r="G147" s="22" t="s">
        <v>26</v>
      </c>
      <c r="H147" s="22"/>
      <c r="I147" s="105" t="s">
        <v>110</v>
      </c>
      <c r="J147" s="105" t="s">
        <v>116</v>
      </c>
      <c r="K147" s="105"/>
      <c r="L147" s="105" t="s">
        <v>51</v>
      </c>
      <c r="M147" s="105">
        <v>0</v>
      </c>
      <c r="N147" s="105">
        <v>1</v>
      </c>
      <c r="O147" s="23" t="s">
        <v>29</v>
      </c>
      <c r="P147" s="24">
        <v>44385</v>
      </c>
      <c r="Q147" s="24">
        <v>44384</v>
      </c>
      <c r="R147" s="19">
        <v>2</v>
      </c>
      <c r="S147" s="24" t="s">
        <v>30</v>
      </c>
      <c r="T147" s="24" t="s">
        <v>30</v>
      </c>
      <c r="U147" s="24" t="s">
        <v>31</v>
      </c>
    </row>
    <row r="148" spans="1:21" ht="33" customHeight="1" thickBot="1" x14ac:dyDescent="0.35">
      <c r="A148" s="17">
        <v>13</v>
      </c>
      <c r="B148" s="23">
        <v>4230</v>
      </c>
      <c r="C148" s="19"/>
      <c r="D148" s="23" t="s">
        <v>481</v>
      </c>
      <c r="E148" s="20" t="s">
        <v>117</v>
      </c>
      <c r="F148" s="21" t="s">
        <v>118</v>
      </c>
      <c r="G148" s="22" t="s">
        <v>26</v>
      </c>
      <c r="H148" s="22"/>
      <c r="I148" s="105" t="s">
        <v>110</v>
      </c>
      <c r="J148" s="105" t="s">
        <v>116</v>
      </c>
      <c r="K148" s="105"/>
      <c r="L148" s="105" t="s">
        <v>51</v>
      </c>
      <c r="M148" s="105">
        <v>0</v>
      </c>
      <c r="N148" s="105">
        <v>1</v>
      </c>
      <c r="O148" s="23" t="s">
        <v>29</v>
      </c>
      <c r="P148" s="24"/>
      <c r="Q148" s="24"/>
      <c r="R148" s="19"/>
      <c r="S148" s="24"/>
      <c r="T148" s="24" t="s">
        <v>30</v>
      </c>
      <c r="U148" s="24" t="s">
        <v>31</v>
      </c>
    </row>
    <row r="149" spans="1:21" ht="33" customHeight="1" thickBot="1" x14ac:dyDescent="0.35">
      <c r="A149" s="17">
        <v>12</v>
      </c>
      <c r="B149" s="23">
        <v>4230</v>
      </c>
      <c r="C149" s="19" t="s">
        <v>106</v>
      </c>
      <c r="D149" s="23" t="s">
        <v>107</v>
      </c>
      <c r="E149" s="20" t="s">
        <v>108</v>
      </c>
      <c r="F149" s="21" t="s">
        <v>109</v>
      </c>
      <c r="G149" s="22" t="s">
        <v>26</v>
      </c>
      <c r="H149" s="22"/>
      <c r="I149" s="105" t="s">
        <v>110</v>
      </c>
      <c r="J149" s="105"/>
      <c r="K149" s="105" t="s">
        <v>111</v>
      </c>
      <c r="L149" s="105" t="s">
        <v>51</v>
      </c>
      <c r="M149" s="105">
        <v>0</v>
      </c>
      <c r="N149" s="105">
        <v>1</v>
      </c>
      <c r="O149" s="23" t="s">
        <v>29</v>
      </c>
      <c r="P149" s="24">
        <v>44385</v>
      </c>
      <c r="Q149" s="24">
        <v>44384</v>
      </c>
      <c r="R149" s="19">
        <v>1</v>
      </c>
      <c r="S149" s="24" t="s">
        <v>30</v>
      </c>
      <c r="T149" s="24" t="s">
        <v>30</v>
      </c>
      <c r="U149" s="24" t="s">
        <v>31</v>
      </c>
    </row>
    <row r="150" spans="1:21" ht="33" customHeight="1" thickBot="1" x14ac:dyDescent="0.35">
      <c r="A150" s="17">
        <v>48</v>
      </c>
      <c r="B150" s="23">
        <v>4319</v>
      </c>
      <c r="C150" s="19">
        <v>50134</v>
      </c>
      <c r="D150" s="23" t="s">
        <v>333</v>
      </c>
      <c r="E150" s="20" t="s">
        <v>334</v>
      </c>
      <c r="F150" s="21" t="s">
        <v>335</v>
      </c>
      <c r="G150" s="22" t="s">
        <v>26</v>
      </c>
      <c r="H150" s="22" t="s">
        <v>336</v>
      </c>
      <c r="I150" s="105" t="s">
        <v>337</v>
      </c>
      <c r="J150" s="105" t="s">
        <v>338</v>
      </c>
      <c r="K150" s="105" t="s">
        <v>339</v>
      </c>
      <c r="L150" s="105" t="s">
        <v>51</v>
      </c>
      <c r="M150" s="105">
        <v>0</v>
      </c>
      <c r="N150" s="105">
        <v>1</v>
      </c>
      <c r="O150" s="23" t="s">
        <v>29</v>
      </c>
      <c r="P150" s="24">
        <v>44392</v>
      </c>
      <c r="Q150" s="24" t="s">
        <v>30</v>
      </c>
      <c r="R150" s="19">
        <v>2</v>
      </c>
      <c r="S150" s="24" t="s">
        <v>30</v>
      </c>
      <c r="T150" s="24" t="s">
        <v>30</v>
      </c>
      <c r="U150" s="24" t="s">
        <v>31</v>
      </c>
    </row>
    <row r="151" spans="1:21" ht="33" customHeight="1" thickBot="1" x14ac:dyDescent="0.35">
      <c r="A151" s="17">
        <v>48</v>
      </c>
      <c r="B151" s="23">
        <v>4319</v>
      </c>
      <c r="C151" s="19">
        <v>50089</v>
      </c>
      <c r="D151" s="23" t="s">
        <v>340</v>
      </c>
      <c r="E151" s="20" t="s">
        <v>341</v>
      </c>
      <c r="F151" s="21" t="s">
        <v>342</v>
      </c>
      <c r="G151" s="22" t="s">
        <v>26</v>
      </c>
      <c r="H151" s="22" t="s">
        <v>343</v>
      </c>
      <c r="I151" s="105" t="s">
        <v>337</v>
      </c>
      <c r="J151" s="105" t="s">
        <v>338</v>
      </c>
      <c r="K151" s="105" t="s">
        <v>339</v>
      </c>
      <c r="L151" s="105" t="s">
        <v>51</v>
      </c>
      <c r="M151" s="105">
        <v>0</v>
      </c>
      <c r="N151" s="105">
        <v>1</v>
      </c>
      <c r="O151" s="23" t="s">
        <v>29</v>
      </c>
      <c r="P151" s="24"/>
      <c r="Q151" s="24"/>
      <c r="R151" s="19"/>
      <c r="S151" s="24"/>
      <c r="T151" s="24" t="s">
        <v>30</v>
      </c>
      <c r="U151" s="24" t="s">
        <v>31</v>
      </c>
    </row>
    <row r="152" spans="1:21" ht="33" customHeight="1" thickBot="1" x14ac:dyDescent="0.35">
      <c r="A152" s="17">
        <v>49</v>
      </c>
      <c r="B152" s="23">
        <v>4319</v>
      </c>
      <c r="C152" s="19">
        <v>50050</v>
      </c>
      <c r="D152" s="23" t="s">
        <v>344</v>
      </c>
      <c r="E152" s="20" t="s">
        <v>345</v>
      </c>
      <c r="F152" s="21" t="s">
        <v>346</v>
      </c>
      <c r="G152" s="22" t="s">
        <v>26</v>
      </c>
      <c r="H152" s="22" t="s">
        <v>347</v>
      </c>
      <c r="I152" s="105" t="s">
        <v>337</v>
      </c>
      <c r="J152" s="105"/>
      <c r="K152" s="105" t="s">
        <v>348</v>
      </c>
      <c r="L152" s="105" t="s">
        <v>51</v>
      </c>
      <c r="M152" s="105">
        <v>0</v>
      </c>
      <c r="N152" s="105">
        <v>1</v>
      </c>
      <c r="O152" s="23" t="s">
        <v>29</v>
      </c>
      <c r="P152" s="24">
        <v>44392</v>
      </c>
      <c r="Q152" s="24" t="s">
        <v>30</v>
      </c>
      <c r="R152" s="19">
        <v>2</v>
      </c>
      <c r="S152" s="24" t="s">
        <v>30</v>
      </c>
      <c r="T152" s="24" t="s">
        <v>30</v>
      </c>
      <c r="U152" s="24" t="s">
        <v>31</v>
      </c>
    </row>
    <row r="153" spans="1:21" ht="33" customHeight="1" thickBot="1" x14ac:dyDescent="0.35">
      <c r="A153" s="17">
        <v>49</v>
      </c>
      <c r="B153" s="23">
        <v>4319</v>
      </c>
      <c r="C153" s="19">
        <v>50156</v>
      </c>
      <c r="D153" s="23" t="s">
        <v>349</v>
      </c>
      <c r="E153" s="20" t="s">
        <v>350</v>
      </c>
      <c r="F153" s="21" t="s">
        <v>351</v>
      </c>
      <c r="G153" s="22" t="s">
        <v>26</v>
      </c>
      <c r="H153" s="22" t="s">
        <v>352</v>
      </c>
      <c r="I153" s="105" t="s">
        <v>337</v>
      </c>
      <c r="J153" s="105"/>
      <c r="K153" s="105" t="s">
        <v>348</v>
      </c>
      <c r="L153" s="105" t="s">
        <v>51</v>
      </c>
      <c r="M153" s="105">
        <v>0</v>
      </c>
      <c r="N153" s="105">
        <v>1</v>
      </c>
      <c r="O153" s="23" t="s">
        <v>29</v>
      </c>
      <c r="P153" s="24"/>
      <c r="Q153" s="24"/>
      <c r="R153" s="19"/>
      <c r="S153" s="24"/>
      <c r="T153" s="24" t="s">
        <v>30</v>
      </c>
      <c r="U153" s="24" t="s">
        <v>31</v>
      </c>
    </row>
    <row r="154" spans="1:21" ht="33" customHeight="1" thickBot="1" x14ac:dyDescent="0.35">
      <c r="A154" s="17">
        <v>54</v>
      </c>
      <c r="B154" s="23">
        <v>4319</v>
      </c>
      <c r="C154" s="19">
        <v>50104</v>
      </c>
      <c r="D154" s="23" t="s">
        <v>377</v>
      </c>
      <c r="E154" s="20" t="s">
        <v>378</v>
      </c>
      <c r="F154" s="21" t="s">
        <v>379</v>
      </c>
      <c r="G154" s="22" t="s">
        <v>26</v>
      </c>
      <c r="H154" s="22"/>
      <c r="I154" s="105" t="s">
        <v>380</v>
      </c>
      <c r="J154" s="105" t="s">
        <v>381</v>
      </c>
      <c r="K154" s="105" t="s">
        <v>382</v>
      </c>
      <c r="L154" s="105" t="s">
        <v>51</v>
      </c>
      <c r="M154" s="105">
        <v>0</v>
      </c>
      <c r="N154" s="105">
        <v>1</v>
      </c>
      <c r="O154" s="23" t="s">
        <v>29</v>
      </c>
      <c r="P154" s="24">
        <v>44392</v>
      </c>
      <c r="Q154" s="24" t="s">
        <v>30</v>
      </c>
      <c r="R154" s="19">
        <v>2</v>
      </c>
      <c r="S154" s="24" t="s">
        <v>30</v>
      </c>
      <c r="T154" s="24" t="s">
        <v>30</v>
      </c>
      <c r="U154" s="24" t="s">
        <v>31</v>
      </c>
    </row>
    <row r="155" spans="1:21" ht="33" customHeight="1" thickBot="1" x14ac:dyDescent="0.35">
      <c r="A155" s="17">
        <v>54</v>
      </c>
      <c r="B155" s="23">
        <v>4319</v>
      </c>
      <c r="C155" s="19">
        <v>50130</v>
      </c>
      <c r="D155" s="23" t="s">
        <v>383</v>
      </c>
      <c r="E155" s="20" t="s">
        <v>384</v>
      </c>
      <c r="F155" s="21" t="s">
        <v>385</v>
      </c>
      <c r="G155" s="22" t="s">
        <v>26</v>
      </c>
      <c r="H155" s="22"/>
      <c r="I155" s="105" t="s">
        <v>380</v>
      </c>
      <c r="J155" s="105" t="s">
        <v>381</v>
      </c>
      <c r="K155" s="105" t="s">
        <v>382</v>
      </c>
      <c r="L155" s="105" t="s">
        <v>51</v>
      </c>
      <c r="M155" s="105">
        <v>0</v>
      </c>
      <c r="N155" s="105">
        <v>1</v>
      </c>
      <c r="O155" s="23" t="s">
        <v>29</v>
      </c>
      <c r="P155" s="24"/>
      <c r="Q155" s="24"/>
      <c r="R155" s="19"/>
      <c r="S155" s="24"/>
      <c r="T155" s="24" t="s">
        <v>30</v>
      </c>
      <c r="U155" s="24" t="s">
        <v>31</v>
      </c>
    </row>
    <row r="156" spans="1:21" ht="33" customHeight="1" thickBot="1" x14ac:dyDescent="0.35">
      <c r="A156" s="17">
        <v>45</v>
      </c>
      <c r="B156" s="23">
        <v>4319</v>
      </c>
      <c r="C156" s="19"/>
      <c r="D156" s="23" t="s">
        <v>311</v>
      </c>
      <c r="E156" s="20"/>
      <c r="F156" s="21" t="s">
        <v>312</v>
      </c>
      <c r="G156" s="22"/>
      <c r="H156" s="22"/>
      <c r="I156" s="99" t="s">
        <v>313</v>
      </c>
      <c r="J156" s="23" t="s">
        <v>314</v>
      </c>
      <c r="K156" s="23" t="s">
        <v>290</v>
      </c>
      <c r="L156" s="23" t="s">
        <v>51</v>
      </c>
      <c r="M156" s="23">
        <v>0</v>
      </c>
      <c r="N156" s="23">
        <v>1</v>
      </c>
      <c r="O156" s="23" t="s">
        <v>29</v>
      </c>
      <c r="P156" s="24">
        <v>44392</v>
      </c>
      <c r="Q156" s="24">
        <v>44434</v>
      </c>
      <c r="R156" s="19">
        <v>2</v>
      </c>
      <c r="S156" s="24" t="s">
        <v>30</v>
      </c>
      <c r="T156" s="24" t="s">
        <v>30</v>
      </c>
      <c r="U156" s="24" t="s">
        <v>31</v>
      </c>
    </row>
    <row r="157" spans="1:21" ht="33" customHeight="1" thickBot="1" x14ac:dyDescent="0.35">
      <c r="A157" s="17">
        <v>45</v>
      </c>
      <c r="B157" s="23">
        <v>4319</v>
      </c>
      <c r="C157" s="19"/>
      <c r="D157" s="23" t="s">
        <v>315</v>
      </c>
      <c r="E157" s="20"/>
      <c r="F157" s="21" t="s">
        <v>316</v>
      </c>
      <c r="G157" s="22"/>
      <c r="H157" s="22"/>
      <c r="I157" s="99" t="s">
        <v>313</v>
      </c>
      <c r="J157" s="23" t="s">
        <v>314</v>
      </c>
      <c r="K157" s="23" t="s">
        <v>290</v>
      </c>
      <c r="L157" s="23" t="s">
        <v>51</v>
      </c>
      <c r="M157" s="23">
        <v>0</v>
      </c>
      <c r="N157" s="23">
        <v>1</v>
      </c>
      <c r="O157" s="23" t="s">
        <v>29</v>
      </c>
      <c r="P157" s="24"/>
      <c r="Q157" s="24"/>
      <c r="R157" s="19"/>
      <c r="S157" s="24"/>
      <c r="T157" s="24" t="s">
        <v>30</v>
      </c>
      <c r="U157" s="24" t="s">
        <v>31</v>
      </c>
    </row>
    <row r="158" spans="1:21" ht="33" customHeight="1" thickBot="1" x14ac:dyDescent="0.35">
      <c r="A158" s="17">
        <v>78</v>
      </c>
      <c r="B158" s="23">
        <v>4319</v>
      </c>
      <c r="C158" s="19"/>
      <c r="D158" s="23" t="s">
        <v>540</v>
      </c>
      <c r="E158" s="20" t="s">
        <v>543</v>
      </c>
      <c r="F158" s="21" t="s">
        <v>538</v>
      </c>
      <c r="G158" s="22" t="s">
        <v>26</v>
      </c>
      <c r="H158" s="22"/>
      <c r="I158" s="105" t="s">
        <v>458</v>
      </c>
      <c r="J158" s="105" t="s">
        <v>464</v>
      </c>
      <c r="K158" s="105" t="s">
        <v>465</v>
      </c>
      <c r="L158" s="105" t="s">
        <v>51</v>
      </c>
      <c r="M158" s="105">
        <v>0</v>
      </c>
      <c r="N158" s="105">
        <v>1</v>
      </c>
      <c r="O158" s="23" t="s">
        <v>29</v>
      </c>
      <c r="P158" s="24"/>
      <c r="Q158" s="24"/>
      <c r="R158" s="19"/>
      <c r="S158" s="24"/>
      <c r="T158" s="24"/>
      <c r="U158" s="24" t="s">
        <v>31</v>
      </c>
    </row>
    <row r="159" spans="1:21" ht="33" customHeight="1" thickBot="1" x14ac:dyDescent="0.35">
      <c r="A159" s="17">
        <v>78</v>
      </c>
      <c r="B159" s="23">
        <v>4319</v>
      </c>
      <c r="C159" s="19"/>
      <c r="D159" s="23" t="s">
        <v>541</v>
      </c>
      <c r="E159" s="20" t="s">
        <v>542</v>
      </c>
      <c r="F159" s="21" t="s">
        <v>539</v>
      </c>
      <c r="G159" s="22" t="s">
        <v>26</v>
      </c>
      <c r="H159" s="22"/>
      <c r="I159" s="105" t="s">
        <v>458</v>
      </c>
      <c r="J159" s="105" t="s">
        <v>464</v>
      </c>
      <c r="K159" s="105" t="s">
        <v>465</v>
      </c>
      <c r="L159" s="105" t="s">
        <v>51</v>
      </c>
      <c r="M159" s="105">
        <v>0</v>
      </c>
      <c r="N159" s="105">
        <v>1</v>
      </c>
      <c r="O159" s="23" t="s">
        <v>29</v>
      </c>
      <c r="P159" s="24"/>
      <c r="Q159" s="24"/>
      <c r="R159" s="19"/>
      <c r="S159" s="24"/>
      <c r="T159" s="24"/>
      <c r="U159" s="24" t="s">
        <v>31</v>
      </c>
    </row>
    <row r="160" spans="1:21" ht="33" customHeight="1" x14ac:dyDescent="0.3">
      <c r="E160" s="3"/>
    </row>
    <row r="161" spans="5:5" ht="33" customHeight="1" x14ac:dyDescent="0.3">
      <c r="E161" s="3"/>
    </row>
    <row r="162" spans="5:5" ht="33" customHeight="1" x14ac:dyDescent="0.3">
      <c r="E162" s="3"/>
    </row>
    <row r="163" spans="5:5" ht="33" customHeight="1" x14ac:dyDescent="0.3">
      <c r="E163" s="3"/>
    </row>
    <row r="164" spans="5:5" ht="33" customHeight="1" x14ac:dyDescent="0.3">
      <c r="E164" s="3"/>
    </row>
    <row r="165" spans="5:5" ht="33" customHeight="1" x14ac:dyDescent="0.3">
      <c r="E165" s="3"/>
    </row>
    <row r="166" spans="5:5" ht="33" customHeight="1" x14ac:dyDescent="0.3">
      <c r="E166" s="3"/>
    </row>
    <row r="167" spans="5:5" ht="33" customHeight="1" x14ac:dyDescent="0.3">
      <c r="E167" s="3"/>
    </row>
    <row r="168" spans="5:5" ht="33" customHeight="1" x14ac:dyDescent="0.3">
      <c r="E168" s="3"/>
    </row>
    <row r="169" spans="5:5" ht="33" customHeight="1" x14ac:dyDescent="0.3">
      <c r="E169" s="3"/>
    </row>
    <row r="170" spans="5:5" ht="33" customHeight="1" x14ac:dyDescent="0.3">
      <c r="E170" s="3"/>
    </row>
    <row r="171" spans="5:5" ht="33" customHeight="1" x14ac:dyDescent="0.3">
      <c r="E171" s="3"/>
    </row>
    <row r="172" spans="5:5" ht="33" customHeight="1" x14ac:dyDescent="0.3">
      <c r="E172" s="3"/>
    </row>
    <row r="173" spans="5:5" ht="33" customHeight="1" x14ac:dyDescent="0.3">
      <c r="E173" s="3"/>
    </row>
    <row r="174" spans="5:5" ht="33" customHeight="1" x14ac:dyDescent="0.3">
      <c r="E174" s="3"/>
    </row>
    <row r="175" spans="5:5" ht="33" customHeight="1" x14ac:dyDescent="0.3">
      <c r="E175" s="3"/>
    </row>
    <row r="176" spans="5:5" ht="33" customHeight="1" x14ac:dyDescent="0.3">
      <c r="E176" s="3"/>
    </row>
    <row r="177" spans="5:5" ht="33" customHeight="1" x14ac:dyDescent="0.3">
      <c r="E177" s="3"/>
    </row>
    <row r="178" spans="5:5" ht="33" customHeight="1" x14ac:dyDescent="0.3">
      <c r="E178" s="3"/>
    </row>
    <row r="179" spans="5:5" ht="33" customHeight="1" x14ac:dyDescent="0.3">
      <c r="E179" s="3"/>
    </row>
    <row r="180" spans="5:5" ht="33" customHeight="1" x14ac:dyDescent="0.3">
      <c r="E180" s="3"/>
    </row>
    <row r="181" spans="5:5" ht="33" customHeight="1" x14ac:dyDescent="0.3">
      <c r="E181" s="3"/>
    </row>
    <row r="182" spans="5:5" ht="33" customHeight="1" x14ac:dyDescent="0.3">
      <c r="E182" s="3"/>
    </row>
    <row r="183" spans="5:5" ht="33" customHeight="1" x14ac:dyDescent="0.3">
      <c r="E183" s="3"/>
    </row>
    <row r="184" spans="5:5" ht="33" customHeight="1" x14ac:dyDescent="0.3">
      <c r="E184" s="3"/>
    </row>
    <row r="185" spans="5:5" ht="33" customHeight="1" x14ac:dyDescent="0.3">
      <c r="E185" s="3"/>
    </row>
    <row r="186" spans="5:5" ht="33" customHeight="1" x14ac:dyDescent="0.3">
      <c r="E186" s="3"/>
    </row>
    <row r="187" spans="5:5" ht="33" customHeight="1" x14ac:dyDescent="0.3">
      <c r="E187" s="3"/>
    </row>
    <row r="188" spans="5:5" ht="33" customHeight="1" x14ac:dyDescent="0.3">
      <c r="E188" s="3"/>
    </row>
    <row r="189" spans="5:5" ht="33" customHeight="1" x14ac:dyDescent="0.3">
      <c r="E189" s="3"/>
    </row>
    <row r="190" spans="5:5" ht="33" customHeight="1" x14ac:dyDescent="0.3">
      <c r="E190" s="3"/>
    </row>
    <row r="191" spans="5:5" ht="33" customHeight="1" x14ac:dyDescent="0.3">
      <c r="E191" s="3"/>
    </row>
    <row r="192" spans="5:5" ht="33" customHeight="1" x14ac:dyDescent="0.3">
      <c r="E192" s="3"/>
    </row>
    <row r="193" spans="5:5" ht="33" customHeight="1" x14ac:dyDescent="0.3">
      <c r="E193" s="3"/>
    </row>
    <row r="194" spans="5:5" ht="33" customHeight="1" x14ac:dyDescent="0.3">
      <c r="E194" s="3"/>
    </row>
    <row r="195" spans="5:5" ht="33" customHeight="1" x14ac:dyDescent="0.3">
      <c r="E195" s="3"/>
    </row>
    <row r="196" spans="5:5" ht="33" customHeight="1" x14ac:dyDescent="0.3">
      <c r="E196" s="3"/>
    </row>
    <row r="197" spans="5:5" ht="33" customHeight="1" x14ac:dyDescent="0.3">
      <c r="E197" s="3"/>
    </row>
    <row r="198" spans="5:5" ht="33" customHeight="1" x14ac:dyDescent="0.3">
      <c r="E198" s="3"/>
    </row>
    <row r="199" spans="5:5" ht="33" customHeight="1" x14ac:dyDescent="0.3">
      <c r="E199" s="3"/>
    </row>
    <row r="200" spans="5:5" ht="33" customHeight="1" x14ac:dyDescent="0.3">
      <c r="E200" s="3"/>
    </row>
    <row r="201" spans="5:5" ht="33" customHeight="1" x14ac:dyDescent="0.3">
      <c r="E201" s="3"/>
    </row>
    <row r="202" spans="5:5" ht="33" customHeight="1" x14ac:dyDescent="0.3">
      <c r="E202" s="3"/>
    </row>
    <row r="203" spans="5:5" ht="33" customHeight="1" x14ac:dyDescent="0.3">
      <c r="E203" s="3"/>
    </row>
    <row r="204" spans="5:5" ht="33" customHeight="1" x14ac:dyDescent="0.3">
      <c r="E204" s="3"/>
    </row>
    <row r="205" spans="5:5" ht="33" customHeight="1" x14ac:dyDescent="0.3">
      <c r="E205" s="3"/>
    </row>
    <row r="206" spans="5:5" ht="33" customHeight="1" x14ac:dyDescent="0.3">
      <c r="E206" s="3"/>
    </row>
    <row r="207" spans="5:5" ht="33" customHeight="1" x14ac:dyDescent="0.3">
      <c r="E207" s="3"/>
    </row>
    <row r="208" spans="5:5" ht="33" customHeight="1" x14ac:dyDescent="0.3">
      <c r="E208" s="3"/>
    </row>
    <row r="209" spans="5:5" ht="33" customHeight="1" x14ac:dyDescent="0.3">
      <c r="E209" s="3"/>
    </row>
    <row r="210" spans="5:5" ht="33" customHeight="1" x14ac:dyDescent="0.3">
      <c r="E210" s="3"/>
    </row>
    <row r="211" spans="5:5" ht="33" customHeight="1" x14ac:dyDescent="0.3">
      <c r="E211" s="3"/>
    </row>
    <row r="212" spans="5:5" ht="33" customHeight="1" x14ac:dyDescent="0.3">
      <c r="E212" s="3"/>
    </row>
    <row r="213" spans="5:5" ht="33" customHeight="1" x14ac:dyDescent="0.3">
      <c r="E213" s="3"/>
    </row>
    <row r="214" spans="5:5" ht="33" customHeight="1" x14ac:dyDescent="0.3">
      <c r="E214" s="3"/>
    </row>
    <row r="215" spans="5:5" ht="33" customHeight="1" x14ac:dyDescent="0.3">
      <c r="E215" s="3"/>
    </row>
    <row r="216" spans="5:5" ht="33" customHeight="1" x14ac:dyDescent="0.3">
      <c r="E216" s="3"/>
    </row>
    <row r="217" spans="5:5" ht="33" customHeight="1" x14ac:dyDescent="0.3">
      <c r="E217" s="3"/>
    </row>
    <row r="218" spans="5:5" ht="33" customHeight="1" x14ac:dyDescent="0.3">
      <c r="E218" s="3"/>
    </row>
    <row r="219" spans="5:5" ht="33" customHeight="1" x14ac:dyDescent="0.3">
      <c r="E219" s="3"/>
    </row>
    <row r="220" spans="5:5" ht="33" customHeight="1" x14ac:dyDescent="0.3">
      <c r="E220" s="3"/>
    </row>
    <row r="221" spans="5:5" ht="33" customHeight="1" x14ac:dyDescent="0.3">
      <c r="E221" s="3"/>
    </row>
    <row r="222" spans="5:5" ht="33" customHeight="1" x14ac:dyDescent="0.3">
      <c r="E222" s="3"/>
    </row>
    <row r="223" spans="5:5" ht="33" customHeight="1" x14ac:dyDescent="0.3">
      <c r="E223" s="3"/>
    </row>
    <row r="224" spans="5:5" ht="33" customHeight="1" x14ac:dyDescent="0.3">
      <c r="E224" s="3"/>
    </row>
    <row r="225" spans="5:5" ht="33" customHeight="1" x14ac:dyDescent="0.3">
      <c r="E225" s="3"/>
    </row>
    <row r="226" spans="5:5" ht="33" customHeight="1" x14ac:dyDescent="0.3">
      <c r="E226" s="3"/>
    </row>
    <row r="227" spans="5:5" ht="33" customHeight="1" x14ac:dyDescent="0.3">
      <c r="E227" s="3"/>
    </row>
    <row r="228" spans="5:5" ht="33" customHeight="1" x14ac:dyDescent="0.3">
      <c r="E228" s="3"/>
    </row>
    <row r="229" spans="5:5" ht="33" customHeight="1" x14ac:dyDescent="0.3">
      <c r="E229" s="3"/>
    </row>
    <row r="230" spans="5:5" ht="33" customHeight="1" x14ac:dyDescent="0.3">
      <c r="E230" s="3"/>
    </row>
    <row r="231" spans="5:5" ht="33" customHeight="1" x14ac:dyDescent="0.3">
      <c r="E231" s="3"/>
    </row>
    <row r="232" spans="5:5" ht="33" customHeight="1" x14ac:dyDescent="0.3">
      <c r="E232" s="3"/>
    </row>
    <row r="233" spans="5:5" ht="33" customHeight="1" x14ac:dyDescent="0.3">
      <c r="E233" s="3"/>
    </row>
    <row r="234" spans="5:5" ht="33" customHeight="1" x14ac:dyDescent="0.3">
      <c r="E234" s="3"/>
    </row>
    <row r="235" spans="5:5" ht="33" customHeight="1" x14ac:dyDescent="0.3">
      <c r="E235" s="3"/>
    </row>
    <row r="236" spans="5:5" ht="33" customHeight="1" x14ac:dyDescent="0.3">
      <c r="E236" s="3"/>
    </row>
    <row r="237" spans="5:5" ht="33" customHeight="1" x14ac:dyDescent="0.3">
      <c r="E237" s="3"/>
    </row>
    <row r="238" spans="5:5" ht="33" customHeight="1" x14ac:dyDescent="0.3">
      <c r="E238" s="3"/>
    </row>
    <row r="239" spans="5:5" ht="33" customHeight="1" x14ac:dyDescent="0.3">
      <c r="E239" s="3"/>
    </row>
    <row r="240" spans="5:5" ht="33" customHeight="1" x14ac:dyDescent="0.3">
      <c r="E240" s="3"/>
    </row>
    <row r="241" spans="5:5" ht="33" customHeight="1" x14ac:dyDescent="0.3">
      <c r="E241" s="3"/>
    </row>
    <row r="242" spans="5:5" ht="33" customHeight="1" x14ac:dyDescent="0.3">
      <c r="E242" s="3"/>
    </row>
    <row r="243" spans="5:5" ht="33" customHeight="1" x14ac:dyDescent="0.3">
      <c r="E243" s="3"/>
    </row>
    <row r="244" spans="5:5" ht="33" customHeight="1" x14ac:dyDescent="0.3">
      <c r="E244" s="3"/>
    </row>
    <row r="245" spans="5:5" ht="33" customHeight="1" x14ac:dyDescent="0.3">
      <c r="E245" s="3"/>
    </row>
    <row r="246" spans="5:5" ht="33" customHeight="1" x14ac:dyDescent="0.3">
      <c r="E246" s="3"/>
    </row>
    <row r="247" spans="5:5" ht="33" customHeight="1" x14ac:dyDescent="0.3">
      <c r="E247" s="3"/>
    </row>
    <row r="248" spans="5:5" ht="33" customHeight="1" x14ac:dyDescent="0.3">
      <c r="E248" s="3"/>
    </row>
    <row r="249" spans="5:5" ht="33" customHeight="1" x14ac:dyDescent="0.3">
      <c r="E249" s="3"/>
    </row>
    <row r="250" spans="5:5" ht="33" customHeight="1" x14ac:dyDescent="0.3">
      <c r="E250" s="3"/>
    </row>
    <row r="251" spans="5:5" ht="33" customHeight="1" x14ac:dyDescent="0.3">
      <c r="E251" s="3"/>
    </row>
    <row r="252" spans="5:5" ht="33" customHeight="1" x14ac:dyDescent="0.3">
      <c r="E252" s="3"/>
    </row>
    <row r="253" spans="5:5" ht="33" customHeight="1" x14ac:dyDescent="0.3">
      <c r="E253" s="3"/>
    </row>
    <row r="254" spans="5:5" ht="33" customHeight="1" x14ac:dyDescent="0.3">
      <c r="E254" s="3"/>
    </row>
    <row r="255" spans="5:5" ht="33" customHeight="1" x14ac:dyDescent="0.3">
      <c r="E255" s="3"/>
    </row>
    <row r="256" spans="5:5" ht="33" customHeight="1" x14ac:dyDescent="0.3">
      <c r="E256" s="3"/>
    </row>
    <row r="257" spans="5:5" ht="33" customHeight="1" x14ac:dyDescent="0.3">
      <c r="E257" s="3"/>
    </row>
    <row r="258" spans="5:5" ht="33" customHeight="1" x14ac:dyDescent="0.3">
      <c r="E258" s="3"/>
    </row>
    <row r="259" spans="5:5" ht="33" customHeight="1" x14ac:dyDescent="0.3">
      <c r="E259" s="3"/>
    </row>
    <row r="260" spans="5:5" ht="33" customHeight="1" x14ac:dyDescent="0.3">
      <c r="E260" s="3"/>
    </row>
    <row r="261" spans="5:5" ht="33" customHeight="1" x14ac:dyDescent="0.3">
      <c r="E261" s="3"/>
    </row>
    <row r="262" spans="5:5" ht="33" customHeight="1" x14ac:dyDescent="0.3">
      <c r="E262" s="3"/>
    </row>
    <row r="263" spans="5:5" ht="33" customHeight="1" x14ac:dyDescent="0.3">
      <c r="E263" s="3"/>
    </row>
    <row r="264" spans="5:5" ht="33" customHeight="1" x14ac:dyDescent="0.3">
      <c r="E264" s="3"/>
    </row>
    <row r="265" spans="5:5" ht="33" customHeight="1" x14ac:dyDescent="0.3">
      <c r="E265" s="3"/>
    </row>
    <row r="266" spans="5:5" ht="33" customHeight="1" x14ac:dyDescent="0.3">
      <c r="E266" s="3"/>
    </row>
    <row r="267" spans="5:5" ht="33" customHeight="1" x14ac:dyDescent="0.3">
      <c r="E267" s="3"/>
    </row>
    <row r="268" spans="5:5" ht="33" customHeight="1" x14ac:dyDescent="0.3">
      <c r="E268" s="3"/>
    </row>
    <row r="269" spans="5:5" ht="33" customHeight="1" x14ac:dyDescent="0.3">
      <c r="E269" s="3"/>
    </row>
    <row r="270" spans="5:5" ht="33" customHeight="1" x14ac:dyDescent="0.3">
      <c r="E270" s="3"/>
    </row>
    <row r="271" spans="5:5" ht="33" customHeight="1" x14ac:dyDescent="0.3">
      <c r="E271" s="3"/>
    </row>
    <row r="272" spans="5:5" ht="33" customHeight="1" x14ac:dyDescent="0.3">
      <c r="E272" s="3"/>
    </row>
    <row r="273" spans="5:5" ht="33" customHeight="1" x14ac:dyDescent="0.3">
      <c r="E273" s="3"/>
    </row>
    <row r="274" spans="5:5" ht="33" customHeight="1" x14ac:dyDescent="0.3">
      <c r="E274" s="3"/>
    </row>
    <row r="275" spans="5:5" ht="33" customHeight="1" x14ac:dyDescent="0.3">
      <c r="E275" s="3"/>
    </row>
    <row r="276" spans="5:5" ht="33" customHeight="1" x14ac:dyDescent="0.3">
      <c r="E276" s="3"/>
    </row>
    <row r="277" spans="5:5" ht="33" customHeight="1" x14ac:dyDescent="0.3">
      <c r="E277" s="3"/>
    </row>
    <row r="278" spans="5:5" ht="33" customHeight="1" x14ac:dyDescent="0.3">
      <c r="E278" s="3"/>
    </row>
    <row r="279" spans="5:5" ht="33" customHeight="1" x14ac:dyDescent="0.3">
      <c r="E279" s="3"/>
    </row>
    <row r="280" spans="5:5" ht="33" customHeight="1" x14ac:dyDescent="0.3">
      <c r="E280" s="3"/>
    </row>
    <row r="281" spans="5:5" ht="33" customHeight="1" x14ac:dyDescent="0.3">
      <c r="E281" s="3"/>
    </row>
    <row r="282" spans="5:5" ht="33" customHeight="1" x14ac:dyDescent="0.3">
      <c r="E282" s="3"/>
    </row>
    <row r="283" spans="5:5" ht="33" customHeight="1" x14ac:dyDescent="0.3">
      <c r="E283" s="3"/>
    </row>
    <row r="284" spans="5:5" ht="33" customHeight="1" x14ac:dyDescent="0.3">
      <c r="E284" s="3"/>
    </row>
    <row r="285" spans="5:5" ht="33" customHeight="1" x14ac:dyDescent="0.3">
      <c r="E285" s="3"/>
    </row>
    <row r="286" spans="5:5" ht="33" customHeight="1" x14ac:dyDescent="0.3">
      <c r="E286" s="3"/>
    </row>
    <row r="287" spans="5:5" ht="33" customHeight="1" x14ac:dyDescent="0.3">
      <c r="E287" s="3"/>
    </row>
    <row r="288" spans="5:5" ht="33" customHeight="1" x14ac:dyDescent="0.3">
      <c r="E288" s="3"/>
    </row>
    <row r="289" spans="5:5" ht="33" customHeight="1" x14ac:dyDescent="0.3">
      <c r="E289" s="3"/>
    </row>
    <row r="290" spans="5:5" ht="33" customHeight="1" x14ac:dyDescent="0.3">
      <c r="E290" s="3"/>
    </row>
    <row r="291" spans="5:5" ht="33" customHeight="1" x14ac:dyDescent="0.3">
      <c r="E291" s="3"/>
    </row>
    <row r="292" spans="5:5" ht="33" customHeight="1" x14ac:dyDescent="0.3">
      <c r="E292" s="3"/>
    </row>
    <row r="293" spans="5:5" ht="33" customHeight="1" x14ac:dyDescent="0.3">
      <c r="E293" s="3"/>
    </row>
    <row r="294" spans="5:5" ht="33" customHeight="1" x14ac:dyDescent="0.3">
      <c r="E294" s="3"/>
    </row>
    <row r="295" spans="5:5" ht="33" customHeight="1" x14ac:dyDescent="0.3">
      <c r="E295" s="3"/>
    </row>
    <row r="296" spans="5:5" ht="33" customHeight="1" x14ac:dyDescent="0.3">
      <c r="E296" s="3"/>
    </row>
    <row r="297" spans="5:5" ht="33" customHeight="1" x14ac:dyDescent="0.3">
      <c r="E297" s="3"/>
    </row>
    <row r="298" spans="5:5" ht="33" customHeight="1" x14ac:dyDescent="0.3">
      <c r="E298" s="3"/>
    </row>
    <row r="299" spans="5:5" ht="33" customHeight="1" x14ac:dyDescent="0.3">
      <c r="E299" s="3"/>
    </row>
    <row r="300" spans="5:5" ht="33" customHeight="1" x14ac:dyDescent="0.3">
      <c r="E300" s="3"/>
    </row>
    <row r="301" spans="5:5" ht="33" customHeight="1" x14ac:dyDescent="0.3">
      <c r="E301" s="3"/>
    </row>
    <row r="302" spans="5:5" ht="33" customHeight="1" x14ac:dyDescent="0.3">
      <c r="E302" s="3"/>
    </row>
    <row r="303" spans="5:5" ht="33" customHeight="1" x14ac:dyDescent="0.3">
      <c r="E303" s="3"/>
    </row>
    <row r="304" spans="5:5" ht="33" customHeight="1" x14ac:dyDescent="0.3">
      <c r="E304" s="3"/>
    </row>
    <row r="305" spans="5:5" ht="33" customHeight="1" x14ac:dyDescent="0.3">
      <c r="E305" s="3"/>
    </row>
    <row r="306" spans="5:5" ht="33" customHeight="1" x14ac:dyDescent="0.3">
      <c r="E306" s="3"/>
    </row>
    <row r="307" spans="5:5" ht="33" customHeight="1" x14ac:dyDescent="0.3">
      <c r="E307" s="3"/>
    </row>
    <row r="308" spans="5:5" ht="33" customHeight="1" x14ac:dyDescent="0.3">
      <c r="E308" s="3"/>
    </row>
    <row r="309" spans="5:5" ht="33" customHeight="1" x14ac:dyDescent="0.3">
      <c r="E309" s="3"/>
    </row>
    <row r="310" spans="5:5" ht="33" customHeight="1" x14ac:dyDescent="0.3">
      <c r="E310" s="3"/>
    </row>
    <row r="311" spans="5:5" ht="33" customHeight="1" x14ac:dyDescent="0.3">
      <c r="E311" s="3"/>
    </row>
    <row r="312" spans="5:5" ht="33" customHeight="1" x14ac:dyDescent="0.3">
      <c r="E312" s="3"/>
    </row>
    <row r="313" spans="5:5" ht="33" customHeight="1" x14ac:dyDescent="0.3">
      <c r="E313" s="3"/>
    </row>
    <row r="314" spans="5:5" ht="33" customHeight="1" x14ac:dyDescent="0.3">
      <c r="E314" s="3"/>
    </row>
    <row r="315" spans="5:5" ht="33" customHeight="1" x14ac:dyDescent="0.3">
      <c r="E315" s="3"/>
    </row>
    <row r="316" spans="5:5" ht="33" customHeight="1" x14ac:dyDescent="0.3">
      <c r="E316" s="3"/>
    </row>
    <row r="317" spans="5:5" ht="33" customHeight="1" x14ac:dyDescent="0.3">
      <c r="E317" s="3"/>
    </row>
    <row r="318" spans="5:5" ht="33" customHeight="1" x14ac:dyDescent="0.3">
      <c r="E318" s="3"/>
    </row>
    <row r="319" spans="5:5" ht="33" customHeight="1" x14ac:dyDescent="0.3">
      <c r="E319" s="3"/>
    </row>
    <row r="320" spans="5:5" ht="33" customHeight="1" x14ac:dyDescent="0.3">
      <c r="E320" s="3"/>
    </row>
    <row r="321" spans="5:5" ht="33" customHeight="1" x14ac:dyDescent="0.3">
      <c r="E321" s="3"/>
    </row>
    <row r="322" spans="5:5" ht="33" customHeight="1" x14ac:dyDescent="0.3">
      <c r="E322" s="3"/>
    </row>
    <row r="323" spans="5:5" ht="33" customHeight="1" x14ac:dyDescent="0.3">
      <c r="E323" s="3"/>
    </row>
    <row r="324" spans="5:5" ht="33" customHeight="1" x14ac:dyDescent="0.3">
      <c r="E324" s="3"/>
    </row>
    <row r="325" spans="5:5" ht="33" customHeight="1" x14ac:dyDescent="0.3">
      <c r="E325" s="3"/>
    </row>
    <row r="326" spans="5:5" ht="33" customHeight="1" x14ac:dyDescent="0.3">
      <c r="E326" s="3"/>
    </row>
    <row r="327" spans="5:5" ht="33" customHeight="1" x14ac:dyDescent="0.3">
      <c r="E327" s="3"/>
    </row>
    <row r="328" spans="5:5" ht="33" customHeight="1" x14ac:dyDescent="0.3">
      <c r="E328" s="3"/>
    </row>
    <row r="329" spans="5:5" ht="33" customHeight="1" x14ac:dyDescent="0.3">
      <c r="E329" s="3"/>
    </row>
    <row r="330" spans="5:5" ht="33" customHeight="1" x14ac:dyDescent="0.3">
      <c r="E330" s="3"/>
    </row>
    <row r="331" spans="5:5" ht="33" customHeight="1" x14ac:dyDescent="0.3">
      <c r="E331" s="3"/>
    </row>
    <row r="332" spans="5:5" ht="33" customHeight="1" x14ac:dyDescent="0.3">
      <c r="E332" s="3"/>
    </row>
    <row r="333" spans="5:5" ht="33" customHeight="1" x14ac:dyDescent="0.3">
      <c r="E333" s="3"/>
    </row>
    <row r="334" spans="5:5" ht="33" customHeight="1" x14ac:dyDescent="0.3">
      <c r="E334" s="3"/>
    </row>
    <row r="335" spans="5:5" ht="33" customHeight="1" x14ac:dyDescent="0.3">
      <c r="E335" s="3"/>
    </row>
    <row r="336" spans="5:5" ht="33" customHeight="1" x14ac:dyDescent="0.3">
      <c r="E336" s="3"/>
    </row>
    <row r="337" spans="5:5" ht="33" customHeight="1" x14ac:dyDescent="0.3">
      <c r="E337" s="3"/>
    </row>
    <row r="338" spans="5:5" ht="33" customHeight="1" x14ac:dyDescent="0.3">
      <c r="E338" s="3"/>
    </row>
    <row r="339" spans="5:5" ht="33" customHeight="1" x14ac:dyDescent="0.3">
      <c r="E339" s="3"/>
    </row>
    <row r="340" spans="5:5" ht="33" customHeight="1" x14ac:dyDescent="0.3">
      <c r="E340" s="3"/>
    </row>
    <row r="341" spans="5:5" ht="33" customHeight="1" x14ac:dyDescent="0.3">
      <c r="E341" s="3"/>
    </row>
    <row r="342" spans="5:5" ht="33" customHeight="1" x14ac:dyDescent="0.3">
      <c r="E342" s="3"/>
    </row>
    <row r="343" spans="5:5" ht="33" customHeight="1" x14ac:dyDescent="0.3">
      <c r="E343" s="3"/>
    </row>
    <row r="344" spans="5:5" ht="33" customHeight="1" x14ac:dyDescent="0.3">
      <c r="E344" s="3"/>
    </row>
    <row r="345" spans="5:5" ht="33" customHeight="1" x14ac:dyDescent="0.3">
      <c r="E345" s="3"/>
    </row>
    <row r="346" spans="5:5" ht="33" customHeight="1" x14ac:dyDescent="0.3">
      <c r="E346" s="3"/>
    </row>
    <row r="347" spans="5:5" ht="33" customHeight="1" x14ac:dyDescent="0.3">
      <c r="E347" s="3"/>
    </row>
    <row r="348" spans="5:5" ht="33" customHeight="1" x14ac:dyDescent="0.3">
      <c r="E348" s="3"/>
    </row>
    <row r="349" spans="5:5" ht="33" customHeight="1" x14ac:dyDescent="0.3">
      <c r="E349" s="3"/>
    </row>
    <row r="350" spans="5:5" ht="33" customHeight="1" x14ac:dyDescent="0.3">
      <c r="E350" s="3"/>
    </row>
    <row r="351" spans="5:5" ht="33" customHeight="1" x14ac:dyDescent="0.3">
      <c r="E351" s="3"/>
    </row>
    <row r="352" spans="5:5" ht="33" customHeight="1" x14ac:dyDescent="0.3">
      <c r="E352" s="3"/>
    </row>
    <row r="353" spans="5:5" ht="33" customHeight="1" x14ac:dyDescent="0.3">
      <c r="E353" s="3"/>
    </row>
    <row r="354" spans="5:5" ht="33" customHeight="1" x14ac:dyDescent="0.3">
      <c r="E354" s="3"/>
    </row>
    <row r="355" spans="5:5" ht="33" customHeight="1" x14ac:dyDescent="0.3">
      <c r="E355" s="3"/>
    </row>
    <row r="356" spans="5:5" ht="33" customHeight="1" x14ac:dyDescent="0.3">
      <c r="E356" s="3"/>
    </row>
    <row r="357" spans="5:5" ht="33" customHeight="1" x14ac:dyDescent="0.3">
      <c r="E357" s="3"/>
    </row>
    <row r="358" spans="5:5" ht="33" customHeight="1" x14ac:dyDescent="0.3">
      <c r="E358" s="3"/>
    </row>
    <row r="359" spans="5:5" ht="33" customHeight="1" x14ac:dyDescent="0.3">
      <c r="E359" s="3"/>
    </row>
    <row r="360" spans="5:5" ht="33" customHeight="1" x14ac:dyDescent="0.3">
      <c r="E360" s="3"/>
    </row>
    <row r="361" spans="5:5" ht="33" customHeight="1" x14ac:dyDescent="0.3">
      <c r="E361" s="3"/>
    </row>
    <row r="362" spans="5:5" ht="33" customHeight="1" x14ac:dyDescent="0.3">
      <c r="E362" s="3"/>
    </row>
    <row r="363" spans="5:5" ht="33" customHeight="1" x14ac:dyDescent="0.3">
      <c r="E363" s="3"/>
    </row>
    <row r="364" spans="5:5" ht="33" customHeight="1" x14ac:dyDescent="0.3">
      <c r="E364" s="3"/>
    </row>
    <row r="365" spans="5:5" ht="33" customHeight="1" x14ac:dyDescent="0.3">
      <c r="E365" s="3"/>
    </row>
    <row r="366" spans="5:5" ht="33" customHeight="1" x14ac:dyDescent="0.3">
      <c r="E366" s="3"/>
    </row>
    <row r="367" spans="5:5" ht="33" customHeight="1" x14ac:dyDescent="0.3">
      <c r="E367" s="3"/>
    </row>
    <row r="368" spans="5:5" ht="33" customHeight="1" x14ac:dyDescent="0.3">
      <c r="E368" s="3"/>
    </row>
    <row r="369" spans="5:5" ht="33" customHeight="1" x14ac:dyDescent="0.3">
      <c r="E369" s="3"/>
    </row>
    <row r="370" spans="5:5" ht="33" customHeight="1" x14ac:dyDescent="0.3">
      <c r="E370" s="3"/>
    </row>
    <row r="371" spans="5:5" ht="33" customHeight="1" x14ac:dyDescent="0.3">
      <c r="E371" s="3"/>
    </row>
    <row r="372" spans="5:5" ht="33" customHeight="1" x14ac:dyDescent="0.3">
      <c r="E372" s="3"/>
    </row>
    <row r="373" spans="5:5" ht="33" customHeight="1" x14ac:dyDescent="0.3">
      <c r="E373" s="3"/>
    </row>
    <row r="374" spans="5:5" ht="33" customHeight="1" x14ac:dyDescent="0.3">
      <c r="E374" s="3"/>
    </row>
    <row r="375" spans="5:5" ht="33" customHeight="1" x14ac:dyDescent="0.3">
      <c r="E375" s="3"/>
    </row>
    <row r="376" spans="5:5" ht="33" customHeight="1" x14ac:dyDescent="0.3">
      <c r="E376" s="3"/>
    </row>
    <row r="377" spans="5:5" ht="33" customHeight="1" x14ac:dyDescent="0.3">
      <c r="E377" s="3"/>
    </row>
    <row r="378" spans="5:5" ht="33" customHeight="1" x14ac:dyDescent="0.3">
      <c r="E378" s="3"/>
    </row>
    <row r="379" spans="5:5" ht="33" customHeight="1" x14ac:dyDescent="0.3">
      <c r="E379" s="3"/>
    </row>
    <row r="380" spans="5:5" ht="33" customHeight="1" x14ac:dyDescent="0.3">
      <c r="E380" s="3"/>
    </row>
    <row r="381" spans="5:5" ht="33" customHeight="1" x14ac:dyDescent="0.3">
      <c r="E381" s="3"/>
    </row>
    <row r="382" spans="5:5" ht="33" customHeight="1" x14ac:dyDescent="0.3">
      <c r="E382" s="3"/>
    </row>
    <row r="383" spans="5:5" ht="33" customHeight="1" x14ac:dyDescent="0.3">
      <c r="E383" s="3"/>
    </row>
    <row r="384" spans="5:5" ht="33" customHeight="1" x14ac:dyDescent="0.3">
      <c r="E384" s="3"/>
    </row>
    <row r="385" spans="5:5" ht="33" customHeight="1" x14ac:dyDescent="0.3">
      <c r="E385" s="3"/>
    </row>
    <row r="386" spans="5:5" ht="33" customHeight="1" x14ac:dyDescent="0.3">
      <c r="E386" s="3"/>
    </row>
    <row r="387" spans="5:5" ht="33" customHeight="1" x14ac:dyDescent="0.3">
      <c r="E387" s="3"/>
    </row>
    <row r="388" spans="5:5" ht="33" customHeight="1" x14ac:dyDescent="0.3">
      <c r="E388" s="3"/>
    </row>
    <row r="389" spans="5:5" ht="33" customHeight="1" x14ac:dyDescent="0.3">
      <c r="E389" s="3"/>
    </row>
    <row r="390" spans="5:5" ht="33" customHeight="1" x14ac:dyDescent="0.3">
      <c r="E390" s="3"/>
    </row>
    <row r="391" spans="5:5" ht="33" customHeight="1" x14ac:dyDescent="0.3">
      <c r="E391" s="3"/>
    </row>
    <row r="392" spans="5:5" ht="33" customHeight="1" x14ac:dyDescent="0.3">
      <c r="E392" s="3"/>
    </row>
    <row r="393" spans="5:5" ht="33" customHeight="1" x14ac:dyDescent="0.3">
      <c r="E393" s="3"/>
    </row>
    <row r="394" spans="5:5" ht="33" customHeight="1" x14ac:dyDescent="0.3">
      <c r="E394" s="3"/>
    </row>
    <row r="395" spans="5:5" ht="33" customHeight="1" x14ac:dyDescent="0.3">
      <c r="E395" s="3"/>
    </row>
    <row r="396" spans="5:5" ht="33" customHeight="1" x14ac:dyDescent="0.3">
      <c r="E396" s="3"/>
    </row>
    <row r="397" spans="5:5" ht="33" customHeight="1" x14ac:dyDescent="0.3">
      <c r="E397" s="3"/>
    </row>
    <row r="398" spans="5:5" ht="33" customHeight="1" x14ac:dyDescent="0.3">
      <c r="E398" s="3"/>
    </row>
    <row r="399" spans="5:5" ht="33" customHeight="1" x14ac:dyDescent="0.3">
      <c r="E399" s="3"/>
    </row>
    <row r="400" spans="5:5" ht="33" customHeight="1" x14ac:dyDescent="0.3">
      <c r="E400" s="3"/>
    </row>
    <row r="401" spans="5:5" ht="33" customHeight="1" x14ac:dyDescent="0.3">
      <c r="E401" s="3"/>
    </row>
    <row r="402" spans="5:5" ht="33" customHeight="1" x14ac:dyDescent="0.3">
      <c r="E402" s="3"/>
    </row>
    <row r="403" spans="5:5" ht="33" customHeight="1" x14ac:dyDescent="0.3">
      <c r="E403" s="3"/>
    </row>
    <row r="404" spans="5:5" ht="33" customHeight="1" x14ac:dyDescent="0.3">
      <c r="E404" s="3"/>
    </row>
    <row r="405" spans="5:5" ht="33" customHeight="1" x14ac:dyDescent="0.3">
      <c r="E405" s="3"/>
    </row>
    <row r="406" spans="5:5" ht="33" customHeight="1" x14ac:dyDescent="0.3">
      <c r="E406" s="3"/>
    </row>
    <row r="407" spans="5:5" ht="33" customHeight="1" x14ac:dyDescent="0.3">
      <c r="E407" s="3"/>
    </row>
    <row r="408" spans="5:5" ht="33" customHeight="1" x14ac:dyDescent="0.3">
      <c r="E408" s="3"/>
    </row>
    <row r="409" spans="5:5" ht="33" customHeight="1" x14ac:dyDescent="0.3">
      <c r="E409" s="3"/>
    </row>
    <row r="410" spans="5:5" ht="33" customHeight="1" x14ac:dyDescent="0.3">
      <c r="E410" s="3"/>
    </row>
    <row r="411" spans="5:5" ht="33" customHeight="1" x14ac:dyDescent="0.3">
      <c r="E411" s="3"/>
    </row>
    <row r="412" spans="5:5" ht="33" customHeight="1" x14ac:dyDescent="0.3">
      <c r="E412" s="3"/>
    </row>
    <row r="413" spans="5:5" ht="33" customHeight="1" x14ac:dyDescent="0.3">
      <c r="E413" s="3"/>
    </row>
    <row r="414" spans="5:5" ht="33" customHeight="1" x14ac:dyDescent="0.3">
      <c r="E414" s="3"/>
    </row>
    <row r="415" spans="5:5" ht="33" customHeight="1" x14ac:dyDescent="0.3">
      <c r="E415" s="3"/>
    </row>
    <row r="416" spans="5:5" ht="33" customHeight="1" x14ac:dyDescent="0.3">
      <c r="E416" s="3"/>
    </row>
    <row r="417" spans="5:5" ht="33" customHeight="1" x14ac:dyDescent="0.3">
      <c r="E417" s="3"/>
    </row>
    <row r="418" spans="5:5" ht="33" customHeight="1" x14ac:dyDescent="0.3">
      <c r="E418" s="3"/>
    </row>
    <row r="419" spans="5:5" ht="33" customHeight="1" x14ac:dyDescent="0.3">
      <c r="E419" s="3"/>
    </row>
    <row r="420" spans="5:5" ht="33" customHeight="1" x14ac:dyDescent="0.3">
      <c r="E420" s="3"/>
    </row>
    <row r="421" spans="5:5" ht="33" customHeight="1" x14ac:dyDescent="0.3">
      <c r="E421" s="3"/>
    </row>
    <row r="422" spans="5:5" ht="33" customHeight="1" x14ac:dyDescent="0.3">
      <c r="E422" s="3"/>
    </row>
    <row r="423" spans="5:5" ht="33" customHeight="1" x14ac:dyDescent="0.3">
      <c r="E423" s="3"/>
    </row>
    <row r="424" spans="5:5" ht="33" customHeight="1" x14ac:dyDescent="0.3">
      <c r="E424" s="3"/>
    </row>
    <row r="425" spans="5:5" ht="33" customHeight="1" x14ac:dyDescent="0.3">
      <c r="E425" s="3"/>
    </row>
    <row r="426" spans="5:5" ht="33" customHeight="1" x14ac:dyDescent="0.3">
      <c r="E426" s="3"/>
    </row>
    <row r="427" spans="5:5" ht="33" customHeight="1" x14ac:dyDescent="0.3">
      <c r="E427" s="3"/>
    </row>
    <row r="428" spans="5:5" ht="33" customHeight="1" x14ac:dyDescent="0.3">
      <c r="E428" s="3"/>
    </row>
    <row r="429" spans="5:5" ht="33" customHeight="1" x14ac:dyDescent="0.3">
      <c r="E429" s="3"/>
    </row>
    <row r="430" spans="5:5" ht="33" customHeight="1" x14ac:dyDescent="0.3">
      <c r="E430" s="3"/>
    </row>
    <row r="431" spans="5:5" ht="33" customHeight="1" x14ac:dyDescent="0.3">
      <c r="E431" s="3"/>
    </row>
    <row r="432" spans="5:5" ht="33" customHeight="1" x14ac:dyDescent="0.3">
      <c r="E432" s="3"/>
    </row>
    <row r="433" spans="5:5" ht="33" customHeight="1" x14ac:dyDescent="0.3">
      <c r="E433" s="3"/>
    </row>
    <row r="434" spans="5:5" ht="33" customHeight="1" x14ac:dyDescent="0.3">
      <c r="E434" s="3"/>
    </row>
    <row r="435" spans="5:5" ht="33" customHeight="1" x14ac:dyDescent="0.3">
      <c r="E435" s="3"/>
    </row>
    <row r="436" spans="5:5" ht="33" customHeight="1" x14ac:dyDescent="0.3">
      <c r="E436" s="3"/>
    </row>
    <row r="437" spans="5:5" ht="33" customHeight="1" x14ac:dyDescent="0.3">
      <c r="E437" s="3"/>
    </row>
    <row r="438" spans="5:5" ht="33" customHeight="1" x14ac:dyDescent="0.3">
      <c r="E438" s="3"/>
    </row>
    <row r="439" spans="5:5" ht="33" customHeight="1" x14ac:dyDescent="0.3">
      <c r="E439" s="3"/>
    </row>
    <row r="440" spans="5:5" ht="33" customHeight="1" x14ac:dyDescent="0.3">
      <c r="E440" s="3"/>
    </row>
    <row r="441" spans="5:5" ht="33" customHeight="1" x14ac:dyDescent="0.3">
      <c r="E441" s="3"/>
    </row>
    <row r="442" spans="5:5" ht="33" customHeight="1" x14ac:dyDescent="0.3">
      <c r="E442" s="3"/>
    </row>
    <row r="443" spans="5:5" ht="33" customHeight="1" x14ac:dyDescent="0.3">
      <c r="E443" s="3"/>
    </row>
    <row r="444" spans="5:5" ht="33" customHeight="1" x14ac:dyDescent="0.3">
      <c r="E444" s="3"/>
    </row>
    <row r="445" spans="5:5" ht="33" customHeight="1" x14ac:dyDescent="0.3">
      <c r="E445" s="3"/>
    </row>
    <row r="446" spans="5:5" ht="33" customHeight="1" x14ac:dyDescent="0.3">
      <c r="E446" s="3"/>
    </row>
    <row r="447" spans="5:5" ht="33" customHeight="1" x14ac:dyDescent="0.3">
      <c r="E447" s="3"/>
    </row>
    <row r="448" spans="5:5" ht="33" customHeight="1" x14ac:dyDescent="0.3">
      <c r="E448" s="3"/>
    </row>
    <row r="449" spans="5:5" ht="33" customHeight="1" x14ac:dyDescent="0.3">
      <c r="E449" s="3"/>
    </row>
    <row r="450" spans="5:5" ht="33" customHeight="1" x14ac:dyDescent="0.3">
      <c r="E450" s="3"/>
    </row>
    <row r="451" spans="5:5" ht="33" customHeight="1" x14ac:dyDescent="0.3">
      <c r="E451" s="3"/>
    </row>
    <row r="452" spans="5:5" ht="33" customHeight="1" x14ac:dyDescent="0.3">
      <c r="E452" s="3"/>
    </row>
    <row r="453" spans="5:5" ht="33" customHeight="1" x14ac:dyDescent="0.3">
      <c r="E453" s="3"/>
    </row>
    <row r="454" spans="5:5" ht="33" customHeight="1" x14ac:dyDescent="0.3">
      <c r="E454" s="3"/>
    </row>
    <row r="455" spans="5:5" ht="33" customHeight="1" x14ac:dyDescent="0.3">
      <c r="E455" s="3"/>
    </row>
    <row r="456" spans="5:5" ht="33" customHeight="1" x14ac:dyDescent="0.3">
      <c r="E456" s="3"/>
    </row>
    <row r="457" spans="5:5" ht="33" customHeight="1" x14ac:dyDescent="0.3">
      <c r="E457" s="3"/>
    </row>
    <row r="458" spans="5:5" ht="33" customHeight="1" x14ac:dyDescent="0.3">
      <c r="E458" s="3"/>
    </row>
    <row r="459" spans="5:5" ht="33" customHeight="1" x14ac:dyDescent="0.3">
      <c r="E459" s="3"/>
    </row>
    <row r="460" spans="5:5" ht="33" customHeight="1" x14ac:dyDescent="0.3">
      <c r="E460" s="3"/>
    </row>
    <row r="461" spans="5:5" ht="33" customHeight="1" x14ac:dyDescent="0.3">
      <c r="E461" s="3"/>
    </row>
    <row r="462" spans="5:5" ht="33" customHeight="1" x14ac:dyDescent="0.3">
      <c r="E462" s="3"/>
    </row>
    <row r="463" spans="5:5" ht="33" customHeight="1" x14ac:dyDescent="0.3">
      <c r="E463" s="3"/>
    </row>
    <row r="464" spans="5:5" ht="33" customHeight="1" x14ac:dyDescent="0.3">
      <c r="E464" s="3"/>
    </row>
    <row r="465" spans="5:5" ht="33" customHeight="1" x14ac:dyDescent="0.3">
      <c r="E465" s="3"/>
    </row>
    <row r="466" spans="5:5" ht="33" customHeight="1" x14ac:dyDescent="0.3">
      <c r="E466" s="3"/>
    </row>
    <row r="467" spans="5:5" ht="33" customHeight="1" x14ac:dyDescent="0.3">
      <c r="E467" s="3"/>
    </row>
    <row r="468" spans="5:5" ht="33" customHeight="1" x14ac:dyDescent="0.3">
      <c r="E468" s="3"/>
    </row>
    <row r="469" spans="5:5" ht="33" customHeight="1" x14ac:dyDescent="0.3">
      <c r="E469" s="3"/>
    </row>
    <row r="470" spans="5:5" ht="33" customHeight="1" x14ac:dyDescent="0.3">
      <c r="E470" s="3"/>
    </row>
    <row r="471" spans="5:5" ht="33" customHeight="1" x14ac:dyDescent="0.3">
      <c r="E471" s="3"/>
    </row>
    <row r="472" spans="5:5" ht="33" customHeight="1" x14ac:dyDescent="0.3">
      <c r="E472" s="3"/>
    </row>
    <row r="473" spans="5:5" ht="33" customHeight="1" x14ac:dyDescent="0.3">
      <c r="E473" s="3"/>
    </row>
    <row r="474" spans="5:5" ht="33" customHeight="1" x14ac:dyDescent="0.3">
      <c r="E474" s="3"/>
    </row>
    <row r="475" spans="5:5" ht="33" customHeight="1" x14ac:dyDescent="0.3">
      <c r="E475" s="3"/>
    </row>
    <row r="476" spans="5:5" ht="33" customHeight="1" x14ac:dyDescent="0.3">
      <c r="E476" s="3"/>
    </row>
    <row r="477" spans="5:5" ht="33" customHeight="1" x14ac:dyDescent="0.3">
      <c r="E477" s="3"/>
    </row>
    <row r="478" spans="5:5" ht="33" customHeight="1" x14ac:dyDescent="0.3">
      <c r="E478" s="3"/>
    </row>
    <row r="479" spans="5:5" ht="33" customHeight="1" x14ac:dyDescent="0.3">
      <c r="E479" s="3"/>
    </row>
    <row r="480" spans="5:5" ht="33" customHeight="1" x14ac:dyDescent="0.3">
      <c r="E480" s="3"/>
    </row>
    <row r="481" spans="5:5" ht="33" customHeight="1" x14ac:dyDescent="0.3">
      <c r="E481" s="3"/>
    </row>
    <row r="482" spans="5:5" ht="33" customHeight="1" x14ac:dyDescent="0.3">
      <c r="E482" s="3"/>
    </row>
    <row r="483" spans="5:5" ht="33" customHeight="1" x14ac:dyDescent="0.3">
      <c r="E483" s="3"/>
    </row>
    <row r="484" spans="5:5" ht="33" customHeight="1" x14ac:dyDescent="0.3">
      <c r="E484" s="3"/>
    </row>
    <row r="485" spans="5:5" ht="33" customHeight="1" x14ac:dyDescent="0.3">
      <c r="E485" s="3"/>
    </row>
    <row r="486" spans="5:5" ht="33" customHeight="1" x14ac:dyDescent="0.3">
      <c r="E486" s="3"/>
    </row>
    <row r="487" spans="5:5" ht="33" customHeight="1" x14ac:dyDescent="0.3">
      <c r="E487" s="3"/>
    </row>
    <row r="488" spans="5:5" ht="33" customHeight="1" x14ac:dyDescent="0.3">
      <c r="E488" s="3"/>
    </row>
    <row r="489" spans="5:5" ht="33" customHeight="1" x14ac:dyDescent="0.3">
      <c r="E489" s="3"/>
    </row>
    <row r="490" spans="5:5" ht="33" customHeight="1" x14ac:dyDescent="0.3">
      <c r="E490" s="3"/>
    </row>
    <row r="491" spans="5:5" ht="33" customHeight="1" x14ac:dyDescent="0.3">
      <c r="E491" s="3"/>
    </row>
    <row r="492" spans="5:5" ht="33" customHeight="1" x14ac:dyDescent="0.3">
      <c r="E492" s="3"/>
    </row>
    <row r="493" spans="5:5" ht="33" customHeight="1" x14ac:dyDescent="0.3">
      <c r="E493" s="3"/>
    </row>
    <row r="494" spans="5:5" ht="33" customHeight="1" x14ac:dyDescent="0.3">
      <c r="E494" s="3"/>
    </row>
    <row r="495" spans="5:5" ht="33" customHeight="1" x14ac:dyDescent="0.3">
      <c r="E495" s="3"/>
    </row>
    <row r="496" spans="5:5" ht="33" customHeight="1" x14ac:dyDescent="0.3">
      <c r="E496" s="3"/>
    </row>
    <row r="497" spans="5:5" ht="33" customHeight="1" x14ac:dyDescent="0.3">
      <c r="E497" s="3"/>
    </row>
    <row r="498" spans="5:5" ht="33" customHeight="1" x14ac:dyDescent="0.3">
      <c r="E498" s="3"/>
    </row>
    <row r="499" spans="5:5" ht="33" customHeight="1" x14ac:dyDescent="0.3">
      <c r="E499" s="3"/>
    </row>
    <row r="500" spans="5:5" ht="33" customHeight="1" x14ac:dyDescent="0.3">
      <c r="E500" s="3"/>
    </row>
    <row r="501" spans="5:5" ht="33" customHeight="1" x14ac:dyDescent="0.3">
      <c r="E501" s="3"/>
    </row>
    <row r="502" spans="5:5" ht="33" customHeight="1" x14ac:dyDescent="0.3">
      <c r="E502" s="3"/>
    </row>
    <row r="503" spans="5:5" ht="33" customHeight="1" x14ac:dyDescent="0.3">
      <c r="E503" s="3"/>
    </row>
    <row r="504" spans="5:5" ht="33" customHeight="1" x14ac:dyDescent="0.3">
      <c r="E504" s="3"/>
    </row>
    <row r="505" spans="5:5" ht="33" customHeight="1" x14ac:dyDescent="0.3">
      <c r="E505" s="3"/>
    </row>
    <row r="506" spans="5:5" ht="33" customHeight="1" x14ac:dyDescent="0.3">
      <c r="E506" s="3"/>
    </row>
    <row r="507" spans="5:5" ht="33" customHeight="1" x14ac:dyDescent="0.3">
      <c r="E507" s="3"/>
    </row>
    <row r="508" spans="5:5" ht="33" customHeight="1" x14ac:dyDescent="0.3">
      <c r="E508" s="3"/>
    </row>
    <row r="509" spans="5:5" ht="33" customHeight="1" x14ac:dyDescent="0.3">
      <c r="E509" s="3"/>
    </row>
    <row r="510" spans="5:5" ht="33" customHeight="1" x14ac:dyDescent="0.3">
      <c r="E510" s="3"/>
    </row>
    <row r="511" spans="5:5" ht="33" customHeight="1" x14ac:dyDescent="0.3">
      <c r="E511" s="3"/>
    </row>
    <row r="512" spans="5:5" ht="33" customHeight="1" x14ac:dyDescent="0.3">
      <c r="E512" s="3"/>
    </row>
    <row r="513" spans="5:5" ht="33" customHeight="1" x14ac:dyDescent="0.3">
      <c r="E513" s="3"/>
    </row>
    <row r="514" spans="5:5" ht="33" customHeight="1" x14ac:dyDescent="0.3">
      <c r="E514" s="3"/>
    </row>
    <row r="515" spans="5:5" ht="33" customHeight="1" x14ac:dyDescent="0.3">
      <c r="E515" s="3"/>
    </row>
    <row r="516" spans="5:5" ht="33" customHeight="1" x14ac:dyDescent="0.3">
      <c r="E516" s="3"/>
    </row>
    <row r="517" spans="5:5" ht="33" customHeight="1" x14ac:dyDescent="0.3">
      <c r="E517" s="3"/>
    </row>
    <row r="518" spans="5:5" ht="33" customHeight="1" x14ac:dyDescent="0.3">
      <c r="E518" s="3"/>
    </row>
    <row r="519" spans="5:5" ht="33" customHeight="1" x14ac:dyDescent="0.3">
      <c r="E519" s="3"/>
    </row>
    <row r="520" spans="5:5" ht="33" customHeight="1" x14ac:dyDescent="0.3">
      <c r="E520" s="3"/>
    </row>
    <row r="521" spans="5:5" ht="33" customHeight="1" x14ac:dyDescent="0.3">
      <c r="E521" s="3"/>
    </row>
    <row r="522" spans="5:5" ht="33" customHeight="1" x14ac:dyDescent="0.3">
      <c r="E522" s="3"/>
    </row>
    <row r="523" spans="5:5" ht="33" customHeight="1" x14ac:dyDescent="0.3">
      <c r="E523" s="3"/>
    </row>
    <row r="524" spans="5:5" ht="33" customHeight="1" x14ac:dyDescent="0.3">
      <c r="E524" s="3"/>
    </row>
    <row r="525" spans="5:5" ht="33" customHeight="1" x14ac:dyDescent="0.3">
      <c r="E525" s="3"/>
    </row>
    <row r="526" spans="5:5" ht="33" customHeight="1" x14ac:dyDescent="0.3">
      <c r="E526" s="3"/>
    </row>
    <row r="527" spans="5:5" ht="33" customHeight="1" x14ac:dyDescent="0.3">
      <c r="E527" s="3"/>
    </row>
    <row r="528" spans="5:5" ht="33" customHeight="1" x14ac:dyDescent="0.3">
      <c r="E528" s="3"/>
    </row>
    <row r="529" spans="5:5" ht="33" customHeight="1" x14ac:dyDescent="0.3">
      <c r="E529" s="3"/>
    </row>
    <row r="530" spans="5:5" ht="33" customHeight="1" x14ac:dyDescent="0.3">
      <c r="E530" s="3"/>
    </row>
    <row r="531" spans="5:5" ht="33" customHeight="1" x14ac:dyDescent="0.3">
      <c r="E531" s="3"/>
    </row>
    <row r="532" spans="5:5" ht="33" customHeight="1" x14ac:dyDescent="0.3">
      <c r="E532" s="3"/>
    </row>
    <row r="533" spans="5:5" ht="33" customHeight="1" x14ac:dyDescent="0.3">
      <c r="E533" s="3"/>
    </row>
    <row r="534" spans="5:5" ht="33" customHeight="1" x14ac:dyDescent="0.3">
      <c r="E534" s="3"/>
    </row>
    <row r="535" spans="5:5" ht="33" customHeight="1" x14ac:dyDescent="0.3">
      <c r="E535" s="3"/>
    </row>
    <row r="536" spans="5:5" ht="33" customHeight="1" x14ac:dyDescent="0.3">
      <c r="E536" s="3"/>
    </row>
    <row r="537" spans="5:5" ht="33" customHeight="1" x14ac:dyDescent="0.3">
      <c r="E537" s="3"/>
    </row>
    <row r="538" spans="5:5" ht="33" customHeight="1" x14ac:dyDescent="0.3">
      <c r="E538" s="3"/>
    </row>
    <row r="539" spans="5:5" ht="33" customHeight="1" x14ac:dyDescent="0.3">
      <c r="E539" s="3"/>
    </row>
    <row r="540" spans="5:5" ht="33" customHeight="1" x14ac:dyDescent="0.3">
      <c r="E540" s="3"/>
    </row>
    <row r="541" spans="5:5" ht="33" customHeight="1" x14ac:dyDescent="0.3">
      <c r="E541" s="3"/>
    </row>
    <row r="542" spans="5:5" ht="33" customHeight="1" x14ac:dyDescent="0.3">
      <c r="E542" s="3"/>
    </row>
    <row r="543" spans="5:5" ht="33" customHeight="1" x14ac:dyDescent="0.3">
      <c r="E543" s="3"/>
    </row>
    <row r="544" spans="5:5" ht="33" customHeight="1" x14ac:dyDescent="0.3">
      <c r="E544" s="3"/>
    </row>
    <row r="545" spans="5:5" ht="33" customHeight="1" x14ac:dyDescent="0.3">
      <c r="E545" s="3"/>
    </row>
    <row r="546" spans="5:5" ht="33" customHeight="1" x14ac:dyDescent="0.3">
      <c r="E546" s="3"/>
    </row>
    <row r="547" spans="5:5" ht="33" customHeight="1" x14ac:dyDescent="0.3">
      <c r="E547" s="3"/>
    </row>
    <row r="548" spans="5:5" ht="33" customHeight="1" x14ac:dyDescent="0.3">
      <c r="E548" s="3"/>
    </row>
    <row r="549" spans="5:5" ht="33" customHeight="1" x14ac:dyDescent="0.3">
      <c r="E549" s="3"/>
    </row>
    <row r="550" spans="5:5" ht="33" customHeight="1" x14ac:dyDescent="0.3">
      <c r="E550" s="3"/>
    </row>
    <row r="551" spans="5:5" ht="33" customHeight="1" x14ac:dyDescent="0.3">
      <c r="E551" s="3"/>
    </row>
    <row r="552" spans="5:5" ht="33" customHeight="1" x14ac:dyDescent="0.3">
      <c r="E552" s="3"/>
    </row>
    <row r="553" spans="5:5" ht="33" customHeight="1" x14ac:dyDescent="0.3">
      <c r="E553" s="3"/>
    </row>
    <row r="554" spans="5:5" ht="33" customHeight="1" x14ac:dyDescent="0.3">
      <c r="E554" s="3"/>
    </row>
    <row r="555" spans="5:5" ht="33" customHeight="1" x14ac:dyDescent="0.3">
      <c r="E555" s="3"/>
    </row>
    <row r="556" spans="5:5" ht="33" customHeight="1" x14ac:dyDescent="0.3">
      <c r="E556" s="3"/>
    </row>
    <row r="557" spans="5:5" ht="33" customHeight="1" x14ac:dyDescent="0.3">
      <c r="E557" s="3"/>
    </row>
    <row r="558" spans="5:5" ht="33" customHeight="1" x14ac:dyDescent="0.3">
      <c r="E558" s="3"/>
    </row>
    <row r="559" spans="5:5" ht="33" customHeight="1" x14ac:dyDescent="0.3">
      <c r="E559" s="3"/>
    </row>
    <row r="560" spans="5:5" ht="33" customHeight="1" x14ac:dyDescent="0.3">
      <c r="E560" s="3"/>
    </row>
    <row r="561" spans="5:5" ht="33" customHeight="1" x14ac:dyDescent="0.3">
      <c r="E561" s="3"/>
    </row>
    <row r="562" spans="5:5" ht="33" customHeight="1" x14ac:dyDescent="0.3">
      <c r="E562" s="3"/>
    </row>
    <row r="563" spans="5:5" ht="33" customHeight="1" x14ac:dyDescent="0.3">
      <c r="E563" s="3"/>
    </row>
    <row r="564" spans="5:5" ht="33" customHeight="1" x14ac:dyDescent="0.3">
      <c r="E564" s="3"/>
    </row>
    <row r="565" spans="5:5" ht="33" customHeight="1" x14ac:dyDescent="0.3">
      <c r="E565" s="3"/>
    </row>
    <row r="566" spans="5:5" ht="33" customHeight="1" x14ac:dyDescent="0.3">
      <c r="E566" s="3"/>
    </row>
    <row r="567" spans="5:5" ht="33" customHeight="1" x14ac:dyDescent="0.3">
      <c r="E567" s="3"/>
    </row>
    <row r="568" spans="5:5" ht="33" customHeight="1" x14ac:dyDescent="0.3">
      <c r="E568" s="3"/>
    </row>
    <row r="569" spans="5:5" ht="33" customHeight="1" x14ac:dyDescent="0.3">
      <c r="E569" s="3"/>
    </row>
    <row r="570" spans="5:5" ht="33" customHeight="1" x14ac:dyDescent="0.3">
      <c r="E570" s="3"/>
    </row>
    <row r="571" spans="5:5" ht="33" customHeight="1" x14ac:dyDescent="0.3">
      <c r="E571" s="3"/>
    </row>
    <row r="572" spans="5:5" ht="33" customHeight="1" x14ac:dyDescent="0.3">
      <c r="E572" s="3"/>
    </row>
    <row r="573" spans="5:5" ht="33" customHeight="1" x14ac:dyDescent="0.3">
      <c r="E573" s="3"/>
    </row>
    <row r="574" spans="5:5" ht="33" customHeight="1" x14ac:dyDescent="0.3">
      <c r="E574" s="3"/>
    </row>
    <row r="575" spans="5:5" ht="33" customHeight="1" x14ac:dyDescent="0.3">
      <c r="E575" s="3"/>
    </row>
    <row r="576" spans="5:5" ht="33" customHeight="1" x14ac:dyDescent="0.3">
      <c r="E576" s="3"/>
    </row>
    <row r="577" spans="5:5" ht="33" customHeight="1" x14ac:dyDescent="0.3">
      <c r="E577" s="3"/>
    </row>
    <row r="578" spans="5:5" ht="33" customHeight="1" x14ac:dyDescent="0.3">
      <c r="E578" s="3"/>
    </row>
    <row r="579" spans="5:5" ht="33" customHeight="1" x14ac:dyDescent="0.3">
      <c r="E579" s="3"/>
    </row>
    <row r="580" spans="5:5" ht="33" customHeight="1" x14ac:dyDescent="0.3">
      <c r="E580" s="3"/>
    </row>
    <row r="581" spans="5:5" ht="33" customHeight="1" x14ac:dyDescent="0.3">
      <c r="E581" s="3"/>
    </row>
    <row r="582" spans="5:5" ht="33" customHeight="1" x14ac:dyDescent="0.3">
      <c r="E582" s="3"/>
    </row>
    <row r="583" spans="5:5" ht="33" customHeight="1" x14ac:dyDescent="0.3">
      <c r="E583" s="3"/>
    </row>
    <row r="584" spans="5:5" ht="33" customHeight="1" x14ac:dyDescent="0.3">
      <c r="E584" s="3"/>
    </row>
    <row r="585" spans="5:5" ht="33" customHeight="1" x14ac:dyDescent="0.3">
      <c r="E585" s="3"/>
    </row>
    <row r="586" spans="5:5" ht="33" customHeight="1" x14ac:dyDescent="0.3">
      <c r="E586" s="3"/>
    </row>
    <row r="587" spans="5:5" ht="33" customHeight="1" x14ac:dyDescent="0.3">
      <c r="E587" s="3"/>
    </row>
    <row r="588" spans="5:5" ht="33" customHeight="1" x14ac:dyDescent="0.3">
      <c r="E588" s="3"/>
    </row>
    <row r="589" spans="5:5" ht="33" customHeight="1" x14ac:dyDescent="0.3">
      <c r="E589" s="3"/>
    </row>
    <row r="590" spans="5:5" ht="33" customHeight="1" x14ac:dyDescent="0.3">
      <c r="E590" s="3"/>
    </row>
    <row r="591" spans="5:5" ht="33" customHeight="1" x14ac:dyDescent="0.3">
      <c r="E591" s="3"/>
    </row>
    <row r="592" spans="5:5" ht="33" customHeight="1" x14ac:dyDescent="0.3">
      <c r="E592" s="3"/>
    </row>
    <row r="593" spans="5:5" ht="33" customHeight="1" x14ac:dyDescent="0.3">
      <c r="E593" s="3"/>
    </row>
    <row r="594" spans="5:5" ht="33" customHeight="1" x14ac:dyDescent="0.3">
      <c r="E594" s="3"/>
    </row>
    <row r="595" spans="5:5" ht="33" customHeight="1" x14ac:dyDescent="0.3">
      <c r="E595" s="3"/>
    </row>
    <row r="596" spans="5:5" ht="33" customHeight="1" x14ac:dyDescent="0.3">
      <c r="E596" s="3"/>
    </row>
    <row r="597" spans="5:5" ht="33" customHeight="1" x14ac:dyDescent="0.3">
      <c r="E597" s="3"/>
    </row>
    <row r="598" spans="5:5" ht="33" customHeight="1" x14ac:dyDescent="0.3">
      <c r="E598" s="3"/>
    </row>
    <row r="599" spans="5:5" ht="33" customHeight="1" x14ac:dyDescent="0.3">
      <c r="E599" s="3"/>
    </row>
    <row r="600" spans="5:5" ht="33" customHeight="1" x14ac:dyDescent="0.3">
      <c r="E600" s="3"/>
    </row>
    <row r="601" spans="5:5" ht="33" customHeight="1" x14ac:dyDescent="0.3">
      <c r="E601" s="3"/>
    </row>
    <row r="602" spans="5:5" ht="33" customHeight="1" x14ac:dyDescent="0.3">
      <c r="E602" s="3"/>
    </row>
    <row r="603" spans="5:5" ht="33" customHeight="1" x14ac:dyDescent="0.3">
      <c r="E603" s="3"/>
    </row>
    <row r="604" spans="5:5" ht="33" customHeight="1" x14ac:dyDescent="0.3">
      <c r="E604" s="3"/>
    </row>
    <row r="605" spans="5:5" ht="33" customHeight="1" x14ac:dyDescent="0.3">
      <c r="E605" s="3"/>
    </row>
    <row r="606" spans="5:5" ht="33" customHeight="1" x14ac:dyDescent="0.3">
      <c r="E606" s="3"/>
    </row>
    <row r="607" spans="5:5" ht="33" customHeight="1" x14ac:dyDescent="0.3">
      <c r="E607" s="3"/>
    </row>
    <row r="608" spans="5:5" ht="33" customHeight="1" x14ac:dyDescent="0.3">
      <c r="E608" s="3"/>
    </row>
    <row r="609" spans="5:5" ht="33" customHeight="1" x14ac:dyDescent="0.3">
      <c r="E609" s="3"/>
    </row>
    <row r="610" spans="5:5" ht="33" customHeight="1" x14ac:dyDescent="0.3">
      <c r="E610" s="3"/>
    </row>
    <row r="611" spans="5:5" ht="33" customHeight="1" x14ac:dyDescent="0.3">
      <c r="E611" s="3"/>
    </row>
    <row r="612" spans="5:5" ht="33" customHeight="1" x14ac:dyDescent="0.3">
      <c r="E612" s="3"/>
    </row>
    <row r="613" spans="5:5" ht="33" customHeight="1" x14ac:dyDescent="0.3">
      <c r="E613" s="3"/>
    </row>
    <row r="614" spans="5:5" ht="33" customHeight="1" x14ac:dyDescent="0.3">
      <c r="E614" s="3"/>
    </row>
    <row r="615" spans="5:5" ht="33" customHeight="1" x14ac:dyDescent="0.3">
      <c r="E615" s="3"/>
    </row>
    <row r="616" spans="5:5" ht="33" customHeight="1" x14ac:dyDescent="0.3">
      <c r="E616" s="3"/>
    </row>
    <row r="617" spans="5:5" ht="33" customHeight="1" x14ac:dyDescent="0.3">
      <c r="E617" s="3"/>
    </row>
    <row r="618" spans="5:5" ht="33" customHeight="1" x14ac:dyDescent="0.3">
      <c r="E618" s="3"/>
    </row>
    <row r="619" spans="5:5" ht="33" customHeight="1" x14ac:dyDescent="0.3">
      <c r="E619" s="3"/>
    </row>
    <row r="620" spans="5:5" ht="33" customHeight="1" x14ac:dyDescent="0.3">
      <c r="E620" s="3"/>
    </row>
    <row r="621" spans="5:5" ht="33" customHeight="1" x14ac:dyDescent="0.3">
      <c r="E621" s="3"/>
    </row>
    <row r="622" spans="5:5" ht="33" customHeight="1" x14ac:dyDescent="0.3">
      <c r="E622" s="3"/>
    </row>
    <row r="623" spans="5:5" ht="33" customHeight="1" x14ac:dyDescent="0.3">
      <c r="E623" s="3"/>
    </row>
    <row r="624" spans="5:5" ht="33" customHeight="1" x14ac:dyDescent="0.3">
      <c r="E624" s="3"/>
    </row>
    <row r="625" spans="5:5" ht="33" customHeight="1" x14ac:dyDescent="0.3">
      <c r="E625" s="3"/>
    </row>
    <row r="626" spans="5:5" ht="33" customHeight="1" x14ac:dyDescent="0.3">
      <c r="E626" s="3"/>
    </row>
    <row r="627" spans="5:5" ht="33" customHeight="1" x14ac:dyDescent="0.3">
      <c r="E627" s="3"/>
    </row>
    <row r="628" spans="5:5" ht="33" customHeight="1" x14ac:dyDescent="0.3">
      <c r="E628" s="3"/>
    </row>
    <row r="629" spans="5:5" ht="33" customHeight="1" x14ac:dyDescent="0.3">
      <c r="E629" s="3"/>
    </row>
    <row r="630" spans="5:5" ht="33" customHeight="1" x14ac:dyDescent="0.3">
      <c r="E630" s="3"/>
    </row>
    <row r="631" spans="5:5" ht="33" customHeight="1" x14ac:dyDescent="0.3">
      <c r="E631" s="3"/>
    </row>
    <row r="632" spans="5:5" ht="33" customHeight="1" x14ac:dyDescent="0.3">
      <c r="E632" s="3"/>
    </row>
    <row r="633" spans="5:5" ht="33" customHeight="1" x14ac:dyDescent="0.3">
      <c r="E633" s="3"/>
    </row>
    <row r="634" spans="5:5" ht="33" customHeight="1" x14ac:dyDescent="0.3">
      <c r="E634" s="3"/>
    </row>
    <row r="635" spans="5:5" ht="33" customHeight="1" x14ac:dyDescent="0.3">
      <c r="E635" s="3"/>
    </row>
    <row r="636" spans="5:5" ht="33" customHeight="1" x14ac:dyDescent="0.3">
      <c r="E636" s="3"/>
    </row>
    <row r="637" spans="5:5" ht="33" customHeight="1" x14ac:dyDescent="0.3">
      <c r="E637" s="3"/>
    </row>
    <row r="638" spans="5:5" ht="33" customHeight="1" x14ac:dyDescent="0.3">
      <c r="E638" s="3"/>
    </row>
    <row r="639" spans="5:5" ht="33" customHeight="1" x14ac:dyDescent="0.3">
      <c r="E639" s="3"/>
    </row>
    <row r="640" spans="5:5" ht="33" customHeight="1" x14ac:dyDescent="0.3">
      <c r="E640" s="3"/>
    </row>
    <row r="641" spans="5:5" ht="33" customHeight="1" x14ac:dyDescent="0.3">
      <c r="E641" s="3"/>
    </row>
    <row r="642" spans="5:5" ht="33" customHeight="1" x14ac:dyDescent="0.3">
      <c r="E642" s="3"/>
    </row>
    <row r="643" spans="5:5" ht="33" customHeight="1" x14ac:dyDescent="0.3">
      <c r="E643" s="3"/>
    </row>
    <row r="644" spans="5:5" ht="33" customHeight="1" x14ac:dyDescent="0.3">
      <c r="E644" s="3"/>
    </row>
    <row r="645" spans="5:5" ht="33" customHeight="1" x14ac:dyDescent="0.3">
      <c r="E645" s="3"/>
    </row>
    <row r="646" spans="5:5" ht="33" customHeight="1" x14ac:dyDescent="0.3">
      <c r="E646" s="3"/>
    </row>
    <row r="647" spans="5:5" ht="33" customHeight="1" x14ac:dyDescent="0.3">
      <c r="E647" s="3"/>
    </row>
    <row r="648" spans="5:5" ht="33" customHeight="1" x14ac:dyDescent="0.3">
      <c r="E648" s="3"/>
    </row>
    <row r="649" spans="5:5" ht="33" customHeight="1" x14ac:dyDescent="0.3">
      <c r="E649" s="3"/>
    </row>
    <row r="650" spans="5:5" ht="33" customHeight="1" x14ac:dyDescent="0.3">
      <c r="E650" s="3"/>
    </row>
    <row r="651" spans="5:5" ht="33" customHeight="1" x14ac:dyDescent="0.3">
      <c r="E651" s="3"/>
    </row>
    <row r="652" spans="5:5" ht="33" customHeight="1" x14ac:dyDescent="0.3">
      <c r="E652" s="3"/>
    </row>
    <row r="653" spans="5:5" ht="33" customHeight="1" x14ac:dyDescent="0.3">
      <c r="E653" s="3"/>
    </row>
    <row r="654" spans="5:5" ht="33" customHeight="1" x14ac:dyDescent="0.3">
      <c r="E654" s="3"/>
    </row>
    <row r="655" spans="5:5" ht="33" customHeight="1" x14ac:dyDescent="0.3">
      <c r="E655" s="3"/>
    </row>
    <row r="656" spans="5:5" ht="33" customHeight="1" x14ac:dyDescent="0.3">
      <c r="E656" s="3"/>
    </row>
    <row r="657" spans="5:5" ht="33" customHeight="1" x14ac:dyDescent="0.3">
      <c r="E657" s="3"/>
    </row>
    <row r="658" spans="5:5" ht="33" customHeight="1" x14ac:dyDescent="0.3">
      <c r="E658" s="3"/>
    </row>
    <row r="659" spans="5:5" ht="33" customHeight="1" x14ac:dyDescent="0.3">
      <c r="E659" s="3"/>
    </row>
    <row r="660" spans="5:5" ht="33" customHeight="1" x14ac:dyDescent="0.3">
      <c r="E660" s="3"/>
    </row>
    <row r="661" spans="5:5" ht="33" customHeight="1" x14ac:dyDescent="0.3">
      <c r="E661" s="3"/>
    </row>
    <row r="662" spans="5:5" ht="33" customHeight="1" x14ac:dyDescent="0.3">
      <c r="E662" s="3"/>
    </row>
    <row r="663" spans="5:5" ht="33" customHeight="1" x14ac:dyDescent="0.3">
      <c r="E663" s="3"/>
    </row>
    <row r="664" spans="5:5" ht="33" customHeight="1" x14ac:dyDescent="0.3">
      <c r="E664" s="3"/>
    </row>
    <row r="665" spans="5:5" ht="33" customHeight="1" x14ac:dyDescent="0.3">
      <c r="E665" s="3"/>
    </row>
    <row r="666" spans="5:5" ht="33" customHeight="1" x14ac:dyDescent="0.3">
      <c r="E666" s="3"/>
    </row>
    <row r="667" spans="5:5" ht="33" customHeight="1" x14ac:dyDescent="0.3">
      <c r="E667" s="3"/>
    </row>
    <row r="668" spans="5:5" ht="33" customHeight="1" x14ac:dyDescent="0.3">
      <c r="E668" s="3"/>
    </row>
    <row r="669" spans="5:5" ht="33" customHeight="1" x14ac:dyDescent="0.3">
      <c r="E669" s="3"/>
    </row>
    <row r="670" spans="5:5" ht="33" customHeight="1" x14ac:dyDescent="0.3">
      <c r="E670" s="3"/>
    </row>
    <row r="671" spans="5:5" ht="33" customHeight="1" x14ac:dyDescent="0.3">
      <c r="E671" s="3"/>
    </row>
    <row r="672" spans="5:5" ht="33" customHeight="1" x14ac:dyDescent="0.3">
      <c r="E672" s="3"/>
    </row>
    <row r="673" spans="5:5" ht="33" customHeight="1" x14ac:dyDescent="0.3">
      <c r="E673" s="3"/>
    </row>
    <row r="674" spans="5:5" ht="33" customHeight="1" x14ac:dyDescent="0.3">
      <c r="E674" s="3"/>
    </row>
    <row r="675" spans="5:5" ht="33" customHeight="1" x14ac:dyDescent="0.3">
      <c r="E675" s="3"/>
    </row>
    <row r="676" spans="5:5" ht="33" customHeight="1" x14ac:dyDescent="0.3">
      <c r="E676" s="3"/>
    </row>
    <row r="677" spans="5:5" ht="33" customHeight="1" x14ac:dyDescent="0.3">
      <c r="E677" s="3"/>
    </row>
    <row r="678" spans="5:5" ht="33" customHeight="1" x14ac:dyDescent="0.3">
      <c r="E678" s="3"/>
    </row>
    <row r="679" spans="5:5" ht="33" customHeight="1" x14ac:dyDescent="0.3">
      <c r="E679" s="3"/>
    </row>
    <row r="680" spans="5:5" ht="33" customHeight="1" x14ac:dyDescent="0.3">
      <c r="E680" s="3"/>
    </row>
    <row r="681" spans="5:5" ht="33" customHeight="1" x14ac:dyDescent="0.3">
      <c r="E681" s="3"/>
    </row>
    <row r="682" spans="5:5" ht="33" customHeight="1" x14ac:dyDescent="0.3">
      <c r="E682" s="3"/>
    </row>
    <row r="683" spans="5:5" ht="33" customHeight="1" x14ac:dyDescent="0.3">
      <c r="E683" s="3"/>
    </row>
    <row r="684" spans="5:5" ht="33" customHeight="1" x14ac:dyDescent="0.3">
      <c r="E684" s="3"/>
    </row>
    <row r="685" spans="5:5" ht="33" customHeight="1" x14ac:dyDescent="0.3">
      <c r="E685" s="3"/>
    </row>
    <row r="686" spans="5:5" ht="33" customHeight="1" x14ac:dyDescent="0.3">
      <c r="E686" s="3"/>
    </row>
    <row r="687" spans="5:5" ht="33" customHeight="1" x14ac:dyDescent="0.3">
      <c r="E687" s="3"/>
    </row>
    <row r="688" spans="5:5" ht="33" customHeight="1" x14ac:dyDescent="0.3">
      <c r="E688" s="3"/>
    </row>
    <row r="689" spans="5:5" ht="33" customHeight="1" x14ac:dyDescent="0.3">
      <c r="E689" s="3"/>
    </row>
    <row r="690" spans="5:5" ht="33" customHeight="1" x14ac:dyDescent="0.3">
      <c r="E690" s="3"/>
    </row>
    <row r="691" spans="5:5" ht="33" customHeight="1" x14ac:dyDescent="0.3">
      <c r="E691" s="3"/>
    </row>
    <row r="692" spans="5:5" ht="33" customHeight="1" x14ac:dyDescent="0.3">
      <c r="E692" s="3"/>
    </row>
    <row r="693" spans="5:5" ht="33" customHeight="1" x14ac:dyDescent="0.3">
      <c r="E693" s="3"/>
    </row>
    <row r="694" spans="5:5" ht="33" customHeight="1" x14ac:dyDescent="0.3">
      <c r="E694" s="3"/>
    </row>
    <row r="695" spans="5:5" ht="33" customHeight="1" x14ac:dyDescent="0.3">
      <c r="E695" s="3"/>
    </row>
    <row r="696" spans="5:5" ht="33" customHeight="1" x14ac:dyDescent="0.3">
      <c r="E696" s="3"/>
    </row>
    <row r="697" spans="5:5" ht="33" customHeight="1" x14ac:dyDescent="0.3">
      <c r="E697" s="3"/>
    </row>
    <row r="698" spans="5:5" ht="33" customHeight="1" x14ac:dyDescent="0.3">
      <c r="E698" s="3"/>
    </row>
    <row r="699" spans="5:5" ht="33" customHeight="1" x14ac:dyDescent="0.3">
      <c r="E699" s="3"/>
    </row>
    <row r="700" spans="5:5" ht="33" customHeight="1" x14ac:dyDescent="0.3">
      <c r="E700" s="3"/>
    </row>
    <row r="701" spans="5:5" ht="33" customHeight="1" x14ac:dyDescent="0.3">
      <c r="E701" s="3"/>
    </row>
    <row r="702" spans="5:5" ht="33" customHeight="1" x14ac:dyDescent="0.3">
      <c r="E702" s="3"/>
    </row>
    <row r="703" spans="5:5" ht="33" customHeight="1" x14ac:dyDescent="0.3">
      <c r="E703" s="3"/>
    </row>
    <row r="704" spans="5:5" ht="33" customHeight="1" x14ac:dyDescent="0.3">
      <c r="E704" s="3"/>
    </row>
    <row r="705" spans="5:5" ht="33" customHeight="1" x14ac:dyDescent="0.3">
      <c r="E705" s="3"/>
    </row>
    <row r="706" spans="5:5" ht="33" customHeight="1" x14ac:dyDescent="0.3">
      <c r="E706" s="3"/>
    </row>
    <row r="707" spans="5:5" ht="33" customHeight="1" x14ac:dyDescent="0.3">
      <c r="E707" s="3"/>
    </row>
    <row r="708" spans="5:5" ht="33" customHeight="1" x14ac:dyDescent="0.3">
      <c r="E708" s="3"/>
    </row>
    <row r="709" spans="5:5" ht="33" customHeight="1" x14ac:dyDescent="0.3">
      <c r="E709" s="3"/>
    </row>
    <row r="710" spans="5:5" ht="33" customHeight="1" x14ac:dyDescent="0.3">
      <c r="E710" s="3"/>
    </row>
    <row r="711" spans="5:5" ht="33" customHeight="1" x14ac:dyDescent="0.3">
      <c r="E711" s="3"/>
    </row>
    <row r="712" spans="5:5" ht="33" customHeight="1" x14ac:dyDescent="0.3">
      <c r="E712" s="3"/>
    </row>
    <row r="713" spans="5:5" ht="33" customHeight="1" x14ac:dyDescent="0.3">
      <c r="E713" s="3"/>
    </row>
    <row r="714" spans="5:5" ht="33" customHeight="1" x14ac:dyDescent="0.3">
      <c r="E714" s="3"/>
    </row>
    <row r="715" spans="5:5" ht="33" customHeight="1" x14ac:dyDescent="0.3">
      <c r="E715" s="3"/>
    </row>
    <row r="716" spans="5:5" ht="33" customHeight="1" x14ac:dyDescent="0.3">
      <c r="E716" s="3"/>
    </row>
    <row r="717" spans="5:5" ht="33" customHeight="1" x14ac:dyDescent="0.3">
      <c r="E717" s="3"/>
    </row>
    <row r="718" spans="5:5" ht="33" customHeight="1" x14ac:dyDescent="0.3">
      <c r="E718" s="3"/>
    </row>
    <row r="719" spans="5:5" ht="33" customHeight="1" x14ac:dyDescent="0.3">
      <c r="E719" s="3"/>
    </row>
    <row r="720" spans="5:5" ht="33" customHeight="1" x14ac:dyDescent="0.3">
      <c r="E720" s="3"/>
    </row>
    <row r="721" spans="5:5" ht="33" customHeight="1" x14ac:dyDescent="0.3">
      <c r="E721" s="3"/>
    </row>
    <row r="722" spans="5:5" ht="33" customHeight="1" x14ac:dyDescent="0.3">
      <c r="E722" s="3"/>
    </row>
    <row r="723" spans="5:5" ht="33" customHeight="1" x14ac:dyDescent="0.3">
      <c r="E723" s="3"/>
    </row>
    <row r="724" spans="5:5" ht="33" customHeight="1" x14ac:dyDescent="0.3">
      <c r="E724" s="3"/>
    </row>
    <row r="725" spans="5:5" ht="33" customHeight="1" x14ac:dyDescent="0.3">
      <c r="E725" s="3"/>
    </row>
    <row r="726" spans="5:5" ht="33" customHeight="1" x14ac:dyDescent="0.3">
      <c r="E726" s="3"/>
    </row>
    <row r="727" spans="5:5" ht="33" customHeight="1" x14ac:dyDescent="0.3">
      <c r="E727" s="3"/>
    </row>
    <row r="728" spans="5:5" ht="33" customHeight="1" x14ac:dyDescent="0.3">
      <c r="E728" s="3"/>
    </row>
    <row r="729" spans="5:5" ht="33" customHeight="1" x14ac:dyDescent="0.3">
      <c r="E729" s="3"/>
    </row>
    <row r="730" spans="5:5" ht="33" customHeight="1" x14ac:dyDescent="0.3">
      <c r="E730" s="3"/>
    </row>
    <row r="731" spans="5:5" ht="33" customHeight="1" x14ac:dyDescent="0.3">
      <c r="E731" s="3"/>
    </row>
    <row r="732" spans="5:5" ht="33" customHeight="1" x14ac:dyDescent="0.3">
      <c r="E732" s="3"/>
    </row>
    <row r="733" spans="5:5" ht="33" customHeight="1" x14ac:dyDescent="0.3">
      <c r="E733" s="3"/>
    </row>
    <row r="734" spans="5:5" ht="33" customHeight="1" x14ac:dyDescent="0.3">
      <c r="E734" s="3"/>
    </row>
    <row r="735" spans="5:5" ht="33" customHeight="1" x14ac:dyDescent="0.3">
      <c r="E735" s="3"/>
    </row>
    <row r="736" spans="5:5" ht="33" customHeight="1" x14ac:dyDescent="0.3">
      <c r="E736" s="3"/>
    </row>
    <row r="737" spans="5:5" ht="33" customHeight="1" x14ac:dyDescent="0.3">
      <c r="E737" s="3"/>
    </row>
    <row r="738" spans="5:5" ht="33" customHeight="1" x14ac:dyDescent="0.3">
      <c r="E738" s="3"/>
    </row>
    <row r="739" spans="5:5" ht="33" customHeight="1" x14ac:dyDescent="0.3">
      <c r="E739" s="3"/>
    </row>
    <row r="740" spans="5:5" ht="33" customHeight="1" x14ac:dyDescent="0.3">
      <c r="E740" s="3"/>
    </row>
    <row r="741" spans="5:5" ht="33" customHeight="1" x14ac:dyDescent="0.3">
      <c r="E741" s="3"/>
    </row>
    <row r="742" spans="5:5" ht="33" customHeight="1" x14ac:dyDescent="0.3">
      <c r="E742" s="3"/>
    </row>
    <row r="743" spans="5:5" ht="33" customHeight="1" x14ac:dyDescent="0.3">
      <c r="E743" s="3"/>
    </row>
    <row r="744" spans="5:5" ht="33" customHeight="1" x14ac:dyDescent="0.3">
      <c r="E744" s="3"/>
    </row>
    <row r="745" spans="5:5" ht="33" customHeight="1" x14ac:dyDescent="0.3">
      <c r="E745" s="3"/>
    </row>
    <row r="746" spans="5:5" ht="33" customHeight="1" x14ac:dyDescent="0.3">
      <c r="E746" s="3"/>
    </row>
    <row r="747" spans="5:5" ht="33" customHeight="1" x14ac:dyDescent="0.3">
      <c r="E747" s="3"/>
    </row>
    <row r="748" spans="5:5" ht="33" customHeight="1" x14ac:dyDescent="0.3">
      <c r="E748" s="3"/>
    </row>
    <row r="749" spans="5:5" ht="33" customHeight="1" x14ac:dyDescent="0.3">
      <c r="E749" s="3"/>
    </row>
    <row r="750" spans="5:5" ht="33" customHeight="1" x14ac:dyDescent="0.3">
      <c r="E750" s="3"/>
    </row>
    <row r="751" spans="5:5" ht="33" customHeight="1" x14ac:dyDescent="0.3">
      <c r="E751" s="3"/>
    </row>
    <row r="752" spans="5:5" ht="33" customHeight="1" x14ac:dyDescent="0.3">
      <c r="E752" s="3"/>
    </row>
    <row r="753" spans="5:5" ht="33" customHeight="1" x14ac:dyDescent="0.3">
      <c r="E753" s="3"/>
    </row>
    <row r="754" spans="5:5" ht="33" customHeight="1" x14ac:dyDescent="0.3">
      <c r="E754" s="3"/>
    </row>
    <row r="755" spans="5:5" ht="33" customHeight="1" x14ac:dyDescent="0.3">
      <c r="E755" s="3"/>
    </row>
    <row r="756" spans="5:5" ht="33" customHeight="1" x14ac:dyDescent="0.3">
      <c r="E756" s="3"/>
    </row>
    <row r="757" spans="5:5" ht="33" customHeight="1" x14ac:dyDescent="0.3">
      <c r="E757" s="3"/>
    </row>
    <row r="758" spans="5:5" ht="33" customHeight="1" x14ac:dyDescent="0.3">
      <c r="E758" s="3"/>
    </row>
    <row r="759" spans="5:5" ht="33" customHeight="1" x14ac:dyDescent="0.3">
      <c r="E759" s="3"/>
    </row>
    <row r="760" spans="5:5" ht="33" customHeight="1" x14ac:dyDescent="0.3">
      <c r="E760" s="3"/>
    </row>
    <row r="761" spans="5:5" ht="33" customHeight="1" x14ac:dyDescent="0.3">
      <c r="E761" s="3"/>
    </row>
    <row r="762" spans="5:5" ht="33" customHeight="1" x14ac:dyDescent="0.3">
      <c r="E762" s="3"/>
    </row>
    <row r="763" spans="5:5" ht="33" customHeight="1" x14ac:dyDescent="0.3">
      <c r="E763" s="3"/>
    </row>
    <row r="764" spans="5:5" ht="33" customHeight="1" x14ac:dyDescent="0.3">
      <c r="E764" s="3"/>
    </row>
    <row r="765" spans="5:5" ht="33" customHeight="1" x14ac:dyDescent="0.3">
      <c r="E765" s="3"/>
    </row>
    <row r="766" spans="5:5" ht="33" customHeight="1" x14ac:dyDescent="0.3">
      <c r="E766" s="3"/>
    </row>
    <row r="767" spans="5:5" ht="33" customHeight="1" x14ac:dyDescent="0.3">
      <c r="E767" s="3"/>
    </row>
    <row r="768" spans="5:5" ht="33" customHeight="1" x14ac:dyDescent="0.3">
      <c r="E768" s="3"/>
    </row>
    <row r="769" spans="5:5" ht="33" customHeight="1" x14ac:dyDescent="0.3">
      <c r="E769" s="3"/>
    </row>
    <row r="770" spans="5:5" ht="33" customHeight="1" x14ac:dyDescent="0.3">
      <c r="E770" s="3"/>
    </row>
    <row r="771" spans="5:5" ht="33" customHeight="1" x14ac:dyDescent="0.3">
      <c r="E771" s="3"/>
    </row>
    <row r="772" spans="5:5" ht="33" customHeight="1" x14ac:dyDescent="0.3">
      <c r="E772" s="3"/>
    </row>
    <row r="773" spans="5:5" ht="33" customHeight="1" x14ac:dyDescent="0.3">
      <c r="E773" s="3"/>
    </row>
    <row r="774" spans="5:5" ht="33" customHeight="1" x14ac:dyDescent="0.3">
      <c r="E774" s="3"/>
    </row>
    <row r="775" spans="5:5" ht="33" customHeight="1" x14ac:dyDescent="0.3">
      <c r="E775" s="3"/>
    </row>
    <row r="776" spans="5:5" ht="33" customHeight="1" x14ac:dyDescent="0.3">
      <c r="E776" s="3"/>
    </row>
    <row r="777" spans="5:5" ht="33" customHeight="1" x14ac:dyDescent="0.3">
      <c r="E777" s="3"/>
    </row>
    <row r="778" spans="5:5" ht="33" customHeight="1" x14ac:dyDescent="0.3">
      <c r="E778" s="3"/>
    </row>
    <row r="779" spans="5:5" ht="33" customHeight="1" x14ac:dyDescent="0.3">
      <c r="E779" s="3"/>
    </row>
    <row r="780" spans="5:5" ht="33" customHeight="1" x14ac:dyDescent="0.3">
      <c r="E780" s="3"/>
    </row>
    <row r="781" spans="5:5" ht="33" customHeight="1" x14ac:dyDescent="0.3">
      <c r="E781" s="3"/>
    </row>
    <row r="782" spans="5:5" ht="33" customHeight="1" x14ac:dyDescent="0.3">
      <c r="E782" s="3"/>
    </row>
    <row r="783" spans="5:5" ht="33" customHeight="1" x14ac:dyDescent="0.3">
      <c r="E783" s="3"/>
    </row>
    <row r="784" spans="5:5" ht="33" customHeight="1" x14ac:dyDescent="0.3">
      <c r="E784" s="3"/>
    </row>
    <row r="785" spans="5:5" ht="33" customHeight="1" x14ac:dyDescent="0.3">
      <c r="E785" s="3"/>
    </row>
    <row r="786" spans="5:5" ht="33" customHeight="1" x14ac:dyDescent="0.3">
      <c r="E786" s="3"/>
    </row>
    <row r="787" spans="5:5" ht="33" customHeight="1" x14ac:dyDescent="0.3">
      <c r="E787" s="3"/>
    </row>
    <row r="788" spans="5:5" ht="33" customHeight="1" x14ac:dyDescent="0.3">
      <c r="E788" s="3"/>
    </row>
    <row r="789" spans="5:5" ht="33" customHeight="1" x14ac:dyDescent="0.3">
      <c r="E789" s="3"/>
    </row>
    <row r="790" spans="5:5" ht="33" customHeight="1" x14ac:dyDescent="0.3">
      <c r="E790" s="3"/>
    </row>
    <row r="791" spans="5:5" ht="33" customHeight="1" x14ac:dyDescent="0.3">
      <c r="E791" s="3"/>
    </row>
    <row r="792" spans="5:5" ht="33" customHeight="1" x14ac:dyDescent="0.3">
      <c r="E792" s="3"/>
    </row>
    <row r="793" spans="5:5" ht="33" customHeight="1" x14ac:dyDescent="0.3">
      <c r="E793" s="3"/>
    </row>
    <row r="794" spans="5:5" ht="33" customHeight="1" x14ac:dyDescent="0.3">
      <c r="E794" s="3"/>
    </row>
    <row r="795" spans="5:5" ht="33" customHeight="1" x14ac:dyDescent="0.3">
      <c r="E795" s="3"/>
    </row>
    <row r="796" spans="5:5" ht="33" customHeight="1" x14ac:dyDescent="0.3">
      <c r="E796" s="3"/>
    </row>
    <row r="797" spans="5:5" ht="33" customHeight="1" x14ac:dyDescent="0.3">
      <c r="E797" s="3"/>
    </row>
    <row r="798" spans="5:5" ht="33" customHeight="1" x14ac:dyDescent="0.3">
      <c r="E798" s="3"/>
    </row>
    <row r="799" spans="5:5" ht="33" customHeight="1" x14ac:dyDescent="0.3">
      <c r="E799" s="3"/>
    </row>
    <row r="800" spans="5:5" ht="33" customHeight="1" x14ac:dyDescent="0.3">
      <c r="E800" s="3"/>
    </row>
    <row r="801" spans="5:5" ht="33" customHeight="1" x14ac:dyDescent="0.3">
      <c r="E801" s="3"/>
    </row>
    <row r="802" spans="5:5" ht="33" customHeight="1" x14ac:dyDescent="0.3">
      <c r="E802" s="3"/>
    </row>
    <row r="803" spans="5:5" ht="33" customHeight="1" x14ac:dyDescent="0.3">
      <c r="E803" s="3"/>
    </row>
    <row r="804" spans="5:5" ht="33" customHeight="1" x14ac:dyDescent="0.3">
      <c r="E804" s="3"/>
    </row>
    <row r="805" spans="5:5" ht="33" customHeight="1" x14ac:dyDescent="0.3">
      <c r="E805" s="3"/>
    </row>
    <row r="806" spans="5:5" ht="33" customHeight="1" x14ac:dyDescent="0.3">
      <c r="E806" s="3"/>
    </row>
    <row r="807" spans="5:5" ht="33" customHeight="1" x14ac:dyDescent="0.3">
      <c r="E807" s="3"/>
    </row>
    <row r="808" spans="5:5" ht="33" customHeight="1" x14ac:dyDescent="0.3">
      <c r="E808" s="3"/>
    </row>
    <row r="809" spans="5:5" ht="33" customHeight="1" x14ac:dyDescent="0.3">
      <c r="E809" s="3"/>
    </row>
    <row r="810" spans="5:5" ht="33" customHeight="1" x14ac:dyDescent="0.3">
      <c r="E810" s="3"/>
    </row>
    <row r="811" spans="5:5" ht="33" customHeight="1" x14ac:dyDescent="0.3">
      <c r="E811" s="3"/>
    </row>
    <row r="812" spans="5:5" ht="33" customHeight="1" x14ac:dyDescent="0.3">
      <c r="E812" s="3"/>
    </row>
    <row r="813" spans="5:5" ht="33" customHeight="1" x14ac:dyDescent="0.3">
      <c r="E813" s="3"/>
    </row>
    <row r="814" spans="5:5" ht="33" customHeight="1" x14ac:dyDescent="0.3">
      <c r="E814" s="3"/>
    </row>
    <row r="815" spans="5:5" ht="33" customHeight="1" x14ac:dyDescent="0.3">
      <c r="E815" s="3"/>
    </row>
    <row r="816" spans="5:5" ht="33" customHeight="1" x14ac:dyDescent="0.3">
      <c r="E816" s="3"/>
    </row>
    <row r="817" spans="5:5" ht="33" customHeight="1" x14ac:dyDescent="0.3">
      <c r="E817" s="3"/>
    </row>
    <row r="818" spans="5:5" ht="33" customHeight="1" x14ac:dyDescent="0.3">
      <c r="E818" s="3"/>
    </row>
    <row r="819" spans="5:5" ht="33" customHeight="1" x14ac:dyDescent="0.3">
      <c r="E819" s="3"/>
    </row>
    <row r="820" spans="5:5" ht="33" customHeight="1" x14ac:dyDescent="0.3">
      <c r="E820" s="3"/>
    </row>
    <row r="821" spans="5:5" ht="33" customHeight="1" x14ac:dyDescent="0.3">
      <c r="E821" s="3"/>
    </row>
    <row r="822" spans="5:5" ht="33" customHeight="1" x14ac:dyDescent="0.3">
      <c r="E822" s="3"/>
    </row>
    <row r="823" spans="5:5" ht="33" customHeight="1" x14ac:dyDescent="0.3">
      <c r="E823" s="3"/>
    </row>
    <row r="824" spans="5:5" ht="33" customHeight="1" x14ac:dyDescent="0.3">
      <c r="E824" s="3"/>
    </row>
    <row r="825" spans="5:5" ht="33" customHeight="1" x14ac:dyDescent="0.3">
      <c r="E825" s="3"/>
    </row>
    <row r="826" spans="5:5" ht="33" customHeight="1" x14ac:dyDescent="0.3">
      <c r="E826" s="3"/>
    </row>
    <row r="827" spans="5:5" ht="33" customHeight="1" x14ac:dyDescent="0.3">
      <c r="E827" s="3"/>
    </row>
    <row r="828" spans="5:5" ht="33" customHeight="1" x14ac:dyDescent="0.3">
      <c r="E828" s="3"/>
    </row>
    <row r="829" spans="5:5" ht="33" customHeight="1" x14ac:dyDescent="0.3">
      <c r="E829" s="3"/>
    </row>
    <row r="830" spans="5:5" ht="33" customHeight="1" x14ac:dyDescent="0.3">
      <c r="E830" s="3"/>
    </row>
    <row r="831" spans="5:5" ht="33" customHeight="1" x14ac:dyDescent="0.3">
      <c r="E831" s="3"/>
    </row>
    <row r="832" spans="5:5" ht="33" customHeight="1" x14ac:dyDescent="0.3">
      <c r="E832" s="3"/>
    </row>
    <row r="833" spans="5:5" ht="33" customHeight="1" x14ac:dyDescent="0.3">
      <c r="E833" s="3"/>
    </row>
    <row r="834" spans="5:5" ht="33" customHeight="1" x14ac:dyDescent="0.3">
      <c r="E834" s="3"/>
    </row>
    <row r="835" spans="5:5" ht="33" customHeight="1" x14ac:dyDescent="0.3">
      <c r="E835" s="3"/>
    </row>
    <row r="836" spans="5:5" ht="33" customHeight="1" x14ac:dyDescent="0.3">
      <c r="E836" s="3"/>
    </row>
    <row r="837" spans="5:5" ht="33" customHeight="1" x14ac:dyDescent="0.3">
      <c r="E837" s="3"/>
    </row>
    <row r="838" spans="5:5" ht="33" customHeight="1" x14ac:dyDescent="0.3">
      <c r="E838" s="3"/>
    </row>
    <row r="839" spans="5:5" ht="33" customHeight="1" x14ac:dyDescent="0.3">
      <c r="E839" s="3"/>
    </row>
    <row r="840" spans="5:5" ht="33" customHeight="1" x14ac:dyDescent="0.3">
      <c r="E840" s="3"/>
    </row>
    <row r="841" spans="5:5" ht="33" customHeight="1" x14ac:dyDescent="0.3">
      <c r="E841" s="3"/>
    </row>
    <row r="842" spans="5:5" ht="33" customHeight="1" x14ac:dyDescent="0.3">
      <c r="E842" s="3"/>
    </row>
    <row r="843" spans="5:5" ht="33" customHeight="1" x14ac:dyDescent="0.3">
      <c r="E843" s="3"/>
    </row>
    <row r="844" spans="5:5" ht="33" customHeight="1" x14ac:dyDescent="0.3">
      <c r="E844" s="3"/>
    </row>
    <row r="845" spans="5:5" ht="33" customHeight="1" x14ac:dyDescent="0.3">
      <c r="E845" s="3"/>
    </row>
    <row r="846" spans="5:5" ht="33" customHeight="1" x14ac:dyDescent="0.3">
      <c r="E846" s="3"/>
    </row>
    <row r="847" spans="5:5" ht="33" customHeight="1" x14ac:dyDescent="0.3">
      <c r="E847" s="3"/>
    </row>
    <row r="848" spans="5:5" ht="33" customHeight="1" x14ac:dyDescent="0.3">
      <c r="E848" s="3"/>
    </row>
    <row r="849" spans="5:5" ht="33" customHeight="1" x14ac:dyDescent="0.3">
      <c r="E849" s="3"/>
    </row>
    <row r="850" spans="5:5" ht="33" customHeight="1" x14ac:dyDescent="0.3">
      <c r="E850" s="3"/>
    </row>
    <row r="851" spans="5:5" ht="33" customHeight="1" x14ac:dyDescent="0.3">
      <c r="E851" s="3"/>
    </row>
    <row r="852" spans="5:5" ht="33" customHeight="1" x14ac:dyDescent="0.3">
      <c r="E852" s="3"/>
    </row>
    <row r="853" spans="5:5" ht="33" customHeight="1" x14ac:dyDescent="0.3">
      <c r="E853" s="3"/>
    </row>
    <row r="854" spans="5:5" ht="33" customHeight="1" x14ac:dyDescent="0.3">
      <c r="E854" s="3"/>
    </row>
    <row r="855" spans="5:5" ht="33" customHeight="1" x14ac:dyDescent="0.3">
      <c r="E855" s="3"/>
    </row>
    <row r="856" spans="5:5" ht="33" customHeight="1" x14ac:dyDescent="0.3">
      <c r="E856" s="3"/>
    </row>
    <row r="857" spans="5:5" ht="33" customHeight="1" x14ac:dyDescent="0.3">
      <c r="E857" s="3"/>
    </row>
    <row r="858" spans="5:5" ht="33" customHeight="1" x14ac:dyDescent="0.3">
      <c r="E858" s="3"/>
    </row>
    <row r="859" spans="5:5" ht="33" customHeight="1" x14ac:dyDescent="0.3">
      <c r="E859" s="3"/>
    </row>
    <row r="860" spans="5:5" ht="33" customHeight="1" x14ac:dyDescent="0.3">
      <c r="E860" s="3"/>
    </row>
    <row r="861" spans="5:5" ht="33" customHeight="1" x14ac:dyDescent="0.3">
      <c r="E861" s="3"/>
    </row>
    <row r="862" spans="5:5" ht="33" customHeight="1" x14ac:dyDescent="0.3">
      <c r="E862" s="3"/>
    </row>
    <row r="863" spans="5:5" ht="33" customHeight="1" x14ac:dyDescent="0.3">
      <c r="E863" s="3"/>
    </row>
    <row r="864" spans="5:5" ht="33" customHeight="1" x14ac:dyDescent="0.3">
      <c r="E864" s="3"/>
    </row>
    <row r="865" spans="5:5" ht="33" customHeight="1" x14ac:dyDescent="0.3">
      <c r="E865" s="3"/>
    </row>
    <row r="866" spans="5:5" ht="33" customHeight="1" x14ac:dyDescent="0.3">
      <c r="E866" s="3"/>
    </row>
    <row r="867" spans="5:5" ht="33" customHeight="1" x14ac:dyDescent="0.3">
      <c r="E867" s="3"/>
    </row>
    <row r="868" spans="5:5" ht="33" customHeight="1" x14ac:dyDescent="0.3">
      <c r="E868" s="3"/>
    </row>
    <row r="869" spans="5:5" ht="33" customHeight="1" x14ac:dyDescent="0.3">
      <c r="E869" s="3"/>
    </row>
    <row r="870" spans="5:5" ht="33" customHeight="1" x14ac:dyDescent="0.3">
      <c r="E870" s="3"/>
    </row>
    <row r="871" spans="5:5" ht="33" customHeight="1" x14ac:dyDescent="0.3">
      <c r="E871" s="3"/>
    </row>
    <row r="872" spans="5:5" ht="33" customHeight="1" x14ac:dyDescent="0.3">
      <c r="E872" s="3"/>
    </row>
    <row r="873" spans="5:5" ht="33" customHeight="1" x14ac:dyDescent="0.3">
      <c r="E873" s="3"/>
    </row>
    <row r="874" spans="5:5" ht="33" customHeight="1" x14ac:dyDescent="0.3">
      <c r="E874" s="3"/>
    </row>
    <row r="875" spans="5:5" ht="33" customHeight="1" x14ac:dyDescent="0.3">
      <c r="E875" s="3"/>
    </row>
    <row r="876" spans="5:5" ht="33" customHeight="1" x14ac:dyDescent="0.3">
      <c r="E876" s="3"/>
    </row>
    <row r="877" spans="5:5" ht="33" customHeight="1" x14ac:dyDescent="0.3">
      <c r="E877" s="3"/>
    </row>
    <row r="878" spans="5:5" ht="33" customHeight="1" x14ac:dyDescent="0.3">
      <c r="E878" s="3"/>
    </row>
    <row r="879" spans="5:5" ht="33" customHeight="1" x14ac:dyDescent="0.3">
      <c r="E879" s="3"/>
    </row>
    <row r="880" spans="5:5" ht="33" customHeight="1" x14ac:dyDescent="0.3">
      <c r="E880" s="3"/>
    </row>
    <row r="881" spans="5:5" ht="33" customHeight="1" x14ac:dyDescent="0.3">
      <c r="E881" s="3"/>
    </row>
    <row r="882" spans="5:5" ht="33" customHeight="1" x14ac:dyDescent="0.3">
      <c r="E882" s="3"/>
    </row>
    <row r="883" spans="5:5" ht="33" customHeight="1" x14ac:dyDescent="0.3">
      <c r="E883" s="3"/>
    </row>
    <row r="884" spans="5:5" ht="33" customHeight="1" x14ac:dyDescent="0.3">
      <c r="E884" s="3"/>
    </row>
    <row r="885" spans="5:5" ht="33" customHeight="1" x14ac:dyDescent="0.3">
      <c r="E885" s="3"/>
    </row>
    <row r="886" spans="5:5" ht="33" customHeight="1" x14ac:dyDescent="0.3">
      <c r="E886" s="3"/>
    </row>
    <row r="887" spans="5:5" ht="33" customHeight="1" x14ac:dyDescent="0.3">
      <c r="E887" s="3"/>
    </row>
    <row r="888" spans="5:5" ht="33" customHeight="1" x14ac:dyDescent="0.3">
      <c r="E888" s="3"/>
    </row>
    <row r="889" spans="5:5" ht="33" customHeight="1" x14ac:dyDescent="0.3">
      <c r="E889" s="3"/>
    </row>
    <row r="890" spans="5:5" ht="33" customHeight="1" x14ac:dyDescent="0.3">
      <c r="E890" s="3"/>
    </row>
    <row r="891" spans="5:5" ht="33" customHeight="1" x14ac:dyDescent="0.3">
      <c r="E891" s="3"/>
    </row>
    <row r="892" spans="5:5" ht="33" customHeight="1" x14ac:dyDescent="0.3">
      <c r="E892" s="3"/>
    </row>
    <row r="893" spans="5:5" ht="33" customHeight="1" x14ac:dyDescent="0.3">
      <c r="E893" s="3"/>
    </row>
    <row r="894" spans="5:5" ht="33" customHeight="1" x14ac:dyDescent="0.3">
      <c r="E894" s="3"/>
    </row>
    <row r="895" spans="5:5" ht="33" customHeight="1" x14ac:dyDescent="0.3">
      <c r="E895" s="3"/>
    </row>
    <row r="896" spans="5:5" ht="33" customHeight="1" x14ac:dyDescent="0.3">
      <c r="E896" s="3"/>
    </row>
    <row r="897" spans="5:5" ht="33" customHeight="1" x14ac:dyDescent="0.3">
      <c r="E897" s="3"/>
    </row>
    <row r="898" spans="5:5" ht="33" customHeight="1" x14ac:dyDescent="0.3">
      <c r="E898" s="3"/>
    </row>
    <row r="899" spans="5:5" ht="33" customHeight="1" x14ac:dyDescent="0.3">
      <c r="E899" s="3"/>
    </row>
    <row r="900" spans="5:5" ht="33" customHeight="1" x14ac:dyDescent="0.3">
      <c r="E900" s="3"/>
    </row>
    <row r="901" spans="5:5" ht="33" customHeight="1" x14ac:dyDescent="0.3">
      <c r="E901" s="3"/>
    </row>
    <row r="902" spans="5:5" ht="33" customHeight="1" x14ac:dyDescent="0.3">
      <c r="E902" s="3"/>
    </row>
    <row r="903" spans="5:5" ht="33" customHeight="1" x14ac:dyDescent="0.3">
      <c r="E903" s="3"/>
    </row>
    <row r="904" spans="5:5" ht="33" customHeight="1" x14ac:dyDescent="0.3">
      <c r="E904" s="3"/>
    </row>
    <row r="905" spans="5:5" ht="33" customHeight="1" x14ac:dyDescent="0.3">
      <c r="E905" s="3"/>
    </row>
    <row r="906" spans="5:5" ht="33" customHeight="1" x14ac:dyDescent="0.3">
      <c r="E906" s="3"/>
    </row>
    <row r="907" spans="5:5" ht="33" customHeight="1" x14ac:dyDescent="0.3">
      <c r="E907" s="3"/>
    </row>
    <row r="908" spans="5:5" ht="33" customHeight="1" x14ac:dyDescent="0.3">
      <c r="E908" s="3"/>
    </row>
    <row r="909" spans="5:5" ht="33" customHeight="1" x14ac:dyDescent="0.3">
      <c r="E909" s="3"/>
    </row>
    <row r="910" spans="5:5" ht="33" customHeight="1" x14ac:dyDescent="0.3">
      <c r="E910" s="3"/>
    </row>
    <row r="911" spans="5:5" ht="33" customHeight="1" x14ac:dyDescent="0.3">
      <c r="E911" s="3"/>
    </row>
    <row r="912" spans="5:5" ht="33" customHeight="1" x14ac:dyDescent="0.3">
      <c r="E912" s="3"/>
    </row>
    <row r="913" spans="5:5" ht="33" customHeight="1" x14ac:dyDescent="0.3">
      <c r="E913" s="3"/>
    </row>
    <row r="914" spans="5:5" ht="33" customHeight="1" x14ac:dyDescent="0.3">
      <c r="E914" s="3"/>
    </row>
    <row r="915" spans="5:5" ht="33" customHeight="1" x14ac:dyDescent="0.3">
      <c r="E915" s="3"/>
    </row>
    <row r="916" spans="5:5" ht="33" customHeight="1" x14ac:dyDescent="0.3">
      <c r="E916" s="3"/>
    </row>
    <row r="917" spans="5:5" ht="33" customHeight="1" x14ac:dyDescent="0.3">
      <c r="E917" s="3"/>
    </row>
    <row r="918" spans="5:5" ht="33" customHeight="1" x14ac:dyDescent="0.3">
      <c r="E918" s="3"/>
    </row>
    <row r="919" spans="5:5" ht="33" customHeight="1" x14ac:dyDescent="0.3">
      <c r="E919" s="3"/>
    </row>
    <row r="920" spans="5:5" ht="33" customHeight="1" x14ac:dyDescent="0.3">
      <c r="E920" s="3"/>
    </row>
    <row r="921" spans="5:5" ht="33" customHeight="1" x14ac:dyDescent="0.3">
      <c r="E921" s="3"/>
    </row>
    <row r="922" spans="5:5" ht="33" customHeight="1" x14ac:dyDescent="0.3">
      <c r="E922" s="3"/>
    </row>
    <row r="923" spans="5:5" ht="33" customHeight="1" x14ac:dyDescent="0.3">
      <c r="E923" s="3"/>
    </row>
    <row r="924" spans="5:5" ht="33" customHeight="1" x14ac:dyDescent="0.3">
      <c r="E924" s="3"/>
    </row>
    <row r="925" spans="5:5" ht="33" customHeight="1" x14ac:dyDescent="0.3">
      <c r="E925" s="3"/>
    </row>
    <row r="926" spans="5:5" ht="33" customHeight="1" x14ac:dyDescent="0.3">
      <c r="E926" s="3"/>
    </row>
    <row r="927" spans="5:5" ht="33" customHeight="1" x14ac:dyDescent="0.3">
      <c r="E927" s="3"/>
    </row>
    <row r="928" spans="5:5" ht="33" customHeight="1" x14ac:dyDescent="0.3">
      <c r="E928" s="3"/>
    </row>
    <row r="929" spans="5:5" ht="33" customHeight="1" x14ac:dyDescent="0.3">
      <c r="E929" s="3"/>
    </row>
    <row r="930" spans="5:5" ht="33" customHeight="1" x14ac:dyDescent="0.3">
      <c r="E930" s="3"/>
    </row>
    <row r="931" spans="5:5" ht="33" customHeight="1" x14ac:dyDescent="0.3">
      <c r="E931" s="3"/>
    </row>
    <row r="932" spans="5:5" ht="33" customHeight="1" x14ac:dyDescent="0.3">
      <c r="E932" s="3"/>
    </row>
    <row r="933" spans="5:5" ht="33" customHeight="1" x14ac:dyDescent="0.3">
      <c r="E933" s="3"/>
    </row>
    <row r="934" spans="5:5" ht="33" customHeight="1" x14ac:dyDescent="0.3">
      <c r="E934" s="3"/>
    </row>
    <row r="935" spans="5:5" ht="33" customHeight="1" x14ac:dyDescent="0.3">
      <c r="E935" s="3"/>
    </row>
    <row r="936" spans="5:5" ht="33" customHeight="1" x14ac:dyDescent="0.3">
      <c r="E936" s="3"/>
    </row>
    <row r="937" spans="5:5" ht="33" customHeight="1" x14ac:dyDescent="0.3">
      <c r="E937" s="3"/>
    </row>
    <row r="938" spans="5:5" ht="33" customHeight="1" x14ac:dyDescent="0.3">
      <c r="E938" s="3"/>
    </row>
    <row r="939" spans="5:5" ht="33" customHeight="1" x14ac:dyDescent="0.3">
      <c r="E939" s="3"/>
    </row>
    <row r="940" spans="5:5" ht="33" customHeight="1" x14ac:dyDescent="0.3">
      <c r="E940" s="3"/>
    </row>
    <row r="941" spans="5:5" ht="33" customHeight="1" x14ac:dyDescent="0.3">
      <c r="E941" s="3"/>
    </row>
    <row r="942" spans="5:5" ht="33" customHeight="1" x14ac:dyDescent="0.3">
      <c r="E942" s="3"/>
    </row>
    <row r="943" spans="5:5" ht="33" customHeight="1" x14ac:dyDescent="0.3">
      <c r="E943" s="3"/>
    </row>
    <row r="944" spans="5:5" ht="33" customHeight="1" x14ac:dyDescent="0.3">
      <c r="E944" s="3"/>
    </row>
    <row r="945" spans="5:5" ht="33" customHeight="1" x14ac:dyDescent="0.3">
      <c r="E945" s="3"/>
    </row>
    <row r="946" spans="5:5" ht="33" customHeight="1" x14ac:dyDescent="0.3">
      <c r="E946" s="3"/>
    </row>
    <row r="947" spans="5:5" ht="33" customHeight="1" x14ac:dyDescent="0.3">
      <c r="E947" s="3"/>
    </row>
    <row r="948" spans="5:5" ht="33" customHeight="1" x14ac:dyDescent="0.3">
      <c r="E948" s="3"/>
    </row>
    <row r="949" spans="5:5" ht="33" customHeight="1" x14ac:dyDescent="0.3">
      <c r="E949" s="3"/>
    </row>
    <row r="950" spans="5:5" ht="33" customHeight="1" x14ac:dyDescent="0.3">
      <c r="E950" s="3"/>
    </row>
    <row r="951" spans="5:5" ht="33" customHeight="1" x14ac:dyDescent="0.3">
      <c r="E951" s="3"/>
    </row>
    <row r="952" spans="5:5" ht="33" customHeight="1" x14ac:dyDescent="0.3">
      <c r="E952" s="3"/>
    </row>
    <row r="953" spans="5:5" ht="33" customHeight="1" x14ac:dyDescent="0.3">
      <c r="E953" s="3"/>
    </row>
    <row r="954" spans="5:5" ht="33" customHeight="1" x14ac:dyDescent="0.3">
      <c r="E954" s="3"/>
    </row>
    <row r="955" spans="5:5" ht="33" customHeight="1" x14ac:dyDescent="0.3">
      <c r="E955" s="3"/>
    </row>
    <row r="956" spans="5:5" ht="33" customHeight="1" x14ac:dyDescent="0.3">
      <c r="E956" s="3"/>
    </row>
    <row r="957" spans="5:5" ht="33" customHeight="1" x14ac:dyDescent="0.3">
      <c r="E957" s="3"/>
    </row>
    <row r="958" spans="5:5" ht="33" customHeight="1" x14ac:dyDescent="0.3">
      <c r="E958" s="3"/>
    </row>
    <row r="959" spans="5:5" ht="33" customHeight="1" x14ac:dyDescent="0.3">
      <c r="E959" s="3"/>
    </row>
    <row r="960" spans="5:5" ht="33" customHeight="1" x14ac:dyDescent="0.3">
      <c r="E960" s="3"/>
    </row>
    <row r="961" spans="5:5" ht="33" customHeight="1" x14ac:dyDescent="0.3">
      <c r="E961" s="3"/>
    </row>
    <row r="962" spans="5:5" ht="33" customHeight="1" x14ac:dyDescent="0.3">
      <c r="E962" s="3"/>
    </row>
    <row r="963" spans="5:5" ht="33" customHeight="1" x14ac:dyDescent="0.3">
      <c r="E963" s="3"/>
    </row>
    <row r="964" spans="5:5" ht="33" customHeight="1" x14ac:dyDescent="0.3">
      <c r="E964" s="3"/>
    </row>
    <row r="965" spans="5:5" ht="33" customHeight="1" x14ac:dyDescent="0.3">
      <c r="E965" s="3"/>
    </row>
    <row r="966" spans="5:5" ht="33" customHeight="1" x14ac:dyDescent="0.3">
      <c r="E966" s="3"/>
    </row>
    <row r="967" spans="5:5" ht="33" customHeight="1" x14ac:dyDescent="0.3">
      <c r="E967" s="3"/>
    </row>
    <row r="968" spans="5:5" ht="33" customHeight="1" x14ac:dyDescent="0.3">
      <c r="E968" s="3"/>
    </row>
    <row r="969" spans="5:5" ht="33" customHeight="1" x14ac:dyDescent="0.3">
      <c r="E969" s="3"/>
    </row>
    <row r="970" spans="5:5" ht="33" customHeight="1" x14ac:dyDescent="0.3">
      <c r="E970" s="3"/>
    </row>
    <row r="971" spans="5:5" ht="33" customHeight="1" x14ac:dyDescent="0.3">
      <c r="E971" s="3"/>
    </row>
    <row r="972" spans="5:5" ht="33" customHeight="1" x14ac:dyDescent="0.3">
      <c r="E972" s="3"/>
    </row>
    <row r="973" spans="5:5" ht="33" customHeight="1" x14ac:dyDescent="0.3">
      <c r="E973" s="3"/>
    </row>
    <row r="974" spans="5:5" ht="33" customHeight="1" x14ac:dyDescent="0.3">
      <c r="E974" s="3"/>
    </row>
    <row r="975" spans="5:5" ht="33" customHeight="1" x14ac:dyDescent="0.3">
      <c r="E975" s="3"/>
    </row>
    <row r="976" spans="5:5" ht="33" customHeight="1" x14ac:dyDescent="0.3">
      <c r="E976" s="3"/>
    </row>
    <row r="977" spans="5:5" ht="33" customHeight="1" x14ac:dyDescent="0.3">
      <c r="E977" s="3"/>
    </row>
    <row r="978" spans="5:5" ht="33" customHeight="1" x14ac:dyDescent="0.3">
      <c r="E978" s="3"/>
    </row>
    <row r="979" spans="5:5" ht="33" customHeight="1" x14ac:dyDescent="0.3">
      <c r="E979" s="3"/>
    </row>
    <row r="980" spans="5:5" ht="33" customHeight="1" x14ac:dyDescent="0.3">
      <c r="E980" s="3"/>
    </row>
    <row r="981" spans="5:5" ht="33" customHeight="1" x14ac:dyDescent="0.3">
      <c r="E981" s="3"/>
    </row>
    <row r="982" spans="5:5" ht="33" customHeight="1" x14ac:dyDescent="0.3">
      <c r="E982" s="3"/>
    </row>
    <row r="983" spans="5:5" ht="33" customHeight="1" x14ac:dyDescent="0.3">
      <c r="E983" s="3"/>
    </row>
    <row r="984" spans="5:5" ht="33" customHeight="1" x14ac:dyDescent="0.3">
      <c r="E984" s="3"/>
    </row>
    <row r="985" spans="5:5" ht="33" customHeight="1" x14ac:dyDescent="0.3">
      <c r="E985" s="3"/>
    </row>
    <row r="986" spans="5:5" ht="33" customHeight="1" x14ac:dyDescent="0.3">
      <c r="E986" s="3"/>
    </row>
    <row r="987" spans="5:5" ht="33" customHeight="1" x14ac:dyDescent="0.3">
      <c r="E987" s="3"/>
    </row>
    <row r="988" spans="5:5" ht="33" customHeight="1" x14ac:dyDescent="0.3">
      <c r="E988" s="3"/>
    </row>
    <row r="989" spans="5:5" ht="33" customHeight="1" x14ac:dyDescent="0.3">
      <c r="E989" s="3"/>
    </row>
    <row r="990" spans="5:5" ht="33" customHeight="1" x14ac:dyDescent="0.3">
      <c r="E990" s="3"/>
    </row>
    <row r="991" spans="5:5" ht="33" customHeight="1" x14ac:dyDescent="0.3">
      <c r="E991" s="3"/>
    </row>
    <row r="992" spans="5:5" ht="33" customHeight="1" x14ac:dyDescent="0.3">
      <c r="E992" s="3"/>
    </row>
    <row r="993" spans="5:5" ht="33" customHeight="1" x14ac:dyDescent="0.3">
      <c r="E993" s="3"/>
    </row>
    <row r="994" spans="5:5" ht="33" customHeight="1" x14ac:dyDescent="0.3">
      <c r="E994" s="3"/>
    </row>
    <row r="995" spans="5:5" ht="33" customHeight="1" x14ac:dyDescent="0.3">
      <c r="E995" s="3"/>
    </row>
    <row r="996" spans="5:5" ht="33" customHeight="1" x14ac:dyDescent="0.3">
      <c r="E996" s="3"/>
    </row>
    <row r="997" spans="5:5" ht="33" customHeight="1" x14ac:dyDescent="0.3">
      <c r="E997" s="3"/>
    </row>
    <row r="998" spans="5:5" ht="33" customHeight="1" x14ac:dyDescent="0.3">
      <c r="E998" s="3"/>
    </row>
    <row r="999" spans="5:5" ht="33" customHeight="1" x14ac:dyDescent="0.3">
      <c r="E999" s="3"/>
    </row>
    <row r="1000" spans="5:5" ht="33" customHeight="1" x14ac:dyDescent="0.3">
      <c r="E1000" s="3"/>
    </row>
    <row r="1001" spans="5:5" ht="33" customHeight="1" x14ac:dyDescent="0.3">
      <c r="E1001" s="3"/>
    </row>
    <row r="1002" spans="5:5" ht="33" customHeight="1" x14ac:dyDescent="0.3">
      <c r="E1002" s="3"/>
    </row>
    <row r="1003" spans="5:5" ht="33" customHeight="1" x14ac:dyDescent="0.3">
      <c r="E1003" s="3"/>
    </row>
    <row r="1004" spans="5:5" ht="33" customHeight="1" x14ac:dyDescent="0.3">
      <c r="E1004" s="3"/>
    </row>
    <row r="1005" spans="5:5" ht="33" customHeight="1" x14ac:dyDescent="0.3">
      <c r="E1005" s="3"/>
    </row>
    <row r="1006" spans="5:5" ht="33" customHeight="1" x14ac:dyDescent="0.3">
      <c r="E1006" s="3"/>
    </row>
    <row r="1007" spans="5:5" ht="33" customHeight="1" x14ac:dyDescent="0.3">
      <c r="E1007" s="3"/>
    </row>
    <row r="1008" spans="5:5" ht="33" customHeight="1" x14ac:dyDescent="0.3">
      <c r="E1008" s="3"/>
    </row>
    <row r="1009" spans="5:5" ht="33" customHeight="1" x14ac:dyDescent="0.3">
      <c r="E1009" s="3"/>
    </row>
    <row r="1010" spans="5:5" ht="33" customHeight="1" x14ac:dyDescent="0.3">
      <c r="E1010" s="3"/>
    </row>
    <row r="1011" spans="5:5" ht="33" customHeight="1" x14ac:dyDescent="0.3">
      <c r="E1011" s="3"/>
    </row>
    <row r="1012" spans="5:5" ht="33" customHeight="1" x14ac:dyDescent="0.3">
      <c r="E1012" s="3"/>
    </row>
    <row r="1013" spans="5:5" ht="33" customHeight="1" x14ac:dyDescent="0.3">
      <c r="E1013" s="3"/>
    </row>
    <row r="1014" spans="5:5" ht="33" customHeight="1" x14ac:dyDescent="0.3">
      <c r="E1014" s="3"/>
    </row>
    <row r="1015" spans="5:5" ht="33" customHeight="1" x14ac:dyDescent="0.3">
      <c r="E1015" s="3"/>
    </row>
    <row r="1016" spans="5:5" ht="33" customHeight="1" x14ac:dyDescent="0.3">
      <c r="E1016" s="3"/>
    </row>
    <row r="1017" spans="5:5" ht="33" customHeight="1" x14ac:dyDescent="0.3">
      <c r="E1017" s="3"/>
    </row>
    <row r="1018" spans="5:5" ht="33" customHeight="1" x14ac:dyDescent="0.3">
      <c r="E1018" s="3"/>
    </row>
    <row r="1019" spans="5:5" ht="33" customHeight="1" x14ac:dyDescent="0.3">
      <c r="E1019" s="3"/>
    </row>
    <row r="1020" spans="5:5" ht="33" customHeight="1" x14ac:dyDescent="0.3">
      <c r="E1020" s="3"/>
    </row>
    <row r="1021" spans="5:5" ht="33" customHeight="1" x14ac:dyDescent="0.3">
      <c r="E1021" s="3"/>
    </row>
    <row r="1022" spans="5:5" ht="33" customHeight="1" x14ac:dyDescent="0.3">
      <c r="E1022" s="3"/>
    </row>
    <row r="1023" spans="5:5" ht="33" customHeight="1" x14ac:dyDescent="0.3">
      <c r="E1023" s="3"/>
    </row>
    <row r="1024" spans="5:5" ht="33" customHeight="1" x14ac:dyDescent="0.3">
      <c r="E1024" s="3"/>
    </row>
    <row r="1025" spans="5:5" ht="33" customHeight="1" x14ac:dyDescent="0.3">
      <c r="E1025" s="3"/>
    </row>
    <row r="1026" spans="5:5" ht="33" customHeight="1" x14ac:dyDescent="0.3">
      <c r="E1026" s="3"/>
    </row>
    <row r="1027" spans="5:5" ht="33" customHeight="1" x14ac:dyDescent="0.3">
      <c r="E1027" s="3"/>
    </row>
    <row r="1028" spans="5:5" ht="33" customHeight="1" x14ac:dyDescent="0.3">
      <c r="E1028" s="3"/>
    </row>
    <row r="1029" spans="5:5" ht="33" customHeight="1" x14ac:dyDescent="0.3">
      <c r="E1029" s="3"/>
    </row>
    <row r="1030" spans="5:5" ht="33" customHeight="1" x14ac:dyDescent="0.3">
      <c r="E1030" s="3"/>
    </row>
    <row r="1031" spans="5:5" ht="33" customHeight="1" x14ac:dyDescent="0.3">
      <c r="E1031" s="3"/>
    </row>
    <row r="1032" spans="5:5" ht="33" customHeight="1" x14ac:dyDescent="0.3">
      <c r="E1032" s="3"/>
    </row>
    <row r="1033" spans="5:5" ht="33" customHeight="1" x14ac:dyDescent="0.3">
      <c r="E1033" s="3"/>
    </row>
    <row r="1034" spans="5:5" ht="33" customHeight="1" x14ac:dyDescent="0.3">
      <c r="E1034" s="3"/>
    </row>
    <row r="1035" spans="5:5" ht="33" customHeight="1" x14ac:dyDescent="0.3">
      <c r="E1035" s="3"/>
    </row>
    <row r="1036" spans="5:5" ht="33" customHeight="1" x14ac:dyDescent="0.3">
      <c r="E1036" s="3"/>
    </row>
    <row r="1037" spans="5:5" ht="33" customHeight="1" x14ac:dyDescent="0.3">
      <c r="E1037" s="3"/>
    </row>
    <row r="1038" spans="5:5" ht="33" customHeight="1" x14ac:dyDescent="0.3">
      <c r="E1038" s="3"/>
    </row>
    <row r="1039" spans="5:5" ht="33" customHeight="1" x14ac:dyDescent="0.3">
      <c r="E1039" s="3"/>
    </row>
    <row r="1040" spans="5:5" ht="33" customHeight="1" x14ac:dyDescent="0.3">
      <c r="E1040" s="3"/>
    </row>
    <row r="1041" spans="5:5" ht="33" customHeight="1" x14ac:dyDescent="0.3">
      <c r="E1041" s="3"/>
    </row>
    <row r="1042" spans="5:5" ht="33" customHeight="1" x14ac:dyDescent="0.3">
      <c r="E1042" s="3"/>
    </row>
    <row r="1043" spans="5:5" ht="33" customHeight="1" x14ac:dyDescent="0.3">
      <c r="E1043" s="3"/>
    </row>
    <row r="1044" spans="5:5" ht="33" customHeight="1" x14ac:dyDescent="0.3">
      <c r="E1044" s="3"/>
    </row>
    <row r="1045" spans="5:5" ht="33" customHeight="1" x14ac:dyDescent="0.3">
      <c r="E1045" s="3"/>
    </row>
    <row r="1046" spans="5:5" ht="33" customHeight="1" x14ac:dyDescent="0.3">
      <c r="E1046" s="3"/>
    </row>
    <row r="1047" spans="5:5" ht="33" customHeight="1" x14ac:dyDescent="0.3">
      <c r="E1047" s="3"/>
    </row>
    <row r="1048" spans="5:5" ht="33" customHeight="1" x14ac:dyDescent="0.3">
      <c r="E1048" s="3"/>
    </row>
    <row r="1049" spans="5:5" ht="33" customHeight="1" x14ac:dyDescent="0.3">
      <c r="E1049" s="3"/>
    </row>
    <row r="1050" spans="5:5" ht="33" customHeight="1" x14ac:dyDescent="0.3">
      <c r="E1050" s="3"/>
    </row>
    <row r="1051" spans="5:5" ht="33" customHeight="1" x14ac:dyDescent="0.3">
      <c r="E1051" s="3"/>
    </row>
    <row r="1052" spans="5:5" ht="33" customHeight="1" x14ac:dyDescent="0.3">
      <c r="E1052" s="3"/>
    </row>
    <row r="1053" spans="5:5" ht="33" customHeight="1" x14ac:dyDescent="0.3">
      <c r="E1053" s="3"/>
    </row>
    <row r="1054" spans="5:5" ht="33" customHeight="1" x14ac:dyDescent="0.3">
      <c r="E1054" s="3"/>
    </row>
    <row r="1055" spans="5:5" ht="33" customHeight="1" x14ac:dyDescent="0.3">
      <c r="E1055" s="3"/>
    </row>
    <row r="1056" spans="5:5" ht="33" customHeight="1" x14ac:dyDescent="0.3">
      <c r="E1056" s="3"/>
    </row>
    <row r="1057" spans="5:5" ht="33" customHeight="1" x14ac:dyDescent="0.3">
      <c r="E1057" s="3"/>
    </row>
    <row r="1058" spans="5:5" ht="33" customHeight="1" x14ac:dyDescent="0.3">
      <c r="E1058" s="3"/>
    </row>
    <row r="1059" spans="5:5" ht="33" customHeight="1" x14ac:dyDescent="0.3">
      <c r="E1059" s="3"/>
    </row>
    <row r="1060" spans="5:5" ht="33" customHeight="1" x14ac:dyDescent="0.3">
      <c r="E1060" s="3"/>
    </row>
    <row r="1061" spans="5:5" ht="33" customHeight="1" x14ac:dyDescent="0.3">
      <c r="E1061" s="3"/>
    </row>
    <row r="1062" spans="5:5" ht="33" customHeight="1" x14ac:dyDescent="0.3">
      <c r="E1062" s="3"/>
    </row>
    <row r="1063" spans="5:5" ht="33" customHeight="1" x14ac:dyDescent="0.3">
      <c r="E1063" s="3"/>
    </row>
    <row r="1064" spans="5:5" ht="33" customHeight="1" x14ac:dyDescent="0.3">
      <c r="E1064" s="3"/>
    </row>
    <row r="1065" spans="5:5" ht="33" customHeight="1" x14ac:dyDescent="0.3">
      <c r="E1065" s="3"/>
    </row>
    <row r="1066" spans="5:5" ht="33" customHeight="1" x14ac:dyDescent="0.3">
      <c r="E1066" s="3"/>
    </row>
    <row r="1067" spans="5:5" ht="33" customHeight="1" x14ac:dyDescent="0.3">
      <c r="E1067" s="3"/>
    </row>
    <row r="1068" spans="5:5" ht="33" customHeight="1" x14ac:dyDescent="0.3">
      <c r="E1068" s="3"/>
    </row>
    <row r="1069" spans="5:5" ht="33" customHeight="1" x14ac:dyDescent="0.3">
      <c r="E1069" s="3"/>
    </row>
    <row r="1070" spans="5:5" ht="33" customHeight="1" x14ac:dyDescent="0.3">
      <c r="E1070" s="3"/>
    </row>
    <row r="1071" spans="5:5" ht="33" customHeight="1" x14ac:dyDescent="0.3">
      <c r="E1071" s="3"/>
    </row>
    <row r="1072" spans="5:5" ht="33" customHeight="1" x14ac:dyDescent="0.3">
      <c r="E1072" s="3"/>
    </row>
    <row r="1073" spans="5:5" ht="33" customHeight="1" x14ac:dyDescent="0.3">
      <c r="E1073" s="3"/>
    </row>
    <row r="1074" spans="5:5" ht="33" customHeight="1" x14ac:dyDescent="0.3">
      <c r="E1074" s="3"/>
    </row>
    <row r="1075" spans="5:5" ht="33" customHeight="1" x14ac:dyDescent="0.3">
      <c r="E1075" s="3"/>
    </row>
    <row r="1076" spans="5:5" ht="33" customHeight="1" x14ac:dyDescent="0.3">
      <c r="E1076" s="3"/>
    </row>
    <row r="1077" spans="5:5" ht="33" customHeight="1" x14ac:dyDescent="0.3">
      <c r="E1077" s="3"/>
    </row>
    <row r="1078" spans="5:5" ht="33" customHeight="1" x14ac:dyDescent="0.3">
      <c r="E1078" s="3"/>
    </row>
    <row r="1079" spans="5:5" ht="33" customHeight="1" x14ac:dyDescent="0.3">
      <c r="E1079" s="3"/>
    </row>
    <row r="1080" spans="5:5" ht="33" customHeight="1" x14ac:dyDescent="0.3">
      <c r="E1080" s="3"/>
    </row>
    <row r="1081" spans="5:5" ht="33" customHeight="1" x14ac:dyDescent="0.3">
      <c r="E1081" s="3"/>
    </row>
    <row r="1082" spans="5:5" ht="33" customHeight="1" x14ac:dyDescent="0.3">
      <c r="E1082" s="3"/>
    </row>
    <row r="1083" spans="5:5" ht="33" customHeight="1" x14ac:dyDescent="0.3">
      <c r="E1083" s="3"/>
    </row>
    <row r="1084" spans="5:5" ht="33" customHeight="1" x14ac:dyDescent="0.3">
      <c r="E1084" s="3"/>
    </row>
    <row r="1085" spans="5:5" ht="33" customHeight="1" x14ac:dyDescent="0.3">
      <c r="E1085" s="3"/>
    </row>
    <row r="1086" spans="5:5" ht="33" customHeight="1" x14ac:dyDescent="0.3">
      <c r="E1086" s="3"/>
    </row>
    <row r="1087" spans="5:5" ht="33" customHeight="1" x14ac:dyDescent="0.3">
      <c r="E1087" s="3"/>
    </row>
    <row r="1088" spans="5:5" ht="33" customHeight="1" x14ac:dyDescent="0.3">
      <c r="E1088" s="3"/>
    </row>
    <row r="1089" spans="5:5" ht="33" customHeight="1" x14ac:dyDescent="0.3">
      <c r="E1089" s="3"/>
    </row>
    <row r="1090" spans="5:5" ht="33" customHeight="1" x14ac:dyDescent="0.3">
      <c r="E1090" s="3"/>
    </row>
    <row r="1091" spans="5:5" ht="33" customHeight="1" x14ac:dyDescent="0.3">
      <c r="E1091" s="3"/>
    </row>
    <row r="1092" spans="5:5" ht="33" customHeight="1" x14ac:dyDescent="0.3">
      <c r="E1092" s="3"/>
    </row>
    <row r="1093" spans="5:5" ht="33" customHeight="1" x14ac:dyDescent="0.3">
      <c r="E1093" s="3"/>
    </row>
    <row r="1094" spans="5:5" ht="33" customHeight="1" x14ac:dyDescent="0.3">
      <c r="E1094" s="3"/>
    </row>
    <row r="1095" spans="5:5" ht="33" customHeight="1" x14ac:dyDescent="0.3">
      <c r="E1095" s="3"/>
    </row>
    <row r="1096" spans="5:5" ht="33" customHeight="1" x14ac:dyDescent="0.3">
      <c r="E1096" s="3"/>
    </row>
    <row r="1097" spans="5:5" ht="33" customHeight="1" x14ac:dyDescent="0.3">
      <c r="E1097" s="3"/>
    </row>
    <row r="1098" spans="5:5" ht="33" customHeight="1" x14ac:dyDescent="0.3">
      <c r="E1098" s="3"/>
    </row>
    <row r="1099" spans="5:5" ht="33" customHeight="1" x14ac:dyDescent="0.3">
      <c r="E1099" s="3"/>
    </row>
    <row r="1100" spans="5:5" ht="33" customHeight="1" x14ac:dyDescent="0.3">
      <c r="E1100" s="3"/>
    </row>
    <row r="1101" spans="5:5" ht="33" customHeight="1" x14ac:dyDescent="0.3">
      <c r="E1101" s="3"/>
    </row>
    <row r="1102" spans="5:5" ht="33" customHeight="1" x14ac:dyDescent="0.3">
      <c r="E1102" s="3"/>
    </row>
    <row r="1103" spans="5:5" ht="33" customHeight="1" x14ac:dyDescent="0.3">
      <c r="E1103" s="3"/>
    </row>
    <row r="1104" spans="5:5" ht="33" customHeight="1" x14ac:dyDescent="0.3">
      <c r="E1104" s="3"/>
    </row>
    <row r="1105" spans="5:5" ht="33" customHeight="1" x14ac:dyDescent="0.3">
      <c r="E1105" s="3"/>
    </row>
    <row r="1106" spans="5:5" ht="33" customHeight="1" x14ac:dyDescent="0.3">
      <c r="E1106" s="3"/>
    </row>
    <row r="1107" spans="5:5" ht="33" customHeight="1" x14ac:dyDescent="0.3">
      <c r="E1107" s="3"/>
    </row>
    <row r="1108" spans="5:5" ht="33" customHeight="1" x14ac:dyDescent="0.3">
      <c r="E1108" s="3"/>
    </row>
    <row r="1109" spans="5:5" ht="33" customHeight="1" x14ac:dyDescent="0.3">
      <c r="E1109" s="3"/>
    </row>
    <row r="1110" spans="5:5" ht="33" customHeight="1" x14ac:dyDescent="0.3">
      <c r="E1110" s="3"/>
    </row>
    <row r="1111" spans="5:5" ht="33" customHeight="1" x14ac:dyDescent="0.3">
      <c r="E1111" s="3"/>
    </row>
    <row r="1112" spans="5:5" ht="33" customHeight="1" x14ac:dyDescent="0.3">
      <c r="E1112" s="3"/>
    </row>
    <row r="1113" spans="5:5" ht="33" customHeight="1" x14ac:dyDescent="0.3">
      <c r="E1113" s="3"/>
    </row>
    <row r="1114" spans="5:5" ht="33" customHeight="1" x14ac:dyDescent="0.3">
      <c r="E1114" s="3"/>
    </row>
    <row r="1115" spans="5:5" ht="33" customHeight="1" x14ac:dyDescent="0.3">
      <c r="E1115" s="3"/>
    </row>
    <row r="1116" spans="5:5" ht="33" customHeight="1" x14ac:dyDescent="0.3">
      <c r="E1116" s="3"/>
    </row>
    <row r="1117" spans="5:5" ht="33" customHeight="1" x14ac:dyDescent="0.3">
      <c r="E1117" s="3"/>
    </row>
    <row r="1118" spans="5:5" ht="33" customHeight="1" x14ac:dyDescent="0.3">
      <c r="E1118" s="3"/>
    </row>
    <row r="1119" spans="5:5" ht="33" customHeight="1" x14ac:dyDescent="0.3">
      <c r="E1119" s="3"/>
    </row>
    <row r="1120" spans="5:5" ht="33" customHeight="1" x14ac:dyDescent="0.3">
      <c r="E1120" s="3"/>
    </row>
    <row r="1121" spans="5:5" ht="33" customHeight="1" x14ac:dyDescent="0.3">
      <c r="E1121" s="3"/>
    </row>
    <row r="1122" spans="5:5" ht="33" customHeight="1" x14ac:dyDescent="0.3">
      <c r="E1122" s="3"/>
    </row>
    <row r="1123" spans="5:5" ht="33" customHeight="1" x14ac:dyDescent="0.3">
      <c r="E1123" s="3"/>
    </row>
    <row r="1124" spans="5:5" ht="33" customHeight="1" x14ac:dyDescent="0.3">
      <c r="E1124" s="3"/>
    </row>
    <row r="1125" spans="5:5" ht="33" customHeight="1" x14ac:dyDescent="0.3">
      <c r="E1125" s="3"/>
    </row>
    <row r="1126" spans="5:5" ht="33" customHeight="1" x14ac:dyDescent="0.3">
      <c r="E1126" s="3"/>
    </row>
    <row r="1127" spans="5:5" ht="33" customHeight="1" x14ac:dyDescent="0.3">
      <c r="E1127" s="3"/>
    </row>
    <row r="1128" spans="5:5" ht="33" customHeight="1" x14ac:dyDescent="0.3">
      <c r="E1128" s="3"/>
    </row>
    <row r="1129" spans="5:5" ht="33" customHeight="1" x14ac:dyDescent="0.3">
      <c r="E1129" s="3"/>
    </row>
    <row r="1130" spans="5:5" ht="33" customHeight="1" x14ac:dyDescent="0.3">
      <c r="E1130" s="3"/>
    </row>
    <row r="1131" spans="5:5" ht="33" customHeight="1" x14ac:dyDescent="0.3">
      <c r="E1131" s="3"/>
    </row>
    <row r="1132" spans="5:5" ht="33" customHeight="1" x14ac:dyDescent="0.3">
      <c r="E1132" s="3"/>
    </row>
    <row r="1133" spans="5:5" ht="33" customHeight="1" x14ac:dyDescent="0.3">
      <c r="E1133" s="3"/>
    </row>
    <row r="1134" spans="5:5" ht="33" customHeight="1" x14ac:dyDescent="0.3">
      <c r="E1134" s="3"/>
    </row>
    <row r="1135" spans="5:5" ht="33" customHeight="1" x14ac:dyDescent="0.3">
      <c r="E1135" s="3"/>
    </row>
    <row r="1136" spans="5:5" ht="33" customHeight="1" x14ac:dyDescent="0.3">
      <c r="E1136" s="3"/>
    </row>
    <row r="1137" spans="5:5" ht="33" customHeight="1" x14ac:dyDescent="0.3">
      <c r="E1137" s="3"/>
    </row>
    <row r="1138" spans="5:5" ht="33" customHeight="1" x14ac:dyDescent="0.3">
      <c r="E1138" s="3"/>
    </row>
    <row r="1139" spans="5:5" ht="33" customHeight="1" x14ac:dyDescent="0.3">
      <c r="E1139" s="3"/>
    </row>
    <row r="1140" spans="5:5" ht="33" customHeight="1" x14ac:dyDescent="0.3">
      <c r="E1140" s="3"/>
    </row>
    <row r="1141" spans="5:5" ht="33" customHeight="1" x14ac:dyDescent="0.3">
      <c r="E1141" s="3"/>
    </row>
    <row r="1142" spans="5:5" ht="33" customHeight="1" x14ac:dyDescent="0.3">
      <c r="E1142" s="3"/>
    </row>
    <row r="1143" spans="5:5" ht="33" customHeight="1" x14ac:dyDescent="0.3">
      <c r="E1143" s="3"/>
    </row>
    <row r="1144" spans="5:5" ht="33" customHeight="1" x14ac:dyDescent="0.3">
      <c r="E1144" s="3"/>
    </row>
    <row r="1145" spans="5:5" ht="33" customHeight="1" x14ac:dyDescent="0.3">
      <c r="E1145" s="3"/>
    </row>
    <row r="1146" spans="5:5" ht="33" customHeight="1" x14ac:dyDescent="0.3">
      <c r="E1146" s="3"/>
    </row>
    <row r="1147" spans="5:5" ht="33" customHeight="1" x14ac:dyDescent="0.3">
      <c r="E1147" s="3"/>
    </row>
    <row r="1148" spans="5:5" ht="33" customHeight="1" x14ac:dyDescent="0.3">
      <c r="E1148" s="3"/>
    </row>
    <row r="1149" spans="5:5" ht="33" customHeight="1" x14ac:dyDescent="0.3">
      <c r="E1149" s="3"/>
    </row>
    <row r="1150" spans="5:5" ht="33" customHeight="1" x14ac:dyDescent="0.3">
      <c r="E1150" s="3"/>
    </row>
    <row r="1151" spans="5:5" ht="33" customHeight="1" x14ac:dyDescent="0.3">
      <c r="E1151" s="3"/>
    </row>
    <row r="1152" spans="5:5" ht="33" customHeight="1" x14ac:dyDescent="0.3">
      <c r="E1152" s="3"/>
    </row>
    <row r="1153" spans="5:5" ht="33" customHeight="1" x14ac:dyDescent="0.3">
      <c r="E1153" s="3"/>
    </row>
    <row r="1154" spans="5:5" ht="33" customHeight="1" x14ac:dyDescent="0.3">
      <c r="E1154" s="3"/>
    </row>
    <row r="1155" spans="5:5" ht="33" customHeight="1" x14ac:dyDescent="0.3">
      <c r="E1155" s="3"/>
    </row>
    <row r="1156" spans="5:5" ht="33" customHeight="1" x14ac:dyDescent="0.3">
      <c r="E1156" s="3"/>
    </row>
    <row r="1157" spans="5:5" ht="33" customHeight="1" x14ac:dyDescent="0.3">
      <c r="E1157" s="3"/>
    </row>
    <row r="1158" spans="5:5" ht="33" customHeight="1" x14ac:dyDescent="0.3">
      <c r="E1158" s="3"/>
    </row>
    <row r="1159" spans="5:5" ht="33" customHeight="1" x14ac:dyDescent="0.3">
      <c r="E1159" s="3"/>
    </row>
    <row r="1160" spans="5:5" ht="33" customHeight="1" x14ac:dyDescent="0.3">
      <c r="E1160" s="3"/>
    </row>
    <row r="1161" spans="5:5" ht="33" customHeight="1" x14ac:dyDescent="0.3">
      <c r="E1161" s="3"/>
    </row>
    <row r="1162" spans="5:5" ht="33" customHeight="1" x14ac:dyDescent="0.3">
      <c r="E1162" s="3"/>
    </row>
    <row r="1163" spans="5:5" ht="33" customHeight="1" x14ac:dyDescent="0.3">
      <c r="E1163" s="3"/>
    </row>
    <row r="1164" spans="5:5" ht="33" customHeight="1" x14ac:dyDescent="0.3">
      <c r="E1164" s="3"/>
    </row>
    <row r="1165" spans="5:5" ht="33" customHeight="1" x14ac:dyDescent="0.3">
      <c r="E1165" s="3"/>
    </row>
    <row r="1166" spans="5:5" ht="33" customHeight="1" x14ac:dyDescent="0.3">
      <c r="E1166" s="3"/>
    </row>
    <row r="1167" spans="5:5" ht="33" customHeight="1" x14ac:dyDescent="0.3">
      <c r="E1167" s="3"/>
    </row>
    <row r="1168" spans="5:5" ht="33" customHeight="1" x14ac:dyDescent="0.3">
      <c r="E1168" s="3"/>
    </row>
    <row r="1169" spans="5:5" ht="33" customHeight="1" x14ac:dyDescent="0.3">
      <c r="E1169" s="3"/>
    </row>
    <row r="1170" spans="5:5" ht="33" customHeight="1" x14ac:dyDescent="0.3">
      <c r="E1170" s="3"/>
    </row>
    <row r="1171" spans="5:5" ht="33" customHeight="1" x14ac:dyDescent="0.3">
      <c r="E1171" s="3"/>
    </row>
    <row r="1172" spans="5:5" ht="33" customHeight="1" x14ac:dyDescent="0.3">
      <c r="E1172" s="3"/>
    </row>
    <row r="1173" spans="5:5" ht="33" customHeight="1" x14ac:dyDescent="0.3">
      <c r="E1173" s="3"/>
    </row>
    <row r="1174" spans="5:5" ht="33" customHeight="1" x14ac:dyDescent="0.3">
      <c r="E1174" s="3"/>
    </row>
    <row r="1175" spans="5:5" ht="33" customHeight="1" x14ac:dyDescent="0.3">
      <c r="E1175" s="3"/>
    </row>
    <row r="1176" spans="5:5" ht="33" customHeight="1" x14ac:dyDescent="0.3">
      <c r="E1176" s="3"/>
    </row>
    <row r="1177" spans="5:5" ht="33" customHeight="1" x14ac:dyDescent="0.3">
      <c r="E1177" s="3"/>
    </row>
    <row r="1178" spans="5:5" ht="33" customHeight="1" x14ac:dyDescent="0.3">
      <c r="E1178" s="3"/>
    </row>
    <row r="1179" spans="5:5" ht="33" customHeight="1" x14ac:dyDescent="0.3">
      <c r="E1179" s="3"/>
    </row>
    <row r="1180" spans="5:5" ht="33" customHeight="1" x14ac:dyDescent="0.3">
      <c r="E1180" s="3"/>
    </row>
    <row r="1181" spans="5:5" ht="33" customHeight="1" x14ac:dyDescent="0.3">
      <c r="E1181" s="3"/>
    </row>
    <row r="1182" spans="5:5" ht="33" customHeight="1" x14ac:dyDescent="0.3">
      <c r="E1182" s="3"/>
    </row>
    <row r="1183" spans="5:5" ht="33" customHeight="1" x14ac:dyDescent="0.3">
      <c r="E1183" s="3"/>
    </row>
    <row r="1184" spans="5:5" ht="33" customHeight="1" x14ac:dyDescent="0.3">
      <c r="E1184" s="3"/>
    </row>
    <row r="1185" spans="5:5" ht="33" customHeight="1" x14ac:dyDescent="0.3">
      <c r="E1185" s="3"/>
    </row>
    <row r="1186" spans="5:5" ht="33" customHeight="1" x14ac:dyDescent="0.3">
      <c r="E1186" s="3"/>
    </row>
    <row r="1187" spans="5:5" ht="33" customHeight="1" x14ac:dyDescent="0.3">
      <c r="E1187" s="3"/>
    </row>
    <row r="1188" spans="5:5" ht="33" customHeight="1" x14ac:dyDescent="0.3">
      <c r="E1188" s="3"/>
    </row>
    <row r="1189" spans="5:5" ht="33" customHeight="1" x14ac:dyDescent="0.3">
      <c r="E1189" s="3"/>
    </row>
    <row r="1190" spans="5:5" ht="33" customHeight="1" x14ac:dyDescent="0.3">
      <c r="E1190" s="3"/>
    </row>
    <row r="1191" spans="5:5" ht="33" customHeight="1" x14ac:dyDescent="0.3">
      <c r="E1191" s="3"/>
    </row>
    <row r="1192" spans="5:5" ht="33" customHeight="1" x14ac:dyDescent="0.3">
      <c r="E1192" s="3"/>
    </row>
    <row r="1193" spans="5:5" ht="33" customHeight="1" x14ac:dyDescent="0.3">
      <c r="E1193" s="3"/>
    </row>
    <row r="1194" spans="5:5" ht="33" customHeight="1" x14ac:dyDescent="0.3">
      <c r="E1194" s="3"/>
    </row>
    <row r="1195" spans="5:5" ht="33" customHeight="1" x14ac:dyDescent="0.3">
      <c r="E1195" s="3"/>
    </row>
    <row r="1196" spans="5:5" ht="33" customHeight="1" x14ac:dyDescent="0.3">
      <c r="E1196" s="3"/>
    </row>
    <row r="1197" spans="5:5" ht="33" customHeight="1" x14ac:dyDescent="0.3">
      <c r="E1197" s="3"/>
    </row>
    <row r="1198" spans="5:5" ht="33" customHeight="1" x14ac:dyDescent="0.3">
      <c r="E1198" s="3"/>
    </row>
    <row r="1199" spans="5:5" ht="33" customHeight="1" x14ac:dyDescent="0.3">
      <c r="E1199" s="3"/>
    </row>
    <row r="1200" spans="5:5" ht="33" customHeight="1" x14ac:dyDescent="0.3">
      <c r="E1200" s="3"/>
    </row>
    <row r="1201" spans="5:5" ht="33" customHeight="1" x14ac:dyDescent="0.3">
      <c r="E1201" s="3"/>
    </row>
    <row r="1202" spans="5:5" ht="33" customHeight="1" x14ac:dyDescent="0.3">
      <c r="E1202" s="3"/>
    </row>
    <row r="1203" spans="5:5" ht="33" customHeight="1" x14ac:dyDescent="0.3">
      <c r="E1203" s="3"/>
    </row>
    <row r="1204" spans="5:5" ht="33" customHeight="1" x14ac:dyDescent="0.3">
      <c r="E1204" s="3"/>
    </row>
    <row r="1205" spans="5:5" ht="33" customHeight="1" x14ac:dyDescent="0.3">
      <c r="E1205" s="3"/>
    </row>
    <row r="1206" spans="5:5" ht="33" customHeight="1" x14ac:dyDescent="0.3">
      <c r="E1206" s="3"/>
    </row>
    <row r="1207" spans="5:5" ht="33" customHeight="1" x14ac:dyDescent="0.3">
      <c r="E1207" s="3"/>
    </row>
    <row r="1208" spans="5:5" ht="33" customHeight="1" x14ac:dyDescent="0.3">
      <c r="E1208" s="3"/>
    </row>
    <row r="1209" spans="5:5" ht="33" customHeight="1" x14ac:dyDescent="0.3">
      <c r="E1209" s="3"/>
    </row>
    <row r="1210" spans="5:5" ht="33" customHeight="1" x14ac:dyDescent="0.3">
      <c r="E1210" s="3"/>
    </row>
    <row r="1211" spans="5:5" ht="33" customHeight="1" x14ac:dyDescent="0.3">
      <c r="E1211" s="3"/>
    </row>
    <row r="1212" spans="5:5" ht="33" customHeight="1" x14ac:dyDescent="0.3">
      <c r="E1212" s="3"/>
    </row>
    <row r="1213" spans="5:5" ht="33" customHeight="1" x14ac:dyDescent="0.3">
      <c r="E1213" s="3"/>
    </row>
    <row r="1214" spans="5:5" ht="33" customHeight="1" x14ac:dyDescent="0.3">
      <c r="E1214" s="3"/>
    </row>
    <row r="1215" spans="5:5" ht="33" customHeight="1" x14ac:dyDescent="0.3">
      <c r="E1215" s="3"/>
    </row>
    <row r="1216" spans="5:5" ht="33" customHeight="1" x14ac:dyDescent="0.3">
      <c r="E1216" s="3"/>
    </row>
    <row r="1217" spans="5:5" ht="33" customHeight="1" x14ac:dyDescent="0.3">
      <c r="E1217" s="3"/>
    </row>
    <row r="1218" spans="5:5" ht="33" customHeight="1" x14ac:dyDescent="0.3">
      <c r="E1218" s="3"/>
    </row>
    <row r="1219" spans="5:5" ht="33" customHeight="1" x14ac:dyDescent="0.3">
      <c r="E1219" s="3"/>
    </row>
    <row r="1220" spans="5:5" ht="33" customHeight="1" x14ac:dyDescent="0.3">
      <c r="E1220" s="3"/>
    </row>
    <row r="1221" spans="5:5" ht="33" customHeight="1" x14ac:dyDescent="0.3">
      <c r="E1221" s="3"/>
    </row>
    <row r="1222" spans="5:5" ht="33" customHeight="1" x14ac:dyDescent="0.3">
      <c r="E1222" s="3"/>
    </row>
    <row r="1223" spans="5:5" ht="33" customHeight="1" x14ac:dyDescent="0.3">
      <c r="E1223" s="3"/>
    </row>
    <row r="1224" spans="5:5" ht="33" customHeight="1" x14ac:dyDescent="0.3">
      <c r="E1224" s="3"/>
    </row>
    <row r="1225" spans="5:5" ht="33" customHeight="1" x14ac:dyDescent="0.3">
      <c r="E1225" s="3"/>
    </row>
    <row r="1226" spans="5:5" ht="33" customHeight="1" x14ac:dyDescent="0.3">
      <c r="E1226" s="3"/>
    </row>
    <row r="1227" spans="5:5" ht="33" customHeight="1" x14ac:dyDescent="0.3">
      <c r="E1227" s="3"/>
    </row>
    <row r="1228" spans="5:5" ht="33" customHeight="1" x14ac:dyDescent="0.3">
      <c r="E1228" s="3"/>
    </row>
    <row r="1229" spans="5:5" ht="33" customHeight="1" x14ac:dyDescent="0.3">
      <c r="E1229" s="3"/>
    </row>
    <row r="1230" spans="5:5" ht="33" customHeight="1" x14ac:dyDescent="0.3">
      <c r="E1230" s="3"/>
    </row>
    <row r="1231" spans="5:5" ht="33" customHeight="1" x14ac:dyDescent="0.3">
      <c r="E1231" s="3"/>
    </row>
    <row r="1232" spans="5:5" ht="33" customHeight="1" x14ac:dyDescent="0.3">
      <c r="E1232" s="3"/>
    </row>
    <row r="1233" spans="5:5" ht="33" customHeight="1" x14ac:dyDescent="0.3">
      <c r="E1233" s="3"/>
    </row>
    <row r="1234" spans="5:5" ht="33" customHeight="1" x14ac:dyDescent="0.3">
      <c r="E1234" s="3"/>
    </row>
    <row r="1235" spans="5:5" ht="33" customHeight="1" x14ac:dyDescent="0.3">
      <c r="E1235" s="3"/>
    </row>
    <row r="1236" spans="5:5" ht="33" customHeight="1" x14ac:dyDescent="0.3">
      <c r="E1236" s="3"/>
    </row>
    <row r="1237" spans="5:5" ht="33" customHeight="1" x14ac:dyDescent="0.3">
      <c r="E1237" s="3"/>
    </row>
    <row r="1238" spans="5:5" ht="33" customHeight="1" x14ac:dyDescent="0.3">
      <c r="E1238" s="3"/>
    </row>
    <row r="1239" spans="5:5" ht="33" customHeight="1" x14ac:dyDescent="0.3">
      <c r="E1239" s="3"/>
    </row>
    <row r="1240" spans="5:5" ht="33" customHeight="1" x14ac:dyDescent="0.3">
      <c r="E1240" s="3"/>
    </row>
    <row r="1241" spans="5:5" ht="33" customHeight="1" x14ac:dyDescent="0.3">
      <c r="E1241" s="3"/>
    </row>
    <row r="1242" spans="5:5" ht="33" customHeight="1" x14ac:dyDescent="0.3">
      <c r="E1242" s="3"/>
    </row>
    <row r="1243" spans="5:5" ht="33" customHeight="1" x14ac:dyDescent="0.3">
      <c r="E1243" s="3"/>
    </row>
    <row r="1244" spans="5:5" ht="33" customHeight="1" x14ac:dyDescent="0.3">
      <c r="E1244" s="3"/>
    </row>
    <row r="1245" spans="5:5" ht="33" customHeight="1" x14ac:dyDescent="0.3">
      <c r="E1245" s="3"/>
    </row>
    <row r="1246" spans="5:5" ht="33" customHeight="1" x14ac:dyDescent="0.3">
      <c r="E1246" s="3"/>
    </row>
    <row r="1247" spans="5:5" ht="33" customHeight="1" x14ac:dyDescent="0.3">
      <c r="E1247" s="3"/>
    </row>
    <row r="1248" spans="5:5" ht="33" customHeight="1" x14ac:dyDescent="0.3">
      <c r="E1248" s="3"/>
    </row>
    <row r="1249" spans="5:5" ht="33" customHeight="1" x14ac:dyDescent="0.3">
      <c r="E1249" s="3"/>
    </row>
    <row r="1250" spans="5:5" ht="33" customHeight="1" x14ac:dyDescent="0.3">
      <c r="E1250" s="3"/>
    </row>
    <row r="1251" spans="5:5" ht="33" customHeight="1" x14ac:dyDescent="0.3">
      <c r="E1251" s="3"/>
    </row>
    <row r="1252" spans="5:5" ht="33" customHeight="1" x14ac:dyDescent="0.3">
      <c r="E1252" s="3"/>
    </row>
    <row r="1253" spans="5:5" ht="33" customHeight="1" x14ac:dyDescent="0.3">
      <c r="E1253" s="3"/>
    </row>
    <row r="1254" spans="5:5" ht="33" customHeight="1" x14ac:dyDescent="0.3">
      <c r="E1254" s="3"/>
    </row>
    <row r="1255" spans="5:5" ht="33" customHeight="1" x14ac:dyDescent="0.3">
      <c r="E1255" s="3"/>
    </row>
    <row r="1256" spans="5:5" ht="33" customHeight="1" x14ac:dyDescent="0.3">
      <c r="E1256" s="3"/>
    </row>
    <row r="1257" spans="5:5" ht="33" customHeight="1" x14ac:dyDescent="0.3">
      <c r="E1257" s="3"/>
    </row>
    <row r="1258" spans="5:5" ht="33" customHeight="1" x14ac:dyDescent="0.3">
      <c r="E1258" s="3"/>
    </row>
    <row r="1259" spans="5:5" ht="33" customHeight="1" x14ac:dyDescent="0.3">
      <c r="E1259" s="3"/>
    </row>
    <row r="1260" spans="5:5" ht="33" customHeight="1" x14ac:dyDescent="0.3">
      <c r="E1260" s="3"/>
    </row>
    <row r="1261" spans="5:5" ht="33" customHeight="1" x14ac:dyDescent="0.3">
      <c r="E1261" s="3"/>
    </row>
    <row r="1262" spans="5:5" ht="33" customHeight="1" x14ac:dyDescent="0.3">
      <c r="E1262" s="3"/>
    </row>
    <row r="1263" spans="5:5" ht="33" customHeight="1" x14ac:dyDescent="0.3">
      <c r="E1263" s="3"/>
    </row>
    <row r="1264" spans="5:5" ht="33" customHeight="1" x14ac:dyDescent="0.3">
      <c r="E1264" s="3"/>
    </row>
    <row r="1265" spans="5:5" ht="33" customHeight="1" x14ac:dyDescent="0.3">
      <c r="E1265" s="3"/>
    </row>
    <row r="1266" spans="5:5" ht="33" customHeight="1" x14ac:dyDescent="0.3">
      <c r="E1266" s="3"/>
    </row>
    <row r="1267" spans="5:5" ht="33" customHeight="1" x14ac:dyDescent="0.3">
      <c r="E1267" s="3"/>
    </row>
    <row r="1268" spans="5:5" ht="33" customHeight="1" x14ac:dyDescent="0.3">
      <c r="E1268" s="3"/>
    </row>
    <row r="1269" spans="5:5" ht="33" customHeight="1" x14ac:dyDescent="0.3">
      <c r="E1269" s="3"/>
    </row>
    <row r="1270" spans="5:5" ht="33" customHeight="1" x14ac:dyDescent="0.3">
      <c r="E1270" s="3"/>
    </row>
    <row r="1271" spans="5:5" ht="33" customHeight="1" x14ac:dyDescent="0.3">
      <c r="E1271" s="3"/>
    </row>
    <row r="1272" spans="5:5" ht="33" customHeight="1" x14ac:dyDescent="0.3">
      <c r="E1272" s="3"/>
    </row>
    <row r="1273" spans="5:5" ht="33" customHeight="1" x14ac:dyDescent="0.3">
      <c r="E1273" s="3"/>
    </row>
    <row r="1274" spans="5:5" ht="33" customHeight="1" x14ac:dyDescent="0.3">
      <c r="E1274" s="3"/>
    </row>
    <row r="1275" spans="5:5" ht="33" customHeight="1" x14ac:dyDescent="0.3">
      <c r="E1275" s="3"/>
    </row>
    <row r="1276" spans="5:5" ht="33" customHeight="1" x14ac:dyDescent="0.3">
      <c r="E1276" s="3"/>
    </row>
    <row r="1277" spans="5:5" ht="33" customHeight="1" x14ac:dyDescent="0.3">
      <c r="E1277" s="3"/>
    </row>
    <row r="1278" spans="5:5" ht="33" customHeight="1" x14ac:dyDescent="0.3">
      <c r="E1278" s="3"/>
    </row>
    <row r="1279" spans="5:5" ht="33" customHeight="1" x14ac:dyDescent="0.3">
      <c r="E1279" s="3"/>
    </row>
    <row r="1280" spans="5:5" ht="33" customHeight="1" x14ac:dyDescent="0.3">
      <c r="E1280" s="3"/>
    </row>
    <row r="1281" spans="5:5" ht="33" customHeight="1" x14ac:dyDescent="0.3">
      <c r="E1281" s="3"/>
    </row>
    <row r="1282" spans="5:5" ht="33" customHeight="1" x14ac:dyDescent="0.3">
      <c r="E1282" s="3"/>
    </row>
    <row r="1283" spans="5:5" ht="33" customHeight="1" x14ac:dyDescent="0.3">
      <c r="E1283" s="3"/>
    </row>
    <row r="1284" spans="5:5" ht="33" customHeight="1" x14ac:dyDescent="0.3">
      <c r="E1284" s="3"/>
    </row>
    <row r="1285" spans="5:5" ht="33" customHeight="1" x14ac:dyDescent="0.3">
      <c r="E1285" s="3"/>
    </row>
    <row r="1286" spans="5:5" ht="33" customHeight="1" x14ac:dyDescent="0.3">
      <c r="E1286" s="3"/>
    </row>
    <row r="1287" spans="5:5" ht="33" customHeight="1" x14ac:dyDescent="0.3">
      <c r="E1287" s="3"/>
    </row>
    <row r="1288" spans="5:5" ht="33" customHeight="1" x14ac:dyDescent="0.3">
      <c r="E1288" s="3"/>
    </row>
    <row r="1289" spans="5:5" ht="33" customHeight="1" x14ac:dyDescent="0.3">
      <c r="E1289" s="3"/>
    </row>
    <row r="1290" spans="5:5" ht="33" customHeight="1" x14ac:dyDescent="0.3">
      <c r="E1290" s="3"/>
    </row>
    <row r="1291" spans="5:5" ht="33" customHeight="1" x14ac:dyDescent="0.3">
      <c r="E1291" s="3"/>
    </row>
    <row r="1292" spans="5:5" ht="33" customHeight="1" x14ac:dyDescent="0.3">
      <c r="E1292" s="3"/>
    </row>
    <row r="1293" spans="5:5" ht="33" customHeight="1" x14ac:dyDescent="0.3">
      <c r="E1293" s="3"/>
    </row>
    <row r="1294" spans="5:5" ht="33" customHeight="1" x14ac:dyDescent="0.3">
      <c r="E1294" s="3"/>
    </row>
    <row r="1295" spans="5:5" ht="33" customHeight="1" x14ac:dyDescent="0.3">
      <c r="E1295" s="3"/>
    </row>
    <row r="1296" spans="5:5" ht="33" customHeight="1" x14ac:dyDescent="0.3">
      <c r="E1296" s="3"/>
    </row>
    <row r="1297" spans="5:5" ht="33" customHeight="1" x14ac:dyDescent="0.3">
      <c r="E1297" s="3"/>
    </row>
    <row r="1298" spans="5:5" ht="33" customHeight="1" x14ac:dyDescent="0.3">
      <c r="E1298" s="3"/>
    </row>
    <row r="1299" spans="5:5" ht="33" customHeight="1" x14ac:dyDescent="0.3">
      <c r="E1299" s="3"/>
    </row>
    <row r="1300" spans="5:5" ht="33" customHeight="1" x14ac:dyDescent="0.3">
      <c r="E1300" s="3"/>
    </row>
    <row r="1301" spans="5:5" ht="33" customHeight="1" x14ac:dyDescent="0.3">
      <c r="E1301" s="3"/>
    </row>
    <row r="1302" spans="5:5" ht="33" customHeight="1" x14ac:dyDescent="0.3">
      <c r="E1302" s="3"/>
    </row>
    <row r="1303" spans="5:5" ht="33" customHeight="1" x14ac:dyDescent="0.3">
      <c r="E1303" s="3"/>
    </row>
    <row r="1304" spans="5:5" ht="33" customHeight="1" x14ac:dyDescent="0.3">
      <c r="E1304" s="3"/>
    </row>
    <row r="1305" spans="5:5" ht="33" customHeight="1" x14ac:dyDescent="0.3">
      <c r="E1305" s="3"/>
    </row>
    <row r="1306" spans="5:5" ht="33" customHeight="1" x14ac:dyDescent="0.3">
      <c r="E1306" s="3"/>
    </row>
    <row r="1307" spans="5:5" ht="33" customHeight="1" x14ac:dyDescent="0.3">
      <c r="E1307" s="3"/>
    </row>
    <row r="1308" spans="5:5" ht="33" customHeight="1" x14ac:dyDescent="0.3">
      <c r="E1308" s="3"/>
    </row>
    <row r="1309" spans="5:5" ht="33" customHeight="1" x14ac:dyDescent="0.3">
      <c r="E1309" s="3"/>
    </row>
    <row r="1310" spans="5:5" ht="33" customHeight="1" x14ac:dyDescent="0.3">
      <c r="E1310" s="3"/>
    </row>
    <row r="1311" spans="5:5" ht="33" customHeight="1" x14ac:dyDescent="0.3">
      <c r="E1311" s="3"/>
    </row>
    <row r="1312" spans="5:5" ht="33" customHeight="1" x14ac:dyDescent="0.3">
      <c r="E1312" s="3"/>
    </row>
    <row r="1313" spans="5:5" ht="33" customHeight="1" x14ac:dyDescent="0.3">
      <c r="E1313" s="3"/>
    </row>
    <row r="1314" spans="5:5" ht="33" customHeight="1" x14ac:dyDescent="0.3">
      <c r="E1314" s="3"/>
    </row>
    <row r="1315" spans="5:5" ht="33" customHeight="1" x14ac:dyDescent="0.3">
      <c r="E1315" s="3"/>
    </row>
    <row r="1316" spans="5:5" ht="33" customHeight="1" x14ac:dyDescent="0.3">
      <c r="E1316" s="3"/>
    </row>
    <row r="1317" spans="5:5" ht="33" customHeight="1" x14ac:dyDescent="0.3">
      <c r="E1317" s="3"/>
    </row>
    <row r="1318" spans="5:5" ht="33" customHeight="1" x14ac:dyDescent="0.3">
      <c r="E1318" s="3"/>
    </row>
    <row r="1319" spans="5:5" ht="33" customHeight="1" x14ac:dyDescent="0.3">
      <c r="E1319" s="3"/>
    </row>
    <row r="1320" spans="5:5" ht="33" customHeight="1" x14ac:dyDescent="0.3">
      <c r="E1320" s="3"/>
    </row>
    <row r="1321" spans="5:5" ht="33" customHeight="1" x14ac:dyDescent="0.3">
      <c r="E1321" s="3"/>
    </row>
    <row r="1322" spans="5:5" ht="33" customHeight="1" x14ac:dyDescent="0.3">
      <c r="E1322" s="3"/>
    </row>
    <row r="1323" spans="5:5" ht="33" customHeight="1" x14ac:dyDescent="0.3">
      <c r="E1323" s="3"/>
    </row>
    <row r="1324" spans="5:5" ht="33" customHeight="1" x14ac:dyDescent="0.3">
      <c r="E1324" s="3"/>
    </row>
    <row r="1325" spans="5:5" ht="33" customHeight="1" x14ac:dyDescent="0.3">
      <c r="E1325" s="3"/>
    </row>
    <row r="1326" spans="5:5" ht="33" customHeight="1" x14ac:dyDescent="0.3">
      <c r="E1326" s="3"/>
    </row>
    <row r="1327" spans="5:5" ht="33" customHeight="1" x14ac:dyDescent="0.3">
      <c r="E1327" s="3"/>
    </row>
    <row r="1328" spans="5:5" ht="33" customHeight="1" x14ac:dyDescent="0.3">
      <c r="E1328" s="3"/>
    </row>
    <row r="1329" spans="5:5" ht="33" customHeight="1" x14ac:dyDescent="0.3">
      <c r="E1329" s="3"/>
    </row>
    <row r="1330" spans="5:5" ht="33" customHeight="1" x14ac:dyDescent="0.3">
      <c r="E1330" s="3"/>
    </row>
    <row r="1331" spans="5:5" ht="33" customHeight="1" x14ac:dyDescent="0.3">
      <c r="E1331" s="3"/>
    </row>
    <row r="1332" spans="5:5" ht="33" customHeight="1" x14ac:dyDescent="0.3">
      <c r="E1332" s="3"/>
    </row>
    <row r="1333" spans="5:5" ht="33" customHeight="1" x14ac:dyDescent="0.3">
      <c r="E1333" s="3"/>
    </row>
    <row r="1334" spans="5:5" ht="33" customHeight="1" x14ac:dyDescent="0.3">
      <c r="E1334" s="3"/>
    </row>
    <row r="1335" spans="5:5" ht="33" customHeight="1" x14ac:dyDescent="0.3">
      <c r="E1335" s="3"/>
    </row>
    <row r="1336" spans="5:5" ht="33" customHeight="1" x14ac:dyDescent="0.3">
      <c r="E1336" s="3"/>
    </row>
    <row r="1337" spans="5:5" ht="33" customHeight="1" x14ac:dyDescent="0.3">
      <c r="E1337" s="3"/>
    </row>
    <row r="1338" spans="5:5" ht="33" customHeight="1" x14ac:dyDescent="0.3">
      <c r="E1338" s="3"/>
    </row>
    <row r="1339" spans="5:5" ht="33" customHeight="1" x14ac:dyDescent="0.3">
      <c r="E1339" s="3"/>
    </row>
    <row r="1340" spans="5:5" ht="33" customHeight="1" x14ac:dyDescent="0.3">
      <c r="E1340" s="3"/>
    </row>
    <row r="1341" spans="5:5" ht="33" customHeight="1" x14ac:dyDescent="0.3">
      <c r="E1341" s="3"/>
    </row>
    <row r="1342" spans="5:5" ht="33" customHeight="1" x14ac:dyDescent="0.3">
      <c r="E1342" s="3"/>
    </row>
    <row r="1343" spans="5:5" ht="33" customHeight="1" x14ac:dyDescent="0.3">
      <c r="E1343" s="3"/>
    </row>
    <row r="1344" spans="5:5" ht="33" customHeight="1" x14ac:dyDescent="0.3">
      <c r="E1344" s="3"/>
    </row>
    <row r="1345" spans="5:5" ht="33" customHeight="1" x14ac:dyDescent="0.3">
      <c r="E1345" s="3"/>
    </row>
    <row r="1346" spans="5:5" ht="33" customHeight="1" x14ac:dyDescent="0.3">
      <c r="E1346" s="3"/>
    </row>
    <row r="1347" spans="5:5" ht="33" customHeight="1" x14ac:dyDescent="0.3">
      <c r="E1347" s="3"/>
    </row>
    <row r="1348" spans="5:5" ht="33" customHeight="1" x14ac:dyDescent="0.3">
      <c r="E1348" s="3"/>
    </row>
    <row r="1349" spans="5:5" ht="33" customHeight="1" x14ac:dyDescent="0.3">
      <c r="E1349" s="3"/>
    </row>
    <row r="1350" spans="5:5" ht="33" customHeight="1" x14ac:dyDescent="0.3">
      <c r="E1350" s="3"/>
    </row>
    <row r="1351" spans="5:5" ht="33" customHeight="1" x14ac:dyDescent="0.3">
      <c r="E1351" s="3"/>
    </row>
    <row r="1352" spans="5:5" ht="33" customHeight="1" x14ac:dyDescent="0.3">
      <c r="E1352" s="3"/>
    </row>
    <row r="1353" spans="5:5" ht="33" customHeight="1" x14ac:dyDescent="0.3">
      <c r="E1353" s="3"/>
    </row>
    <row r="1354" spans="5:5" ht="33" customHeight="1" x14ac:dyDescent="0.3">
      <c r="E1354" s="3"/>
    </row>
    <row r="1355" spans="5:5" ht="33" customHeight="1" x14ac:dyDescent="0.3">
      <c r="E1355" s="3"/>
    </row>
    <row r="1356" spans="5:5" ht="33" customHeight="1" x14ac:dyDescent="0.3">
      <c r="E1356" s="3"/>
    </row>
    <row r="1357" spans="5:5" ht="33" customHeight="1" x14ac:dyDescent="0.3">
      <c r="E1357" s="3"/>
    </row>
    <row r="1358" spans="5:5" ht="33" customHeight="1" x14ac:dyDescent="0.3">
      <c r="E1358" s="3"/>
    </row>
    <row r="1359" spans="5:5" ht="33" customHeight="1" x14ac:dyDescent="0.3">
      <c r="E1359" s="3"/>
    </row>
    <row r="1360" spans="5:5" ht="33" customHeight="1" x14ac:dyDescent="0.3">
      <c r="E1360" s="3"/>
    </row>
    <row r="1361" spans="5:5" ht="33" customHeight="1" x14ac:dyDescent="0.3">
      <c r="E1361" s="3"/>
    </row>
    <row r="1362" spans="5:5" ht="33" customHeight="1" x14ac:dyDescent="0.3">
      <c r="E1362" s="3"/>
    </row>
    <row r="1363" spans="5:5" ht="33" customHeight="1" x14ac:dyDescent="0.3">
      <c r="E1363" s="3"/>
    </row>
    <row r="1364" spans="5:5" ht="33" customHeight="1" x14ac:dyDescent="0.3">
      <c r="E1364" s="3"/>
    </row>
    <row r="1365" spans="5:5" ht="33" customHeight="1" x14ac:dyDescent="0.3">
      <c r="E1365" s="3"/>
    </row>
    <row r="1366" spans="5:5" ht="33" customHeight="1" x14ac:dyDescent="0.3">
      <c r="E1366" s="3"/>
    </row>
    <row r="1367" spans="5:5" ht="33" customHeight="1" x14ac:dyDescent="0.3">
      <c r="E1367" s="3"/>
    </row>
    <row r="1368" spans="5:5" ht="33" customHeight="1" x14ac:dyDescent="0.3">
      <c r="E1368" s="3"/>
    </row>
    <row r="1369" spans="5:5" ht="33" customHeight="1" x14ac:dyDescent="0.3">
      <c r="E1369" s="3"/>
    </row>
    <row r="1370" spans="5:5" ht="33" customHeight="1" x14ac:dyDescent="0.3">
      <c r="E1370" s="3"/>
    </row>
    <row r="1371" spans="5:5" ht="33" customHeight="1" x14ac:dyDescent="0.3">
      <c r="E1371" s="3"/>
    </row>
    <row r="1372" spans="5:5" ht="33" customHeight="1" x14ac:dyDescent="0.3">
      <c r="E1372" s="3"/>
    </row>
    <row r="1373" spans="5:5" ht="33" customHeight="1" x14ac:dyDescent="0.3">
      <c r="E1373" s="3"/>
    </row>
    <row r="1374" spans="5:5" ht="33" customHeight="1" x14ac:dyDescent="0.3">
      <c r="E1374" s="3"/>
    </row>
    <row r="1375" spans="5:5" ht="33" customHeight="1" x14ac:dyDescent="0.3">
      <c r="E1375" s="3"/>
    </row>
    <row r="1376" spans="5:5" ht="33" customHeight="1" x14ac:dyDescent="0.3">
      <c r="E1376" s="3"/>
    </row>
    <row r="1377" spans="5:5" ht="33" customHeight="1" x14ac:dyDescent="0.3">
      <c r="E1377" s="3"/>
    </row>
    <row r="1378" spans="5:5" ht="33" customHeight="1" x14ac:dyDescent="0.3">
      <c r="E1378" s="3"/>
    </row>
    <row r="1379" spans="5:5" ht="33" customHeight="1" x14ac:dyDescent="0.3">
      <c r="E1379" s="3"/>
    </row>
    <row r="1380" spans="5:5" ht="33" customHeight="1" x14ac:dyDescent="0.3">
      <c r="E1380" s="3"/>
    </row>
    <row r="1381" spans="5:5" ht="33" customHeight="1" x14ac:dyDescent="0.3">
      <c r="E1381" s="3"/>
    </row>
    <row r="1382" spans="5:5" ht="33" customHeight="1" x14ac:dyDescent="0.3">
      <c r="E1382" s="3"/>
    </row>
    <row r="1383" spans="5:5" ht="33" customHeight="1" x14ac:dyDescent="0.3">
      <c r="E1383" s="3"/>
    </row>
    <row r="1384" spans="5:5" ht="33" customHeight="1" x14ac:dyDescent="0.3">
      <c r="E1384" s="3"/>
    </row>
    <row r="1385" spans="5:5" ht="33" customHeight="1" x14ac:dyDescent="0.3">
      <c r="E1385" s="3"/>
    </row>
    <row r="1386" spans="5:5" ht="33" customHeight="1" x14ac:dyDescent="0.3">
      <c r="E1386" s="3"/>
    </row>
    <row r="1387" spans="5:5" ht="33" customHeight="1" x14ac:dyDescent="0.3">
      <c r="E1387" s="3"/>
    </row>
    <row r="1388" spans="5:5" ht="33" customHeight="1" x14ac:dyDescent="0.3">
      <c r="E1388" s="3"/>
    </row>
    <row r="1389" spans="5:5" ht="33" customHeight="1" x14ac:dyDescent="0.3">
      <c r="E1389" s="3"/>
    </row>
    <row r="1390" spans="5:5" ht="33" customHeight="1" x14ac:dyDescent="0.3">
      <c r="E1390" s="3"/>
    </row>
    <row r="1391" spans="5:5" ht="33" customHeight="1" x14ac:dyDescent="0.3">
      <c r="E1391" s="3"/>
    </row>
    <row r="1392" spans="5:5" ht="33" customHeight="1" x14ac:dyDescent="0.3">
      <c r="E1392" s="3"/>
    </row>
    <row r="1393" spans="5:5" ht="33" customHeight="1" x14ac:dyDescent="0.3">
      <c r="E1393" s="3"/>
    </row>
    <row r="1394" spans="5:5" ht="33" customHeight="1" x14ac:dyDescent="0.3">
      <c r="E1394" s="3"/>
    </row>
    <row r="1395" spans="5:5" ht="33" customHeight="1" x14ac:dyDescent="0.3">
      <c r="E1395" s="3"/>
    </row>
    <row r="1396" spans="5:5" ht="33" customHeight="1" x14ac:dyDescent="0.3">
      <c r="E1396" s="3"/>
    </row>
    <row r="1397" spans="5:5" ht="33" customHeight="1" x14ac:dyDescent="0.3">
      <c r="E1397" s="3"/>
    </row>
    <row r="1398" spans="5:5" ht="33" customHeight="1" x14ac:dyDescent="0.3">
      <c r="E1398" s="3"/>
    </row>
    <row r="1399" spans="5:5" ht="33" customHeight="1" x14ac:dyDescent="0.3">
      <c r="E1399" s="3"/>
    </row>
    <row r="1400" spans="5:5" ht="33" customHeight="1" x14ac:dyDescent="0.3">
      <c r="E1400" s="3"/>
    </row>
    <row r="1401" spans="5:5" ht="33" customHeight="1" x14ac:dyDescent="0.3">
      <c r="E1401" s="3"/>
    </row>
    <row r="1402" spans="5:5" ht="33" customHeight="1" x14ac:dyDescent="0.3">
      <c r="E1402" s="3"/>
    </row>
    <row r="1403" spans="5:5" ht="33" customHeight="1" x14ac:dyDescent="0.3">
      <c r="E1403" s="3"/>
    </row>
    <row r="1404" spans="5:5" ht="33" customHeight="1" x14ac:dyDescent="0.3">
      <c r="E1404" s="3"/>
    </row>
    <row r="1405" spans="5:5" ht="33" customHeight="1" x14ac:dyDescent="0.3">
      <c r="E1405" s="3"/>
    </row>
    <row r="1406" spans="5:5" ht="33" customHeight="1" thickBot="1" x14ac:dyDescent="0.35">
      <c r="E1406" s="3"/>
    </row>
    <row r="1407" spans="5:5" ht="33" customHeight="1" thickBot="1" x14ac:dyDescent="0.35"/>
    <row r="1408" spans="5:5" ht="33" customHeight="1" thickBot="1" x14ac:dyDescent="0.35"/>
    <row r="1409" ht="33" customHeight="1" thickBot="1" x14ac:dyDescent="0.35"/>
    <row r="1410" ht="33" customHeight="1" thickBot="1" x14ac:dyDescent="0.35"/>
    <row r="1411" ht="25.2" x14ac:dyDescent="0.3"/>
    <row r="1412" ht="25.2" x14ac:dyDescent="0.3"/>
    <row r="1413" ht="25.2" x14ac:dyDescent="0.3"/>
    <row r="1414" ht="25.2" x14ac:dyDescent="0.3"/>
  </sheetData>
  <autoFilter ref="A5:U144" xr:uid="{00000000-0009-0000-0000-000000000000}"/>
  <sortState xmlns:xlrd2="http://schemas.microsoft.com/office/spreadsheetml/2017/richdata2" ref="A6:U159">
    <sortCondition ref="L6:L159"/>
    <sortCondition ref="I6:I159"/>
    <sortCondition ref="J6:J159"/>
  </sortState>
  <conditionalFormatting sqref="B142:B144 B160:B1048576 B1:B137">
    <cfRule type="cellIs" dxfId="90" priority="31" operator="equal">
      <formula>4231</formula>
    </cfRule>
    <cfRule type="cellIs" dxfId="89" priority="32" operator="equal">
      <formula>4145</formula>
    </cfRule>
    <cfRule type="cellIs" dxfId="88" priority="33" operator="equal">
      <formula>4319</formula>
    </cfRule>
    <cfRule type="cellIs" dxfId="87" priority="34" operator="equal">
      <formula>4230</formula>
    </cfRule>
    <cfRule type="cellIs" dxfId="86" priority="35" operator="equal">
      <formula>4232</formula>
    </cfRule>
  </conditionalFormatting>
  <conditionalFormatting sqref="O160:O315 O6:O137">
    <cfRule type="cellIs" dxfId="85" priority="29" operator="equal">
      <formula>"FIBRA"</formula>
    </cfRule>
    <cfRule type="cellIs" dxfId="84" priority="30" operator="equal">
      <formula>"RADIO"</formula>
    </cfRule>
  </conditionalFormatting>
  <conditionalFormatting sqref="B138:B141">
    <cfRule type="cellIs" dxfId="83" priority="24" operator="equal">
      <formula>4231</formula>
    </cfRule>
    <cfRule type="cellIs" dxfId="82" priority="25" operator="equal">
      <formula>4145</formula>
    </cfRule>
    <cfRule type="cellIs" dxfId="81" priority="26" operator="equal">
      <formula>4319</formula>
    </cfRule>
    <cfRule type="cellIs" dxfId="80" priority="27" operator="equal">
      <formula>4230</formula>
    </cfRule>
    <cfRule type="cellIs" dxfId="79" priority="28" operator="equal">
      <formula>4232</formula>
    </cfRule>
  </conditionalFormatting>
  <conditionalFormatting sqref="O138:O144">
    <cfRule type="cellIs" dxfId="78" priority="22" operator="equal">
      <formula>"FIBRA"</formula>
    </cfRule>
    <cfRule type="cellIs" dxfId="77" priority="23" operator="equal">
      <formula>"RADIO"</formula>
    </cfRule>
  </conditionalFormatting>
  <conditionalFormatting sqref="B145:B154">
    <cfRule type="cellIs" dxfId="76" priority="17" operator="equal">
      <formula>4231</formula>
    </cfRule>
    <cfRule type="cellIs" dxfId="75" priority="18" operator="equal">
      <formula>4145</formula>
    </cfRule>
    <cfRule type="cellIs" dxfId="74" priority="19" operator="equal">
      <formula>4319</formula>
    </cfRule>
    <cfRule type="cellIs" dxfId="73" priority="20" operator="equal">
      <formula>4230</formula>
    </cfRule>
    <cfRule type="cellIs" dxfId="72" priority="21" operator="equal">
      <formula>4232</formula>
    </cfRule>
  </conditionalFormatting>
  <conditionalFormatting sqref="O145:O154">
    <cfRule type="cellIs" dxfId="71" priority="15" operator="equal">
      <formula>"FIBRA"</formula>
    </cfRule>
    <cfRule type="cellIs" dxfId="70" priority="16" operator="equal">
      <formula>"RADIO"</formula>
    </cfRule>
  </conditionalFormatting>
  <conditionalFormatting sqref="B155:B158">
    <cfRule type="cellIs" dxfId="69" priority="10" operator="equal">
      <formula>4231</formula>
    </cfRule>
    <cfRule type="cellIs" dxfId="68" priority="11" operator="equal">
      <formula>4145</formula>
    </cfRule>
    <cfRule type="cellIs" dxfId="67" priority="12" operator="equal">
      <formula>4319</formula>
    </cfRule>
    <cfRule type="cellIs" dxfId="66" priority="13" operator="equal">
      <formula>4230</formula>
    </cfRule>
    <cfRule type="cellIs" dxfId="65" priority="14" operator="equal">
      <formula>4232</formula>
    </cfRule>
  </conditionalFormatting>
  <conditionalFormatting sqref="O155:O158">
    <cfRule type="cellIs" dxfId="64" priority="8" operator="equal">
      <formula>"FIBRA"</formula>
    </cfRule>
    <cfRule type="cellIs" dxfId="63" priority="9" operator="equal">
      <formula>"RADIO"</formula>
    </cfRule>
  </conditionalFormatting>
  <conditionalFormatting sqref="B159">
    <cfRule type="cellIs" dxfId="62" priority="3" operator="equal">
      <formula>4231</formula>
    </cfRule>
    <cfRule type="cellIs" dxfId="61" priority="4" operator="equal">
      <formula>4145</formula>
    </cfRule>
    <cfRule type="cellIs" dxfId="60" priority="5" operator="equal">
      <formula>4319</formula>
    </cfRule>
    <cfRule type="cellIs" dxfId="59" priority="6" operator="equal">
      <formula>4230</formula>
    </cfRule>
    <cfRule type="cellIs" dxfId="58" priority="7" operator="equal">
      <formula>4232</formula>
    </cfRule>
  </conditionalFormatting>
  <conditionalFormatting sqref="O159">
    <cfRule type="cellIs" dxfId="57" priority="1" operator="equal">
      <formula>"FIBRA"</formula>
    </cfRule>
    <cfRule type="cellIs" dxfId="56" priority="2" operator="equal">
      <formula>"RADIO"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C6" sqref="C6"/>
    </sheetView>
  </sheetViews>
  <sheetFormatPr baseColWidth="10" defaultRowHeight="14.4" x14ac:dyDescent="0.3"/>
  <cols>
    <col min="1" max="1" width="36.6640625" bestFit="1" customWidth="1"/>
    <col min="3" max="3" width="13.33203125" bestFit="1" customWidth="1"/>
    <col min="4" max="4" width="20.33203125" bestFit="1" customWidth="1"/>
  </cols>
  <sheetData>
    <row r="1" spans="1:5" ht="15" thickTop="1" x14ac:dyDescent="0.3">
      <c r="A1" s="28"/>
      <c r="B1" s="29"/>
      <c r="C1" s="29" t="s">
        <v>470</v>
      </c>
      <c r="D1" s="29" t="s">
        <v>471</v>
      </c>
      <c r="E1" s="30" t="s">
        <v>472</v>
      </c>
    </row>
    <row r="2" spans="1:5" ht="25.2" x14ac:dyDescent="0.3">
      <c r="A2" s="31" t="s">
        <v>473</v>
      </c>
      <c r="B2" s="32" t="s">
        <v>474</v>
      </c>
      <c r="C2" s="32">
        <f>SUM(C3:C4)</f>
        <v>200</v>
      </c>
      <c r="D2" s="32">
        <f>SUM(D3:D4)</f>
        <v>144</v>
      </c>
      <c r="E2" s="33">
        <f>C2-D2</f>
        <v>56</v>
      </c>
    </row>
    <row r="3" spans="1:5" ht="21" x14ac:dyDescent="0.3">
      <c r="A3" s="34"/>
      <c r="B3" s="35" t="s">
        <v>475</v>
      </c>
      <c r="C3" s="35">
        <v>50</v>
      </c>
      <c r="D3" s="35">
        <f>listado!M4</f>
        <v>43</v>
      </c>
      <c r="E3" s="36">
        <f>C3-D3</f>
        <v>7</v>
      </c>
    </row>
    <row r="4" spans="1:5" ht="21.6" thickBot="1" x14ac:dyDescent="0.35">
      <c r="A4" s="37"/>
      <c r="B4" s="38" t="s">
        <v>476</v>
      </c>
      <c r="C4" s="38">
        <v>150</v>
      </c>
      <c r="D4" s="38">
        <f>listado!N4</f>
        <v>101</v>
      </c>
      <c r="E4" s="39">
        <f>C4-D4</f>
        <v>49</v>
      </c>
    </row>
    <row r="5" spans="1:5" ht="15.6" thickTop="1" thickBot="1" x14ac:dyDescent="0.35">
      <c r="A5" s="40"/>
      <c r="B5" s="40"/>
      <c r="C5" s="40"/>
      <c r="D5" s="40"/>
      <c r="E5" s="40"/>
    </row>
    <row r="6" spans="1:5" ht="24" thickTop="1" thickBot="1" x14ac:dyDescent="0.45">
      <c r="A6" s="41" t="s">
        <v>13</v>
      </c>
      <c r="B6" s="42"/>
      <c r="C6" s="43">
        <v>85</v>
      </c>
      <c r="D6" s="44"/>
      <c r="E6" s="45"/>
    </row>
    <row r="7" spans="1:5" ht="23.4" thickTop="1" x14ac:dyDescent="0.4">
      <c r="A7" s="46"/>
      <c r="B7" s="46"/>
      <c r="C7" s="47"/>
      <c r="D7" s="46"/>
      <c r="E7" s="46"/>
    </row>
    <row r="8" spans="1:5" ht="23.4" thickBot="1" x14ac:dyDescent="0.45">
      <c r="A8" s="48"/>
      <c r="B8" s="48"/>
      <c r="C8" s="48"/>
      <c r="D8" s="48"/>
      <c r="E8" s="48"/>
    </row>
    <row r="9" spans="1:5" ht="24" thickTop="1" thickBot="1" x14ac:dyDescent="0.45">
      <c r="A9" s="49" t="s">
        <v>477</v>
      </c>
      <c r="B9" s="50"/>
      <c r="C9" s="50"/>
      <c r="D9" s="51">
        <f>COUNTIF(listado!U:U, "=bonomo sistemas")</f>
        <v>121</v>
      </c>
      <c r="E9" s="52"/>
    </row>
    <row r="10" spans="1:5" ht="24" thickTop="1" thickBot="1" x14ac:dyDescent="0.45">
      <c r="A10" s="53" t="s">
        <v>208</v>
      </c>
      <c r="B10" s="54"/>
      <c r="C10" s="54"/>
      <c r="D10" s="56">
        <f>COUNTIF(listado!U:U, "=ipcoms")</f>
        <v>24</v>
      </c>
      <c r="E10" s="55"/>
    </row>
    <row r="11" spans="1:5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6DEC-A411-482D-A5F5-9FEB047A2328}">
  <sheetPr filterMode="1"/>
  <dimension ref="A1:Z1410"/>
  <sheetViews>
    <sheetView showGridLines="0" zoomScale="70" zoomScaleNormal="70" workbookViewId="0">
      <pane ySplit="5" topLeftCell="A142" activePane="bottomLeft" state="frozen"/>
      <selection activeCell="F1" sqref="F1"/>
      <selection pane="bottomLeft" activeCell="L137" sqref="L137"/>
    </sheetView>
  </sheetViews>
  <sheetFormatPr baseColWidth="10" defaultColWidth="11.44140625" defaultRowHeight="25.8" thickBottom="1" x14ac:dyDescent="0.35"/>
  <cols>
    <col min="1" max="1" width="9" style="1" bestFit="1" customWidth="1"/>
    <col min="2" max="2" width="7.6640625" style="1" customWidth="1"/>
    <col min="3" max="3" width="16.6640625" style="10" bestFit="1" customWidth="1"/>
    <col min="4" max="4" width="23" style="1" bestFit="1" customWidth="1"/>
    <col min="5" max="5" width="25.33203125" style="2" bestFit="1" customWidth="1"/>
    <col min="6" max="6" width="13.88671875" style="11" bestFit="1" customWidth="1"/>
    <col min="7" max="7" width="29.88671875" style="12" bestFit="1" customWidth="1"/>
    <col min="8" max="8" width="0.44140625" style="12" customWidth="1"/>
    <col min="9" max="9" width="32.33203125" style="1" customWidth="1"/>
    <col min="10" max="10" width="14.6640625" style="1" bestFit="1" customWidth="1"/>
    <col min="11" max="11" width="22.5546875" style="1" bestFit="1" customWidth="1"/>
    <col min="12" max="12" width="7.5546875" style="1" bestFit="1" customWidth="1"/>
    <col min="13" max="13" width="10.109375" style="1" bestFit="1" customWidth="1"/>
    <col min="14" max="14" width="6.5546875" style="1" bestFit="1" customWidth="1"/>
    <col min="15" max="15" width="14.6640625" style="1" bestFit="1" customWidth="1"/>
    <col min="16" max="16" width="17.6640625" style="14" customWidth="1"/>
    <col min="17" max="17" width="18.44140625" style="14" customWidth="1"/>
    <col min="18" max="18" width="20.6640625" style="10" bestFit="1" customWidth="1"/>
    <col min="19" max="20" width="20.6640625" style="14" customWidth="1"/>
    <col min="21" max="21" width="27.88671875" style="14" bestFit="1" customWidth="1"/>
    <col min="22" max="22" width="38.6640625" style="1" hidden="1" customWidth="1"/>
    <col min="23" max="23" width="7.6640625" style="1" hidden="1" customWidth="1"/>
    <col min="24" max="24" width="22" style="1" hidden="1" customWidth="1"/>
    <col min="25" max="25" width="23.44140625" style="1" hidden="1" customWidth="1"/>
    <col min="26" max="16384" width="11.44140625" style="1"/>
  </cols>
  <sheetData>
    <row r="1" spans="1:25" ht="25.2" customHeight="1" thickTop="1" thickBot="1" x14ac:dyDescent="0.45">
      <c r="A1" s="58"/>
      <c r="B1" s="58"/>
      <c r="C1" s="28"/>
      <c r="D1" s="29"/>
      <c r="E1" s="29" t="s">
        <v>470</v>
      </c>
      <c r="F1" s="29" t="s">
        <v>471</v>
      </c>
      <c r="G1" s="30" t="s">
        <v>472</v>
      </c>
      <c r="H1" s="60"/>
      <c r="I1" s="41" t="s">
        <v>13</v>
      </c>
      <c r="J1" s="42"/>
      <c r="K1" s="81">
        <v>84</v>
      </c>
      <c r="L1" s="44">
        <f>M4+N4/2</f>
        <v>83.5</v>
      </c>
      <c r="M1" s="45"/>
      <c r="N1" s="70"/>
      <c r="O1" s="69" t="s">
        <v>21</v>
      </c>
      <c r="P1" s="72"/>
      <c r="Q1" s="58"/>
      <c r="R1" s="58"/>
      <c r="S1" s="58"/>
      <c r="T1" s="58"/>
      <c r="U1" s="73"/>
      <c r="V1" s="58"/>
      <c r="W1" s="58"/>
      <c r="X1" s="58"/>
      <c r="Y1" s="58"/>
    </row>
    <row r="2" spans="1:25" ht="18.600000000000001" customHeight="1" thickTop="1" thickBot="1" x14ac:dyDescent="0.35">
      <c r="A2" s="58"/>
      <c r="B2" s="58"/>
      <c r="C2" s="82" t="s">
        <v>473</v>
      </c>
      <c r="D2" s="32" t="s">
        <v>474</v>
      </c>
      <c r="E2" s="32">
        <f>SUM(E3:E4)</f>
        <v>200</v>
      </c>
      <c r="F2" s="32">
        <f>SUM(F3:F4)</f>
        <v>133</v>
      </c>
      <c r="G2" s="33">
        <f>E2-F2</f>
        <v>67</v>
      </c>
      <c r="H2" s="60"/>
      <c r="I2" s="58"/>
      <c r="J2" s="58"/>
      <c r="K2" s="58"/>
      <c r="L2" s="58"/>
      <c r="M2" s="58"/>
      <c r="N2" s="70"/>
      <c r="O2" s="57">
        <f>COUNTIF(O6:O193,"FIBRA")</f>
        <v>117</v>
      </c>
      <c r="P2" s="72"/>
      <c r="Q2" s="58"/>
      <c r="R2" s="59"/>
      <c r="S2" s="58"/>
      <c r="T2" s="58"/>
      <c r="U2" s="73"/>
      <c r="V2" s="58"/>
      <c r="W2" s="58"/>
      <c r="X2" s="58"/>
      <c r="Y2" s="58"/>
    </row>
    <row r="3" spans="1:25" ht="21.6" customHeight="1" thickTop="1" thickBot="1" x14ac:dyDescent="0.35">
      <c r="A3" s="58"/>
      <c r="B3" s="58"/>
      <c r="C3" s="34"/>
      <c r="D3" s="35" t="s">
        <v>475</v>
      </c>
      <c r="E3" s="35">
        <v>50</v>
      </c>
      <c r="F3" s="35">
        <f>M4</f>
        <v>34</v>
      </c>
      <c r="G3" s="36">
        <f>E3-F3</f>
        <v>16</v>
      </c>
      <c r="H3" s="60"/>
      <c r="I3" s="58"/>
      <c r="J3" s="58"/>
      <c r="K3" s="58"/>
      <c r="L3" s="58"/>
      <c r="M3" s="66"/>
      <c r="N3" s="71"/>
      <c r="O3" s="15" t="s">
        <v>22</v>
      </c>
      <c r="P3" s="74"/>
      <c r="Q3" s="66"/>
      <c r="R3" s="67"/>
      <c r="S3" s="66"/>
      <c r="T3" s="66"/>
      <c r="U3" s="75"/>
      <c r="V3" s="66"/>
      <c r="W3" s="66"/>
      <c r="X3" s="66"/>
      <c r="Y3" s="66"/>
    </row>
    <row r="4" spans="1:25" ht="19.2" customHeight="1" thickTop="1" thickBot="1" x14ac:dyDescent="0.35">
      <c r="A4" s="66"/>
      <c r="B4" s="66"/>
      <c r="C4" s="37"/>
      <c r="D4" s="38" t="s">
        <v>476</v>
      </c>
      <c r="E4" s="38">
        <v>150</v>
      </c>
      <c r="F4" s="38">
        <f>N4</f>
        <v>99</v>
      </c>
      <c r="G4" s="39">
        <f>E4-F4</f>
        <v>51</v>
      </c>
      <c r="H4" s="68"/>
      <c r="I4" s="66"/>
      <c r="J4" s="66"/>
      <c r="K4" s="66"/>
      <c r="L4" s="66"/>
      <c r="M4" s="80">
        <f>SUM(M6:M193)</f>
        <v>34</v>
      </c>
      <c r="N4" s="4">
        <f>SUM(N6:N193)</f>
        <v>99</v>
      </c>
      <c r="O4" s="16">
        <f>COUNTIF(O6:O193,"RADIO")</f>
        <v>22</v>
      </c>
      <c r="P4" s="4">
        <f>COUNTA(P6:P193)</f>
        <v>70</v>
      </c>
      <c r="Q4" s="4">
        <f>COUNTA(Q6:Q193)</f>
        <v>67</v>
      </c>
      <c r="R4" s="13">
        <f>SUM(R6:R193)</f>
        <v>110</v>
      </c>
      <c r="S4" s="65">
        <f>COUNTA(S6:S193)</f>
        <v>66</v>
      </c>
      <c r="T4" s="65">
        <f>COUNTA(T6:T193)</f>
        <v>106</v>
      </c>
      <c r="U4" s="76"/>
      <c r="V4" s="77"/>
      <c r="X4" s="78">
        <f>COUNTIF(R6:R193,1)</f>
        <v>24</v>
      </c>
      <c r="Y4" s="79">
        <f>COUNTIF(R6:R193,2)*2</f>
        <v>86</v>
      </c>
    </row>
    <row r="5" spans="1:25" ht="73.2" thickTop="1" thickBot="1" x14ac:dyDescent="0.35">
      <c r="A5" s="83" t="s">
        <v>478</v>
      </c>
      <c r="B5" s="1" t="s">
        <v>469</v>
      </c>
      <c r="C5" s="61" t="s">
        <v>0</v>
      </c>
      <c r="D5" s="62" t="s">
        <v>1</v>
      </c>
      <c r="E5" s="63" t="s">
        <v>2</v>
      </c>
      <c r="F5" s="64" t="s">
        <v>3</v>
      </c>
      <c r="G5" s="63" t="s">
        <v>4</v>
      </c>
      <c r="H5" s="3"/>
      <c r="I5" s="65" t="s">
        <v>5</v>
      </c>
      <c r="J5" s="65" t="s">
        <v>6</v>
      </c>
      <c r="K5" s="65" t="s">
        <v>7</v>
      </c>
      <c r="L5" s="65" t="s">
        <v>8</v>
      </c>
      <c r="M5" s="4" t="s">
        <v>9</v>
      </c>
      <c r="N5" s="4" t="s">
        <v>10</v>
      </c>
      <c r="O5" s="5" t="s">
        <v>11</v>
      </c>
      <c r="P5" s="6" t="s">
        <v>12</v>
      </c>
      <c r="Q5" s="6" t="s">
        <v>13</v>
      </c>
      <c r="R5" s="7" t="s">
        <v>14</v>
      </c>
      <c r="S5" s="6" t="s">
        <v>15</v>
      </c>
      <c r="T5" s="6" t="s">
        <v>16</v>
      </c>
      <c r="U5" s="8" t="s">
        <v>17</v>
      </c>
      <c r="V5" s="4" t="s">
        <v>18</v>
      </c>
      <c r="X5" s="9" t="s">
        <v>19</v>
      </c>
      <c r="Y5" s="9" t="s">
        <v>20</v>
      </c>
    </row>
    <row r="6" spans="1:25" s="27" customFormat="1" ht="33" hidden="1" customHeight="1" thickBot="1" x14ac:dyDescent="0.35">
      <c r="A6" s="17">
        <v>1</v>
      </c>
      <c r="B6" s="23">
        <v>4230</v>
      </c>
      <c r="C6" s="19"/>
      <c r="D6" s="23" t="s">
        <v>23</v>
      </c>
      <c r="E6" s="20" t="s">
        <v>24</v>
      </c>
      <c r="F6" s="21" t="s">
        <v>25</v>
      </c>
      <c r="G6" s="22" t="s">
        <v>26</v>
      </c>
      <c r="H6" s="22"/>
      <c r="I6" s="23" t="s">
        <v>27</v>
      </c>
      <c r="J6" s="23"/>
      <c r="K6" s="23">
        <v>517</v>
      </c>
      <c r="L6" s="23" t="s">
        <v>28</v>
      </c>
      <c r="M6" s="23">
        <v>1</v>
      </c>
      <c r="N6" s="23">
        <v>0</v>
      </c>
      <c r="O6" s="23" t="s">
        <v>29</v>
      </c>
      <c r="P6" s="24">
        <v>44377</v>
      </c>
      <c r="Q6" s="24">
        <v>44384</v>
      </c>
      <c r="R6" s="19">
        <v>1</v>
      </c>
      <c r="S6" s="24" t="s">
        <v>30</v>
      </c>
      <c r="T6" s="24" t="s">
        <v>30</v>
      </c>
      <c r="U6" s="24" t="s">
        <v>31</v>
      </c>
      <c r="V6" s="23" t="s">
        <v>32</v>
      </c>
      <c r="W6" s="19" t="s">
        <v>33</v>
      </c>
      <c r="X6" s="25" t="s">
        <v>34</v>
      </c>
      <c r="Y6" s="26" t="s">
        <v>35</v>
      </c>
    </row>
    <row r="7" spans="1:25" s="27" customFormat="1" ht="33" hidden="1" customHeight="1" thickBot="1" x14ac:dyDescent="0.35">
      <c r="A7" s="17">
        <v>2</v>
      </c>
      <c r="B7" s="23">
        <v>4230</v>
      </c>
      <c r="C7" s="19"/>
      <c r="D7" s="23" t="s">
        <v>36</v>
      </c>
      <c r="E7" s="20" t="s">
        <v>37</v>
      </c>
      <c r="F7" s="21" t="s">
        <v>38</v>
      </c>
      <c r="G7" s="22" t="s">
        <v>26</v>
      </c>
      <c r="H7" s="22"/>
      <c r="I7" s="23" t="s">
        <v>39</v>
      </c>
      <c r="J7" s="23"/>
      <c r="K7" s="23" t="s">
        <v>40</v>
      </c>
      <c r="L7" s="23" t="s">
        <v>28</v>
      </c>
      <c r="M7" s="23">
        <v>1</v>
      </c>
      <c r="N7" s="23">
        <v>0</v>
      </c>
      <c r="O7" s="23" t="s">
        <v>29</v>
      </c>
      <c r="P7" s="24">
        <v>44377</v>
      </c>
      <c r="Q7" s="24">
        <v>44379</v>
      </c>
      <c r="R7" s="19">
        <v>1</v>
      </c>
      <c r="S7" s="24" t="s">
        <v>30</v>
      </c>
      <c r="T7" s="24" t="s">
        <v>30</v>
      </c>
      <c r="U7" s="24" t="s">
        <v>31</v>
      </c>
      <c r="V7" s="23"/>
      <c r="W7" s="19"/>
      <c r="X7" s="25"/>
      <c r="Y7" s="26"/>
    </row>
    <row r="8" spans="1:25" s="27" customFormat="1" ht="33" hidden="1" customHeight="1" thickBot="1" x14ac:dyDescent="0.35">
      <c r="A8" s="17">
        <v>3</v>
      </c>
      <c r="B8" s="23">
        <v>4230</v>
      </c>
      <c r="C8" s="19"/>
      <c r="D8" s="23" t="s">
        <v>41</v>
      </c>
      <c r="E8" s="20" t="s">
        <v>42</v>
      </c>
      <c r="F8" s="21" t="s">
        <v>43</v>
      </c>
      <c r="G8" s="22" t="s">
        <v>26</v>
      </c>
      <c r="H8" s="22"/>
      <c r="I8" s="23" t="s">
        <v>44</v>
      </c>
      <c r="J8" s="23"/>
      <c r="K8" s="23" t="s">
        <v>45</v>
      </c>
      <c r="L8" s="23" t="s">
        <v>28</v>
      </c>
      <c r="M8" s="23">
        <v>1</v>
      </c>
      <c r="N8" s="23">
        <v>0</v>
      </c>
      <c r="O8" s="23" t="s">
        <v>29</v>
      </c>
      <c r="P8" s="24">
        <v>44377</v>
      </c>
      <c r="Q8" s="24">
        <v>44379</v>
      </c>
      <c r="R8" s="19">
        <v>1</v>
      </c>
      <c r="S8" s="24" t="s">
        <v>30</v>
      </c>
      <c r="T8" s="24" t="s">
        <v>30</v>
      </c>
      <c r="U8" s="24" t="s">
        <v>31</v>
      </c>
      <c r="V8" s="23"/>
      <c r="W8" s="19"/>
      <c r="X8" s="25"/>
      <c r="Y8" s="26"/>
    </row>
    <row r="9" spans="1:25" s="27" customFormat="1" ht="33" customHeight="1" thickBot="1" x14ac:dyDescent="0.35">
      <c r="A9" s="17">
        <v>4</v>
      </c>
      <c r="B9" s="23"/>
      <c r="C9" s="19"/>
      <c r="D9" s="23" t="s">
        <v>591</v>
      </c>
      <c r="E9" s="20" t="s">
        <v>46</v>
      </c>
      <c r="F9" s="21" t="s">
        <v>47</v>
      </c>
      <c r="G9" s="22" t="s">
        <v>26</v>
      </c>
      <c r="H9" s="22" t="s">
        <v>48</v>
      </c>
      <c r="I9" s="23" t="s">
        <v>44</v>
      </c>
      <c r="J9" s="23" t="s">
        <v>49</v>
      </c>
      <c r="K9" s="23" t="s">
        <v>50</v>
      </c>
      <c r="L9" s="23" t="s">
        <v>51</v>
      </c>
      <c r="M9" s="23">
        <v>0</v>
      </c>
      <c r="N9" s="23">
        <v>1</v>
      </c>
      <c r="O9" s="23" t="s">
        <v>29</v>
      </c>
      <c r="P9" s="24">
        <v>44377</v>
      </c>
      <c r="Q9" s="24">
        <v>44379</v>
      </c>
      <c r="R9" s="19">
        <v>2</v>
      </c>
      <c r="S9" s="24" t="s">
        <v>30</v>
      </c>
      <c r="T9" s="24" t="s">
        <v>30</v>
      </c>
      <c r="U9" s="24" t="s">
        <v>31</v>
      </c>
      <c r="V9" s="23">
        <v>5</v>
      </c>
      <c r="W9" s="19"/>
      <c r="X9" s="25"/>
      <c r="Y9" s="26"/>
    </row>
    <row r="10" spans="1:25" s="27" customFormat="1" ht="33" customHeight="1" thickBot="1" x14ac:dyDescent="0.35">
      <c r="A10" s="17">
        <v>4</v>
      </c>
      <c r="B10" s="23"/>
      <c r="C10" s="19"/>
      <c r="D10" s="23" t="s">
        <v>52</v>
      </c>
      <c r="E10" s="20" t="s">
        <v>53</v>
      </c>
      <c r="F10" s="21" t="s">
        <v>54</v>
      </c>
      <c r="G10" s="22" t="s">
        <v>26</v>
      </c>
      <c r="H10" s="22" t="s">
        <v>55</v>
      </c>
      <c r="I10" s="23" t="s">
        <v>44</v>
      </c>
      <c r="J10" s="23" t="s">
        <v>49</v>
      </c>
      <c r="K10" s="23" t="s">
        <v>50</v>
      </c>
      <c r="L10" s="23" t="s">
        <v>51</v>
      </c>
      <c r="M10" s="23">
        <v>0</v>
      </c>
      <c r="N10" s="23">
        <v>1</v>
      </c>
      <c r="O10" s="23" t="s">
        <v>29</v>
      </c>
      <c r="P10" s="24"/>
      <c r="Q10" s="24"/>
      <c r="R10" s="19"/>
      <c r="S10" s="24"/>
      <c r="T10" s="24" t="s">
        <v>30</v>
      </c>
      <c r="U10" s="24" t="s">
        <v>31</v>
      </c>
      <c r="V10" s="23"/>
      <c r="W10" s="19"/>
      <c r="X10" s="25"/>
      <c r="Y10" s="26"/>
    </row>
    <row r="11" spans="1:25" s="27" customFormat="1" ht="33" hidden="1" customHeight="1" thickBot="1" x14ac:dyDescent="0.35">
      <c r="A11" s="17">
        <v>5</v>
      </c>
      <c r="B11" s="23">
        <v>4230</v>
      </c>
      <c r="C11" s="19">
        <v>50160</v>
      </c>
      <c r="D11" s="23" t="s">
        <v>56</v>
      </c>
      <c r="E11" s="20" t="s">
        <v>480</v>
      </c>
      <c r="F11" s="21" t="s">
        <v>57</v>
      </c>
      <c r="G11" s="22" t="s">
        <v>26</v>
      </c>
      <c r="H11" s="22"/>
      <c r="I11" s="23" t="s">
        <v>58</v>
      </c>
      <c r="J11" s="23"/>
      <c r="K11" s="23" t="s">
        <v>59</v>
      </c>
      <c r="L11" s="23" t="s">
        <v>51</v>
      </c>
      <c r="M11" s="23">
        <v>0</v>
      </c>
      <c r="N11" s="23">
        <v>1</v>
      </c>
      <c r="O11" s="23" t="s">
        <v>29</v>
      </c>
      <c r="P11" s="24">
        <v>44377</v>
      </c>
      <c r="Q11" s="24">
        <v>44379</v>
      </c>
      <c r="R11" s="19">
        <v>2</v>
      </c>
      <c r="S11" s="24" t="s">
        <v>30</v>
      </c>
      <c r="T11" s="24" t="s">
        <v>30</v>
      </c>
      <c r="U11" s="24" t="s">
        <v>31</v>
      </c>
      <c r="V11" s="23" t="s">
        <v>60</v>
      </c>
      <c r="W11" s="19"/>
      <c r="X11" s="25"/>
      <c r="Y11" s="26"/>
    </row>
    <row r="12" spans="1:25" s="27" customFormat="1" ht="33" hidden="1" customHeight="1" thickBot="1" x14ac:dyDescent="0.35">
      <c r="A12" s="17">
        <v>5</v>
      </c>
      <c r="B12" s="23">
        <v>4230</v>
      </c>
      <c r="C12" s="19">
        <v>50106</v>
      </c>
      <c r="D12" s="23" t="s">
        <v>61</v>
      </c>
      <c r="E12" s="20" t="s">
        <v>62</v>
      </c>
      <c r="F12" s="21" t="s">
        <v>63</v>
      </c>
      <c r="G12" s="22" t="s">
        <v>26</v>
      </c>
      <c r="H12" s="22"/>
      <c r="I12" s="23" t="s">
        <v>58</v>
      </c>
      <c r="J12" s="23"/>
      <c r="K12" s="23" t="s">
        <v>59</v>
      </c>
      <c r="L12" s="23" t="s">
        <v>51</v>
      </c>
      <c r="M12" s="23">
        <v>0</v>
      </c>
      <c r="N12" s="23">
        <v>1</v>
      </c>
      <c r="O12" s="23" t="s">
        <v>29</v>
      </c>
      <c r="P12" s="24"/>
      <c r="Q12" s="24"/>
      <c r="R12" s="19"/>
      <c r="S12" s="24"/>
      <c r="T12" s="24" t="s">
        <v>30</v>
      </c>
      <c r="U12" s="24" t="s">
        <v>31</v>
      </c>
      <c r="V12" s="23"/>
      <c r="W12" s="19"/>
      <c r="X12" s="25"/>
      <c r="Y12" s="26"/>
    </row>
    <row r="13" spans="1:25" s="27" customFormat="1" ht="33" hidden="1" customHeight="1" thickBot="1" x14ac:dyDescent="0.35">
      <c r="A13" s="17">
        <v>6</v>
      </c>
      <c r="B13" s="23">
        <v>4230</v>
      </c>
      <c r="C13" s="19"/>
      <c r="D13" s="23" t="s">
        <v>64</v>
      </c>
      <c r="E13" s="20" t="s">
        <v>65</v>
      </c>
      <c r="F13" s="21" t="s">
        <v>66</v>
      </c>
      <c r="G13" s="22" t="s">
        <v>26</v>
      </c>
      <c r="H13" s="22"/>
      <c r="I13" s="23" t="s">
        <v>58</v>
      </c>
      <c r="J13" s="23"/>
      <c r="K13" s="23" t="s">
        <v>67</v>
      </c>
      <c r="L13" s="23" t="s">
        <v>51</v>
      </c>
      <c r="M13" s="23">
        <v>0</v>
      </c>
      <c r="N13" s="23">
        <v>1</v>
      </c>
      <c r="O13" s="23" t="s">
        <v>29</v>
      </c>
      <c r="P13" s="24">
        <v>44377</v>
      </c>
      <c r="Q13" s="24">
        <v>2</v>
      </c>
      <c r="R13" s="19">
        <v>2</v>
      </c>
      <c r="S13" s="24" t="s">
        <v>30</v>
      </c>
      <c r="T13" s="24" t="s">
        <v>30</v>
      </c>
      <c r="U13" s="24" t="s">
        <v>31</v>
      </c>
      <c r="V13" s="23" t="s">
        <v>60</v>
      </c>
      <c r="W13" s="19"/>
      <c r="X13" s="25"/>
      <c r="Y13" s="26"/>
    </row>
    <row r="14" spans="1:25" s="27" customFormat="1" ht="33" hidden="1" customHeight="1" thickBot="1" x14ac:dyDescent="0.35">
      <c r="A14" s="17">
        <v>6</v>
      </c>
      <c r="B14" s="23">
        <v>4230</v>
      </c>
      <c r="C14" s="19"/>
      <c r="D14" s="23" t="s">
        <v>68</v>
      </c>
      <c r="E14" s="20" t="s">
        <v>69</v>
      </c>
      <c r="F14" s="21" t="s">
        <v>70</v>
      </c>
      <c r="G14" s="22" t="s">
        <v>26</v>
      </c>
      <c r="H14" s="22"/>
      <c r="I14" s="23" t="s">
        <v>58</v>
      </c>
      <c r="J14" s="23"/>
      <c r="K14" s="23" t="s">
        <v>67</v>
      </c>
      <c r="L14" s="23" t="s">
        <v>51</v>
      </c>
      <c r="M14" s="23">
        <v>0</v>
      </c>
      <c r="N14" s="23">
        <v>1</v>
      </c>
      <c r="O14" s="23" t="s">
        <v>29</v>
      </c>
      <c r="P14" s="24"/>
      <c r="Q14" s="24"/>
      <c r="R14" s="19"/>
      <c r="S14" s="24"/>
      <c r="T14" s="24" t="s">
        <v>30</v>
      </c>
      <c r="U14" s="24" t="s">
        <v>31</v>
      </c>
      <c r="V14" s="23" t="s">
        <v>71</v>
      </c>
      <c r="W14" s="19"/>
      <c r="X14" s="25"/>
      <c r="Y14" s="26"/>
    </row>
    <row r="15" spans="1:25" s="27" customFormat="1" ht="33" hidden="1" customHeight="1" thickBot="1" x14ac:dyDescent="0.35">
      <c r="A15" s="17">
        <v>7</v>
      </c>
      <c r="B15" s="23">
        <v>4230</v>
      </c>
      <c r="C15" s="19"/>
      <c r="D15" s="23" t="s">
        <v>72</v>
      </c>
      <c r="E15" s="20" t="s">
        <v>73</v>
      </c>
      <c r="F15" s="21" t="s">
        <v>74</v>
      </c>
      <c r="G15" s="22" t="s">
        <v>26</v>
      </c>
      <c r="H15" s="22"/>
      <c r="I15" s="23" t="s">
        <v>75</v>
      </c>
      <c r="J15" s="23"/>
      <c r="K15" s="23" t="s">
        <v>76</v>
      </c>
      <c r="L15" s="23" t="s">
        <v>28</v>
      </c>
      <c r="M15" s="23">
        <v>1</v>
      </c>
      <c r="N15" s="23">
        <v>0</v>
      </c>
      <c r="O15" s="23" t="s">
        <v>29</v>
      </c>
      <c r="P15" s="24">
        <v>44377</v>
      </c>
      <c r="Q15" s="24">
        <v>44379</v>
      </c>
      <c r="R15" s="19">
        <v>1</v>
      </c>
      <c r="S15" s="24" t="s">
        <v>30</v>
      </c>
      <c r="T15" s="24" t="s">
        <v>30</v>
      </c>
      <c r="U15" s="24" t="s">
        <v>31</v>
      </c>
      <c r="V15" s="23"/>
      <c r="W15" s="19"/>
      <c r="X15" s="25"/>
      <c r="Y15" s="26"/>
    </row>
    <row r="16" spans="1:25" s="27" customFormat="1" ht="33" hidden="1" customHeight="1" thickBot="1" x14ac:dyDescent="0.35">
      <c r="A16" s="17">
        <v>8</v>
      </c>
      <c r="B16" s="23">
        <v>4230</v>
      </c>
      <c r="C16" s="19"/>
      <c r="D16" s="23" t="s">
        <v>77</v>
      </c>
      <c r="E16" s="20" t="s">
        <v>78</v>
      </c>
      <c r="F16" s="21" t="s">
        <v>79</v>
      </c>
      <c r="G16" s="22" t="s">
        <v>26</v>
      </c>
      <c r="H16" s="22"/>
      <c r="I16" s="23" t="s">
        <v>75</v>
      </c>
      <c r="J16" s="23" t="s">
        <v>80</v>
      </c>
      <c r="K16" s="23" t="s">
        <v>479</v>
      </c>
      <c r="L16" s="23" t="s">
        <v>51</v>
      </c>
      <c r="M16" s="23">
        <v>0</v>
      </c>
      <c r="N16" s="23">
        <v>1</v>
      </c>
      <c r="O16" s="23" t="s">
        <v>29</v>
      </c>
      <c r="P16" s="24">
        <v>44377</v>
      </c>
      <c r="Q16" s="24">
        <v>44379</v>
      </c>
      <c r="R16" s="19">
        <v>2</v>
      </c>
      <c r="S16" s="24" t="s">
        <v>30</v>
      </c>
      <c r="T16" s="24" t="s">
        <v>30</v>
      </c>
      <c r="U16" s="24" t="s">
        <v>31</v>
      </c>
      <c r="V16" s="23" t="s">
        <v>81</v>
      </c>
      <c r="W16" s="19"/>
      <c r="X16" s="25"/>
      <c r="Y16" s="26"/>
    </row>
    <row r="17" spans="1:25" s="27" customFormat="1" ht="33" hidden="1" customHeight="1" thickBot="1" x14ac:dyDescent="0.35">
      <c r="A17" s="17">
        <v>8</v>
      </c>
      <c r="B17" s="23">
        <v>4230</v>
      </c>
      <c r="C17" s="19"/>
      <c r="D17" s="23" t="s">
        <v>82</v>
      </c>
      <c r="E17" s="20" t="s">
        <v>83</v>
      </c>
      <c r="F17" s="21" t="s">
        <v>84</v>
      </c>
      <c r="G17" s="22" t="s">
        <v>26</v>
      </c>
      <c r="H17" s="22"/>
      <c r="I17" s="23" t="s">
        <v>75</v>
      </c>
      <c r="J17" s="23" t="s">
        <v>80</v>
      </c>
      <c r="K17" s="23" t="s">
        <v>452</v>
      </c>
      <c r="L17" s="23" t="s">
        <v>51</v>
      </c>
      <c r="M17" s="23">
        <v>0</v>
      </c>
      <c r="N17" s="23">
        <v>1</v>
      </c>
      <c r="O17" s="23" t="s">
        <v>29</v>
      </c>
      <c r="P17" s="24"/>
      <c r="Q17" s="24"/>
      <c r="R17" s="19"/>
      <c r="S17" s="24"/>
      <c r="T17" s="24" t="s">
        <v>30</v>
      </c>
      <c r="U17" s="24" t="s">
        <v>31</v>
      </c>
      <c r="V17" s="23"/>
      <c r="W17" s="19"/>
      <c r="X17" s="25"/>
      <c r="Y17" s="26"/>
    </row>
    <row r="18" spans="1:25" s="27" customFormat="1" ht="33" hidden="1" customHeight="1" thickBot="1" x14ac:dyDescent="0.35">
      <c r="A18" s="17">
        <v>9</v>
      </c>
      <c r="B18" s="23">
        <v>4230</v>
      </c>
      <c r="C18" s="19"/>
      <c r="D18" s="23" t="s">
        <v>85</v>
      </c>
      <c r="E18" s="20" t="s">
        <v>86</v>
      </c>
      <c r="F18" s="21" t="s">
        <v>87</v>
      </c>
      <c r="G18" s="22" t="s">
        <v>26</v>
      </c>
      <c r="H18" s="22" t="s">
        <v>88</v>
      </c>
      <c r="I18" s="23" t="s">
        <v>75</v>
      </c>
      <c r="J18" s="23"/>
      <c r="K18" s="23" t="s">
        <v>89</v>
      </c>
      <c r="L18" s="23" t="s">
        <v>28</v>
      </c>
      <c r="M18" s="23">
        <v>1</v>
      </c>
      <c r="N18" s="23">
        <v>0</v>
      </c>
      <c r="O18" s="23" t="s">
        <v>29</v>
      </c>
      <c r="P18" s="24">
        <v>44377</v>
      </c>
      <c r="Q18" s="24">
        <v>44379</v>
      </c>
      <c r="R18" s="19">
        <v>1</v>
      </c>
      <c r="S18" s="24" t="s">
        <v>30</v>
      </c>
      <c r="T18" s="24" t="s">
        <v>30</v>
      </c>
      <c r="U18" s="24" t="s">
        <v>31</v>
      </c>
      <c r="V18" s="23"/>
      <c r="W18" s="19"/>
      <c r="X18" s="25"/>
      <c r="Y18" s="26"/>
    </row>
    <row r="19" spans="1:25" s="27" customFormat="1" ht="33" hidden="1" customHeight="1" thickBot="1" x14ac:dyDescent="0.35">
      <c r="A19" s="17">
        <v>10</v>
      </c>
      <c r="B19" s="23">
        <v>4230</v>
      </c>
      <c r="C19" s="19"/>
      <c r="D19" s="23" t="s">
        <v>90</v>
      </c>
      <c r="E19" s="20" t="s">
        <v>91</v>
      </c>
      <c r="F19" s="21" t="s">
        <v>92</v>
      </c>
      <c r="G19" s="22" t="s">
        <v>26</v>
      </c>
      <c r="H19" s="22"/>
      <c r="I19" s="23" t="s">
        <v>75</v>
      </c>
      <c r="J19" s="23" t="s">
        <v>89</v>
      </c>
      <c r="K19" s="23">
        <v>1406</v>
      </c>
      <c r="L19" s="23" t="s">
        <v>51</v>
      </c>
      <c r="M19" s="23">
        <v>0</v>
      </c>
      <c r="N19" s="23">
        <v>1</v>
      </c>
      <c r="O19" s="23" t="s">
        <v>29</v>
      </c>
      <c r="P19" s="24">
        <v>44377</v>
      </c>
      <c r="Q19" s="24">
        <v>44379</v>
      </c>
      <c r="R19" s="19">
        <v>2</v>
      </c>
      <c r="S19" s="24" t="s">
        <v>30</v>
      </c>
      <c r="T19" s="24" t="s">
        <v>30</v>
      </c>
      <c r="U19" s="24" t="s">
        <v>31</v>
      </c>
      <c r="V19" s="23">
        <v>68</v>
      </c>
      <c r="W19" s="19"/>
      <c r="X19" s="25"/>
      <c r="Y19" s="26"/>
    </row>
    <row r="20" spans="1:25" s="27" customFormat="1" ht="33" hidden="1" customHeight="1" thickBot="1" x14ac:dyDescent="0.35">
      <c r="A20" s="17">
        <v>10</v>
      </c>
      <c r="B20" s="23">
        <v>4230</v>
      </c>
      <c r="C20" s="19"/>
      <c r="D20" s="23" t="s">
        <v>93</v>
      </c>
      <c r="E20" s="20" t="s">
        <v>94</v>
      </c>
      <c r="F20" s="21" t="s">
        <v>95</v>
      </c>
      <c r="G20" s="22" t="s">
        <v>26</v>
      </c>
      <c r="H20" s="22"/>
      <c r="I20" s="23" t="s">
        <v>75</v>
      </c>
      <c r="J20" s="23" t="s">
        <v>89</v>
      </c>
      <c r="K20" s="23">
        <v>1406</v>
      </c>
      <c r="L20" s="23" t="s">
        <v>51</v>
      </c>
      <c r="M20" s="23">
        <v>0</v>
      </c>
      <c r="N20" s="23">
        <v>1</v>
      </c>
      <c r="O20" s="23" t="s">
        <v>29</v>
      </c>
      <c r="P20" s="24"/>
      <c r="Q20" s="24"/>
      <c r="R20" s="19"/>
      <c r="S20" s="24"/>
      <c r="T20" s="24" t="s">
        <v>30</v>
      </c>
      <c r="U20" s="24" t="s">
        <v>31</v>
      </c>
      <c r="V20" s="23"/>
      <c r="W20" s="19"/>
      <c r="X20" s="25"/>
      <c r="Y20" s="26"/>
    </row>
    <row r="21" spans="1:25" s="27" customFormat="1" ht="33" hidden="1" customHeight="1" thickBot="1" x14ac:dyDescent="0.35">
      <c r="A21" s="17">
        <v>11</v>
      </c>
      <c r="B21" s="23">
        <v>4230</v>
      </c>
      <c r="C21" s="19">
        <v>50154</v>
      </c>
      <c r="D21" s="23" t="s">
        <v>96</v>
      </c>
      <c r="E21" s="20" t="s">
        <v>97</v>
      </c>
      <c r="F21" s="21" t="s">
        <v>98</v>
      </c>
      <c r="G21" s="22" t="s">
        <v>26</v>
      </c>
      <c r="H21" s="22" t="s">
        <v>99</v>
      </c>
      <c r="I21" s="23" t="s">
        <v>39</v>
      </c>
      <c r="J21" s="23" t="s">
        <v>100</v>
      </c>
      <c r="K21" s="23" t="s">
        <v>101</v>
      </c>
      <c r="L21" s="23" t="s">
        <v>51</v>
      </c>
      <c r="M21" s="23">
        <v>0</v>
      </c>
      <c r="N21" s="23">
        <v>1</v>
      </c>
      <c r="O21" s="23" t="s">
        <v>29</v>
      </c>
      <c r="P21" s="24">
        <v>44377</v>
      </c>
      <c r="Q21" s="24">
        <v>44384</v>
      </c>
      <c r="R21" s="19">
        <v>2</v>
      </c>
      <c r="S21" s="24" t="s">
        <v>30</v>
      </c>
      <c r="T21" s="24" t="s">
        <v>30</v>
      </c>
      <c r="U21" s="24" t="s">
        <v>31</v>
      </c>
      <c r="V21" s="23">
        <v>44</v>
      </c>
      <c r="W21" s="19"/>
      <c r="X21" s="25"/>
      <c r="Y21" s="26"/>
    </row>
    <row r="22" spans="1:25" s="27" customFormat="1" ht="33" hidden="1" customHeight="1" thickBot="1" x14ac:dyDescent="0.35">
      <c r="A22" s="17">
        <v>11</v>
      </c>
      <c r="B22" s="23">
        <v>4230</v>
      </c>
      <c r="C22" s="19">
        <v>50055</v>
      </c>
      <c r="D22" s="23" t="s">
        <v>102</v>
      </c>
      <c r="E22" s="20" t="s">
        <v>103</v>
      </c>
      <c r="F22" s="21" t="s">
        <v>104</v>
      </c>
      <c r="G22" s="22" t="s">
        <v>26</v>
      </c>
      <c r="H22" s="22" t="s">
        <v>105</v>
      </c>
      <c r="I22" s="23" t="s">
        <v>39</v>
      </c>
      <c r="J22" s="23" t="s">
        <v>100</v>
      </c>
      <c r="K22" s="23" t="s">
        <v>101</v>
      </c>
      <c r="L22" s="23" t="s">
        <v>51</v>
      </c>
      <c r="M22" s="23">
        <v>0</v>
      </c>
      <c r="N22" s="23">
        <v>1</v>
      </c>
      <c r="O22" s="23" t="s">
        <v>29</v>
      </c>
      <c r="P22" s="24"/>
      <c r="Q22" s="24"/>
      <c r="R22" s="19"/>
      <c r="S22" s="24"/>
      <c r="T22" s="24" t="s">
        <v>30</v>
      </c>
      <c r="U22" s="24" t="s">
        <v>31</v>
      </c>
      <c r="V22" s="23"/>
      <c r="W22" s="19"/>
      <c r="X22" s="25"/>
      <c r="Y22" s="26"/>
    </row>
    <row r="23" spans="1:25" s="27" customFormat="1" ht="33" hidden="1" customHeight="1" thickBot="1" x14ac:dyDescent="0.35">
      <c r="A23" s="17">
        <v>12</v>
      </c>
      <c r="B23" s="23">
        <v>4230</v>
      </c>
      <c r="C23" s="19" t="s">
        <v>106</v>
      </c>
      <c r="D23" s="23" t="s">
        <v>107</v>
      </c>
      <c r="E23" s="20" t="s">
        <v>108</v>
      </c>
      <c r="F23" s="21" t="s">
        <v>109</v>
      </c>
      <c r="G23" s="22" t="s">
        <v>26</v>
      </c>
      <c r="H23" s="22"/>
      <c r="I23" s="23" t="s">
        <v>110</v>
      </c>
      <c r="J23" s="23"/>
      <c r="K23" s="23" t="s">
        <v>111</v>
      </c>
      <c r="L23" s="23" t="s">
        <v>51</v>
      </c>
      <c r="M23" s="23">
        <v>0</v>
      </c>
      <c r="N23" s="23">
        <v>1</v>
      </c>
      <c r="O23" s="23" t="s">
        <v>29</v>
      </c>
      <c r="P23" s="24">
        <v>44385</v>
      </c>
      <c r="Q23" s="24">
        <v>44384</v>
      </c>
      <c r="R23" s="19">
        <v>1</v>
      </c>
      <c r="S23" s="24" t="s">
        <v>30</v>
      </c>
      <c r="T23" s="24" t="s">
        <v>30</v>
      </c>
      <c r="U23" s="24" t="s">
        <v>31</v>
      </c>
      <c r="V23" s="23">
        <v>59</v>
      </c>
      <c r="W23" s="19"/>
      <c r="X23" s="25"/>
      <c r="Y23" s="26"/>
    </row>
    <row r="24" spans="1:25" s="27" customFormat="1" ht="33" hidden="1" customHeight="1" thickBot="1" x14ac:dyDescent="0.35">
      <c r="A24" s="17">
        <v>13</v>
      </c>
      <c r="B24" s="23">
        <v>4230</v>
      </c>
      <c r="C24" s="19" t="s">
        <v>112</v>
      </c>
      <c r="D24" s="23" t="s">
        <v>113</v>
      </c>
      <c r="E24" s="20" t="s">
        <v>114</v>
      </c>
      <c r="F24" s="21" t="s">
        <v>115</v>
      </c>
      <c r="G24" s="22" t="s">
        <v>26</v>
      </c>
      <c r="H24" s="22"/>
      <c r="I24" s="23" t="s">
        <v>110</v>
      </c>
      <c r="J24" s="23" t="s">
        <v>116</v>
      </c>
      <c r="K24" s="23"/>
      <c r="L24" s="23" t="s">
        <v>51</v>
      </c>
      <c r="M24" s="23">
        <v>0</v>
      </c>
      <c r="N24" s="23">
        <v>1</v>
      </c>
      <c r="O24" s="23" t="s">
        <v>29</v>
      </c>
      <c r="P24" s="24">
        <v>44385</v>
      </c>
      <c r="Q24" s="24">
        <v>44384</v>
      </c>
      <c r="R24" s="19">
        <v>2</v>
      </c>
      <c r="S24" s="24" t="s">
        <v>30</v>
      </c>
      <c r="T24" s="24" t="s">
        <v>30</v>
      </c>
      <c r="U24" s="24" t="s">
        <v>31</v>
      </c>
      <c r="V24" s="23">
        <v>57</v>
      </c>
      <c r="W24" s="19"/>
      <c r="X24" s="25"/>
      <c r="Y24" s="26"/>
    </row>
    <row r="25" spans="1:25" s="27" customFormat="1" ht="33" hidden="1" customHeight="1" thickBot="1" x14ac:dyDescent="0.35">
      <c r="A25" s="17">
        <v>13</v>
      </c>
      <c r="B25" s="23">
        <v>4230</v>
      </c>
      <c r="C25" s="19"/>
      <c r="D25" s="23" t="s">
        <v>481</v>
      </c>
      <c r="E25" s="20" t="s">
        <v>117</v>
      </c>
      <c r="F25" s="21" t="s">
        <v>118</v>
      </c>
      <c r="G25" s="22" t="s">
        <v>26</v>
      </c>
      <c r="H25" s="22"/>
      <c r="I25" s="23" t="s">
        <v>110</v>
      </c>
      <c r="J25" s="23" t="s">
        <v>116</v>
      </c>
      <c r="K25" s="23"/>
      <c r="L25" s="23" t="s">
        <v>51</v>
      </c>
      <c r="M25" s="23">
        <v>0</v>
      </c>
      <c r="N25" s="23">
        <v>1</v>
      </c>
      <c r="O25" s="23" t="s">
        <v>29</v>
      </c>
      <c r="P25" s="24"/>
      <c r="Q25" s="24"/>
      <c r="R25" s="19"/>
      <c r="S25" s="24"/>
      <c r="T25" s="24" t="s">
        <v>30</v>
      </c>
      <c r="U25" s="24" t="s">
        <v>31</v>
      </c>
      <c r="V25" s="23"/>
      <c r="W25" s="19"/>
      <c r="X25" s="25"/>
      <c r="Y25" s="26"/>
    </row>
    <row r="26" spans="1:25" s="27" customFormat="1" ht="33" customHeight="1" thickBot="1" x14ac:dyDescent="0.35">
      <c r="A26" s="17">
        <v>14</v>
      </c>
      <c r="B26" s="23"/>
      <c r="C26" s="19"/>
      <c r="D26" s="23" t="s">
        <v>592</v>
      </c>
      <c r="E26" s="20" t="s">
        <v>119</v>
      </c>
      <c r="F26" s="21" t="s">
        <v>120</v>
      </c>
      <c r="G26" s="22" t="s">
        <v>26</v>
      </c>
      <c r="H26" s="22"/>
      <c r="I26" s="23" t="s">
        <v>75</v>
      </c>
      <c r="J26" s="23" t="s">
        <v>121</v>
      </c>
      <c r="K26" s="23" t="s">
        <v>122</v>
      </c>
      <c r="L26" s="23" t="s">
        <v>51</v>
      </c>
      <c r="M26" s="23">
        <v>0</v>
      </c>
      <c r="N26" s="23">
        <v>1</v>
      </c>
      <c r="O26" s="23" t="s">
        <v>29</v>
      </c>
      <c r="P26" s="24">
        <v>44385</v>
      </c>
      <c r="Q26" s="24">
        <v>44442</v>
      </c>
      <c r="R26" s="19">
        <v>2</v>
      </c>
      <c r="S26" s="24" t="s">
        <v>30</v>
      </c>
      <c r="T26" s="24" t="s">
        <v>30</v>
      </c>
      <c r="U26" s="24" t="s">
        <v>31</v>
      </c>
      <c r="V26" s="23" t="s">
        <v>123</v>
      </c>
      <c r="W26" s="19"/>
      <c r="X26" s="25"/>
      <c r="Y26" s="26"/>
    </row>
    <row r="27" spans="1:25" s="27" customFormat="1" ht="33" customHeight="1" thickBot="1" x14ac:dyDescent="0.35">
      <c r="A27" s="17">
        <v>14</v>
      </c>
      <c r="B27" s="23"/>
      <c r="C27" s="19"/>
      <c r="D27" s="23" t="s">
        <v>124</v>
      </c>
      <c r="E27" s="20" t="s">
        <v>125</v>
      </c>
      <c r="F27" s="21" t="s">
        <v>126</v>
      </c>
      <c r="G27" s="22" t="s">
        <v>26</v>
      </c>
      <c r="H27" s="22"/>
      <c r="I27" s="23" t="s">
        <v>75</v>
      </c>
      <c r="J27" s="23" t="s">
        <v>121</v>
      </c>
      <c r="K27" s="23" t="s">
        <v>122</v>
      </c>
      <c r="L27" s="23" t="s">
        <v>51</v>
      </c>
      <c r="M27" s="23">
        <v>0</v>
      </c>
      <c r="N27" s="23">
        <v>1</v>
      </c>
      <c r="O27" s="23" t="s">
        <v>29</v>
      </c>
      <c r="P27" s="24"/>
      <c r="Q27" s="24"/>
      <c r="R27" s="19"/>
      <c r="S27" s="24"/>
      <c r="T27" s="24" t="s">
        <v>30</v>
      </c>
      <c r="U27" s="24" t="s">
        <v>31</v>
      </c>
      <c r="V27" s="23"/>
      <c r="W27" s="19"/>
      <c r="X27" s="25"/>
      <c r="Y27" s="26"/>
    </row>
    <row r="28" spans="1:25" s="27" customFormat="1" ht="33" hidden="1" customHeight="1" thickBot="1" x14ac:dyDescent="0.35">
      <c r="A28" s="17">
        <v>15</v>
      </c>
      <c r="B28" s="23">
        <v>4319</v>
      </c>
      <c r="C28" s="19" t="s">
        <v>133</v>
      </c>
      <c r="D28" s="23" t="s">
        <v>134</v>
      </c>
      <c r="E28" s="20" t="s">
        <v>135</v>
      </c>
      <c r="F28" s="21" t="s">
        <v>136</v>
      </c>
      <c r="G28" s="22" t="s">
        <v>26</v>
      </c>
      <c r="H28" s="22"/>
      <c r="I28" s="23" t="s">
        <v>130</v>
      </c>
      <c r="J28" s="23" t="s">
        <v>131</v>
      </c>
      <c r="K28" s="23" t="s">
        <v>132</v>
      </c>
      <c r="L28" s="23" t="s">
        <v>51</v>
      </c>
      <c r="M28" s="23">
        <v>0</v>
      </c>
      <c r="N28" s="23">
        <v>1</v>
      </c>
      <c r="O28" s="23" t="s">
        <v>29</v>
      </c>
      <c r="P28" s="24"/>
      <c r="Q28" s="24"/>
      <c r="R28" s="19"/>
      <c r="S28" s="24"/>
      <c r="T28" s="24" t="s">
        <v>30</v>
      </c>
      <c r="U28" s="24" t="s">
        <v>31</v>
      </c>
      <c r="V28" s="23">
        <v>33</v>
      </c>
      <c r="W28" s="19"/>
      <c r="X28" s="25"/>
      <c r="Y28" s="26"/>
    </row>
    <row r="29" spans="1:25" s="27" customFormat="1" ht="33" hidden="1" customHeight="1" thickBot="1" x14ac:dyDescent="0.35">
      <c r="A29" s="17">
        <v>15</v>
      </c>
      <c r="B29" s="23">
        <v>4319</v>
      </c>
      <c r="C29" s="19">
        <v>50185</v>
      </c>
      <c r="D29" s="23" t="s">
        <v>127</v>
      </c>
      <c r="E29" s="20" t="s">
        <v>128</v>
      </c>
      <c r="F29" s="21" t="s">
        <v>129</v>
      </c>
      <c r="G29" s="22" t="s">
        <v>26</v>
      </c>
      <c r="H29" s="22"/>
      <c r="I29" s="23" t="s">
        <v>130</v>
      </c>
      <c r="J29" s="23" t="s">
        <v>131</v>
      </c>
      <c r="K29" s="23" t="s">
        <v>132</v>
      </c>
      <c r="L29" s="23" t="s">
        <v>51</v>
      </c>
      <c r="M29" s="23">
        <v>0</v>
      </c>
      <c r="N29" s="23">
        <v>1</v>
      </c>
      <c r="O29" s="23" t="s">
        <v>29</v>
      </c>
      <c r="P29" s="24">
        <v>44385</v>
      </c>
      <c r="Q29" s="24">
        <v>44392</v>
      </c>
      <c r="R29" s="19">
        <v>2</v>
      </c>
      <c r="S29" s="24" t="s">
        <v>30</v>
      </c>
      <c r="T29" s="24" t="s">
        <v>30</v>
      </c>
      <c r="U29" s="24" t="s">
        <v>31</v>
      </c>
      <c r="V29" s="23"/>
      <c r="W29" s="19"/>
      <c r="X29" s="25"/>
      <c r="Y29" s="26"/>
    </row>
    <row r="30" spans="1:25" s="27" customFormat="1" ht="33" hidden="1" customHeight="1" thickBot="1" x14ac:dyDescent="0.35">
      <c r="A30" s="17">
        <v>16</v>
      </c>
      <c r="B30" s="23">
        <v>4319</v>
      </c>
      <c r="C30" s="19" t="s">
        <v>147</v>
      </c>
      <c r="D30" s="23" t="s">
        <v>148</v>
      </c>
      <c r="E30" s="20" t="s">
        <v>149</v>
      </c>
      <c r="F30" s="21" t="s">
        <v>150</v>
      </c>
      <c r="G30" s="22" t="s">
        <v>26</v>
      </c>
      <c r="H30" s="22"/>
      <c r="I30" s="23" t="s">
        <v>151</v>
      </c>
      <c r="J30" s="23" t="s">
        <v>152</v>
      </c>
      <c r="K30" s="23" t="s">
        <v>153</v>
      </c>
      <c r="L30" s="23" t="s">
        <v>51</v>
      </c>
      <c r="M30" s="23">
        <v>0</v>
      </c>
      <c r="N30" s="23">
        <v>1</v>
      </c>
      <c r="O30" s="23" t="s">
        <v>29</v>
      </c>
      <c r="P30" s="24">
        <v>44385</v>
      </c>
      <c r="Q30" s="24">
        <v>44392</v>
      </c>
      <c r="R30" s="19">
        <v>2</v>
      </c>
      <c r="S30" s="24" t="s">
        <v>30</v>
      </c>
      <c r="T30" s="24" t="s">
        <v>30</v>
      </c>
      <c r="U30" s="24" t="s">
        <v>31</v>
      </c>
      <c r="V30" s="23">
        <v>11</v>
      </c>
      <c r="W30" s="19"/>
      <c r="X30" s="25"/>
      <c r="Y30" s="26"/>
    </row>
    <row r="31" spans="1:25" s="27" customFormat="1" ht="33" hidden="1" customHeight="1" thickBot="1" x14ac:dyDescent="0.35">
      <c r="A31" s="17">
        <v>16</v>
      </c>
      <c r="B31" s="23">
        <v>4319</v>
      </c>
      <c r="C31" s="19" t="s">
        <v>154</v>
      </c>
      <c r="D31" s="23" t="s">
        <v>155</v>
      </c>
      <c r="E31" s="20" t="s">
        <v>156</v>
      </c>
      <c r="F31" s="21" t="s">
        <v>157</v>
      </c>
      <c r="G31" s="22" t="s">
        <v>26</v>
      </c>
      <c r="H31" s="22"/>
      <c r="I31" s="23" t="s">
        <v>151</v>
      </c>
      <c r="J31" s="23" t="s">
        <v>152</v>
      </c>
      <c r="K31" s="23" t="s">
        <v>153</v>
      </c>
      <c r="L31" s="23" t="s">
        <v>51</v>
      </c>
      <c r="M31" s="23">
        <v>0</v>
      </c>
      <c r="N31" s="23">
        <v>1</v>
      </c>
      <c r="O31" s="23" t="s">
        <v>29</v>
      </c>
      <c r="P31" s="24"/>
      <c r="Q31" s="24"/>
      <c r="R31" s="19"/>
      <c r="S31" s="24"/>
      <c r="T31" s="24" t="s">
        <v>30</v>
      </c>
      <c r="U31" s="24" t="s">
        <v>31</v>
      </c>
      <c r="V31" s="23"/>
      <c r="W31" s="19"/>
      <c r="X31" s="25"/>
      <c r="Y31" s="26"/>
    </row>
    <row r="32" spans="1:25" s="27" customFormat="1" ht="33" customHeight="1" thickBot="1" x14ac:dyDescent="0.35">
      <c r="A32" s="17">
        <v>17</v>
      </c>
      <c r="B32" s="23"/>
      <c r="C32" s="19"/>
      <c r="D32" s="23" t="s">
        <v>483</v>
      </c>
      <c r="E32" s="20" t="s">
        <v>482</v>
      </c>
      <c r="F32" s="21" t="s">
        <v>163</v>
      </c>
      <c r="G32" s="22" t="s">
        <v>26</v>
      </c>
      <c r="H32" s="22" t="s">
        <v>164</v>
      </c>
      <c r="I32" s="23" t="s">
        <v>165</v>
      </c>
      <c r="J32" s="23"/>
      <c r="K32" s="23" t="s">
        <v>166</v>
      </c>
      <c r="L32" s="23" t="s">
        <v>28</v>
      </c>
      <c r="M32" s="23">
        <v>1</v>
      </c>
      <c r="N32" s="23">
        <v>0</v>
      </c>
      <c r="O32" s="23" t="s">
        <v>29</v>
      </c>
      <c r="P32" s="24">
        <v>44385</v>
      </c>
      <c r="Q32" s="24">
        <v>44397</v>
      </c>
      <c r="R32" s="19">
        <v>1</v>
      </c>
      <c r="S32" s="24" t="s">
        <v>30</v>
      </c>
      <c r="T32" s="24" t="s">
        <v>30</v>
      </c>
      <c r="U32" s="24" t="s">
        <v>31</v>
      </c>
      <c r="V32" s="23" t="s">
        <v>167</v>
      </c>
      <c r="W32" s="19"/>
      <c r="X32" s="25"/>
      <c r="Y32" s="26"/>
    </row>
    <row r="33" spans="1:25" s="27" customFormat="1" ht="33" hidden="1" customHeight="1" thickBot="1" x14ac:dyDescent="0.35">
      <c r="A33" s="17">
        <v>18</v>
      </c>
      <c r="B33" s="23">
        <v>4319</v>
      </c>
      <c r="C33" s="19">
        <v>50191</v>
      </c>
      <c r="D33" s="23" t="s">
        <v>172</v>
      </c>
      <c r="E33" s="20" t="s">
        <v>173</v>
      </c>
      <c r="F33" s="21" t="s">
        <v>174</v>
      </c>
      <c r="G33" s="22" t="s">
        <v>26</v>
      </c>
      <c r="H33" s="22"/>
      <c r="I33" s="23">
        <v>503</v>
      </c>
      <c r="J33" s="23"/>
      <c r="K33" s="23">
        <v>556</v>
      </c>
      <c r="L33" s="23" t="s">
        <v>51</v>
      </c>
      <c r="M33" s="23">
        <v>0</v>
      </c>
      <c r="N33" s="23">
        <v>1</v>
      </c>
      <c r="O33" s="23" t="s">
        <v>29</v>
      </c>
      <c r="P33" s="24"/>
      <c r="Q33" s="24"/>
      <c r="R33" s="19"/>
      <c r="S33" s="24"/>
      <c r="T33" s="24" t="s">
        <v>30</v>
      </c>
      <c r="U33" s="24" t="s">
        <v>31</v>
      </c>
      <c r="V33" s="23">
        <v>43</v>
      </c>
      <c r="W33" s="19"/>
      <c r="X33" s="25"/>
      <c r="Y33" s="26"/>
    </row>
    <row r="34" spans="1:25" s="27" customFormat="1" ht="33" hidden="1" customHeight="1" thickBot="1" x14ac:dyDescent="0.35">
      <c r="A34" s="17">
        <v>18</v>
      </c>
      <c r="B34" s="23">
        <v>4319</v>
      </c>
      <c r="C34" s="19" t="s">
        <v>168</v>
      </c>
      <c r="D34" s="23" t="s">
        <v>169</v>
      </c>
      <c r="E34" s="20" t="s">
        <v>170</v>
      </c>
      <c r="F34" s="21" t="s">
        <v>171</v>
      </c>
      <c r="G34" s="22" t="s">
        <v>26</v>
      </c>
      <c r="H34" s="22"/>
      <c r="I34" s="23">
        <v>503</v>
      </c>
      <c r="J34" s="23"/>
      <c r="K34" s="23">
        <v>556</v>
      </c>
      <c r="L34" s="23" t="s">
        <v>51</v>
      </c>
      <c r="M34" s="23">
        <v>0</v>
      </c>
      <c r="N34" s="23">
        <v>1</v>
      </c>
      <c r="O34" s="23" t="s">
        <v>29</v>
      </c>
      <c r="P34" s="24" t="s">
        <v>30</v>
      </c>
      <c r="Q34" s="24">
        <v>44442</v>
      </c>
      <c r="R34" s="19">
        <v>2</v>
      </c>
      <c r="S34" s="24" t="s">
        <v>30</v>
      </c>
      <c r="T34" s="24" t="s">
        <v>30</v>
      </c>
      <c r="U34" s="24" t="s">
        <v>31</v>
      </c>
      <c r="V34" s="23"/>
      <c r="W34" s="19"/>
      <c r="X34" s="25"/>
      <c r="Y34" s="26"/>
    </row>
    <row r="35" spans="1:25" s="27" customFormat="1" ht="33" hidden="1" customHeight="1" thickBot="1" x14ac:dyDescent="0.35">
      <c r="A35" s="17">
        <v>19</v>
      </c>
      <c r="B35" s="23">
        <v>4319</v>
      </c>
      <c r="C35" s="19"/>
      <c r="D35" s="23"/>
      <c r="E35" s="20"/>
      <c r="F35" s="21" t="s">
        <v>175</v>
      </c>
      <c r="G35" s="22"/>
      <c r="H35" s="22"/>
      <c r="I35" s="23">
        <v>515</v>
      </c>
      <c r="J35" s="23"/>
      <c r="K35" s="23">
        <v>566</v>
      </c>
      <c r="L35" s="23" t="s">
        <v>51</v>
      </c>
      <c r="M35" s="23">
        <v>0</v>
      </c>
      <c r="N35" s="23">
        <v>1</v>
      </c>
      <c r="O35" s="23" t="s">
        <v>176</v>
      </c>
      <c r="P35" s="24">
        <v>44379</v>
      </c>
      <c r="Q35" s="24">
        <v>44435</v>
      </c>
      <c r="R35" s="19">
        <v>2</v>
      </c>
      <c r="S35" s="24" t="s">
        <v>30</v>
      </c>
      <c r="T35" s="24" t="s">
        <v>30</v>
      </c>
      <c r="U35" s="24" t="s">
        <v>31</v>
      </c>
      <c r="V35" s="23" t="s">
        <v>177</v>
      </c>
      <c r="W35" s="19"/>
      <c r="X35" s="25" t="s">
        <v>178</v>
      </c>
      <c r="Y35" s="26"/>
    </row>
    <row r="36" spans="1:25" s="27" customFormat="1" ht="33" hidden="1" customHeight="1" thickBot="1" x14ac:dyDescent="0.35">
      <c r="A36" s="17">
        <v>19</v>
      </c>
      <c r="B36" s="23">
        <v>4319</v>
      </c>
      <c r="C36" s="19"/>
      <c r="D36" s="23"/>
      <c r="E36" s="20"/>
      <c r="F36" s="21" t="s">
        <v>179</v>
      </c>
      <c r="G36" s="22"/>
      <c r="H36" s="22"/>
      <c r="I36" s="23">
        <v>515</v>
      </c>
      <c r="J36" s="23"/>
      <c r="K36" s="23">
        <v>566</v>
      </c>
      <c r="L36" s="23" t="s">
        <v>51</v>
      </c>
      <c r="M36" s="23">
        <v>0</v>
      </c>
      <c r="N36" s="23">
        <v>1</v>
      </c>
      <c r="O36" s="23" t="s">
        <v>176</v>
      </c>
      <c r="P36" s="24"/>
      <c r="Q36" s="24"/>
      <c r="R36" s="19"/>
      <c r="S36" s="24" t="s">
        <v>30</v>
      </c>
      <c r="T36" s="24" t="s">
        <v>30</v>
      </c>
      <c r="U36" s="24" t="s">
        <v>31</v>
      </c>
      <c r="V36" s="23" t="s">
        <v>162</v>
      </c>
      <c r="W36" s="19"/>
      <c r="X36" s="25"/>
      <c r="Y36" s="26"/>
    </row>
    <row r="37" spans="1:25" s="27" customFormat="1" ht="33" hidden="1" customHeight="1" thickBot="1" x14ac:dyDescent="0.35">
      <c r="A37" s="17">
        <v>20</v>
      </c>
      <c r="B37" s="23">
        <v>4319</v>
      </c>
      <c r="C37" s="19"/>
      <c r="D37" s="23" t="s">
        <v>180</v>
      </c>
      <c r="E37" s="20" t="s">
        <v>181</v>
      </c>
      <c r="F37" s="21" t="s">
        <v>182</v>
      </c>
      <c r="G37" s="22" t="s">
        <v>553</v>
      </c>
      <c r="H37" s="22"/>
      <c r="I37" s="23">
        <v>509</v>
      </c>
      <c r="J37" s="23"/>
      <c r="K37" s="23">
        <v>546</v>
      </c>
      <c r="L37" s="23" t="s">
        <v>51</v>
      </c>
      <c r="M37" s="23">
        <v>0</v>
      </c>
      <c r="N37" s="23">
        <v>1</v>
      </c>
      <c r="O37" s="23" t="s">
        <v>176</v>
      </c>
      <c r="P37" s="24">
        <v>44379</v>
      </c>
      <c r="Q37" s="24">
        <v>44379</v>
      </c>
      <c r="R37" s="19">
        <v>2</v>
      </c>
      <c r="S37" s="24" t="s">
        <v>30</v>
      </c>
      <c r="T37" s="24" t="s">
        <v>30</v>
      </c>
      <c r="U37" s="24" t="s">
        <v>31</v>
      </c>
      <c r="V37" s="23" t="s">
        <v>183</v>
      </c>
      <c r="W37" s="19"/>
      <c r="X37" s="25"/>
      <c r="Y37" s="26"/>
    </row>
    <row r="38" spans="1:25" s="27" customFormat="1" ht="33" hidden="1" customHeight="1" thickBot="1" x14ac:dyDescent="0.35">
      <c r="A38" s="17">
        <v>20</v>
      </c>
      <c r="B38" s="23">
        <v>4319</v>
      </c>
      <c r="C38" s="19"/>
      <c r="D38" s="23" t="s">
        <v>184</v>
      </c>
      <c r="E38" s="20" t="s">
        <v>185</v>
      </c>
      <c r="F38" s="21" t="s">
        <v>186</v>
      </c>
      <c r="G38" s="22" t="s">
        <v>553</v>
      </c>
      <c r="H38" s="22"/>
      <c r="I38" s="23">
        <v>509</v>
      </c>
      <c r="J38" s="23"/>
      <c r="K38" s="23">
        <v>546</v>
      </c>
      <c r="L38" s="23" t="s">
        <v>51</v>
      </c>
      <c r="M38" s="23">
        <v>0</v>
      </c>
      <c r="N38" s="23">
        <v>1</v>
      </c>
      <c r="O38" s="23" t="s">
        <v>176</v>
      </c>
      <c r="P38" s="24"/>
      <c r="Q38" s="24"/>
      <c r="R38" s="19"/>
      <c r="S38" s="24"/>
      <c r="T38" s="24" t="s">
        <v>30</v>
      </c>
      <c r="U38" s="24" t="s">
        <v>31</v>
      </c>
      <c r="V38" s="23"/>
      <c r="W38" s="19"/>
      <c r="X38" s="25"/>
      <c r="Y38" s="26"/>
    </row>
    <row r="39" spans="1:25" s="27" customFormat="1" ht="33" hidden="1" customHeight="1" thickBot="1" x14ac:dyDescent="0.35">
      <c r="A39" s="17">
        <v>21</v>
      </c>
      <c r="B39" s="23">
        <v>4319</v>
      </c>
      <c r="C39" s="19"/>
      <c r="D39" s="23" t="s">
        <v>187</v>
      </c>
      <c r="E39" s="20" t="s">
        <v>188</v>
      </c>
      <c r="F39" s="21" t="s">
        <v>189</v>
      </c>
      <c r="G39" s="22" t="s">
        <v>553</v>
      </c>
      <c r="H39" s="22"/>
      <c r="I39" s="23">
        <v>511</v>
      </c>
      <c r="J39" s="23">
        <v>546</v>
      </c>
      <c r="K39" s="23">
        <v>544</v>
      </c>
      <c r="L39" s="23" t="s">
        <v>51</v>
      </c>
      <c r="M39" s="23">
        <v>0</v>
      </c>
      <c r="N39" s="23">
        <v>1</v>
      </c>
      <c r="O39" s="23" t="s">
        <v>176</v>
      </c>
      <c r="P39" s="24">
        <v>44379</v>
      </c>
      <c r="Q39" s="24">
        <v>44379</v>
      </c>
      <c r="R39" s="19">
        <v>2</v>
      </c>
      <c r="S39" s="24" t="s">
        <v>30</v>
      </c>
      <c r="T39" s="24" t="s">
        <v>30</v>
      </c>
      <c r="U39" s="24" t="s">
        <v>31</v>
      </c>
      <c r="V39" s="23" t="s">
        <v>190</v>
      </c>
      <c r="W39" s="19"/>
      <c r="X39" s="25"/>
      <c r="Y39" s="26"/>
    </row>
    <row r="40" spans="1:25" s="27" customFormat="1" ht="33" hidden="1" customHeight="1" thickBot="1" x14ac:dyDescent="0.35">
      <c r="A40" s="17">
        <v>21</v>
      </c>
      <c r="B40" s="23">
        <v>4319</v>
      </c>
      <c r="C40" s="19"/>
      <c r="D40" s="23" t="s">
        <v>191</v>
      </c>
      <c r="E40" s="20" t="s">
        <v>192</v>
      </c>
      <c r="F40" s="21" t="s">
        <v>193</v>
      </c>
      <c r="G40" s="22" t="s">
        <v>553</v>
      </c>
      <c r="H40" s="22"/>
      <c r="I40" s="23">
        <v>511</v>
      </c>
      <c r="J40" s="23">
        <v>546</v>
      </c>
      <c r="K40" s="23">
        <v>544</v>
      </c>
      <c r="L40" s="23" t="s">
        <v>51</v>
      </c>
      <c r="M40" s="23">
        <v>0</v>
      </c>
      <c r="N40" s="23">
        <v>1</v>
      </c>
      <c r="O40" s="23" t="s">
        <v>176</v>
      </c>
      <c r="P40" s="24"/>
      <c r="Q40" s="24"/>
      <c r="R40" s="19"/>
      <c r="S40" s="24"/>
      <c r="T40" s="24" t="s">
        <v>30</v>
      </c>
      <c r="U40" s="24" t="s">
        <v>31</v>
      </c>
      <c r="V40" s="23"/>
      <c r="W40" s="19"/>
      <c r="X40" s="25"/>
      <c r="Y40" s="26"/>
    </row>
    <row r="41" spans="1:25" s="27" customFormat="1" ht="33" hidden="1" customHeight="1" thickBot="1" x14ac:dyDescent="0.35">
      <c r="A41" s="17">
        <v>22</v>
      </c>
      <c r="B41" s="23">
        <v>4319</v>
      </c>
      <c r="C41" s="19"/>
      <c r="D41" s="23" t="s">
        <v>194</v>
      </c>
      <c r="E41" s="20" t="s">
        <v>195</v>
      </c>
      <c r="F41" s="21" t="s">
        <v>196</v>
      </c>
      <c r="G41" s="22" t="s">
        <v>553</v>
      </c>
      <c r="H41" s="22"/>
      <c r="I41" s="23" t="s">
        <v>197</v>
      </c>
      <c r="J41" s="23" t="s">
        <v>198</v>
      </c>
      <c r="K41" s="23" t="s">
        <v>199</v>
      </c>
      <c r="L41" s="23" t="s">
        <v>51</v>
      </c>
      <c r="M41" s="23">
        <v>0</v>
      </c>
      <c r="N41" s="23">
        <v>1</v>
      </c>
      <c r="O41" s="23" t="s">
        <v>176</v>
      </c>
      <c r="P41" s="24">
        <v>44379</v>
      </c>
      <c r="Q41" s="24">
        <v>44379</v>
      </c>
      <c r="R41" s="19">
        <v>2</v>
      </c>
      <c r="S41" s="24" t="s">
        <v>30</v>
      </c>
      <c r="T41" s="24" t="s">
        <v>30</v>
      </c>
      <c r="U41" s="24" t="s">
        <v>31</v>
      </c>
      <c r="V41" s="23" t="s">
        <v>200</v>
      </c>
      <c r="W41" s="19"/>
      <c r="X41" s="25"/>
      <c r="Y41" s="26"/>
    </row>
    <row r="42" spans="1:25" s="27" customFormat="1" ht="33" hidden="1" customHeight="1" thickBot="1" x14ac:dyDescent="0.35">
      <c r="A42" s="17">
        <v>22</v>
      </c>
      <c r="B42" s="23">
        <v>4319</v>
      </c>
      <c r="C42" s="19"/>
      <c r="D42" s="23" t="s">
        <v>201</v>
      </c>
      <c r="E42" s="20" t="s">
        <v>202</v>
      </c>
      <c r="F42" s="21" t="s">
        <v>203</v>
      </c>
      <c r="G42" s="22" t="s">
        <v>553</v>
      </c>
      <c r="H42" s="22"/>
      <c r="I42" s="23" t="s">
        <v>197</v>
      </c>
      <c r="J42" s="23" t="s">
        <v>198</v>
      </c>
      <c r="K42" s="23" t="s">
        <v>199</v>
      </c>
      <c r="L42" s="23" t="s">
        <v>51</v>
      </c>
      <c r="M42" s="23">
        <v>0</v>
      </c>
      <c r="N42" s="23">
        <v>1</v>
      </c>
      <c r="O42" s="23" t="s">
        <v>176</v>
      </c>
      <c r="P42" s="24"/>
      <c r="Q42" s="24"/>
      <c r="R42" s="19"/>
      <c r="S42" s="24"/>
      <c r="T42" s="24" t="s">
        <v>30</v>
      </c>
      <c r="U42" s="24" t="s">
        <v>31</v>
      </c>
      <c r="V42" s="23"/>
      <c r="W42" s="19"/>
      <c r="X42" s="25"/>
      <c r="Y42" s="26"/>
    </row>
    <row r="43" spans="1:25" s="27" customFormat="1" ht="33" hidden="1" customHeight="1" thickBot="1" x14ac:dyDescent="0.35">
      <c r="A43" s="17">
        <v>23</v>
      </c>
      <c r="B43" s="23">
        <v>4145</v>
      </c>
      <c r="C43" s="19"/>
      <c r="D43" s="23" t="s">
        <v>496</v>
      </c>
      <c r="E43" s="20" t="s">
        <v>498</v>
      </c>
      <c r="F43" s="21" t="s">
        <v>204</v>
      </c>
      <c r="G43" s="22" t="s">
        <v>26</v>
      </c>
      <c r="H43" s="22" t="s">
        <v>205</v>
      </c>
      <c r="I43" s="23" t="s">
        <v>206</v>
      </c>
      <c r="J43" s="23"/>
      <c r="K43" s="23" t="s">
        <v>207</v>
      </c>
      <c r="L43" s="23" t="s">
        <v>51</v>
      </c>
      <c r="M43" s="23">
        <v>0</v>
      </c>
      <c r="N43" s="23">
        <v>1</v>
      </c>
      <c r="O43" s="23" t="s">
        <v>29</v>
      </c>
      <c r="P43" s="24" t="s">
        <v>30</v>
      </c>
      <c r="Q43" s="24" t="s">
        <v>30</v>
      </c>
      <c r="R43" s="19">
        <v>2</v>
      </c>
      <c r="S43" s="24" t="s">
        <v>30</v>
      </c>
      <c r="T43" s="24" t="s">
        <v>30</v>
      </c>
      <c r="U43" s="24" t="s">
        <v>208</v>
      </c>
      <c r="V43" s="23"/>
      <c r="W43" s="19"/>
      <c r="X43" s="25"/>
      <c r="Y43" s="26"/>
    </row>
    <row r="44" spans="1:25" s="27" customFormat="1" ht="33" hidden="1" customHeight="1" thickBot="1" x14ac:dyDescent="0.35">
      <c r="A44" s="17">
        <v>23</v>
      </c>
      <c r="B44" s="23">
        <v>4145</v>
      </c>
      <c r="C44" s="19"/>
      <c r="D44" s="23" t="s">
        <v>497</v>
      </c>
      <c r="E44" s="20" t="s">
        <v>499</v>
      </c>
      <c r="F44" s="21" t="s">
        <v>209</v>
      </c>
      <c r="G44" s="22" t="s">
        <v>26</v>
      </c>
      <c r="H44" s="22" t="s">
        <v>210</v>
      </c>
      <c r="I44" s="23" t="s">
        <v>206</v>
      </c>
      <c r="J44" s="23"/>
      <c r="K44" s="23" t="s">
        <v>207</v>
      </c>
      <c r="L44" s="23" t="s">
        <v>51</v>
      </c>
      <c r="M44" s="23">
        <v>0</v>
      </c>
      <c r="N44" s="23">
        <v>1</v>
      </c>
      <c r="O44" s="23" t="s">
        <v>29</v>
      </c>
      <c r="P44" s="24"/>
      <c r="Q44" s="24"/>
      <c r="R44" s="19"/>
      <c r="S44" s="24"/>
      <c r="T44" s="24" t="s">
        <v>30</v>
      </c>
      <c r="U44" s="24" t="s">
        <v>208</v>
      </c>
      <c r="V44" s="23"/>
      <c r="W44" s="19"/>
      <c r="X44" s="25"/>
      <c r="Y44" s="26"/>
    </row>
    <row r="45" spans="1:25" s="27" customFormat="1" ht="33" hidden="1" customHeight="1" thickBot="1" x14ac:dyDescent="0.35">
      <c r="A45" s="17">
        <v>24</v>
      </c>
      <c r="B45" s="23"/>
      <c r="C45" s="19"/>
      <c r="D45" s="23"/>
      <c r="E45" s="20"/>
      <c r="F45" s="21" t="s">
        <v>211</v>
      </c>
      <c r="G45" s="22" t="s">
        <v>26</v>
      </c>
      <c r="H45" s="22"/>
      <c r="I45" s="23" t="s">
        <v>212</v>
      </c>
      <c r="J45" s="23"/>
      <c r="K45" s="23" t="s">
        <v>213</v>
      </c>
      <c r="L45" s="23" t="s">
        <v>28</v>
      </c>
      <c r="M45" s="23">
        <v>1</v>
      </c>
      <c r="N45" s="23">
        <v>0</v>
      </c>
      <c r="O45" s="23" t="s">
        <v>29</v>
      </c>
      <c r="P45" s="24" t="s">
        <v>30</v>
      </c>
      <c r="Q45" s="24" t="s">
        <v>30</v>
      </c>
      <c r="R45" s="19">
        <v>1</v>
      </c>
      <c r="S45" s="24"/>
      <c r="T45" s="24"/>
      <c r="U45" s="24" t="s">
        <v>208</v>
      </c>
      <c r="V45" s="23"/>
      <c r="W45" s="19"/>
      <c r="X45" s="25"/>
      <c r="Y45" s="26"/>
    </row>
    <row r="46" spans="1:25" s="27" customFormat="1" ht="33" hidden="1" customHeight="1" thickBot="1" x14ac:dyDescent="0.35">
      <c r="A46" s="17">
        <v>25</v>
      </c>
      <c r="B46" s="23">
        <v>4145</v>
      </c>
      <c r="C46" s="19"/>
      <c r="D46" s="23" t="s">
        <v>545</v>
      </c>
      <c r="E46" s="20" t="s">
        <v>547</v>
      </c>
      <c r="F46" s="21" t="s">
        <v>214</v>
      </c>
      <c r="G46" s="22" t="s">
        <v>26</v>
      </c>
      <c r="H46" s="22"/>
      <c r="I46" s="23" t="s">
        <v>215</v>
      </c>
      <c r="J46" s="23"/>
      <c r="K46" s="23" t="s">
        <v>216</v>
      </c>
      <c r="L46" s="23" t="s">
        <v>51</v>
      </c>
      <c r="M46" s="23">
        <v>0</v>
      </c>
      <c r="N46" s="23">
        <v>1</v>
      </c>
      <c r="O46" s="23" t="s">
        <v>29</v>
      </c>
      <c r="P46" s="24" t="s">
        <v>30</v>
      </c>
      <c r="Q46" s="24" t="s">
        <v>30</v>
      </c>
      <c r="R46" s="19">
        <v>2</v>
      </c>
      <c r="S46" s="24" t="s">
        <v>30</v>
      </c>
      <c r="T46" s="24" t="s">
        <v>30</v>
      </c>
      <c r="U46" s="24" t="s">
        <v>208</v>
      </c>
      <c r="V46" s="23"/>
      <c r="W46" s="19"/>
      <c r="X46" s="25"/>
      <c r="Y46" s="26"/>
    </row>
    <row r="47" spans="1:25" s="27" customFormat="1" ht="33" hidden="1" customHeight="1" thickBot="1" x14ac:dyDescent="0.35">
      <c r="A47" s="17">
        <v>25</v>
      </c>
      <c r="B47" s="23">
        <v>4145</v>
      </c>
      <c r="C47" s="19"/>
      <c r="D47" s="23" t="s">
        <v>546</v>
      </c>
      <c r="E47" s="20" t="s">
        <v>549</v>
      </c>
      <c r="F47" s="21" t="s">
        <v>217</v>
      </c>
      <c r="G47" s="22" t="s">
        <v>26</v>
      </c>
      <c r="H47" s="22"/>
      <c r="I47" s="23" t="s">
        <v>215</v>
      </c>
      <c r="J47" s="23"/>
      <c r="K47" s="23" t="s">
        <v>216</v>
      </c>
      <c r="L47" s="23" t="s">
        <v>51</v>
      </c>
      <c r="M47" s="23">
        <v>0</v>
      </c>
      <c r="N47" s="23">
        <v>1</v>
      </c>
      <c r="O47" s="23" t="s">
        <v>29</v>
      </c>
      <c r="P47" s="24"/>
      <c r="Q47" s="24"/>
      <c r="R47" s="19"/>
      <c r="S47" s="24"/>
      <c r="T47" s="24" t="s">
        <v>30</v>
      </c>
      <c r="U47" s="24" t="s">
        <v>208</v>
      </c>
      <c r="V47" s="23"/>
      <c r="W47" s="19"/>
      <c r="X47" s="25"/>
      <c r="Y47" s="26"/>
    </row>
    <row r="48" spans="1:25" s="27" customFormat="1" ht="33" hidden="1" customHeight="1" thickBot="1" x14ac:dyDescent="0.35">
      <c r="A48" s="17">
        <v>26</v>
      </c>
      <c r="B48" s="23">
        <v>4145</v>
      </c>
      <c r="C48" s="19"/>
      <c r="D48" s="23" t="s">
        <v>548</v>
      </c>
      <c r="E48" s="20" t="s">
        <v>550</v>
      </c>
      <c r="F48" s="21" t="s">
        <v>218</v>
      </c>
      <c r="G48" s="22" t="s">
        <v>26</v>
      </c>
      <c r="H48" s="22"/>
      <c r="I48" s="23" t="s">
        <v>219</v>
      </c>
      <c r="J48" s="23"/>
      <c r="K48" s="23" t="s">
        <v>220</v>
      </c>
      <c r="L48" s="23" t="s">
        <v>51</v>
      </c>
      <c r="M48" s="23">
        <v>0</v>
      </c>
      <c r="N48" s="23">
        <v>1</v>
      </c>
      <c r="O48" s="23" t="s">
        <v>29</v>
      </c>
      <c r="P48" s="24" t="s">
        <v>30</v>
      </c>
      <c r="Q48" s="24" t="s">
        <v>30</v>
      </c>
      <c r="R48" s="19">
        <v>2</v>
      </c>
      <c r="S48" s="24" t="s">
        <v>30</v>
      </c>
      <c r="T48" s="24" t="s">
        <v>30</v>
      </c>
      <c r="U48" s="24" t="s">
        <v>208</v>
      </c>
      <c r="V48" s="23"/>
      <c r="W48" s="19"/>
      <c r="X48" s="25"/>
      <c r="Y48" s="26"/>
    </row>
    <row r="49" spans="1:25" s="27" customFormat="1" ht="33" hidden="1" customHeight="1" thickBot="1" x14ac:dyDescent="0.35">
      <c r="A49" s="17">
        <v>26</v>
      </c>
      <c r="B49" s="23">
        <v>4145</v>
      </c>
      <c r="C49" s="19"/>
      <c r="D49" s="23" t="s">
        <v>598</v>
      </c>
      <c r="E49" s="20" t="s">
        <v>599</v>
      </c>
      <c r="F49" s="21" t="s">
        <v>221</v>
      </c>
      <c r="G49" s="22" t="s">
        <v>26</v>
      </c>
      <c r="H49" s="22"/>
      <c r="I49" s="23" t="s">
        <v>219</v>
      </c>
      <c r="J49" s="23"/>
      <c r="K49" s="23" t="s">
        <v>220</v>
      </c>
      <c r="L49" s="23" t="s">
        <v>51</v>
      </c>
      <c r="M49" s="23">
        <v>0</v>
      </c>
      <c r="N49" s="23">
        <v>1</v>
      </c>
      <c r="O49" s="23" t="s">
        <v>29</v>
      </c>
      <c r="P49" s="24"/>
      <c r="Q49" s="24"/>
      <c r="R49" s="19"/>
      <c r="S49" s="24"/>
      <c r="T49" s="24"/>
      <c r="U49" s="24" t="s">
        <v>208</v>
      </c>
      <c r="V49" s="23"/>
      <c r="W49" s="19"/>
      <c r="X49" s="25"/>
      <c r="Y49" s="26"/>
    </row>
    <row r="50" spans="1:25" s="27" customFormat="1" ht="33" hidden="1" customHeight="1" thickBot="1" x14ac:dyDescent="0.35">
      <c r="A50" s="17">
        <v>27</v>
      </c>
      <c r="B50" s="23">
        <v>4145</v>
      </c>
      <c r="C50" s="19"/>
      <c r="D50" s="23"/>
      <c r="E50" s="20"/>
      <c r="F50" s="21" t="s">
        <v>222</v>
      </c>
      <c r="G50" s="22" t="s">
        <v>26</v>
      </c>
      <c r="H50" s="22"/>
      <c r="I50" s="23" t="s">
        <v>223</v>
      </c>
      <c r="J50" s="23"/>
      <c r="K50" s="23" t="s">
        <v>224</v>
      </c>
      <c r="L50" s="23" t="s">
        <v>51</v>
      </c>
      <c r="M50" s="23">
        <v>0</v>
      </c>
      <c r="N50" s="23">
        <v>1</v>
      </c>
      <c r="O50" s="23" t="s">
        <v>29</v>
      </c>
      <c r="P50" s="24" t="s">
        <v>30</v>
      </c>
      <c r="Q50" s="24" t="s">
        <v>30</v>
      </c>
      <c r="R50" s="19">
        <v>2</v>
      </c>
      <c r="S50" s="24" t="s">
        <v>30</v>
      </c>
      <c r="T50" s="24" t="s">
        <v>30</v>
      </c>
      <c r="U50" s="24" t="s">
        <v>208</v>
      </c>
      <c r="V50" s="23"/>
      <c r="W50" s="19"/>
      <c r="X50" s="25"/>
      <c r="Y50" s="26"/>
    </row>
    <row r="51" spans="1:25" s="27" customFormat="1" ht="33" hidden="1" customHeight="1" thickBot="1" x14ac:dyDescent="0.35">
      <c r="A51" s="17">
        <v>27</v>
      </c>
      <c r="B51" s="23">
        <v>4145</v>
      </c>
      <c r="C51" s="19"/>
      <c r="D51" s="23"/>
      <c r="E51" s="20"/>
      <c r="F51" s="21" t="s">
        <v>225</v>
      </c>
      <c r="G51" s="22" t="s">
        <v>26</v>
      </c>
      <c r="H51" s="22"/>
      <c r="I51" s="23" t="s">
        <v>223</v>
      </c>
      <c r="J51" s="23"/>
      <c r="K51" s="23" t="s">
        <v>224</v>
      </c>
      <c r="L51" s="23" t="s">
        <v>51</v>
      </c>
      <c r="M51" s="23">
        <v>0</v>
      </c>
      <c r="N51" s="23">
        <v>1</v>
      </c>
      <c r="O51" s="23" t="s">
        <v>29</v>
      </c>
      <c r="P51" s="24"/>
      <c r="Q51" s="24"/>
      <c r="R51" s="19"/>
      <c r="S51" s="24"/>
      <c r="T51" s="24" t="s">
        <v>30</v>
      </c>
      <c r="U51" s="24" t="s">
        <v>208</v>
      </c>
      <c r="V51" s="23"/>
      <c r="W51" s="19"/>
      <c r="X51" s="25"/>
      <c r="Y51" s="26"/>
    </row>
    <row r="52" spans="1:25" s="27" customFormat="1" ht="33" hidden="1" customHeight="1" thickBot="1" x14ac:dyDescent="0.35">
      <c r="A52" s="17">
        <v>28</v>
      </c>
      <c r="B52" s="23">
        <v>4145</v>
      </c>
      <c r="C52" s="19"/>
      <c r="D52" s="23"/>
      <c r="E52" s="20"/>
      <c r="F52" s="21" t="s">
        <v>226</v>
      </c>
      <c r="G52" s="22" t="s">
        <v>26</v>
      </c>
      <c r="H52" s="22"/>
      <c r="I52" s="23">
        <v>820</v>
      </c>
      <c r="J52" s="23"/>
      <c r="K52" s="23" t="s">
        <v>227</v>
      </c>
      <c r="L52" s="23" t="s">
        <v>51</v>
      </c>
      <c r="M52" s="23">
        <v>0</v>
      </c>
      <c r="N52" s="23">
        <v>1</v>
      </c>
      <c r="O52" s="23" t="s">
        <v>29</v>
      </c>
      <c r="P52" s="24" t="s">
        <v>30</v>
      </c>
      <c r="Q52" s="24" t="s">
        <v>30</v>
      </c>
      <c r="R52" s="19">
        <v>2</v>
      </c>
      <c r="S52" s="24" t="s">
        <v>30</v>
      </c>
      <c r="T52" s="24" t="s">
        <v>30</v>
      </c>
      <c r="U52" s="24" t="s">
        <v>208</v>
      </c>
      <c r="V52" s="23"/>
      <c r="W52" s="19"/>
      <c r="X52" s="25"/>
      <c r="Y52" s="26"/>
    </row>
    <row r="53" spans="1:25" s="27" customFormat="1" ht="33" hidden="1" customHeight="1" thickBot="1" x14ac:dyDescent="0.35">
      <c r="A53" s="17">
        <v>28</v>
      </c>
      <c r="B53" s="23">
        <v>4145</v>
      </c>
      <c r="C53" s="19"/>
      <c r="D53" s="23"/>
      <c r="E53" s="20"/>
      <c r="F53" s="21" t="s">
        <v>228</v>
      </c>
      <c r="G53" s="22" t="s">
        <v>26</v>
      </c>
      <c r="H53" s="22"/>
      <c r="I53" s="23">
        <v>820</v>
      </c>
      <c r="J53" s="23"/>
      <c r="K53" s="23" t="s">
        <v>227</v>
      </c>
      <c r="L53" s="23" t="s">
        <v>51</v>
      </c>
      <c r="M53" s="23">
        <v>0</v>
      </c>
      <c r="N53" s="23">
        <v>1</v>
      </c>
      <c r="O53" s="23" t="s">
        <v>29</v>
      </c>
      <c r="P53" s="24"/>
      <c r="Q53" s="24"/>
      <c r="R53" s="19"/>
      <c r="S53" s="24"/>
      <c r="T53" s="24" t="s">
        <v>30</v>
      </c>
      <c r="U53" s="24" t="s">
        <v>208</v>
      </c>
      <c r="V53" s="23"/>
      <c r="W53" s="19"/>
      <c r="X53" s="25"/>
      <c r="Y53" s="26"/>
    </row>
    <row r="54" spans="1:25" s="27" customFormat="1" ht="33" hidden="1" customHeight="1" thickBot="1" x14ac:dyDescent="0.35">
      <c r="A54" s="17">
        <v>29</v>
      </c>
      <c r="B54" s="23">
        <v>4145</v>
      </c>
      <c r="C54" s="19"/>
      <c r="D54" s="23" t="s">
        <v>500</v>
      </c>
      <c r="E54" s="20" t="s">
        <v>501</v>
      </c>
      <c r="F54" s="21" t="s">
        <v>229</v>
      </c>
      <c r="G54" s="22" t="s">
        <v>26</v>
      </c>
      <c r="H54" s="22"/>
      <c r="I54" s="23" t="s">
        <v>230</v>
      </c>
      <c r="J54" s="23"/>
      <c r="K54" s="23" t="s">
        <v>231</v>
      </c>
      <c r="L54" s="23" t="s">
        <v>28</v>
      </c>
      <c r="M54" s="23">
        <v>1</v>
      </c>
      <c r="N54" s="23">
        <v>0</v>
      </c>
      <c r="O54" s="23" t="s">
        <v>29</v>
      </c>
      <c r="P54" s="24" t="s">
        <v>30</v>
      </c>
      <c r="Q54" s="24" t="s">
        <v>30</v>
      </c>
      <c r="R54" s="19">
        <v>1</v>
      </c>
      <c r="S54" s="24" t="s">
        <v>30</v>
      </c>
      <c r="T54" s="24" t="s">
        <v>30</v>
      </c>
      <c r="U54" s="24" t="s">
        <v>208</v>
      </c>
      <c r="V54" s="23"/>
      <c r="W54" s="19"/>
      <c r="X54" s="25"/>
      <c r="Y54" s="26"/>
    </row>
    <row r="55" spans="1:25" s="27" customFormat="1" ht="33" hidden="1" customHeight="1" thickBot="1" x14ac:dyDescent="0.35">
      <c r="A55" s="17">
        <v>30</v>
      </c>
      <c r="B55" s="23">
        <v>4145</v>
      </c>
      <c r="C55" s="19"/>
      <c r="D55" s="23" t="s">
        <v>502</v>
      </c>
      <c r="E55" s="20" t="s">
        <v>505</v>
      </c>
      <c r="F55" s="21" t="s">
        <v>232</v>
      </c>
      <c r="G55" s="22" t="s">
        <v>26</v>
      </c>
      <c r="H55" s="22"/>
      <c r="I55" s="23" t="s">
        <v>230</v>
      </c>
      <c r="J55" s="23"/>
      <c r="K55" s="23" t="s">
        <v>233</v>
      </c>
      <c r="L55" s="23" t="s">
        <v>28</v>
      </c>
      <c r="M55" s="23">
        <v>1</v>
      </c>
      <c r="N55" s="23">
        <v>0</v>
      </c>
      <c r="O55" s="23" t="s">
        <v>29</v>
      </c>
      <c r="P55" s="24" t="s">
        <v>30</v>
      </c>
      <c r="Q55" s="24" t="s">
        <v>30</v>
      </c>
      <c r="R55" s="19">
        <v>1</v>
      </c>
      <c r="S55" s="24" t="s">
        <v>30</v>
      </c>
      <c r="T55" s="24" t="s">
        <v>30</v>
      </c>
      <c r="U55" s="24" t="s">
        <v>208</v>
      </c>
      <c r="V55" s="23"/>
      <c r="W55" s="19"/>
      <c r="X55" s="25"/>
      <c r="Y55" s="26"/>
    </row>
    <row r="56" spans="1:25" s="27" customFormat="1" ht="33" hidden="1" customHeight="1" thickBot="1" x14ac:dyDescent="0.35">
      <c r="A56" s="17">
        <v>31</v>
      </c>
      <c r="B56" s="23">
        <v>4145</v>
      </c>
      <c r="C56" s="19"/>
      <c r="D56" s="23" t="s">
        <v>503</v>
      </c>
      <c r="E56" s="20" t="s">
        <v>504</v>
      </c>
      <c r="F56" s="21" t="s">
        <v>234</v>
      </c>
      <c r="G56" s="22" t="s">
        <v>26</v>
      </c>
      <c r="H56" s="22"/>
      <c r="I56" s="23" t="s">
        <v>230</v>
      </c>
      <c r="J56" s="23"/>
      <c r="K56" s="23" t="s">
        <v>235</v>
      </c>
      <c r="L56" s="23" t="s">
        <v>28</v>
      </c>
      <c r="M56" s="23">
        <v>1</v>
      </c>
      <c r="N56" s="23">
        <v>0</v>
      </c>
      <c r="O56" s="23" t="s">
        <v>29</v>
      </c>
      <c r="P56" s="24" t="s">
        <v>30</v>
      </c>
      <c r="Q56" s="24" t="s">
        <v>30</v>
      </c>
      <c r="R56" s="19">
        <v>1</v>
      </c>
      <c r="S56" s="24" t="s">
        <v>30</v>
      </c>
      <c r="T56" s="24" t="s">
        <v>30</v>
      </c>
      <c r="U56" s="24" t="s">
        <v>208</v>
      </c>
      <c r="V56" s="23"/>
      <c r="W56" s="19"/>
      <c r="X56" s="25"/>
      <c r="Y56" s="26"/>
    </row>
    <row r="57" spans="1:25" s="27" customFormat="1" ht="33" hidden="1" customHeight="1" thickBot="1" x14ac:dyDescent="0.35">
      <c r="A57" s="17">
        <v>32</v>
      </c>
      <c r="B57" s="23">
        <v>4145</v>
      </c>
      <c r="C57" s="19"/>
      <c r="D57" s="23" t="s">
        <v>506</v>
      </c>
      <c r="E57" s="20" t="s">
        <v>507</v>
      </c>
      <c r="F57" s="21" t="s">
        <v>236</v>
      </c>
      <c r="G57" s="22" t="s">
        <v>26</v>
      </c>
      <c r="H57" s="22"/>
      <c r="I57" s="23" t="s">
        <v>237</v>
      </c>
      <c r="J57" s="23"/>
      <c r="K57" s="23" t="s">
        <v>238</v>
      </c>
      <c r="L57" s="23" t="s">
        <v>28</v>
      </c>
      <c r="M57" s="23">
        <v>1</v>
      </c>
      <c r="N57" s="23">
        <v>0</v>
      </c>
      <c r="O57" s="23" t="s">
        <v>29</v>
      </c>
      <c r="P57" s="24" t="s">
        <v>30</v>
      </c>
      <c r="Q57" s="24" t="s">
        <v>30</v>
      </c>
      <c r="R57" s="19">
        <v>1</v>
      </c>
      <c r="S57" s="24" t="s">
        <v>30</v>
      </c>
      <c r="T57" s="24" t="s">
        <v>30</v>
      </c>
      <c r="U57" s="24" t="s">
        <v>208</v>
      </c>
      <c r="V57" s="23"/>
      <c r="W57" s="19"/>
      <c r="X57" s="25"/>
      <c r="Y57" s="26"/>
    </row>
    <row r="58" spans="1:25" s="27" customFormat="1" ht="33" hidden="1" customHeight="1" thickBot="1" x14ac:dyDescent="0.35">
      <c r="A58" s="17">
        <v>33</v>
      </c>
      <c r="B58" s="23">
        <v>4145</v>
      </c>
      <c r="C58" s="19"/>
      <c r="D58" s="23" t="s">
        <v>494</v>
      </c>
      <c r="E58" s="20" t="s">
        <v>508</v>
      </c>
      <c r="F58" s="21" t="s">
        <v>239</v>
      </c>
      <c r="G58" s="22" t="s">
        <v>26</v>
      </c>
      <c r="H58" s="22"/>
      <c r="I58" s="23" t="s">
        <v>240</v>
      </c>
      <c r="J58" s="23" t="s">
        <v>241</v>
      </c>
      <c r="K58" s="23" t="s">
        <v>242</v>
      </c>
      <c r="L58" s="23" t="s">
        <v>51</v>
      </c>
      <c r="M58" s="23">
        <v>0</v>
      </c>
      <c r="N58" s="23">
        <v>1</v>
      </c>
      <c r="O58" s="23" t="s">
        <v>29</v>
      </c>
      <c r="P58" s="24" t="s">
        <v>30</v>
      </c>
      <c r="Q58" s="24" t="s">
        <v>30</v>
      </c>
      <c r="R58" s="19">
        <v>2</v>
      </c>
      <c r="S58" s="24" t="s">
        <v>30</v>
      </c>
      <c r="T58" s="24" t="s">
        <v>30</v>
      </c>
      <c r="U58" s="24" t="s">
        <v>208</v>
      </c>
      <c r="V58" s="23">
        <v>53</v>
      </c>
      <c r="W58" s="19"/>
      <c r="X58" s="25"/>
      <c r="Y58" s="26"/>
    </row>
    <row r="59" spans="1:25" s="27" customFormat="1" ht="33" hidden="1" customHeight="1" thickBot="1" x14ac:dyDescent="0.35">
      <c r="A59" s="17">
        <v>33</v>
      </c>
      <c r="B59" s="23">
        <v>4145</v>
      </c>
      <c r="C59" s="19"/>
      <c r="D59" s="23" t="s">
        <v>493</v>
      </c>
      <c r="E59" s="20" t="s">
        <v>508</v>
      </c>
      <c r="F59" s="21" t="s">
        <v>243</v>
      </c>
      <c r="G59" s="22" t="s">
        <v>26</v>
      </c>
      <c r="H59" s="22"/>
      <c r="I59" s="23" t="s">
        <v>240</v>
      </c>
      <c r="J59" s="23" t="s">
        <v>241</v>
      </c>
      <c r="K59" s="23" t="s">
        <v>242</v>
      </c>
      <c r="L59" s="23" t="s">
        <v>51</v>
      </c>
      <c r="M59" s="23">
        <v>0</v>
      </c>
      <c r="N59" s="23">
        <v>1</v>
      </c>
      <c r="O59" s="23" t="s">
        <v>29</v>
      </c>
      <c r="P59" s="24"/>
      <c r="Q59" s="24"/>
      <c r="R59" s="19"/>
      <c r="S59" s="24"/>
      <c r="T59" s="24" t="s">
        <v>30</v>
      </c>
      <c r="U59" s="24" t="s">
        <v>208</v>
      </c>
      <c r="V59" s="23"/>
      <c r="W59" s="19"/>
      <c r="X59" s="25"/>
      <c r="Y59" s="26"/>
    </row>
    <row r="60" spans="1:25" s="27" customFormat="1" ht="33" hidden="1" customHeight="1" thickBot="1" x14ac:dyDescent="0.35">
      <c r="A60" s="17">
        <v>34</v>
      </c>
      <c r="B60" s="23">
        <v>4231</v>
      </c>
      <c r="C60" s="19">
        <v>49786</v>
      </c>
      <c r="D60" s="23" t="s">
        <v>244</v>
      </c>
      <c r="E60" s="20" t="s">
        <v>245</v>
      </c>
      <c r="F60" s="21" t="s">
        <v>246</v>
      </c>
      <c r="G60" s="22" t="s">
        <v>26</v>
      </c>
      <c r="H60" s="22"/>
      <c r="I60" s="23">
        <v>1282</v>
      </c>
      <c r="J60" s="23"/>
      <c r="K60" s="23" t="s">
        <v>247</v>
      </c>
      <c r="L60" s="23" t="s">
        <v>28</v>
      </c>
      <c r="M60" s="23">
        <v>1</v>
      </c>
      <c r="N60" s="23">
        <v>0</v>
      </c>
      <c r="O60" s="23" t="s">
        <v>29</v>
      </c>
      <c r="P60" s="24" t="s">
        <v>30</v>
      </c>
      <c r="Q60" s="24">
        <v>44439</v>
      </c>
      <c r="R60" s="19">
        <v>1</v>
      </c>
      <c r="S60" s="24" t="s">
        <v>30</v>
      </c>
      <c r="T60" s="24" t="s">
        <v>30</v>
      </c>
      <c r="U60" s="24" t="s">
        <v>31</v>
      </c>
      <c r="V60" s="23" t="s">
        <v>248</v>
      </c>
      <c r="W60" s="19"/>
      <c r="X60" s="25"/>
      <c r="Y60" s="26"/>
    </row>
    <row r="61" spans="1:25" s="27" customFormat="1" ht="33" hidden="1" customHeight="1" thickBot="1" x14ac:dyDescent="0.35">
      <c r="A61" s="17">
        <v>35</v>
      </c>
      <c r="B61" s="23">
        <v>4231</v>
      </c>
      <c r="C61" s="19">
        <v>49799</v>
      </c>
      <c r="D61" s="23" t="s">
        <v>249</v>
      </c>
      <c r="E61" s="20" t="s">
        <v>250</v>
      </c>
      <c r="F61" s="21" t="s">
        <v>251</v>
      </c>
      <c r="G61" s="22" t="s">
        <v>26</v>
      </c>
      <c r="H61" s="22"/>
      <c r="I61" s="23">
        <v>1282</v>
      </c>
      <c r="J61" s="23"/>
      <c r="K61" s="23" t="s">
        <v>252</v>
      </c>
      <c r="L61" s="23" t="s">
        <v>28</v>
      </c>
      <c r="M61" s="23">
        <v>1</v>
      </c>
      <c r="N61" s="23">
        <v>0</v>
      </c>
      <c r="O61" s="23" t="s">
        <v>29</v>
      </c>
      <c r="P61" s="24" t="s">
        <v>30</v>
      </c>
      <c r="Q61" s="24" t="s">
        <v>30</v>
      </c>
      <c r="R61" s="19">
        <v>1</v>
      </c>
      <c r="S61" s="24" t="s">
        <v>30</v>
      </c>
      <c r="T61" s="24" t="s">
        <v>30</v>
      </c>
      <c r="U61" s="24" t="s">
        <v>31</v>
      </c>
      <c r="V61" s="23"/>
      <c r="W61" s="19"/>
      <c r="X61" s="25"/>
      <c r="Y61" s="26"/>
    </row>
    <row r="62" spans="1:25" s="27" customFormat="1" ht="33" hidden="1" customHeight="1" thickBot="1" x14ac:dyDescent="0.35">
      <c r="A62" s="17">
        <v>36</v>
      </c>
      <c r="B62" s="23">
        <v>4231</v>
      </c>
      <c r="C62" s="19">
        <v>49822</v>
      </c>
      <c r="D62" s="23" t="s">
        <v>253</v>
      </c>
      <c r="E62" s="20" t="s">
        <v>254</v>
      </c>
      <c r="F62" s="21" t="s">
        <v>255</v>
      </c>
      <c r="G62" s="22" t="s">
        <v>26</v>
      </c>
      <c r="H62" s="22"/>
      <c r="I62" s="23">
        <v>1282</v>
      </c>
      <c r="J62" s="23"/>
      <c r="K62" s="23" t="s">
        <v>256</v>
      </c>
      <c r="L62" s="23" t="s">
        <v>28</v>
      </c>
      <c r="M62" s="23">
        <v>1</v>
      </c>
      <c r="N62" s="23">
        <v>0</v>
      </c>
      <c r="O62" s="23" t="s">
        <v>29</v>
      </c>
      <c r="P62" s="24" t="s">
        <v>30</v>
      </c>
      <c r="Q62" s="24" t="s">
        <v>30</v>
      </c>
      <c r="R62" s="19">
        <v>1</v>
      </c>
      <c r="S62" s="24" t="s">
        <v>30</v>
      </c>
      <c r="T62" s="24" t="s">
        <v>30</v>
      </c>
      <c r="U62" s="24" t="s">
        <v>31</v>
      </c>
      <c r="V62" s="23" t="s">
        <v>257</v>
      </c>
      <c r="W62" s="19"/>
      <c r="X62" s="25"/>
      <c r="Y62" s="26"/>
    </row>
    <row r="63" spans="1:25" s="27" customFormat="1" ht="33" hidden="1" customHeight="1" thickBot="1" x14ac:dyDescent="0.35">
      <c r="A63" s="17">
        <v>37</v>
      </c>
      <c r="B63" s="23">
        <v>4231</v>
      </c>
      <c r="C63" s="19">
        <v>49817</v>
      </c>
      <c r="D63" s="23" t="s">
        <v>258</v>
      </c>
      <c r="E63" s="20" t="s">
        <v>259</v>
      </c>
      <c r="F63" s="21" t="s">
        <v>260</v>
      </c>
      <c r="G63" s="22" t="s">
        <v>26</v>
      </c>
      <c r="H63" s="22"/>
      <c r="I63" s="23">
        <v>1282</v>
      </c>
      <c r="J63" s="23"/>
      <c r="K63" s="23" t="s">
        <v>261</v>
      </c>
      <c r="L63" s="23" t="s">
        <v>28</v>
      </c>
      <c r="M63" s="23">
        <v>1</v>
      </c>
      <c r="N63" s="23">
        <v>0</v>
      </c>
      <c r="O63" s="23" t="s">
        <v>29</v>
      </c>
      <c r="P63" s="24" t="s">
        <v>30</v>
      </c>
      <c r="Q63" s="24" t="s">
        <v>30</v>
      </c>
      <c r="R63" s="19">
        <v>1</v>
      </c>
      <c r="S63" s="24" t="s">
        <v>30</v>
      </c>
      <c r="T63" s="24" t="s">
        <v>30</v>
      </c>
      <c r="U63" s="24" t="s">
        <v>31</v>
      </c>
      <c r="V63" s="23"/>
      <c r="W63" s="19"/>
      <c r="X63" s="25"/>
      <c r="Y63" s="26"/>
    </row>
    <row r="64" spans="1:25" s="27" customFormat="1" ht="33" hidden="1" customHeight="1" thickBot="1" x14ac:dyDescent="0.35">
      <c r="A64" s="17">
        <v>38</v>
      </c>
      <c r="B64" s="23">
        <v>4231</v>
      </c>
      <c r="C64" s="19">
        <v>49824</v>
      </c>
      <c r="D64" s="23" t="s">
        <v>262</v>
      </c>
      <c r="E64" s="20" t="s">
        <v>263</v>
      </c>
      <c r="F64" s="21" t="s">
        <v>264</v>
      </c>
      <c r="G64" s="22" t="s">
        <v>26</v>
      </c>
      <c r="H64" s="22"/>
      <c r="I64" s="23">
        <v>1138</v>
      </c>
      <c r="J64" s="23"/>
      <c r="K64" s="23">
        <v>1155</v>
      </c>
      <c r="L64" s="23" t="s">
        <v>28</v>
      </c>
      <c r="M64" s="23">
        <v>1</v>
      </c>
      <c r="N64" s="23">
        <v>0</v>
      </c>
      <c r="O64" s="23" t="s">
        <v>29</v>
      </c>
      <c r="P64" s="24" t="s">
        <v>30</v>
      </c>
      <c r="Q64" s="24" t="s">
        <v>30</v>
      </c>
      <c r="R64" s="19">
        <v>1</v>
      </c>
      <c r="S64" s="24" t="s">
        <v>30</v>
      </c>
      <c r="T64" s="24" t="s">
        <v>30</v>
      </c>
      <c r="U64" s="24" t="s">
        <v>31</v>
      </c>
      <c r="V64" s="23"/>
      <c r="W64" s="19"/>
      <c r="X64" s="25"/>
      <c r="Y64" s="26"/>
    </row>
    <row r="65" spans="1:25" s="27" customFormat="1" ht="33" hidden="1" customHeight="1" thickBot="1" x14ac:dyDescent="0.35">
      <c r="A65" s="17">
        <v>39</v>
      </c>
      <c r="B65" s="23">
        <v>4231</v>
      </c>
      <c r="C65" s="19">
        <v>49818</v>
      </c>
      <c r="D65" s="23" t="s">
        <v>265</v>
      </c>
      <c r="E65" s="20" t="s">
        <v>266</v>
      </c>
      <c r="F65" s="21" t="s">
        <v>267</v>
      </c>
      <c r="G65" s="22" t="s">
        <v>26</v>
      </c>
      <c r="H65" s="22"/>
      <c r="I65" s="23">
        <v>1155</v>
      </c>
      <c r="J65" s="23"/>
      <c r="K65" s="23">
        <v>1144</v>
      </c>
      <c r="L65" s="23" t="s">
        <v>28</v>
      </c>
      <c r="M65" s="23">
        <v>1</v>
      </c>
      <c r="N65" s="23">
        <v>0</v>
      </c>
      <c r="O65" s="23" t="s">
        <v>29</v>
      </c>
      <c r="P65" s="24" t="s">
        <v>30</v>
      </c>
      <c r="Q65" s="24" t="s">
        <v>30</v>
      </c>
      <c r="R65" s="19">
        <v>1</v>
      </c>
      <c r="S65" s="24" t="s">
        <v>30</v>
      </c>
      <c r="T65" s="24" t="s">
        <v>30</v>
      </c>
      <c r="U65" s="24" t="s">
        <v>31</v>
      </c>
      <c r="V65" s="23"/>
      <c r="W65" s="19"/>
      <c r="X65" s="25"/>
      <c r="Y65" s="26"/>
    </row>
    <row r="66" spans="1:25" s="27" customFormat="1" ht="33" hidden="1" customHeight="1" thickBot="1" x14ac:dyDescent="0.35">
      <c r="A66" s="17">
        <v>40</v>
      </c>
      <c r="B66" s="23">
        <v>4319</v>
      </c>
      <c r="C66" s="19" t="s">
        <v>274</v>
      </c>
      <c r="D66" s="23" t="s">
        <v>275</v>
      </c>
      <c r="E66" s="20" t="s">
        <v>276</v>
      </c>
      <c r="F66" s="21" t="s">
        <v>277</v>
      </c>
      <c r="G66" s="22" t="s">
        <v>26</v>
      </c>
      <c r="H66" s="22"/>
      <c r="I66" s="23" t="s">
        <v>271</v>
      </c>
      <c r="J66" s="23" t="s">
        <v>272</v>
      </c>
      <c r="K66" s="23" t="s">
        <v>273</v>
      </c>
      <c r="L66" s="23" t="s">
        <v>51</v>
      </c>
      <c r="M66" s="23">
        <v>0</v>
      </c>
      <c r="N66" s="23">
        <v>1</v>
      </c>
      <c r="O66" s="23" t="s">
        <v>29</v>
      </c>
      <c r="P66" s="24"/>
      <c r="Q66" s="24"/>
      <c r="R66" s="19"/>
      <c r="S66" s="24"/>
      <c r="T66" s="24" t="s">
        <v>30</v>
      </c>
      <c r="U66" s="24" t="s">
        <v>31</v>
      </c>
      <c r="V66" s="23"/>
      <c r="W66" s="19"/>
      <c r="X66" s="25"/>
      <c r="Y66" s="26"/>
    </row>
    <row r="67" spans="1:25" s="27" customFormat="1" ht="33" hidden="1" customHeight="1" thickBot="1" x14ac:dyDescent="0.35">
      <c r="A67" s="17">
        <v>40</v>
      </c>
      <c r="B67" s="23">
        <v>4319</v>
      </c>
      <c r="C67" s="19">
        <v>50157</v>
      </c>
      <c r="D67" s="23" t="s">
        <v>268</v>
      </c>
      <c r="E67" s="20" t="s">
        <v>269</v>
      </c>
      <c r="F67" s="21" t="s">
        <v>270</v>
      </c>
      <c r="G67" s="22" t="s">
        <v>26</v>
      </c>
      <c r="H67" s="22"/>
      <c r="I67" s="23" t="s">
        <v>271</v>
      </c>
      <c r="J67" s="23" t="s">
        <v>272</v>
      </c>
      <c r="K67" s="23" t="s">
        <v>273</v>
      </c>
      <c r="L67" s="23" t="s">
        <v>51</v>
      </c>
      <c r="M67" s="23">
        <v>0</v>
      </c>
      <c r="N67" s="23">
        <v>1</v>
      </c>
      <c r="O67" s="23" t="s">
        <v>29</v>
      </c>
      <c r="P67" s="24" t="s">
        <v>30</v>
      </c>
      <c r="Q67" s="24" t="s">
        <v>30</v>
      </c>
      <c r="R67" s="19">
        <v>2</v>
      </c>
      <c r="S67" s="24" t="s">
        <v>30</v>
      </c>
      <c r="T67" s="24" t="s">
        <v>30</v>
      </c>
      <c r="U67" s="24" t="s">
        <v>31</v>
      </c>
      <c r="V67" s="23"/>
      <c r="W67" s="19"/>
      <c r="X67" s="25"/>
      <c r="Y67" s="26"/>
    </row>
    <row r="68" spans="1:25" s="27" customFormat="1" ht="33" hidden="1" customHeight="1" thickBot="1" x14ac:dyDescent="0.35">
      <c r="A68" s="17">
        <v>41</v>
      </c>
      <c r="B68" s="23">
        <v>4319</v>
      </c>
      <c r="C68" s="19" t="s">
        <v>283</v>
      </c>
      <c r="D68" s="23" t="s">
        <v>284</v>
      </c>
      <c r="E68" s="20" t="s">
        <v>285</v>
      </c>
      <c r="F68" s="21" t="s">
        <v>286</v>
      </c>
      <c r="G68" s="22" t="s">
        <v>26</v>
      </c>
      <c r="H68" s="22"/>
      <c r="I68" s="23" t="s">
        <v>281</v>
      </c>
      <c r="J68" s="23" t="s">
        <v>273</v>
      </c>
      <c r="K68" s="23" t="s">
        <v>282</v>
      </c>
      <c r="L68" s="23" t="s">
        <v>51</v>
      </c>
      <c r="M68" s="23">
        <v>0</v>
      </c>
      <c r="N68" s="23">
        <v>1</v>
      </c>
      <c r="O68" s="23" t="s">
        <v>29</v>
      </c>
      <c r="P68" s="24"/>
      <c r="Q68" s="24"/>
      <c r="R68" s="19"/>
      <c r="S68" s="24"/>
      <c r="T68" s="24" t="s">
        <v>30</v>
      </c>
      <c r="U68" s="24" t="s">
        <v>31</v>
      </c>
      <c r="V68" s="23"/>
      <c r="W68" s="19"/>
      <c r="X68" s="25"/>
      <c r="Y68" s="26"/>
    </row>
    <row r="69" spans="1:25" s="27" customFormat="1" ht="33" hidden="1" customHeight="1" thickBot="1" x14ac:dyDescent="0.35">
      <c r="A69" s="17">
        <v>41</v>
      </c>
      <c r="B69" s="23">
        <v>4319</v>
      </c>
      <c r="C69" s="19" t="s">
        <v>278</v>
      </c>
      <c r="D69" s="23" t="s">
        <v>279</v>
      </c>
      <c r="E69" s="20" t="s">
        <v>276</v>
      </c>
      <c r="F69" s="21" t="s">
        <v>280</v>
      </c>
      <c r="G69" s="22" t="s">
        <v>26</v>
      </c>
      <c r="H69" s="22"/>
      <c r="I69" s="23" t="s">
        <v>281</v>
      </c>
      <c r="J69" s="23" t="s">
        <v>273</v>
      </c>
      <c r="K69" s="23" t="s">
        <v>282</v>
      </c>
      <c r="L69" s="23" t="s">
        <v>51</v>
      </c>
      <c r="M69" s="23">
        <v>0</v>
      </c>
      <c r="N69" s="23">
        <v>1</v>
      </c>
      <c r="O69" s="23" t="s">
        <v>29</v>
      </c>
      <c r="P69" s="24" t="s">
        <v>30</v>
      </c>
      <c r="Q69" s="24" t="s">
        <v>30</v>
      </c>
      <c r="R69" s="19">
        <v>2</v>
      </c>
      <c r="S69" s="24" t="s">
        <v>30</v>
      </c>
      <c r="T69" s="24" t="s">
        <v>30</v>
      </c>
      <c r="U69" s="24" t="s">
        <v>31</v>
      </c>
      <c r="V69" s="23"/>
      <c r="W69" s="19"/>
      <c r="X69" s="25"/>
      <c r="Y69" s="26"/>
    </row>
    <row r="70" spans="1:25" s="27" customFormat="1" ht="33" hidden="1" customHeight="1" thickBot="1" x14ac:dyDescent="0.35">
      <c r="A70" s="17">
        <v>42</v>
      </c>
      <c r="B70" s="23">
        <v>4319</v>
      </c>
      <c r="C70" s="19">
        <v>50095</v>
      </c>
      <c r="D70" s="23" t="s">
        <v>287</v>
      </c>
      <c r="E70" s="20" t="s">
        <v>288</v>
      </c>
      <c r="F70" s="21" t="s">
        <v>289</v>
      </c>
      <c r="G70" s="22" t="s">
        <v>26</v>
      </c>
      <c r="H70" s="22"/>
      <c r="I70" s="23" t="s">
        <v>290</v>
      </c>
      <c r="J70" s="23" t="s">
        <v>291</v>
      </c>
      <c r="K70" s="23" t="s">
        <v>292</v>
      </c>
      <c r="L70" s="23" t="s">
        <v>51</v>
      </c>
      <c r="M70" s="23">
        <v>0</v>
      </c>
      <c r="N70" s="23">
        <v>1</v>
      </c>
      <c r="O70" s="23" t="s">
        <v>29</v>
      </c>
      <c r="P70" s="24">
        <v>44392</v>
      </c>
      <c r="Q70" s="24" t="s">
        <v>30</v>
      </c>
      <c r="R70" s="19">
        <v>2</v>
      </c>
      <c r="S70" s="24" t="s">
        <v>30</v>
      </c>
      <c r="T70" s="24" t="s">
        <v>30</v>
      </c>
      <c r="U70" s="24" t="s">
        <v>31</v>
      </c>
      <c r="V70" s="23" t="s">
        <v>293</v>
      </c>
      <c r="W70" s="19"/>
      <c r="X70" s="25"/>
      <c r="Y70" s="26"/>
    </row>
    <row r="71" spans="1:25" s="27" customFormat="1" ht="33" hidden="1" customHeight="1" thickBot="1" x14ac:dyDescent="0.35">
      <c r="A71" s="17">
        <v>42</v>
      </c>
      <c r="B71" s="23">
        <v>4319</v>
      </c>
      <c r="C71" s="19">
        <v>50082</v>
      </c>
      <c r="D71" s="23" t="s">
        <v>294</v>
      </c>
      <c r="E71" s="20" t="s">
        <v>295</v>
      </c>
      <c r="F71" s="21" t="s">
        <v>296</v>
      </c>
      <c r="G71" s="22" t="s">
        <v>26</v>
      </c>
      <c r="H71" s="22"/>
      <c r="I71" s="23" t="s">
        <v>290</v>
      </c>
      <c r="J71" s="23" t="s">
        <v>291</v>
      </c>
      <c r="K71" s="23" t="s">
        <v>292</v>
      </c>
      <c r="L71" s="23" t="s">
        <v>51</v>
      </c>
      <c r="M71" s="23">
        <v>0</v>
      </c>
      <c r="N71" s="23">
        <v>1</v>
      </c>
      <c r="O71" s="23" t="s">
        <v>29</v>
      </c>
      <c r="P71" s="24"/>
      <c r="Q71" s="24"/>
      <c r="R71" s="19"/>
      <c r="S71" s="24"/>
      <c r="T71" s="24" t="s">
        <v>30</v>
      </c>
      <c r="U71" s="24" t="s">
        <v>31</v>
      </c>
      <c r="V71" s="23" t="s">
        <v>293</v>
      </c>
      <c r="W71" s="19"/>
      <c r="X71" s="25"/>
      <c r="Y71" s="26"/>
    </row>
    <row r="72" spans="1:25" s="27" customFormat="1" ht="33" hidden="1" customHeight="1" thickBot="1" x14ac:dyDescent="0.35">
      <c r="A72" s="17">
        <v>43</v>
      </c>
      <c r="B72" s="23">
        <v>4319</v>
      </c>
      <c r="C72" s="19">
        <v>50096</v>
      </c>
      <c r="D72" s="23" t="s">
        <v>297</v>
      </c>
      <c r="E72" s="20" t="s">
        <v>298</v>
      </c>
      <c r="F72" s="21" t="s">
        <v>299</v>
      </c>
      <c r="G72" s="22" t="s">
        <v>26</v>
      </c>
      <c r="H72" s="22"/>
      <c r="I72" s="23" t="s">
        <v>300</v>
      </c>
      <c r="J72" s="23"/>
      <c r="K72" s="23" t="s">
        <v>301</v>
      </c>
      <c r="L72" s="23" t="s">
        <v>51</v>
      </c>
      <c r="M72" s="23">
        <v>0</v>
      </c>
      <c r="N72" s="23">
        <v>1</v>
      </c>
      <c r="O72" s="23" t="s">
        <v>29</v>
      </c>
      <c r="P72" s="24">
        <v>44392</v>
      </c>
      <c r="Q72" s="24" t="s">
        <v>30</v>
      </c>
      <c r="R72" s="19">
        <v>2</v>
      </c>
      <c r="S72" s="24" t="s">
        <v>30</v>
      </c>
      <c r="T72" s="24" t="s">
        <v>30</v>
      </c>
      <c r="U72" s="24" t="s">
        <v>31</v>
      </c>
      <c r="V72" s="23" t="s">
        <v>293</v>
      </c>
      <c r="W72" s="19"/>
      <c r="X72" s="25"/>
      <c r="Y72" s="26"/>
    </row>
    <row r="73" spans="1:25" s="27" customFormat="1" ht="33" hidden="1" customHeight="1" thickBot="1" x14ac:dyDescent="0.35">
      <c r="A73" s="17">
        <v>43</v>
      </c>
      <c r="B73" s="23">
        <v>4319</v>
      </c>
      <c r="C73" s="19">
        <v>50158</v>
      </c>
      <c r="D73" s="23" t="s">
        <v>302</v>
      </c>
      <c r="E73" s="20" t="s">
        <v>303</v>
      </c>
      <c r="F73" s="21" t="s">
        <v>304</v>
      </c>
      <c r="G73" s="22" t="s">
        <v>26</v>
      </c>
      <c r="H73" s="22"/>
      <c r="I73" s="23" t="s">
        <v>300</v>
      </c>
      <c r="J73" s="23"/>
      <c r="K73" s="23" t="s">
        <v>301</v>
      </c>
      <c r="L73" s="23" t="s">
        <v>51</v>
      </c>
      <c r="M73" s="23">
        <v>0</v>
      </c>
      <c r="N73" s="23">
        <v>1</v>
      </c>
      <c r="O73" s="23" t="s">
        <v>29</v>
      </c>
      <c r="P73" s="24"/>
      <c r="Q73" s="24"/>
      <c r="R73" s="19"/>
      <c r="S73" s="24"/>
      <c r="T73" s="24" t="s">
        <v>30</v>
      </c>
      <c r="U73" s="24" t="s">
        <v>31</v>
      </c>
      <c r="V73" s="23" t="s">
        <v>293</v>
      </c>
      <c r="W73" s="19"/>
      <c r="X73" s="25"/>
      <c r="Y73" s="26"/>
    </row>
    <row r="74" spans="1:25" s="27" customFormat="1" ht="33" hidden="1" customHeight="1" thickBot="1" x14ac:dyDescent="0.35">
      <c r="A74" s="17">
        <v>44</v>
      </c>
      <c r="B74" s="23">
        <v>4319</v>
      </c>
      <c r="C74" s="19"/>
      <c r="D74" s="23" t="s">
        <v>134</v>
      </c>
      <c r="E74" s="20" t="s">
        <v>135</v>
      </c>
      <c r="F74" s="21" t="s">
        <v>305</v>
      </c>
      <c r="G74" s="22" t="s">
        <v>26</v>
      </c>
      <c r="H74" s="22"/>
      <c r="I74" s="23" t="s">
        <v>306</v>
      </c>
      <c r="J74" s="23"/>
      <c r="K74" s="23" t="s">
        <v>307</v>
      </c>
      <c r="L74" s="23" t="s">
        <v>51</v>
      </c>
      <c r="M74" s="23">
        <v>0</v>
      </c>
      <c r="N74" s="23">
        <v>1</v>
      </c>
      <c r="O74" s="23" t="s">
        <v>29</v>
      </c>
      <c r="P74" s="24">
        <v>44392</v>
      </c>
      <c r="Q74" s="24" t="s">
        <v>30</v>
      </c>
      <c r="R74" s="19">
        <v>2</v>
      </c>
      <c r="S74" s="24" t="s">
        <v>30</v>
      </c>
      <c r="T74" s="24" t="s">
        <v>30</v>
      </c>
      <c r="U74" s="24" t="s">
        <v>31</v>
      </c>
      <c r="V74" s="23" t="s">
        <v>308</v>
      </c>
      <c r="W74" s="19"/>
      <c r="X74" s="25"/>
      <c r="Y74" s="26"/>
    </row>
    <row r="75" spans="1:25" s="27" customFormat="1" ht="33" hidden="1" customHeight="1" thickBot="1" x14ac:dyDescent="0.35">
      <c r="A75" s="17">
        <v>44</v>
      </c>
      <c r="B75" s="23">
        <v>4319</v>
      </c>
      <c r="C75" s="19"/>
      <c r="D75" s="23" t="s">
        <v>309</v>
      </c>
      <c r="E75" s="20" t="s">
        <v>552</v>
      </c>
      <c r="F75" s="21" t="s">
        <v>310</v>
      </c>
      <c r="G75" s="22"/>
      <c r="H75" s="22"/>
      <c r="I75" s="23" t="s">
        <v>306</v>
      </c>
      <c r="J75" s="23"/>
      <c r="K75" s="23" t="s">
        <v>307</v>
      </c>
      <c r="L75" s="23" t="s">
        <v>51</v>
      </c>
      <c r="M75" s="23">
        <v>0</v>
      </c>
      <c r="N75" s="23">
        <v>1</v>
      </c>
      <c r="O75" s="23" t="s">
        <v>29</v>
      </c>
      <c r="P75" s="24"/>
      <c r="Q75" s="24"/>
      <c r="R75" s="19"/>
      <c r="S75" s="24"/>
      <c r="T75" s="24" t="s">
        <v>30</v>
      </c>
      <c r="U75" s="24" t="s">
        <v>31</v>
      </c>
      <c r="V75" s="23" t="s">
        <v>308</v>
      </c>
      <c r="W75" s="19"/>
      <c r="X75" s="25"/>
      <c r="Y75" s="26"/>
    </row>
    <row r="76" spans="1:25" s="27" customFormat="1" ht="33" hidden="1" customHeight="1" thickBot="1" x14ac:dyDescent="0.35">
      <c r="A76" s="17">
        <v>45</v>
      </c>
      <c r="B76" s="23">
        <v>4319</v>
      </c>
      <c r="C76" s="19"/>
      <c r="D76" s="23" t="s">
        <v>311</v>
      </c>
      <c r="E76" s="20"/>
      <c r="F76" s="21" t="s">
        <v>312</v>
      </c>
      <c r="G76" s="22"/>
      <c r="H76" s="22"/>
      <c r="I76" s="23" t="s">
        <v>313</v>
      </c>
      <c r="J76" s="23" t="s">
        <v>314</v>
      </c>
      <c r="K76" s="23" t="s">
        <v>290</v>
      </c>
      <c r="L76" s="23" t="s">
        <v>51</v>
      </c>
      <c r="M76" s="23">
        <v>0</v>
      </c>
      <c r="N76" s="23">
        <v>1</v>
      </c>
      <c r="O76" s="23" t="s">
        <v>29</v>
      </c>
      <c r="P76" s="24">
        <v>44392</v>
      </c>
      <c r="Q76" s="24">
        <v>44434</v>
      </c>
      <c r="R76" s="19">
        <v>2</v>
      </c>
      <c r="S76" s="24" t="s">
        <v>30</v>
      </c>
      <c r="T76" s="24" t="s">
        <v>30</v>
      </c>
      <c r="U76" s="24" t="s">
        <v>31</v>
      </c>
      <c r="V76" s="23" t="s">
        <v>308</v>
      </c>
      <c r="W76" s="19"/>
      <c r="X76" s="25"/>
      <c r="Y76" s="26"/>
    </row>
    <row r="77" spans="1:25" s="27" customFormat="1" ht="33" hidden="1" customHeight="1" thickBot="1" x14ac:dyDescent="0.35">
      <c r="A77" s="17">
        <v>45</v>
      </c>
      <c r="B77" s="23">
        <v>4319</v>
      </c>
      <c r="C77" s="19"/>
      <c r="D77" s="23" t="s">
        <v>315</v>
      </c>
      <c r="E77" s="20"/>
      <c r="F77" s="21" t="s">
        <v>316</v>
      </c>
      <c r="G77" s="22"/>
      <c r="H77" s="22"/>
      <c r="I77" s="23" t="s">
        <v>313</v>
      </c>
      <c r="J77" s="23" t="s">
        <v>314</v>
      </c>
      <c r="K77" s="23" t="s">
        <v>290</v>
      </c>
      <c r="L77" s="23" t="s">
        <v>51</v>
      </c>
      <c r="M77" s="23">
        <v>0</v>
      </c>
      <c r="N77" s="23">
        <v>1</v>
      </c>
      <c r="O77" s="23" t="s">
        <v>29</v>
      </c>
      <c r="P77" s="24"/>
      <c r="Q77" s="24"/>
      <c r="R77" s="19"/>
      <c r="S77" s="24"/>
      <c r="T77" s="24" t="s">
        <v>30</v>
      </c>
      <c r="U77" s="24" t="s">
        <v>31</v>
      </c>
      <c r="V77" s="23" t="s">
        <v>308</v>
      </c>
      <c r="W77" s="19"/>
      <c r="X77" s="25"/>
      <c r="Y77" s="26"/>
    </row>
    <row r="78" spans="1:25" s="27" customFormat="1" ht="33" hidden="1" customHeight="1" thickBot="1" x14ac:dyDescent="0.35">
      <c r="A78" s="17">
        <v>46</v>
      </c>
      <c r="B78" s="23">
        <v>4319</v>
      </c>
      <c r="C78" s="19"/>
      <c r="D78" s="23" t="s">
        <v>317</v>
      </c>
      <c r="E78" s="20"/>
      <c r="F78" s="21" t="s">
        <v>318</v>
      </c>
      <c r="G78" s="22"/>
      <c r="H78" s="22"/>
      <c r="I78" s="23" t="s">
        <v>319</v>
      </c>
      <c r="J78" s="23" t="s">
        <v>320</v>
      </c>
      <c r="K78" s="23" t="s">
        <v>321</v>
      </c>
      <c r="L78" s="23" t="s">
        <v>51</v>
      </c>
      <c r="M78" s="23">
        <v>0</v>
      </c>
      <c r="N78" s="23">
        <v>1</v>
      </c>
      <c r="O78" s="23" t="s">
        <v>29</v>
      </c>
      <c r="P78" s="24">
        <v>44392</v>
      </c>
      <c r="Q78" s="24" t="s">
        <v>30</v>
      </c>
      <c r="R78" s="19">
        <v>2</v>
      </c>
      <c r="S78" s="24" t="s">
        <v>30</v>
      </c>
      <c r="T78" s="24" t="s">
        <v>30</v>
      </c>
      <c r="U78" s="24" t="s">
        <v>31</v>
      </c>
      <c r="V78" s="23" t="s">
        <v>308</v>
      </c>
      <c r="W78" s="19"/>
      <c r="X78" s="25"/>
      <c r="Y78" s="26"/>
    </row>
    <row r="79" spans="1:25" s="27" customFormat="1" ht="33" hidden="1" customHeight="1" thickBot="1" x14ac:dyDescent="0.35">
      <c r="A79" s="17">
        <v>46</v>
      </c>
      <c r="B79" s="23">
        <v>4319</v>
      </c>
      <c r="C79" s="19"/>
      <c r="D79" s="23" t="s">
        <v>322</v>
      </c>
      <c r="E79" s="20"/>
      <c r="F79" s="21" t="s">
        <v>323</v>
      </c>
      <c r="G79" s="22"/>
      <c r="H79" s="22"/>
      <c r="I79" s="23" t="s">
        <v>319</v>
      </c>
      <c r="J79" s="23" t="s">
        <v>320</v>
      </c>
      <c r="K79" s="23" t="s">
        <v>321</v>
      </c>
      <c r="L79" s="23" t="s">
        <v>51</v>
      </c>
      <c r="M79" s="23">
        <v>0</v>
      </c>
      <c r="N79" s="23">
        <v>1</v>
      </c>
      <c r="O79" s="23" t="s">
        <v>29</v>
      </c>
      <c r="P79" s="24"/>
      <c r="Q79" s="24"/>
      <c r="R79" s="19"/>
      <c r="S79" s="24"/>
      <c r="T79" s="24" t="s">
        <v>30</v>
      </c>
      <c r="U79" s="24" t="s">
        <v>31</v>
      </c>
      <c r="V79" s="23" t="s">
        <v>308</v>
      </c>
      <c r="W79" s="19"/>
      <c r="X79" s="25"/>
      <c r="Y79" s="26"/>
    </row>
    <row r="80" spans="1:25" s="27" customFormat="1" ht="33" hidden="1" customHeight="1" thickBot="1" x14ac:dyDescent="0.35">
      <c r="A80" s="17">
        <v>47</v>
      </c>
      <c r="B80" s="23">
        <v>4319</v>
      </c>
      <c r="C80" s="19">
        <v>49803</v>
      </c>
      <c r="D80" s="23" t="s">
        <v>327</v>
      </c>
      <c r="E80" s="20" t="s">
        <v>328</v>
      </c>
      <c r="F80" s="21" t="s">
        <v>329</v>
      </c>
      <c r="G80" s="22" t="s">
        <v>26</v>
      </c>
      <c r="H80" s="22" t="s">
        <v>330</v>
      </c>
      <c r="I80" s="23" t="s">
        <v>331</v>
      </c>
      <c r="J80" s="23"/>
      <c r="K80" s="23" t="s">
        <v>332</v>
      </c>
      <c r="L80" s="23" t="s">
        <v>28</v>
      </c>
      <c r="M80" s="23">
        <v>1</v>
      </c>
      <c r="N80" s="23">
        <v>0</v>
      </c>
      <c r="O80" s="23" t="s">
        <v>29</v>
      </c>
      <c r="P80" s="24">
        <v>44392</v>
      </c>
      <c r="Q80" s="24" t="s">
        <v>30</v>
      </c>
      <c r="R80" s="19">
        <v>1</v>
      </c>
      <c r="S80" s="24" t="s">
        <v>30</v>
      </c>
      <c r="T80" s="24" t="s">
        <v>30</v>
      </c>
      <c r="U80" s="24" t="s">
        <v>31</v>
      </c>
      <c r="V80" s="23" t="s">
        <v>293</v>
      </c>
      <c r="W80" s="19"/>
      <c r="X80" s="25"/>
      <c r="Y80" s="26"/>
    </row>
    <row r="81" spans="1:25" s="27" customFormat="1" ht="33" hidden="1" customHeight="1" thickBot="1" x14ac:dyDescent="0.35">
      <c r="A81" s="17">
        <v>48</v>
      </c>
      <c r="B81" s="23">
        <v>4319</v>
      </c>
      <c r="C81" s="19">
        <v>50134</v>
      </c>
      <c r="D81" s="23" t="s">
        <v>333</v>
      </c>
      <c r="E81" s="20" t="s">
        <v>334</v>
      </c>
      <c r="F81" s="21" t="s">
        <v>335</v>
      </c>
      <c r="G81" s="22" t="s">
        <v>26</v>
      </c>
      <c r="H81" s="22" t="s">
        <v>336</v>
      </c>
      <c r="I81" s="23" t="s">
        <v>337</v>
      </c>
      <c r="J81" s="23" t="s">
        <v>338</v>
      </c>
      <c r="K81" s="23" t="s">
        <v>339</v>
      </c>
      <c r="L81" s="23" t="s">
        <v>51</v>
      </c>
      <c r="M81" s="23">
        <v>0</v>
      </c>
      <c r="N81" s="23">
        <v>1</v>
      </c>
      <c r="O81" s="23" t="s">
        <v>29</v>
      </c>
      <c r="P81" s="24">
        <v>44392</v>
      </c>
      <c r="Q81" s="24" t="s">
        <v>30</v>
      </c>
      <c r="R81" s="19">
        <v>2</v>
      </c>
      <c r="S81" s="24" t="s">
        <v>30</v>
      </c>
      <c r="T81" s="24" t="s">
        <v>30</v>
      </c>
      <c r="U81" s="24" t="s">
        <v>31</v>
      </c>
      <c r="V81" s="23" t="s">
        <v>293</v>
      </c>
      <c r="W81" s="19"/>
      <c r="X81" s="25"/>
      <c r="Y81" s="26"/>
    </row>
    <row r="82" spans="1:25" s="27" customFormat="1" ht="33" hidden="1" customHeight="1" thickBot="1" x14ac:dyDescent="0.35">
      <c r="A82" s="17">
        <v>48</v>
      </c>
      <c r="B82" s="23">
        <v>4319</v>
      </c>
      <c r="C82" s="19">
        <v>50089</v>
      </c>
      <c r="D82" s="23" t="s">
        <v>340</v>
      </c>
      <c r="E82" s="20" t="s">
        <v>341</v>
      </c>
      <c r="F82" s="21" t="s">
        <v>342</v>
      </c>
      <c r="G82" s="22" t="s">
        <v>26</v>
      </c>
      <c r="H82" s="22" t="s">
        <v>343</v>
      </c>
      <c r="I82" s="23" t="s">
        <v>337</v>
      </c>
      <c r="J82" s="23" t="s">
        <v>338</v>
      </c>
      <c r="K82" s="23" t="s">
        <v>339</v>
      </c>
      <c r="L82" s="23" t="s">
        <v>51</v>
      </c>
      <c r="M82" s="23">
        <v>0</v>
      </c>
      <c r="N82" s="23">
        <v>1</v>
      </c>
      <c r="O82" s="23" t="s">
        <v>29</v>
      </c>
      <c r="P82" s="24"/>
      <c r="Q82" s="24"/>
      <c r="R82" s="19"/>
      <c r="S82" s="24"/>
      <c r="T82" s="24" t="s">
        <v>30</v>
      </c>
      <c r="U82" s="24" t="s">
        <v>31</v>
      </c>
      <c r="V82" s="23" t="s">
        <v>293</v>
      </c>
      <c r="W82" s="19"/>
      <c r="X82" s="25"/>
      <c r="Y82" s="26"/>
    </row>
    <row r="83" spans="1:25" s="27" customFormat="1" ht="33" hidden="1" customHeight="1" thickBot="1" x14ac:dyDescent="0.35">
      <c r="A83" s="17">
        <v>49</v>
      </c>
      <c r="B83" s="23">
        <v>4319</v>
      </c>
      <c r="C83" s="19">
        <v>50050</v>
      </c>
      <c r="D83" s="23" t="s">
        <v>344</v>
      </c>
      <c r="E83" s="20" t="s">
        <v>345</v>
      </c>
      <c r="F83" s="21" t="s">
        <v>346</v>
      </c>
      <c r="G83" s="22" t="s">
        <v>26</v>
      </c>
      <c r="H83" s="22" t="s">
        <v>347</v>
      </c>
      <c r="I83" s="23" t="s">
        <v>337</v>
      </c>
      <c r="J83" s="23"/>
      <c r="K83" s="23" t="s">
        <v>348</v>
      </c>
      <c r="L83" s="23" t="s">
        <v>51</v>
      </c>
      <c r="M83" s="23">
        <v>0</v>
      </c>
      <c r="N83" s="23">
        <v>1</v>
      </c>
      <c r="O83" s="23" t="s">
        <v>29</v>
      </c>
      <c r="P83" s="24">
        <v>44392</v>
      </c>
      <c r="Q83" s="24" t="s">
        <v>30</v>
      </c>
      <c r="R83" s="19">
        <v>2</v>
      </c>
      <c r="S83" s="24" t="s">
        <v>30</v>
      </c>
      <c r="T83" s="24" t="s">
        <v>30</v>
      </c>
      <c r="U83" s="24" t="s">
        <v>31</v>
      </c>
      <c r="V83" s="23" t="s">
        <v>293</v>
      </c>
      <c r="W83" s="19"/>
      <c r="X83" s="25"/>
      <c r="Y83" s="26"/>
    </row>
    <row r="84" spans="1:25" s="27" customFormat="1" ht="33" hidden="1" customHeight="1" thickBot="1" x14ac:dyDescent="0.35">
      <c r="A84" s="17">
        <v>49</v>
      </c>
      <c r="B84" s="23">
        <v>4319</v>
      </c>
      <c r="C84" s="19">
        <v>50156</v>
      </c>
      <c r="D84" s="23" t="s">
        <v>349</v>
      </c>
      <c r="E84" s="20" t="s">
        <v>350</v>
      </c>
      <c r="F84" s="21" t="s">
        <v>351</v>
      </c>
      <c r="G84" s="22" t="s">
        <v>26</v>
      </c>
      <c r="H84" s="22" t="s">
        <v>352</v>
      </c>
      <c r="I84" s="23" t="s">
        <v>337</v>
      </c>
      <c r="J84" s="23"/>
      <c r="K84" s="23" t="s">
        <v>348</v>
      </c>
      <c r="L84" s="23" t="s">
        <v>51</v>
      </c>
      <c r="M84" s="23">
        <v>0</v>
      </c>
      <c r="N84" s="23">
        <v>1</v>
      </c>
      <c r="O84" s="23" t="s">
        <v>29</v>
      </c>
      <c r="P84" s="24"/>
      <c r="Q84" s="24"/>
      <c r="R84" s="19"/>
      <c r="S84" s="24"/>
      <c r="T84" s="24" t="s">
        <v>30</v>
      </c>
      <c r="U84" s="24" t="s">
        <v>31</v>
      </c>
      <c r="V84" s="23" t="s">
        <v>293</v>
      </c>
      <c r="W84" s="19"/>
      <c r="X84" s="25"/>
      <c r="Y84" s="26"/>
    </row>
    <row r="85" spans="1:25" s="27" customFormat="1" ht="33" hidden="1" customHeight="1" thickBot="1" x14ac:dyDescent="0.35">
      <c r="A85" s="17">
        <v>50</v>
      </c>
      <c r="B85" s="23">
        <v>4319</v>
      </c>
      <c r="C85" s="19"/>
      <c r="D85" s="23" t="s">
        <v>495</v>
      </c>
      <c r="E85" s="20"/>
      <c r="F85" s="21" t="s">
        <v>353</v>
      </c>
      <c r="G85" s="22" t="s">
        <v>26</v>
      </c>
      <c r="H85" s="22"/>
      <c r="I85" s="23" t="s">
        <v>354</v>
      </c>
      <c r="J85" s="23"/>
      <c r="K85" s="23" t="s">
        <v>355</v>
      </c>
      <c r="L85" s="23" t="s">
        <v>28</v>
      </c>
      <c r="M85" s="23">
        <v>1</v>
      </c>
      <c r="N85" s="23">
        <v>0</v>
      </c>
      <c r="O85" s="23" t="s">
        <v>176</v>
      </c>
      <c r="P85" s="24">
        <v>44392</v>
      </c>
      <c r="Q85" s="24">
        <v>44435</v>
      </c>
      <c r="R85" s="19">
        <v>1</v>
      </c>
      <c r="S85" s="24" t="s">
        <v>30</v>
      </c>
      <c r="T85" s="24" t="s">
        <v>30</v>
      </c>
      <c r="U85" s="24" t="s">
        <v>31</v>
      </c>
      <c r="V85" s="23" t="s">
        <v>162</v>
      </c>
      <c r="W85" s="19"/>
      <c r="X85" s="25" t="s">
        <v>178</v>
      </c>
      <c r="Y85" s="26"/>
    </row>
    <row r="86" spans="1:25" s="27" customFormat="1" ht="33" hidden="1" customHeight="1" thickBot="1" x14ac:dyDescent="0.35">
      <c r="A86" s="17">
        <v>51</v>
      </c>
      <c r="B86" s="23">
        <v>4319</v>
      </c>
      <c r="C86" s="19">
        <v>49794</v>
      </c>
      <c r="D86" s="23" t="s">
        <v>356</v>
      </c>
      <c r="E86" s="20">
        <v>708101003</v>
      </c>
      <c r="F86" s="21" t="s">
        <v>357</v>
      </c>
      <c r="G86" s="22" t="s">
        <v>26</v>
      </c>
      <c r="H86" s="22"/>
      <c r="I86" s="23" t="s">
        <v>39</v>
      </c>
      <c r="J86" s="23"/>
      <c r="K86" s="23" t="s">
        <v>358</v>
      </c>
      <c r="L86" s="23" t="s">
        <v>28</v>
      </c>
      <c r="M86" s="23">
        <v>1</v>
      </c>
      <c r="N86" s="23">
        <v>0</v>
      </c>
      <c r="O86" s="23" t="s">
        <v>29</v>
      </c>
      <c r="P86" s="24">
        <v>44392</v>
      </c>
      <c r="Q86" s="24" t="s">
        <v>30</v>
      </c>
      <c r="R86" s="19">
        <v>1</v>
      </c>
      <c r="S86" s="24" t="s">
        <v>30</v>
      </c>
      <c r="T86" s="24" t="s">
        <v>30</v>
      </c>
      <c r="U86" s="24" t="s">
        <v>31</v>
      </c>
      <c r="V86" s="23" t="s">
        <v>359</v>
      </c>
      <c r="W86" s="19"/>
      <c r="X86" s="25"/>
      <c r="Y86" s="26"/>
    </row>
    <row r="87" spans="1:25" s="27" customFormat="1" ht="33" hidden="1" customHeight="1" thickBot="1" x14ac:dyDescent="0.35">
      <c r="A87" s="17">
        <v>52</v>
      </c>
      <c r="B87" s="23">
        <v>4319</v>
      </c>
      <c r="C87" s="19"/>
      <c r="D87" s="23"/>
      <c r="E87" s="20"/>
      <c r="F87" s="21" t="s">
        <v>366</v>
      </c>
      <c r="G87" s="22" t="s">
        <v>26</v>
      </c>
      <c r="H87" s="22"/>
      <c r="I87" s="23" t="s">
        <v>367</v>
      </c>
      <c r="J87" s="23"/>
      <c r="K87" s="23" t="s">
        <v>368</v>
      </c>
      <c r="L87" s="23" t="s">
        <v>28</v>
      </c>
      <c r="M87" s="23">
        <v>1</v>
      </c>
      <c r="N87" s="23">
        <v>0</v>
      </c>
      <c r="O87" s="23" t="s">
        <v>176</v>
      </c>
      <c r="P87" s="24">
        <v>44392</v>
      </c>
      <c r="Q87" s="24">
        <v>44435</v>
      </c>
      <c r="R87" s="19">
        <v>1</v>
      </c>
      <c r="S87" s="24" t="s">
        <v>30</v>
      </c>
      <c r="T87" s="24" t="s">
        <v>30</v>
      </c>
      <c r="U87" s="24" t="s">
        <v>31</v>
      </c>
      <c r="V87" s="23" t="s">
        <v>162</v>
      </c>
      <c r="W87" s="19"/>
      <c r="X87" s="25"/>
      <c r="Y87" s="26"/>
    </row>
    <row r="88" spans="1:25" s="27" customFormat="1" ht="33" hidden="1" customHeight="1" thickBot="1" x14ac:dyDescent="0.35">
      <c r="A88" s="17">
        <v>53</v>
      </c>
      <c r="B88" s="23">
        <v>4319</v>
      </c>
      <c r="C88" s="19">
        <v>50073</v>
      </c>
      <c r="D88" s="23" t="s">
        <v>369</v>
      </c>
      <c r="E88" s="20" t="s">
        <v>370</v>
      </c>
      <c r="F88" s="21" t="s">
        <v>371</v>
      </c>
      <c r="G88" s="22"/>
      <c r="H88" s="22"/>
      <c r="I88" s="23" t="s">
        <v>271</v>
      </c>
      <c r="J88" s="23" t="s">
        <v>372</v>
      </c>
      <c r="K88" s="23" t="s">
        <v>373</v>
      </c>
      <c r="L88" s="23" t="s">
        <v>51</v>
      </c>
      <c r="M88" s="23">
        <v>0</v>
      </c>
      <c r="N88" s="23">
        <v>1</v>
      </c>
      <c r="O88" s="23" t="s">
        <v>29</v>
      </c>
      <c r="P88" s="24">
        <v>44392</v>
      </c>
      <c r="Q88" s="24" t="s">
        <v>30</v>
      </c>
      <c r="R88" s="19">
        <v>2</v>
      </c>
      <c r="S88" s="24" t="s">
        <v>30</v>
      </c>
      <c r="T88" s="24" t="s">
        <v>30</v>
      </c>
      <c r="U88" s="24" t="s">
        <v>31</v>
      </c>
      <c r="V88" s="23"/>
      <c r="W88" s="19"/>
      <c r="X88" s="25"/>
      <c r="Y88" s="26"/>
    </row>
    <row r="89" spans="1:25" s="27" customFormat="1" ht="33" hidden="1" customHeight="1" thickBot="1" x14ac:dyDescent="0.35">
      <c r="A89" s="17">
        <v>53</v>
      </c>
      <c r="B89" s="23">
        <v>4319</v>
      </c>
      <c r="C89" s="19">
        <v>50128</v>
      </c>
      <c r="D89" s="23" t="s">
        <v>374</v>
      </c>
      <c r="E89" s="20" t="s">
        <v>375</v>
      </c>
      <c r="F89" s="21" t="s">
        <v>376</v>
      </c>
      <c r="G89" s="22" t="s">
        <v>26</v>
      </c>
      <c r="H89" s="22"/>
      <c r="I89" s="23" t="s">
        <v>271</v>
      </c>
      <c r="J89" s="23" t="s">
        <v>372</v>
      </c>
      <c r="K89" s="23" t="s">
        <v>373</v>
      </c>
      <c r="L89" s="23" t="s">
        <v>51</v>
      </c>
      <c r="M89" s="23">
        <v>0</v>
      </c>
      <c r="N89" s="23">
        <v>1</v>
      </c>
      <c r="O89" s="23" t="s">
        <v>29</v>
      </c>
      <c r="P89" s="24"/>
      <c r="Q89" s="24"/>
      <c r="R89" s="19"/>
      <c r="S89" s="24"/>
      <c r="T89" s="24" t="s">
        <v>30</v>
      </c>
      <c r="U89" s="24" t="s">
        <v>31</v>
      </c>
      <c r="V89" s="23"/>
      <c r="W89" s="19"/>
      <c r="X89" s="25"/>
      <c r="Y89" s="26"/>
    </row>
    <row r="90" spans="1:25" s="27" customFormat="1" ht="33" hidden="1" customHeight="1" thickBot="1" x14ac:dyDescent="0.35">
      <c r="A90" s="17">
        <v>54</v>
      </c>
      <c r="B90" s="23">
        <v>4319</v>
      </c>
      <c r="C90" s="19">
        <v>50104</v>
      </c>
      <c r="D90" s="23" t="s">
        <v>377</v>
      </c>
      <c r="E90" s="20" t="s">
        <v>378</v>
      </c>
      <c r="F90" s="21" t="s">
        <v>379</v>
      </c>
      <c r="G90" s="22" t="s">
        <v>26</v>
      </c>
      <c r="H90" s="22"/>
      <c r="I90" s="23" t="s">
        <v>380</v>
      </c>
      <c r="J90" s="23" t="s">
        <v>381</v>
      </c>
      <c r="K90" s="23" t="s">
        <v>382</v>
      </c>
      <c r="L90" s="23" t="s">
        <v>51</v>
      </c>
      <c r="M90" s="23">
        <v>0</v>
      </c>
      <c r="N90" s="23">
        <v>1</v>
      </c>
      <c r="O90" s="23" t="s">
        <v>29</v>
      </c>
      <c r="P90" s="24">
        <v>44392</v>
      </c>
      <c r="Q90" s="24" t="s">
        <v>30</v>
      </c>
      <c r="R90" s="19">
        <v>2</v>
      </c>
      <c r="S90" s="24" t="s">
        <v>30</v>
      </c>
      <c r="T90" s="24" t="s">
        <v>30</v>
      </c>
      <c r="U90" s="24" t="s">
        <v>31</v>
      </c>
      <c r="V90" s="23" t="s">
        <v>359</v>
      </c>
      <c r="W90" s="19"/>
      <c r="X90" s="25"/>
      <c r="Y90" s="26"/>
    </row>
    <row r="91" spans="1:25" s="27" customFormat="1" ht="33" hidden="1" customHeight="1" thickBot="1" x14ac:dyDescent="0.35">
      <c r="A91" s="17">
        <v>54</v>
      </c>
      <c r="B91" s="23">
        <v>4319</v>
      </c>
      <c r="C91" s="19">
        <v>50130</v>
      </c>
      <c r="D91" s="23" t="s">
        <v>383</v>
      </c>
      <c r="E91" s="20" t="s">
        <v>384</v>
      </c>
      <c r="F91" s="21" t="s">
        <v>385</v>
      </c>
      <c r="G91" s="22" t="s">
        <v>26</v>
      </c>
      <c r="H91" s="22"/>
      <c r="I91" s="23" t="s">
        <v>380</v>
      </c>
      <c r="J91" s="23" t="s">
        <v>381</v>
      </c>
      <c r="K91" s="23" t="s">
        <v>382</v>
      </c>
      <c r="L91" s="23" t="s">
        <v>51</v>
      </c>
      <c r="M91" s="23">
        <v>0</v>
      </c>
      <c r="N91" s="23">
        <v>1</v>
      </c>
      <c r="O91" s="23" t="s">
        <v>29</v>
      </c>
      <c r="P91" s="24"/>
      <c r="Q91" s="24"/>
      <c r="R91" s="19"/>
      <c r="S91" s="24"/>
      <c r="T91" s="24" t="s">
        <v>30</v>
      </c>
      <c r="U91" s="24" t="s">
        <v>31</v>
      </c>
      <c r="V91" s="23"/>
      <c r="W91" s="19"/>
      <c r="X91" s="25"/>
      <c r="Y91" s="26"/>
    </row>
    <row r="92" spans="1:25" s="27" customFormat="1" ht="33" hidden="1" customHeight="1" thickBot="1" x14ac:dyDescent="0.35">
      <c r="A92" s="17">
        <v>55</v>
      </c>
      <c r="B92" s="23">
        <v>4319</v>
      </c>
      <c r="C92" s="19">
        <v>50141</v>
      </c>
      <c r="D92" s="23" t="s">
        <v>386</v>
      </c>
      <c r="E92" s="20" t="s">
        <v>387</v>
      </c>
      <c r="F92" s="21" t="s">
        <v>388</v>
      </c>
      <c r="G92" s="22"/>
      <c r="H92" s="22"/>
      <c r="I92" s="23" t="s">
        <v>389</v>
      </c>
      <c r="J92" s="23"/>
      <c r="K92" s="23" t="s">
        <v>390</v>
      </c>
      <c r="L92" s="23" t="s">
        <v>51</v>
      </c>
      <c r="M92" s="23">
        <v>0</v>
      </c>
      <c r="N92" s="23">
        <v>1</v>
      </c>
      <c r="O92" s="23" t="s">
        <v>29</v>
      </c>
      <c r="P92" s="24">
        <v>44392</v>
      </c>
      <c r="Q92" s="24" t="s">
        <v>30</v>
      </c>
      <c r="R92" s="19">
        <v>2</v>
      </c>
      <c r="S92" s="24" t="s">
        <v>30</v>
      </c>
      <c r="T92" s="24" t="s">
        <v>30</v>
      </c>
      <c r="U92" s="24" t="s">
        <v>31</v>
      </c>
      <c r="V92" s="23" t="s">
        <v>359</v>
      </c>
      <c r="W92" s="19"/>
      <c r="X92" s="25"/>
      <c r="Y92" s="26"/>
    </row>
    <row r="93" spans="1:25" s="27" customFormat="1" ht="33" hidden="1" customHeight="1" thickBot="1" x14ac:dyDescent="0.35">
      <c r="A93" s="17">
        <v>55</v>
      </c>
      <c r="B93" s="23">
        <v>4319</v>
      </c>
      <c r="C93" s="19">
        <v>50099</v>
      </c>
      <c r="D93" s="23" t="s">
        <v>391</v>
      </c>
      <c r="E93" s="20" t="s">
        <v>392</v>
      </c>
      <c r="F93" s="21" t="s">
        <v>393</v>
      </c>
      <c r="G93" s="22"/>
      <c r="H93" s="22"/>
      <c r="I93" s="23" t="s">
        <v>389</v>
      </c>
      <c r="J93" s="23"/>
      <c r="K93" s="23" t="s">
        <v>390</v>
      </c>
      <c r="L93" s="23" t="s">
        <v>51</v>
      </c>
      <c r="M93" s="23">
        <v>0</v>
      </c>
      <c r="N93" s="23">
        <v>1</v>
      </c>
      <c r="O93" s="23" t="s">
        <v>29</v>
      </c>
      <c r="P93" s="24"/>
      <c r="Q93" s="24"/>
      <c r="R93" s="19"/>
      <c r="S93" s="24"/>
      <c r="T93" s="24" t="s">
        <v>30</v>
      </c>
      <c r="U93" s="24" t="s">
        <v>31</v>
      </c>
      <c r="V93" s="23"/>
      <c r="W93" s="19"/>
      <c r="X93" s="25"/>
      <c r="Y93" s="26"/>
    </row>
    <row r="94" spans="1:25" s="27" customFormat="1" ht="33" hidden="1" customHeight="1" thickBot="1" x14ac:dyDescent="0.35">
      <c r="A94" s="17">
        <v>56</v>
      </c>
      <c r="B94" s="23">
        <v>4145</v>
      </c>
      <c r="C94" s="19">
        <v>50155</v>
      </c>
      <c r="D94" s="23" t="s">
        <v>406</v>
      </c>
      <c r="E94" s="20" t="s">
        <v>407</v>
      </c>
      <c r="F94" s="21" t="s">
        <v>560</v>
      </c>
      <c r="G94" s="22" t="s">
        <v>26</v>
      </c>
      <c r="H94" s="22"/>
      <c r="I94" s="23" t="s">
        <v>396</v>
      </c>
      <c r="J94" s="23"/>
      <c r="K94" s="23">
        <v>523</v>
      </c>
      <c r="L94" s="23" t="s">
        <v>51</v>
      </c>
      <c r="M94" s="23">
        <v>0</v>
      </c>
      <c r="N94" s="23">
        <v>1</v>
      </c>
      <c r="O94" s="23" t="s">
        <v>29</v>
      </c>
      <c r="P94" s="24">
        <v>44392</v>
      </c>
      <c r="Q94" s="24">
        <v>44443</v>
      </c>
      <c r="R94" s="19">
        <v>2</v>
      </c>
      <c r="S94" s="24" t="s">
        <v>30</v>
      </c>
      <c r="T94" s="24" t="s">
        <v>30</v>
      </c>
      <c r="U94" s="24" t="s">
        <v>208</v>
      </c>
      <c r="V94" s="23" t="s">
        <v>397</v>
      </c>
      <c r="W94" s="19"/>
      <c r="X94" s="25"/>
      <c r="Y94" s="26"/>
    </row>
    <row r="95" spans="1:25" s="27" customFormat="1" ht="33" hidden="1" customHeight="1" thickBot="1" x14ac:dyDescent="0.35">
      <c r="A95" s="17">
        <v>56</v>
      </c>
      <c r="B95" s="23">
        <v>4145</v>
      </c>
      <c r="C95" s="19">
        <v>50153</v>
      </c>
      <c r="D95" s="23" t="s">
        <v>400</v>
      </c>
      <c r="E95" s="20" t="s">
        <v>401</v>
      </c>
      <c r="F95" s="21" t="s">
        <v>561</v>
      </c>
      <c r="G95" s="22" t="s">
        <v>26</v>
      </c>
      <c r="H95" s="22"/>
      <c r="I95" s="23" t="s">
        <v>396</v>
      </c>
      <c r="J95" s="23"/>
      <c r="K95" s="23">
        <v>523</v>
      </c>
      <c r="L95" s="23" t="s">
        <v>51</v>
      </c>
      <c r="M95" s="23">
        <v>0</v>
      </c>
      <c r="N95" s="23">
        <v>1</v>
      </c>
      <c r="O95" s="23" t="s">
        <v>29</v>
      </c>
      <c r="P95" s="24"/>
      <c r="Q95" s="24"/>
      <c r="R95" s="19"/>
      <c r="S95" s="24"/>
      <c r="T95" s="24" t="s">
        <v>30</v>
      </c>
      <c r="U95" s="24" t="s">
        <v>208</v>
      </c>
      <c r="V95" s="23"/>
      <c r="W95" s="19"/>
      <c r="X95" s="25"/>
      <c r="Y95" s="26"/>
    </row>
    <row r="96" spans="1:25" s="27" customFormat="1" ht="33" hidden="1" customHeight="1" thickBot="1" x14ac:dyDescent="0.35">
      <c r="A96" s="17">
        <v>57</v>
      </c>
      <c r="B96" s="23">
        <v>4145</v>
      </c>
      <c r="C96" s="19">
        <v>50080</v>
      </c>
      <c r="D96" s="23" t="s">
        <v>398</v>
      </c>
      <c r="E96" s="20" t="s">
        <v>399</v>
      </c>
      <c r="F96" s="21" t="s">
        <v>562</v>
      </c>
      <c r="G96" s="22" t="s">
        <v>26</v>
      </c>
      <c r="H96" s="22"/>
      <c r="I96" s="23">
        <v>534</v>
      </c>
      <c r="J96" s="23"/>
      <c r="K96" s="23">
        <v>523</v>
      </c>
      <c r="L96" s="23" t="s">
        <v>51</v>
      </c>
      <c r="M96" s="23">
        <v>0</v>
      </c>
      <c r="N96" s="23">
        <v>1</v>
      </c>
      <c r="O96" s="23" t="s">
        <v>29</v>
      </c>
      <c r="P96" s="24">
        <v>44392</v>
      </c>
      <c r="Q96" s="24">
        <v>44443</v>
      </c>
      <c r="R96" s="19">
        <v>2</v>
      </c>
      <c r="S96" s="24" t="s">
        <v>30</v>
      </c>
      <c r="T96" s="24" t="s">
        <v>30</v>
      </c>
      <c r="U96" s="24" t="s">
        <v>208</v>
      </c>
      <c r="V96" s="23" t="s">
        <v>397</v>
      </c>
      <c r="W96" s="19"/>
      <c r="X96" s="25"/>
      <c r="Y96" s="26"/>
    </row>
    <row r="97" spans="1:25" s="27" customFormat="1" ht="33" hidden="1" customHeight="1" thickBot="1" x14ac:dyDescent="0.35">
      <c r="A97" s="17">
        <v>57</v>
      </c>
      <c r="B97" s="23">
        <v>4145</v>
      </c>
      <c r="C97" s="19">
        <v>50092</v>
      </c>
      <c r="D97" s="23" t="s">
        <v>394</v>
      </c>
      <c r="E97" s="20" t="s">
        <v>395</v>
      </c>
      <c r="F97" s="21" t="s">
        <v>563</v>
      </c>
      <c r="G97" s="22" t="s">
        <v>26</v>
      </c>
      <c r="H97" s="22"/>
      <c r="I97" s="23">
        <v>534</v>
      </c>
      <c r="J97" s="23"/>
      <c r="K97" s="23">
        <v>523</v>
      </c>
      <c r="L97" s="23" t="s">
        <v>51</v>
      </c>
      <c r="M97" s="23">
        <v>0</v>
      </c>
      <c r="N97" s="23">
        <v>1</v>
      </c>
      <c r="O97" s="23" t="s">
        <v>29</v>
      </c>
      <c r="P97" s="24"/>
      <c r="Q97" s="24"/>
      <c r="R97" s="19"/>
      <c r="S97" s="24"/>
      <c r="T97" s="24" t="s">
        <v>30</v>
      </c>
      <c r="U97" s="24" t="s">
        <v>208</v>
      </c>
      <c r="V97" s="23"/>
      <c r="W97" s="19"/>
      <c r="X97" s="25"/>
      <c r="Y97" s="26"/>
    </row>
    <row r="98" spans="1:25" s="27" customFormat="1" ht="33" hidden="1" customHeight="1" thickBot="1" x14ac:dyDescent="0.35">
      <c r="A98" s="17">
        <v>58</v>
      </c>
      <c r="B98" s="23">
        <v>4145</v>
      </c>
      <c r="C98" s="19">
        <v>50097</v>
      </c>
      <c r="D98" s="23" t="s">
        <v>402</v>
      </c>
      <c r="E98" s="20" t="s">
        <v>403</v>
      </c>
      <c r="F98" s="21" t="s">
        <v>554</v>
      </c>
      <c r="G98" s="22" t="s">
        <v>26</v>
      </c>
      <c r="H98" s="22"/>
      <c r="I98" s="23" t="s">
        <v>404</v>
      </c>
      <c r="J98" s="23"/>
      <c r="K98" s="23" t="s">
        <v>405</v>
      </c>
      <c r="L98" s="23" t="s">
        <v>51</v>
      </c>
      <c r="M98" s="23">
        <v>0</v>
      </c>
      <c r="N98" s="23">
        <v>1</v>
      </c>
      <c r="O98" s="23" t="s">
        <v>29</v>
      </c>
      <c r="P98" s="24">
        <v>44392</v>
      </c>
      <c r="Q98" s="24">
        <v>44443</v>
      </c>
      <c r="R98" s="19">
        <v>2</v>
      </c>
      <c r="S98" s="24" t="s">
        <v>30</v>
      </c>
      <c r="T98" s="24" t="s">
        <v>30</v>
      </c>
      <c r="U98" s="24" t="s">
        <v>208</v>
      </c>
      <c r="V98" s="23" t="s">
        <v>397</v>
      </c>
      <c r="W98" s="19"/>
      <c r="X98" s="25"/>
      <c r="Y98" s="26"/>
    </row>
    <row r="99" spans="1:25" s="27" customFormat="1" ht="33" hidden="1" customHeight="1" thickBot="1" x14ac:dyDescent="0.35">
      <c r="A99" s="17">
        <v>58</v>
      </c>
      <c r="B99" s="23">
        <v>4145</v>
      </c>
      <c r="C99" s="19">
        <v>50105</v>
      </c>
      <c r="D99" s="23" t="s">
        <v>406</v>
      </c>
      <c r="E99" s="20" t="s">
        <v>407</v>
      </c>
      <c r="F99" s="21" t="s">
        <v>554</v>
      </c>
      <c r="G99" s="22" t="s">
        <v>26</v>
      </c>
      <c r="H99" s="22"/>
      <c r="I99" s="23" t="s">
        <v>404</v>
      </c>
      <c r="J99" s="23"/>
      <c r="K99" s="23" t="s">
        <v>453</v>
      </c>
      <c r="L99" s="23" t="s">
        <v>51</v>
      </c>
      <c r="M99" s="23">
        <v>0</v>
      </c>
      <c r="N99" s="23">
        <v>1</v>
      </c>
      <c r="O99" s="23" t="s">
        <v>29</v>
      </c>
      <c r="P99" s="24"/>
      <c r="Q99" s="24"/>
      <c r="R99" s="19"/>
      <c r="S99" s="24"/>
      <c r="T99" s="24" t="s">
        <v>30</v>
      </c>
      <c r="U99" s="24" t="s">
        <v>208</v>
      </c>
      <c r="V99" s="23"/>
      <c r="W99" s="19"/>
      <c r="X99" s="25"/>
      <c r="Y99" s="26"/>
    </row>
    <row r="100" spans="1:25" s="27" customFormat="1" ht="33" hidden="1" customHeight="1" thickBot="1" x14ac:dyDescent="0.35">
      <c r="A100" s="17">
        <v>59</v>
      </c>
      <c r="B100" s="23">
        <v>4319</v>
      </c>
      <c r="C100" s="19"/>
      <c r="D100" s="23" t="s">
        <v>408</v>
      </c>
      <c r="E100" s="20" t="s">
        <v>559</v>
      </c>
      <c r="F100" s="21" t="s">
        <v>409</v>
      </c>
      <c r="G100" s="22"/>
      <c r="H100" s="22"/>
      <c r="I100" s="23" t="s">
        <v>410</v>
      </c>
      <c r="J100" s="23"/>
      <c r="K100" s="23" t="s">
        <v>411</v>
      </c>
      <c r="L100" s="23" t="s">
        <v>51</v>
      </c>
      <c r="M100" s="23">
        <v>0</v>
      </c>
      <c r="N100" s="23">
        <v>1</v>
      </c>
      <c r="O100" s="23" t="s">
        <v>176</v>
      </c>
      <c r="P100" s="24" t="s">
        <v>30</v>
      </c>
      <c r="Q100" s="24">
        <v>44439</v>
      </c>
      <c r="R100" s="19">
        <v>2</v>
      </c>
      <c r="S100" s="24" t="s">
        <v>30</v>
      </c>
      <c r="T100" s="24" t="s">
        <v>30</v>
      </c>
      <c r="U100" s="24" t="s">
        <v>31</v>
      </c>
      <c r="V100" s="23"/>
      <c r="W100" s="19"/>
      <c r="X100" s="25"/>
      <c r="Y100" s="26"/>
    </row>
    <row r="101" spans="1:25" s="27" customFormat="1" ht="33" hidden="1" customHeight="1" thickBot="1" x14ac:dyDescent="0.35">
      <c r="A101" s="17">
        <v>59</v>
      </c>
      <c r="B101" s="23">
        <v>4319</v>
      </c>
      <c r="C101" s="19"/>
      <c r="D101" s="23" t="s">
        <v>412</v>
      </c>
      <c r="E101" s="20" t="s">
        <v>558</v>
      </c>
      <c r="F101" s="21" t="s">
        <v>413</v>
      </c>
      <c r="G101" s="22"/>
      <c r="H101" s="22"/>
      <c r="I101" s="23" t="s">
        <v>410</v>
      </c>
      <c r="J101" s="23"/>
      <c r="K101" s="23" t="s">
        <v>411</v>
      </c>
      <c r="L101" s="23" t="s">
        <v>51</v>
      </c>
      <c r="M101" s="23">
        <v>0</v>
      </c>
      <c r="N101" s="23">
        <v>1</v>
      </c>
      <c r="O101" s="23" t="s">
        <v>176</v>
      </c>
      <c r="P101" s="24"/>
      <c r="Q101" s="24"/>
      <c r="R101" s="19"/>
      <c r="S101" s="24"/>
      <c r="T101" s="24" t="s">
        <v>30</v>
      </c>
      <c r="U101" s="24" t="s">
        <v>31</v>
      </c>
      <c r="V101" s="23"/>
      <c r="W101" s="19"/>
      <c r="X101" s="25"/>
      <c r="Y101" s="26"/>
    </row>
    <row r="102" spans="1:25" s="27" customFormat="1" ht="33" hidden="1" customHeight="1" thickBot="1" x14ac:dyDescent="0.35">
      <c r="A102" s="17">
        <v>60</v>
      </c>
      <c r="B102" s="23">
        <v>4319</v>
      </c>
      <c r="C102" s="19"/>
      <c r="D102" s="23"/>
      <c r="E102" s="20"/>
      <c r="F102" s="21" t="s">
        <v>414</v>
      </c>
      <c r="G102" s="22" t="s">
        <v>26</v>
      </c>
      <c r="H102" s="22"/>
      <c r="I102" s="23" t="s">
        <v>415</v>
      </c>
      <c r="J102" s="23"/>
      <c r="K102" s="23" t="s">
        <v>416</v>
      </c>
      <c r="L102" s="23" t="s">
        <v>51</v>
      </c>
      <c r="M102" s="23">
        <v>0</v>
      </c>
      <c r="N102" s="23">
        <v>1</v>
      </c>
      <c r="O102" s="23" t="s">
        <v>176</v>
      </c>
      <c r="P102" s="24" t="s">
        <v>30</v>
      </c>
      <c r="Q102" s="24">
        <v>44435</v>
      </c>
      <c r="R102" s="19">
        <v>2</v>
      </c>
      <c r="S102" s="24" t="s">
        <v>30</v>
      </c>
      <c r="T102" s="24" t="s">
        <v>30</v>
      </c>
      <c r="U102" s="24" t="s">
        <v>31</v>
      </c>
      <c r="V102" s="23" t="s">
        <v>162</v>
      </c>
      <c r="W102" s="19"/>
      <c r="X102" s="25" t="s">
        <v>178</v>
      </c>
      <c r="Y102" s="26"/>
    </row>
    <row r="103" spans="1:25" s="27" customFormat="1" ht="33" hidden="1" customHeight="1" thickBot="1" x14ac:dyDescent="0.35">
      <c r="A103" s="17">
        <v>60</v>
      </c>
      <c r="B103" s="23">
        <v>4319</v>
      </c>
      <c r="C103" s="19"/>
      <c r="D103" s="23"/>
      <c r="E103" s="20"/>
      <c r="F103" s="21" t="s">
        <v>417</v>
      </c>
      <c r="G103" s="22"/>
      <c r="H103" s="22"/>
      <c r="I103" s="23" t="s">
        <v>415</v>
      </c>
      <c r="J103" s="23"/>
      <c r="K103" s="23" t="s">
        <v>416</v>
      </c>
      <c r="L103" s="23" t="s">
        <v>51</v>
      </c>
      <c r="M103" s="23">
        <v>0</v>
      </c>
      <c r="N103" s="23">
        <v>1</v>
      </c>
      <c r="O103" s="23" t="s">
        <v>176</v>
      </c>
      <c r="P103" s="24"/>
      <c r="Q103" s="24"/>
      <c r="R103" s="19"/>
      <c r="S103" s="24"/>
      <c r="T103" s="24" t="s">
        <v>30</v>
      </c>
      <c r="U103" s="24" t="s">
        <v>31</v>
      </c>
      <c r="V103" s="23"/>
      <c r="W103" s="19"/>
      <c r="X103" s="25"/>
      <c r="Y103" s="26"/>
    </row>
    <row r="104" spans="1:25" s="27" customFormat="1" ht="33" hidden="1" customHeight="1" thickBot="1" x14ac:dyDescent="0.35">
      <c r="A104" s="17">
        <v>61</v>
      </c>
      <c r="B104" s="23">
        <v>4319</v>
      </c>
      <c r="C104" s="19">
        <v>50151</v>
      </c>
      <c r="D104" s="23" t="s">
        <v>418</v>
      </c>
      <c r="E104" s="20" t="s">
        <v>419</v>
      </c>
      <c r="F104" s="21" t="s">
        <v>420</v>
      </c>
      <c r="G104" s="22"/>
      <c r="H104" s="22"/>
      <c r="I104" s="23" t="s">
        <v>421</v>
      </c>
      <c r="J104" s="23"/>
      <c r="K104" s="23" t="s">
        <v>422</v>
      </c>
      <c r="L104" s="23" t="s">
        <v>51</v>
      </c>
      <c r="M104" s="23">
        <v>0</v>
      </c>
      <c r="N104" s="23">
        <v>1</v>
      </c>
      <c r="O104" s="23" t="s">
        <v>176</v>
      </c>
      <c r="P104" s="24" t="s">
        <v>30</v>
      </c>
      <c r="Q104" s="24">
        <v>44434</v>
      </c>
      <c r="R104" s="19">
        <v>2</v>
      </c>
      <c r="S104" s="24" t="s">
        <v>30</v>
      </c>
      <c r="T104" s="24" t="s">
        <v>30</v>
      </c>
      <c r="U104" s="24" t="s">
        <v>31</v>
      </c>
      <c r="V104" s="23" t="s">
        <v>162</v>
      </c>
      <c r="W104" s="19"/>
      <c r="X104" s="25"/>
      <c r="Y104" s="26"/>
    </row>
    <row r="105" spans="1:25" s="27" customFormat="1" ht="33" hidden="1" customHeight="1" thickBot="1" x14ac:dyDescent="0.35">
      <c r="A105" s="17">
        <v>62</v>
      </c>
      <c r="B105" s="23">
        <v>4319</v>
      </c>
      <c r="C105" s="19">
        <v>50152</v>
      </c>
      <c r="D105" s="23" t="s">
        <v>423</v>
      </c>
      <c r="E105" s="20" t="s">
        <v>424</v>
      </c>
      <c r="F105" s="21" t="s">
        <v>425</v>
      </c>
      <c r="G105" s="22"/>
      <c r="H105" s="22"/>
      <c r="I105" s="23" t="s">
        <v>421</v>
      </c>
      <c r="J105" s="23"/>
      <c r="K105" s="23" t="s">
        <v>422</v>
      </c>
      <c r="L105" s="23" t="s">
        <v>51</v>
      </c>
      <c r="M105" s="23">
        <v>0</v>
      </c>
      <c r="N105" s="23">
        <v>1</v>
      </c>
      <c r="O105" s="23" t="s">
        <v>176</v>
      </c>
      <c r="P105" s="24"/>
      <c r="Q105" s="24"/>
      <c r="R105" s="19"/>
      <c r="S105" s="24"/>
      <c r="T105" s="24" t="s">
        <v>30</v>
      </c>
      <c r="U105" s="24" t="s">
        <v>31</v>
      </c>
      <c r="V105" s="23" t="s">
        <v>426</v>
      </c>
      <c r="W105" s="19"/>
      <c r="X105" s="25"/>
      <c r="Y105" s="26"/>
    </row>
    <row r="106" spans="1:25" s="27" customFormat="1" ht="33" hidden="1" customHeight="1" thickBot="1" x14ac:dyDescent="0.35">
      <c r="A106" s="17">
        <v>62</v>
      </c>
      <c r="B106" s="23">
        <v>4319</v>
      </c>
      <c r="C106" s="19">
        <v>50081</v>
      </c>
      <c r="D106" s="23" t="s">
        <v>432</v>
      </c>
      <c r="E106" s="20" t="s">
        <v>433</v>
      </c>
      <c r="F106" s="21" t="s">
        <v>434</v>
      </c>
      <c r="G106" s="22"/>
      <c r="H106" s="22"/>
      <c r="I106" s="23" t="s">
        <v>430</v>
      </c>
      <c r="J106" s="23"/>
      <c r="K106" s="23" t="s">
        <v>431</v>
      </c>
      <c r="L106" s="23" t="s">
        <v>51</v>
      </c>
      <c r="M106" s="23">
        <v>0</v>
      </c>
      <c r="N106" s="23">
        <v>1</v>
      </c>
      <c r="O106" s="23" t="s">
        <v>176</v>
      </c>
      <c r="P106" s="24"/>
      <c r="Q106" s="24"/>
      <c r="R106" s="19"/>
      <c r="S106" s="24"/>
      <c r="T106" s="24" t="s">
        <v>30</v>
      </c>
      <c r="U106" s="24" t="s">
        <v>31</v>
      </c>
      <c r="V106" s="23" t="s">
        <v>162</v>
      </c>
      <c r="W106" s="19"/>
      <c r="X106" s="25"/>
      <c r="Y106" s="26"/>
    </row>
    <row r="107" spans="1:25" s="27" customFormat="1" ht="33" hidden="1" customHeight="1" thickBot="1" x14ac:dyDescent="0.35">
      <c r="A107" s="17">
        <v>62</v>
      </c>
      <c r="B107" s="23">
        <v>4319</v>
      </c>
      <c r="C107" s="19">
        <v>50083</v>
      </c>
      <c r="D107" s="23" t="s">
        <v>427</v>
      </c>
      <c r="E107" s="20" t="s">
        <v>428</v>
      </c>
      <c r="F107" s="21" t="s">
        <v>429</v>
      </c>
      <c r="G107" s="22"/>
      <c r="H107" s="22"/>
      <c r="I107" s="23" t="s">
        <v>430</v>
      </c>
      <c r="J107" s="23"/>
      <c r="K107" s="23" t="s">
        <v>431</v>
      </c>
      <c r="L107" s="23" t="s">
        <v>51</v>
      </c>
      <c r="M107" s="23">
        <v>0</v>
      </c>
      <c r="N107" s="23">
        <v>1</v>
      </c>
      <c r="O107" s="23" t="s">
        <v>176</v>
      </c>
      <c r="P107" s="24" t="s">
        <v>30</v>
      </c>
      <c r="Q107" s="24">
        <v>44434</v>
      </c>
      <c r="R107" s="19">
        <v>2</v>
      </c>
      <c r="S107" s="24" t="s">
        <v>30</v>
      </c>
      <c r="T107" s="24" t="s">
        <v>30</v>
      </c>
      <c r="U107" s="24" t="s">
        <v>31</v>
      </c>
      <c r="V107" s="23" t="s">
        <v>426</v>
      </c>
      <c r="W107" s="19"/>
      <c r="X107" s="25"/>
      <c r="Y107" s="26"/>
    </row>
    <row r="108" spans="1:25" s="27" customFormat="1" ht="33" hidden="1" customHeight="1" thickBot="1" x14ac:dyDescent="0.35">
      <c r="A108" s="17">
        <v>63</v>
      </c>
      <c r="B108" s="23">
        <v>4319</v>
      </c>
      <c r="C108" s="19"/>
      <c r="D108" s="23" t="s">
        <v>555</v>
      </c>
      <c r="E108" s="20" t="s">
        <v>556</v>
      </c>
      <c r="F108" s="21" t="s">
        <v>435</v>
      </c>
      <c r="G108" s="22"/>
      <c r="H108" s="22"/>
      <c r="I108" s="23" t="s">
        <v>436</v>
      </c>
      <c r="J108" s="23"/>
      <c r="K108" s="23" t="s">
        <v>430</v>
      </c>
      <c r="L108" s="23" t="s">
        <v>51</v>
      </c>
      <c r="M108" s="23">
        <v>0</v>
      </c>
      <c r="N108" s="23">
        <v>1</v>
      </c>
      <c r="O108" s="23" t="s">
        <v>176</v>
      </c>
      <c r="P108" s="24" t="s">
        <v>30</v>
      </c>
      <c r="Q108" s="24">
        <v>44439</v>
      </c>
      <c r="R108" s="19">
        <v>2</v>
      </c>
      <c r="S108" s="24" t="s">
        <v>30</v>
      </c>
      <c r="T108" s="24" t="s">
        <v>30</v>
      </c>
      <c r="U108" s="24" t="s">
        <v>31</v>
      </c>
      <c r="V108" s="23"/>
      <c r="W108" s="19"/>
      <c r="X108" s="25"/>
      <c r="Y108" s="26"/>
    </row>
    <row r="109" spans="1:25" s="27" customFormat="1" ht="33" hidden="1" customHeight="1" thickBot="1" x14ac:dyDescent="0.35">
      <c r="A109" s="17">
        <v>63</v>
      </c>
      <c r="B109" s="23">
        <v>4319</v>
      </c>
      <c r="C109" s="19"/>
      <c r="D109" s="23" t="s">
        <v>437</v>
      </c>
      <c r="E109" s="20" t="s">
        <v>557</v>
      </c>
      <c r="F109" s="21" t="s">
        <v>438</v>
      </c>
      <c r="G109" s="22"/>
      <c r="H109" s="22"/>
      <c r="I109" s="23" t="s">
        <v>436</v>
      </c>
      <c r="J109" s="23"/>
      <c r="K109" s="23" t="s">
        <v>430</v>
      </c>
      <c r="L109" s="23" t="s">
        <v>51</v>
      </c>
      <c r="M109" s="23">
        <v>0</v>
      </c>
      <c r="N109" s="23">
        <v>1</v>
      </c>
      <c r="O109" s="23" t="s">
        <v>176</v>
      </c>
      <c r="P109" s="24"/>
      <c r="Q109" s="24"/>
      <c r="R109" s="19"/>
      <c r="S109" s="24"/>
      <c r="T109" s="24" t="s">
        <v>30</v>
      </c>
      <c r="U109" s="24" t="s">
        <v>31</v>
      </c>
      <c r="V109" s="23"/>
      <c r="W109" s="19"/>
      <c r="X109" s="25"/>
      <c r="Y109" s="26"/>
    </row>
    <row r="110" spans="1:25" s="27" customFormat="1" ht="33" hidden="1" customHeight="1" thickBot="1" x14ac:dyDescent="0.35">
      <c r="A110" s="17">
        <v>64</v>
      </c>
      <c r="B110" s="23">
        <v>4319</v>
      </c>
      <c r="C110" s="19"/>
      <c r="D110" s="23" t="s">
        <v>492</v>
      </c>
      <c r="E110" s="20" t="s">
        <v>509</v>
      </c>
      <c r="F110" s="21" t="s">
        <v>440</v>
      </c>
      <c r="G110" s="22" t="s">
        <v>26</v>
      </c>
      <c r="H110" s="22"/>
      <c r="I110" s="23" t="s">
        <v>441</v>
      </c>
      <c r="J110" s="23"/>
      <c r="K110" s="23" t="s">
        <v>442</v>
      </c>
      <c r="L110" s="23" t="s">
        <v>28</v>
      </c>
      <c r="M110" s="23">
        <v>1</v>
      </c>
      <c r="N110" s="23">
        <v>0</v>
      </c>
      <c r="O110" s="23" t="s">
        <v>29</v>
      </c>
      <c r="P110" s="24" t="s">
        <v>30</v>
      </c>
      <c r="Q110" s="24" t="s">
        <v>30</v>
      </c>
      <c r="R110" s="19">
        <v>1</v>
      </c>
      <c r="S110" s="24" t="s">
        <v>30</v>
      </c>
      <c r="T110" s="24" t="s">
        <v>30</v>
      </c>
      <c r="U110" s="24" t="s">
        <v>31</v>
      </c>
      <c r="V110" s="23" t="s">
        <v>443</v>
      </c>
      <c r="W110" s="19"/>
      <c r="X110" s="25"/>
      <c r="Y110" s="26"/>
    </row>
    <row r="111" spans="1:25" s="27" customFormat="1" ht="33" hidden="1" customHeight="1" thickBot="1" x14ac:dyDescent="0.35">
      <c r="A111" s="17">
        <v>65</v>
      </c>
      <c r="B111" s="23">
        <v>4319</v>
      </c>
      <c r="C111" s="19">
        <v>49780</v>
      </c>
      <c r="D111" s="23" t="s">
        <v>444</v>
      </c>
      <c r="E111" s="20" t="s">
        <v>445</v>
      </c>
      <c r="F111" s="21" t="s">
        <v>446</v>
      </c>
      <c r="G111" s="22" t="s">
        <v>26</v>
      </c>
      <c r="H111" s="22"/>
      <c r="I111" s="23" t="s">
        <v>441</v>
      </c>
      <c r="J111" s="23"/>
      <c r="K111" s="23" t="s">
        <v>447</v>
      </c>
      <c r="L111" s="23" t="s">
        <v>28</v>
      </c>
      <c r="M111" s="23">
        <v>1</v>
      </c>
      <c r="N111" s="23">
        <v>0</v>
      </c>
      <c r="O111" s="23" t="s">
        <v>29</v>
      </c>
      <c r="P111" s="24" t="s">
        <v>30</v>
      </c>
      <c r="Q111" s="24">
        <v>44433</v>
      </c>
      <c r="R111" s="19">
        <v>1</v>
      </c>
      <c r="S111" s="24" t="s">
        <v>30</v>
      </c>
      <c r="T111" s="24" t="s">
        <v>30</v>
      </c>
      <c r="U111" s="24" t="s">
        <v>31</v>
      </c>
      <c r="V111" s="23" t="s">
        <v>448</v>
      </c>
      <c r="W111" s="19"/>
      <c r="X111" s="25"/>
      <c r="Y111" s="26"/>
    </row>
    <row r="112" spans="1:25" s="27" customFormat="1" ht="33" hidden="1" customHeight="1" thickBot="1" x14ac:dyDescent="0.35">
      <c r="A112" s="17">
        <v>66</v>
      </c>
      <c r="B112" s="23">
        <v>4319</v>
      </c>
      <c r="C112" s="19"/>
      <c r="D112" s="23"/>
      <c r="E112" s="20"/>
      <c r="F112" s="21" t="s">
        <v>449</v>
      </c>
      <c r="G112" s="22" t="s">
        <v>26</v>
      </c>
      <c r="H112" s="22"/>
      <c r="I112" s="23">
        <v>511</v>
      </c>
      <c r="J112" s="23"/>
      <c r="K112" s="23">
        <v>560</v>
      </c>
      <c r="L112" s="23" t="s">
        <v>51</v>
      </c>
      <c r="M112" s="23">
        <v>0</v>
      </c>
      <c r="N112" s="23">
        <v>1</v>
      </c>
      <c r="O112" s="23" t="s">
        <v>29</v>
      </c>
      <c r="P112" s="24" t="s">
        <v>30</v>
      </c>
      <c r="Q112" s="24" t="s">
        <v>30</v>
      </c>
      <c r="R112" s="19">
        <v>2</v>
      </c>
      <c r="S112" s="24" t="s">
        <v>30</v>
      </c>
      <c r="T112" s="24" t="s">
        <v>30</v>
      </c>
      <c r="U112" s="24" t="s">
        <v>31</v>
      </c>
      <c r="V112" s="23" t="s">
        <v>450</v>
      </c>
      <c r="W112" s="19"/>
      <c r="X112" s="25"/>
      <c r="Y112" s="26"/>
    </row>
    <row r="113" spans="1:26" s="27" customFormat="1" ht="33" hidden="1" customHeight="1" thickBot="1" x14ac:dyDescent="0.35">
      <c r="A113" s="17">
        <v>66</v>
      </c>
      <c r="B113" s="23">
        <v>4319</v>
      </c>
      <c r="C113" s="19"/>
      <c r="D113" s="23"/>
      <c r="E113" s="20"/>
      <c r="F113" s="21" t="s">
        <v>451</v>
      </c>
      <c r="G113" s="22" t="s">
        <v>26</v>
      </c>
      <c r="H113" s="22"/>
      <c r="I113" s="23">
        <v>511</v>
      </c>
      <c r="J113" s="23"/>
      <c r="K113" s="23">
        <v>560</v>
      </c>
      <c r="L113" s="23" t="s">
        <v>51</v>
      </c>
      <c r="M113" s="23">
        <v>0</v>
      </c>
      <c r="N113" s="23">
        <v>1</v>
      </c>
      <c r="O113" s="23" t="s">
        <v>29</v>
      </c>
      <c r="P113" s="24"/>
      <c r="Q113" s="24"/>
      <c r="R113" s="19"/>
      <c r="S113" s="24"/>
      <c r="T113" s="24" t="s">
        <v>30</v>
      </c>
      <c r="U113" s="24" t="s">
        <v>31</v>
      </c>
      <c r="V113" s="23"/>
      <c r="W113" s="19"/>
      <c r="X113" s="25"/>
      <c r="Y113" s="26"/>
    </row>
    <row r="114" spans="1:26" s="27" customFormat="1" ht="33" hidden="1" customHeight="1" thickBot="1" x14ac:dyDescent="0.35">
      <c r="A114" s="17">
        <v>67</v>
      </c>
      <c r="B114" s="23">
        <v>4319</v>
      </c>
      <c r="C114" s="19"/>
      <c r="D114" s="23" t="s">
        <v>137</v>
      </c>
      <c r="E114" s="20" t="s">
        <v>138</v>
      </c>
      <c r="F114" s="21" t="s">
        <v>139</v>
      </c>
      <c r="G114" s="22" t="s">
        <v>26</v>
      </c>
      <c r="H114" s="22"/>
      <c r="I114" s="23" t="s">
        <v>140</v>
      </c>
      <c r="J114" s="23" t="s">
        <v>141</v>
      </c>
      <c r="K114" s="23" t="s">
        <v>142</v>
      </c>
      <c r="L114" s="23" t="s">
        <v>51</v>
      </c>
      <c r="M114" s="23">
        <v>0</v>
      </c>
      <c r="N114" s="23">
        <v>1</v>
      </c>
      <c r="O114" s="23" t="s">
        <v>29</v>
      </c>
      <c r="P114" s="24">
        <v>44385</v>
      </c>
      <c r="Q114" s="24">
        <v>44385</v>
      </c>
      <c r="R114" s="19">
        <v>2</v>
      </c>
      <c r="S114" s="24"/>
      <c r="T114" s="24"/>
      <c r="U114" s="24" t="s">
        <v>31</v>
      </c>
      <c r="V114" s="23">
        <v>14</v>
      </c>
      <c r="W114" s="19"/>
      <c r="X114" s="25"/>
      <c r="Y114" s="26"/>
    </row>
    <row r="115" spans="1:26" s="27" customFormat="1" ht="33" hidden="1" customHeight="1" thickBot="1" x14ac:dyDescent="0.35">
      <c r="A115" s="17">
        <v>67</v>
      </c>
      <c r="B115" s="23">
        <v>4319</v>
      </c>
      <c r="C115" s="19"/>
      <c r="D115" s="23" t="s">
        <v>143</v>
      </c>
      <c r="E115" s="20" t="s">
        <v>144</v>
      </c>
      <c r="F115" s="21" t="s">
        <v>145</v>
      </c>
      <c r="G115" s="22" t="s">
        <v>26</v>
      </c>
      <c r="H115" s="22"/>
      <c r="I115" s="23" t="s">
        <v>140</v>
      </c>
      <c r="J115" s="23" t="s">
        <v>141</v>
      </c>
      <c r="K115" s="23" t="s">
        <v>142</v>
      </c>
      <c r="L115" s="23" t="s">
        <v>51</v>
      </c>
      <c r="M115" s="23">
        <v>0</v>
      </c>
      <c r="N115" s="23">
        <v>1</v>
      </c>
      <c r="O115" s="23" t="s">
        <v>29</v>
      </c>
      <c r="P115" s="24"/>
      <c r="Q115" s="24"/>
      <c r="R115" s="19"/>
      <c r="S115" s="24"/>
      <c r="T115" s="24"/>
      <c r="U115" s="24" t="s">
        <v>31</v>
      </c>
      <c r="V115" s="23" t="s">
        <v>146</v>
      </c>
      <c r="W115" s="19"/>
      <c r="X115" s="25"/>
      <c r="Y115" s="26"/>
    </row>
    <row r="116" spans="1:26" s="94" customFormat="1" ht="33" customHeight="1" thickBot="1" x14ac:dyDescent="0.35">
      <c r="A116" s="85"/>
      <c r="B116" s="86"/>
      <c r="C116" s="87"/>
      <c r="D116" s="86"/>
      <c r="E116" s="88"/>
      <c r="F116" s="89" t="s">
        <v>158</v>
      </c>
      <c r="G116" s="90" t="s">
        <v>26</v>
      </c>
      <c r="H116" s="90"/>
      <c r="I116" s="86" t="s">
        <v>159</v>
      </c>
      <c r="J116" s="86"/>
      <c r="K116" s="86" t="s">
        <v>160</v>
      </c>
      <c r="L116" s="86" t="s">
        <v>51</v>
      </c>
      <c r="M116" s="86">
        <v>0</v>
      </c>
      <c r="N116" s="86">
        <v>0</v>
      </c>
      <c r="O116" s="86" t="s">
        <v>29</v>
      </c>
      <c r="P116" s="91">
        <v>44385</v>
      </c>
      <c r="Q116" s="91"/>
      <c r="R116" s="87"/>
      <c r="S116" s="91"/>
      <c r="T116" s="91"/>
      <c r="V116" s="86">
        <v>3</v>
      </c>
      <c r="W116" s="87"/>
      <c r="X116" s="92"/>
      <c r="Y116" s="93"/>
      <c r="Z116" s="91" t="s">
        <v>31</v>
      </c>
    </row>
    <row r="117" spans="1:26" s="94" customFormat="1" ht="33" customHeight="1" thickBot="1" x14ac:dyDescent="0.35">
      <c r="A117" s="85"/>
      <c r="B117" s="86"/>
      <c r="C117" s="87"/>
      <c r="D117" s="86"/>
      <c r="E117" s="88"/>
      <c r="F117" s="89" t="s">
        <v>161</v>
      </c>
      <c r="G117" s="90" t="s">
        <v>26</v>
      </c>
      <c r="H117" s="90"/>
      <c r="I117" s="86" t="s">
        <v>159</v>
      </c>
      <c r="J117" s="86"/>
      <c r="K117" s="86" t="s">
        <v>160</v>
      </c>
      <c r="L117" s="86" t="s">
        <v>51</v>
      </c>
      <c r="M117" s="86">
        <v>0</v>
      </c>
      <c r="N117" s="86">
        <v>0</v>
      </c>
      <c r="O117" s="86" t="s">
        <v>29</v>
      </c>
      <c r="P117" s="91"/>
      <c r="Q117" s="91"/>
      <c r="R117" s="87"/>
      <c r="S117" s="91"/>
      <c r="T117" s="91"/>
      <c r="V117" s="86" t="s">
        <v>162</v>
      </c>
      <c r="W117" s="87"/>
      <c r="X117" s="92"/>
      <c r="Y117" s="93"/>
      <c r="Z117" s="91" t="s">
        <v>31</v>
      </c>
    </row>
    <row r="118" spans="1:26" s="94" customFormat="1" ht="33" hidden="1" customHeight="1" thickBot="1" x14ac:dyDescent="0.4">
      <c r="A118" s="85"/>
      <c r="B118" s="95">
        <v>4319</v>
      </c>
      <c r="C118" s="87"/>
      <c r="D118" s="86"/>
      <c r="E118" s="88"/>
      <c r="F118" s="84" t="s">
        <v>551</v>
      </c>
      <c r="G118" s="90" t="s">
        <v>26</v>
      </c>
      <c r="H118" s="96"/>
      <c r="I118" s="97" t="s">
        <v>324</v>
      </c>
      <c r="J118" s="86" t="s">
        <v>325</v>
      </c>
      <c r="K118" s="86" t="s">
        <v>326</v>
      </c>
      <c r="L118" s="86" t="s">
        <v>28</v>
      </c>
      <c r="M118" s="86">
        <v>0</v>
      </c>
      <c r="N118" s="86">
        <v>0</v>
      </c>
      <c r="O118" s="86" t="s">
        <v>29</v>
      </c>
      <c r="P118" s="91">
        <v>44392</v>
      </c>
      <c r="Q118" s="91"/>
      <c r="R118" s="87"/>
      <c r="S118" s="91"/>
      <c r="T118" s="91"/>
      <c r="V118" s="86" t="s">
        <v>308</v>
      </c>
      <c r="W118" s="98"/>
      <c r="X118" s="98"/>
      <c r="Y118" s="98"/>
      <c r="Z118" s="91" t="s">
        <v>31</v>
      </c>
    </row>
    <row r="119" spans="1:26" s="27" customFormat="1" ht="33" hidden="1" customHeight="1" thickBot="1" x14ac:dyDescent="0.35">
      <c r="A119" s="17">
        <v>68</v>
      </c>
      <c r="B119" s="23">
        <v>4319</v>
      </c>
      <c r="C119" s="19">
        <v>50133</v>
      </c>
      <c r="D119" s="23" t="s">
        <v>488</v>
      </c>
      <c r="E119" s="20" t="s">
        <v>487</v>
      </c>
      <c r="F119" s="21" t="s">
        <v>360</v>
      </c>
      <c r="G119" s="22" t="s">
        <v>26</v>
      </c>
      <c r="H119" s="22"/>
      <c r="I119" s="23" t="s">
        <v>361</v>
      </c>
      <c r="J119" s="23"/>
      <c r="K119" s="23" t="s">
        <v>362</v>
      </c>
      <c r="L119" s="23" t="s">
        <v>51</v>
      </c>
      <c r="M119" s="23">
        <v>0</v>
      </c>
      <c r="N119" s="23">
        <v>1</v>
      </c>
      <c r="O119" s="23" t="s">
        <v>29</v>
      </c>
      <c r="P119" s="24">
        <v>44392</v>
      </c>
      <c r="Q119" s="24"/>
      <c r="R119" s="19"/>
      <c r="S119" s="24"/>
      <c r="T119" s="24"/>
      <c r="U119" s="24" t="s">
        <v>31</v>
      </c>
      <c r="V119" s="23" t="s">
        <v>359</v>
      </c>
      <c r="W119" s="19"/>
      <c r="X119" s="25" t="s">
        <v>363</v>
      </c>
      <c r="Y119" s="26"/>
    </row>
    <row r="120" spans="1:26" s="27" customFormat="1" ht="33" hidden="1" customHeight="1" thickBot="1" x14ac:dyDescent="0.35">
      <c r="A120" s="17">
        <v>68</v>
      </c>
      <c r="B120" s="23">
        <v>4319</v>
      </c>
      <c r="C120" s="19">
        <v>50162</v>
      </c>
      <c r="D120" s="23" t="s">
        <v>364</v>
      </c>
      <c r="E120" s="20" t="s">
        <v>486</v>
      </c>
      <c r="F120" s="21" t="s">
        <v>365</v>
      </c>
      <c r="G120" s="22" t="s">
        <v>26</v>
      </c>
      <c r="H120" s="22"/>
      <c r="I120" s="23" t="s">
        <v>361</v>
      </c>
      <c r="J120" s="23"/>
      <c r="K120" s="23" t="s">
        <v>362</v>
      </c>
      <c r="L120" s="23" t="s">
        <v>51</v>
      </c>
      <c r="M120" s="23">
        <v>0</v>
      </c>
      <c r="N120" s="23">
        <v>1</v>
      </c>
      <c r="O120" s="23" t="s">
        <v>29</v>
      </c>
      <c r="P120" s="24"/>
      <c r="Q120" s="24"/>
      <c r="R120" s="19"/>
      <c r="S120" s="24"/>
      <c r="T120" s="24"/>
      <c r="U120" s="24" t="s">
        <v>31</v>
      </c>
      <c r="V120" s="23"/>
      <c r="W120" s="19"/>
      <c r="X120" s="25"/>
      <c r="Y120" s="26"/>
    </row>
    <row r="121" spans="1:26" s="27" customFormat="1" ht="33" hidden="1" customHeight="1" thickBot="1" x14ac:dyDescent="0.35">
      <c r="A121" s="17">
        <v>69</v>
      </c>
      <c r="B121" s="23">
        <v>4319</v>
      </c>
      <c r="C121" s="19"/>
      <c r="D121" s="23" t="s">
        <v>491</v>
      </c>
      <c r="E121" s="20" t="s">
        <v>544</v>
      </c>
      <c r="F121" s="21" t="s">
        <v>484</v>
      </c>
      <c r="G121" s="22" t="s">
        <v>485</v>
      </c>
      <c r="H121" s="22"/>
      <c r="I121" s="23" t="s">
        <v>405</v>
      </c>
      <c r="J121" s="23"/>
      <c r="K121" s="23" t="s">
        <v>454</v>
      </c>
      <c r="L121" s="23" t="s">
        <v>28</v>
      </c>
      <c r="M121" s="23">
        <v>1</v>
      </c>
      <c r="N121" s="23">
        <v>0</v>
      </c>
      <c r="O121" s="23" t="s">
        <v>176</v>
      </c>
      <c r="P121" s="24"/>
      <c r="Q121" s="24"/>
      <c r="R121" s="19"/>
      <c r="S121" s="24"/>
      <c r="T121" s="24"/>
      <c r="U121" s="24" t="s">
        <v>31</v>
      </c>
      <c r="V121" s="23"/>
      <c r="W121" s="19"/>
      <c r="X121" s="25"/>
      <c r="Y121" s="26"/>
    </row>
    <row r="122" spans="1:26" s="27" customFormat="1" ht="33" hidden="1" customHeight="1" thickBot="1" x14ac:dyDescent="0.35">
      <c r="A122" s="17">
        <v>70</v>
      </c>
      <c r="B122" s="23">
        <v>4319</v>
      </c>
      <c r="C122" s="19"/>
      <c r="D122" s="23" t="s">
        <v>489</v>
      </c>
      <c r="E122" s="20" t="s">
        <v>543</v>
      </c>
      <c r="F122" s="21" t="s">
        <v>490</v>
      </c>
      <c r="G122" s="22" t="s">
        <v>26</v>
      </c>
      <c r="H122" s="22"/>
      <c r="I122" s="23" t="s">
        <v>455</v>
      </c>
      <c r="J122" s="23"/>
      <c r="K122" s="23" t="s">
        <v>456</v>
      </c>
      <c r="L122" s="23" t="s">
        <v>28</v>
      </c>
      <c r="M122" s="23">
        <v>1</v>
      </c>
      <c r="N122" s="23">
        <v>0</v>
      </c>
      <c r="O122" s="23" t="s">
        <v>176</v>
      </c>
      <c r="P122" s="24"/>
      <c r="Q122" s="24"/>
      <c r="R122" s="19"/>
      <c r="S122" s="24"/>
      <c r="T122" s="24"/>
      <c r="U122" s="24" t="s">
        <v>31</v>
      </c>
      <c r="V122" s="23"/>
      <c r="W122" s="19"/>
      <c r="X122" s="25"/>
      <c r="Y122" s="26"/>
    </row>
    <row r="123" spans="1:26" s="27" customFormat="1" ht="33" customHeight="1" thickBot="1" x14ac:dyDescent="0.35">
      <c r="A123" s="17">
        <v>71</v>
      </c>
      <c r="B123" s="23"/>
      <c r="C123" s="19"/>
      <c r="D123" s="23" t="s">
        <v>580</v>
      </c>
      <c r="E123" s="20" t="s">
        <v>581</v>
      </c>
      <c r="F123" s="21" t="s">
        <v>579</v>
      </c>
      <c r="G123" s="22" t="s">
        <v>26</v>
      </c>
      <c r="H123" s="22"/>
      <c r="I123" s="23" t="s">
        <v>457</v>
      </c>
      <c r="J123" s="23"/>
      <c r="K123" s="23" t="s">
        <v>439</v>
      </c>
      <c r="L123" s="23" t="s">
        <v>28</v>
      </c>
      <c r="M123" s="23">
        <v>1</v>
      </c>
      <c r="N123" s="23">
        <v>0</v>
      </c>
      <c r="O123" s="23" t="s">
        <v>29</v>
      </c>
      <c r="P123" s="24"/>
      <c r="Q123" s="24"/>
      <c r="R123" s="19"/>
      <c r="S123" s="24"/>
      <c r="T123" s="24"/>
      <c r="U123" s="24" t="s">
        <v>31</v>
      </c>
      <c r="V123" s="23"/>
      <c r="W123" s="19"/>
      <c r="X123" s="25"/>
      <c r="Y123" s="26"/>
    </row>
    <row r="124" spans="1:26" s="27" customFormat="1" ht="33" hidden="1" customHeight="1" thickBot="1" x14ac:dyDescent="0.35">
      <c r="A124" s="17">
        <v>72</v>
      </c>
      <c r="B124" s="23">
        <v>4319</v>
      </c>
      <c r="C124" s="19"/>
      <c r="D124" s="23" t="s">
        <v>511</v>
      </c>
      <c r="E124" s="20" t="s">
        <v>512</v>
      </c>
      <c r="F124" s="21" t="s">
        <v>510</v>
      </c>
      <c r="G124" s="22" t="s">
        <v>26</v>
      </c>
      <c r="H124" s="22"/>
      <c r="I124" s="23" t="s">
        <v>457</v>
      </c>
      <c r="J124" s="23"/>
      <c r="K124" s="23" t="s">
        <v>458</v>
      </c>
      <c r="L124" s="23" t="s">
        <v>28</v>
      </c>
      <c r="M124" s="23">
        <v>1</v>
      </c>
      <c r="N124" s="23">
        <v>0</v>
      </c>
      <c r="O124" s="23" t="s">
        <v>29</v>
      </c>
      <c r="P124" s="24"/>
      <c r="Q124" s="24"/>
      <c r="R124" s="19"/>
      <c r="S124" s="24"/>
      <c r="T124" s="24"/>
      <c r="U124" s="24" t="s">
        <v>31</v>
      </c>
      <c r="V124" s="23"/>
      <c r="W124" s="19"/>
      <c r="X124" s="25"/>
      <c r="Y124" s="26"/>
    </row>
    <row r="125" spans="1:26" s="94" customFormat="1" ht="33" customHeight="1" thickBot="1" x14ac:dyDescent="0.35">
      <c r="A125" s="85"/>
      <c r="B125" s="86"/>
      <c r="C125" s="87"/>
      <c r="D125" s="86" t="s">
        <v>583</v>
      </c>
      <c r="E125" s="88" t="s">
        <v>584</v>
      </c>
      <c r="F125" s="89" t="s">
        <v>582</v>
      </c>
      <c r="G125" s="90" t="s">
        <v>26</v>
      </c>
      <c r="H125" s="90"/>
      <c r="I125" s="86" t="s">
        <v>457</v>
      </c>
      <c r="J125" s="86"/>
      <c r="K125" s="86" t="s">
        <v>459</v>
      </c>
      <c r="L125" s="86" t="s">
        <v>28</v>
      </c>
      <c r="M125" s="86">
        <v>0</v>
      </c>
      <c r="N125" s="86">
        <v>0</v>
      </c>
      <c r="O125" s="86" t="s">
        <v>29</v>
      </c>
      <c r="P125" s="91"/>
      <c r="Q125" s="91"/>
      <c r="R125" s="87"/>
      <c r="S125" s="91"/>
      <c r="T125" s="91"/>
      <c r="V125" s="86"/>
      <c r="W125" s="87"/>
      <c r="X125" s="92"/>
      <c r="Y125" s="93"/>
      <c r="Z125" s="91" t="s">
        <v>31</v>
      </c>
    </row>
    <row r="126" spans="1:26" s="27" customFormat="1" ht="33" hidden="1" customHeight="1" thickBot="1" x14ac:dyDescent="0.35">
      <c r="A126" s="17">
        <v>73</v>
      </c>
      <c r="B126" s="23">
        <v>4319</v>
      </c>
      <c r="C126" s="19"/>
      <c r="D126" s="23" t="s">
        <v>513</v>
      </c>
      <c r="E126" s="20" t="s">
        <v>516</v>
      </c>
      <c r="F126" s="21" t="s">
        <v>515</v>
      </c>
      <c r="G126" s="22" t="s">
        <v>26</v>
      </c>
      <c r="H126" s="22"/>
      <c r="I126" s="23" t="s">
        <v>457</v>
      </c>
      <c r="J126" s="23"/>
      <c r="K126" s="23" t="s">
        <v>459</v>
      </c>
      <c r="L126" s="23" t="s">
        <v>51</v>
      </c>
      <c r="M126" s="23">
        <v>0</v>
      </c>
      <c r="N126" s="23">
        <v>1</v>
      </c>
      <c r="O126" s="23" t="s">
        <v>29</v>
      </c>
      <c r="P126" s="24"/>
      <c r="Q126" s="24"/>
      <c r="R126" s="19"/>
      <c r="S126" s="24"/>
      <c r="T126" s="24"/>
      <c r="U126" s="24" t="s">
        <v>31</v>
      </c>
      <c r="V126" s="23"/>
      <c r="W126" s="19"/>
      <c r="X126" s="25"/>
      <c r="Y126" s="26"/>
    </row>
    <row r="127" spans="1:26" s="27" customFormat="1" ht="33" hidden="1" customHeight="1" thickBot="1" x14ac:dyDescent="0.35">
      <c r="A127" s="17">
        <v>73</v>
      </c>
      <c r="B127" s="23">
        <v>4319</v>
      </c>
      <c r="C127" s="19"/>
      <c r="D127" s="23" t="s">
        <v>518</v>
      </c>
      <c r="E127" s="20" t="s">
        <v>517</v>
      </c>
      <c r="F127" s="21" t="s">
        <v>514</v>
      </c>
      <c r="G127" s="22" t="s">
        <v>26</v>
      </c>
      <c r="H127" s="22"/>
      <c r="I127" s="23" t="s">
        <v>457</v>
      </c>
      <c r="J127" s="23"/>
      <c r="K127" s="23" t="s">
        <v>459</v>
      </c>
      <c r="L127" s="23" t="s">
        <v>51</v>
      </c>
      <c r="M127" s="23">
        <v>0</v>
      </c>
      <c r="N127" s="23">
        <v>1</v>
      </c>
      <c r="O127" s="23" t="s">
        <v>29</v>
      </c>
      <c r="P127" s="24"/>
      <c r="Q127" s="24"/>
      <c r="R127" s="19"/>
      <c r="S127" s="24"/>
      <c r="T127" s="24"/>
      <c r="U127" s="24" t="s">
        <v>31</v>
      </c>
      <c r="V127" s="23"/>
      <c r="W127" s="19"/>
      <c r="X127" s="25"/>
      <c r="Y127" s="26"/>
    </row>
    <row r="128" spans="1:26" s="27" customFormat="1" ht="33" hidden="1" customHeight="1" thickBot="1" x14ac:dyDescent="0.35">
      <c r="A128" s="17">
        <v>74</v>
      </c>
      <c r="B128" s="23">
        <v>4319</v>
      </c>
      <c r="C128" s="19"/>
      <c r="D128" s="23" t="s">
        <v>519</v>
      </c>
      <c r="E128" s="20" t="s">
        <v>520</v>
      </c>
      <c r="F128" s="21" t="s">
        <v>521</v>
      </c>
      <c r="G128" s="22" t="s">
        <v>26</v>
      </c>
      <c r="H128" s="22"/>
      <c r="I128" s="23" t="s">
        <v>457</v>
      </c>
      <c r="J128" s="23"/>
      <c r="K128" s="23" t="s">
        <v>460</v>
      </c>
      <c r="L128" s="23" t="s">
        <v>28</v>
      </c>
      <c r="M128" s="23">
        <v>1</v>
      </c>
      <c r="N128" s="23">
        <v>0</v>
      </c>
      <c r="O128" s="23" t="s">
        <v>29</v>
      </c>
      <c r="P128" s="24"/>
      <c r="Q128" s="24"/>
      <c r="R128" s="19"/>
      <c r="S128" s="24"/>
      <c r="T128" s="24"/>
      <c r="U128" s="24" t="s">
        <v>31</v>
      </c>
      <c r="V128" s="23"/>
      <c r="W128" s="19"/>
      <c r="X128" s="25"/>
      <c r="Y128" s="26"/>
    </row>
    <row r="129" spans="1:26" s="27" customFormat="1" ht="33" hidden="1" customHeight="1" thickBot="1" x14ac:dyDescent="0.35">
      <c r="A129" s="17">
        <v>75</v>
      </c>
      <c r="B129" s="23">
        <v>4319</v>
      </c>
      <c r="C129" s="19"/>
      <c r="D129" s="23" t="s">
        <v>524</v>
      </c>
      <c r="E129" s="20" t="s">
        <v>526</v>
      </c>
      <c r="F129" s="21" t="s">
        <v>522</v>
      </c>
      <c r="G129" s="22" t="s">
        <v>26</v>
      </c>
      <c r="H129" s="22"/>
      <c r="I129" s="23" t="s">
        <v>457</v>
      </c>
      <c r="J129" s="23"/>
      <c r="K129" s="23" t="s">
        <v>460</v>
      </c>
      <c r="L129" s="23" t="s">
        <v>51</v>
      </c>
      <c r="M129" s="23">
        <v>0</v>
      </c>
      <c r="N129" s="23">
        <v>1</v>
      </c>
      <c r="O129" s="23" t="s">
        <v>29</v>
      </c>
      <c r="P129" s="24"/>
      <c r="Q129" s="24"/>
      <c r="R129" s="19"/>
      <c r="S129" s="24"/>
      <c r="T129" s="24"/>
      <c r="U129" s="24" t="s">
        <v>31</v>
      </c>
      <c r="V129" s="23"/>
      <c r="W129" s="19"/>
      <c r="X129" s="25"/>
      <c r="Y129" s="26"/>
    </row>
    <row r="130" spans="1:26" s="27" customFormat="1" ht="33" hidden="1" customHeight="1" thickBot="1" x14ac:dyDescent="0.35">
      <c r="A130" s="17">
        <v>75</v>
      </c>
      <c r="B130" s="23">
        <v>4319</v>
      </c>
      <c r="C130" s="19"/>
      <c r="D130" s="23" t="s">
        <v>525</v>
      </c>
      <c r="E130" s="20" t="s">
        <v>527</v>
      </c>
      <c r="F130" s="21" t="s">
        <v>523</v>
      </c>
      <c r="G130" s="22" t="s">
        <v>26</v>
      </c>
      <c r="H130" s="22"/>
      <c r="I130" s="23" t="s">
        <v>457</v>
      </c>
      <c r="J130" s="23"/>
      <c r="K130" s="23" t="s">
        <v>460</v>
      </c>
      <c r="L130" s="23" t="s">
        <v>51</v>
      </c>
      <c r="M130" s="23">
        <v>0</v>
      </c>
      <c r="N130" s="23">
        <v>1</v>
      </c>
      <c r="O130" s="23" t="s">
        <v>29</v>
      </c>
      <c r="P130" s="24"/>
      <c r="Q130" s="24"/>
      <c r="R130" s="19"/>
      <c r="S130" s="24"/>
      <c r="T130" s="24"/>
      <c r="U130" s="24" t="s">
        <v>31</v>
      </c>
      <c r="V130" s="23"/>
      <c r="W130" s="19"/>
      <c r="X130" s="25"/>
      <c r="Y130" s="26"/>
    </row>
    <row r="131" spans="1:26" s="94" customFormat="1" ht="33" customHeight="1" thickBot="1" x14ac:dyDescent="0.35">
      <c r="A131" s="85"/>
      <c r="B131" s="86"/>
      <c r="C131" s="87"/>
      <c r="D131" s="86"/>
      <c r="E131" s="88"/>
      <c r="F131" s="89"/>
      <c r="G131" s="90" t="s">
        <v>26</v>
      </c>
      <c r="H131" s="90"/>
      <c r="I131" s="86" t="s">
        <v>457</v>
      </c>
      <c r="J131" s="86"/>
      <c r="K131" s="86" t="s">
        <v>461</v>
      </c>
      <c r="L131" s="86" t="s">
        <v>28</v>
      </c>
      <c r="M131" s="86">
        <v>0</v>
      </c>
      <c r="N131" s="86">
        <v>0</v>
      </c>
      <c r="O131" s="86" t="s">
        <v>29</v>
      </c>
      <c r="P131" s="91"/>
      <c r="Q131" s="91"/>
      <c r="R131" s="87"/>
      <c r="S131" s="91"/>
      <c r="T131" s="91"/>
      <c r="V131" s="86"/>
      <c r="W131" s="87"/>
      <c r="X131" s="92"/>
      <c r="Y131" s="93"/>
      <c r="Z131" s="91" t="s">
        <v>31</v>
      </c>
    </row>
    <row r="132" spans="1:26" s="27" customFormat="1" ht="33" hidden="1" customHeight="1" thickBot="1" x14ac:dyDescent="0.35">
      <c r="A132" s="17">
        <v>76</v>
      </c>
      <c r="B132" s="23">
        <v>4319</v>
      </c>
      <c r="C132" s="19"/>
      <c r="D132" s="23" t="s">
        <v>529</v>
      </c>
      <c r="E132" s="20" t="s">
        <v>531</v>
      </c>
      <c r="F132" s="21" t="s">
        <v>528</v>
      </c>
      <c r="G132" s="22" t="s">
        <v>26</v>
      </c>
      <c r="H132" s="22"/>
      <c r="I132" s="23" t="s">
        <v>462</v>
      </c>
      <c r="J132" s="23"/>
      <c r="K132" s="23" t="s">
        <v>463</v>
      </c>
      <c r="L132" s="23" t="s">
        <v>51</v>
      </c>
      <c r="M132" s="23">
        <v>0</v>
      </c>
      <c r="N132" s="23">
        <v>1</v>
      </c>
      <c r="O132" s="23" t="s">
        <v>29</v>
      </c>
      <c r="P132" s="24"/>
      <c r="Q132" s="24"/>
      <c r="R132" s="19"/>
      <c r="S132" s="24"/>
      <c r="T132" s="24"/>
      <c r="U132" s="24" t="s">
        <v>31</v>
      </c>
      <c r="V132" s="23"/>
      <c r="W132" s="19"/>
      <c r="X132" s="25"/>
      <c r="Y132" s="26"/>
    </row>
    <row r="133" spans="1:26" s="27" customFormat="1" ht="33" hidden="1" customHeight="1" thickBot="1" x14ac:dyDescent="0.35">
      <c r="A133" s="17">
        <v>76</v>
      </c>
      <c r="B133" s="23">
        <v>4319</v>
      </c>
      <c r="C133" s="19"/>
      <c r="D133" s="23" t="s">
        <v>530</v>
      </c>
      <c r="E133" s="20" t="s">
        <v>531</v>
      </c>
      <c r="F133" s="21" t="s">
        <v>351</v>
      </c>
      <c r="G133" s="22" t="s">
        <v>26</v>
      </c>
      <c r="H133" s="22"/>
      <c r="I133" s="23" t="s">
        <v>462</v>
      </c>
      <c r="J133" s="23"/>
      <c r="K133" s="23" t="s">
        <v>463</v>
      </c>
      <c r="L133" s="23" t="s">
        <v>51</v>
      </c>
      <c r="M133" s="23">
        <v>0</v>
      </c>
      <c r="N133" s="23">
        <v>1</v>
      </c>
      <c r="O133" s="23" t="s">
        <v>29</v>
      </c>
      <c r="P133" s="24"/>
      <c r="Q133" s="24"/>
      <c r="R133" s="19"/>
      <c r="S133" s="24"/>
      <c r="T133" s="24"/>
      <c r="U133" s="24" t="s">
        <v>31</v>
      </c>
      <c r="V133" s="23"/>
      <c r="W133" s="19"/>
      <c r="X133" s="25"/>
      <c r="Y133" s="26"/>
    </row>
    <row r="134" spans="1:26" s="27" customFormat="1" ht="33" hidden="1" customHeight="1" thickBot="1" x14ac:dyDescent="0.35">
      <c r="A134" s="17">
        <v>77</v>
      </c>
      <c r="B134" s="23">
        <v>4319</v>
      </c>
      <c r="C134" s="19"/>
      <c r="D134" s="23" t="s">
        <v>534</v>
      </c>
      <c r="E134" s="20" t="s">
        <v>536</v>
      </c>
      <c r="F134" s="21" t="s">
        <v>532</v>
      </c>
      <c r="G134" s="22" t="s">
        <v>26</v>
      </c>
      <c r="H134" s="22"/>
      <c r="I134" s="23" t="s">
        <v>464</v>
      </c>
      <c r="J134" s="23" t="s">
        <v>460</v>
      </c>
      <c r="K134" s="23" t="s">
        <v>463</v>
      </c>
      <c r="L134" s="23" t="s">
        <v>51</v>
      </c>
      <c r="M134" s="23">
        <v>0</v>
      </c>
      <c r="N134" s="23">
        <v>1</v>
      </c>
      <c r="O134" s="23" t="s">
        <v>29</v>
      </c>
      <c r="P134" s="24"/>
      <c r="Q134" s="24"/>
      <c r="R134" s="19"/>
      <c r="S134" s="24"/>
      <c r="T134" s="24"/>
      <c r="U134" s="24" t="s">
        <v>31</v>
      </c>
      <c r="V134" s="23"/>
      <c r="W134" s="19"/>
      <c r="X134" s="25"/>
      <c r="Y134" s="26"/>
    </row>
    <row r="135" spans="1:26" s="27" customFormat="1" ht="33" hidden="1" customHeight="1" thickBot="1" x14ac:dyDescent="0.35">
      <c r="A135" s="17">
        <v>77</v>
      </c>
      <c r="B135" s="23">
        <v>4319</v>
      </c>
      <c r="C135" s="19"/>
      <c r="D135" s="23" t="s">
        <v>535</v>
      </c>
      <c r="E135" s="20" t="s">
        <v>537</v>
      </c>
      <c r="F135" s="21" t="s">
        <v>533</v>
      </c>
      <c r="G135" s="22" t="s">
        <v>26</v>
      </c>
      <c r="H135" s="22"/>
      <c r="I135" s="23" t="s">
        <v>464</v>
      </c>
      <c r="J135" s="23" t="s">
        <v>460</v>
      </c>
      <c r="K135" s="23" t="s">
        <v>463</v>
      </c>
      <c r="L135" s="23" t="s">
        <v>51</v>
      </c>
      <c r="M135" s="23">
        <v>0</v>
      </c>
      <c r="N135" s="23">
        <v>1</v>
      </c>
      <c r="O135" s="23" t="s">
        <v>29</v>
      </c>
      <c r="P135" s="24"/>
      <c r="Q135" s="24"/>
      <c r="R135" s="19"/>
      <c r="S135" s="24"/>
      <c r="T135" s="24"/>
      <c r="U135" s="24" t="s">
        <v>31</v>
      </c>
      <c r="V135" s="23"/>
      <c r="W135" s="19"/>
      <c r="X135" s="25"/>
      <c r="Y135" s="26"/>
    </row>
    <row r="136" spans="1:26" s="27" customFormat="1" ht="33" hidden="1" customHeight="1" thickBot="1" x14ac:dyDescent="0.35">
      <c r="A136" s="17">
        <v>78</v>
      </c>
      <c r="B136" s="23">
        <v>4319</v>
      </c>
      <c r="C136" s="19"/>
      <c r="D136" s="23" t="s">
        <v>540</v>
      </c>
      <c r="E136" s="20" t="s">
        <v>543</v>
      </c>
      <c r="F136" s="21" t="s">
        <v>538</v>
      </c>
      <c r="G136" s="22" t="s">
        <v>26</v>
      </c>
      <c r="H136" s="22"/>
      <c r="I136" s="23" t="s">
        <v>458</v>
      </c>
      <c r="J136" s="23" t="s">
        <v>464</v>
      </c>
      <c r="K136" s="23" t="s">
        <v>465</v>
      </c>
      <c r="L136" s="23" t="s">
        <v>51</v>
      </c>
      <c r="M136" s="23">
        <v>0</v>
      </c>
      <c r="N136" s="23">
        <v>1</v>
      </c>
      <c r="O136" s="23" t="s">
        <v>29</v>
      </c>
      <c r="P136" s="24"/>
      <c r="Q136" s="24"/>
      <c r="R136" s="19"/>
      <c r="S136" s="24"/>
      <c r="T136" s="24"/>
      <c r="U136" s="24" t="s">
        <v>31</v>
      </c>
      <c r="V136" s="23"/>
      <c r="W136" s="19"/>
      <c r="X136" s="25"/>
      <c r="Y136" s="26"/>
    </row>
    <row r="137" spans="1:26" s="27" customFormat="1" ht="33" hidden="1" customHeight="1" thickBot="1" x14ac:dyDescent="0.35">
      <c r="A137" s="17">
        <v>78</v>
      </c>
      <c r="B137" s="23">
        <v>4319</v>
      </c>
      <c r="C137" s="19"/>
      <c r="D137" s="23" t="s">
        <v>541</v>
      </c>
      <c r="E137" s="20" t="s">
        <v>542</v>
      </c>
      <c r="F137" s="21" t="s">
        <v>539</v>
      </c>
      <c r="G137" s="22" t="s">
        <v>26</v>
      </c>
      <c r="H137" s="22"/>
      <c r="I137" s="23" t="s">
        <v>458</v>
      </c>
      <c r="J137" s="23" t="s">
        <v>464</v>
      </c>
      <c r="K137" s="23" t="s">
        <v>465</v>
      </c>
      <c r="L137" s="23" t="s">
        <v>51</v>
      </c>
      <c r="M137" s="23">
        <v>0</v>
      </c>
      <c r="N137" s="23">
        <v>1</v>
      </c>
      <c r="O137" s="23" t="s">
        <v>29</v>
      </c>
      <c r="P137" s="24"/>
      <c r="Q137" s="24"/>
      <c r="R137" s="19"/>
      <c r="S137" s="24"/>
      <c r="T137" s="24"/>
      <c r="U137" s="24" t="s">
        <v>31</v>
      </c>
      <c r="V137" s="23"/>
      <c r="W137" s="19"/>
      <c r="X137" s="25"/>
      <c r="Y137" s="26"/>
    </row>
    <row r="138" spans="1:26" s="94" customFormat="1" ht="33" hidden="1" customHeight="1" thickBot="1" x14ac:dyDescent="0.35">
      <c r="A138" s="85"/>
      <c r="B138" s="86">
        <v>4319</v>
      </c>
      <c r="C138" s="87"/>
      <c r="D138" s="86"/>
      <c r="E138" s="88"/>
      <c r="F138" s="89"/>
      <c r="G138" s="90" t="s">
        <v>468</v>
      </c>
      <c r="H138" s="90"/>
      <c r="I138" s="86" t="s">
        <v>466</v>
      </c>
      <c r="J138" s="86"/>
      <c r="K138" s="86" t="s">
        <v>467</v>
      </c>
      <c r="L138" s="86" t="s">
        <v>28</v>
      </c>
      <c r="M138" s="86">
        <v>0</v>
      </c>
      <c r="N138" s="86">
        <v>0</v>
      </c>
      <c r="O138" s="86" t="s">
        <v>29</v>
      </c>
      <c r="P138" s="91"/>
      <c r="Q138" s="91"/>
      <c r="R138" s="87"/>
      <c r="S138" s="91"/>
      <c r="T138" s="91"/>
      <c r="V138" s="86"/>
      <c r="W138" s="87"/>
      <c r="X138" s="92"/>
      <c r="Y138" s="93"/>
      <c r="Z138" s="91" t="s">
        <v>31</v>
      </c>
    </row>
    <row r="139" spans="1:26" s="27" customFormat="1" ht="33" customHeight="1" thickBot="1" x14ac:dyDescent="0.35">
      <c r="A139" s="17">
        <v>79</v>
      </c>
      <c r="B139" s="23"/>
      <c r="C139" s="19"/>
      <c r="D139" s="23" t="s">
        <v>570</v>
      </c>
      <c r="E139" s="20" t="s">
        <v>569</v>
      </c>
      <c r="F139" s="21" t="s">
        <v>564</v>
      </c>
      <c r="G139" s="22" t="s">
        <v>26</v>
      </c>
      <c r="H139" s="22"/>
      <c r="I139" s="23" t="s">
        <v>59</v>
      </c>
      <c r="J139" s="23"/>
      <c r="K139" s="23" t="s">
        <v>568</v>
      </c>
      <c r="L139" s="23" t="s">
        <v>28</v>
      </c>
      <c r="M139" s="23">
        <v>1</v>
      </c>
      <c r="N139" s="23">
        <v>0</v>
      </c>
      <c r="O139" s="23" t="s">
        <v>29</v>
      </c>
      <c r="P139" s="24"/>
      <c r="Q139" s="24"/>
      <c r="R139" s="19"/>
      <c r="S139" s="24"/>
      <c r="T139" s="24"/>
      <c r="U139" s="24"/>
      <c r="V139" s="23"/>
      <c r="W139" s="19"/>
      <c r="X139" s="25"/>
      <c r="Y139" s="26"/>
    </row>
    <row r="140" spans="1:26" s="27" customFormat="1" ht="33" customHeight="1" thickBot="1" x14ac:dyDescent="0.35">
      <c r="A140" s="17">
        <v>80</v>
      </c>
      <c r="B140" s="23"/>
      <c r="C140" s="19"/>
      <c r="D140" s="23" t="s">
        <v>572</v>
      </c>
      <c r="E140" s="20" t="s">
        <v>571</v>
      </c>
      <c r="F140" s="21" t="s">
        <v>565</v>
      </c>
      <c r="G140" s="22" t="s">
        <v>26</v>
      </c>
      <c r="H140" s="22"/>
      <c r="I140" s="23" t="s">
        <v>59</v>
      </c>
      <c r="J140" s="23"/>
      <c r="K140" s="23" t="s">
        <v>573</v>
      </c>
      <c r="L140" s="23" t="s">
        <v>28</v>
      </c>
      <c r="M140" s="23">
        <v>1</v>
      </c>
      <c r="N140" s="23">
        <v>0</v>
      </c>
      <c r="O140" s="23" t="s">
        <v>29</v>
      </c>
      <c r="P140" s="24"/>
      <c r="Q140" s="24"/>
      <c r="R140" s="19"/>
      <c r="S140" s="24"/>
      <c r="T140" s="24"/>
      <c r="U140" s="24"/>
      <c r="V140" s="23"/>
      <c r="W140" s="19"/>
      <c r="X140" s="25"/>
      <c r="Y140" s="26"/>
    </row>
    <row r="141" spans="1:26" s="27" customFormat="1" ht="33" customHeight="1" thickBot="1" x14ac:dyDescent="0.35">
      <c r="A141" s="17">
        <v>81</v>
      </c>
      <c r="B141" s="23"/>
      <c r="C141" s="19"/>
      <c r="D141" s="23" t="s">
        <v>575</v>
      </c>
      <c r="E141" s="20" t="s">
        <v>576</v>
      </c>
      <c r="F141" s="21" t="s">
        <v>566</v>
      </c>
      <c r="G141" s="22" t="s">
        <v>26</v>
      </c>
      <c r="H141" s="22"/>
      <c r="I141" s="23" t="s">
        <v>574</v>
      </c>
      <c r="J141" s="23"/>
      <c r="K141" s="23" t="s">
        <v>568</v>
      </c>
      <c r="L141" s="23" t="s">
        <v>28</v>
      </c>
      <c r="M141" s="23">
        <v>1</v>
      </c>
      <c r="N141" s="23">
        <v>0</v>
      </c>
      <c r="O141" s="23" t="s">
        <v>29</v>
      </c>
      <c r="P141" s="24"/>
      <c r="Q141" s="24"/>
      <c r="R141" s="19"/>
      <c r="S141" s="24"/>
      <c r="T141" s="24"/>
      <c r="U141" s="24"/>
      <c r="V141" s="23"/>
      <c r="W141" s="19"/>
      <c r="X141" s="25"/>
      <c r="Y141" s="26"/>
    </row>
    <row r="142" spans="1:26" s="27" customFormat="1" ht="33" customHeight="1" thickBot="1" x14ac:dyDescent="0.35">
      <c r="A142" s="17">
        <v>82</v>
      </c>
      <c r="B142" s="23"/>
      <c r="C142" s="19"/>
      <c r="D142" s="23" t="s">
        <v>577</v>
      </c>
      <c r="E142" s="20" t="s">
        <v>578</v>
      </c>
      <c r="F142" s="21" t="s">
        <v>567</v>
      </c>
      <c r="G142" s="22" t="s">
        <v>26</v>
      </c>
      <c r="H142" s="22"/>
      <c r="I142" s="23" t="s">
        <v>574</v>
      </c>
      <c r="J142" s="23"/>
      <c r="K142" s="23" t="s">
        <v>573</v>
      </c>
      <c r="L142" s="23" t="s">
        <v>28</v>
      </c>
      <c r="M142" s="23">
        <v>1</v>
      </c>
      <c r="N142" s="23">
        <v>0</v>
      </c>
      <c r="O142" s="23" t="s">
        <v>29</v>
      </c>
      <c r="P142" s="24"/>
      <c r="Q142" s="24"/>
      <c r="R142" s="19"/>
      <c r="S142" s="24"/>
      <c r="T142" s="24"/>
      <c r="U142" s="24"/>
      <c r="V142" s="23"/>
      <c r="W142" s="19"/>
      <c r="X142" s="25"/>
      <c r="Y142" s="26"/>
    </row>
    <row r="143" spans="1:26" ht="33" customHeight="1" thickBot="1" x14ac:dyDescent="0.35">
      <c r="A143" s="17">
        <v>83</v>
      </c>
      <c r="B143" s="23"/>
      <c r="C143" s="19"/>
      <c r="D143" s="23" t="s">
        <v>593</v>
      </c>
      <c r="E143" s="20" t="s">
        <v>594</v>
      </c>
      <c r="F143" s="21" t="s">
        <v>585</v>
      </c>
      <c r="G143" s="22" t="s">
        <v>586</v>
      </c>
      <c r="H143" s="22"/>
      <c r="I143" s="23" t="s">
        <v>590</v>
      </c>
      <c r="J143" s="23"/>
      <c r="K143" s="23" t="s">
        <v>573</v>
      </c>
      <c r="L143" s="23" t="s">
        <v>28</v>
      </c>
      <c r="M143" s="23">
        <v>1</v>
      </c>
      <c r="N143" s="23">
        <v>0</v>
      </c>
      <c r="O143" s="23" t="s">
        <v>29</v>
      </c>
      <c r="P143" s="24"/>
      <c r="Q143" s="24"/>
      <c r="R143" s="19"/>
      <c r="S143" s="24"/>
      <c r="T143" s="24"/>
      <c r="U143" s="24"/>
    </row>
    <row r="144" spans="1:26" ht="33" customHeight="1" thickBot="1" x14ac:dyDescent="0.35">
      <c r="A144" s="17">
        <v>84</v>
      </c>
      <c r="B144" s="23"/>
      <c r="C144" s="19"/>
      <c r="D144" s="23" t="s">
        <v>595</v>
      </c>
      <c r="E144" s="20" t="s">
        <v>596</v>
      </c>
      <c r="F144" s="21" t="s">
        <v>597</v>
      </c>
      <c r="G144" s="22" t="s">
        <v>587</v>
      </c>
      <c r="H144" s="22"/>
      <c r="I144" s="23" t="s">
        <v>588</v>
      </c>
      <c r="J144" s="23"/>
      <c r="K144" s="23" t="s">
        <v>589</v>
      </c>
      <c r="L144" s="23" t="s">
        <v>28</v>
      </c>
      <c r="M144" s="23">
        <v>1</v>
      </c>
      <c r="N144" s="23">
        <v>0</v>
      </c>
      <c r="O144" s="23" t="s">
        <v>29</v>
      </c>
      <c r="P144" s="24"/>
      <c r="Q144" s="24"/>
      <c r="R144" s="19"/>
      <c r="S144" s="24"/>
      <c r="T144" s="24"/>
      <c r="U144" s="24"/>
    </row>
    <row r="145" spans="1:21" ht="33" customHeight="1" thickBot="1" x14ac:dyDescent="0.35">
      <c r="A145" s="17"/>
      <c r="B145" s="23"/>
      <c r="C145" s="19"/>
      <c r="D145" s="23"/>
      <c r="E145" s="20"/>
      <c r="F145" s="21"/>
      <c r="G145" s="22"/>
      <c r="H145" s="22"/>
      <c r="I145" s="23" t="s">
        <v>600</v>
      </c>
      <c r="J145" s="23"/>
      <c r="K145" s="23" t="s">
        <v>601</v>
      </c>
      <c r="L145" s="23" t="s">
        <v>28</v>
      </c>
      <c r="M145" s="23"/>
      <c r="N145" s="23"/>
      <c r="O145" s="23"/>
      <c r="P145" s="24"/>
      <c r="Q145" s="24"/>
      <c r="R145" s="19"/>
      <c r="S145" s="24"/>
      <c r="T145" s="24"/>
      <c r="U145" s="24"/>
    </row>
    <row r="146" spans="1:21" ht="33" customHeight="1" thickBot="1" x14ac:dyDescent="0.35">
      <c r="A146" s="17"/>
      <c r="B146" s="23"/>
      <c r="C146" s="19"/>
      <c r="D146" s="23"/>
      <c r="E146" s="20"/>
      <c r="F146" s="21"/>
      <c r="G146" s="22"/>
      <c r="H146" s="22"/>
      <c r="I146" s="23" t="s">
        <v>600</v>
      </c>
      <c r="J146" s="23"/>
      <c r="K146" s="23" t="s">
        <v>602</v>
      </c>
      <c r="L146" s="23" t="s">
        <v>28</v>
      </c>
      <c r="M146" s="23"/>
      <c r="N146" s="23"/>
      <c r="O146" s="23"/>
      <c r="P146" s="24"/>
      <c r="Q146" s="24"/>
      <c r="R146" s="19"/>
      <c r="S146" s="24"/>
      <c r="T146" s="24"/>
      <c r="U146" s="24"/>
    </row>
    <row r="147" spans="1:21" ht="33" customHeight="1" thickBot="1" x14ac:dyDescent="0.35">
      <c r="A147" s="17"/>
      <c r="B147" s="23"/>
      <c r="C147" s="19"/>
      <c r="D147" s="23"/>
      <c r="E147" s="20"/>
      <c r="F147" s="21"/>
      <c r="G147" s="22"/>
      <c r="H147" s="22"/>
      <c r="I147" s="23" t="s">
        <v>600</v>
      </c>
      <c r="J147" s="23"/>
      <c r="K147" s="23" t="s">
        <v>603</v>
      </c>
      <c r="L147" s="23" t="s">
        <v>28</v>
      </c>
      <c r="M147" s="23"/>
      <c r="N147" s="23"/>
      <c r="O147" s="23"/>
      <c r="P147" s="24"/>
      <c r="Q147" s="24"/>
      <c r="R147" s="19"/>
      <c r="S147" s="24"/>
      <c r="T147" s="24"/>
      <c r="U147" s="24"/>
    </row>
    <row r="148" spans="1:21" ht="33" customHeight="1" thickBot="1" x14ac:dyDescent="0.35">
      <c r="A148" s="17"/>
      <c r="B148" s="23"/>
      <c r="C148" s="19"/>
      <c r="D148" s="23"/>
      <c r="E148" s="20"/>
      <c r="F148" s="21"/>
      <c r="G148" s="22"/>
      <c r="H148" s="22"/>
      <c r="I148" s="23" t="s">
        <v>213</v>
      </c>
      <c r="J148" s="23"/>
      <c r="K148" s="23" t="s">
        <v>604</v>
      </c>
      <c r="L148" s="23" t="s">
        <v>28</v>
      </c>
      <c r="M148" s="23"/>
      <c r="N148" s="23"/>
      <c r="O148" s="23"/>
      <c r="P148" s="24"/>
      <c r="Q148" s="24"/>
      <c r="R148" s="19"/>
      <c r="S148" s="24"/>
      <c r="T148" s="24"/>
      <c r="U148" s="24"/>
    </row>
    <row r="149" spans="1:21" ht="33" customHeight="1" thickBot="1" x14ac:dyDescent="0.35">
      <c r="A149" s="17"/>
      <c r="B149" s="23"/>
      <c r="C149" s="19"/>
      <c r="D149" s="23"/>
      <c r="E149" s="20"/>
      <c r="F149" s="21"/>
      <c r="G149" s="22"/>
      <c r="H149" s="22"/>
      <c r="I149" s="23" t="s">
        <v>213</v>
      </c>
      <c r="J149" s="23"/>
      <c r="K149" s="23" t="s">
        <v>605</v>
      </c>
      <c r="L149" s="23" t="s">
        <v>28</v>
      </c>
      <c r="M149" s="23"/>
      <c r="N149" s="23"/>
      <c r="O149" s="23"/>
      <c r="P149" s="24"/>
      <c r="Q149" s="24"/>
      <c r="R149" s="19"/>
      <c r="S149" s="24"/>
      <c r="T149" s="24"/>
      <c r="U149" s="24"/>
    </row>
    <row r="150" spans="1:21" ht="33" customHeight="1" thickBot="1" x14ac:dyDescent="0.35">
      <c r="A150" s="17"/>
      <c r="B150" s="23"/>
      <c r="C150" s="19"/>
      <c r="D150" s="23"/>
      <c r="E150" s="20"/>
      <c r="F150" s="21"/>
      <c r="G150" s="22"/>
      <c r="H150" s="22"/>
      <c r="I150" s="23" t="s">
        <v>213</v>
      </c>
      <c r="J150" s="23"/>
      <c r="K150" s="23" t="s">
        <v>606</v>
      </c>
      <c r="L150" s="23" t="s">
        <v>28</v>
      </c>
      <c r="M150" s="23"/>
      <c r="N150" s="23"/>
      <c r="O150" s="23"/>
      <c r="P150" s="24"/>
      <c r="Q150" s="24"/>
      <c r="R150" s="19"/>
      <c r="S150" s="24"/>
      <c r="T150" s="24"/>
      <c r="U150" s="24"/>
    </row>
    <row r="151" spans="1:21" ht="33" customHeight="1" thickBot="1" x14ac:dyDescent="0.35">
      <c r="A151" s="17"/>
      <c r="B151" s="23"/>
      <c r="C151" s="19"/>
      <c r="D151" s="23"/>
      <c r="E151" s="20"/>
      <c r="F151" s="21"/>
      <c r="G151" s="22"/>
      <c r="H151" s="22"/>
      <c r="I151" s="23" t="s">
        <v>607</v>
      </c>
      <c r="J151" s="23" t="s">
        <v>608</v>
      </c>
      <c r="K151" s="23" t="s">
        <v>601</v>
      </c>
      <c r="L151" s="23" t="s">
        <v>28</v>
      </c>
      <c r="M151" s="23"/>
      <c r="N151" s="23"/>
      <c r="O151" s="23"/>
      <c r="P151" s="24"/>
      <c r="Q151" s="24"/>
      <c r="R151" s="19"/>
      <c r="S151" s="24"/>
      <c r="T151" s="24"/>
      <c r="U151" s="24"/>
    </row>
    <row r="152" spans="1:21" ht="33" customHeight="1" thickBot="1" x14ac:dyDescent="0.35">
      <c r="A152" s="17"/>
      <c r="B152" s="23"/>
      <c r="C152" s="19"/>
      <c r="D152" s="23"/>
      <c r="E152" s="20"/>
      <c r="F152" s="21"/>
      <c r="G152" s="22"/>
      <c r="H152" s="22"/>
      <c r="I152" s="23" t="s">
        <v>213</v>
      </c>
      <c r="J152" s="23"/>
      <c r="K152" s="23" t="s">
        <v>609</v>
      </c>
      <c r="L152" s="23" t="s">
        <v>28</v>
      </c>
      <c r="M152" s="23"/>
      <c r="N152" s="23"/>
      <c r="O152" s="23"/>
      <c r="P152" s="24"/>
      <c r="Q152" s="24"/>
      <c r="R152" s="19"/>
      <c r="S152" s="24"/>
      <c r="T152" s="24"/>
      <c r="U152" s="24"/>
    </row>
    <row r="153" spans="1:21" ht="33" customHeight="1" thickBot="1" x14ac:dyDescent="0.35">
      <c r="A153" s="17"/>
      <c r="B153" s="23"/>
      <c r="C153" s="19"/>
      <c r="D153" s="23"/>
      <c r="E153" s="20"/>
      <c r="F153" s="21"/>
      <c r="G153" s="22"/>
      <c r="H153" s="22"/>
      <c r="I153" s="23" t="s">
        <v>213</v>
      </c>
      <c r="J153" s="23"/>
      <c r="K153" s="23" t="s">
        <v>453</v>
      </c>
      <c r="L153" s="23" t="s">
        <v>28</v>
      </c>
      <c r="M153" s="23"/>
      <c r="N153" s="23"/>
      <c r="O153" s="23"/>
      <c r="P153" s="24"/>
      <c r="Q153" s="24"/>
      <c r="R153" s="19"/>
      <c r="S153" s="24"/>
      <c r="T153" s="24"/>
      <c r="U153" s="24"/>
    </row>
    <row r="154" spans="1:21" ht="33" customHeight="1" thickBot="1" x14ac:dyDescent="0.35">
      <c r="A154" s="17"/>
      <c r="B154" s="23"/>
      <c r="C154" s="19"/>
      <c r="D154" s="23"/>
      <c r="E154" s="20"/>
      <c r="F154" s="21"/>
      <c r="G154" s="22"/>
      <c r="H154" s="22"/>
      <c r="I154" s="23" t="s">
        <v>600</v>
      </c>
      <c r="J154" s="23"/>
      <c r="K154" s="23" t="s">
        <v>610</v>
      </c>
      <c r="L154" s="23" t="s">
        <v>28</v>
      </c>
      <c r="M154" s="23"/>
      <c r="N154" s="23"/>
      <c r="O154" s="23"/>
      <c r="P154" s="24"/>
      <c r="Q154" s="24"/>
      <c r="R154" s="19"/>
      <c r="S154" s="24"/>
      <c r="T154" s="24"/>
      <c r="U154" s="24"/>
    </row>
    <row r="155" spans="1:21" ht="33" customHeight="1" thickBot="1" x14ac:dyDescent="0.35">
      <c r="A155" s="17"/>
      <c r="B155" s="23"/>
      <c r="C155" s="19"/>
      <c r="D155" s="23"/>
      <c r="E155" s="20"/>
      <c r="F155" s="21"/>
      <c r="G155" s="22"/>
      <c r="H155" s="22"/>
      <c r="I155" s="23" t="s">
        <v>153</v>
      </c>
      <c r="J155" s="23"/>
      <c r="K155" s="23" t="s">
        <v>611</v>
      </c>
      <c r="L155" s="23" t="s">
        <v>28</v>
      </c>
      <c r="M155" s="23"/>
      <c r="N155" s="23"/>
      <c r="O155" s="23"/>
      <c r="P155" s="24"/>
      <c r="Q155" s="24"/>
      <c r="R155" s="19"/>
      <c r="S155" s="24"/>
      <c r="T155" s="24"/>
      <c r="U155" s="24"/>
    </row>
    <row r="156" spans="1:21" ht="33" customHeight="1" thickBot="1" x14ac:dyDescent="0.35">
      <c r="A156" s="17"/>
      <c r="B156" s="23"/>
      <c r="C156" s="19"/>
      <c r="D156" s="23"/>
      <c r="E156" s="20"/>
      <c r="F156" s="21"/>
      <c r="G156" s="22"/>
      <c r="H156" s="22"/>
      <c r="I156" s="23" t="s">
        <v>153</v>
      </c>
      <c r="J156" s="23"/>
      <c r="K156" s="23" t="s">
        <v>306</v>
      </c>
      <c r="L156" s="23" t="s">
        <v>28</v>
      </c>
      <c r="M156" s="23"/>
      <c r="N156" s="23"/>
      <c r="O156" s="23"/>
      <c r="P156" s="24"/>
      <c r="Q156" s="24"/>
      <c r="R156" s="19"/>
      <c r="S156" s="24"/>
      <c r="T156" s="24"/>
      <c r="U156" s="24"/>
    </row>
    <row r="157" spans="1:21" ht="33" customHeight="1" thickBot="1" x14ac:dyDescent="0.35">
      <c r="A157" s="17"/>
      <c r="B157" s="23"/>
      <c r="C157" s="19"/>
      <c r="D157" s="23"/>
      <c r="E157" s="20"/>
      <c r="F157" s="21"/>
      <c r="G157" s="22"/>
      <c r="H157" s="22"/>
      <c r="I157" s="23" t="s">
        <v>235</v>
      </c>
      <c r="J157" s="23"/>
      <c r="K157" s="23" t="s">
        <v>612</v>
      </c>
      <c r="L157" s="23" t="s">
        <v>51</v>
      </c>
      <c r="M157" s="23"/>
      <c r="N157" s="23"/>
      <c r="O157" s="23"/>
      <c r="P157" s="24"/>
      <c r="Q157" s="24"/>
      <c r="R157" s="19"/>
      <c r="S157" s="24"/>
      <c r="T157" s="24"/>
      <c r="U157" s="24"/>
    </row>
    <row r="158" spans="1:21" ht="33" customHeight="1" x14ac:dyDescent="0.3">
      <c r="E158" s="3"/>
    </row>
    <row r="159" spans="1:21" ht="33" customHeight="1" x14ac:dyDescent="0.3">
      <c r="E159" s="3"/>
    </row>
    <row r="160" spans="1:21" ht="33" customHeight="1" x14ac:dyDescent="0.3">
      <c r="E160" s="3"/>
    </row>
    <row r="161" spans="5:5" ht="33" customHeight="1" x14ac:dyDescent="0.3">
      <c r="E161" s="3"/>
    </row>
    <row r="162" spans="5:5" ht="33" customHeight="1" x14ac:dyDescent="0.3">
      <c r="E162" s="3"/>
    </row>
    <row r="163" spans="5:5" ht="33" customHeight="1" x14ac:dyDescent="0.3">
      <c r="E163" s="3"/>
    </row>
    <row r="164" spans="5:5" ht="33" customHeight="1" x14ac:dyDescent="0.3">
      <c r="E164" s="3"/>
    </row>
    <row r="165" spans="5:5" ht="33" customHeight="1" x14ac:dyDescent="0.3">
      <c r="E165" s="3"/>
    </row>
    <row r="166" spans="5:5" ht="33" customHeight="1" x14ac:dyDescent="0.3">
      <c r="E166" s="3"/>
    </row>
    <row r="167" spans="5:5" ht="33" customHeight="1" x14ac:dyDescent="0.3">
      <c r="E167" s="3"/>
    </row>
    <row r="168" spans="5:5" ht="33" customHeight="1" x14ac:dyDescent="0.3">
      <c r="E168" s="3"/>
    </row>
    <row r="169" spans="5:5" ht="33" customHeight="1" x14ac:dyDescent="0.3">
      <c r="E169" s="3"/>
    </row>
    <row r="170" spans="5:5" ht="33" customHeight="1" x14ac:dyDescent="0.3">
      <c r="E170" s="3"/>
    </row>
    <row r="171" spans="5:5" ht="33" customHeight="1" x14ac:dyDescent="0.3">
      <c r="E171" s="3"/>
    </row>
    <row r="172" spans="5:5" ht="33" customHeight="1" x14ac:dyDescent="0.3">
      <c r="E172" s="3"/>
    </row>
    <row r="173" spans="5:5" ht="33" customHeight="1" x14ac:dyDescent="0.3">
      <c r="E173" s="3"/>
    </row>
    <row r="174" spans="5:5" ht="33" customHeight="1" x14ac:dyDescent="0.3">
      <c r="E174" s="3"/>
    </row>
    <row r="175" spans="5:5" ht="33" customHeight="1" x14ac:dyDescent="0.3">
      <c r="E175" s="3"/>
    </row>
    <row r="176" spans="5:5" ht="33" customHeight="1" x14ac:dyDescent="0.3">
      <c r="E176" s="3"/>
    </row>
    <row r="177" spans="5:5" ht="33" customHeight="1" x14ac:dyDescent="0.3">
      <c r="E177" s="3"/>
    </row>
    <row r="178" spans="5:5" ht="33" customHeight="1" x14ac:dyDescent="0.3">
      <c r="E178" s="3"/>
    </row>
    <row r="179" spans="5:5" ht="33" customHeight="1" x14ac:dyDescent="0.3">
      <c r="E179" s="3"/>
    </row>
    <row r="180" spans="5:5" ht="33" customHeight="1" x14ac:dyDescent="0.3">
      <c r="E180" s="3"/>
    </row>
    <row r="181" spans="5:5" ht="33" customHeight="1" x14ac:dyDescent="0.3">
      <c r="E181" s="3"/>
    </row>
    <row r="182" spans="5:5" ht="33" customHeight="1" x14ac:dyDescent="0.3">
      <c r="E182" s="3"/>
    </row>
    <row r="183" spans="5:5" ht="33" customHeight="1" x14ac:dyDescent="0.3">
      <c r="E183" s="3"/>
    </row>
    <row r="184" spans="5:5" ht="33" customHeight="1" x14ac:dyDescent="0.3">
      <c r="E184" s="3"/>
    </row>
    <row r="185" spans="5:5" ht="33" customHeight="1" x14ac:dyDescent="0.3">
      <c r="E185" s="3"/>
    </row>
    <row r="186" spans="5:5" ht="33" customHeight="1" x14ac:dyDescent="0.3">
      <c r="E186" s="3"/>
    </row>
    <row r="187" spans="5:5" ht="33" customHeight="1" x14ac:dyDescent="0.3">
      <c r="E187" s="3"/>
    </row>
    <row r="188" spans="5:5" ht="33" customHeight="1" x14ac:dyDescent="0.3">
      <c r="E188" s="3"/>
    </row>
    <row r="189" spans="5:5" ht="33" customHeight="1" x14ac:dyDescent="0.3">
      <c r="E189" s="3"/>
    </row>
    <row r="190" spans="5:5" ht="33" customHeight="1" x14ac:dyDescent="0.3">
      <c r="E190" s="3"/>
    </row>
    <row r="191" spans="5:5" ht="33" customHeight="1" x14ac:dyDescent="0.3">
      <c r="E191" s="3"/>
    </row>
    <row r="192" spans="5:5" ht="33" customHeight="1" x14ac:dyDescent="0.3">
      <c r="E192" s="3"/>
    </row>
    <row r="193" spans="5:5" ht="33" customHeight="1" x14ac:dyDescent="0.3">
      <c r="E193" s="3"/>
    </row>
    <row r="194" spans="5:5" ht="33" customHeight="1" x14ac:dyDescent="0.3">
      <c r="E194" s="3"/>
    </row>
    <row r="195" spans="5:5" ht="33" customHeight="1" x14ac:dyDescent="0.3">
      <c r="E195" s="3"/>
    </row>
    <row r="196" spans="5:5" ht="33" customHeight="1" x14ac:dyDescent="0.3">
      <c r="E196" s="3"/>
    </row>
    <row r="197" spans="5:5" ht="33" customHeight="1" x14ac:dyDescent="0.3">
      <c r="E197" s="3"/>
    </row>
    <row r="198" spans="5:5" ht="33" customHeight="1" x14ac:dyDescent="0.3">
      <c r="E198" s="3"/>
    </row>
    <row r="199" spans="5:5" ht="33" customHeight="1" x14ac:dyDescent="0.3">
      <c r="E199" s="3"/>
    </row>
    <row r="200" spans="5:5" ht="33" customHeight="1" x14ac:dyDescent="0.3">
      <c r="E200" s="3"/>
    </row>
    <row r="201" spans="5:5" ht="33" customHeight="1" x14ac:dyDescent="0.3">
      <c r="E201" s="3"/>
    </row>
    <row r="202" spans="5:5" ht="33" customHeight="1" x14ac:dyDescent="0.3">
      <c r="E202" s="3"/>
    </row>
    <row r="203" spans="5:5" ht="33" customHeight="1" x14ac:dyDescent="0.3">
      <c r="E203" s="3"/>
    </row>
    <row r="204" spans="5:5" ht="33" customHeight="1" x14ac:dyDescent="0.3">
      <c r="E204" s="3"/>
    </row>
    <row r="205" spans="5:5" ht="33" customHeight="1" x14ac:dyDescent="0.3">
      <c r="E205" s="3"/>
    </row>
    <row r="206" spans="5:5" ht="33" customHeight="1" x14ac:dyDescent="0.3">
      <c r="E206" s="3"/>
    </row>
    <row r="207" spans="5:5" ht="33" customHeight="1" x14ac:dyDescent="0.3">
      <c r="E207" s="3"/>
    </row>
    <row r="208" spans="5:5" ht="33" customHeight="1" x14ac:dyDescent="0.3">
      <c r="E208" s="3"/>
    </row>
    <row r="209" spans="5:5" ht="33" customHeight="1" x14ac:dyDescent="0.3">
      <c r="E209" s="3"/>
    </row>
    <row r="210" spans="5:5" ht="33" customHeight="1" x14ac:dyDescent="0.3">
      <c r="E210" s="3"/>
    </row>
    <row r="211" spans="5:5" ht="33" customHeight="1" x14ac:dyDescent="0.3">
      <c r="E211" s="3"/>
    </row>
    <row r="212" spans="5:5" ht="33" customHeight="1" x14ac:dyDescent="0.3">
      <c r="E212" s="3"/>
    </row>
    <row r="213" spans="5:5" ht="33" customHeight="1" x14ac:dyDescent="0.3">
      <c r="E213" s="3"/>
    </row>
    <row r="214" spans="5:5" ht="33" customHeight="1" x14ac:dyDescent="0.3">
      <c r="E214" s="3"/>
    </row>
    <row r="215" spans="5:5" ht="33" customHeight="1" x14ac:dyDescent="0.3">
      <c r="E215" s="3"/>
    </row>
    <row r="216" spans="5:5" ht="33" customHeight="1" x14ac:dyDescent="0.3">
      <c r="E216" s="3"/>
    </row>
    <row r="217" spans="5:5" ht="33" customHeight="1" x14ac:dyDescent="0.3">
      <c r="E217" s="3"/>
    </row>
    <row r="218" spans="5:5" ht="33" customHeight="1" x14ac:dyDescent="0.3">
      <c r="E218" s="3"/>
    </row>
    <row r="219" spans="5:5" ht="33" customHeight="1" x14ac:dyDescent="0.3">
      <c r="E219" s="3"/>
    </row>
    <row r="220" spans="5:5" ht="33" customHeight="1" x14ac:dyDescent="0.3">
      <c r="E220" s="3"/>
    </row>
    <row r="221" spans="5:5" ht="33" customHeight="1" x14ac:dyDescent="0.3">
      <c r="E221" s="3"/>
    </row>
    <row r="222" spans="5:5" ht="33" customHeight="1" x14ac:dyDescent="0.3">
      <c r="E222" s="3"/>
    </row>
    <row r="223" spans="5:5" ht="33" customHeight="1" x14ac:dyDescent="0.3">
      <c r="E223" s="3"/>
    </row>
    <row r="224" spans="5:5" ht="33" customHeight="1" x14ac:dyDescent="0.3">
      <c r="E224" s="3"/>
    </row>
    <row r="225" spans="5:5" ht="33" customHeight="1" x14ac:dyDescent="0.3">
      <c r="E225" s="3"/>
    </row>
    <row r="226" spans="5:5" ht="33" customHeight="1" x14ac:dyDescent="0.3">
      <c r="E226" s="3"/>
    </row>
    <row r="227" spans="5:5" ht="33" customHeight="1" x14ac:dyDescent="0.3">
      <c r="E227" s="3"/>
    </row>
    <row r="228" spans="5:5" ht="33" customHeight="1" x14ac:dyDescent="0.3">
      <c r="E228" s="3"/>
    </row>
    <row r="229" spans="5:5" ht="33" customHeight="1" x14ac:dyDescent="0.3">
      <c r="E229" s="3"/>
    </row>
    <row r="230" spans="5:5" ht="33" customHeight="1" x14ac:dyDescent="0.3">
      <c r="E230" s="3"/>
    </row>
    <row r="231" spans="5:5" ht="33" customHeight="1" x14ac:dyDescent="0.3">
      <c r="E231" s="3"/>
    </row>
    <row r="232" spans="5:5" ht="33" customHeight="1" x14ac:dyDescent="0.3">
      <c r="E232" s="3"/>
    </row>
    <row r="233" spans="5:5" ht="33" customHeight="1" x14ac:dyDescent="0.3">
      <c r="E233" s="3"/>
    </row>
    <row r="234" spans="5:5" ht="33" customHeight="1" x14ac:dyDescent="0.3">
      <c r="E234" s="3"/>
    </row>
    <row r="235" spans="5:5" ht="33" customHeight="1" x14ac:dyDescent="0.3">
      <c r="E235" s="3"/>
    </row>
    <row r="236" spans="5:5" ht="33" customHeight="1" x14ac:dyDescent="0.3">
      <c r="E236" s="3"/>
    </row>
    <row r="237" spans="5:5" ht="33" customHeight="1" x14ac:dyDescent="0.3">
      <c r="E237" s="3"/>
    </row>
    <row r="238" spans="5:5" ht="33" customHeight="1" x14ac:dyDescent="0.3">
      <c r="E238" s="3"/>
    </row>
    <row r="239" spans="5:5" ht="33" customHeight="1" x14ac:dyDescent="0.3">
      <c r="E239" s="3"/>
    </row>
    <row r="240" spans="5:5" ht="33" customHeight="1" x14ac:dyDescent="0.3">
      <c r="E240" s="3"/>
    </row>
    <row r="241" spans="5:5" ht="33" customHeight="1" x14ac:dyDescent="0.3">
      <c r="E241" s="3"/>
    </row>
    <row r="242" spans="5:5" ht="33" customHeight="1" x14ac:dyDescent="0.3">
      <c r="E242" s="3"/>
    </row>
    <row r="243" spans="5:5" ht="33" customHeight="1" x14ac:dyDescent="0.3">
      <c r="E243" s="3"/>
    </row>
    <row r="244" spans="5:5" ht="33" customHeight="1" x14ac:dyDescent="0.3">
      <c r="E244" s="3"/>
    </row>
    <row r="245" spans="5:5" ht="33" customHeight="1" x14ac:dyDescent="0.3">
      <c r="E245" s="3"/>
    </row>
    <row r="246" spans="5:5" ht="33" customHeight="1" x14ac:dyDescent="0.3">
      <c r="E246" s="3"/>
    </row>
    <row r="247" spans="5:5" ht="33" customHeight="1" x14ac:dyDescent="0.3">
      <c r="E247" s="3"/>
    </row>
    <row r="248" spans="5:5" ht="33" customHeight="1" x14ac:dyDescent="0.3">
      <c r="E248" s="3"/>
    </row>
    <row r="249" spans="5:5" ht="33" customHeight="1" x14ac:dyDescent="0.3">
      <c r="E249" s="3"/>
    </row>
    <row r="250" spans="5:5" ht="33" customHeight="1" x14ac:dyDescent="0.3">
      <c r="E250" s="3"/>
    </row>
    <row r="251" spans="5:5" ht="33" customHeight="1" x14ac:dyDescent="0.3">
      <c r="E251" s="3"/>
    </row>
    <row r="252" spans="5:5" ht="33" customHeight="1" x14ac:dyDescent="0.3">
      <c r="E252" s="3"/>
    </row>
    <row r="253" spans="5:5" ht="33" customHeight="1" x14ac:dyDescent="0.3">
      <c r="E253" s="3"/>
    </row>
    <row r="254" spans="5:5" ht="33" customHeight="1" x14ac:dyDescent="0.3">
      <c r="E254" s="3"/>
    </row>
    <row r="255" spans="5:5" ht="33" customHeight="1" x14ac:dyDescent="0.3">
      <c r="E255" s="3"/>
    </row>
    <row r="256" spans="5:5" ht="33" customHeight="1" x14ac:dyDescent="0.3">
      <c r="E256" s="3"/>
    </row>
    <row r="257" spans="5:5" ht="33" customHeight="1" x14ac:dyDescent="0.3">
      <c r="E257" s="3"/>
    </row>
    <row r="258" spans="5:5" ht="33" customHeight="1" x14ac:dyDescent="0.3">
      <c r="E258" s="3"/>
    </row>
    <row r="259" spans="5:5" ht="33" customHeight="1" x14ac:dyDescent="0.3">
      <c r="E259" s="3"/>
    </row>
    <row r="260" spans="5:5" ht="33" customHeight="1" x14ac:dyDescent="0.3">
      <c r="E260" s="3"/>
    </row>
    <row r="261" spans="5:5" ht="33" customHeight="1" x14ac:dyDescent="0.3">
      <c r="E261" s="3"/>
    </row>
    <row r="262" spans="5:5" ht="33" customHeight="1" x14ac:dyDescent="0.3">
      <c r="E262" s="3"/>
    </row>
    <row r="263" spans="5:5" ht="33" customHeight="1" x14ac:dyDescent="0.3">
      <c r="E263" s="3"/>
    </row>
    <row r="264" spans="5:5" ht="33" customHeight="1" x14ac:dyDescent="0.3">
      <c r="E264" s="3"/>
    </row>
    <row r="265" spans="5:5" ht="33" customHeight="1" x14ac:dyDescent="0.3">
      <c r="E265" s="3"/>
    </row>
    <row r="266" spans="5:5" ht="33" customHeight="1" x14ac:dyDescent="0.3">
      <c r="E266" s="3"/>
    </row>
    <row r="267" spans="5:5" ht="33" customHeight="1" x14ac:dyDescent="0.3">
      <c r="E267" s="3"/>
    </row>
    <row r="268" spans="5:5" ht="33" customHeight="1" x14ac:dyDescent="0.3">
      <c r="E268" s="3"/>
    </row>
    <row r="269" spans="5:5" ht="33" customHeight="1" x14ac:dyDescent="0.3">
      <c r="E269" s="3"/>
    </row>
    <row r="270" spans="5:5" ht="33" customHeight="1" x14ac:dyDescent="0.3">
      <c r="E270" s="3"/>
    </row>
    <row r="271" spans="5:5" ht="33" customHeight="1" x14ac:dyDescent="0.3">
      <c r="E271" s="3"/>
    </row>
    <row r="272" spans="5:5" ht="33" customHeight="1" x14ac:dyDescent="0.3">
      <c r="E272" s="3"/>
    </row>
    <row r="273" spans="5:5" ht="33" customHeight="1" x14ac:dyDescent="0.3">
      <c r="E273" s="3"/>
    </row>
    <row r="274" spans="5:5" ht="33" customHeight="1" x14ac:dyDescent="0.3">
      <c r="E274" s="3"/>
    </row>
    <row r="275" spans="5:5" ht="33" customHeight="1" x14ac:dyDescent="0.3">
      <c r="E275" s="3"/>
    </row>
    <row r="276" spans="5:5" ht="33" customHeight="1" x14ac:dyDescent="0.3">
      <c r="E276" s="3"/>
    </row>
    <row r="277" spans="5:5" ht="33" customHeight="1" x14ac:dyDescent="0.3">
      <c r="E277" s="3"/>
    </row>
    <row r="278" spans="5:5" ht="33" customHeight="1" x14ac:dyDescent="0.3">
      <c r="E278" s="3"/>
    </row>
    <row r="279" spans="5:5" ht="33" customHeight="1" x14ac:dyDescent="0.3">
      <c r="E279" s="3"/>
    </row>
    <row r="280" spans="5:5" ht="33" customHeight="1" x14ac:dyDescent="0.3">
      <c r="E280" s="3"/>
    </row>
    <row r="281" spans="5:5" ht="33" customHeight="1" x14ac:dyDescent="0.3">
      <c r="E281" s="3"/>
    </row>
    <row r="282" spans="5:5" ht="33" customHeight="1" x14ac:dyDescent="0.3">
      <c r="E282" s="3"/>
    </row>
    <row r="283" spans="5:5" ht="33" customHeight="1" x14ac:dyDescent="0.3">
      <c r="E283" s="3"/>
    </row>
    <row r="284" spans="5:5" ht="33" customHeight="1" x14ac:dyDescent="0.3">
      <c r="E284" s="3"/>
    </row>
    <row r="285" spans="5:5" ht="33" customHeight="1" x14ac:dyDescent="0.3">
      <c r="E285" s="3"/>
    </row>
    <row r="286" spans="5:5" ht="33" customHeight="1" x14ac:dyDescent="0.3">
      <c r="E286" s="3"/>
    </row>
    <row r="287" spans="5:5" ht="33" customHeight="1" x14ac:dyDescent="0.3">
      <c r="E287" s="3"/>
    </row>
    <row r="288" spans="5:5" ht="33" customHeight="1" x14ac:dyDescent="0.3">
      <c r="E288" s="3"/>
    </row>
    <row r="289" spans="5:5" ht="33" customHeight="1" x14ac:dyDescent="0.3">
      <c r="E289" s="3"/>
    </row>
    <row r="290" spans="5:5" ht="33" customHeight="1" x14ac:dyDescent="0.3">
      <c r="E290" s="3"/>
    </row>
    <row r="291" spans="5:5" ht="33" customHeight="1" x14ac:dyDescent="0.3">
      <c r="E291" s="3"/>
    </row>
    <row r="292" spans="5:5" ht="33" customHeight="1" x14ac:dyDescent="0.3">
      <c r="E292" s="3"/>
    </row>
    <row r="293" spans="5:5" ht="33" customHeight="1" x14ac:dyDescent="0.3">
      <c r="E293" s="3"/>
    </row>
    <row r="294" spans="5:5" ht="33" customHeight="1" x14ac:dyDescent="0.3">
      <c r="E294" s="3"/>
    </row>
    <row r="295" spans="5:5" ht="33" customHeight="1" x14ac:dyDescent="0.3">
      <c r="E295" s="3"/>
    </row>
    <row r="296" spans="5:5" ht="33" customHeight="1" x14ac:dyDescent="0.3">
      <c r="E296" s="3"/>
    </row>
    <row r="297" spans="5:5" ht="33" customHeight="1" x14ac:dyDescent="0.3">
      <c r="E297" s="3"/>
    </row>
    <row r="298" spans="5:5" ht="33" customHeight="1" x14ac:dyDescent="0.3">
      <c r="E298" s="3"/>
    </row>
    <row r="299" spans="5:5" ht="33" customHeight="1" x14ac:dyDescent="0.3">
      <c r="E299" s="3"/>
    </row>
    <row r="300" spans="5:5" ht="33" customHeight="1" x14ac:dyDescent="0.3">
      <c r="E300" s="3"/>
    </row>
    <row r="301" spans="5:5" ht="33" customHeight="1" x14ac:dyDescent="0.3">
      <c r="E301" s="3"/>
    </row>
    <row r="302" spans="5:5" ht="33" customHeight="1" x14ac:dyDescent="0.3">
      <c r="E302" s="3"/>
    </row>
    <row r="303" spans="5:5" ht="33" customHeight="1" x14ac:dyDescent="0.3">
      <c r="E303" s="3"/>
    </row>
    <row r="304" spans="5:5" ht="33" customHeight="1" x14ac:dyDescent="0.3">
      <c r="E304" s="3"/>
    </row>
    <row r="305" spans="5:5" ht="33" customHeight="1" x14ac:dyDescent="0.3">
      <c r="E305" s="3"/>
    </row>
    <row r="306" spans="5:5" ht="33" customHeight="1" x14ac:dyDescent="0.3">
      <c r="E306" s="3"/>
    </row>
    <row r="307" spans="5:5" ht="33" customHeight="1" x14ac:dyDescent="0.3">
      <c r="E307" s="3"/>
    </row>
    <row r="308" spans="5:5" ht="33" customHeight="1" x14ac:dyDescent="0.3">
      <c r="E308" s="3"/>
    </row>
    <row r="309" spans="5:5" ht="33" customHeight="1" x14ac:dyDescent="0.3">
      <c r="E309" s="3"/>
    </row>
    <row r="310" spans="5:5" ht="33" customHeight="1" x14ac:dyDescent="0.3">
      <c r="E310" s="3"/>
    </row>
    <row r="311" spans="5:5" ht="33" customHeight="1" x14ac:dyDescent="0.3">
      <c r="E311" s="3"/>
    </row>
    <row r="312" spans="5:5" ht="33" customHeight="1" x14ac:dyDescent="0.3">
      <c r="E312" s="3"/>
    </row>
    <row r="313" spans="5:5" ht="33" customHeight="1" x14ac:dyDescent="0.3">
      <c r="E313" s="3"/>
    </row>
    <row r="314" spans="5:5" ht="33" customHeight="1" x14ac:dyDescent="0.3">
      <c r="E314" s="3"/>
    </row>
    <row r="315" spans="5:5" ht="33" customHeight="1" x14ac:dyDescent="0.3">
      <c r="E315" s="3"/>
    </row>
    <row r="316" spans="5:5" ht="33" customHeight="1" x14ac:dyDescent="0.3">
      <c r="E316" s="3"/>
    </row>
    <row r="317" spans="5:5" ht="33" customHeight="1" x14ac:dyDescent="0.3">
      <c r="E317" s="3"/>
    </row>
    <row r="318" spans="5:5" ht="33" customHeight="1" x14ac:dyDescent="0.3">
      <c r="E318" s="3"/>
    </row>
    <row r="319" spans="5:5" ht="33" customHeight="1" x14ac:dyDescent="0.3">
      <c r="E319" s="3"/>
    </row>
    <row r="320" spans="5:5" ht="33" customHeight="1" x14ac:dyDescent="0.3">
      <c r="E320" s="3"/>
    </row>
    <row r="321" spans="5:5" ht="33" customHeight="1" x14ac:dyDescent="0.3">
      <c r="E321" s="3"/>
    </row>
    <row r="322" spans="5:5" ht="33" customHeight="1" x14ac:dyDescent="0.3">
      <c r="E322" s="3"/>
    </row>
    <row r="323" spans="5:5" ht="33" customHeight="1" x14ac:dyDescent="0.3">
      <c r="E323" s="3"/>
    </row>
    <row r="324" spans="5:5" ht="33" customHeight="1" x14ac:dyDescent="0.3">
      <c r="E324" s="3"/>
    </row>
    <row r="325" spans="5:5" ht="33" customHeight="1" x14ac:dyDescent="0.3">
      <c r="E325" s="3"/>
    </row>
    <row r="326" spans="5:5" ht="33" customHeight="1" x14ac:dyDescent="0.3">
      <c r="E326" s="3"/>
    </row>
    <row r="327" spans="5:5" ht="33" customHeight="1" x14ac:dyDescent="0.3">
      <c r="E327" s="3"/>
    </row>
    <row r="328" spans="5:5" ht="33" customHeight="1" x14ac:dyDescent="0.3">
      <c r="E328" s="3"/>
    </row>
    <row r="329" spans="5:5" ht="33" customHeight="1" x14ac:dyDescent="0.3">
      <c r="E329" s="3"/>
    </row>
    <row r="330" spans="5:5" ht="33" customHeight="1" x14ac:dyDescent="0.3">
      <c r="E330" s="3"/>
    </row>
    <row r="331" spans="5:5" ht="33" customHeight="1" x14ac:dyDescent="0.3">
      <c r="E331" s="3"/>
    </row>
    <row r="332" spans="5:5" ht="33" customHeight="1" x14ac:dyDescent="0.3">
      <c r="E332" s="3"/>
    </row>
    <row r="333" spans="5:5" ht="33" customHeight="1" x14ac:dyDescent="0.3">
      <c r="E333" s="3"/>
    </row>
    <row r="334" spans="5:5" ht="33" customHeight="1" x14ac:dyDescent="0.3">
      <c r="E334" s="3"/>
    </row>
    <row r="335" spans="5:5" ht="33" customHeight="1" x14ac:dyDescent="0.3">
      <c r="E335" s="3"/>
    </row>
    <row r="336" spans="5:5" ht="33" customHeight="1" x14ac:dyDescent="0.3">
      <c r="E336" s="3"/>
    </row>
    <row r="337" spans="5:5" ht="33" customHeight="1" x14ac:dyDescent="0.3">
      <c r="E337" s="3"/>
    </row>
    <row r="338" spans="5:5" ht="33" customHeight="1" x14ac:dyDescent="0.3">
      <c r="E338" s="3"/>
    </row>
    <row r="339" spans="5:5" ht="33" customHeight="1" x14ac:dyDescent="0.3">
      <c r="E339" s="3"/>
    </row>
    <row r="340" spans="5:5" ht="33" customHeight="1" x14ac:dyDescent="0.3">
      <c r="E340" s="3"/>
    </row>
    <row r="341" spans="5:5" ht="33" customHeight="1" x14ac:dyDescent="0.3">
      <c r="E341" s="3"/>
    </row>
    <row r="342" spans="5:5" ht="33" customHeight="1" x14ac:dyDescent="0.3">
      <c r="E342" s="3"/>
    </row>
    <row r="343" spans="5:5" ht="33" customHeight="1" x14ac:dyDescent="0.3">
      <c r="E343" s="3"/>
    </row>
    <row r="344" spans="5:5" ht="33" customHeight="1" x14ac:dyDescent="0.3">
      <c r="E344" s="3"/>
    </row>
    <row r="345" spans="5:5" ht="33" customHeight="1" x14ac:dyDescent="0.3">
      <c r="E345" s="3"/>
    </row>
    <row r="346" spans="5:5" ht="33" customHeight="1" x14ac:dyDescent="0.3">
      <c r="E346" s="3"/>
    </row>
    <row r="347" spans="5:5" ht="33" customHeight="1" x14ac:dyDescent="0.3">
      <c r="E347" s="3"/>
    </row>
    <row r="348" spans="5:5" ht="33" customHeight="1" x14ac:dyDescent="0.3">
      <c r="E348" s="3"/>
    </row>
    <row r="349" spans="5:5" ht="33" customHeight="1" x14ac:dyDescent="0.3">
      <c r="E349" s="3"/>
    </row>
    <row r="350" spans="5:5" ht="33" customHeight="1" x14ac:dyDescent="0.3">
      <c r="E350" s="3"/>
    </row>
    <row r="351" spans="5:5" ht="33" customHeight="1" x14ac:dyDescent="0.3">
      <c r="E351" s="3"/>
    </row>
    <row r="352" spans="5:5" ht="33" customHeight="1" x14ac:dyDescent="0.3">
      <c r="E352" s="3"/>
    </row>
    <row r="353" spans="5:5" ht="33" customHeight="1" x14ac:dyDescent="0.3">
      <c r="E353" s="3"/>
    </row>
    <row r="354" spans="5:5" ht="33" customHeight="1" x14ac:dyDescent="0.3">
      <c r="E354" s="3"/>
    </row>
    <row r="355" spans="5:5" ht="33" customHeight="1" x14ac:dyDescent="0.3">
      <c r="E355" s="3"/>
    </row>
    <row r="356" spans="5:5" ht="33" customHeight="1" x14ac:dyDescent="0.3">
      <c r="E356" s="3"/>
    </row>
    <row r="357" spans="5:5" ht="33" customHeight="1" x14ac:dyDescent="0.3">
      <c r="E357" s="3"/>
    </row>
    <row r="358" spans="5:5" ht="33" customHeight="1" x14ac:dyDescent="0.3">
      <c r="E358" s="3"/>
    </row>
    <row r="359" spans="5:5" ht="33" customHeight="1" x14ac:dyDescent="0.3">
      <c r="E359" s="3"/>
    </row>
    <row r="360" spans="5:5" ht="33" customHeight="1" x14ac:dyDescent="0.3">
      <c r="E360" s="3"/>
    </row>
    <row r="361" spans="5:5" ht="33" customHeight="1" x14ac:dyDescent="0.3">
      <c r="E361" s="3"/>
    </row>
    <row r="362" spans="5:5" ht="33" customHeight="1" x14ac:dyDescent="0.3">
      <c r="E362" s="3"/>
    </row>
    <row r="363" spans="5:5" ht="33" customHeight="1" x14ac:dyDescent="0.3">
      <c r="E363" s="3"/>
    </row>
    <row r="364" spans="5:5" ht="33" customHeight="1" x14ac:dyDescent="0.3">
      <c r="E364" s="3"/>
    </row>
    <row r="365" spans="5:5" ht="33" customHeight="1" x14ac:dyDescent="0.3">
      <c r="E365" s="3"/>
    </row>
    <row r="366" spans="5:5" ht="33" customHeight="1" x14ac:dyDescent="0.3">
      <c r="E366" s="3"/>
    </row>
    <row r="367" spans="5:5" ht="33" customHeight="1" x14ac:dyDescent="0.3">
      <c r="E367" s="3"/>
    </row>
    <row r="368" spans="5:5" ht="33" customHeight="1" x14ac:dyDescent="0.3">
      <c r="E368" s="3"/>
    </row>
    <row r="369" spans="5:5" ht="33" customHeight="1" x14ac:dyDescent="0.3">
      <c r="E369" s="3"/>
    </row>
    <row r="370" spans="5:5" ht="33" customHeight="1" x14ac:dyDescent="0.3">
      <c r="E370" s="3"/>
    </row>
    <row r="371" spans="5:5" ht="33" customHeight="1" x14ac:dyDescent="0.3">
      <c r="E371" s="3"/>
    </row>
    <row r="372" spans="5:5" ht="33" customHeight="1" x14ac:dyDescent="0.3">
      <c r="E372" s="3"/>
    </row>
    <row r="373" spans="5:5" ht="33" customHeight="1" x14ac:dyDescent="0.3">
      <c r="E373" s="3"/>
    </row>
    <row r="374" spans="5:5" ht="33" customHeight="1" x14ac:dyDescent="0.3">
      <c r="E374" s="3"/>
    </row>
    <row r="375" spans="5:5" ht="33" customHeight="1" x14ac:dyDescent="0.3">
      <c r="E375" s="3"/>
    </row>
    <row r="376" spans="5:5" ht="33" customHeight="1" x14ac:dyDescent="0.3">
      <c r="E376" s="3"/>
    </row>
    <row r="377" spans="5:5" ht="33" customHeight="1" x14ac:dyDescent="0.3">
      <c r="E377" s="3"/>
    </row>
    <row r="378" spans="5:5" ht="33" customHeight="1" x14ac:dyDescent="0.3">
      <c r="E378" s="3"/>
    </row>
    <row r="379" spans="5:5" ht="33" customHeight="1" x14ac:dyDescent="0.3">
      <c r="E379" s="3"/>
    </row>
    <row r="380" spans="5:5" ht="33" customHeight="1" x14ac:dyDescent="0.3">
      <c r="E380" s="3"/>
    </row>
    <row r="381" spans="5:5" ht="33" customHeight="1" x14ac:dyDescent="0.3">
      <c r="E381" s="3"/>
    </row>
    <row r="382" spans="5:5" ht="33" customHeight="1" x14ac:dyDescent="0.3">
      <c r="E382" s="3"/>
    </row>
    <row r="383" spans="5:5" ht="33" customHeight="1" x14ac:dyDescent="0.3">
      <c r="E383" s="3"/>
    </row>
    <row r="384" spans="5:5" ht="33" customHeight="1" x14ac:dyDescent="0.3">
      <c r="E384" s="3"/>
    </row>
    <row r="385" spans="5:5" ht="33" customHeight="1" x14ac:dyDescent="0.3">
      <c r="E385" s="3"/>
    </row>
    <row r="386" spans="5:5" ht="33" customHeight="1" x14ac:dyDescent="0.3">
      <c r="E386" s="3"/>
    </row>
    <row r="387" spans="5:5" ht="33" customHeight="1" x14ac:dyDescent="0.3">
      <c r="E387" s="3"/>
    </row>
    <row r="388" spans="5:5" ht="33" customHeight="1" x14ac:dyDescent="0.3">
      <c r="E388" s="3"/>
    </row>
    <row r="389" spans="5:5" ht="33" customHeight="1" x14ac:dyDescent="0.3">
      <c r="E389" s="3"/>
    </row>
    <row r="390" spans="5:5" ht="33" customHeight="1" x14ac:dyDescent="0.3">
      <c r="E390" s="3"/>
    </row>
    <row r="391" spans="5:5" ht="33" customHeight="1" x14ac:dyDescent="0.3">
      <c r="E391" s="3"/>
    </row>
    <row r="392" spans="5:5" ht="33" customHeight="1" x14ac:dyDescent="0.3">
      <c r="E392" s="3"/>
    </row>
    <row r="393" spans="5:5" ht="33" customHeight="1" x14ac:dyDescent="0.3">
      <c r="E393" s="3"/>
    </row>
    <row r="394" spans="5:5" ht="33" customHeight="1" x14ac:dyDescent="0.3">
      <c r="E394" s="3"/>
    </row>
    <row r="395" spans="5:5" ht="33" customHeight="1" x14ac:dyDescent="0.3">
      <c r="E395" s="3"/>
    </row>
    <row r="396" spans="5:5" ht="33" customHeight="1" x14ac:dyDescent="0.3">
      <c r="E396" s="3"/>
    </row>
    <row r="397" spans="5:5" ht="33" customHeight="1" x14ac:dyDescent="0.3">
      <c r="E397" s="3"/>
    </row>
    <row r="398" spans="5:5" ht="33" customHeight="1" x14ac:dyDescent="0.3">
      <c r="E398" s="3"/>
    </row>
    <row r="399" spans="5:5" ht="33" customHeight="1" x14ac:dyDescent="0.3">
      <c r="E399" s="3"/>
    </row>
    <row r="400" spans="5:5" ht="33" customHeight="1" x14ac:dyDescent="0.3">
      <c r="E400" s="3"/>
    </row>
    <row r="401" spans="5:5" ht="33" customHeight="1" x14ac:dyDescent="0.3">
      <c r="E401" s="3"/>
    </row>
    <row r="402" spans="5:5" ht="33" customHeight="1" x14ac:dyDescent="0.3">
      <c r="E402" s="3"/>
    </row>
    <row r="403" spans="5:5" ht="33" customHeight="1" x14ac:dyDescent="0.3">
      <c r="E403" s="3"/>
    </row>
    <row r="404" spans="5:5" ht="33" customHeight="1" x14ac:dyDescent="0.3">
      <c r="E404" s="3"/>
    </row>
    <row r="405" spans="5:5" ht="33" customHeight="1" x14ac:dyDescent="0.3">
      <c r="E405" s="3"/>
    </row>
    <row r="406" spans="5:5" ht="33" customHeight="1" x14ac:dyDescent="0.3">
      <c r="E406" s="3"/>
    </row>
    <row r="407" spans="5:5" ht="33" customHeight="1" x14ac:dyDescent="0.3">
      <c r="E407" s="3"/>
    </row>
    <row r="408" spans="5:5" ht="33" customHeight="1" x14ac:dyDescent="0.3">
      <c r="E408" s="3"/>
    </row>
    <row r="409" spans="5:5" ht="33" customHeight="1" x14ac:dyDescent="0.3">
      <c r="E409" s="3"/>
    </row>
    <row r="410" spans="5:5" ht="33" customHeight="1" x14ac:dyDescent="0.3">
      <c r="E410" s="3"/>
    </row>
    <row r="411" spans="5:5" ht="33" customHeight="1" x14ac:dyDescent="0.3">
      <c r="E411" s="3"/>
    </row>
    <row r="412" spans="5:5" ht="33" customHeight="1" x14ac:dyDescent="0.3">
      <c r="E412" s="3"/>
    </row>
    <row r="413" spans="5:5" ht="33" customHeight="1" x14ac:dyDescent="0.3">
      <c r="E413" s="3"/>
    </row>
    <row r="414" spans="5:5" ht="33" customHeight="1" x14ac:dyDescent="0.3">
      <c r="E414" s="3"/>
    </row>
    <row r="415" spans="5:5" ht="33" customHeight="1" x14ac:dyDescent="0.3">
      <c r="E415" s="3"/>
    </row>
    <row r="416" spans="5:5" ht="33" customHeight="1" x14ac:dyDescent="0.3">
      <c r="E416" s="3"/>
    </row>
    <row r="417" spans="5:5" ht="33" customHeight="1" x14ac:dyDescent="0.3">
      <c r="E417" s="3"/>
    </row>
    <row r="418" spans="5:5" ht="33" customHeight="1" x14ac:dyDescent="0.3">
      <c r="E418" s="3"/>
    </row>
    <row r="419" spans="5:5" ht="33" customHeight="1" x14ac:dyDescent="0.3">
      <c r="E419" s="3"/>
    </row>
    <row r="420" spans="5:5" ht="33" customHeight="1" x14ac:dyDescent="0.3">
      <c r="E420" s="3"/>
    </row>
    <row r="421" spans="5:5" ht="33" customHeight="1" x14ac:dyDescent="0.3">
      <c r="E421" s="3"/>
    </row>
    <row r="422" spans="5:5" ht="33" customHeight="1" x14ac:dyDescent="0.3">
      <c r="E422" s="3"/>
    </row>
    <row r="423" spans="5:5" ht="33" customHeight="1" x14ac:dyDescent="0.3">
      <c r="E423" s="3"/>
    </row>
    <row r="424" spans="5:5" ht="33" customHeight="1" x14ac:dyDescent="0.3">
      <c r="E424" s="3"/>
    </row>
    <row r="425" spans="5:5" ht="33" customHeight="1" x14ac:dyDescent="0.3">
      <c r="E425" s="3"/>
    </row>
    <row r="426" spans="5:5" ht="33" customHeight="1" x14ac:dyDescent="0.3">
      <c r="E426" s="3"/>
    </row>
    <row r="427" spans="5:5" ht="33" customHeight="1" x14ac:dyDescent="0.3">
      <c r="E427" s="3"/>
    </row>
    <row r="428" spans="5:5" ht="33" customHeight="1" x14ac:dyDescent="0.3">
      <c r="E428" s="3"/>
    </row>
    <row r="429" spans="5:5" ht="33" customHeight="1" x14ac:dyDescent="0.3">
      <c r="E429" s="3"/>
    </row>
    <row r="430" spans="5:5" ht="33" customHeight="1" x14ac:dyDescent="0.3">
      <c r="E430" s="3"/>
    </row>
    <row r="431" spans="5:5" ht="33" customHeight="1" x14ac:dyDescent="0.3">
      <c r="E431" s="3"/>
    </row>
    <row r="432" spans="5:5" ht="33" customHeight="1" x14ac:dyDescent="0.3">
      <c r="E432" s="3"/>
    </row>
    <row r="433" spans="5:5" ht="33" customHeight="1" x14ac:dyDescent="0.3">
      <c r="E433" s="3"/>
    </row>
    <row r="434" spans="5:5" ht="33" customHeight="1" x14ac:dyDescent="0.3">
      <c r="E434" s="3"/>
    </row>
    <row r="435" spans="5:5" ht="33" customHeight="1" x14ac:dyDescent="0.3">
      <c r="E435" s="3"/>
    </row>
    <row r="436" spans="5:5" ht="33" customHeight="1" x14ac:dyDescent="0.3">
      <c r="E436" s="3"/>
    </row>
    <row r="437" spans="5:5" ht="33" customHeight="1" x14ac:dyDescent="0.3">
      <c r="E437" s="3"/>
    </row>
    <row r="438" spans="5:5" ht="33" customHeight="1" x14ac:dyDescent="0.3">
      <c r="E438" s="3"/>
    </row>
    <row r="439" spans="5:5" ht="33" customHeight="1" x14ac:dyDescent="0.3">
      <c r="E439" s="3"/>
    </row>
    <row r="440" spans="5:5" ht="33" customHeight="1" x14ac:dyDescent="0.3">
      <c r="E440" s="3"/>
    </row>
    <row r="441" spans="5:5" ht="33" customHeight="1" x14ac:dyDescent="0.3">
      <c r="E441" s="3"/>
    </row>
    <row r="442" spans="5:5" ht="33" customHeight="1" x14ac:dyDescent="0.3">
      <c r="E442" s="3"/>
    </row>
    <row r="443" spans="5:5" ht="33" customHeight="1" x14ac:dyDescent="0.3">
      <c r="E443" s="3"/>
    </row>
    <row r="444" spans="5:5" ht="33" customHeight="1" x14ac:dyDescent="0.3">
      <c r="E444" s="3"/>
    </row>
    <row r="445" spans="5:5" ht="33" customHeight="1" x14ac:dyDescent="0.3">
      <c r="E445" s="3"/>
    </row>
    <row r="446" spans="5:5" ht="33" customHeight="1" x14ac:dyDescent="0.3">
      <c r="E446" s="3"/>
    </row>
    <row r="447" spans="5:5" ht="33" customHeight="1" x14ac:dyDescent="0.3">
      <c r="E447" s="3"/>
    </row>
    <row r="448" spans="5:5" ht="33" customHeight="1" x14ac:dyDescent="0.3">
      <c r="E448" s="3"/>
    </row>
    <row r="449" spans="5:5" ht="33" customHeight="1" x14ac:dyDescent="0.3">
      <c r="E449" s="3"/>
    </row>
    <row r="450" spans="5:5" ht="33" customHeight="1" x14ac:dyDescent="0.3">
      <c r="E450" s="3"/>
    </row>
    <row r="451" spans="5:5" ht="33" customHeight="1" x14ac:dyDescent="0.3">
      <c r="E451" s="3"/>
    </row>
    <row r="452" spans="5:5" ht="33" customHeight="1" x14ac:dyDescent="0.3">
      <c r="E452" s="3"/>
    </row>
    <row r="453" spans="5:5" ht="33" customHeight="1" x14ac:dyDescent="0.3">
      <c r="E453" s="3"/>
    </row>
    <row r="454" spans="5:5" ht="33" customHeight="1" x14ac:dyDescent="0.3">
      <c r="E454" s="3"/>
    </row>
    <row r="455" spans="5:5" ht="33" customHeight="1" x14ac:dyDescent="0.3">
      <c r="E455" s="3"/>
    </row>
    <row r="456" spans="5:5" ht="33" customHeight="1" x14ac:dyDescent="0.3">
      <c r="E456" s="3"/>
    </row>
    <row r="457" spans="5:5" ht="33" customHeight="1" x14ac:dyDescent="0.3">
      <c r="E457" s="3"/>
    </row>
    <row r="458" spans="5:5" ht="33" customHeight="1" x14ac:dyDescent="0.3">
      <c r="E458" s="3"/>
    </row>
    <row r="459" spans="5:5" ht="33" customHeight="1" x14ac:dyDescent="0.3">
      <c r="E459" s="3"/>
    </row>
    <row r="460" spans="5:5" ht="33" customHeight="1" x14ac:dyDescent="0.3">
      <c r="E460" s="3"/>
    </row>
    <row r="461" spans="5:5" ht="33" customHeight="1" x14ac:dyDescent="0.3">
      <c r="E461" s="3"/>
    </row>
    <row r="462" spans="5:5" ht="33" customHeight="1" x14ac:dyDescent="0.3">
      <c r="E462" s="3"/>
    </row>
    <row r="463" spans="5:5" ht="33" customHeight="1" x14ac:dyDescent="0.3">
      <c r="E463" s="3"/>
    </row>
    <row r="464" spans="5:5" ht="33" customHeight="1" x14ac:dyDescent="0.3">
      <c r="E464" s="3"/>
    </row>
    <row r="465" spans="5:5" ht="33" customHeight="1" x14ac:dyDescent="0.3">
      <c r="E465" s="3"/>
    </row>
    <row r="466" spans="5:5" ht="33" customHeight="1" x14ac:dyDescent="0.3">
      <c r="E466" s="3"/>
    </row>
    <row r="467" spans="5:5" ht="33" customHeight="1" x14ac:dyDescent="0.3">
      <c r="E467" s="3"/>
    </row>
    <row r="468" spans="5:5" ht="33" customHeight="1" x14ac:dyDescent="0.3">
      <c r="E468" s="3"/>
    </row>
    <row r="469" spans="5:5" ht="33" customHeight="1" x14ac:dyDescent="0.3">
      <c r="E469" s="3"/>
    </row>
    <row r="470" spans="5:5" ht="33" customHeight="1" x14ac:dyDescent="0.3">
      <c r="E470" s="3"/>
    </row>
    <row r="471" spans="5:5" ht="33" customHeight="1" x14ac:dyDescent="0.3">
      <c r="E471" s="3"/>
    </row>
    <row r="472" spans="5:5" ht="33" customHeight="1" x14ac:dyDescent="0.3">
      <c r="E472" s="3"/>
    </row>
    <row r="473" spans="5:5" ht="33" customHeight="1" x14ac:dyDescent="0.3">
      <c r="E473" s="3"/>
    </row>
    <row r="474" spans="5:5" ht="33" customHeight="1" x14ac:dyDescent="0.3">
      <c r="E474" s="3"/>
    </row>
    <row r="475" spans="5:5" ht="33" customHeight="1" x14ac:dyDescent="0.3">
      <c r="E475" s="3"/>
    </row>
    <row r="476" spans="5:5" ht="33" customHeight="1" x14ac:dyDescent="0.3">
      <c r="E476" s="3"/>
    </row>
    <row r="477" spans="5:5" ht="33" customHeight="1" x14ac:dyDescent="0.3">
      <c r="E477" s="3"/>
    </row>
    <row r="478" spans="5:5" ht="33" customHeight="1" x14ac:dyDescent="0.3">
      <c r="E478" s="3"/>
    </row>
    <row r="479" spans="5:5" ht="33" customHeight="1" x14ac:dyDescent="0.3">
      <c r="E479" s="3"/>
    </row>
    <row r="480" spans="5:5" ht="33" customHeight="1" x14ac:dyDescent="0.3">
      <c r="E480" s="3"/>
    </row>
    <row r="481" spans="5:5" ht="33" customHeight="1" x14ac:dyDescent="0.3">
      <c r="E481" s="3"/>
    </row>
    <row r="482" spans="5:5" ht="33" customHeight="1" x14ac:dyDescent="0.3">
      <c r="E482" s="3"/>
    </row>
    <row r="483" spans="5:5" ht="33" customHeight="1" x14ac:dyDescent="0.3">
      <c r="E483" s="3"/>
    </row>
    <row r="484" spans="5:5" ht="33" customHeight="1" x14ac:dyDescent="0.3">
      <c r="E484" s="3"/>
    </row>
    <row r="485" spans="5:5" ht="33" customHeight="1" x14ac:dyDescent="0.3">
      <c r="E485" s="3"/>
    </row>
    <row r="486" spans="5:5" ht="33" customHeight="1" x14ac:dyDescent="0.3">
      <c r="E486" s="3"/>
    </row>
    <row r="487" spans="5:5" ht="33" customHeight="1" x14ac:dyDescent="0.3">
      <c r="E487" s="3"/>
    </row>
    <row r="488" spans="5:5" ht="33" customHeight="1" x14ac:dyDescent="0.3">
      <c r="E488" s="3"/>
    </row>
    <row r="489" spans="5:5" ht="33" customHeight="1" x14ac:dyDescent="0.3">
      <c r="E489" s="3"/>
    </row>
    <row r="490" spans="5:5" ht="33" customHeight="1" x14ac:dyDescent="0.3">
      <c r="E490" s="3"/>
    </row>
    <row r="491" spans="5:5" ht="33" customHeight="1" x14ac:dyDescent="0.3">
      <c r="E491" s="3"/>
    </row>
    <row r="492" spans="5:5" ht="33" customHeight="1" x14ac:dyDescent="0.3">
      <c r="E492" s="3"/>
    </row>
    <row r="493" spans="5:5" ht="33" customHeight="1" x14ac:dyDescent="0.3">
      <c r="E493" s="3"/>
    </row>
    <row r="494" spans="5:5" ht="33" customHeight="1" x14ac:dyDescent="0.3">
      <c r="E494" s="3"/>
    </row>
    <row r="495" spans="5:5" ht="33" customHeight="1" x14ac:dyDescent="0.3">
      <c r="E495" s="3"/>
    </row>
    <row r="496" spans="5:5" ht="33" customHeight="1" x14ac:dyDescent="0.3">
      <c r="E496" s="3"/>
    </row>
    <row r="497" spans="5:5" ht="33" customHeight="1" x14ac:dyDescent="0.3">
      <c r="E497" s="3"/>
    </row>
    <row r="498" spans="5:5" ht="33" customHeight="1" x14ac:dyDescent="0.3">
      <c r="E498" s="3"/>
    </row>
    <row r="499" spans="5:5" ht="33" customHeight="1" x14ac:dyDescent="0.3">
      <c r="E499" s="3"/>
    </row>
    <row r="500" spans="5:5" ht="33" customHeight="1" x14ac:dyDescent="0.3">
      <c r="E500" s="3"/>
    </row>
    <row r="501" spans="5:5" ht="33" customHeight="1" x14ac:dyDescent="0.3">
      <c r="E501" s="3"/>
    </row>
    <row r="502" spans="5:5" ht="33" customHeight="1" x14ac:dyDescent="0.3">
      <c r="E502" s="3"/>
    </row>
    <row r="503" spans="5:5" ht="33" customHeight="1" x14ac:dyDescent="0.3">
      <c r="E503" s="3"/>
    </row>
    <row r="504" spans="5:5" ht="33" customHeight="1" x14ac:dyDescent="0.3">
      <c r="E504" s="3"/>
    </row>
    <row r="505" spans="5:5" ht="33" customHeight="1" x14ac:dyDescent="0.3">
      <c r="E505" s="3"/>
    </row>
    <row r="506" spans="5:5" ht="33" customHeight="1" x14ac:dyDescent="0.3">
      <c r="E506" s="3"/>
    </row>
    <row r="507" spans="5:5" ht="33" customHeight="1" x14ac:dyDescent="0.3">
      <c r="E507" s="3"/>
    </row>
    <row r="508" spans="5:5" ht="33" customHeight="1" x14ac:dyDescent="0.3">
      <c r="E508" s="3"/>
    </row>
    <row r="509" spans="5:5" ht="33" customHeight="1" x14ac:dyDescent="0.3">
      <c r="E509" s="3"/>
    </row>
    <row r="510" spans="5:5" ht="33" customHeight="1" x14ac:dyDescent="0.3">
      <c r="E510" s="3"/>
    </row>
    <row r="511" spans="5:5" ht="33" customHeight="1" x14ac:dyDescent="0.3">
      <c r="E511" s="3"/>
    </row>
    <row r="512" spans="5:5" ht="33" customHeight="1" x14ac:dyDescent="0.3">
      <c r="E512" s="3"/>
    </row>
    <row r="513" spans="5:5" ht="33" customHeight="1" x14ac:dyDescent="0.3">
      <c r="E513" s="3"/>
    </row>
    <row r="514" spans="5:5" ht="33" customHeight="1" x14ac:dyDescent="0.3">
      <c r="E514" s="3"/>
    </row>
    <row r="515" spans="5:5" ht="33" customHeight="1" x14ac:dyDescent="0.3">
      <c r="E515" s="3"/>
    </row>
    <row r="516" spans="5:5" ht="33" customHeight="1" x14ac:dyDescent="0.3">
      <c r="E516" s="3"/>
    </row>
    <row r="517" spans="5:5" ht="33" customHeight="1" x14ac:dyDescent="0.3">
      <c r="E517" s="3"/>
    </row>
    <row r="518" spans="5:5" ht="33" customHeight="1" x14ac:dyDescent="0.3">
      <c r="E518" s="3"/>
    </row>
    <row r="519" spans="5:5" ht="33" customHeight="1" x14ac:dyDescent="0.3">
      <c r="E519" s="3"/>
    </row>
    <row r="520" spans="5:5" ht="33" customHeight="1" x14ac:dyDescent="0.3">
      <c r="E520" s="3"/>
    </row>
    <row r="521" spans="5:5" ht="33" customHeight="1" x14ac:dyDescent="0.3">
      <c r="E521" s="3"/>
    </row>
    <row r="522" spans="5:5" ht="33" customHeight="1" x14ac:dyDescent="0.3">
      <c r="E522" s="3"/>
    </row>
    <row r="523" spans="5:5" ht="33" customHeight="1" x14ac:dyDescent="0.3">
      <c r="E523" s="3"/>
    </row>
    <row r="524" spans="5:5" ht="33" customHeight="1" x14ac:dyDescent="0.3">
      <c r="E524" s="3"/>
    </row>
    <row r="525" spans="5:5" ht="33" customHeight="1" x14ac:dyDescent="0.3">
      <c r="E525" s="3"/>
    </row>
    <row r="526" spans="5:5" ht="33" customHeight="1" x14ac:dyDescent="0.3">
      <c r="E526" s="3"/>
    </row>
    <row r="527" spans="5:5" ht="33" customHeight="1" x14ac:dyDescent="0.3">
      <c r="E527" s="3"/>
    </row>
    <row r="528" spans="5:5" ht="33" customHeight="1" x14ac:dyDescent="0.3">
      <c r="E528" s="3"/>
    </row>
    <row r="529" spans="5:5" ht="33" customHeight="1" x14ac:dyDescent="0.3">
      <c r="E529" s="3"/>
    </row>
    <row r="530" spans="5:5" ht="33" customHeight="1" x14ac:dyDescent="0.3">
      <c r="E530" s="3"/>
    </row>
    <row r="531" spans="5:5" ht="33" customHeight="1" x14ac:dyDescent="0.3">
      <c r="E531" s="3"/>
    </row>
    <row r="532" spans="5:5" ht="33" customHeight="1" x14ac:dyDescent="0.3">
      <c r="E532" s="3"/>
    </row>
    <row r="533" spans="5:5" ht="33" customHeight="1" x14ac:dyDescent="0.3">
      <c r="E533" s="3"/>
    </row>
    <row r="534" spans="5:5" ht="33" customHeight="1" x14ac:dyDescent="0.3">
      <c r="E534" s="3"/>
    </row>
    <row r="535" spans="5:5" ht="33" customHeight="1" x14ac:dyDescent="0.3">
      <c r="E535" s="3"/>
    </row>
    <row r="536" spans="5:5" ht="33" customHeight="1" x14ac:dyDescent="0.3">
      <c r="E536" s="3"/>
    </row>
    <row r="537" spans="5:5" ht="33" customHeight="1" x14ac:dyDescent="0.3">
      <c r="E537" s="3"/>
    </row>
    <row r="538" spans="5:5" ht="33" customHeight="1" x14ac:dyDescent="0.3">
      <c r="E538" s="3"/>
    </row>
    <row r="539" spans="5:5" ht="33" customHeight="1" x14ac:dyDescent="0.3">
      <c r="E539" s="3"/>
    </row>
    <row r="540" spans="5:5" ht="33" customHeight="1" x14ac:dyDescent="0.3">
      <c r="E540" s="3"/>
    </row>
    <row r="541" spans="5:5" ht="33" customHeight="1" x14ac:dyDescent="0.3">
      <c r="E541" s="3"/>
    </row>
    <row r="542" spans="5:5" ht="33" customHeight="1" x14ac:dyDescent="0.3">
      <c r="E542" s="3"/>
    </row>
    <row r="543" spans="5:5" ht="33" customHeight="1" x14ac:dyDescent="0.3">
      <c r="E543" s="3"/>
    </row>
    <row r="544" spans="5:5" ht="33" customHeight="1" x14ac:dyDescent="0.3">
      <c r="E544" s="3"/>
    </row>
    <row r="545" spans="5:5" ht="33" customHeight="1" x14ac:dyDescent="0.3">
      <c r="E545" s="3"/>
    </row>
    <row r="546" spans="5:5" ht="33" customHeight="1" x14ac:dyDescent="0.3">
      <c r="E546" s="3"/>
    </row>
    <row r="547" spans="5:5" ht="33" customHeight="1" x14ac:dyDescent="0.3">
      <c r="E547" s="3"/>
    </row>
    <row r="548" spans="5:5" ht="33" customHeight="1" x14ac:dyDescent="0.3">
      <c r="E548" s="3"/>
    </row>
    <row r="549" spans="5:5" ht="33" customHeight="1" x14ac:dyDescent="0.3">
      <c r="E549" s="3"/>
    </row>
    <row r="550" spans="5:5" ht="33" customHeight="1" x14ac:dyDescent="0.3">
      <c r="E550" s="3"/>
    </row>
    <row r="551" spans="5:5" ht="33" customHeight="1" x14ac:dyDescent="0.3">
      <c r="E551" s="3"/>
    </row>
    <row r="552" spans="5:5" ht="33" customHeight="1" x14ac:dyDescent="0.3">
      <c r="E552" s="3"/>
    </row>
    <row r="553" spans="5:5" ht="33" customHeight="1" x14ac:dyDescent="0.3">
      <c r="E553" s="3"/>
    </row>
    <row r="554" spans="5:5" ht="33" customHeight="1" x14ac:dyDescent="0.3">
      <c r="E554" s="3"/>
    </row>
    <row r="555" spans="5:5" ht="33" customHeight="1" x14ac:dyDescent="0.3">
      <c r="E555" s="3"/>
    </row>
    <row r="556" spans="5:5" ht="33" customHeight="1" x14ac:dyDescent="0.3">
      <c r="E556" s="3"/>
    </row>
    <row r="557" spans="5:5" ht="33" customHeight="1" x14ac:dyDescent="0.3">
      <c r="E557" s="3"/>
    </row>
    <row r="558" spans="5:5" ht="33" customHeight="1" x14ac:dyDescent="0.3">
      <c r="E558" s="3"/>
    </row>
    <row r="559" spans="5:5" ht="33" customHeight="1" x14ac:dyDescent="0.3">
      <c r="E559" s="3"/>
    </row>
    <row r="560" spans="5:5" ht="33" customHeight="1" x14ac:dyDescent="0.3">
      <c r="E560" s="3"/>
    </row>
    <row r="561" spans="5:5" ht="33" customHeight="1" x14ac:dyDescent="0.3">
      <c r="E561" s="3"/>
    </row>
    <row r="562" spans="5:5" ht="33" customHeight="1" x14ac:dyDescent="0.3">
      <c r="E562" s="3"/>
    </row>
    <row r="563" spans="5:5" ht="33" customHeight="1" x14ac:dyDescent="0.3">
      <c r="E563" s="3"/>
    </row>
    <row r="564" spans="5:5" ht="33" customHeight="1" x14ac:dyDescent="0.3">
      <c r="E564" s="3"/>
    </row>
    <row r="565" spans="5:5" ht="33" customHeight="1" x14ac:dyDescent="0.3">
      <c r="E565" s="3"/>
    </row>
    <row r="566" spans="5:5" ht="33" customHeight="1" x14ac:dyDescent="0.3">
      <c r="E566" s="3"/>
    </row>
    <row r="567" spans="5:5" ht="33" customHeight="1" x14ac:dyDescent="0.3">
      <c r="E567" s="3"/>
    </row>
    <row r="568" spans="5:5" ht="33" customHeight="1" x14ac:dyDescent="0.3">
      <c r="E568" s="3"/>
    </row>
    <row r="569" spans="5:5" ht="33" customHeight="1" x14ac:dyDescent="0.3">
      <c r="E569" s="3"/>
    </row>
    <row r="570" spans="5:5" ht="33" customHeight="1" x14ac:dyDescent="0.3">
      <c r="E570" s="3"/>
    </row>
    <row r="571" spans="5:5" ht="33" customHeight="1" x14ac:dyDescent="0.3">
      <c r="E571" s="3"/>
    </row>
    <row r="572" spans="5:5" ht="33" customHeight="1" x14ac:dyDescent="0.3">
      <c r="E572" s="3"/>
    </row>
    <row r="573" spans="5:5" ht="33" customHeight="1" x14ac:dyDescent="0.3">
      <c r="E573" s="3"/>
    </row>
    <row r="574" spans="5:5" ht="33" customHeight="1" x14ac:dyDescent="0.3">
      <c r="E574" s="3"/>
    </row>
    <row r="575" spans="5:5" ht="33" customHeight="1" x14ac:dyDescent="0.3">
      <c r="E575" s="3"/>
    </row>
    <row r="576" spans="5:5" ht="33" customHeight="1" x14ac:dyDescent="0.3">
      <c r="E576" s="3"/>
    </row>
    <row r="577" spans="5:5" ht="33" customHeight="1" x14ac:dyDescent="0.3">
      <c r="E577" s="3"/>
    </row>
    <row r="578" spans="5:5" ht="33" customHeight="1" x14ac:dyDescent="0.3">
      <c r="E578" s="3"/>
    </row>
    <row r="579" spans="5:5" ht="33" customHeight="1" x14ac:dyDescent="0.3">
      <c r="E579" s="3"/>
    </row>
    <row r="580" spans="5:5" ht="33" customHeight="1" x14ac:dyDescent="0.3">
      <c r="E580" s="3"/>
    </row>
    <row r="581" spans="5:5" ht="33" customHeight="1" x14ac:dyDescent="0.3">
      <c r="E581" s="3"/>
    </row>
    <row r="582" spans="5:5" ht="33" customHeight="1" x14ac:dyDescent="0.3">
      <c r="E582" s="3"/>
    </row>
    <row r="583" spans="5:5" ht="33" customHeight="1" x14ac:dyDescent="0.3">
      <c r="E583" s="3"/>
    </row>
    <row r="584" spans="5:5" ht="33" customHeight="1" x14ac:dyDescent="0.3">
      <c r="E584" s="3"/>
    </row>
    <row r="585" spans="5:5" ht="33" customHeight="1" x14ac:dyDescent="0.3">
      <c r="E585" s="3"/>
    </row>
    <row r="586" spans="5:5" ht="33" customHeight="1" x14ac:dyDescent="0.3">
      <c r="E586" s="3"/>
    </row>
    <row r="587" spans="5:5" ht="33" customHeight="1" x14ac:dyDescent="0.3">
      <c r="E587" s="3"/>
    </row>
    <row r="588" spans="5:5" ht="33" customHeight="1" x14ac:dyDescent="0.3">
      <c r="E588" s="3"/>
    </row>
    <row r="589" spans="5:5" ht="33" customHeight="1" x14ac:dyDescent="0.3">
      <c r="E589" s="3"/>
    </row>
    <row r="590" spans="5:5" ht="33" customHeight="1" x14ac:dyDescent="0.3">
      <c r="E590" s="3"/>
    </row>
    <row r="591" spans="5:5" ht="33" customHeight="1" x14ac:dyDescent="0.3">
      <c r="E591" s="3"/>
    </row>
    <row r="592" spans="5:5" ht="33" customHeight="1" x14ac:dyDescent="0.3">
      <c r="E592" s="3"/>
    </row>
    <row r="593" spans="5:5" ht="33" customHeight="1" x14ac:dyDescent="0.3">
      <c r="E593" s="3"/>
    </row>
    <row r="594" spans="5:5" ht="33" customHeight="1" x14ac:dyDescent="0.3">
      <c r="E594" s="3"/>
    </row>
    <row r="595" spans="5:5" ht="33" customHeight="1" x14ac:dyDescent="0.3">
      <c r="E595" s="3"/>
    </row>
    <row r="596" spans="5:5" ht="33" customHeight="1" x14ac:dyDescent="0.3">
      <c r="E596" s="3"/>
    </row>
    <row r="597" spans="5:5" ht="33" customHeight="1" x14ac:dyDescent="0.3">
      <c r="E597" s="3"/>
    </row>
    <row r="598" spans="5:5" ht="33" customHeight="1" x14ac:dyDescent="0.3">
      <c r="E598" s="3"/>
    </row>
    <row r="599" spans="5:5" ht="33" customHeight="1" x14ac:dyDescent="0.3">
      <c r="E599" s="3"/>
    </row>
    <row r="600" spans="5:5" ht="33" customHeight="1" x14ac:dyDescent="0.3">
      <c r="E600" s="3"/>
    </row>
    <row r="601" spans="5:5" ht="33" customHeight="1" x14ac:dyDescent="0.3">
      <c r="E601" s="3"/>
    </row>
    <row r="602" spans="5:5" ht="33" customHeight="1" x14ac:dyDescent="0.3">
      <c r="E602" s="3"/>
    </row>
    <row r="603" spans="5:5" ht="33" customHeight="1" x14ac:dyDescent="0.3">
      <c r="E603" s="3"/>
    </row>
    <row r="604" spans="5:5" ht="33" customHeight="1" x14ac:dyDescent="0.3">
      <c r="E604" s="3"/>
    </row>
    <row r="605" spans="5:5" ht="33" customHeight="1" x14ac:dyDescent="0.3">
      <c r="E605" s="3"/>
    </row>
    <row r="606" spans="5:5" ht="33" customHeight="1" x14ac:dyDescent="0.3">
      <c r="E606" s="3"/>
    </row>
    <row r="607" spans="5:5" ht="33" customHeight="1" x14ac:dyDescent="0.3">
      <c r="E607" s="3"/>
    </row>
    <row r="608" spans="5:5" ht="33" customHeight="1" x14ac:dyDescent="0.3">
      <c r="E608" s="3"/>
    </row>
    <row r="609" spans="5:5" ht="33" customHeight="1" x14ac:dyDescent="0.3">
      <c r="E609" s="3"/>
    </row>
    <row r="610" spans="5:5" ht="33" customHeight="1" x14ac:dyDescent="0.3">
      <c r="E610" s="3"/>
    </row>
    <row r="611" spans="5:5" ht="33" customHeight="1" x14ac:dyDescent="0.3">
      <c r="E611" s="3"/>
    </row>
    <row r="612" spans="5:5" ht="33" customHeight="1" x14ac:dyDescent="0.3">
      <c r="E612" s="3"/>
    </row>
    <row r="613" spans="5:5" ht="33" customHeight="1" x14ac:dyDescent="0.3">
      <c r="E613" s="3"/>
    </row>
    <row r="614" spans="5:5" ht="33" customHeight="1" x14ac:dyDescent="0.3">
      <c r="E614" s="3"/>
    </row>
    <row r="615" spans="5:5" ht="33" customHeight="1" x14ac:dyDescent="0.3">
      <c r="E615" s="3"/>
    </row>
    <row r="616" spans="5:5" ht="33" customHeight="1" x14ac:dyDescent="0.3">
      <c r="E616" s="3"/>
    </row>
    <row r="617" spans="5:5" ht="33" customHeight="1" x14ac:dyDescent="0.3">
      <c r="E617" s="3"/>
    </row>
    <row r="618" spans="5:5" ht="33" customHeight="1" x14ac:dyDescent="0.3">
      <c r="E618" s="3"/>
    </row>
    <row r="619" spans="5:5" ht="33" customHeight="1" x14ac:dyDescent="0.3">
      <c r="E619" s="3"/>
    </row>
    <row r="620" spans="5:5" ht="33" customHeight="1" x14ac:dyDescent="0.3">
      <c r="E620" s="3"/>
    </row>
    <row r="621" spans="5:5" ht="33" customHeight="1" x14ac:dyDescent="0.3">
      <c r="E621" s="3"/>
    </row>
    <row r="622" spans="5:5" ht="33" customHeight="1" x14ac:dyDescent="0.3">
      <c r="E622" s="3"/>
    </row>
    <row r="623" spans="5:5" ht="33" customHeight="1" x14ac:dyDescent="0.3">
      <c r="E623" s="3"/>
    </row>
    <row r="624" spans="5:5" ht="33" customHeight="1" x14ac:dyDescent="0.3">
      <c r="E624" s="3"/>
    </row>
    <row r="625" spans="5:5" ht="33" customHeight="1" x14ac:dyDescent="0.3">
      <c r="E625" s="3"/>
    </row>
    <row r="626" spans="5:5" ht="33" customHeight="1" x14ac:dyDescent="0.3">
      <c r="E626" s="3"/>
    </row>
    <row r="627" spans="5:5" ht="33" customHeight="1" x14ac:dyDescent="0.3">
      <c r="E627" s="3"/>
    </row>
    <row r="628" spans="5:5" ht="33" customHeight="1" x14ac:dyDescent="0.3">
      <c r="E628" s="3"/>
    </row>
    <row r="629" spans="5:5" ht="33" customHeight="1" x14ac:dyDescent="0.3">
      <c r="E629" s="3"/>
    </row>
    <row r="630" spans="5:5" ht="33" customHeight="1" x14ac:dyDescent="0.3">
      <c r="E630" s="3"/>
    </row>
    <row r="631" spans="5:5" ht="33" customHeight="1" x14ac:dyDescent="0.3">
      <c r="E631" s="3"/>
    </row>
    <row r="632" spans="5:5" ht="33" customHeight="1" x14ac:dyDescent="0.3">
      <c r="E632" s="3"/>
    </row>
    <row r="633" spans="5:5" ht="33" customHeight="1" x14ac:dyDescent="0.3">
      <c r="E633" s="3"/>
    </row>
    <row r="634" spans="5:5" ht="33" customHeight="1" x14ac:dyDescent="0.3">
      <c r="E634" s="3"/>
    </row>
    <row r="635" spans="5:5" ht="33" customHeight="1" x14ac:dyDescent="0.3">
      <c r="E635" s="3"/>
    </row>
    <row r="636" spans="5:5" ht="33" customHeight="1" x14ac:dyDescent="0.3">
      <c r="E636" s="3"/>
    </row>
    <row r="637" spans="5:5" ht="33" customHeight="1" x14ac:dyDescent="0.3">
      <c r="E637" s="3"/>
    </row>
    <row r="638" spans="5:5" ht="33" customHeight="1" x14ac:dyDescent="0.3">
      <c r="E638" s="3"/>
    </row>
    <row r="639" spans="5:5" ht="33" customHeight="1" x14ac:dyDescent="0.3">
      <c r="E639" s="3"/>
    </row>
    <row r="640" spans="5:5" ht="33" customHeight="1" x14ac:dyDescent="0.3">
      <c r="E640" s="3"/>
    </row>
    <row r="641" spans="5:5" ht="33" customHeight="1" x14ac:dyDescent="0.3">
      <c r="E641" s="3"/>
    </row>
    <row r="642" spans="5:5" ht="33" customHeight="1" x14ac:dyDescent="0.3">
      <c r="E642" s="3"/>
    </row>
    <row r="643" spans="5:5" ht="33" customHeight="1" x14ac:dyDescent="0.3">
      <c r="E643" s="3"/>
    </row>
    <row r="644" spans="5:5" ht="33" customHeight="1" x14ac:dyDescent="0.3">
      <c r="E644" s="3"/>
    </row>
    <row r="645" spans="5:5" ht="33" customHeight="1" x14ac:dyDescent="0.3">
      <c r="E645" s="3"/>
    </row>
    <row r="646" spans="5:5" ht="33" customHeight="1" x14ac:dyDescent="0.3">
      <c r="E646" s="3"/>
    </row>
    <row r="647" spans="5:5" ht="33" customHeight="1" x14ac:dyDescent="0.3">
      <c r="E647" s="3"/>
    </row>
    <row r="648" spans="5:5" ht="33" customHeight="1" x14ac:dyDescent="0.3">
      <c r="E648" s="3"/>
    </row>
    <row r="649" spans="5:5" ht="33" customHeight="1" x14ac:dyDescent="0.3">
      <c r="E649" s="3"/>
    </row>
    <row r="650" spans="5:5" ht="33" customHeight="1" x14ac:dyDescent="0.3">
      <c r="E650" s="3"/>
    </row>
    <row r="651" spans="5:5" ht="33" customHeight="1" x14ac:dyDescent="0.3">
      <c r="E651" s="3"/>
    </row>
    <row r="652" spans="5:5" ht="33" customHeight="1" x14ac:dyDescent="0.3">
      <c r="E652" s="3"/>
    </row>
    <row r="653" spans="5:5" ht="33" customHeight="1" x14ac:dyDescent="0.3">
      <c r="E653" s="3"/>
    </row>
    <row r="654" spans="5:5" ht="33" customHeight="1" x14ac:dyDescent="0.3">
      <c r="E654" s="3"/>
    </row>
    <row r="655" spans="5:5" ht="33" customHeight="1" x14ac:dyDescent="0.3">
      <c r="E655" s="3"/>
    </row>
    <row r="656" spans="5:5" ht="33" customHeight="1" x14ac:dyDescent="0.3">
      <c r="E656" s="3"/>
    </row>
    <row r="657" spans="5:5" ht="33" customHeight="1" x14ac:dyDescent="0.3">
      <c r="E657" s="3"/>
    </row>
    <row r="658" spans="5:5" ht="33" customHeight="1" x14ac:dyDescent="0.3">
      <c r="E658" s="3"/>
    </row>
    <row r="659" spans="5:5" ht="33" customHeight="1" x14ac:dyDescent="0.3">
      <c r="E659" s="3"/>
    </row>
    <row r="660" spans="5:5" ht="33" customHeight="1" x14ac:dyDescent="0.3">
      <c r="E660" s="3"/>
    </row>
    <row r="661" spans="5:5" ht="33" customHeight="1" x14ac:dyDescent="0.3">
      <c r="E661" s="3"/>
    </row>
    <row r="662" spans="5:5" ht="33" customHeight="1" x14ac:dyDescent="0.3">
      <c r="E662" s="3"/>
    </row>
    <row r="663" spans="5:5" ht="33" customHeight="1" x14ac:dyDescent="0.3">
      <c r="E663" s="3"/>
    </row>
    <row r="664" spans="5:5" ht="33" customHeight="1" x14ac:dyDescent="0.3">
      <c r="E664" s="3"/>
    </row>
    <row r="665" spans="5:5" ht="33" customHeight="1" x14ac:dyDescent="0.3">
      <c r="E665" s="3"/>
    </row>
    <row r="666" spans="5:5" ht="33" customHeight="1" x14ac:dyDescent="0.3">
      <c r="E666" s="3"/>
    </row>
    <row r="667" spans="5:5" ht="33" customHeight="1" x14ac:dyDescent="0.3">
      <c r="E667" s="3"/>
    </row>
    <row r="668" spans="5:5" ht="33" customHeight="1" x14ac:dyDescent="0.3">
      <c r="E668" s="3"/>
    </row>
    <row r="669" spans="5:5" ht="33" customHeight="1" x14ac:dyDescent="0.3">
      <c r="E669" s="3"/>
    </row>
    <row r="670" spans="5:5" ht="33" customHeight="1" x14ac:dyDescent="0.3">
      <c r="E670" s="3"/>
    </row>
    <row r="671" spans="5:5" ht="33" customHeight="1" x14ac:dyDescent="0.3">
      <c r="E671" s="3"/>
    </row>
    <row r="672" spans="5:5" ht="33" customHeight="1" x14ac:dyDescent="0.3">
      <c r="E672" s="3"/>
    </row>
    <row r="673" spans="5:5" ht="33" customHeight="1" x14ac:dyDescent="0.3">
      <c r="E673" s="3"/>
    </row>
    <row r="674" spans="5:5" ht="33" customHeight="1" x14ac:dyDescent="0.3">
      <c r="E674" s="3"/>
    </row>
    <row r="675" spans="5:5" ht="33" customHeight="1" x14ac:dyDescent="0.3">
      <c r="E675" s="3"/>
    </row>
    <row r="676" spans="5:5" ht="33" customHeight="1" x14ac:dyDescent="0.3">
      <c r="E676" s="3"/>
    </row>
    <row r="677" spans="5:5" ht="33" customHeight="1" x14ac:dyDescent="0.3">
      <c r="E677" s="3"/>
    </row>
    <row r="678" spans="5:5" ht="33" customHeight="1" x14ac:dyDescent="0.3">
      <c r="E678" s="3"/>
    </row>
    <row r="679" spans="5:5" ht="33" customHeight="1" x14ac:dyDescent="0.3">
      <c r="E679" s="3"/>
    </row>
    <row r="680" spans="5:5" ht="33" customHeight="1" x14ac:dyDescent="0.3">
      <c r="E680" s="3"/>
    </row>
    <row r="681" spans="5:5" ht="33" customHeight="1" x14ac:dyDescent="0.3">
      <c r="E681" s="3"/>
    </row>
    <row r="682" spans="5:5" ht="33" customHeight="1" x14ac:dyDescent="0.3">
      <c r="E682" s="3"/>
    </row>
    <row r="683" spans="5:5" ht="33" customHeight="1" x14ac:dyDescent="0.3">
      <c r="E683" s="3"/>
    </row>
    <row r="684" spans="5:5" ht="33" customHeight="1" x14ac:dyDescent="0.3">
      <c r="E684" s="3"/>
    </row>
    <row r="685" spans="5:5" ht="33" customHeight="1" x14ac:dyDescent="0.3">
      <c r="E685" s="3"/>
    </row>
    <row r="686" spans="5:5" ht="33" customHeight="1" x14ac:dyDescent="0.3">
      <c r="E686" s="3"/>
    </row>
    <row r="687" spans="5:5" ht="33" customHeight="1" x14ac:dyDescent="0.3">
      <c r="E687" s="3"/>
    </row>
    <row r="688" spans="5:5" ht="33" customHeight="1" x14ac:dyDescent="0.3">
      <c r="E688" s="3"/>
    </row>
    <row r="689" spans="5:5" ht="33" customHeight="1" x14ac:dyDescent="0.3">
      <c r="E689" s="3"/>
    </row>
    <row r="690" spans="5:5" ht="33" customHeight="1" x14ac:dyDescent="0.3">
      <c r="E690" s="3"/>
    </row>
    <row r="691" spans="5:5" ht="33" customHeight="1" x14ac:dyDescent="0.3">
      <c r="E691" s="3"/>
    </row>
    <row r="692" spans="5:5" ht="33" customHeight="1" x14ac:dyDescent="0.3">
      <c r="E692" s="3"/>
    </row>
    <row r="693" spans="5:5" ht="33" customHeight="1" x14ac:dyDescent="0.3">
      <c r="E693" s="3"/>
    </row>
    <row r="694" spans="5:5" ht="33" customHeight="1" x14ac:dyDescent="0.3">
      <c r="E694" s="3"/>
    </row>
    <row r="695" spans="5:5" ht="33" customHeight="1" x14ac:dyDescent="0.3">
      <c r="E695" s="3"/>
    </row>
    <row r="696" spans="5:5" ht="33" customHeight="1" x14ac:dyDescent="0.3">
      <c r="E696" s="3"/>
    </row>
    <row r="697" spans="5:5" ht="33" customHeight="1" x14ac:dyDescent="0.3">
      <c r="E697" s="3"/>
    </row>
    <row r="698" spans="5:5" ht="33" customHeight="1" x14ac:dyDescent="0.3">
      <c r="E698" s="3"/>
    </row>
    <row r="699" spans="5:5" ht="33" customHeight="1" x14ac:dyDescent="0.3">
      <c r="E699" s="3"/>
    </row>
    <row r="700" spans="5:5" ht="33" customHeight="1" x14ac:dyDescent="0.3">
      <c r="E700" s="3"/>
    </row>
    <row r="701" spans="5:5" ht="33" customHeight="1" x14ac:dyDescent="0.3">
      <c r="E701" s="3"/>
    </row>
    <row r="702" spans="5:5" ht="33" customHeight="1" x14ac:dyDescent="0.3">
      <c r="E702" s="3"/>
    </row>
    <row r="703" spans="5:5" ht="33" customHeight="1" x14ac:dyDescent="0.3">
      <c r="E703" s="3"/>
    </row>
    <row r="704" spans="5:5" ht="33" customHeight="1" x14ac:dyDescent="0.3">
      <c r="E704" s="3"/>
    </row>
    <row r="705" spans="5:5" ht="33" customHeight="1" x14ac:dyDescent="0.3">
      <c r="E705" s="3"/>
    </row>
    <row r="706" spans="5:5" ht="33" customHeight="1" x14ac:dyDescent="0.3">
      <c r="E706" s="3"/>
    </row>
    <row r="707" spans="5:5" ht="33" customHeight="1" x14ac:dyDescent="0.3">
      <c r="E707" s="3"/>
    </row>
    <row r="708" spans="5:5" ht="33" customHeight="1" x14ac:dyDescent="0.3">
      <c r="E708" s="3"/>
    </row>
    <row r="709" spans="5:5" ht="33" customHeight="1" x14ac:dyDescent="0.3">
      <c r="E709" s="3"/>
    </row>
    <row r="710" spans="5:5" ht="33" customHeight="1" x14ac:dyDescent="0.3">
      <c r="E710" s="3"/>
    </row>
    <row r="711" spans="5:5" ht="33" customHeight="1" x14ac:dyDescent="0.3">
      <c r="E711" s="3"/>
    </row>
    <row r="712" spans="5:5" ht="33" customHeight="1" x14ac:dyDescent="0.3">
      <c r="E712" s="3"/>
    </row>
    <row r="713" spans="5:5" ht="33" customHeight="1" x14ac:dyDescent="0.3">
      <c r="E713" s="3"/>
    </row>
    <row r="714" spans="5:5" ht="33" customHeight="1" x14ac:dyDescent="0.3">
      <c r="E714" s="3"/>
    </row>
    <row r="715" spans="5:5" ht="33" customHeight="1" x14ac:dyDescent="0.3">
      <c r="E715" s="3"/>
    </row>
    <row r="716" spans="5:5" ht="33" customHeight="1" x14ac:dyDescent="0.3">
      <c r="E716" s="3"/>
    </row>
    <row r="717" spans="5:5" ht="33" customHeight="1" x14ac:dyDescent="0.3">
      <c r="E717" s="3"/>
    </row>
    <row r="718" spans="5:5" ht="33" customHeight="1" x14ac:dyDescent="0.3">
      <c r="E718" s="3"/>
    </row>
    <row r="719" spans="5:5" ht="33" customHeight="1" x14ac:dyDescent="0.3">
      <c r="E719" s="3"/>
    </row>
    <row r="720" spans="5:5" ht="33" customHeight="1" x14ac:dyDescent="0.3">
      <c r="E720" s="3"/>
    </row>
    <row r="721" spans="5:5" ht="33" customHeight="1" x14ac:dyDescent="0.3">
      <c r="E721" s="3"/>
    </row>
    <row r="722" spans="5:5" ht="33" customHeight="1" x14ac:dyDescent="0.3">
      <c r="E722" s="3"/>
    </row>
    <row r="723" spans="5:5" ht="33" customHeight="1" x14ac:dyDescent="0.3">
      <c r="E723" s="3"/>
    </row>
    <row r="724" spans="5:5" ht="33" customHeight="1" x14ac:dyDescent="0.3">
      <c r="E724" s="3"/>
    </row>
    <row r="725" spans="5:5" ht="33" customHeight="1" x14ac:dyDescent="0.3">
      <c r="E725" s="3"/>
    </row>
    <row r="726" spans="5:5" ht="33" customHeight="1" x14ac:dyDescent="0.3">
      <c r="E726" s="3"/>
    </row>
    <row r="727" spans="5:5" ht="33" customHeight="1" x14ac:dyDescent="0.3">
      <c r="E727" s="3"/>
    </row>
    <row r="728" spans="5:5" ht="33" customHeight="1" x14ac:dyDescent="0.3">
      <c r="E728" s="3"/>
    </row>
    <row r="729" spans="5:5" ht="33" customHeight="1" x14ac:dyDescent="0.3">
      <c r="E729" s="3"/>
    </row>
    <row r="730" spans="5:5" ht="33" customHeight="1" x14ac:dyDescent="0.3">
      <c r="E730" s="3"/>
    </row>
    <row r="731" spans="5:5" ht="33" customHeight="1" x14ac:dyDescent="0.3">
      <c r="E731" s="3"/>
    </row>
    <row r="732" spans="5:5" ht="33" customHeight="1" x14ac:dyDescent="0.3">
      <c r="E732" s="3"/>
    </row>
    <row r="733" spans="5:5" ht="33" customHeight="1" x14ac:dyDescent="0.3">
      <c r="E733" s="3"/>
    </row>
    <row r="734" spans="5:5" ht="33" customHeight="1" x14ac:dyDescent="0.3">
      <c r="E734" s="3"/>
    </row>
    <row r="735" spans="5:5" ht="33" customHeight="1" x14ac:dyDescent="0.3">
      <c r="E735" s="3"/>
    </row>
    <row r="736" spans="5:5" ht="33" customHeight="1" x14ac:dyDescent="0.3">
      <c r="E736" s="3"/>
    </row>
    <row r="737" spans="5:5" ht="33" customHeight="1" x14ac:dyDescent="0.3">
      <c r="E737" s="3"/>
    </row>
    <row r="738" spans="5:5" ht="33" customHeight="1" x14ac:dyDescent="0.3">
      <c r="E738" s="3"/>
    </row>
    <row r="739" spans="5:5" ht="33" customHeight="1" x14ac:dyDescent="0.3">
      <c r="E739" s="3"/>
    </row>
    <row r="740" spans="5:5" ht="33" customHeight="1" x14ac:dyDescent="0.3">
      <c r="E740" s="3"/>
    </row>
    <row r="741" spans="5:5" ht="33" customHeight="1" x14ac:dyDescent="0.3">
      <c r="E741" s="3"/>
    </row>
    <row r="742" spans="5:5" ht="33" customHeight="1" x14ac:dyDescent="0.3">
      <c r="E742" s="3"/>
    </row>
    <row r="743" spans="5:5" ht="33" customHeight="1" x14ac:dyDescent="0.3">
      <c r="E743" s="3"/>
    </row>
    <row r="744" spans="5:5" ht="33" customHeight="1" x14ac:dyDescent="0.3">
      <c r="E744" s="3"/>
    </row>
    <row r="745" spans="5:5" ht="33" customHeight="1" x14ac:dyDescent="0.3">
      <c r="E745" s="3"/>
    </row>
    <row r="746" spans="5:5" ht="33" customHeight="1" x14ac:dyDescent="0.3">
      <c r="E746" s="3"/>
    </row>
    <row r="747" spans="5:5" ht="33" customHeight="1" x14ac:dyDescent="0.3">
      <c r="E747" s="3"/>
    </row>
    <row r="748" spans="5:5" ht="33" customHeight="1" x14ac:dyDescent="0.3">
      <c r="E748" s="3"/>
    </row>
    <row r="749" spans="5:5" ht="33" customHeight="1" x14ac:dyDescent="0.3">
      <c r="E749" s="3"/>
    </row>
    <row r="750" spans="5:5" ht="33" customHeight="1" x14ac:dyDescent="0.3">
      <c r="E750" s="3"/>
    </row>
    <row r="751" spans="5:5" ht="33" customHeight="1" x14ac:dyDescent="0.3">
      <c r="E751" s="3"/>
    </row>
    <row r="752" spans="5:5" ht="33" customHeight="1" x14ac:dyDescent="0.3">
      <c r="E752" s="3"/>
    </row>
    <row r="753" spans="5:5" ht="33" customHeight="1" x14ac:dyDescent="0.3">
      <c r="E753" s="3"/>
    </row>
    <row r="754" spans="5:5" ht="33" customHeight="1" x14ac:dyDescent="0.3">
      <c r="E754" s="3"/>
    </row>
    <row r="755" spans="5:5" ht="33" customHeight="1" x14ac:dyDescent="0.3">
      <c r="E755" s="3"/>
    </row>
    <row r="756" spans="5:5" ht="33" customHeight="1" x14ac:dyDescent="0.3">
      <c r="E756" s="3"/>
    </row>
    <row r="757" spans="5:5" ht="33" customHeight="1" x14ac:dyDescent="0.3">
      <c r="E757" s="3"/>
    </row>
    <row r="758" spans="5:5" ht="33" customHeight="1" x14ac:dyDescent="0.3">
      <c r="E758" s="3"/>
    </row>
    <row r="759" spans="5:5" ht="33" customHeight="1" x14ac:dyDescent="0.3">
      <c r="E759" s="3"/>
    </row>
    <row r="760" spans="5:5" ht="33" customHeight="1" x14ac:dyDescent="0.3">
      <c r="E760" s="3"/>
    </row>
    <row r="761" spans="5:5" ht="33" customHeight="1" x14ac:dyDescent="0.3">
      <c r="E761" s="3"/>
    </row>
    <row r="762" spans="5:5" ht="33" customHeight="1" x14ac:dyDescent="0.3">
      <c r="E762" s="3"/>
    </row>
    <row r="763" spans="5:5" ht="33" customHeight="1" x14ac:dyDescent="0.3">
      <c r="E763" s="3"/>
    </row>
    <row r="764" spans="5:5" ht="33" customHeight="1" x14ac:dyDescent="0.3">
      <c r="E764" s="3"/>
    </row>
    <row r="765" spans="5:5" ht="33" customHeight="1" x14ac:dyDescent="0.3">
      <c r="E765" s="3"/>
    </row>
    <row r="766" spans="5:5" ht="33" customHeight="1" x14ac:dyDescent="0.3">
      <c r="E766" s="3"/>
    </row>
    <row r="767" spans="5:5" ht="33" customHeight="1" x14ac:dyDescent="0.3">
      <c r="E767" s="3"/>
    </row>
    <row r="768" spans="5:5" ht="33" customHeight="1" x14ac:dyDescent="0.3">
      <c r="E768" s="3"/>
    </row>
    <row r="769" spans="5:5" ht="33" customHeight="1" x14ac:dyDescent="0.3">
      <c r="E769" s="3"/>
    </row>
    <row r="770" spans="5:5" ht="33" customHeight="1" x14ac:dyDescent="0.3">
      <c r="E770" s="3"/>
    </row>
    <row r="771" spans="5:5" ht="33" customHeight="1" x14ac:dyDescent="0.3">
      <c r="E771" s="3"/>
    </row>
    <row r="772" spans="5:5" ht="33" customHeight="1" x14ac:dyDescent="0.3">
      <c r="E772" s="3"/>
    </row>
    <row r="773" spans="5:5" ht="33" customHeight="1" x14ac:dyDescent="0.3">
      <c r="E773" s="3"/>
    </row>
    <row r="774" spans="5:5" ht="33" customHeight="1" x14ac:dyDescent="0.3">
      <c r="E774" s="3"/>
    </row>
    <row r="775" spans="5:5" ht="33" customHeight="1" x14ac:dyDescent="0.3">
      <c r="E775" s="3"/>
    </row>
    <row r="776" spans="5:5" ht="33" customHeight="1" x14ac:dyDescent="0.3">
      <c r="E776" s="3"/>
    </row>
    <row r="777" spans="5:5" ht="33" customHeight="1" x14ac:dyDescent="0.3">
      <c r="E777" s="3"/>
    </row>
    <row r="778" spans="5:5" ht="33" customHeight="1" x14ac:dyDescent="0.3">
      <c r="E778" s="3"/>
    </row>
    <row r="779" spans="5:5" ht="33" customHeight="1" x14ac:dyDescent="0.3">
      <c r="E779" s="3"/>
    </row>
    <row r="780" spans="5:5" ht="33" customHeight="1" x14ac:dyDescent="0.3">
      <c r="E780" s="3"/>
    </row>
    <row r="781" spans="5:5" ht="33" customHeight="1" x14ac:dyDescent="0.3">
      <c r="E781" s="3"/>
    </row>
    <row r="782" spans="5:5" ht="33" customHeight="1" x14ac:dyDescent="0.3">
      <c r="E782" s="3"/>
    </row>
    <row r="783" spans="5:5" ht="33" customHeight="1" x14ac:dyDescent="0.3">
      <c r="E783" s="3"/>
    </row>
    <row r="784" spans="5:5" ht="33" customHeight="1" x14ac:dyDescent="0.3">
      <c r="E784" s="3"/>
    </row>
    <row r="785" spans="5:5" ht="33" customHeight="1" x14ac:dyDescent="0.3">
      <c r="E785" s="3"/>
    </row>
    <row r="786" spans="5:5" ht="33" customHeight="1" x14ac:dyDescent="0.3">
      <c r="E786" s="3"/>
    </row>
    <row r="787" spans="5:5" ht="33" customHeight="1" x14ac:dyDescent="0.3">
      <c r="E787" s="3"/>
    </row>
    <row r="788" spans="5:5" ht="33" customHeight="1" x14ac:dyDescent="0.3">
      <c r="E788" s="3"/>
    </row>
    <row r="789" spans="5:5" ht="33" customHeight="1" x14ac:dyDescent="0.3">
      <c r="E789" s="3"/>
    </row>
    <row r="790" spans="5:5" ht="33" customHeight="1" x14ac:dyDescent="0.3">
      <c r="E790" s="3"/>
    </row>
    <row r="791" spans="5:5" ht="33" customHeight="1" x14ac:dyDescent="0.3">
      <c r="E791" s="3"/>
    </row>
    <row r="792" spans="5:5" ht="33" customHeight="1" x14ac:dyDescent="0.3">
      <c r="E792" s="3"/>
    </row>
    <row r="793" spans="5:5" ht="33" customHeight="1" x14ac:dyDescent="0.3">
      <c r="E793" s="3"/>
    </row>
    <row r="794" spans="5:5" ht="33" customHeight="1" x14ac:dyDescent="0.3">
      <c r="E794" s="3"/>
    </row>
    <row r="795" spans="5:5" ht="33" customHeight="1" x14ac:dyDescent="0.3">
      <c r="E795" s="3"/>
    </row>
    <row r="796" spans="5:5" ht="33" customHeight="1" x14ac:dyDescent="0.3">
      <c r="E796" s="3"/>
    </row>
    <row r="797" spans="5:5" ht="33" customHeight="1" x14ac:dyDescent="0.3">
      <c r="E797" s="3"/>
    </row>
    <row r="798" spans="5:5" ht="33" customHeight="1" x14ac:dyDescent="0.3">
      <c r="E798" s="3"/>
    </row>
    <row r="799" spans="5:5" ht="33" customHeight="1" x14ac:dyDescent="0.3">
      <c r="E799" s="3"/>
    </row>
    <row r="800" spans="5:5" ht="33" customHeight="1" x14ac:dyDescent="0.3">
      <c r="E800" s="3"/>
    </row>
    <row r="801" spans="5:5" ht="33" customHeight="1" x14ac:dyDescent="0.3">
      <c r="E801" s="3"/>
    </row>
    <row r="802" spans="5:5" ht="33" customHeight="1" x14ac:dyDescent="0.3">
      <c r="E802" s="3"/>
    </row>
    <row r="803" spans="5:5" ht="33" customHeight="1" x14ac:dyDescent="0.3">
      <c r="E803" s="3"/>
    </row>
    <row r="804" spans="5:5" ht="33" customHeight="1" x14ac:dyDescent="0.3">
      <c r="E804" s="3"/>
    </row>
    <row r="805" spans="5:5" ht="33" customHeight="1" x14ac:dyDescent="0.3">
      <c r="E805" s="3"/>
    </row>
    <row r="806" spans="5:5" ht="33" customHeight="1" x14ac:dyDescent="0.3">
      <c r="E806" s="3"/>
    </row>
    <row r="807" spans="5:5" ht="33" customHeight="1" x14ac:dyDescent="0.3">
      <c r="E807" s="3"/>
    </row>
    <row r="808" spans="5:5" ht="33" customHeight="1" x14ac:dyDescent="0.3">
      <c r="E808" s="3"/>
    </row>
    <row r="809" spans="5:5" ht="33" customHeight="1" x14ac:dyDescent="0.3">
      <c r="E809" s="3"/>
    </row>
    <row r="810" spans="5:5" ht="33" customHeight="1" x14ac:dyDescent="0.3">
      <c r="E810" s="3"/>
    </row>
    <row r="811" spans="5:5" ht="33" customHeight="1" x14ac:dyDescent="0.3">
      <c r="E811" s="3"/>
    </row>
    <row r="812" spans="5:5" ht="33" customHeight="1" x14ac:dyDescent="0.3">
      <c r="E812" s="3"/>
    </row>
    <row r="813" spans="5:5" ht="33" customHeight="1" x14ac:dyDescent="0.3">
      <c r="E813" s="3"/>
    </row>
    <row r="814" spans="5:5" ht="33" customHeight="1" x14ac:dyDescent="0.3">
      <c r="E814" s="3"/>
    </row>
    <row r="815" spans="5:5" ht="33" customHeight="1" x14ac:dyDescent="0.3">
      <c r="E815" s="3"/>
    </row>
    <row r="816" spans="5:5" ht="33" customHeight="1" x14ac:dyDescent="0.3">
      <c r="E816" s="3"/>
    </row>
    <row r="817" spans="5:5" ht="33" customHeight="1" x14ac:dyDescent="0.3">
      <c r="E817" s="3"/>
    </row>
    <row r="818" spans="5:5" ht="33" customHeight="1" x14ac:dyDescent="0.3">
      <c r="E818" s="3"/>
    </row>
    <row r="819" spans="5:5" ht="33" customHeight="1" x14ac:dyDescent="0.3">
      <c r="E819" s="3"/>
    </row>
    <row r="820" spans="5:5" ht="33" customHeight="1" x14ac:dyDescent="0.3">
      <c r="E820" s="3"/>
    </row>
    <row r="821" spans="5:5" ht="33" customHeight="1" x14ac:dyDescent="0.3">
      <c r="E821" s="3"/>
    </row>
    <row r="822" spans="5:5" ht="33" customHeight="1" x14ac:dyDescent="0.3">
      <c r="E822" s="3"/>
    </row>
    <row r="823" spans="5:5" ht="33" customHeight="1" x14ac:dyDescent="0.3">
      <c r="E823" s="3"/>
    </row>
    <row r="824" spans="5:5" ht="33" customHeight="1" x14ac:dyDescent="0.3">
      <c r="E824" s="3"/>
    </row>
    <row r="825" spans="5:5" ht="33" customHeight="1" x14ac:dyDescent="0.3">
      <c r="E825" s="3"/>
    </row>
    <row r="826" spans="5:5" ht="33" customHeight="1" x14ac:dyDescent="0.3">
      <c r="E826" s="3"/>
    </row>
    <row r="827" spans="5:5" ht="33" customHeight="1" x14ac:dyDescent="0.3">
      <c r="E827" s="3"/>
    </row>
    <row r="828" spans="5:5" ht="33" customHeight="1" x14ac:dyDescent="0.3">
      <c r="E828" s="3"/>
    </row>
    <row r="829" spans="5:5" ht="33" customHeight="1" x14ac:dyDescent="0.3">
      <c r="E829" s="3"/>
    </row>
    <row r="830" spans="5:5" ht="33" customHeight="1" x14ac:dyDescent="0.3">
      <c r="E830" s="3"/>
    </row>
    <row r="831" spans="5:5" ht="33" customHeight="1" x14ac:dyDescent="0.3">
      <c r="E831" s="3"/>
    </row>
    <row r="832" spans="5:5" ht="33" customHeight="1" x14ac:dyDescent="0.3">
      <c r="E832" s="3"/>
    </row>
    <row r="833" spans="5:5" ht="33" customHeight="1" x14ac:dyDescent="0.3">
      <c r="E833" s="3"/>
    </row>
    <row r="834" spans="5:5" ht="33" customHeight="1" x14ac:dyDescent="0.3">
      <c r="E834" s="3"/>
    </row>
    <row r="835" spans="5:5" ht="33" customHeight="1" x14ac:dyDescent="0.3">
      <c r="E835" s="3"/>
    </row>
    <row r="836" spans="5:5" ht="33" customHeight="1" x14ac:dyDescent="0.3">
      <c r="E836" s="3"/>
    </row>
    <row r="837" spans="5:5" ht="33" customHeight="1" x14ac:dyDescent="0.3">
      <c r="E837" s="3"/>
    </row>
    <row r="838" spans="5:5" ht="33" customHeight="1" x14ac:dyDescent="0.3">
      <c r="E838" s="3"/>
    </row>
    <row r="839" spans="5:5" ht="33" customHeight="1" x14ac:dyDescent="0.3">
      <c r="E839" s="3"/>
    </row>
    <row r="840" spans="5:5" ht="33" customHeight="1" x14ac:dyDescent="0.3">
      <c r="E840" s="3"/>
    </row>
    <row r="841" spans="5:5" ht="33" customHeight="1" x14ac:dyDescent="0.3">
      <c r="E841" s="3"/>
    </row>
    <row r="842" spans="5:5" ht="33" customHeight="1" x14ac:dyDescent="0.3">
      <c r="E842" s="3"/>
    </row>
    <row r="843" spans="5:5" ht="33" customHeight="1" x14ac:dyDescent="0.3">
      <c r="E843" s="3"/>
    </row>
    <row r="844" spans="5:5" ht="33" customHeight="1" x14ac:dyDescent="0.3">
      <c r="E844" s="3"/>
    </row>
    <row r="845" spans="5:5" ht="33" customHeight="1" x14ac:dyDescent="0.3">
      <c r="E845" s="3"/>
    </row>
    <row r="846" spans="5:5" ht="33" customHeight="1" x14ac:dyDescent="0.3">
      <c r="E846" s="3"/>
    </row>
    <row r="847" spans="5:5" ht="33" customHeight="1" x14ac:dyDescent="0.3">
      <c r="E847" s="3"/>
    </row>
    <row r="848" spans="5:5" ht="33" customHeight="1" x14ac:dyDescent="0.3">
      <c r="E848" s="3"/>
    </row>
    <row r="849" spans="5:5" ht="33" customHeight="1" x14ac:dyDescent="0.3">
      <c r="E849" s="3"/>
    </row>
    <row r="850" spans="5:5" ht="33" customHeight="1" x14ac:dyDescent="0.3">
      <c r="E850" s="3"/>
    </row>
    <row r="851" spans="5:5" ht="33" customHeight="1" x14ac:dyDescent="0.3">
      <c r="E851" s="3"/>
    </row>
    <row r="852" spans="5:5" ht="33" customHeight="1" x14ac:dyDescent="0.3">
      <c r="E852" s="3"/>
    </row>
    <row r="853" spans="5:5" ht="33" customHeight="1" x14ac:dyDescent="0.3">
      <c r="E853" s="3"/>
    </row>
    <row r="854" spans="5:5" ht="33" customHeight="1" x14ac:dyDescent="0.3">
      <c r="E854" s="3"/>
    </row>
    <row r="855" spans="5:5" ht="33" customHeight="1" x14ac:dyDescent="0.3">
      <c r="E855" s="3"/>
    </row>
    <row r="856" spans="5:5" ht="33" customHeight="1" x14ac:dyDescent="0.3">
      <c r="E856" s="3"/>
    </row>
    <row r="857" spans="5:5" ht="33" customHeight="1" x14ac:dyDescent="0.3">
      <c r="E857" s="3"/>
    </row>
    <row r="858" spans="5:5" ht="33" customHeight="1" x14ac:dyDescent="0.3">
      <c r="E858" s="3"/>
    </row>
    <row r="859" spans="5:5" ht="33" customHeight="1" x14ac:dyDescent="0.3">
      <c r="E859" s="3"/>
    </row>
    <row r="860" spans="5:5" ht="33" customHeight="1" x14ac:dyDescent="0.3">
      <c r="E860" s="3"/>
    </row>
    <row r="861" spans="5:5" ht="33" customHeight="1" x14ac:dyDescent="0.3">
      <c r="E861" s="3"/>
    </row>
    <row r="862" spans="5:5" ht="33" customHeight="1" x14ac:dyDescent="0.3">
      <c r="E862" s="3"/>
    </row>
    <row r="863" spans="5:5" ht="33" customHeight="1" x14ac:dyDescent="0.3">
      <c r="E863" s="3"/>
    </row>
    <row r="864" spans="5:5" ht="33" customHeight="1" x14ac:dyDescent="0.3">
      <c r="E864" s="3"/>
    </row>
    <row r="865" spans="5:5" ht="33" customHeight="1" x14ac:dyDescent="0.3">
      <c r="E865" s="3"/>
    </row>
    <row r="866" spans="5:5" ht="33" customHeight="1" x14ac:dyDescent="0.3">
      <c r="E866" s="3"/>
    </row>
    <row r="867" spans="5:5" ht="33" customHeight="1" x14ac:dyDescent="0.3">
      <c r="E867" s="3"/>
    </row>
    <row r="868" spans="5:5" ht="33" customHeight="1" x14ac:dyDescent="0.3">
      <c r="E868" s="3"/>
    </row>
    <row r="869" spans="5:5" ht="33" customHeight="1" x14ac:dyDescent="0.3">
      <c r="E869" s="3"/>
    </row>
    <row r="870" spans="5:5" ht="33" customHeight="1" x14ac:dyDescent="0.3">
      <c r="E870" s="3"/>
    </row>
    <row r="871" spans="5:5" ht="33" customHeight="1" x14ac:dyDescent="0.3">
      <c r="E871" s="3"/>
    </row>
    <row r="872" spans="5:5" ht="33" customHeight="1" x14ac:dyDescent="0.3">
      <c r="E872" s="3"/>
    </row>
    <row r="873" spans="5:5" ht="33" customHeight="1" x14ac:dyDescent="0.3">
      <c r="E873" s="3"/>
    </row>
    <row r="874" spans="5:5" ht="33" customHeight="1" x14ac:dyDescent="0.3">
      <c r="E874" s="3"/>
    </row>
    <row r="875" spans="5:5" ht="33" customHeight="1" x14ac:dyDescent="0.3">
      <c r="E875" s="3"/>
    </row>
    <row r="876" spans="5:5" ht="33" customHeight="1" x14ac:dyDescent="0.3">
      <c r="E876" s="3"/>
    </row>
    <row r="877" spans="5:5" ht="33" customHeight="1" x14ac:dyDescent="0.3">
      <c r="E877" s="3"/>
    </row>
    <row r="878" spans="5:5" ht="33" customHeight="1" x14ac:dyDescent="0.3">
      <c r="E878" s="3"/>
    </row>
    <row r="879" spans="5:5" ht="33" customHeight="1" x14ac:dyDescent="0.3">
      <c r="E879" s="3"/>
    </row>
    <row r="880" spans="5:5" ht="33" customHeight="1" x14ac:dyDescent="0.3">
      <c r="E880" s="3"/>
    </row>
    <row r="881" spans="5:5" ht="33" customHeight="1" x14ac:dyDescent="0.3">
      <c r="E881" s="3"/>
    </row>
    <row r="882" spans="5:5" ht="33" customHeight="1" x14ac:dyDescent="0.3">
      <c r="E882" s="3"/>
    </row>
    <row r="883" spans="5:5" ht="33" customHeight="1" x14ac:dyDescent="0.3">
      <c r="E883" s="3"/>
    </row>
    <row r="884" spans="5:5" ht="33" customHeight="1" x14ac:dyDescent="0.3">
      <c r="E884" s="3"/>
    </row>
    <row r="885" spans="5:5" ht="33" customHeight="1" x14ac:dyDescent="0.3">
      <c r="E885" s="3"/>
    </row>
    <row r="886" spans="5:5" ht="33" customHeight="1" x14ac:dyDescent="0.3">
      <c r="E886" s="3"/>
    </row>
    <row r="887" spans="5:5" ht="33" customHeight="1" x14ac:dyDescent="0.3">
      <c r="E887" s="3"/>
    </row>
    <row r="888" spans="5:5" ht="33" customHeight="1" x14ac:dyDescent="0.3">
      <c r="E888" s="3"/>
    </row>
    <row r="889" spans="5:5" ht="33" customHeight="1" x14ac:dyDescent="0.3">
      <c r="E889" s="3"/>
    </row>
    <row r="890" spans="5:5" ht="33" customHeight="1" x14ac:dyDescent="0.3">
      <c r="E890" s="3"/>
    </row>
    <row r="891" spans="5:5" ht="33" customHeight="1" x14ac:dyDescent="0.3">
      <c r="E891" s="3"/>
    </row>
    <row r="892" spans="5:5" ht="33" customHeight="1" x14ac:dyDescent="0.3">
      <c r="E892" s="3"/>
    </row>
    <row r="893" spans="5:5" ht="33" customHeight="1" x14ac:dyDescent="0.3">
      <c r="E893" s="3"/>
    </row>
    <row r="894" spans="5:5" ht="33" customHeight="1" x14ac:dyDescent="0.3">
      <c r="E894" s="3"/>
    </row>
    <row r="895" spans="5:5" ht="33" customHeight="1" x14ac:dyDescent="0.3">
      <c r="E895" s="3"/>
    </row>
    <row r="896" spans="5:5" ht="33" customHeight="1" x14ac:dyDescent="0.3">
      <c r="E896" s="3"/>
    </row>
    <row r="897" spans="5:5" ht="33" customHeight="1" x14ac:dyDescent="0.3">
      <c r="E897" s="3"/>
    </row>
    <row r="898" spans="5:5" ht="33" customHeight="1" x14ac:dyDescent="0.3">
      <c r="E898" s="3"/>
    </row>
    <row r="899" spans="5:5" ht="33" customHeight="1" x14ac:dyDescent="0.3">
      <c r="E899" s="3"/>
    </row>
    <row r="900" spans="5:5" ht="33" customHeight="1" x14ac:dyDescent="0.3">
      <c r="E900" s="3"/>
    </row>
    <row r="901" spans="5:5" ht="33" customHeight="1" x14ac:dyDescent="0.3">
      <c r="E901" s="3"/>
    </row>
    <row r="902" spans="5:5" ht="33" customHeight="1" x14ac:dyDescent="0.3">
      <c r="E902" s="3"/>
    </row>
    <row r="903" spans="5:5" ht="33" customHeight="1" x14ac:dyDescent="0.3">
      <c r="E903" s="3"/>
    </row>
    <row r="904" spans="5:5" ht="33" customHeight="1" x14ac:dyDescent="0.3">
      <c r="E904" s="3"/>
    </row>
    <row r="905" spans="5:5" ht="33" customHeight="1" x14ac:dyDescent="0.3">
      <c r="E905" s="3"/>
    </row>
    <row r="906" spans="5:5" ht="33" customHeight="1" x14ac:dyDescent="0.3">
      <c r="E906" s="3"/>
    </row>
    <row r="907" spans="5:5" ht="33" customHeight="1" x14ac:dyDescent="0.3">
      <c r="E907" s="3"/>
    </row>
    <row r="908" spans="5:5" ht="33" customHeight="1" x14ac:dyDescent="0.3">
      <c r="E908" s="3"/>
    </row>
    <row r="909" spans="5:5" ht="33" customHeight="1" x14ac:dyDescent="0.3">
      <c r="E909" s="3"/>
    </row>
    <row r="910" spans="5:5" ht="33" customHeight="1" x14ac:dyDescent="0.3">
      <c r="E910" s="3"/>
    </row>
    <row r="911" spans="5:5" ht="33" customHeight="1" x14ac:dyDescent="0.3">
      <c r="E911" s="3"/>
    </row>
    <row r="912" spans="5:5" ht="33" customHeight="1" x14ac:dyDescent="0.3">
      <c r="E912" s="3"/>
    </row>
    <row r="913" spans="5:5" ht="33" customHeight="1" x14ac:dyDescent="0.3">
      <c r="E913" s="3"/>
    </row>
    <row r="914" spans="5:5" ht="33" customHeight="1" x14ac:dyDescent="0.3">
      <c r="E914" s="3"/>
    </row>
    <row r="915" spans="5:5" ht="33" customHeight="1" x14ac:dyDescent="0.3">
      <c r="E915" s="3"/>
    </row>
    <row r="916" spans="5:5" ht="33" customHeight="1" x14ac:dyDescent="0.3">
      <c r="E916" s="3"/>
    </row>
    <row r="917" spans="5:5" ht="33" customHeight="1" x14ac:dyDescent="0.3">
      <c r="E917" s="3"/>
    </row>
    <row r="918" spans="5:5" ht="33" customHeight="1" x14ac:dyDescent="0.3">
      <c r="E918" s="3"/>
    </row>
    <row r="919" spans="5:5" ht="33" customHeight="1" x14ac:dyDescent="0.3">
      <c r="E919" s="3"/>
    </row>
    <row r="920" spans="5:5" ht="33" customHeight="1" x14ac:dyDescent="0.3">
      <c r="E920" s="3"/>
    </row>
    <row r="921" spans="5:5" ht="33" customHeight="1" x14ac:dyDescent="0.3">
      <c r="E921" s="3"/>
    </row>
    <row r="922" spans="5:5" ht="33" customHeight="1" x14ac:dyDescent="0.3">
      <c r="E922" s="3"/>
    </row>
    <row r="923" spans="5:5" ht="33" customHeight="1" x14ac:dyDescent="0.3">
      <c r="E923" s="3"/>
    </row>
    <row r="924" spans="5:5" ht="33" customHeight="1" x14ac:dyDescent="0.3">
      <c r="E924" s="3"/>
    </row>
    <row r="925" spans="5:5" ht="33" customHeight="1" x14ac:dyDescent="0.3">
      <c r="E925" s="3"/>
    </row>
    <row r="926" spans="5:5" ht="33" customHeight="1" x14ac:dyDescent="0.3">
      <c r="E926" s="3"/>
    </row>
    <row r="927" spans="5:5" ht="33" customHeight="1" x14ac:dyDescent="0.3">
      <c r="E927" s="3"/>
    </row>
    <row r="928" spans="5:5" ht="33" customHeight="1" x14ac:dyDescent="0.3">
      <c r="E928" s="3"/>
    </row>
    <row r="929" spans="5:5" ht="33" customHeight="1" x14ac:dyDescent="0.3">
      <c r="E929" s="3"/>
    </row>
    <row r="930" spans="5:5" ht="33" customHeight="1" x14ac:dyDescent="0.3">
      <c r="E930" s="3"/>
    </row>
    <row r="931" spans="5:5" ht="33" customHeight="1" x14ac:dyDescent="0.3">
      <c r="E931" s="3"/>
    </row>
    <row r="932" spans="5:5" ht="33" customHeight="1" x14ac:dyDescent="0.3">
      <c r="E932" s="3"/>
    </row>
    <row r="933" spans="5:5" ht="33" customHeight="1" x14ac:dyDescent="0.3">
      <c r="E933" s="3"/>
    </row>
    <row r="934" spans="5:5" ht="33" customHeight="1" x14ac:dyDescent="0.3">
      <c r="E934" s="3"/>
    </row>
    <row r="935" spans="5:5" ht="33" customHeight="1" x14ac:dyDescent="0.3">
      <c r="E935" s="3"/>
    </row>
    <row r="936" spans="5:5" ht="33" customHeight="1" x14ac:dyDescent="0.3">
      <c r="E936" s="3"/>
    </row>
    <row r="937" spans="5:5" ht="33" customHeight="1" x14ac:dyDescent="0.3">
      <c r="E937" s="3"/>
    </row>
    <row r="938" spans="5:5" ht="33" customHeight="1" x14ac:dyDescent="0.3">
      <c r="E938" s="3"/>
    </row>
    <row r="939" spans="5:5" ht="33" customHeight="1" x14ac:dyDescent="0.3">
      <c r="E939" s="3"/>
    </row>
    <row r="940" spans="5:5" ht="33" customHeight="1" x14ac:dyDescent="0.3">
      <c r="E940" s="3"/>
    </row>
    <row r="941" spans="5:5" ht="33" customHeight="1" x14ac:dyDescent="0.3">
      <c r="E941" s="3"/>
    </row>
    <row r="942" spans="5:5" ht="33" customHeight="1" x14ac:dyDescent="0.3">
      <c r="E942" s="3"/>
    </row>
    <row r="943" spans="5:5" ht="33" customHeight="1" x14ac:dyDescent="0.3">
      <c r="E943" s="3"/>
    </row>
    <row r="944" spans="5:5" ht="33" customHeight="1" x14ac:dyDescent="0.3">
      <c r="E944" s="3"/>
    </row>
    <row r="945" spans="5:5" ht="33" customHeight="1" x14ac:dyDescent="0.3">
      <c r="E945" s="3"/>
    </row>
    <row r="946" spans="5:5" ht="33" customHeight="1" x14ac:dyDescent="0.3">
      <c r="E946" s="3"/>
    </row>
    <row r="947" spans="5:5" ht="33" customHeight="1" x14ac:dyDescent="0.3">
      <c r="E947" s="3"/>
    </row>
    <row r="948" spans="5:5" ht="33" customHeight="1" x14ac:dyDescent="0.3">
      <c r="E948" s="3"/>
    </row>
    <row r="949" spans="5:5" ht="33" customHeight="1" x14ac:dyDescent="0.3">
      <c r="E949" s="3"/>
    </row>
    <row r="950" spans="5:5" ht="33" customHeight="1" x14ac:dyDescent="0.3">
      <c r="E950" s="3"/>
    </row>
    <row r="951" spans="5:5" ht="33" customHeight="1" x14ac:dyDescent="0.3">
      <c r="E951" s="3"/>
    </row>
    <row r="952" spans="5:5" ht="33" customHeight="1" x14ac:dyDescent="0.3">
      <c r="E952" s="3"/>
    </row>
    <row r="953" spans="5:5" ht="33" customHeight="1" x14ac:dyDescent="0.3">
      <c r="E953" s="3"/>
    </row>
    <row r="954" spans="5:5" ht="33" customHeight="1" x14ac:dyDescent="0.3">
      <c r="E954" s="3"/>
    </row>
    <row r="955" spans="5:5" ht="33" customHeight="1" x14ac:dyDescent="0.3">
      <c r="E955" s="3"/>
    </row>
    <row r="956" spans="5:5" ht="33" customHeight="1" x14ac:dyDescent="0.3">
      <c r="E956" s="3"/>
    </row>
    <row r="957" spans="5:5" ht="33" customHeight="1" x14ac:dyDescent="0.3">
      <c r="E957" s="3"/>
    </row>
    <row r="958" spans="5:5" ht="33" customHeight="1" x14ac:dyDescent="0.3">
      <c r="E958" s="3"/>
    </row>
    <row r="959" spans="5:5" ht="33" customHeight="1" x14ac:dyDescent="0.3">
      <c r="E959" s="3"/>
    </row>
    <row r="960" spans="5:5" ht="33" customHeight="1" x14ac:dyDescent="0.3">
      <c r="E960" s="3"/>
    </row>
    <row r="961" spans="5:5" ht="33" customHeight="1" x14ac:dyDescent="0.3">
      <c r="E961" s="3"/>
    </row>
    <row r="962" spans="5:5" ht="33" customHeight="1" x14ac:dyDescent="0.3">
      <c r="E962" s="3"/>
    </row>
    <row r="963" spans="5:5" ht="33" customHeight="1" x14ac:dyDescent="0.3">
      <c r="E963" s="3"/>
    </row>
    <row r="964" spans="5:5" ht="33" customHeight="1" x14ac:dyDescent="0.3">
      <c r="E964" s="3"/>
    </row>
    <row r="965" spans="5:5" ht="33" customHeight="1" x14ac:dyDescent="0.3">
      <c r="E965" s="3"/>
    </row>
    <row r="966" spans="5:5" ht="33" customHeight="1" x14ac:dyDescent="0.3">
      <c r="E966" s="3"/>
    </row>
    <row r="967" spans="5:5" ht="33" customHeight="1" x14ac:dyDescent="0.3">
      <c r="E967" s="3"/>
    </row>
    <row r="968" spans="5:5" ht="33" customHeight="1" x14ac:dyDescent="0.3">
      <c r="E968" s="3"/>
    </row>
    <row r="969" spans="5:5" ht="33" customHeight="1" x14ac:dyDescent="0.3">
      <c r="E969" s="3"/>
    </row>
    <row r="970" spans="5:5" ht="33" customHeight="1" x14ac:dyDescent="0.3">
      <c r="E970" s="3"/>
    </row>
    <row r="971" spans="5:5" ht="33" customHeight="1" x14ac:dyDescent="0.3">
      <c r="E971" s="3"/>
    </row>
    <row r="972" spans="5:5" ht="33" customHeight="1" x14ac:dyDescent="0.3">
      <c r="E972" s="3"/>
    </row>
    <row r="973" spans="5:5" ht="33" customHeight="1" x14ac:dyDescent="0.3">
      <c r="E973" s="3"/>
    </row>
    <row r="974" spans="5:5" ht="33" customHeight="1" x14ac:dyDescent="0.3">
      <c r="E974" s="3"/>
    </row>
    <row r="975" spans="5:5" ht="33" customHeight="1" x14ac:dyDescent="0.3">
      <c r="E975" s="3"/>
    </row>
    <row r="976" spans="5:5" ht="33" customHeight="1" x14ac:dyDescent="0.3">
      <c r="E976" s="3"/>
    </row>
    <row r="977" spans="5:5" ht="33" customHeight="1" x14ac:dyDescent="0.3">
      <c r="E977" s="3"/>
    </row>
    <row r="978" spans="5:5" ht="33" customHeight="1" x14ac:dyDescent="0.3">
      <c r="E978" s="3"/>
    </row>
    <row r="979" spans="5:5" ht="33" customHeight="1" x14ac:dyDescent="0.3">
      <c r="E979" s="3"/>
    </row>
    <row r="980" spans="5:5" ht="33" customHeight="1" x14ac:dyDescent="0.3">
      <c r="E980" s="3"/>
    </row>
    <row r="981" spans="5:5" ht="33" customHeight="1" x14ac:dyDescent="0.3">
      <c r="E981" s="3"/>
    </row>
    <row r="982" spans="5:5" ht="33" customHeight="1" x14ac:dyDescent="0.3">
      <c r="E982" s="3"/>
    </row>
    <row r="983" spans="5:5" ht="33" customHeight="1" x14ac:dyDescent="0.3">
      <c r="E983" s="3"/>
    </row>
    <row r="984" spans="5:5" ht="33" customHeight="1" x14ac:dyDescent="0.3">
      <c r="E984" s="3"/>
    </row>
    <row r="985" spans="5:5" ht="33" customHeight="1" x14ac:dyDescent="0.3">
      <c r="E985" s="3"/>
    </row>
    <row r="986" spans="5:5" ht="33" customHeight="1" x14ac:dyDescent="0.3">
      <c r="E986" s="3"/>
    </row>
    <row r="987" spans="5:5" ht="33" customHeight="1" x14ac:dyDescent="0.3">
      <c r="E987" s="3"/>
    </row>
    <row r="988" spans="5:5" ht="33" customHeight="1" x14ac:dyDescent="0.3">
      <c r="E988" s="3"/>
    </row>
    <row r="989" spans="5:5" ht="33" customHeight="1" x14ac:dyDescent="0.3">
      <c r="E989" s="3"/>
    </row>
    <row r="990" spans="5:5" ht="33" customHeight="1" x14ac:dyDescent="0.3">
      <c r="E990" s="3"/>
    </row>
    <row r="991" spans="5:5" ht="33" customHeight="1" x14ac:dyDescent="0.3">
      <c r="E991" s="3"/>
    </row>
    <row r="992" spans="5:5" ht="33" customHeight="1" x14ac:dyDescent="0.3">
      <c r="E992" s="3"/>
    </row>
    <row r="993" spans="5:5" ht="33" customHeight="1" x14ac:dyDescent="0.3">
      <c r="E993" s="3"/>
    </row>
    <row r="994" spans="5:5" ht="33" customHeight="1" x14ac:dyDescent="0.3">
      <c r="E994" s="3"/>
    </row>
    <row r="995" spans="5:5" ht="33" customHeight="1" x14ac:dyDescent="0.3">
      <c r="E995" s="3"/>
    </row>
    <row r="996" spans="5:5" ht="33" customHeight="1" x14ac:dyDescent="0.3">
      <c r="E996" s="3"/>
    </row>
    <row r="997" spans="5:5" ht="33" customHeight="1" x14ac:dyDescent="0.3">
      <c r="E997" s="3"/>
    </row>
    <row r="998" spans="5:5" ht="33" customHeight="1" x14ac:dyDescent="0.3">
      <c r="E998" s="3"/>
    </row>
    <row r="999" spans="5:5" ht="33" customHeight="1" x14ac:dyDescent="0.3">
      <c r="E999" s="3"/>
    </row>
    <row r="1000" spans="5:5" ht="33" customHeight="1" x14ac:dyDescent="0.3">
      <c r="E1000" s="3"/>
    </row>
    <row r="1001" spans="5:5" ht="33" customHeight="1" x14ac:dyDescent="0.3">
      <c r="E1001" s="3"/>
    </row>
    <row r="1002" spans="5:5" ht="33" customHeight="1" x14ac:dyDescent="0.3">
      <c r="E1002" s="3"/>
    </row>
    <row r="1003" spans="5:5" ht="33" customHeight="1" x14ac:dyDescent="0.3">
      <c r="E1003" s="3"/>
    </row>
    <row r="1004" spans="5:5" ht="33" customHeight="1" x14ac:dyDescent="0.3">
      <c r="E1004" s="3"/>
    </row>
    <row r="1005" spans="5:5" ht="33" customHeight="1" x14ac:dyDescent="0.3">
      <c r="E1005" s="3"/>
    </row>
    <row r="1006" spans="5:5" ht="33" customHeight="1" x14ac:dyDescent="0.3">
      <c r="E1006" s="3"/>
    </row>
    <row r="1007" spans="5:5" ht="33" customHeight="1" x14ac:dyDescent="0.3">
      <c r="E1007" s="3"/>
    </row>
    <row r="1008" spans="5:5" ht="33" customHeight="1" x14ac:dyDescent="0.3">
      <c r="E1008" s="3"/>
    </row>
    <row r="1009" spans="5:5" ht="33" customHeight="1" x14ac:dyDescent="0.3">
      <c r="E1009" s="3"/>
    </row>
    <row r="1010" spans="5:5" ht="33" customHeight="1" x14ac:dyDescent="0.3">
      <c r="E1010" s="3"/>
    </row>
    <row r="1011" spans="5:5" ht="33" customHeight="1" x14ac:dyDescent="0.3">
      <c r="E1011" s="3"/>
    </row>
    <row r="1012" spans="5:5" ht="33" customHeight="1" x14ac:dyDescent="0.3">
      <c r="E1012" s="3"/>
    </row>
    <row r="1013" spans="5:5" ht="33" customHeight="1" x14ac:dyDescent="0.3">
      <c r="E1013" s="3"/>
    </row>
    <row r="1014" spans="5:5" ht="33" customHeight="1" x14ac:dyDescent="0.3">
      <c r="E1014" s="3"/>
    </row>
    <row r="1015" spans="5:5" ht="33" customHeight="1" x14ac:dyDescent="0.3">
      <c r="E1015" s="3"/>
    </row>
    <row r="1016" spans="5:5" ht="33" customHeight="1" x14ac:dyDescent="0.3">
      <c r="E1016" s="3"/>
    </row>
    <row r="1017" spans="5:5" ht="33" customHeight="1" x14ac:dyDescent="0.3">
      <c r="E1017" s="3"/>
    </row>
    <row r="1018" spans="5:5" ht="33" customHeight="1" x14ac:dyDescent="0.3">
      <c r="E1018" s="3"/>
    </row>
    <row r="1019" spans="5:5" ht="33" customHeight="1" x14ac:dyDescent="0.3">
      <c r="E1019" s="3"/>
    </row>
    <row r="1020" spans="5:5" ht="33" customHeight="1" x14ac:dyDescent="0.3">
      <c r="E1020" s="3"/>
    </row>
    <row r="1021" spans="5:5" ht="33" customHeight="1" x14ac:dyDescent="0.3">
      <c r="E1021" s="3"/>
    </row>
    <row r="1022" spans="5:5" ht="33" customHeight="1" x14ac:dyDescent="0.3">
      <c r="E1022" s="3"/>
    </row>
    <row r="1023" spans="5:5" ht="33" customHeight="1" x14ac:dyDescent="0.3">
      <c r="E1023" s="3"/>
    </row>
    <row r="1024" spans="5:5" ht="33" customHeight="1" x14ac:dyDescent="0.3">
      <c r="E1024" s="3"/>
    </row>
    <row r="1025" spans="5:5" ht="33" customHeight="1" x14ac:dyDescent="0.3">
      <c r="E1025" s="3"/>
    </row>
    <row r="1026" spans="5:5" ht="33" customHeight="1" x14ac:dyDescent="0.3">
      <c r="E1026" s="3"/>
    </row>
    <row r="1027" spans="5:5" ht="33" customHeight="1" x14ac:dyDescent="0.3">
      <c r="E1027" s="3"/>
    </row>
    <row r="1028" spans="5:5" ht="33" customHeight="1" x14ac:dyDescent="0.3">
      <c r="E1028" s="3"/>
    </row>
    <row r="1029" spans="5:5" ht="33" customHeight="1" x14ac:dyDescent="0.3">
      <c r="E1029" s="3"/>
    </row>
    <row r="1030" spans="5:5" ht="33" customHeight="1" x14ac:dyDescent="0.3">
      <c r="E1030" s="3"/>
    </row>
    <row r="1031" spans="5:5" ht="33" customHeight="1" x14ac:dyDescent="0.3">
      <c r="E1031" s="3"/>
    </row>
    <row r="1032" spans="5:5" ht="33" customHeight="1" x14ac:dyDescent="0.3">
      <c r="E1032" s="3"/>
    </row>
    <row r="1033" spans="5:5" ht="33" customHeight="1" x14ac:dyDescent="0.3">
      <c r="E1033" s="3"/>
    </row>
    <row r="1034" spans="5:5" ht="33" customHeight="1" x14ac:dyDescent="0.3">
      <c r="E1034" s="3"/>
    </row>
    <row r="1035" spans="5:5" ht="33" customHeight="1" x14ac:dyDescent="0.3">
      <c r="E1035" s="3"/>
    </row>
    <row r="1036" spans="5:5" ht="33" customHeight="1" x14ac:dyDescent="0.3">
      <c r="E1036" s="3"/>
    </row>
    <row r="1037" spans="5:5" ht="33" customHeight="1" x14ac:dyDescent="0.3">
      <c r="E1037" s="3"/>
    </row>
    <row r="1038" spans="5:5" ht="33" customHeight="1" x14ac:dyDescent="0.3">
      <c r="E1038" s="3"/>
    </row>
    <row r="1039" spans="5:5" ht="33" customHeight="1" x14ac:dyDescent="0.3">
      <c r="E1039" s="3"/>
    </row>
    <row r="1040" spans="5:5" ht="33" customHeight="1" x14ac:dyDescent="0.3">
      <c r="E1040" s="3"/>
    </row>
    <row r="1041" spans="5:5" ht="33" customHeight="1" x14ac:dyDescent="0.3">
      <c r="E1041" s="3"/>
    </row>
    <row r="1042" spans="5:5" ht="33" customHeight="1" x14ac:dyDescent="0.3">
      <c r="E1042" s="3"/>
    </row>
    <row r="1043" spans="5:5" ht="33" customHeight="1" x14ac:dyDescent="0.3">
      <c r="E1043" s="3"/>
    </row>
    <row r="1044" spans="5:5" ht="33" customHeight="1" x14ac:dyDescent="0.3">
      <c r="E1044" s="3"/>
    </row>
    <row r="1045" spans="5:5" ht="33" customHeight="1" x14ac:dyDescent="0.3">
      <c r="E1045" s="3"/>
    </row>
    <row r="1046" spans="5:5" ht="33" customHeight="1" x14ac:dyDescent="0.3">
      <c r="E1046" s="3"/>
    </row>
    <row r="1047" spans="5:5" ht="33" customHeight="1" x14ac:dyDescent="0.3">
      <c r="E1047" s="3"/>
    </row>
    <row r="1048" spans="5:5" ht="33" customHeight="1" x14ac:dyDescent="0.3">
      <c r="E1048" s="3"/>
    </row>
    <row r="1049" spans="5:5" ht="33" customHeight="1" x14ac:dyDescent="0.3">
      <c r="E1049" s="3"/>
    </row>
    <row r="1050" spans="5:5" ht="33" customHeight="1" x14ac:dyDescent="0.3">
      <c r="E1050" s="3"/>
    </row>
    <row r="1051" spans="5:5" ht="33" customHeight="1" x14ac:dyDescent="0.3">
      <c r="E1051" s="3"/>
    </row>
    <row r="1052" spans="5:5" ht="33" customHeight="1" x14ac:dyDescent="0.3">
      <c r="E1052" s="3"/>
    </row>
    <row r="1053" spans="5:5" ht="33" customHeight="1" x14ac:dyDescent="0.3">
      <c r="E1053" s="3"/>
    </row>
    <row r="1054" spans="5:5" ht="33" customHeight="1" x14ac:dyDescent="0.3">
      <c r="E1054" s="3"/>
    </row>
    <row r="1055" spans="5:5" ht="33" customHeight="1" x14ac:dyDescent="0.3">
      <c r="E1055" s="3"/>
    </row>
    <row r="1056" spans="5:5" ht="33" customHeight="1" x14ac:dyDescent="0.3">
      <c r="E1056" s="3"/>
    </row>
    <row r="1057" spans="5:5" ht="33" customHeight="1" x14ac:dyDescent="0.3">
      <c r="E1057" s="3"/>
    </row>
    <row r="1058" spans="5:5" ht="33" customHeight="1" x14ac:dyDescent="0.3">
      <c r="E1058" s="3"/>
    </row>
    <row r="1059" spans="5:5" ht="33" customHeight="1" x14ac:dyDescent="0.3">
      <c r="E1059" s="3"/>
    </row>
    <row r="1060" spans="5:5" ht="33" customHeight="1" x14ac:dyDescent="0.3">
      <c r="E1060" s="3"/>
    </row>
    <row r="1061" spans="5:5" ht="33" customHeight="1" x14ac:dyDescent="0.3">
      <c r="E1061" s="3"/>
    </row>
    <row r="1062" spans="5:5" ht="33" customHeight="1" x14ac:dyDescent="0.3">
      <c r="E1062" s="3"/>
    </row>
    <row r="1063" spans="5:5" ht="33" customHeight="1" x14ac:dyDescent="0.3">
      <c r="E1063" s="3"/>
    </row>
    <row r="1064" spans="5:5" ht="33" customHeight="1" x14ac:dyDescent="0.3">
      <c r="E1064" s="3"/>
    </row>
    <row r="1065" spans="5:5" ht="33" customHeight="1" x14ac:dyDescent="0.3">
      <c r="E1065" s="3"/>
    </row>
    <row r="1066" spans="5:5" ht="33" customHeight="1" x14ac:dyDescent="0.3">
      <c r="E1066" s="3"/>
    </row>
    <row r="1067" spans="5:5" ht="33" customHeight="1" x14ac:dyDescent="0.3">
      <c r="E1067" s="3"/>
    </row>
    <row r="1068" spans="5:5" ht="33" customHeight="1" x14ac:dyDescent="0.3">
      <c r="E1068" s="3"/>
    </row>
    <row r="1069" spans="5:5" ht="33" customHeight="1" x14ac:dyDescent="0.3">
      <c r="E1069" s="3"/>
    </row>
    <row r="1070" spans="5:5" ht="33" customHeight="1" x14ac:dyDescent="0.3">
      <c r="E1070" s="3"/>
    </row>
    <row r="1071" spans="5:5" ht="33" customHeight="1" x14ac:dyDescent="0.3">
      <c r="E1071" s="3"/>
    </row>
    <row r="1072" spans="5:5" ht="33" customHeight="1" x14ac:dyDescent="0.3">
      <c r="E1072" s="3"/>
    </row>
    <row r="1073" spans="5:5" ht="33" customHeight="1" x14ac:dyDescent="0.3">
      <c r="E1073" s="3"/>
    </row>
    <row r="1074" spans="5:5" ht="33" customHeight="1" x14ac:dyDescent="0.3">
      <c r="E1074" s="3"/>
    </row>
    <row r="1075" spans="5:5" ht="33" customHeight="1" x14ac:dyDescent="0.3">
      <c r="E1075" s="3"/>
    </row>
    <row r="1076" spans="5:5" ht="33" customHeight="1" x14ac:dyDescent="0.3">
      <c r="E1076" s="3"/>
    </row>
    <row r="1077" spans="5:5" ht="33" customHeight="1" x14ac:dyDescent="0.3">
      <c r="E1077" s="3"/>
    </row>
    <row r="1078" spans="5:5" ht="33" customHeight="1" x14ac:dyDescent="0.3">
      <c r="E1078" s="3"/>
    </row>
    <row r="1079" spans="5:5" ht="33" customHeight="1" x14ac:dyDescent="0.3">
      <c r="E1079" s="3"/>
    </row>
    <row r="1080" spans="5:5" ht="33" customHeight="1" x14ac:dyDescent="0.3">
      <c r="E1080" s="3"/>
    </row>
    <row r="1081" spans="5:5" ht="33" customHeight="1" x14ac:dyDescent="0.3">
      <c r="E1081" s="3"/>
    </row>
    <row r="1082" spans="5:5" ht="33" customHeight="1" x14ac:dyDescent="0.3">
      <c r="E1082" s="3"/>
    </row>
    <row r="1083" spans="5:5" ht="33" customHeight="1" x14ac:dyDescent="0.3">
      <c r="E1083" s="3"/>
    </row>
    <row r="1084" spans="5:5" ht="33" customHeight="1" x14ac:dyDescent="0.3">
      <c r="E1084" s="3"/>
    </row>
    <row r="1085" spans="5:5" ht="33" customHeight="1" x14ac:dyDescent="0.3">
      <c r="E1085" s="3"/>
    </row>
    <row r="1086" spans="5:5" ht="33" customHeight="1" x14ac:dyDescent="0.3">
      <c r="E1086" s="3"/>
    </row>
    <row r="1087" spans="5:5" ht="33" customHeight="1" x14ac:dyDescent="0.3">
      <c r="E1087" s="3"/>
    </row>
    <row r="1088" spans="5:5" ht="33" customHeight="1" x14ac:dyDescent="0.3">
      <c r="E1088" s="3"/>
    </row>
    <row r="1089" spans="5:5" ht="33" customHeight="1" x14ac:dyDescent="0.3">
      <c r="E1089" s="3"/>
    </row>
    <row r="1090" spans="5:5" ht="33" customHeight="1" x14ac:dyDescent="0.3">
      <c r="E1090" s="3"/>
    </row>
    <row r="1091" spans="5:5" ht="33" customHeight="1" x14ac:dyDescent="0.3">
      <c r="E1091" s="3"/>
    </row>
    <row r="1092" spans="5:5" ht="33" customHeight="1" x14ac:dyDescent="0.3">
      <c r="E1092" s="3"/>
    </row>
    <row r="1093" spans="5:5" ht="33" customHeight="1" x14ac:dyDescent="0.3">
      <c r="E1093" s="3"/>
    </row>
    <row r="1094" spans="5:5" ht="33" customHeight="1" x14ac:dyDescent="0.3">
      <c r="E1094" s="3"/>
    </row>
    <row r="1095" spans="5:5" ht="33" customHeight="1" x14ac:dyDescent="0.3">
      <c r="E1095" s="3"/>
    </row>
    <row r="1096" spans="5:5" ht="33" customHeight="1" x14ac:dyDescent="0.3">
      <c r="E1096" s="3"/>
    </row>
    <row r="1097" spans="5:5" ht="33" customHeight="1" x14ac:dyDescent="0.3">
      <c r="E1097" s="3"/>
    </row>
    <row r="1098" spans="5:5" ht="33" customHeight="1" x14ac:dyDescent="0.3">
      <c r="E1098" s="3"/>
    </row>
    <row r="1099" spans="5:5" ht="33" customHeight="1" x14ac:dyDescent="0.3">
      <c r="E1099" s="3"/>
    </row>
    <row r="1100" spans="5:5" ht="33" customHeight="1" x14ac:dyDescent="0.3">
      <c r="E1100" s="3"/>
    </row>
    <row r="1101" spans="5:5" ht="33" customHeight="1" x14ac:dyDescent="0.3">
      <c r="E1101" s="3"/>
    </row>
    <row r="1102" spans="5:5" ht="33" customHeight="1" x14ac:dyDescent="0.3">
      <c r="E1102" s="3"/>
    </row>
    <row r="1103" spans="5:5" ht="33" customHeight="1" x14ac:dyDescent="0.3">
      <c r="E1103" s="3"/>
    </row>
    <row r="1104" spans="5:5" ht="33" customHeight="1" x14ac:dyDescent="0.3">
      <c r="E1104" s="3"/>
    </row>
    <row r="1105" spans="5:5" ht="33" customHeight="1" x14ac:dyDescent="0.3">
      <c r="E1105" s="3"/>
    </row>
    <row r="1106" spans="5:5" ht="33" customHeight="1" x14ac:dyDescent="0.3">
      <c r="E1106" s="3"/>
    </row>
    <row r="1107" spans="5:5" ht="33" customHeight="1" x14ac:dyDescent="0.3">
      <c r="E1107" s="3"/>
    </row>
    <row r="1108" spans="5:5" ht="33" customHeight="1" x14ac:dyDescent="0.3">
      <c r="E1108" s="3"/>
    </row>
    <row r="1109" spans="5:5" ht="33" customHeight="1" x14ac:dyDescent="0.3">
      <c r="E1109" s="3"/>
    </row>
    <row r="1110" spans="5:5" ht="33" customHeight="1" x14ac:dyDescent="0.3">
      <c r="E1110" s="3"/>
    </row>
    <row r="1111" spans="5:5" ht="33" customHeight="1" x14ac:dyDescent="0.3">
      <c r="E1111" s="3"/>
    </row>
    <row r="1112" spans="5:5" ht="33" customHeight="1" x14ac:dyDescent="0.3">
      <c r="E1112" s="3"/>
    </row>
    <row r="1113" spans="5:5" ht="33" customHeight="1" x14ac:dyDescent="0.3">
      <c r="E1113" s="3"/>
    </row>
    <row r="1114" spans="5:5" ht="33" customHeight="1" x14ac:dyDescent="0.3">
      <c r="E1114" s="3"/>
    </row>
    <row r="1115" spans="5:5" ht="33" customHeight="1" x14ac:dyDescent="0.3">
      <c r="E1115" s="3"/>
    </row>
    <row r="1116" spans="5:5" ht="33" customHeight="1" x14ac:dyDescent="0.3">
      <c r="E1116" s="3"/>
    </row>
    <row r="1117" spans="5:5" ht="33" customHeight="1" x14ac:dyDescent="0.3">
      <c r="E1117" s="3"/>
    </row>
    <row r="1118" spans="5:5" ht="33" customHeight="1" x14ac:dyDescent="0.3">
      <c r="E1118" s="3"/>
    </row>
    <row r="1119" spans="5:5" ht="33" customHeight="1" x14ac:dyDescent="0.3">
      <c r="E1119" s="3"/>
    </row>
    <row r="1120" spans="5:5" ht="33" customHeight="1" x14ac:dyDescent="0.3">
      <c r="E1120" s="3"/>
    </row>
    <row r="1121" spans="5:5" ht="33" customHeight="1" x14ac:dyDescent="0.3">
      <c r="E1121" s="3"/>
    </row>
    <row r="1122" spans="5:5" ht="33" customHeight="1" x14ac:dyDescent="0.3">
      <c r="E1122" s="3"/>
    </row>
    <row r="1123" spans="5:5" ht="33" customHeight="1" x14ac:dyDescent="0.3">
      <c r="E1123" s="3"/>
    </row>
    <row r="1124" spans="5:5" ht="33" customHeight="1" x14ac:dyDescent="0.3">
      <c r="E1124" s="3"/>
    </row>
    <row r="1125" spans="5:5" ht="33" customHeight="1" x14ac:dyDescent="0.3">
      <c r="E1125" s="3"/>
    </row>
    <row r="1126" spans="5:5" ht="33" customHeight="1" x14ac:dyDescent="0.3">
      <c r="E1126" s="3"/>
    </row>
    <row r="1127" spans="5:5" ht="33" customHeight="1" x14ac:dyDescent="0.3">
      <c r="E1127" s="3"/>
    </row>
    <row r="1128" spans="5:5" ht="33" customHeight="1" x14ac:dyDescent="0.3">
      <c r="E1128" s="3"/>
    </row>
    <row r="1129" spans="5:5" ht="33" customHeight="1" x14ac:dyDescent="0.3">
      <c r="E1129" s="3"/>
    </row>
    <row r="1130" spans="5:5" ht="33" customHeight="1" x14ac:dyDescent="0.3">
      <c r="E1130" s="3"/>
    </row>
    <row r="1131" spans="5:5" ht="33" customHeight="1" x14ac:dyDescent="0.3">
      <c r="E1131" s="3"/>
    </row>
    <row r="1132" spans="5:5" ht="33" customHeight="1" x14ac:dyDescent="0.3">
      <c r="E1132" s="3"/>
    </row>
    <row r="1133" spans="5:5" ht="33" customHeight="1" x14ac:dyDescent="0.3">
      <c r="E1133" s="3"/>
    </row>
    <row r="1134" spans="5:5" ht="33" customHeight="1" x14ac:dyDescent="0.3">
      <c r="E1134" s="3"/>
    </row>
    <row r="1135" spans="5:5" ht="33" customHeight="1" x14ac:dyDescent="0.3">
      <c r="E1135" s="3"/>
    </row>
    <row r="1136" spans="5:5" ht="33" customHeight="1" x14ac:dyDescent="0.3">
      <c r="E1136" s="3"/>
    </row>
    <row r="1137" spans="5:5" ht="33" customHeight="1" x14ac:dyDescent="0.3">
      <c r="E1137" s="3"/>
    </row>
    <row r="1138" spans="5:5" ht="33" customHeight="1" x14ac:dyDescent="0.3">
      <c r="E1138" s="3"/>
    </row>
    <row r="1139" spans="5:5" ht="33" customHeight="1" x14ac:dyDescent="0.3">
      <c r="E1139" s="3"/>
    </row>
    <row r="1140" spans="5:5" ht="33" customHeight="1" x14ac:dyDescent="0.3">
      <c r="E1140" s="3"/>
    </row>
    <row r="1141" spans="5:5" ht="33" customHeight="1" x14ac:dyDescent="0.3">
      <c r="E1141" s="3"/>
    </row>
    <row r="1142" spans="5:5" ht="33" customHeight="1" x14ac:dyDescent="0.3">
      <c r="E1142" s="3"/>
    </row>
    <row r="1143" spans="5:5" ht="33" customHeight="1" x14ac:dyDescent="0.3">
      <c r="E1143" s="3"/>
    </row>
    <row r="1144" spans="5:5" ht="33" customHeight="1" x14ac:dyDescent="0.3">
      <c r="E1144" s="3"/>
    </row>
    <row r="1145" spans="5:5" ht="33" customHeight="1" x14ac:dyDescent="0.3">
      <c r="E1145" s="3"/>
    </row>
    <row r="1146" spans="5:5" ht="33" customHeight="1" x14ac:dyDescent="0.3">
      <c r="E1146" s="3"/>
    </row>
    <row r="1147" spans="5:5" ht="33" customHeight="1" x14ac:dyDescent="0.3">
      <c r="E1147" s="3"/>
    </row>
    <row r="1148" spans="5:5" ht="33" customHeight="1" x14ac:dyDescent="0.3">
      <c r="E1148" s="3"/>
    </row>
    <row r="1149" spans="5:5" ht="33" customHeight="1" x14ac:dyDescent="0.3">
      <c r="E1149" s="3"/>
    </row>
    <row r="1150" spans="5:5" ht="33" customHeight="1" x14ac:dyDescent="0.3">
      <c r="E1150" s="3"/>
    </row>
    <row r="1151" spans="5:5" ht="33" customHeight="1" x14ac:dyDescent="0.3">
      <c r="E1151" s="3"/>
    </row>
    <row r="1152" spans="5:5" ht="33" customHeight="1" x14ac:dyDescent="0.3">
      <c r="E1152" s="3"/>
    </row>
    <row r="1153" spans="5:5" ht="33" customHeight="1" x14ac:dyDescent="0.3">
      <c r="E1153" s="3"/>
    </row>
    <row r="1154" spans="5:5" ht="33" customHeight="1" x14ac:dyDescent="0.3">
      <c r="E1154" s="3"/>
    </row>
    <row r="1155" spans="5:5" ht="33" customHeight="1" x14ac:dyDescent="0.3">
      <c r="E1155" s="3"/>
    </row>
    <row r="1156" spans="5:5" ht="33" customHeight="1" x14ac:dyDescent="0.3">
      <c r="E1156" s="3"/>
    </row>
    <row r="1157" spans="5:5" ht="33" customHeight="1" x14ac:dyDescent="0.3">
      <c r="E1157" s="3"/>
    </row>
    <row r="1158" spans="5:5" ht="33" customHeight="1" x14ac:dyDescent="0.3">
      <c r="E1158" s="3"/>
    </row>
    <row r="1159" spans="5:5" ht="33" customHeight="1" x14ac:dyDescent="0.3">
      <c r="E1159" s="3"/>
    </row>
    <row r="1160" spans="5:5" ht="33" customHeight="1" x14ac:dyDescent="0.3">
      <c r="E1160" s="3"/>
    </row>
    <row r="1161" spans="5:5" ht="33" customHeight="1" x14ac:dyDescent="0.3">
      <c r="E1161" s="3"/>
    </row>
    <row r="1162" spans="5:5" ht="33" customHeight="1" x14ac:dyDescent="0.3">
      <c r="E1162" s="3"/>
    </row>
    <row r="1163" spans="5:5" ht="33" customHeight="1" x14ac:dyDescent="0.3">
      <c r="E1163" s="3"/>
    </row>
    <row r="1164" spans="5:5" ht="33" customHeight="1" x14ac:dyDescent="0.3">
      <c r="E1164" s="3"/>
    </row>
    <row r="1165" spans="5:5" ht="33" customHeight="1" x14ac:dyDescent="0.3">
      <c r="E1165" s="3"/>
    </row>
    <row r="1166" spans="5:5" ht="33" customHeight="1" x14ac:dyDescent="0.3">
      <c r="E1166" s="3"/>
    </row>
    <row r="1167" spans="5:5" ht="33" customHeight="1" x14ac:dyDescent="0.3">
      <c r="E1167" s="3"/>
    </row>
    <row r="1168" spans="5:5" ht="33" customHeight="1" x14ac:dyDescent="0.3">
      <c r="E1168" s="3"/>
    </row>
    <row r="1169" spans="5:5" ht="33" customHeight="1" x14ac:dyDescent="0.3">
      <c r="E1169" s="3"/>
    </row>
    <row r="1170" spans="5:5" ht="33" customHeight="1" x14ac:dyDescent="0.3">
      <c r="E1170" s="3"/>
    </row>
    <row r="1171" spans="5:5" ht="33" customHeight="1" x14ac:dyDescent="0.3">
      <c r="E1171" s="3"/>
    </row>
    <row r="1172" spans="5:5" ht="33" customHeight="1" x14ac:dyDescent="0.3">
      <c r="E1172" s="3"/>
    </row>
    <row r="1173" spans="5:5" ht="33" customHeight="1" x14ac:dyDescent="0.3">
      <c r="E1173" s="3"/>
    </row>
    <row r="1174" spans="5:5" ht="33" customHeight="1" x14ac:dyDescent="0.3">
      <c r="E1174" s="3"/>
    </row>
    <row r="1175" spans="5:5" ht="33" customHeight="1" x14ac:dyDescent="0.3">
      <c r="E1175" s="3"/>
    </row>
    <row r="1176" spans="5:5" ht="33" customHeight="1" x14ac:dyDescent="0.3">
      <c r="E1176" s="3"/>
    </row>
    <row r="1177" spans="5:5" ht="33" customHeight="1" x14ac:dyDescent="0.3">
      <c r="E1177" s="3"/>
    </row>
    <row r="1178" spans="5:5" ht="33" customHeight="1" x14ac:dyDescent="0.3">
      <c r="E1178" s="3"/>
    </row>
    <row r="1179" spans="5:5" ht="33" customHeight="1" x14ac:dyDescent="0.3">
      <c r="E1179" s="3"/>
    </row>
    <row r="1180" spans="5:5" ht="33" customHeight="1" x14ac:dyDescent="0.3">
      <c r="E1180" s="3"/>
    </row>
    <row r="1181" spans="5:5" ht="33" customHeight="1" x14ac:dyDescent="0.3">
      <c r="E1181" s="3"/>
    </row>
    <row r="1182" spans="5:5" ht="33" customHeight="1" x14ac:dyDescent="0.3">
      <c r="E1182" s="3"/>
    </row>
    <row r="1183" spans="5:5" ht="33" customHeight="1" x14ac:dyDescent="0.3">
      <c r="E1183" s="3"/>
    </row>
    <row r="1184" spans="5:5" ht="33" customHeight="1" x14ac:dyDescent="0.3">
      <c r="E1184" s="3"/>
    </row>
    <row r="1185" spans="5:5" ht="33" customHeight="1" x14ac:dyDescent="0.3">
      <c r="E1185" s="3"/>
    </row>
    <row r="1186" spans="5:5" ht="33" customHeight="1" x14ac:dyDescent="0.3">
      <c r="E1186" s="3"/>
    </row>
    <row r="1187" spans="5:5" ht="33" customHeight="1" x14ac:dyDescent="0.3">
      <c r="E1187" s="3"/>
    </row>
    <row r="1188" spans="5:5" ht="33" customHeight="1" x14ac:dyDescent="0.3">
      <c r="E1188" s="3"/>
    </row>
    <row r="1189" spans="5:5" ht="33" customHeight="1" x14ac:dyDescent="0.3">
      <c r="E1189" s="3"/>
    </row>
    <row r="1190" spans="5:5" ht="33" customHeight="1" x14ac:dyDescent="0.3">
      <c r="E1190" s="3"/>
    </row>
    <row r="1191" spans="5:5" ht="33" customHeight="1" x14ac:dyDescent="0.3">
      <c r="E1191" s="3"/>
    </row>
    <row r="1192" spans="5:5" ht="33" customHeight="1" x14ac:dyDescent="0.3">
      <c r="E1192" s="3"/>
    </row>
    <row r="1193" spans="5:5" ht="33" customHeight="1" x14ac:dyDescent="0.3">
      <c r="E1193" s="3"/>
    </row>
    <row r="1194" spans="5:5" ht="33" customHeight="1" x14ac:dyDescent="0.3">
      <c r="E1194" s="3"/>
    </row>
    <row r="1195" spans="5:5" ht="33" customHeight="1" x14ac:dyDescent="0.3">
      <c r="E1195" s="3"/>
    </row>
    <row r="1196" spans="5:5" ht="33" customHeight="1" x14ac:dyDescent="0.3">
      <c r="E1196" s="3"/>
    </row>
    <row r="1197" spans="5:5" ht="33" customHeight="1" x14ac:dyDescent="0.3">
      <c r="E1197" s="3"/>
    </row>
    <row r="1198" spans="5:5" ht="33" customHeight="1" x14ac:dyDescent="0.3">
      <c r="E1198" s="3"/>
    </row>
    <row r="1199" spans="5:5" ht="33" customHeight="1" x14ac:dyDescent="0.3">
      <c r="E1199" s="3"/>
    </row>
    <row r="1200" spans="5:5" ht="33" customHeight="1" x14ac:dyDescent="0.3">
      <c r="E1200" s="3"/>
    </row>
    <row r="1201" spans="5:5" ht="33" customHeight="1" x14ac:dyDescent="0.3">
      <c r="E1201" s="3"/>
    </row>
    <row r="1202" spans="5:5" ht="33" customHeight="1" x14ac:dyDescent="0.3">
      <c r="E1202" s="3"/>
    </row>
    <row r="1203" spans="5:5" ht="33" customHeight="1" x14ac:dyDescent="0.3">
      <c r="E1203" s="3"/>
    </row>
    <row r="1204" spans="5:5" ht="33" customHeight="1" x14ac:dyDescent="0.3">
      <c r="E1204" s="3"/>
    </row>
    <row r="1205" spans="5:5" ht="33" customHeight="1" x14ac:dyDescent="0.3">
      <c r="E1205" s="3"/>
    </row>
    <row r="1206" spans="5:5" ht="33" customHeight="1" x14ac:dyDescent="0.3">
      <c r="E1206" s="3"/>
    </row>
    <row r="1207" spans="5:5" ht="33" customHeight="1" x14ac:dyDescent="0.3">
      <c r="E1207" s="3"/>
    </row>
    <row r="1208" spans="5:5" ht="33" customHeight="1" x14ac:dyDescent="0.3">
      <c r="E1208" s="3"/>
    </row>
    <row r="1209" spans="5:5" ht="33" customHeight="1" x14ac:dyDescent="0.3">
      <c r="E1209" s="3"/>
    </row>
    <row r="1210" spans="5:5" ht="33" customHeight="1" x14ac:dyDescent="0.3">
      <c r="E1210" s="3"/>
    </row>
    <row r="1211" spans="5:5" ht="33" customHeight="1" x14ac:dyDescent="0.3">
      <c r="E1211" s="3"/>
    </row>
    <row r="1212" spans="5:5" ht="33" customHeight="1" x14ac:dyDescent="0.3">
      <c r="E1212" s="3"/>
    </row>
    <row r="1213" spans="5:5" ht="33" customHeight="1" x14ac:dyDescent="0.3">
      <c r="E1213" s="3"/>
    </row>
    <row r="1214" spans="5:5" ht="33" customHeight="1" x14ac:dyDescent="0.3">
      <c r="E1214" s="3"/>
    </row>
    <row r="1215" spans="5:5" ht="33" customHeight="1" x14ac:dyDescent="0.3">
      <c r="E1215" s="3"/>
    </row>
    <row r="1216" spans="5:5" ht="33" customHeight="1" x14ac:dyDescent="0.3">
      <c r="E1216" s="3"/>
    </row>
    <row r="1217" spans="5:5" ht="33" customHeight="1" x14ac:dyDescent="0.3">
      <c r="E1217" s="3"/>
    </row>
    <row r="1218" spans="5:5" ht="33" customHeight="1" x14ac:dyDescent="0.3">
      <c r="E1218" s="3"/>
    </row>
    <row r="1219" spans="5:5" ht="33" customHeight="1" x14ac:dyDescent="0.3">
      <c r="E1219" s="3"/>
    </row>
    <row r="1220" spans="5:5" ht="33" customHeight="1" x14ac:dyDescent="0.3">
      <c r="E1220" s="3"/>
    </row>
    <row r="1221" spans="5:5" ht="33" customHeight="1" x14ac:dyDescent="0.3">
      <c r="E1221" s="3"/>
    </row>
    <row r="1222" spans="5:5" ht="33" customHeight="1" x14ac:dyDescent="0.3">
      <c r="E1222" s="3"/>
    </row>
    <row r="1223" spans="5:5" ht="33" customHeight="1" x14ac:dyDescent="0.3">
      <c r="E1223" s="3"/>
    </row>
    <row r="1224" spans="5:5" ht="33" customHeight="1" x14ac:dyDescent="0.3">
      <c r="E1224" s="3"/>
    </row>
    <row r="1225" spans="5:5" ht="33" customHeight="1" x14ac:dyDescent="0.3">
      <c r="E1225" s="3"/>
    </row>
    <row r="1226" spans="5:5" ht="33" customHeight="1" x14ac:dyDescent="0.3">
      <c r="E1226" s="3"/>
    </row>
    <row r="1227" spans="5:5" ht="33" customHeight="1" x14ac:dyDescent="0.3">
      <c r="E1227" s="3"/>
    </row>
    <row r="1228" spans="5:5" ht="33" customHeight="1" x14ac:dyDescent="0.3">
      <c r="E1228" s="3"/>
    </row>
    <row r="1229" spans="5:5" ht="33" customHeight="1" x14ac:dyDescent="0.3">
      <c r="E1229" s="3"/>
    </row>
    <row r="1230" spans="5:5" ht="33" customHeight="1" x14ac:dyDescent="0.3">
      <c r="E1230" s="3"/>
    </row>
    <row r="1231" spans="5:5" ht="33" customHeight="1" x14ac:dyDescent="0.3">
      <c r="E1231" s="3"/>
    </row>
    <row r="1232" spans="5:5" ht="33" customHeight="1" x14ac:dyDescent="0.3">
      <c r="E1232" s="3"/>
    </row>
    <row r="1233" spans="5:5" ht="33" customHeight="1" x14ac:dyDescent="0.3">
      <c r="E1233" s="3"/>
    </row>
    <row r="1234" spans="5:5" ht="33" customHeight="1" x14ac:dyDescent="0.3">
      <c r="E1234" s="3"/>
    </row>
    <row r="1235" spans="5:5" ht="33" customHeight="1" x14ac:dyDescent="0.3">
      <c r="E1235" s="3"/>
    </row>
    <row r="1236" spans="5:5" ht="33" customHeight="1" x14ac:dyDescent="0.3">
      <c r="E1236" s="3"/>
    </row>
    <row r="1237" spans="5:5" ht="33" customHeight="1" x14ac:dyDescent="0.3">
      <c r="E1237" s="3"/>
    </row>
    <row r="1238" spans="5:5" ht="33" customHeight="1" x14ac:dyDescent="0.3">
      <c r="E1238" s="3"/>
    </row>
    <row r="1239" spans="5:5" ht="33" customHeight="1" x14ac:dyDescent="0.3">
      <c r="E1239" s="3"/>
    </row>
    <row r="1240" spans="5:5" ht="33" customHeight="1" x14ac:dyDescent="0.3">
      <c r="E1240" s="3"/>
    </row>
    <row r="1241" spans="5:5" ht="33" customHeight="1" x14ac:dyDescent="0.3">
      <c r="E1241" s="3"/>
    </row>
    <row r="1242" spans="5:5" ht="33" customHeight="1" x14ac:dyDescent="0.3">
      <c r="E1242" s="3"/>
    </row>
    <row r="1243" spans="5:5" ht="33" customHeight="1" x14ac:dyDescent="0.3">
      <c r="E1243" s="3"/>
    </row>
    <row r="1244" spans="5:5" ht="33" customHeight="1" x14ac:dyDescent="0.3">
      <c r="E1244" s="3"/>
    </row>
    <row r="1245" spans="5:5" ht="33" customHeight="1" x14ac:dyDescent="0.3">
      <c r="E1245" s="3"/>
    </row>
    <row r="1246" spans="5:5" ht="33" customHeight="1" x14ac:dyDescent="0.3">
      <c r="E1246" s="3"/>
    </row>
    <row r="1247" spans="5:5" ht="33" customHeight="1" x14ac:dyDescent="0.3">
      <c r="E1247" s="3"/>
    </row>
    <row r="1248" spans="5:5" ht="33" customHeight="1" x14ac:dyDescent="0.3">
      <c r="E1248" s="3"/>
    </row>
    <row r="1249" spans="5:5" ht="33" customHeight="1" x14ac:dyDescent="0.3">
      <c r="E1249" s="3"/>
    </row>
    <row r="1250" spans="5:5" ht="33" customHeight="1" x14ac:dyDescent="0.3">
      <c r="E1250" s="3"/>
    </row>
    <row r="1251" spans="5:5" ht="33" customHeight="1" x14ac:dyDescent="0.3">
      <c r="E1251" s="3"/>
    </row>
    <row r="1252" spans="5:5" ht="33" customHeight="1" x14ac:dyDescent="0.3">
      <c r="E1252" s="3"/>
    </row>
    <row r="1253" spans="5:5" ht="33" customHeight="1" x14ac:dyDescent="0.3">
      <c r="E1253" s="3"/>
    </row>
    <row r="1254" spans="5:5" ht="33" customHeight="1" x14ac:dyDescent="0.3">
      <c r="E1254" s="3"/>
    </row>
    <row r="1255" spans="5:5" ht="33" customHeight="1" x14ac:dyDescent="0.3">
      <c r="E1255" s="3"/>
    </row>
    <row r="1256" spans="5:5" ht="33" customHeight="1" x14ac:dyDescent="0.3">
      <c r="E1256" s="3"/>
    </row>
    <row r="1257" spans="5:5" ht="33" customHeight="1" x14ac:dyDescent="0.3">
      <c r="E1257" s="3"/>
    </row>
    <row r="1258" spans="5:5" ht="33" customHeight="1" x14ac:dyDescent="0.3">
      <c r="E1258" s="3"/>
    </row>
    <row r="1259" spans="5:5" ht="33" customHeight="1" x14ac:dyDescent="0.3">
      <c r="E1259" s="3"/>
    </row>
    <row r="1260" spans="5:5" ht="33" customHeight="1" x14ac:dyDescent="0.3">
      <c r="E1260" s="3"/>
    </row>
    <row r="1261" spans="5:5" ht="33" customHeight="1" x14ac:dyDescent="0.3">
      <c r="E1261" s="3"/>
    </row>
    <row r="1262" spans="5:5" ht="33" customHeight="1" x14ac:dyDescent="0.3">
      <c r="E1262" s="3"/>
    </row>
    <row r="1263" spans="5:5" ht="33" customHeight="1" x14ac:dyDescent="0.3">
      <c r="E1263" s="3"/>
    </row>
    <row r="1264" spans="5:5" ht="33" customHeight="1" x14ac:dyDescent="0.3">
      <c r="E1264" s="3"/>
    </row>
    <row r="1265" spans="5:5" ht="33" customHeight="1" x14ac:dyDescent="0.3">
      <c r="E1265" s="3"/>
    </row>
    <row r="1266" spans="5:5" ht="33" customHeight="1" x14ac:dyDescent="0.3">
      <c r="E1266" s="3"/>
    </row>
    <row r="1267" spans="5:5" ht="33" customHeight="1" x14ac:dyDescent="0.3">
      <c r="E1267" s="3"/>
    </row>
    <row r="1268" spans="5:5" ht="33" customHeight="1" x14ac:dyDescent="0.3">
      <c r="E1268" s="3"/>
    </row>
    <row r="1269" spans="5:5" ht="33" customHeight="1" x14ac:dyDescent="0.3">
      <c r="E1269" s="3"/>
    </row>
    <row r="1270" spans="5:5" ht="33" customHeight="1" x14ac:dyDescent="0.3">
      <c r="E1270" s="3"/>
    </row>
    <row r="1271" spans="5:5" ht="33" customHeight="1" x14ac:dyDescent="0.3">
      <c r="E1271" s="3"/>
    </row>
    <row r="1272" spans="5:5" ht="33" customHeight="1" x14ac:dyDescent="0.3">
      <c r="E1272" s="3"/>
    </row>
    <row r="1273" spans="5:5" ht="33" customHeight="1" x14ac:dyDescent="0.3">
      <c r="E1273" s="3"/>
    </row>
    <row r="1274" spans="5:5" ht="33" customHeight="1" x14ac:dyDescent="0.3">
      <c r="E1274" s="3"/>
    </row>
    <row r="1275" spans="5:5" ht="33" customHeight="1" x14ac:dyDescent="0.3">
      <c r="E1275" s="3"/>
    </row>
    <row r="1276" spans="5:5" ht="33" customHeight="1" x14ac:dyDescent="0.3">
      <c r="E1276" s="3"/>
    </row>
    <row r="1277" spans="5:5" ht="33" customHeight="1" x14ac:dyDescent="0.3">
      <c r="E1277" s="3"/>
    </row>
    <row r="1278" spans="5:5" ht="33" customHeight="1" x14ac:dyDescent="0.3">
      <c r="E1278" s="3"/>
    </row>
    <row r="1279" spans="5:5" ht="33" customHeight="1" x14ac:dyDescent="0.3">
      <c r="E1279" s="3"/>
    </row>
    <row r="1280" spans="5:5" ht="33" customHeight="1" x14ac:dyDescent="0.3">
      <c r="E1280" s="3"/>
    </row>
    <row r="1281" spans="5:5" ht="33" customHeight="1" x14ac:dyDescent="0.3">
      <c r="E1281" s="3"/>
    </row>
    <row r="1282" spans="5:5" ht="33" customHeight="1" x14ac:dyDescent="0.3">
      <c r="E1282" s="3"/>
    </row>
    <row r="1283" spans="5:5" ht="33" customHeight="1" x14ac:dyDescent="0.3">
      <c r="E1283" s="3"/>
    </row>
    <row r="1284" spans="5:5" ht="33" customHeight="1" x14ac:dyDescent="0.3">
      <c r="E1284" s="3"/>
    </row>
    <row r="1285" spans="5:5" ht="33" customHeight="1" x14ac:dyDescent="0.3">
      <c r="E1285" s="3"/>
    </row>
    <row r="1286" spans="5:5" ht="33" customHeight="1" x14ac:dyDescent="0.3">
      <c r="E1286" s="3"/>
    </row>
    <row r="1287" spans="5:5" ht="33" customHeight="1" x14ac:dyDescent="0.3">
      <c r="E1287" s="3"/>
    </row>
    <row r="1288" spans="5:5" ht="33" customHeight="1" x14ac:dyDescent="0.3">
      <c r="E1288" s="3"/>
    </row>
    <row r="1289" spans="5:5" ht="33" customHeight="1" x14ac:dyDescent="0.3">
      <c r="E1289" s="3"/>
    </row>
    <row r="1290" spans="5:5" ht="33" customHeight="1" x14ac:dyDescent="0.3">
      <c r="E1290" s="3"/>
    </row>
    <row r="1291" spans="5:5" ht="33" customHeight="1" x14ac:dyDescent="0.3">
      <c r="E1291" s="3"/>
    </row>
    <row r="1292" spans="5:5" ht="33" customHeight="1" x14ac:dyDescent="0.3">
      <c r="E1292" s="3"/>
    </row>
    <row r="1293" spans="5:5" ht="33" customHeight="1" x14ac:dyDescent="0.3">
      <c r="E1293" s="3"/>
    </row>
    <row r="1294" spans="5:5" ht="33" customHeight="1" x14ac:dyDescent="0.3">
      <c r="E1294" s="3"/>
    </row>
    <row r="1295" spans="5:5" ht="33" customHeight="1" x14ac:dyDescent="0.3">
      <c r="E1295" s="3"/>
    </row>
    <row r="1296" spans="5:5" ht="33" customHeight="1" x14ac:dyDescent="0.3">
      <c r="E1296" s="3"/>
    </row>
    <row r="1297" spans="5:5" ht="33" customHeight="1" x14ac:dyDescent="0.3">
      <c r="E1297" s="3"/>
    </row>
    <row r="1298" spans="5:5" ht="33" customHeight="1" x14ac:dyDescent="0.3">
      <c r="E1298" s="3"/>
    </row>
    <row r="1299" spans="5:5" ht="33" customHeight="1" x14ac:dyDescent="0.3">
      <c r="E1299" s="3"/>
    </row>
    <row r="1300" spans="5:5" ht="33" customHeight="1" x14ac:dyDescent="0.3">
      <c r="E1300" s="3"/>
    </row>
    <row r="1301" spans="5:5" ht="33" customHeight="1" x14ac:dyDescent="0.3">
      <c r="E1301" s="3"/>
    </row>
    <row r="1302" spans="5:5" ht="33" customHeight="1" x14ac:dyDescent="0.3">
      <c r="E1302" s="3"/>
    </row>
    <row r="1303" spans="5:5" ht="33" customHeight="1" x14ac:dyDescent="0.3">
      <c r="E1303" s="3"/>
    </row>
    <row r="1304" spans="5:5" ht="33" customHeight="1" x14ac:dyDescent="0.3">
      <c r="E1304" s="3"/>
    </row>
    <row r="1305" spans="5:5" ht="33" customHeight="1" x14ac:dyDescent="0.3">
      <c r="E1305" s="3"/>
    </row>
    <row r="1306" spans="5:5" ht="33" customHeight="1" x14ac:dyDescent="0.3">
      <c r="E1306" s="3"/>
    </row>
    <row r="1307" spans="5:5" ht="33" customHeight="1" x14ac:dyDescent="0.3">
      <c r="E1307" s="3"/>
    </row>
    <row r="1308" spans="5:5" ht="33" customHeight="1" x14ac:dyDescent="0.3">
      <c r="E1308" s="3"/>
    </row>
    <row r="1309" spans="5:5" ht="33" customHeight="1" x14ac:dyDescent="0.3">
      <c r="E1309" s="3"/>
    </row>
    <row r="1310" spans="5:5" ht="33" customHeight="1" x14ac:dyDescent="0.3">
      <c r="E1310" s="3"/>
    </row>
    <row r="1311" spans="5:5" ht="33" customHeight="1" x14ac:dyDescent="0.3">
      <c r="E1311" s="3"/>
    </row>
    <row r="1312" spans="5:5" ht="33" customHeight="1" x14ac:dyDescent="0.3">
      <c r="E1312" s="3"/>
    </row>
    <row r="1313" spans="5:5" ht="33" customHeight="1" x14ac:dyDescent="0.3">
      <c r="E1313" s="3"/>
    </row>
    <row r="1314" spans="5:5" ht="33" customHeight="1" x14ac:dyDescent="0.3">
      <c r="E1314" s="3"/>
    </row>
    <row r="1315" spans="5:5" ht="33" customHeight="1" x14ac:dyDescent="0.3">
      <c r="E1315" s="3"/>
    </row>
    <row r="1316" spans="5:5" ht="33" customHeight="1" x14ac:dyDescent="0.3">
      <c r="E1316" s="3"/>
    </row>
    <row r="1317" spans="5:5" ht="33" customHeight="1" x14ac:dyDescent="0.3">
      <c r="E1317" s="3"/>
    </row>
    <row r="1318" spans="5:5" ht="33" customHeight="1" x14ac:dyDescent="0.3">
      <c r="E1318" s="3"/>
    </row>
    <row r="1319" spans="5:5" ht="33" customHeight="1" x14ac:dyDescent="0.3">
      <c r="E1319" s="3"/>
    </row>
    <row r="1320" spans="5:5" ht="33" customHeight="1" x14ac:dyDescent="0.3">
      <c r="E1320" s="3"/>
    </row>
    <row r="1321" spans="5:5" ht="33" customHeight="1" x14ac:dyDescent="0.3">
      <c r="E1321" s="3"/>
    </row>
    <row r="1322" spans="5:5" ht="33" customHeight="1" x14ac:dyDescent="0.3">
      <c r="E1322" s="3"/>
    </row>
    <row r="1323" spans="5:5" ht="33" customHeight="1" x14ac:dyDescent="0.3">
      <c r="E1323" s="3"/>
    </row>
    <row r="1324" spans="5:5" ht="33" customHeight="1" x14ac:dyDescent="0.3">
      <c r="E1324" s="3"/>
    </row>
    <row r="1325" spans="5:5" ht="33" customHeight="1" x14ac:dyDescent="0.3">
      <c r="E1325" s="3"/>
    </row>
    <row r="1326" spans="5:5" ht="33" customHeight="1" x14ac:dyDescent="0.3">
      <c r="E1326" s="3"/>
    </row>
    <row r="1327" spans="5:5" ht="33" customHeight="1" x14ac:dyDescent="0.3">
      <c r="E1327" s="3"/>
    </row>
    <row r="1328" spans="5:5" ht="33" customHeight="1" x14ac:dyDescent="0.3">
      <c r="E1328" s="3"/>
    </row>
    <row r="1329" spans="5:5" ht="33" customHeight="1" x14ac:dyDescent="0.3">
      <c r="E1329" s="3"/>
    </row>
    <row r="1330" spans="5:5" ht="33" customHeight="1" x14ac:dyDescent="0.3">
      <c r="E1330" s="3"/>
    </row>
    <row r="1331" spans="5:5" ht="33" customHeight="1" x14ac:dyDescent="0.3">
      <c r="E1331" s="3"/>
    </row>
    <row r="1332" spans="5:5" ht="33" customHeight="1" x14ac:dyDescent="0.3">
      <c r="E1332" s="3"/>
    </row>
    <row r="1333" spans="5:5" ht="33" customHeight="1" x14ac:dyDescent="0.3">
      <c r="E1333" s="3"/>
    </row>
    <row r="1334" spans="5:5" ht="33" customHeight="1" x14ac:dyDescent="0.3">
      <c r="E1334" s="3"/>
    </row>
    <row r="1335" spans="5:5" ht="33" customHeight="1" x14ac:dyDescent="0.3">
      <c r="E1335" s="3"/>
    </row>
    <row r="1336" spans="5:5" ht="33" customHeight="1" x14ac:dyDescent="0.3">
      <c r="E1336" s="3"/>
    </row>
    <row r="1337" spans="5:5" ht="33" customHeight="1" x14ac:dyDescent="0.3">
      <c r="E1337" s="3"/>
    </row>
    <row r="1338" spans="5:5" ht="33" customHeight="1" x14ac:dyDescent="0.3">
      <c r="E1338" s="3"/>
    </row>
    <row r="1339" spans="5:5" ht="33" customHeight="1" x14ac:dyDescent="0.3">
      <c r="E1339" s="3"/>
    </row>
    <row r="1340" spans="5:5" ht="33" customHeight="1" x14ac:dyDescent="0.3">
      <c r="E1340" s="3"/>
    </row>
    <row r="1341" spans="5:5" ht="33" customHeight="1" x14ac:dyDescent="0.3">
      <c r="E1341" s="3"/>
    </row>
    <row r="1342" spans="5:5" ht="33" customHeight="1" x14ac:dyDescent="0.3">
      <c r="E1342" s="3"/>
    </row>
    <row r="1343" spans="5:5" ht="33" customHeight="1" x14ac:dyDescent="0.3">
      <c r="E1343" s="3"/>
    </row>
    <row r="1344" spans="5:5" ht="33" customHeight="1" x14ac:dyDescent="0.3">
      <c r="E1344" s="3"/>
    </row>
    <row r="1345" spans="5:5" ht="33" customHeight="1" x14ac:dyDescent="0.3">
      <c r="E1345" s="3"/>
    </row>
    <row r="1346" spans="5:5" ht="33" customHeight="1" x14ac:dyDescent="0.3">
      <c r="E1346" s="3"/>
    </row>
    <row r="1347" spans="5:5" ht="33" customHeight="1" x14ac:dyDescent="0.3">
      <c r="E1347" s="3"/>
    </row>
    <row r="1348" spans="5:5" ht="33" customHeight="1" x14ac:dyDescent="0.3">
      <c r="E1348" s="3"/>
    </row>
    <row r="1349" spans="5:5" ht="33" customHeight="1" x14ac:dyDescent="0.3">
      <c r="E1349" s="3"/>
    </row>
    <row r="1350" spans="5:5" ht="33" customHeight="1" x14ac:dyDescent="0.3">
      <c r="E1350" s="3"/>
    </row>
    <row r="1351" spans="5:5" ht="33" customHeight="1" x14ac:dyDescent="0.3">
      <c r="E1351" s="3"/>
    </row>
    <row r="1352" spans="5:5" ht="33" customHeight="1" x14ac:dyDescent="0.3">
      <c r="E1352" s="3"/>
    </row>
    <row r="1353" spans="5:5" ht="33" customHeight="1" x14ac:dyDescent="0.3">
      <c r="E1353" s="3"/>
    </row>
    <row r="1354" spans="5:5" ht="33" customHeight="1" x14ac:dyDescent="0.3">
      <c r="E1354" s="3"/>
    </row>
    <row r="1355" spans="5:5" ht="33" customHeight="1" x14ac:dyDescent="0.3">
      <c r="E1355" s="3"/>
    </row>
    <row r="1356" spans="5:5" ht="33" customHeight="1" x14ac:dyDescent="0.3">
      <c r="E1356" s="3"/>
    </row>
    <row r="1357" spans="5:5" ht="33" customHeight="1" x14ac:dyDescent="0.3">
      <c r="E1357" s="3"/>
    </row>
    <row r="1358" spans="5:5" ht="33" customHeight="1" x14ac:dyDescent="0.3">
      <c r="E1358" s="3"/>
    </row>
    <row r="1359" spans="5:5" ht="33" customHeight="1" x14ac:dyDescent="0.3">
      <c r="E1359" s="3"/>
    </row>
    <row r="1360" spans="5:5" ht="33" customHeight="1" x14ac:dyDescent="0.3">
      <c r="E1360" s="3"/>
    </row>
    <row r="1361" spans="5:5" ht="33" customHeight="1" x14ac:dyDescent="0.3">
      <c r="E1361" s="3"/>
    </row>
    <row r="1362" spans="5:5" ht="33" customHeight="1" x14ac:dyDescent="0.3">
      <c r="E1362" s="3"/>
    </row>
    <row r="1363" spans="5:5" ht="33" customHeight="1" x14ac:dyDescent="0.3">
      <c r="E1363" s="3"/>
    </row>
    <row r="1364" spans="5:5" ht="33" customHeight="1" x14ac:dyDescent="0.3">
      <c r="E1364" s="3"/>
    </row>
    <row r="1365" spans="5:5" ht="33" customHeight="1" x14ac:dyDescent="0.3">
      <c r="E1365" s="3"/>
    </row>
    <row r="1366" spans="5:5" ht="33" customHeight="1" x14ac:dyDescent="0.3">
      <c r="E1366" s="3"/>
    </row>
    <row r="1367" spans="5:5" ht="33" customHeight="1" x14ac:dyDescent="0.3">
      <c r="E1367" s="3"/>
    </row>
    <row r="1368" spans="5:5" ht="33" customHeight="1" x14ac:dyDescent="0.3">
      <c r="E1368" s="3"/>
    </row>
    <row r="1369" spans="5:5" ht="33" customHeight="1" x14ac:dyDescent="0.3">
      <c r="E1369" s="3"/>
    </row>
    <row r="1370" spans="5:5" ht="33" customHeight="1" x14ac:dyDescent="0.3">
      <c r="E1370" s="3"/>
    </row>
    <row r="1371" spans="5:5" ht="33" customHeight="1" x14ac:dyDescent="0.3">
      <c r="E1371" s="3"/>
    </row>
    <row r="1372" spans="5:5" ht="33" customHeight="1" x14ac:dyDescent="0.3">
      <c r="E1372" s="3"/>
    </row>
    <row r="1373" spans="5:5" ht="33" customHeight="1" x14ac:dyDescent="0.3">
      <c r="E1373" s="3"/>
    </row>
    <row r="1374" spans="5:5" ht="33" customHeight="1" x14ac:dyDescent="0.3">
      <c r="E1374" s="3"/>
    </row>
    <row r="1375" spans="5:5" ht="33" customHeight="1" x14ac:dyDescent="0.3">
      <c r="E1375" s="3"/>
    </row>
    <row r="1376" spans="5:5" ht="33" customHeight="1" x14ac:dyDescent="0.3">
      <c r="E1376" s="3"/>
    </row>
    <row r="1377" spans="5:5" ht="33" customHeight="1" x14ac:dyDescent="0.3">
      <c r="E1377" s="3"/>
    </row>
    <row r="1378" spans="5:5" ht="33" customHeight="1" x14ac:dyDescent="0.3">
      <c r="E1378" s="3"/>
    </row>
    <row r="1379" spans="5:5" ht="33" customHeight="1" x14ac:dyDescent="0.3">
      <c r="E1379" s="3"/>
    </row>
    <row r="1380" spans="5:5" ht="33" customHeight="1" x14ac:dyDescent="0.3">
      <c r="E1380" s="3"/>
    </row>
    <row r="1381" spans="5:5" ht="33" customHeight="1" x14ac:dyDescent="0.3">
      <c r="E1381" s="3"/>
    </row>
    <row r="1382" spans="5:5" ht="33" customHeight="1" x14ac:dyDescent="0.3">
      <c r="E1382" s="3"/>
    </row>
    <row r="1383" spans="5:5" ht="33" customHeight="1" x14ac:dyDescent="0.3">
      <c r="E1383" s="3"/>
    </row>
    <row r="1384" spans="5:5" ht="33" customHeight="1" x14ac:dyDescent="0.3">
      <c r="E1384" s="3"/>
    </row>
    <row r="1385" spans="5:5" ht="33" customHeight="1" x14ac:dyDescent="0.3">
      <c r="E1385" s="3"/>
    </row>
    <row r="1386" spans="5:5" ht="33" customHeight="1" x14ac:dyDescent="0.3">
      <c r="E1386" s="3"/>
    </row>
    <row r="1387" spans="5:5" ht="33" customHeight="1" x14ac:dyDescent="0.3">
      <c r="E1387" s="3"/>
    </row>
    <row r="1388" spans="5:5" ht="33" customHeight="1" x14ac:dyDescent="0.3">
      <c r="E1388" s="3"/>
    </row>
    <row r="1389" spans="5:5" ht="33" customHeight="1" x14ac:dyDescent="0.3">
      <c r="E1389" s="3"/>
    </row>
    <row r="1390" spans="5:5" ht="33" customHeight="1" x14ac:dyDescent="0.3">
      <c r="E1390" s="3"/>
    </row>
    <row r="1391" spans="5:5" ht="33" customHeight="1" x14ac:dyDescent="0.3">
      <c r="E1391" s="3"/>
    </row>
    <row r="1392" spans="5:5" ht="33" customHeight="1" x14ac:dyDescent="0.3">
      <c r="E1392" s="3"/>
    </row>
    <row r="1393" spans="5:5" ht="33" customHeight="1" x14ac:dyDescent="0.3">
      <c r="E1393" s="3"/>
    </row>
    <row r="1394" spans="5:5" ht="33" customHeight="1" x14ac:dyDescent="0.3">
      <c r="E1394" s="3"/>
    </row>
    <row r="1395" spans="5:5" ht="33" customHeight="1" x14ac:dyDescent="0.3">
      <c r="E1395" s="3"/>
    </row>
    <row r="1396" spans="5:5" ht="33" customHeight="1" x14ac:dyDescent="0.3">
      <c r="E1396" s="3"/>
    </row>
    <row r="1397" spans="5:5" ht="33" customHeight="1" x14ac:dyDescent="0.3">
      <c r="E1397" s="3"/>
    </row>
    <row r="1398" spans="5:5" ht="33" customHeight="1" x14ac:dyDescent="0.3">
      <c r="E1398" s="3"/>
    </row>
    <row r="1399" spans="5:5" ht="33" customHeight="1" x14ac:dyDescent="0.3">
      <c r="E1399" s="3"/>
    </row>
    <row r="1400" spans="5:5" ht="33" customHeight="1" x14ac:dyDescent="0.3">
      <c r="E1400" s="3"/>
    </row>
    <row r="1401" spans="5:5" ht="33" customHeight="1" x14ac:dyDescent="0.3">
      <c r="E1401" s="3"/>
    </row>
    <row r="1402" spans="5:5" ht="33" customHeight="1" x14ac:dyDescent="0.3">
      <c r="E1402" s="3"/>
    </row>
    <row r="1403" spans="5:5" ht="33" customHeight="1" x14ac:dyDescent="0.3">
      <c r="E1403" s="3"/>
    </row>
    <row r="1404" spans="5:5" ht="33" customHeight="1" x14ac:dyDescent="0.3">
      <c r="E1404" s="3"/>
    </row>
    <row r="1405" spans="5:5" ht="33" customHeight="1" x14ac:dyDescent="0.3">
      <c r="E1405" s="3"/>
    </row>
    <row r="1406" spans="5:5" ht="33" customHeight="1" thickBot="1" x14ac:dyDescent="0.35">
      <c r="E1406" s="3"/>
    </row>
    <row r="1407" spans="5:5" ht="33" customHeight="1" thickBot="1" x14ac:dyDescent="0.35"/>
    <row r="1408" spans="5:5" ht="33" customHeight="1" thickBot="1" x14ac:dyDescent="0.35"/>
    <row r="1409" ht="33" customHeight="1" thickBot="1" x14ac:dyDescent="0.35"/>
    <row r="1410" ht="33" customHeight="1" thickBot="1" x14ac:dyDescent="0.35"/>
  </sheetData>
  <autoFilter ref="A5:U144" xr:uid="{00000000-0009-0000-0000-000000000000}">
    <filterColumn colId="1">
      <filters blank="1"/>
    </filterColumn>
    <filterColumn colId="20">
      <filters blank="1">
        <filter val="BONOMO SISTEMAS"/>
      </filters>
    </filterColumn>
  </autoFilter>
  <conditionalFormatting sqref="B1:B137 B142:B144 B158:B1048576">
    <cfRule type="cellIs" dxfId="55" priority="24" operator="equal">
      <formula>4231</formula>
    </cfRule>
    <cfRule type="cellIs" dxfId="54" priority="25" operator="equal">
      <formula>4145</formula>
    </cfRule>
    <cfRule type="cellIs" dxfId="53" priority="26" operator="equal">
      <formula>4319</formula>
    </cfRule>
    <cfRule type="cellIs" dxfId="52" priority="27" operator="equal">
      <formula>4230</formula>
    </cfRule>
    <cfRule type="cellIs" dxfId="51" priority="28" operator="equal">
      <formula>4232</formula>
    </cfRule>
  </conditionalFormatting>
  <conditionalFormatting sqref="O158:O315 O6:O137">
    <cfRule type="cellIs" dxfId="50" priority="22" operator="equal">
      <formula>"FIBRA"</formula>
    </cfRule>
    <cfRule type="cellIs" dxfId="49" priority="23" operator="equal">
      <formula>"RADIO"</formula>
    </cfRule>
  </conditionalFormatting>
  <conditionalFormatting sqref="B138:B141">
    <cfRule type="cellIs" dxfId="48" priority="17" operator="equal">
      <formula>4231</formula>
    </cfRule>
    <cfRule type="cellIs" dxfId="47" priority="18" operator="equal">
      <formula>4145</formula>
    </cfRule>
    <cfRule type="cellIs" dxfId="46" priority="19" operator="equal">
      <formula>4319</formula>
    </cfRule>
    <cfRule type="cellIs" dxfId="45" priority="20" operator="equal">
      <formula>4230</formula>
    </cfRule>
    <cfRule type="cellIs" dxfId="44" priority="21" operator="equal">
      <formula>4232</formula>
    </cfRule>
  </conditionalFormatting>
  <conditionalFormatting sqref="O138:O144">
    <cfRule type="cellIs" dxfId="43" priority="15" operator="equal">
      <formula>"FIBRA"</formula>
    </cfRule>
    <cfRule type="cellIs" dxfId="42" priority="16" operator="equal">
      <formula>"RADIO"</formula>
    </cfRule>
  </conditionalFormatting>
  <conditionalFormatting sqref="B145:B154">
    <cfRule type="cellIs" dxfId="41" priority="10" operator="equal">
      <formula>4231</formula>
    </cfRule>
    <cfRule type="cellIs" dxfId="40" priority="11" operator="equal">
      <formula>4145</formula>
    </cfRule>
    <cfRule type="cellIs" dxfId="39" priority="12" operator="equal">
      <formula>4319</formula>
    </cfRule>
    <cfRule type="cellIs" dxfId="38" priority="13" operator="equal">
      <formula>4230</formula>
    </cfRule>
    <cfRule type="cellIs" dxfId="37" priority="14" operator="equal">
      <formula>4232</formula>
    </cfRule>
  </conditionalFormatting>
  <conditionalFormatting sqref="O145:O154">
    <cfRule type="cellIs" dxfId="36" priority="8" operator="equal">
      <formula>"FIBRA"</formula>
    </cfRule>
    <cfRule type="cellIs" dxfId="35" priority="9" operator="equal">
      <formula>"RADIO"</formula>
    </cfRule>
  </conditionalFormatting>
  <conditionalFormatting sqref="B155:B157">
    <cfRule type="cellIs" dxfId="34" priority="3" operator="equal">
      <formula>4231</formula>
    </cfRule>
    <cfRule type="cellIs" dxfId="33" priority="4" operator="equal">
      <formula>4145</formula>
    </cfRule>
    <cfRule type="cellIs" dxfId="32" priority="5" operator="equal">
      <formula>4319</formula>
    </cfRule>
    <cfRule type="cellIs" dxfId="31" priority="6" operator="equal">
      <formula>4230</formula>
    </cfRule>
    <cfRule type="cellIs" dxfId="30" priority="7" operator="equal">
      <formula>4232</formula>
    </cfRule>
  </conditionalFormatting>
  <conditionalFormatting sqref="O155:O157">
    <cfRule type="cellIs" dxfId="29" priority="1" operator="equal">
      <formula>"FIBRA"</formula>
    </cfRule>
    <cfRule type="cellIs" dxfId="28" priority="2" operator="equal">
      <formula>"RADIO"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FD89-BB0D-4D0E-94BC-02CC7A1BAFEC}">
  <sheetPr filterMode="1"/>
  <dimension ref="A1:Z1410"/>
  <sheetViews>
    <sheetView showGridLines="0" topLeftCell="G1" zoomScale="70" zoomScaleNormal="70" workbookViewId="0">
      <pane ySplit="5" topLeftCell="A96" activePane="bottomLeft" state="frozen"/>
      <selection activeCell="F1" sqref="F1"/>
      <selection pane="bottomLeft" activeCell="I54" sqref="I54:M54"/>
    </sheetView>
  </sheetViews>
  <sheetFormatPr baseColWidth="10" defaultColWidth="11.44140625" defaultRowHeight="25.8" thickBottom="1" x14ac:dyDescent="0.35"/>
  <cols>
    <col min="1" max="1" width="9" style="1" bestFit="1" customWidth="1"/>
    <col min="2" max="2" width="7.6640625" style="1" customWidth="1"/>
    <col min="3" max="3" width="16.6640625" style="10" bestFit="1" customWidth="1"/>
    <col min="4" max="4" width="23" style="1" bestFit="1" customWidth="1"/>
    <col min="5" max="5" width="25.33203125" style="2" bestFit="1" customWidth="1"/>
    <col min="6" max="6" width="13.88671875" style="11" bestFit="1" customWidth="1"/>
    <col min="7" max="7" width="29.88671875" style="12" bestFit="1" customWidth="1"/>
    <col min="8" max="8" width="0.44140625" style="12" customWidth="1"/>
    <col min="9" max="9" width="32.33203125" style="1" customWidth="1"/>
    <col min="10" max="10" width="14.6640625" style="1" bestFit="1" customWidth="1"/>
    <col min="11" max="11" width="22.5546875" style="1" bestFit="1" customWidth="1"/>
    <col min="12" max="12" width="7.5546875" style="1" bestFit="1" customWidth="1"/>
    <col min="13" max="13" width="10.109375" style="1" bestFit="1" customWidth="1"/>
    <col min="14" max="14" width="6.5546875" style="1" bestFit="1" customWidth="1"/>
    <col min="15" max="15" width="14.6640625" style="1" bestFit="1" customWidth="1"/>
    <col min="16" max="16" width="17.6640625" style="14" customWidth="1"/>
    <col min="17" max="17" width="18.44140625" style="14" customWidth="1"/>
    <col min="18" max="18" width="20.6640625" style="10" bestFit="1" customWidth="1"/>
    <col min="19" max="20" width="20.6640625" style="14" customWidth="1"/>
    <col min="21" max="21" width="27.88671875" style="14" bestFit="1" customWidth="1"/>
    <col min="22" max="22" width="38.6640625" style="1" hidden="1" customWidth="1"/>
    <col min="23" max="23" width="7.6640625" style="1" hidden="1" customWidth="1"/>
    <col min="24" max="24" width="22" style="1" hidden="1" customWidth="1"/>
    <col min="25" max="25" width="23.44140625" style="1" hidden="1" customWidth="1"/>
    <col min="26" max="16384" width="11.44140625" style="1"/>
  </cols>
  <sheetData>
    <row r="1" spans="1:25" ht="25.2" customHeight="1" thickTop="1" thickBot="1" x14ac:dyDescent="0.45">
      <c r="A1" s="58"/>
      <c r="B1" s="58"/>
      <c r="C1" s="28"/>
      <c r="D1" s="29"/>
      <c r="E1" s="29" t="s">
        <v>470</v>
      </c>
      <c r="F1" s="29" t="s">
        <v>471</v>
      </c>
      <c r="G1" s="30" t="s">
        <v>472</v>
      </c>
      <c r="H1" s="60"/>
      <c r="I1" s="41" t="s">
        <v>13</v>
      </c>
      <c r="J1" s="42"/>
      <c r="K1" s="81">
        <v>84</v>
      </c>
      <c r="L1" s="44"/>
      <c r="M1" s="45"/>
      <c r="N1" s="70"/>
      <c r="O1" s="69" t="s">
        <v>21</v>
      </c>
      <c r="P1" s="72"/>
      <c r="Q1" s="58"/>
      <c r="R1" s="58"/>
      <c r="S1" s="58"/>
      <c r="T1" s="58"/>
      <c r="U1" s="73"/>
      <c r="V1" s="58"/>
      <c r="W1" s="58"/>
      <c r="X1" s="58"/>
      <c r="Y1" s="58"/>
    </row>
    <row r="2" spans="1:25" ht="18.600000000000001" customHeight="1" thickTop="1" thickBot="1" x14ac:dyDescent="0.35">
      <c r="A2" s="58"/>
      <c r="B2" s="58"/>
      <c r="C2" s="82" t="s">
        <v>473</v>
      </c>
      <c r="D2" s="32" t="s">
        <v>474</v>
      </c>
      <c r="E2" s="32">
        <f>SUM(E3:E4)</f>
        <v>200</v>
      </c>
      <c r="F2" s="32">
        <f>SUM(F3:F4)</f>
        <v>133</v>
      </c>
      <c r="G2" s="33">
        <f>E2-F2</f>
        <v>67</v>
      </c>
      <c r="H2" s="60"/>
      <c r="I2" s="58"/>
      <c r="J2" s="58"/>
      <c r="K2" s="58"/>
      <c r="L2" s="58"/>
      <c r="M2" s="58"/>
      <c r="N2" s="70"/>
      <c r="O2" s="57">
        <f>COUNTIF(O6:O193,"FIBRA")</f>
        <v>117</v>
      </c>
      <c r="P2" s="72"/>
      <c r="Q2" s="58"/>
      <c r="R2" s="59"/>
      <c r="S2" s="58"/>
      <c r="T2" s="58"/>
      <c r="U2" s="73"/>
      <c r="V2" s="58"/>
      <c r="W2" s="58"/>
      <c r="X2" s="58"/>
      <c r="Y2" s="58"/>
    </row>
    <row r="3" spans="1:25" ht="21.6" customHeight="1" thickTop="1" thickBot="1" x14ac:dyDescent="0.35">
      <c r="A3" s="58"/>
      <c r="B3" s="58"/>
      <c r="C3" s="34"/>
      <c r="D3" s="35" t="s">
        <v>475</v>
      </c>
      <c r="E3" s="35">
        <v>50</v>
      </c>
      <c r="F3" s="35">
        <f>M4</f>
        <v>34</v>
      </c>
      <c r="G3" s="36">
        <f>E3-F3</f>
        <v>16</v>
      </c>
      <c r="H3" s="60"/>
      <c r="I3" s="58"/>
      <c r="J3" s="58"/>
      <c r="K3" s="58"/>
      <c r="L3" s="58"/>
      <c r="M3" s="66"/>
      <c r="N3" s="71"/>
      <c r="O3" s="15" t="s">
        <v>22</v>
      </c>
      <c r="P3" s="74"/>
      <c r="Q3" s="66"/>
      <c r="R3" s="67"/>
      <c r="S3" s="66"/>
      <c r="T3" s="66"/>
      <c r="U3" s="75"/>
      <c r="V3" s="66"/>
      <c r="W3" s="66"/>
      <c r="X3" s="66"/>
      <c r="Y3" s="66"/>
    </row>
    <row r="4" spans="1:25" ht="19.2" customHeight="1" thickTop="1" thickBot="1" x14ac:dyDescent="0.35">
      <c r="A4" s="66"/>
      <c r="B4" s="66"/>
      <c r="C4" s="37"/>
      <c r="D4" s="38" t="s">
        <v>476</v>
      </c>
      <c r="E4" s="38">
        <v>150</v>
      </c>
      <c r="F4" s="38">
        <f>N4</f>
        <v>99</v>
      </c>
      <c r="G4" s="39">
        <f>E4-F4</f>
        <v>51</v>
      </c>
      <c r="H4" s="68"/>
      <c r="I4" s="66"/>
      <c r="J4" s="66"/>
      <c r="K4" s="66"/>
      <c r="L4" s="66"/>
      <c r="M4" s="80">
        <f>SUM(M6:M193)</f>
        <v>34</v>
      </c>
      <c r="N4" s="4">
        <f>SUM(N6:N193)</f>
        <v>99</v>
      </c>
      <c r="O4" s="16">
        <f>COUNTIF(O6:O193,"RADIO")</f>
        <v>22</v>
      </c>
      <c r="P4" s="4">
        <f>COUNTA(P6:P193)</f>
        <v>70</v>
      </c>
      <c r="Q4" s="4">
        <f>COUNTA(Q6:Q193)</f>
        <v>67</v>
      </c>
      <c r="R4" s="13">
        <f>SUM(R6:R193)</f>
        <v>110</v>
      </c>
      <c r="S4" s="65">
        <f>COUNTA(S6:S193)</f>
        <v>66</v>
      </c>
      <c r="T4" s="65">
        <f>COUNTA(T6:T193)</f>
        <v>106</v>
      </c>
      <c r="U4" s="76"/>
      <c r="V4" s="77"/>
      <c r="X4" s="78">
        <f>COUNTIF(R6:R193,1)</f>
        <v>24</v>
      </c>
      <c r="Y4" s="79">
        <f>COUNTIF(R6:R193,2)*2</f>
        <v>86</v>
      </c>
    </row>
    <row r="5" spans="1:25" ht="73.2" thickTop="1" thickBot="1" x14ac:dyDescent="0.35">
      <c r="A5" s="83" t="s">
        <v>478</v>
      </c>
      <c r="B5" s="1" t="s">
        <v>469</v>
      </c>
      <c r="C5" s="61" t="s">
        <v>0</v>
      </c>
      <c r="D5" s="62" t="s">
        <v>1</v>
      </c>
      <c r="E5" s="63" t="s">
        <v>2</v>
      </c>
      <c r="F5" s="64" t="s">
        <v>3</v>
      </c>
      <c r="G5" s="63" t="s">
        <v>4</v>
      </c>
      <c r="H5" s="3"/>
      <c r="I5" s="65" t="s">
        <v>5</v>
      </c>
      <c r="J5" s="65" t="s">
        <v>6</v>
      </c>
      <c r="K5" s="65" t="s">
        <v>7</v>
      </c>
      <c r="L5" s="65" t="s">
        <v>8</v>
      </c>
      <c r="M5" s="4" t="s">
        <v>9</v>
      </c>
      <c r="N5" s="4" t="s">
        <v>10</v>
      </c>
      <c r="O5" s="5" t="s">
        <v>11</v>
      </c>
      <c r="P5" s="6" t="s">
        <v>12</v>
      </c>
      <c r="Q5" s="6" t="s">
        <v>13</v>
      </c>
      <c r="R5" s="7" t="s">
        <v>14</v>
      </c>
      <c r="S5" s="6" t="s">
        <v>15</v>
      </c>
      <c r="T5" s="6" t="s">
        <v>16</v>
      </c>
      <c r="U5" s="8" t="s">
        <v>17</v>
      </c>
      <c r="V5" s="4" t="s">
        <v>18</v>
      </c>
      <c r="X5" s="9" t="s">
        <v>19</v>
      </c>
      <c r="Y5" s="9" t="s">
        <v>20</v>
      </c>
    </row>
    <row r="6" spans="1:25" s="27" customFormat="1" ht="33" hidden="1" customHeight="1" thickBot="1" x14ac:dyDescent="0.35">
      <c r="A6" s="17">
        <v>1</v>
      </c>
      <c r="B6" s="23">
        <v>4230</v>
      </c>
      <c r="C6" s="19"/>
      <c r="D6" s="23" t="s">
        <v>23</v>
      </c>
      <c r="E6" s="20" t="s">
        <v>24</v>
      </c>
      <c r="F6" s="21" t="s">
        <v>25</v>
      </c>
      <c r="G6" s="22" t="s">
        <v>26</v>
      </c>
      <c r="H6" s="22"/>
      <c r="I6" s="23" t="s">
        <v>27</v>
      </c>
      <c r="J6" s="23"/>
      <c r="K6" s="23">
        <v>517</v>
      </c>
      <c r="L6" s="23" t="s">
        <v>28</v>
      </c>
      <c r="M6" s="23">
        <v>1</v>
      </c>
      <c r="N6" s="23">
        <v>0</v>
      </c>
      <c r="O6" s="23" t="s">
        <v>29</v>
      </c>
      <c r="P6" s="24">
        <v>44377</v>
      </c>
      <c r="Q6" s="24">
        <v>44384</v>
      </c>
      <c r="R6" s="19">
        <v>1</v>
      </c>
      <c r="S6" s="24" t="s">
        <v>30</v>
      </c>
      <c r="T6" s="24" t="s">
        <v>30</v>
      </c>
      <c r="U6" s="24" t="s">
        <v>31</v>
      </c>
      <c r="V6" s="23" t="s">
        <v>32</v>
      </c>
      <c r="W6" s="19" t="s">
        <v>33</v>
      </c>
      <c r="X6" s="25" t="s">
        <v>34</v>
      </c>
      <c r="Y6" s="26" t="s">
        <v>35</v>
      </c>
    </row>
    <row r="7" spans="1:25" s="27" customFormat="1" ht="33" hidden="1" customHeight="1" thickBot="1" x14ac:dyDescent="0.35">
      <c r="A7" s="17">
        <v>2</v>
      </c>
      <c r="B7" s="23">
        <v>4230</v>
      </c>
      <c r="C7" s="19"/>
      <c r="D7" s="23" t="s">
        <v>36</v>
      </c>
      <c r="E7" s="20" t="s">
        <v>37</v>
      </c>
      <c r="F7" s="21" t="s">
        <v>38</v>
      </c>
      <c r="G7" s="22" t="s">
        <v>26</v>
      </c>
      <c r="H7" s="22"/>
      <c r="I7" s="23" t="s">
        <v>39</v>
      </c>
      <c r="J7" s="23"/>
      <c r="K7" s="23" t="s">
        <v>40</v>
      </c>
      <c r="L7" s="23" t="s">
        <v>28</v>
      </c>
      <c r="M7" s="23">
        <v>1</v>
      </c>
      <c r="N7" s="23">
        <v>0</v>
      </c>
      <c r="O7" s="23" t="s">
        <v>29</v>
      </c>
      <c r="P7" s="24">
        <v>44377</v>
      </c>
      <c r="Q7" s="24">
        <v>44379</v>
      </c>
      <c r="R7" s="19">
        <v>1</v>
      </c>
      <c r="S7" s="24" t="s">
        <v>30</v>
      </c>
      <c r="T7" s="24" t="s">
        <v>30</v>
      </c>
      <c r="U7" s="24" t="s">
        <v>31</v>
      </c>
      <c r="V7" s="23"/>
      <c r="W7" s="19"/>
      <c r="X7" s="25"/>
      <c r="Y7" s="26"/>
    </row>
    <row r="8" spans="1:25" s="27" customFormat="1" ht="33" hidden="1" customHeight="1" thickBot="1" x14ac:dyDescent="0.35">
      <c r="A8" s="17">
        <v>3</v>
      </c>
      <c r="B8" s="23">
        <v>4230</v>
      </c>
      <c r="C8" s="19"/>
      <c r="D8" s="23" t="s">
        <v>41</v>
      </c>
      <c r="E8" s="20" t="s">
        <v>42</v>
      </c>
      <c r="F8" s="21" t="s">
        <v>43</v>
      </c>
      <c r="G8" s="22" t="s">
        <v>26</v>
      </c>
      <c r="H8" s="22"/>
      <c r="I8" s="23" t="s">
        <v>44</v>
      </c>
      <c r="J8" s="23"/>
      <c r="K8" s="23" t="s">
        <v>45</v>
      </c>
      <c r="L8" s="23" t="s">
        <v>28</v>
      </c>
      <c r="M8" s="23">
        <v>1</v>
      </c>
      <c r="N8" s="23">
        <v>0</v>
      </c>
      <c r="O8" s="23" t="s">
        <v>29</v>
      </c>
      <c r="P8" s="24">
        <v>44377</v>
      </c>
      <c r="Q8" s="24">
        <v>44379</v>
      </c>
      <c r="R8" s="19">
        <v>1</v>
      </c>
      <c r="S8" s="24" t="s">
        <v>30</v>
      </c>
      <c r="T8" s="24" t="s">
        <v>30</v>
      </c>
      <c r="U8" s="24" t="s">
        <v>31</v>
      </c>
      <c r="V8" s="23"/>
      <c r="W8" s="19"/>
      <c r="X8" s="25"/>
      <c r="Y8" s="26"/>
    </row>
    <row r="9" spans="1:25" s="27" customFormat="1" ht="33" hidden="1" customHeight="1" thickBot="1" x14ac:dyDescent="0.35">
      <c r="A9" s="17">
        <v>4</v>
      </c>
      <c r="B9" s="23"/>
      <c r="C9" s="19"/>
      <c r="D9" s="23" t="s">
        <v>591</v>
      </c>
      <c r="E9" s="20" t="s">
        <v>46</v>
      </c>
      <c r="F9" s="21" t="s">
        <v>47</v>
      </c>
      <c r="G9" s="22" t="s">
        <v>26</v>
      </c>
      <c r="H9" s="22" t="s">
        <v>48</v>
      </c>
      <c r="I9" s="23" t="s">
        <v>44</v>
      </c>
      <c r="J9" s="23" t="s">
        <v>49</v>
      </c>
      <c r="K9" s="23" t="s">
        <v>50</v>
      </c>
      <c r="L9" s="23" t="s">
        <v>51</v>
      </c>
      <c r="M9" s="23">
        <v>0</v>
      </c>
      <c r="N9" s="23">
        <v>1</v>
      </c>
      <c r="O9" s="23" t="s">
        <v>29</v>
      </c>
      <c r="P9" s="24">
        <v>44377</v>
      </c>
      <c r="Q9" s="24">
        <v>44379</v>
      </c>
      <c r="R9" s="19">
        <v>2</v>
      </c>
      <c r="S9" s="24" t="s">
        <v>30</v>
      </c>
      <c r="T9" s="24" t="s">
        <v>30</v>
      </c>
      <c r="U9" s="24" t="s">
        <v>31</v>
      </c>
      <c r="V9" s="23">
        <v>5</v>
      </c>
      <c r="W9" s="19"/>
      <c r="X9" s="25"/>
      <c r="Y9" s="26"/>
    </row>
    <row r="10" spans="1:25" s="27" customFormat="1" ht="33" hidden="1" customHeight="1" thickBot="1" x14ac:dyDescent="0.35">
      <c r="A10" s="17">
        <v>4</v>
      </c>
      <c r="B10" s="23"/>
      <c r="C10" s="19"/>
      <c r="D10" s="23" t="s">
        <v>52</v>
      </c>
      <c r="E10" s="20" t="s">
        <v>53</v>
      </c>
      <c r="F10" s="21" t="s">
        <v>54</v>
      </c>
      <c r="G10" s="22" t="s">
        <v>26</v>
      </c>
      <c r="H10" s="22" t="s">
        <v>55</v>
      </c>
      <c r="I10" s="23" t="s">
        <v>44</v>
      </c>
      <c r="J10" s="23" t="s">
        <v>49</v>
      </c>
      <c r="K10" s="23" t="s">
        <v>50</v>
      </c>
      <c r="L10" s="23" t="s">
        <v>51</v>
      </c>
      <c r="M10" s="23">
        <v>0</v>
      </c>
      <c r="N10" s="23">
        <v>1</v>
      </c>
      <c r="O10" s="23" t="s">
        <v>29</v>
      </c>
      <c r="P10" s="24"/>
      <c r="Q10" s="24"/>
      <c r="R10" s="19"/>
      <c r="S10" s="24"/>
      <c r="T10" s="24" t="s">
        <v>30</v>
      </c>
      <c r="U10" s="24" t="s">
        <v>31</v>
      </c>
      <c r="V10" s="23"/>
      <c r="W10" s="19"/>
      <c r="X10" s="25"/>
      <c r="Y10" s="26"/>
    </row>
    <row r="11" spans="1:25" s="27" customFormat="1" ht="33" hidden="1" customHeight="1" thickBot="1" x14ac:dyDescent="0.35">
      <c r="A11" s="17">
        <v>5</v>
      </c>
      <c r="B11" s="23">
        <v>4230</v>
      </c>
      <c r="C11" s="19">
        <v>50160</v>
      </c>
      <c r="D11" s="23" t="s">
        <v>56</v>
      </c>
      <c r="E11" s="20" t="s">
        <v>480</v>
      </c>
      <c r="F11" s="21" t="s">
        <v>57</v>
      </c>
      <c r="G11" s="22" t="s">
        <v>26</v>
      </c>
      <c r="H11" s="22"/>
      <c r="I11" s="23" t="s">
        <v>58</v>
      </c>
      <c r="J11" s="23"/>
      <c r="K11" s="23" t="s">
        <v>59</v>
      </c>
      <c r="L11" s="23" t="s">
        <v>51</v>
      </c>
      <c r="M11" s="23">
        <v>0</v>
      </c>
      <c r="N11" s="23">
        <v>1</v>
      </c>
      <c r="O11" s="23" t="s">
        <v>29</v>
      </c>
      <c r="P11" s="24">
        <v>44377</v>
      </c>
      <c r="Q11" s="24">
        <v>44379</v>
      </c>
      <c r="R11" s="19">
        <v>2</v>
      </c>
      <c r="S11" s="24" t="s">
        <v>30</v>
      </c>
      <c r="T11" s="24" t="s">
        <v>30</v>
      </c>
      <c r="U11" s="24" t="s">
        <v>31</v>
      </c>
      <c r="V11" s="23" t="s">
        <v>60</v>
      </c>
      <c r="W11" s="19"/>
      <c r="X11" s="25"/>
      <c r="Y11" s="26"/>
    </row>
    <row r="12" spans="1:25" s="27" customFormat="1" ht="33" hidden="1" customHeight="1" thickBot="1" x14ac:dyDescent="0.35">
      <c r="A12" s="17">
        <v>5</v>
      </c>
      <c r="B12" s="23">
        <v>4230</v>
      </c>
      <c r="C12" s="19">
        <v>50106</v>
      </c>
      <c r="D12" s="23" t="s">
        <v>61</v>
      </c>
      <c r="E12" s="20" t="s">
        <v>62</v>
      </c>
      <c r="F12" s="21" t="s">
        <v>63</v>
      </c>
      <c r="G12" s="22" t="s">
        <v>26</v>
      </c>
      <c r="H12" s="22"/>
      <c r="I12" s="23" t="s">
        <v>58</v>
      </c>
      <c r="J12" s="23"/>
      <c r="K12" s="23" t="s">
        <v>59</v>
      </c>
      <c r="L12" s="23" t="s">
        <v>51</v>
      </c>
      <c r="M12" s="23">
        <v>0</v>
      </c>
      <c r="N12" s="23">
        <v>1</v>
      </c>
      <c r="O12" s="23" t="s">
        <v>29</v>
      </c>
      <c r="P12" s="24"/>
      <c r="Q12" s="24"/>
      <c r="R12" s="19"/>
      <c r="S12" s="24"/>
      <c r="T12" s="24" t="s">
        <v>30</v>
      </c>
      <c r="U12" s="24" t="s">
        <v>31</v>
      </c>
      <c r="V12" s="23"/>
      <c r="W12" s="19"/>
      <c r="X12" s="25"/>
      <c r="Y12" s="26"/>
    </row>
    <row r="13" spans="1:25" s="27" customFormat="1" ht="33" hidden="1" customHeight="1" thickBot="1" x14ac:dyDescent="0.35">
      <c r="A13" s="17">
        <v>6</v>
      </c>
      <c r="B13" s="23">
        <v>4230</v>
      </c>
      <c r="C13" s="19"/>
      <c r="D13" s="23" t="s">
        <v>64</v>
      </c>
      <c r="E13" s="20" t="s">
        <v>65</v>
      </c>
      <c r="F13" s="21" t="s">
        <v>66</v>
      </c>
      <c r="G13" s="22" t="s">
        <v>26</v>
      </c>
      <c r="H13" s="22"/>
      <c r="I13" s="23" t="s">
        <v>58</v>
      </c>
      <c r="J13" s="23"/>
      <c r="K13" s="23" t="s">
        <v>67</v>
      </c>
      <c r="L13" s="23" t="s">
        <v>51</v>
      </c>
      <c r="M13" s="23">
        <v>0</v>
      </c>
      <c r="N13" s="23">
        <v>1</v>
      </c>
      <c r="O13" s="23" t="s">
        <v>29</v>
      </c>
      <c r="P13" s="24">
        <v>44377</v>
      </c>
      <c r="Q13" s="24">
        <v>2</v>
      </c>
      <c r="R13" s="19">
        <v>2</v>
      </c>
      <c r="S13" s="24" t="s">
        <v>30</v>
      </c>
      <c r="T13" s="24" t="s">
        <v>30</v>
      </c>
      <c r="U13" s="24" t="s">
        <v>31</v>
      </c>
      <c r="V13" s="23" t="s">
        <v>60</v>
      </c>
      <c r="W13" s="19"/>
      <c r="X13" s="25"/>
      <c r="Y13" s="26"/>
    </row>
    <row r="14" spans="1:25" s="27" customFormat="1" ht="33" hidden="1" customHeight="1" thickBot="1" x14ac:dyDescent="0.35">
      <c r="A14" s="17">
        <v>6</v>
      </c>
      <c r="B14" s="23">
        <v>4230</v>
      </c>
      <c r="C14" s="19"/>
      <c r="D14" s="23" t="s">
        <v>68</v>
      </c>
      <c r="E14" s="20" t="s">
        <v>69</v>
      </c>
      <c r="F14" s="21" t="s">
        <v>70</v>
      </c>
      <c r="G14" s="22" t="s">
        <v>26</v>
      </c>
      <c r="H14" s="22"/>
      <c r="I14" s="23" t="s">
        <v>58</v>
      </c>
      <c r="J14" s="23"/>
      <c r="K14" s="23" t="s">
        <v>67</v>
      </c>
      <c r="L14" s="23" t="s">
        <v>51</v>
      </c>
      <c r="M14" s="23">
        <v>0</v>
      </c>
      <c r="N14" s="23">
        <v>1</v>
      </c>
      <c r="O14" s="23" t="s">
        <v>29</v>
      </c>
      <c r="P14" s="24"/>
      <c r="Q14" s="24"/>
      <c r="R14" s="19"/>
      <c r="S14" s="24"/>
      <c r="T14" s="24" t="s">
        <v>30</v>
      </c>
      <c r="U14" s="24" t="s">
        <v>31</v>
      </c>
      <c r="V14" s="23" t="s">
        <v>71</v>
      </c>
      <c r="W14" s="19"/>
      <c r="X14" s="25"/>
      <c r="Y14" s="26"/>
    </row>
    <row r="15" spans="1:25" s="27" customFormat="1" ht="33" hidden="1" customHeight="1" thickBot="1" x14ac:dyDescent="0.35">
      <c r="A15" s="17">
        <v>7</v>
      </c>
      <c r="B15" s="23">
        <v>4230</v>
      </c>
      <c r="C15" s="19"/>
      <c r="D15" s="23" t="s">
        <v>72</v>
      </c>
      <c r="E15" s="20" t="s">
        <v>73</v>
      </c>
      <c r="F15" s="21" t="s">
        <v>74</v>
      </c>
      <c r="G15" s="22" t="s">
        <v>26</v>
      </c>
      <c r="H15" s="22"/>
      <c r="I15" s="23" t="s">
        <v>75</v>
      </c>
      <c r="J15" s="23"/>
      <c r="K15" s="23" t="s">
        <v>76</v>
      </c>
      <c r="L15" s="23" t="s">
        <v>28</v>
      </c>
      <c r="M15" s="23">
        <v>1</v>
      </c>
      <c r="N15" s="23">
        <v>0</v>
      </c>
      <c r="O15" s="23" t="s">
        <v>29</v>
      </c>
      <c r="P15" s="24">
        <v>44377</v>
      </c>
      <c r="Q15" s="24">
        <v>44379</v>
      </c>
      <c r="R15" s="19">
        <v>1</v>
      </c>
      <c r="S15" s="24" t="s">
        <v>30</v>
      </c>
      <c r="T15" s="24" t="s">
        <v>30</v>
      </c>
      <c r="U15" s="24" t="s">
        <v>31</v>
      </c>
      <c r="V15" s="23"/>
      <c r="W15" s="19"/>
      <c r="X15" s="25"/>
      <c r="Y15" s="26"/>
    </row>
    <row r="16" spans="1:25" s="27" customFormat="1" ht="33" hidden="1" customHeight="1" thickBot="1" x14ac:dyDescent="0.35">
      <c r="A16" s="17">
        <v>8</v>
      </c>
      <c r="B16" s="23">
        <v>4230</v>
      </c>
      <c r="C16" s="19"/>
      <c r="D16" s="23" t="s">
        <v>77</v>
      </c>
      <c r="E16" s="20" t="s">
        <v>78</v>
      </c>
      <c r="F16" s="21" t="s">
        <v>79</v>
      </c>
      <c r="G16" s="22" t="s">
        <v>26</v>
      </c>
      <c r="H16" s="22"/>
      <c r="I16" s="23" t="s">
        <v>75</v>
      </c>
      <c r="J16" s="23" t="s">
        <v>80</v>
      </c>
      <c r="K16" s="23" t="s">
        <v>479</v>
      </c>
      <c r="L16" s="23" t="s">
        <v>51</v>
      </c>
      <c r="M16" s="23">
        <v>0</v>
      </c>
      <c r="N16" s="23">
        <v>1</v>
      </c>
      <c r="O16" s="23" t="s">
        <v>29</v>
      </c>
      <c r="P16" s="24">
        <v>44377</v>
      </c>
      <c r="Q16" s="24">
        <v>44379</v>
      </c>
      <c r="R16" s="19">
        <v>2</v>
      </c>
      <c r="S16" s="24" t="s">
        <v>30</v>
      </c>
      <c r="T16" s="24" t="s">
        <v>30</v>
      </c>
      <c r="U16" s="24" t="s">
        <v>31</v>
      </c>
      <c r="V16" s="23" t="s">
        <v>81</v>
      </c>
      <c r="W16" s="19"/>
      <c r="X16" s="25"/>
      <c r="Y16" s="26"/>
    </row>
    <row r="17" spans="1:25" s="27" customFormat="1" ht="33" hidden="1" customHeight="1" thickBot="1" x14ac:dyDescent="0.35">
      <c r="A17" s="17">
        <v>8</v>
      </c>
      <c r="B17" s="23">
        <v>4230</v>
      </c>
      <c r="C17" s="19"/>
      <c r="D17" s="23" t="s">
        <v>82</v>
      </c>
      <c r="E17" s="20" t="s">
        <v>83</v>
      </c>
      <c r="F17" s="21" t="s">
        <v>84</v>
      </c>
      <c r="G17" s="22" t="s">
        <v>26</v>
      </c>
      <c r="H17" s="22"/>
      <c r="I17" s="23" t="s">
        <v>75</v>
      </c>
      <c r="J17" s="23" t="s">
        <v>80</v>
      </c>
      <c r="K17" s="23" t="s">
        <v>452</v>
      </c>
      <c r="L17" s="23" t="s">
        <v>51</v>
      </c>
      <c r="M17" s="23">
        <v>0</v>
      </c>
      <c r="N17" s="23">
        <v>1</v>
      </c>
      <c r="O17" s="23" t="s">
        <v>29</v>
      </c>
      <c r="P17" s="24"/>
      <c r="Q17" s="24"/>
      <c r="R17" s="19"/>
      <c r="S17" s="24"/>
      <c r="T17" s="24" t="s">
        <v>30</v>
      </c>
      <c r="U17" s="24" t="s">
        <v>31</v>
      </c>
      <c r="V17" s="23"/>
      <c r="W17" s="19"/>
      <c r="X17" s="25"/>
      <c r="Y17" s="26"/>
    </row>
    <row r="18" spans="1:25" s="27" customFormat="1" ht="33" hidden="1" customHeight="1" thickBot="1" x14ac:dyDescent="0.35">
      <c r="A18" s="17">
        <v>9</v>
      </c>
      <c r="B18" s="23">
        <v>4230</v>
      </c>
      <c r="C18" s="19"/>
      <c r="D18" s="23" t="s">
        <v>85</v>
      </c>
      <c r="E18" s="20" t="s">
        <v>86</v>
      </c>
      <c r="F18" s="21" t="s">
        <v>87</v>
      </c>
      <c r="G18" s="22" t="s">
        <v>26</v>
      </c>
      <c r="H18" s="22" t="s">
        <v>88</v>
      </c>
      <c r="I18" s="23" t="s">
        <v>75</v>
      </c>
      <c r="J18" s="23"/>
      <c r="K18" s="23" t="s">
        <v>89</v>
      </c>
      <c r="L18" s="23" t="s">
        <v>28</v>
      </c>
      <c r="M18" s="23">
        <v>1</v>
      </c>
      <c r="N18" s="23">
        <v>0</v>
      </c>
      <c r="O18" s="23" t="s">
        <v>29</v>
      </c>
      <c r="P18" s="24">
        <v>44377</v>
      </c>
      <c r="Q18" s="24">
        <v>44379</v>
      </c>
      <c r="R18" s="19">
        <v>1</v>
      </c>
      <c r="S18" s="24" t="s">
        <v>30</v>
      </c>
      <c r="T18" s="24" t="s">
        <v>30</v>
      </c>
      <c r="U18" s="24" t="s">
        <v>31</v>
      </c>
      <c r="V18" s="23"/>
      <c r="W18" s="19"/>
      <c r="X18" s="25"/>
      <c r="Y18" s="26"/>
    </row>
    <row r="19" spans="1:25" s="27" customFormat="1" ht="33" hidden="1" customHeight="1" thickBot="1" x14ac:dyDescent="0.35">
      <c r="A19" s="17">
        <v>10</v>
      </c>
      <c r="B19" s="23">
        <v>4230</v>
      </c>
      <c r="C19" s="19"/>
      <c r="D19" s="23" t="s">
        <v>90</v>
      </c>
      <c r="E19" s="20" t="s">
        <v>91</v>
      </c>
      <c r="F19" s="21" t="s">
        <v>92</v>
      </c>
      <c r="G19" s="22" t="s">
        <v>26</v>
      </c>
      <c r="H19" s="22"/>
      <c r="I19" s="23" t="s">
        <v>75</v>
      </c>
      <c r="J19" s="23" t="s">
        <v>89</v>
      </c>
      <c r="K19" s="23">
        <v>1406</v>
      </c>
      <c r="L19" s="23" t="s">
        <v>51</v>
      </c>
      <c r="M19" s="23">
        <v>0</v>
      </c>
      <c r="N19" s="23">
        <v>1</v>
      </c>
      <c r="O19" s="23" t="s">
        <v>29</v>
      </c>
      <c r="P19" s="24">
        <v>44377</v>
      </c>
      <c r="Q19" s="24">
        <v>44379</v>
      </c>
      <c r="R19" s="19">
        <v>2</v>
      </c>
      <c r="S19" s="24" t="s">
        <v>30</v>
      </c>
      <c r="T19" s="24" t="s">
        <v>30</v>
      </c>
      <c r="U19" s="24" t="s">
        <v>31</v>
      </c>
      <c r="V19" s="23">
        <v>68</v>
      </c>
      <c r="W19" s="19"/>
      <c r="X19" s="25"/>
      <c r="Y19" s="26"/>
    </row>
    <row r="20" spans="1:25" s="27" customFormat="1" ht="33" hidden="1" customHeight="1" thickBot="1" x14ac:dyDescent="0.35">
      <c r="A20" s="17">
        <v>10</v>
      </c>
      <c r="B20" s="23">
        <v>4230</v>
      </c>
      <c r="C20" s="19"/>
      <c r="D20" s="23" t="s">
        <v>93</v>
      </c>
      <c r="E20" s="20" t="s">
        <v>94</v>
      </c>
      <c r="F20" s="21" t="s">
        <v>95</v>
      </c>
      <c r="G20" s="22" t="s">
        <v>26</v>
      </c>
      <c r="H20" s="22"/>
      <c r="I20" s="23" t="s">
        <v>75</v>
      </c>
      <c r="J20" s="23" t="s">
        <v>89</v>
      </c>
      <c r="K20" s="23">
        <v>1406</v>
      </c>
      <c r="L20" s="23" t="s">
        <v>51</v>
      </c>
      <c r="M20" s="23">
        <v>0</v>
      </c>
      <c r="N20" s="23">
        <v>1</v>
      </c>
      <c r="O20" s="23" t="s">
        <v>29</v>
      </c>
      <c r="P20" s="24"/>
      <c r="Q20" s="24"/>
      <c r="R20" s="19"/>
      <c r="S20" s="24"/>
      <c r="T20" s="24" t="s">
        <v>30</v>
      </c>
      <c r="U20" s="24" t="s">
        <v>31</v>
      </c>
      <c r="V20" s="23"/>
      <c r="W20" s="19"/>
      <c r="X20" s="25"/>
      <c r="Y20" s="26"/>
    </row>
    <row r="21" spans="1:25" s="27" customFormat="1" ht="33" hidden="1" customHeight="1" thickBot="1" x14ac:dyDescent="0.35">
      <c r="A21" s="17">
        <v>11</v>
      </c>
      <c r="B21" s="23">
        <v>4230</v>
      </c>
      <c r="C21" s="19">
        <v>50154</v>
      </c>
      <c r="D21" s="23" t="s">
        <v>96</v>
      </c>
      <c r="E21" s="20" t="s">
        <v>97</v>
      </c>
      <c r="F21" s="21" t="s">
        <v>98</v>
      </c>
      <c r="G21" s="22" t="s">
        <v>26</v>
      </c>
      <c r="H21" s="22" t="s">
        <v>99</v>
      </c>
      <c r="I21" s="23" t="s">
        <v>39</v>
      </c>
      <c r="J21" s="23" t="s">
        <v>100</v>
      </c>
      <c r="K21" s="23" t="s">
        <v>101</v>
      </c>
      <c r="L21" s="23" t="s">
        <v>51</v>
      </c>
      <c r="M21" s="23">
        <v>0</v>
      </c>
      <c r="N21" s="23">
        <v>1</v>
      </c>
      <c r="O21" s="23" t="s">
        <v>29</v>
      </c>
      <c r="P21" s="24">
        <v>44377</v>
      </c>
      <c r="Q21" s="24">
        <v>44384</v>
      </c>
      <c r="R21" s="19">
        <v>2</v>
      </c>
      <c r="S21" s="24" t="s">
        <v>30</v>
      </c>
      <c r="T21" s="24" t="s">
        <v>30</v>
      </c>
      <c r="U21" s="24" t="s">
        <v>31</v>
      </c>
      <c r="V21" s="23">
        <v>44</v>
      </c>
      <c r="W21" s="19"/>
      <c r="X21" s="25"/>
      <c r="Y21" s="26"/>
    </row>
    <row r="22" spans="1:25" s="27" customFormat="1" ht="33" hidden="1" customHeight="1" thickBot="1" x14ac:dyDescent="0.35">
      <c r="A22" s="17">
        <v>11</v>
      </c>
      <c r="B22" s="23">
        <v>4230</v>
      </c>
      <c r="C22" s="19">
        <v>50055</v>
      </c>
      <c r="D22" s="23" t="s">
        <v>102</v>
      </c>
      <c r="E22" s="20" t="s">
        <v>103</v>
      </c>
      <c r="F22" s="21" t="s">
        <v>104</v>
      </c>
      <c r="G22" s="22" t="s">
        <v>26</v>
      </c>
      <c r="H22" s="22" t="s">
        <v>105</v>
      </c>
      <c r="I22" s="23" t="s">
        <v>39</v>
      </c>
      <c r="J22" s="23" t="s">
        <v>100</v>
      </c>
      <c r="K22" s="23" t="s">
        <v>101</v>
      </c>
      <c r="L22" s="23" t="s">
        <v>51</v>
      </c>
      <c r="M22" s="23">
        <v>0</v>
      </c>
      <c r="N22" s="23">
        <v>1</v>
      </c>
      <c r="O22" s="23" t="s">
        <v>29</v>
      </c>
      <c r="P22" s="24"/>
      <c r="Q22" s="24"/>
      <c r="R22" s="19"/>
      <c r="S22" s="24"/>
      <c r="T22" s="24" t="s">
        <v>30</v>
      </c>
      <c r="U22" s="24" t="s">
        <v>31</v>
      </c>
      <c r="V22" s="23"/>
      <c r="W22" s="19"/>
      <c r="X22" s="25"/>
      <c r="Y22" s="26"/>
    </row>
    <row r="23" spans="1:25" s="27" customFormat="1" ht="33" hidden="1" customHeight="1" thickBot="1" x14ac:dyDescent="0.35">
      <c r="A23" s="17">
        <v>12</v>
      </c>
      <c r="B23" s="23">
        <v>4230</v>
      </c>
      <c r="C23" s="19" t="s">
        <v>106</v>
      </c>
      <c r="D23" s="23" t="s">
        <v>107</v>
      </c>
      <c r="E23" s="20" t="s">
        <v>108</v>
      </c>
      <c r="F23" s="21" t="s">
        <v>109</v>
      </c>
      <c r="G23" s="22" t="s">
        <v>26</v>
      </c>
      <c r="H23" s="22"/>
      <c r="I23" s="23" t="s">
        <v>110</v>
      </c>
      <c r="J23" s="23"/>
      <c r="K23" s="23" t="s">
        <v>111</v>
      </c>
      <c r="L23" s="23" t="s">
        <v>51</v>
      </c>
      <c r="M23" s="23">
        <v>0</v>
      </c>
      <c r="N23" s="23">
        <v>1</v>
      </c>
      <c r="O23" s="23" t="s">
        <v>29</v>
      </c>
      <c r="P23" s="24">
        <v>44385</v>
      </c>
      <c r="Q23" s="24">
        <v>44384</v>
      </c>
      <c r="R23" s="19">
        <v>1</v>
      </c>
      <c r="S23" s="24" t="s">
        <v>30</v>
      </c>
      <c r="T23" s="24" t="s">
        <v>30</v>
      </c>
      <c r="U23" s="24" t="s">
        <v>31</v>
      </c>
      <c r="V23" s="23">
        <v>59</v>
      </c>
      <c r="W23" s="19"/>
      <c r="X23" s="25"/>
      <c r="Y23" s="26"/>
    </row>
    <row r="24" spans="1:25" s="27" customFormat="1" ht="33" hidden="1" customHeight="1" thickBot="1" x14ac:dyDescent="0.35">
      <c r="A24" s="17">
        <v>13</v>
      </c>
      <c r="B24" s="23">
        <v>4230</v>
      </c>
      <c r="C24" s="19" t="s">
        <v>112</v>
      </c>
      <c r="D24" s="23" t="s">
        <v>113</v>
      </c>
      <c r="E24" s="20" t="s">
        <v>114</v>
      </c>
      <c r="F24" s="21" t="s">
        <v>115</v>
      </c>
      <c r="G24" s="22" t="s">
        <v>26</v>
      </c>
      <c r="H24" s="22"/>
      <c r="I24" s="23" t="s">
        <v>110</v>
      </c>
      <c r="J24" s="23" t="s">
        <v>116</v>
      </c>
      <c r="K24" s="23"/>
      <c r="L24" s="23" t="s">
        <v>51</v>
      </c>
      <c r="M24" s="23">
        <v>0</v>
      </c>
      <c r="N24" s="23">
        <v>1</v>
      </c>
      <c r="O24" s="23" t="s">
        <v>29</v>
      </c>
      <c r="P24" s="24">
        <v>44385</v>
      </c>
      <c r="Q24" s="24">
        <v>44384</v>
      </c>
      <c r="R24" s="19">
        <v>2</v>
      </c>
      <c r="S24" s="24" t="s">
        <v>30</v>
      </c>
      <c r="T24" s="24" t="s">
        <v>30</v>
      </c>
      <c r="U24" s="24" t="s">
        <v>31</v>
      </c>
      <c r="V24" s="23">
        <v>57</v>
      </c>
      <c r="W24" s="19"/>
      <c r="X24" s="25"/>
      <c r="Y24" s="26"/>
    </row>
    <row r="25" spans="1:25" s="27" customFormat="1" ht="33" hidden="1" customHeight="1" thickBot="1" x14ac:dyDescent="0.35">
      <c r="A25" s="17">
        <v>13</v>
      </c>
      <c r="B25" s="23">
        <v>4230</v>
      </c>
      <c r="C25" s="19"/>
      <c r="D25" s="23" t="s">
        <v>481</v>
      </c>
      <c r="E25" s="20" t="s">
        <v>117</v>
      </c>
      <c r="F25" s="21" t="s">
        <v>118</v>
      </c>
      <c r="G25" s="22" t="s">
        <v>26</v>
      </c>
      <c r="H25" s="22"/>
      <c r="I25" s="23" t="s">
        <v>110</v>
      </c>
      <c r="J25" s="23" t="s">
        <v>116</v>
      </c>
      <c r="K25" s="23"/>
      <c r="L25" s="23" t="s">
        <v>51</v>
      </c>
      <c r="M25" s="23">
        <v>0</v>
      </c>
      <c r="N25" s="23">
        <v>1</v>
      </c>
      <c r="O25" s="23" t="s">
        <v>29</v>
      </c>
      <c r="P25" s="24"/>
      <c r="Q25" s="24"/>
      <c r="R25" s="19"/>
      <c r="S25" s="24"/>
      <c r="T25" s="24" t="s">
        <v>30</v>
      </c>
      <c r="U25" s="24" t="s">
        <v>31</v>
      </c>
      <c r="V25" s="23"/>
      <c r="W25" s="19"/>
      <c r="X25" s="25"/>
      <c r="Y25" s="26"/>
    </row>
    <row r="26" spans="1:25" s="27" customFormat="1" ht="33" hidden="1" customHeight="1" thickBot="1" x14ac:dyDescent="0.35">
      <c r="A26" s="17">
        <v>14</v>
      </c>
      <c r="B26" s="23"/>
      <c r="C26" s="19"/>
      <c r="D26" s="23" t="s">
        <v>592</v>
      </c>
      <c r="E26" s="20" t="s">
        <v>119</v>
      </c>
      <c r="F26" s="21" t="s">
        <v>120</v>
      </c>
      <c r="G26" s="22" t="s">
        <v>26</v>
      </c>
      <c r="H26" s="22"/>
      <c r="I26" s="23" t="s">
        <v>75</v>
      </c>
      <c r="J26" s="23" t="s">
        <v>121</v>
      </c>
      <c r="K26" s="23" t="s">
        <v>122</v>
      </c>
      <c r="L26" s="23" t="s">
        <v>51</v>
      </c>
      <c r="M26" s="23">
        <v>0</v>
      </c>
      <c r="N26" s="23">
        <v>1</v>
      </c>
      <c r="O26" s="23" t="s">
        <v>29</v>
      </c>
      <c r="P26" s="24">
        <v>44385</v>
      </c>
      <c r="Q26" s="24">
        <v>44442</v>
      </c>
      <c r="R26" s="19">
        <v>2</v>
      </c>
      <c r="S26" s="24" t="s">
        <v>30</v>
      </c>
      <c r="T26" s="24" t="s">
        <v>30</v>
      </c>
      <c r="U26" s="24" t="s">
        <v>31</v>
      </c>
      <c r="V26" s="23" t="s">
        <v>123</v>
      </c>
      <c r="W26" s="19"/>
      <c r="X26" s="25"/>
      <c r="Y26" s="26"/>
    </row>
    <row r="27" spans="1:25" s="27" customFormat="1" ht="33" hidden="1" customHeight="1" thickBot="1" x14ac:dyDescent="0.35">
      <c r="A27" s="17">
        <v>14</v>
      </c>
      <c r="B27" s="23"/>
      <c r="C27" s="19"/>
      <c r="D27" s="23" t="s">
        <v>124</v>
      </c>
      <c r="E27" s="20" t="s">
        <v>125</v>
      </c>
      <c r="F27" s="21" t="s">
        <v>126</v>
      </c>
      <c r="G27" s="22" t="s">
        <v>26</v>
      </c>
      <c r="H27" s="22"/>
      <c r="I27" s="23" t="s">
        <v>75</v>
      </c>
      <c r="J27" s="23" t="s">
        <v>121</v>
      </c>
      <c r="K27" s="23" t="s">
        <v>122</v>
      </c>
      <c r="L27" s="23" t="s">
        <v>51</v>
      </c>
      <c r="M27" s="23">
        <v>0</v>
      </c>
      <c r="N27" s="23">
        <v>1</v>
      </c>
      <c r="O27" s="23" t="s">
        <v>29</v>
      </c>
      <c r="P27" s="24"/>
      <c r="Q27" s="24"/>
      <c r="R27" s="19"/>
      <c r="S27" s="24"/>
      <c r="T27" s="24" t="s">
        <v>30</v>
      </c>
      <c r="U27" s="24" t="s">
        <v>31</v>
      </c>
      <c r="V27" s="23"/>
      <c r="W27" s="19"/>
      <c r="X27" s="25"/>
      <c r="Y27" s="26"/>
    </row>
    <row r="28" spans="1:25" s="27" customFormat="1" ht="33" hidden="1" customHeight="1" thickBot="1" x14ac:dyDescent="0.35">
      <c r="A28" s="17">
        <v>15</v>
      </c>
      <c r="B28" s="23">
        <v>4319</v>
      </c>
      <c r="C28" s="19" t="s">
        <v>133</v>
      </c>
      <c r="D28" s="23" t="s">
        <v>134</v>
      </c>
      <c r="E28" s="20" t="s">
        <v>135</v>
      </c>
      <c r="F28" s="21" t="s">
        <v>136</v>
      </c>
      <c r="G28" s="22" t="s">
        <v>26</v>
      </c>
      <c r="H28" s="22"/>
      <c r="I28" s="23" t="s">
        <v>130</v>
      </c>
      <c r="J28" s="23" t="s">
        <v>131</v>
      </c>
      <c r="K28" s="23" t="s">
        <v>132</v>
      </c>
      <c r="L28" s="23" t="s">
        <v>51</v>
      </c>
      <c r="M28" s="23">
        <v>0</v>
      </c>
      <c r="N28" s="23">
        <v>1</v>
      </c>
      <c r="O28" s="23" t="s">
        <v>29</v>
      </c>
      <c r="P28" s="24"/>
      <c r="Q28" s="24"/>
      <c r="R28" s="19"/>
      <c r="S28" s="24"/>
      <c r="T28" s="24" t="s">
        <v>30</v>
      </c>
      <c r="U28" s="24" t="s">
        <v>31</v>
      </c>
      <c r="V28" s="23">
        <v>33</v>
      </c>
      <c r="W28" s="19"/>
      <c r="X28" s="25"/>
      <c r="Y28" s="26"/>
    </row>
    <row r="29" spans="1:25" s="27" customFormat="1" ht="33" hidden="1" customHeight="1" thickBot="1" x14ac:dyDescent="0.35">
      <c r="A29" s="17">
        <v>15</v>
      </c>
      <c r="B29" s="23">
        <v>4319</v>
      </c>
      <c r="C29" s="19">
        <v>50185</v>
      </c>
      <c r="D29" s="23" t="s">
        <v>127</v>
      </c>
      <c r="E29" s="20" t="s">
        <v>128</v>
      </c>
      <c r="F29" s="21" t="s">
        <v>129</v>
      </c>
      <c r="G29" s="22" t="s">
        <v>26</v>
      </c>
      <c r="H29" s="22"/>
      <c r="I29" s="23" t="s">
        <v>130</v>
      </c>
      <c r="J29" s="23" t="s">
        <v>131</v>
      </c>
      <c r="K29" s="23" t="s">
        <v>132</v>
      </c>
      <c r="L29" s="23" t="s">
        <v>51</v>
      </c>
      <c r="M29" s="23">
        <v>0</v>
      </c>
      <c r="N29" s="23">
        <v>1</v>
      </c>
      <c r="O29" s="23" t="s">
        <v>29</v>
      </c>
      <c r="P29" s="24">
        <v>44385</v>
      </c>
      <c r="Q29" s="24">
        <v>44392</v>
      </c>
      <c r="R29" s="19">
        <v>2</v>
      </c>
      <c r="S29" s="24" t="s">
        <v>30</v>
      </c>
      <c r="T29" s="24" t="s">
        <v>30</v>
      </c>
      <c r="U29" s="24" t="s">
        <v>31</v>
      </c>
      <c r="V29" s="23"/>
      <c r="W29" s="19"/>
      <c r="X29" s="25"/>
      <c r="Y29" s="26"/>
    </row>
    <row r="30" spans="1:25" s="27" customFormat="1" ht="33" hidden="1" customHeight="1" thickBot="1" x14ac:dyDescent="0.35">
      <c r="A30" s="17">
        <v>16</v>
      </c>
      <c r="B30" s="23">
        <v>4319</v>
      </c>
      <c r="C30" s="19" t="s">
        <v>147</v>
      </c>
      <c r="D30" s="23" t="s">
        <v>148</v>
      </c>
      <c r="E30" s="20" t="s">
        <v>149</v>
      </c>
      <c r="F30" s="21" t="s">
        <v>150</v>
      </c>
      <c r="G30" s="22" t="s">
        <v>26</v>
      </c>
      <c r="H30" s="22"/>
      <c r="I30" s="23" t="s">
        <v>151</v>
      </c>
      <c r="J30" s="23" t="s">
        <v>152</v>
      </c>
      <c r="K30" s="23" t="s">
        <v>153</v>
      </c>
      <c r="L30" s="23" t="s">
        <v>51</v>
      </c>
      <c r="M30" s="23">
        <v>0</v>
      </c>
      <c r="N30" s="23">
        <v>1</v>
      </c>
      <c r="O30" s="23" t="s">
        <v>29</v>
      </c>
      <c r="P30" s="24">
        <v>44385</v>
      </c>
      <c r="Q30" s="24">
        <v>44392</v>
      </c>
      <c r="R30" s="19">
        <v>2</v>
      </c>
      <c r="S30" s="24" t="s">
        <v>30</v>
      </c>
      <c r="T30" s="24" t="s">
        <v>30</v>
      </c>
      <c r="U30" s="24" t="s">
        <v>31</v>
      </c>
      <c r="V30" s="23">
        <v>11</v>
      </c>
      <c r="W30" s="19"/>
      <c r="X30" s="25"/>
      <c r="Y30" s="26"/>
    </row>
    <row r="31" spans="1:25" s="27" customFormat="1" ht="33" hidden="1" customHeight="1" thickBot="1" x14ac:dyDescent="0.35">
      <c r="A31" s="17">
        <v>16</v>
      </c>
      <c r="B31" s="23">
        <v>4319</v>
      </c>
      <c r="C31" s="19" t="s">
        <v>154</v>
      </c>
      <c r="D31" s="23" t="s">
        <v>155</v>
      </c>
      <c r="E31" s="20" t="s">
        <v>156</v>
      </c>
      <c r="F31" s="21" t="s">
        <v>157</v>
      </c>
      <c r="G31" s="22" t="s">
        <v>26</v>
      </c>
      <c r="H31" s="22"/>
      <c r="I31" s="23" t="s">
        <v>151</v>
      </c>
      <c r="J31" s="23" t="s">
        <v>152</v>
      </c>
      <c r="K31" s="23" t="s">
        <v>153</v>
      </c>
      <c r="L31" s="23" t="s">
        <v>51</v>
      </c>
      <c r="M31" s="23">
        <v>0</v>
      </c>
      <c r="N31" s="23">
        <v>1</v>
      </c>
      <c r="O31" s="23" t="s">
        <v>29</v>
      </c>
      <c r="P31" s="24"/>
      <c r="Q31" s="24"/>
      <c r="R31" s="19"/>
      <c r="S31" s="24"/>
      <c r="T31" s="24" t="s">
        <v>30</v>
      </c>
      <c r="U31" s="24" t="s">
        <v>31</v>
      </c>
      <c r="V31" s="23"/>
      <c r="W31" s="19"/>
      <c r="X31" s="25"/>
      <c r="Y31" s="26"/>
    </row>
    <row r="32" spans="1:25" s="27" customFormat="1" ht="33" hidden="1" customHeight="1" thickBot="1" x14ac:dyDescent="0.35">
      <c r="A32" s="17">
        <v>17</v>
      </c>
      <c r="B32" s="23"/>
      <c r="C32" s="19"/>
      <c r="D32" s="23" t="s">
        <v>483</v>
      </c>
      <c r="E32" s="20" t="s">
        <v>482</v>
      </c>
      <c r="F32" s="21" t="s">
        <v>163</v>
      </c>
      <c r="G32" s="22" t="s">
        <v>26</v>
      </c>
      <c r="H32" s="22" t="s">
        <v>164</v>
      </c>
      <c r="I32" s="23" t="s">
        <v>165</v>
      </c>
      <c r="J32" s="23"/>
      <c r="K32" s="23" t="s">
        <v>166</v>
      </c>
      <c r="L32" s="23" t="s">
        <v>28</v>
      </c>
      <c r="M32" s="23">
        <v>1</v>
      </c>
      <c r="N32" s="23">
        <v>0</v>
      </c>
      <c r="O32" s="23" t="s">
        <v>29</v>
      </c>
      <c r="P32" s="24">
        <v>44385</v>
      </c>
      <c r="Q32" s="24">
        <v>44397</v>
      </c>
      <c r="R32" s="19">
        <v>1</v>
      </c>
      <c r="S32" s="24" t="s">
        <v>30</v>
      </c>
      <c r="T32" s="24" t="s">
        <v>30</v>
      </c>
      <c r="U32" s="24" t="s">
        <v>31</v>
      </c>
      <c r="V32" s="23" t="s">
        <v>167</v>
      </c>
      <c r="W32" s="19"/>
      <c r="X32" s="25"/>
      <c r="Y32" s="26"/>
    </row>
    <row r="33" spans="1:25" s="27" customFormat="1" ht="33" hidden="1" customHeight="1" thickBot="1" x14ac:dyDescent="0.35">
      <c r="A33" s="17">
        <v>18</v>
      </c>
      <c r="B33" s="23">
        <v>4319</v>
      </c>
      <c r="C33" s="19">
        <v>50191</v>
      </c>
      <c r="D33" s="23" t="s">
        <v>172</v>
      </c>
      <c r="E33" s="20" t="s">
        <v>173</v>
      </c>
      <c r="F33" s="21" t="s">
        <v>174</v>
      </c>
      <c r="G33" s="22" t="s">
        <v>26</v>
      </c>
      <c r="H33" s="22"/>
      <c r="I33" s="23">
        <v>503</v>
      </c>
      <c r="J33" s="23"/>
      <c r="K33" s="23">
        <v>556</v>
      </c>
      <c r="L33" s="23" t="s">
        <v>51</v>
      </c>
      <c r="M33" s="23">
        <v>0</v>
      </c>
      <c r="N33" s="23">
        <v>1</v>
      </c>
      <c r="O33" s="23" t="s">
        <v>29</v>
      </c>
      <c r="P33" s="24"/>
      <c r="Q33" s="24"/>
      <c r="R33" s="19"/>
      <c r="S33" s="24"/>
      <c r="T33" s="24" t="s">
        <v>30</v>
      </c>
      <c r="U33" s="24" t="s">
        <v>31</v>
      </c>
      <c r="V33" s="23">
        <v>43</v>
      </c>
      <c r="W33" s="19"/>
      <c r="X33" s="25"/>
      <c r="Y33" s="26"/>
    </row>
    <row r="34" spans="1:25" s="27" customFormat="1" ht="33" hidden="1" customHeight="1" thickBot="1" x14ac:dyDescent="0.35">
      <c r="A34" s="17">
        <v>18</v>
      </c>
      <c r="B34" s="23">
        <v>4319</v>
      </c>
      <c r="C34" s="19" t="s">
        <v>168</v>
      </c>
      <c r="D34" s="23" t="s">
        <v>169</v>
      </c>
      <c r="E34" s="20" t="s">
        <v>170</v>
      </c>
      <c r="F34" s="21" t="s">
        <v>171</v>
      </c>
      <c r="G34" s="22" t="s">
        <v>26</v>
      </c>
      <c r="H34" s="22"/>
      <c r="I34" s="23">
        <v>503</v>
      </c>
      <c r="J34" s="23"/>
      <c r="K34" s="23">
        <v>556</v>
      </c>
      <c r="L34" s="23" t="s">
        <v>51</v>
      </c>
      <c r="M34" s="23">
        <v>0</v>
      </c>
      <c r="N34" s="23">
        <v>1</v>
      </c>
      <c r="O34" s="23" t="s">
        <v>29</v>
      </c>
      <c r="P34" s="24" t="s">
        <v>30</v>
      </c>
      <c r="Q34" s="24">
        <v>44442</v>
      </c>
      <c r="R34" s="19">
        <v>2</v>
      </c>
      <c r="S34" s="24" t="s">
        <v>30</v>
      </c>
      <c r="T34" s="24" t="s">
        <v>30</v>
      </c>
      <c r="U34" s="24" t="s">
        <v>31</v>
      </c>
      <c r="V34" s="23"/>
      <c r="W34" s="19"/>
      <c r="X34" s="25"/>
      <c r="Y34" s="26"/>
    </row>
    <row r="35" spans="1:25" s="27" customFormat="1" ht="33" hidden="1" customHeight="1" thickBot="1" x14ac:dyDescent="0.35">
      <c r="A35" s="17">
        <v>19</v>
      </c>
      <c r="B35" s="23">
        <v>4319</v>
      </c>
      <c r="C35" s="19"/>
      <c r="D35" s="23"/>
      <c r="E35" s="20"/>
      <c r="F35" s="21" t="s">
        <v>175</v>
      </c>
      <c r="G35" s="22"/>
      <c r="H35" s="22"/>
      <c r="I35" s="23">
        <v>515</v>
      </c>
      <c r="J35" s="23"/>
      <c r="K35" s="23">
        <v>566</v>
      </c>
      <c r="L35" s="23" t="s">
        <v>51</v>
      </c>
      <c r="M35" s="23">
        <v>0</v>
      </c>
      <c r="N35" s="23">
        <v>1</v>
      </c>
      <c r="O35" s="23" t="s">
        <v>176</v>
      </c>
      <c r="P35" s="24">
        <v>44379</v>
      </c>
      <c r="Q35" s="24">
        <v>44435</v>
      </c>
      <c r="R35" s="19">
        <v>2</v>
      </c>
      <c r="S35" s="24" t="s">
        <v>30</v>
      </c>
      <c r="T35" s="24" t="s">
        <v>30</v>
      </c>
      <c r="U35" s="24" t="s">
        <v>31</v>
      </c>
      <c r="V35" s="23" t="s">
        <v>177</v>
      </c>
      <c r="W35" s="19"/>
      <c r="X35" s="25" t="s">
        <v>178</v>
      </c>
      <c r="Y35" s="26"/>
    </row>
    <row r="36" spans="1:25" s="27" customFormat="1" ht="33" hidden="1" customHeight="1" thickBot="1" x14ac:dyDescent="0.35">
      <c r="A36" s="17">
        <v>19</v>
      </c>
      <c r="B36" s="23">
        <v>4319</v>
      </c>
      <c r="C36" s="19"/>
      <c r="D36" s="23"/>
      <c r="E36" s="20"/>
      <c r="F36" s="21" t="s">
        <v>179</v>
      </c>
      <c r="G36" s="22"/>
      <c r="H36" s="22"/>
      <c r="I36" s="23">
        <v>515</v>
      </c>
      <c r="J36" s="23"/>
      <c r="K36" s="23">
        <v>566</v>
      </c>
      <c r="L36" s="23" t="s">
        <v>51</v>
      </c>
      <c r="M36" s="23">
        <v>0</v>
      </c>
      <c r="N36" s="23">
        <v>1</v>
      </c>
      <c r="O36" s="23" t="s">
        <v>176</v>
      </c>
      <c r="P36" s="24"/>
      <c r="Q36" s="24"/>
      <c r="R36" s="19"/>
      <c r="S36" s="24" t="s">
        <v>30</v>
      </c>
      <c r="T36" s="24" t="s">
        <v>30</v>
      </c>
      <c r="U36" s="24" t="s">
        <v>31</v>
      </c>
      <c r="V36" s="23" t="s">
        <v>162</v>
      </c>
      <c r="W36" s="19"/>
      <c r="X36" s="25"/>
      <c r="Y36" s="26"/>
    </row>
    <row r="37" spans="1:25" s="27" customFormat="1" ht="33" hidden="1" customHeight="1" thickBot="1" x14ac:dyDescent="0.35">
      <c r="A37" s="17">
        <v>20</v>
      </c>
      <c r="B37" s="23">
        <v>4319</v>
      </c>
      <c r="C37" s="19"/>
      <c r="D37" s="23" t="s">
        <v>180</v>
      </c>
      <c r="E37" s="20" t="s">
        <v>181</v>
      </c>
      <c r="F37" s="21" t="s">
        <v>182</v>
      </c>
      <c r="G37" s="22" t="s">
        <v>553</v>
      </c>
      <c r="H37" s="22"/>
      <c r="I37" s="23">
        <v>509</v>
      </c>
      <c r="J37" s="23"/>
      <c r="K37" s="23">
        <v>546</v>
      </c>
      <c r="L37" s="23" t="s">
        <v>51</v>
      </c>
      <c r="M37" s="23">
        <v>0</v>
      </c>
      <c r="N37" s="23">
        <v>1</v>
      </c>
      <c r="O37" s="23" t="s">
        <v>176</v>
      </c>
      <c r="P37" s="24">
        <v>44379</v>
      </c>
      <c r="Q37" s="24">
        <v>44379</v>
      </c>
      <c r="R37" s="19">
        <v>2</v>
      </c>
      <c r="S37" s="24" t="s">
        <v>30</v>
      </c>
      <c r="T37" s="24" t="s">
        <v>30</v>
      </c>
      <c r="U37" s="24" t="s">
        <v>31</v>
      </c>
      <c r="V37" s="23" t="s">
        <v>183</v>
      </c>
      <c r="W37" s="19"/>
      <c r="X37" s="25"/>
      <c r="Y37" s="26"/>
    </row>
    <row r="38" spans="1:25" s="27" customFormat="1" ht="33" hidden="1" customHeight="1" thickBot="1" x14ac:dyDescent="0.35">
      <c r="A38" s="17">
        <v>20</v>
      </c>
      <c r="B38" s="23">
        <v>4319</v>
      </c>
      <c r="C38" s="19"/>
      <c r="D38" s="23" t="s">
        <v>184</v>
      </c>
      <c r="E38" s="20" t="s">
        <v>185</v>
      </c>
      <c r="F38" s="21" t="s">
        <v>186</v>
      </c>
      <c r="G38" s="22" t="s">
        <v>553</v>
      </c>
      <c r="H38" s="22"/>
      <c r="I38" s="23">
        <v>509</v>
      </c>
      <c r="J38" s="23"/>
      <c r="K38" s="23">
        <v>546</v>
      </c>
      <c r="L38" s="23" t="s">
        <v>51</v>
      </c>
      <c r="M38" s="23">
        <v>0</v>
      </c>
      <c r="N38" s="23">
        <v>1</v>
      </c>
      <c r="O38" s="23" t="s">
        <v>176</v>
      </c>
      <c r="P38" s="24"/>
      <c r="Q38" s="24"/>
      <c r="R38" s="19"/>
      <c r="S38" s="24"/>
      <c r="T38" s="24" t="s">
        <v>30</v>
      </c>
      <c r="U38" s="24" t="s">
        <v>31</v>
      </c>
      <c r="V38" s="23"/>
      <c r="W38" s="19"/>
      <c r="X38" s="25"/>
      <c r="Y38" s="26"/>
    </row>
    <row r="39" spans="1:25" s="27" customFormat="1" ht="33" hidden="1" customHeight="1" thickBot="1" x14ac:dyDescent="0.35">
      <c r="A39" s="17">
        <v>21</v>
      </c>
      <c r="B39" s="23">
        <v>4319</v>
      </c>
      <c r="C39" s="19"/>
      <c r="D39" s="23" t="s">
        <v>187</v>
      </c>
      <c r="E39" s="20" t="s">
        <v>188</v>
      </c>
      <c r="F39" s="21" t="s">
        <v>189</v>
      </c>
      <c r="G39" s="22" t="s">
        <v>553</v>
      </c>
      <c r="H39" s="22"/>
      <c r="I39" s="23">
        <v>511</v>
      </c>
      <c r="J39" s="23">
        <v>546</v>
      </c>
      <c r="K39" s="23">
        <v>544</v>
      </c>
      <c r="L39" s="23" t="s">
        <v>51</v>
      </c>
      <c r="M39" s="23">
        <v>0</v>
      </c>
      <c r="N39" s="23">
        <v>1</v>
      </c>
      <c r="O39" s="23" t="s">
        <v>176</v>
      </c>
      <c r="P39" s="24">
        <v>44379</v>
      </c>
      <c r="Q39" s="24">
        <v>44379</v>
      </c>
      <c r="R39" s="19">
        <v>2</v>
      </c>
      <c r="S39" s="24" t="s">
        <v>30</v>
      </c>
      <c r="T39" s="24" t="s">
        <v>30</v>
      </c>
      <c r="U39" s="24" t="s">
        <v>31</v>
      </c>
      <c r="V39" s="23" t="s">
        <v>190</v>
      </c>
      <c r="W39" s="19"/>
      <c r="X39" s="25"/>
      <c r="Y39" s="26"/>
    </row>
    <row r="40" spans="1:25" s="27" customFormat="1" ht="33" hidden="1" customHeight="1" thickBot="1" x14ac:dyDescent="0.35">
      <c r="A40" s="17">
        <v>21</v>
      </c>
      <c r="B40" s="23">
        <v>4319</v>
      </c>
      <c r="C40" s="19"/>
      <c r="D40" s="23" t="s">
        <v>191</v>
      </c>
      <c r="E40" s="20" t="s">
        <v>192</v>
      </c>
      <c r="F40" s="21" t="s">
        <v>193</v>
      </c>
      <c r="G40" s="22" t="s">
        <v>553</v>
      </c>
      <c r="H40" s="22"/>
      <c r="I40" s="23">
        <v>511</v>
      </c>
      <c r="J40" s="23">
        <v>546</v>
      </c>
      <c r="K40" s="23">
        <v>544</v>
      </c>
      <c r="L40" s="23" t="s">
        <v>51</v>
      </c>
      <c r="M40" s="23">
        <v>0</v>
      </c>
      <c r="N40" s="23">
        <v>1</v>
      </c>
      <c r="O40" s="23" t="s">
        <v>176</v>
      </c>
      <c r="P40" s="24"/>
      <c r="Q40" s="24"/>
      <c r="R40" s="19"/>
      <c r="S40" s="24"/>
      <c r="T40" s="24" t="s">
        <v>30</v>
      </c>
      <c r="U40" s="24" t="s">
        <v>31</v>
      </c>
      <c r="V40" s="23"/>
      <c r="W40" s="19"/>
      <c r="X40" s="25"/>
      <c r="Y40" s="26"/>
    </row>
    <row r="41" spans="1:25" s="27" customFormat="1" ht="33" hidden="1" customHeight="1" thickBot="1" x14ac:dyDescent="0.35">
      <c r="A41" s="17">
        <v>22</v>
      </c>
      <c r="B41" s="23">
        <v>4319</v>
      </c>
      <c r="C41" s="19"/>
      <c r="D41" s="23" t="s">
        <v>194</v>
      </c>
      <c r="E41" s="20" t="s">
        <v>195</v>
      </c>
      <c r="F41" s="21" t="s">
        <v>196</v>
      </c>
      <c r="G41" s="22" t="s">
        <v>553</v>
      </c>
      <c r="H41" s="22"/>
      <c r="I41" s="23" t="s">
        <v>197</v>
      </c>
      <c r="J41" s="23" t="s">
        <v>198</v>
      </c>
      <c r="K41" s="23" t="s">
        <v>199</v>
      </c>
      <c r="L41" s="23" t="s">
        <v>51</v>
      </c>
      <c r="M41" s="23">
        <v>0</v>
      </c>
      <c r="N41" s="23">
        <v>1</v>
      </c>
      <c r="O41" s="23" t="s">
        <v>176</v>
      </c>
      <c r="P41" s="24">
        <v>44379</v>
      </c>
      <c r="Q41" s="24">
        <v>44379</v>
      </c>
      <c r="R41" s="19">
        <v>2</v>
      </c>
      <c r="S41" s="24" t="s">
        <v>30</v>
      </c>
      <c r="T41" s="24" t="s">
        <v>30</v>
      </c>
      <c r="U41" s="24" t="s">
        <v>31</v>
      </c>
      <c r="V41" s="23" t="s">
        <v>200</v>
      </c>
      <c r="W41" s="19"/>
      <c r="X41" s="25"/>
      <c r="Y41" s="26"/>
    </row>
    <row r="42" spans="1:25" s="27" customFormat="1" ht="33" hidden="1" customHeight="1" thickBot="1" x14ac:dyDescent="0.35">
      <c r="A42" s="17">
        <v>22</v>
      </c>
      <c r="B42" s="23">
        <v>4319</v>
      </c>
      <c r="C42" s="19"/>
      <c r="D42" s="23" t="s">
        <v>201</v>
      </c>
      <c r="E42" s="20" t="s">
        <v>202</v>
      </c>
      <c r="F42" s="21" t="s">
        <v>203</v>
      </c>
      <c r="G42" s="22" t="s">
        <v>553</v>
      </c>
      <c r="H42" s="22"/>
      <c r="I42" s="23" t="s">
        <v>197</v>
      </c>
      <c r="J42" s="23" t="s">
        <v>198</v>
      </c>
      <c r="K42" s="23" t="s">
        <v>199</v>
      </c>
      <c r="L42" s="23" t="s">
        <v>51</v>
      </c>
      <c r="M42" s="23">
        <v>0</v>
      </c>
      <c r="N42" s="23">
        <v>1</v>
      </c>
      <c r="O42" s="23" t="s">
        <v>176</v>
      </c>
      <c r="P42" s="24"/>
      <c r="Q42" s="24"/>
      <c r="R42" s="19"/>
      <c r="S42" s="24"/>
      <c r="T42" s="24" t="s">
        <v>30</v>
      </c>
      <c r="U42" s="24" t="s">
        <v>31</v>
      </c>
      <c r="V42" s="23"/>
      <c r="W42" s="19"/>
      <c r="X42" s="25"/>
      <c r="Y42" s="26"/>
    </row>
    <row r="43" spans="1:25" s="27" customFormat="1" ht="33" customHeight="1" thickBot="1" x14ac:dyDescent="0.35">
      <c r="A43" s="17">
        <v>23</v>
      </c>
      <c r="B43" s="23">
        <v>4145</v>
      </c>
      <c r="C43" s="19"/>
      <c r="D43" s="23" t="s">
        <v>496</v>
      </c>
      <c r="E43" s="20" t="s">
        <v>498</v>
      </c>
      <c r="F43" s="21" t="s">
        <v>204</v>
      </c>
      <c r="G43" s="22" t="s">
        <v>26</v>
      </c>
      <c r="H43" s="22" t="s">
        <v>205</v>
      </c>
      <c r="I43" s="23" t="s">
        <v>206</v>
      </c>
      <c r="J43" s="23"/>
      <c r="K43" s="23" t="s">
        <v>207</v>
      </c>
      <c r="L43" s="23" t="s">
        <v>51</v>
      </c>
      <c r="M43" s="23">
        <v>0</v>
      </c>
      <c r="N43" s="23">
        <v>1</v>
      </c>
      <c r="O43" s="23" t="s">
        <v>29</v>
      </c>
      <c r="P43" s="24" t="s">
        <v>30</v>
      </c>
      <c r="Q43" s="24" t="s">
        <v>30</v>
      </c>
      <c r="R43" s="19">
        <v>2</v>
      </c>
      <c r="S43" s="24" t="s">
        <v>30</v>
      </c>
      <c r="T43" s="24" t="s">
        <v>30</v>
      </c>
      <c r="U43" s="24" t="s">
        <v>208</v>
      </c>
      <c r="V43" s="23"/>
      <c r="W43" s="19"/>
      <c r="X43" s="25"/>
      <c r="Y43" s="26"/>
    </row>
    <row r="44" spans="1:25" s="27" customFormat="1" ht="33" customHeight="1" thickBot="1" x14ac:dyDescent="0.35">
      <c r="A44" s="17">
        <v>23</v>
      </c>
      <c r="B44" s="23">
        <v>4145</v>
      </c>
      <c r="C44" s="19"/>
      <c r="D44" s="23" t="s">
        <v>497</v>
      </c>
      <c r="E44" s="20" t="s">
        <v>499</v>
      </c>
      <c r="F44" s="21" t="s">
        <v>209</v>
      </c>
      <c r="G44" s="22" t="s">
        <v>26</v>
      </c>
      <c r="H44" s="22" t="s">
        <v>210</v>
      </c>
      <c r="I44" s="23" t="s">
        <v>206</v>
      </c>
      <c r="J44" s="23"/>
      <c r="K44" s="23" t="s">
        <v>207</v>
      </c>
      <c r="L44" s="23" t="s">
        <v>51</v>
      </c>
      <c r="M44" s="23">
        <v>0</v>
      </c>
      <c r="N44" s="23">
        <v>1</v>
      </c>
      <c r="O44" s="23" t="s">
        <v>29</v>
      </c>
      <c r="P44" s="24"/>
      <c r="Q44" s="24"/>
      <c r="R44" s="19"/>
      <c r="S44" s="24"/>
      <c r="T44" s="24" t="s">
        <v>30</v>
      </c>
      <c r="U44" s="24" t="s">
        <v>208</v>
      </c>
      <c r="V44" s="23"/>
      <c r="W44" s="19"/>
      <c r="X44" s="25"/>
      <c r="Y44" s="26"/>
    </row>
    <row r="45" spans="1:25" s="27" customFormat="1" ht="33" customHeight="1" thickBot="1" x14ac:dyDescent="0.35">
      <c r="A45" s="17">
        <v>24</v>
      </c>
      <c r="B45" s="23"/>
      <c r="C45" s="19"/>
      <c r="D45" s="23"/>
      <c r="E45" s="20"/>
      <c r="F45" s="21" t="s">
        <v>211</v>
      </c>
      <c r="G45" s="22" t="s">
        <v>26</v>
      </c>
      <c r="H45" s="22"/>
      <c r="I45" s="23" t="s">
        <v>212</v>
      </c>
      <c r="J45" s="23"/>
      <c r="K45" s="23" t="s">
        <v>213</v>
      </c>
      <c r="L45" s="23" t="s">
        <v>28</v>
      </c>
      <c r="M45" s="23">
        <v>1</v>
      </c>
      <c r="N45" s="23">
        <v>0</v>
      </c>
      <c r="O45" s="23" t="s">
        <v>29</v>
      </c>
      <c r="P45" s="24" t="s">
        <v>30</v>
      </c>
      <c r="Q45" s="24" t="s">
        <v>30</v>
      </c>
      <c r="R45" s="19">
        <v>1</v>
      </c>
      <c r="S45" s="24"/>
      <c r="T45" s="24"/>
      <c r="U45" s="24" t="s">
        <v>208</v>
      </c>
      <c r="V45" s="23"/>
      <c r="W45" s="19"/>
      <c r="X45" s="25"/>
      <c r="Y45" s="26"/>
    </row>
    <row r="46" spans="1:25" s="27" customFormat="1" ht="33" customHeight="1" thickBot="1" x14ac:dyDescent="0.35">
      <c r="A46" s="17">
        <v>25</v>
      </c>
      <c r="B46" s="23">
        <v>4145</v>
      </c>
      <c r="C46" s="19"/>
      <c r="D46" s="23" t="s">
        <v>545</v>
      </c>
      <c r="E46" s="20" t="s">
        <v>547</v>
      </c>
      <c r="F46" s="21" t="s">
        <v>214</v>
      </c>
      <c r="G46" s="22" t="s">
        <v>26</v>
      </c>
      <c r="H46" s="22"/>
      <c r="I46" s="23" t="s">
        <v>215</v>
      </c>
      <c r="J46" s="23"/>
      <c r="K46" s="23" t="s">
        <v>216</v>
      </c>
      <c r="L46" s="23" t="s">
        <v>51</v>
      </c>
      <c r="M46" s="23">
        <v>0</v>
      </c>
      <c r="N46" s="23">
        <v>1</v>
      </c>
      <c r="O46" s="23" t="s">
        <v>29</v>
      </c>
      <c r="P46" s="24" t="s">
        <v>30</v>
      </c>
      <c r="Q46" s="24" t="s">
        <v>30</v>
      </c>
      <c r="R46" s="19">
        <v>2</v>
      </c>
      <c r="S46" s="24" t="s">
        <v>30</v>
      </c>
      <c r="T46" s="24" t="s">
        <v>30</v>
      </c>
      <c r="U46" s="24" t="s">
        <v>208</v>
      </c>
      <c r="V46" s="23"/>
      <c r="W46" s="19"/>
      <c r="X46" s="25"/>
      <c r="Y46" s="26"/>
    </row>
    <row r="47" spans="1:25" s="27" customFormat="1" ht="33" customHeight="1" thickBot="1" x14ac:dyDescent="0.35">
      <c r="A47" s="17">
        <v>25</v>
      </c>
      <c r="B47" s="23">
        <v>4145</v>
      </c>
      <c r="C47" s="19"/>
      <c r="D47" s="23" t="s">
        <v>546</v>
      </c>
      <c r="E47" s="20" t="s">
        <v>549</v>
      </c>
      <c r="F47" s="21" t="s">
        <v>217</v>
      </c>
      <c r="G47" s="22" t="s">
        <v>26</v>
      </c>
      <c r="H47" s="22"/>
      <c r="I47" s="23" t="s">
        <v>215</v>
      </c>
      <c r="J47" s="23"/>
      <c r="K47" s="23" t="s">
        <v>216</v>
      </c>
      <c r="L47" s="23" t="s">
        <v>51</v>
      </c>
      <c r="M47" s="23">
        <v>0</v>
      </c>
      <c r="N47" s="23">
        <v>1</v>
      </c>
      <c r="O47" s="23" t="s">
        <v>29</v>
      </c>
      <c r="P47" s="24"/>
      <c r="Q47" s="24"/>
      <c r="R47" s="19"/>
      <c r="S47" s="24"/>
      <c r="T47" s="24" t="s">
        <v>30</v>
      </c>
      <c r="U47" s="24" t="s">
        <v>208</v>
      </c>
      <c r="V47" s="23"/>
      <c r="W47" s="19"/>
      <c r="X47" s="25"/>
      <c r="Y47" s="26"/>
    </row>
    <row r="48" spans="1:25" s="27" customFormat="1" ht="33" customHeight="1" thickBot="1" x14ac:dyDescent="0.35">
      <c r="A48" s="17">
        <v>26</v>
      </c>
      <c r="B48" s="23">
        <v>4145</v>
      </c>
      <c r="C48" s="19"/>
      <c r="D48" s="23" t="s">
        <v>548</v>
      </c>
      <c r="E48" s="20" t="s">
        <v>550</v>
      </c>
      <c r="F48" s="21" t="s">
        <v>218</v>
      </c>
      <c r="G48" s="22" t="s">
        <v>26</v>
      </c>
      <c r="H48" s="22"/>
      <c r="I48" s="23" t="s">
        <v>219</v>
      </c>
      <c r="J48" s="23"/>
      <c r="K48" s="23" t="s">
        <v>220</v>
      </c>
      <c r="L48" s="23" t="s">
        <v>51</v>
      </c>
      <c r="M48" s="23">
        <v>0</v>
      </c>
      <c r="N48" s="23">
        <v>1</v>
      </c>
      <c r="O48" s="23" t="s">
        <v>29</v>
      </c>
      <c r="P48" s="24" t="s">
        <v>30</v>
      </c>
      <c r="Q48" s="24" t="s">
        <v>30</v>
      </c>
      <c r="R48" s="19">
        <v>2</v>
      </c>
      <c r="S48" s="24" t="s">
        <v>30</v>
      </c>
      <c r="T48" s="24" t="s">
        <v>30</v>
      </c>
      <c r="U48" s="24" t="s">
        <v>208</v>
      </c>
      <c r="V48" s="23"/>
      <c r="W48" s="19"/>
      <c r="X48" s="25"/>
      <c r="Y48" s="26"/>
    </row>
    <row r="49" spans="1:25" s="27" customFormat="1" ht="33" customHeight="1" thickBot="1" x14ac:dyDescent="0.35">
      <c r="A49" s="17">
        <v>26</v>
      </c>
      <c r="B49" s="23">
        <v>4145</v>
      </c>
      <c r="C49" s="19"/>
      <c r="D49" s="23" t="s">
        <v>598</v>
      </c>
      <c r="E49" s="20" t="s">
        <v>599</v>
      </c>
      <c r="F49" s="21" t="s">
        <v>221</v>
      </c>
      <c r="G49" s="22" t="s">
        <v>26</v>
      </c>
      <c r="H49" s="22"/>
      <c r="I49" s="23" t="s">
        <v>219</v>
      </c>
      <c r="J49" s="23"/>
      <c r="K49" s="23" t="s">
        <v>220</v>
      </c>
      <c r="L49" s="23" t="s">
        <v>51</v>
      </c>
      <c r="M49" s="23">
        <v>0</v>
      </c>
      <c r="N49" s="23">
        <v>1</v>
      </c>
      <c r="O49" s="23" t="s">
        <v>29</v>
      </c>
      <c r="P49" s="24"/>
      <c r="Q49" s="24"/>
      <c r="R49" s="19"/>
      <c r="S49" s="24"/>
      <c r="T49" s="24"/>
      <c r="U49" s="24" t="s">
        <v>208</v>
      </c>
      <c r="V49" s="23"/>
      <c r="W49" s="19"/>
      <c r="X49" s="25"/>
      <c r="Y49" s="26"/>
    </row>
    <row r="50" spans="1:25" s="27" customFormat="1" ht="33" customHeight="1" thickBot="1" x14ac:dyDescent="0.35">
      <c r="A50" s="17">
        <v>27</v>
      </c>
      <c r="B50" s="23">
        <v>4145</v>
      </c>
      <c r="C50" s="19"/>
      <c r="D50" s="23"/>
      <c r="E50" s="20"/>
      <c r="F50" s="21" t="s">
        <v>222</v>
      </c>
      <c r="G50" s="22" t="s">
        <v>26</v>
      </c>
      <c r="H50" s="22"/>
      <c r="I50" s="23" t="s">
        <v>223</v>
      </c>
      <c r="J50" s="23"/>
      <c r="K50" s="23" t="s">
        <v>224</v>
      </c>
      <c r="L50" s="23" t="s">
        <v>51</v>
      </c>
      <c r="M50" s="23">
        <v>0</v>
      </c>
      <c r="N50" s="23">
        <v>1</v>
      </c>
      <c r="O50" s="23" t="s">
        <v>29</v>
      </c>
      <c r="P50" s="24" t="s">
        <v>30</v>
      </c>
      <c r="Q50" s="24" t="s">
        <v>30</v>
      </c>
      <c r="R50" s="19">
        <v>2</v>
      </c>
      <c r="S50" s="24" t="s">
        <v>30</v>
      </c>
      <c r="T50" s="24" t="s">
        <v>30</v>
      </c>
      <c r="U50" s="24" t="s">
        <v>208</v>
      </c>
      <c r="V50" s="23"/>
      <c r="W50" s="19"/>
      <c r="X50" s="25"/>
      <c r="Y50" s="26"/>
    </row>
    <row r="51" spans="1:25" s="27" customFormat="1" ht="33" customHeight="1" thickBot="1" x14ac:dyDescent="0.35">
      <c r="A51" s="17">
        <v>27</v>
      </c>
      <c r="B51" s="23">
        <v>4145</v>
      </c>
      <c r="C51" s="19"/>
      <c r="D51" s="23"/>
      <c r="E51" s="20"/>
      <c r="F51" s="21" t="s">
        <v>225</v>
      </c>
      <c r="G51" s="22" t="s">
        <v>26</v>
      </c>
      <c r="H51" s="22"/>
      <c r="I51" s="23" t="s">
        <v>223</v>
      </c>
      <c r="J51" s="23"/>
      <c r="K51" s="23" t="s">
        <v>224</v>
      </c>
      <c r="L51" s="23" t="s">
        <v>51</v>
      </c>
      <c r="M51" s="23">
        <v>0</v>
      </c>
      <c r="N51" s="23">
        <v>1</v>
      </c>
      <c r="O51" s="23" t="s">
        <v>29</v>
      </c>
      <c r="P51" s="24"/>
      <c r="Q51" s="24"/>
      <c r="R51" s="19"/>
      <c r="S51" s="24"/>
      <c r="T51" s="24" t="s">
        <v>30</v>
      </c>
      <c r="U51" s="24" t="s">
        <v>208</v>
      </c>
      <c r="V51" s="23"/>
      <c r="W51" s="19"/>
      <c r="X51" s="25"/>
      <c r="Y51" s="26"/>
    </row>
    <row r="52" spans="1:25" s="27" customFormat="1" ht="33" customHeight="1" thickBot="1" x14ac:dyDescent="0.35">
      <c r="A52" s="17">
        <v>28</v>
      </c>
      <c r="B52" s="23">
        <v>4145</v>
      </c>
      <c r="C52" s="19"/>
      <c r="D52" s="23"/>
      <c r="E52" s="20"/>
      <c r="F52" s="21" t="s">
        <v>226</v>
      </c>
      <c r="G52" s="22" t="s">
        <v>26</v>
      </c>
      <c r="H52" s="22"/>
      <c r="I52" s="23">
        <v>820</v>
      </c>
      <c r="J52" s="23"/>
      <c r="K52" s="23" t="s">
        <v>227</v>
      </c>
      <c r="L52" s="23" t="s">
        <v>51</v>
      </c>
      <c r="M52" s="23">
        <v>0</v>
      </c>
      <c r="N52" s="23">
        <v>1</v>
      </c>
      <c r="O52" s="23" t="s">
        <v>29</v>
      </c>
      <c r="P52" s="24" t="s">
        <v>30</v>
      </c>
      <c r="Q52" s="24" t="s">
        <v>30</v>
      </c>
      <c r="R52" s="19">
        <v>2</v>
      </c>
      <c r="S52" s="24" t="s">
        <v>30</v>
      </c>
      <c r="T52" s="24" t="s">
        <v>30</v>
      </c>
      <c r="U52" s="24" t="s">
        <v>208</v>
      </c>
      <c r="V52" s="23"/>
      <c r="W52" s="19"/>
      <c r="X52" s="25"/>
      <c r="Y52" s="26"/>
    </row>
    <row r="53" spans="1:25" s="27" customFormat="1" ht="33" customHeight="1" thickBot="1" x14ac:dyDescent="0.35">
      <c r="A53" s="17">
        <v>28</v>
      </c>
      <c r="B53" s="23">
        <v>4145</v>
      </c>
      <c r="C53" s="19"/>
      <c r="D53" s="23"/>
      <c r="E53" s="20"/>
      <c r="F53" s="21" t="s">
        <v>228</v>
      </c>
      <c r="G53" s="22" t="s">
        <v>26</v>
      </c>
      <c r="H53" s="22"/>
      <c r="I53" s="23">
        <v>820</v>
      </c>
      <c r="J53" s="23"/>
      <c r="K53" s="23" t="s">
        <v>227</v>
      </c>
      <c r="L53" s="23" t="s">
        <v>51</v>
      </c>
      <c r="M53" s="23">
        <v>0</v>
      </c>
      <c r="N53" s="23">
        <v>1</v>
      </c>
      <c r="O53" s="23" t="s">
        <v>29</v>
      </c>
      <c r="P53" s="24"/>
      <c r="Q53" s="24"/>
      <c r="R53" s="19"/>
      <c r="S53" s="24"/>
      <c r="T53" s="24" t="s">
        <v>30</v>
      </c>
      <c r="U53" s="24" t="s">
        <v>208</v>
      </c>
      <c r="V53" s="23"/>
      <c r="W53" s="19"/>
      <c r="X53" s="25"/>
      <c r="Y53" s="26"/>
    </row>
    <row r="54" spans="1:25" s="27" customFormat="1" ht="33" customHeight="1" thickBot="1" x14ac:dyDescent="0.35">
      <c r="A54" s="17">
        <v>29</v>
      </c>
      <c r="B54" s="23">
        <v>4145</v>
      </c>
      <c r="C54" s="19"/>
      <c r="D54" s="23" t="s">
        <v>500</v>
      </c>
      <c r="E54" s="20" t="s">
        <v>501</v>
      </c>
      <c r="F54" s="21" t="s">
        <v>229</v>
      </c>
      <c r="G54" s="22" t="s">
        <v>26</v>
      </c>
      <c r="H54" s="22"/>
      <c r="I54" s="23" t="s">
        <v>230</v>
      </c>
      <c r="J54" s="23"/>
      <c r="K54" s="23" t="s">
        <v>231</v>
      </c>
      <c r="L54" s="23" t="s">
        <v>28</v>
      </c>
      <c r="M54" s="23">
        <v>1</v>
      </c>
      <c r="N54" s="23">
        <v>0</v>
      </c>
      <c r="O54" s="23" t="s">
        <v>29</v>
      </c>
      <c r="P54" s="24" t="s">
        <v>30</v>
      </c>
      <c r="Q54" s="24" t="s">
        <v>30</v>
      </c>
      <c r="R54" s="19">
        <v>1</v>
      </c>
      <c r="S54" s="24" t="s">
        <v>30</v>
      </c>
      <c r="T54" s="24" t="s">
        <v>30</v>
      </c>
      <c r="U54" s="24" t="s">
        <v>208</v>
      </c>
      <c r="V54" s="23"/>
      <c r="W54" s="19"/>
      <c r="X54" s="25"/>
      <c r="Y54" s="26"/>
    </row>
    <row r="55" spans="1:25" s="27" customFormat="1" ht="33" customHeight="1" thickBot="1" x14ac:dyDescent="0.35">
      <c r="A55" s="17">
        <v>30</v>
      </c>
      <c r="B55" s="23">
        <v>4145</v>
      </c>
      <c r="C55" s="19"/>
      <c r="D55" s="23" t="s">
        <v>502</v>
      </c>
      <c r="E55" s="20" t="s">
        <v>505</v>
      </c>
      <c r="F55" s="21" t="s">
        <v>232</v>
      </c>
      <c r="G55" s="22" t="s">
        <v>26</v>
      </c>
      <c r="H55" s="22"/>
      <c r="I55" s="23" t="s">
        <v>230</v>
      </c>
      <c r="J55" s="23"/>
      <c r="K55" s="23" t="s">
        <v>233</v>
      </c>
      <c r="L55" s="23" t="s">
        <v>28</v>
      </c>
      <c r="M55" s="23">
        <v>1</v>
      </c>
      <c r="N55" s="23">
        <v>0</v>
      </c>
      <c r="O55" s="23" t="s">
        <v>29</v>
      </c>
      <c r="P55" s="24" t="s">
        <v>30</v>
      </c>
      <c r="Q55" s="24" t="s">
        <v>30</v>
      </c>
      <c r="R55" s="19">
        <v>1</v>
      </c>
      <c r="S55" s="24" t="s">
        <v>30</v>
      </c>
      <c r="T55" s="24" t="s">
        <v>30</v>
      </c>
      <c r="U55" s="24" t="s">
        <v>208</v>
      </c>
      <c r="V55" s="23"/>
      <c r="W55" s="19"/>
      <c r="X55" s="25"/>
      <c r="Y55" s="26"/>
    </row>
    <row r="56" spans="1:25" s="27" customFormat="1" ht="33" customHeight="1" thickBot="1" x14ac:dyDescent="0.35">
      <c r="A56" s="17">
        <v>31</v>
      </c>
      <c r="B56" s="23">
        <v>4145</v>
      </c>
      <c r="C56" s="19"/>
      <c r="D56" s="23" t="s">
        <v>503</v>
      </c>
      <c r="E56" s="20" t="s">
        <v>504</v>
      </c>
      <c r="F56" s="21" t="s">
        <v>234</v>
      </c>
      <c r="G56" s="22" t="s">
        <v>26</v>
      </c>
      <c r="H56" s="22"/>
      <c r="I56" s="23" t="s">
        <v>230</v>
      </c>
      <c r="J56" s="23"/>
      <c r="K56" s="23" t="s">
        <v>235</v>
      </c>
      <c r="L56" s="23" t="s">
        <v>28</v>
      </c>
      <c r="M56" s="23">
        <v>1</v>
      </c>
      <c r="N56" s="23">
        <v>0</v>
      </c>
      <c r="O56" s="23" t="s">
        <v>29</v>
      </c>
      <c r="P56" s="24" t="s">
        <v>30</v>
      </c>
      <c r="Q56" s="24" t="s">
        <v>30</v>
      </c>
      <c r="R56" s="19">
        <v>1</v>
      </c>
      <c r="S56" s="24" t="s">
        <v>30</v>
      </c>
      <c r="T56" s="24" t="s">
        <v>30</v>
      </c>
      <c r="U56" s="24" t="s">
        <v>208</v>
      </c>
      <c r="V56" s="23"/>
      <c r="W56" s="19"/>
      <c r="X56" s="25"/>
      <c r="Y56" s="26"/>
    </row>
    <row r="57" spans="1:25" s="27" customFormat="1" ht="33" customHeight="1" thickBot="1" x14ac:dyDescent="0.35">
      <c r="A57" s="17">
        <v>32</v>
      </c>
      <c r="B57" s="23">
        <v>4145</v>
      </c>
      <c r="C57" s="19"/>
      <c r="D57" s="23" t="s">
        <v>506</v>
      </c>
      <c r="E57" s="20" t="s">
        <v>507</v>
      </c>
      <c r="F57" s="21" t="s">
        <v>236</v>
      </c>
      <c r="G57" s="22" t="s">
        <v>26</v>
      </c>
      <c r="H57" s="22"/>
      <c r="I57" s="23" t="s">
        <v>237</v>
      </c>
      <c r="J57" s="23"/>
      <c r="K57" s="23" t="s">
        <v>238</v>
      </c>
      <c r="L57" s="23" t="s">
        <v>28</v>
      </c>
      <c r="M57" s="23">
        <v>1</v>
      </c>
      <c r="N57" s="23">
        <v>0</v>
      </c>
      <c r="O57" s="23" t="s">
        <v>29</v>
      </c>
      <c r="P57" s="24" t="s">
        <v>30</v>
      </c>
      <c r="Q57" s="24" t="s">
        <v>30</v>
      </c>
      <c r="R57" s="19">
        <v>1</v>
      </c>
      <c r="S57" s="24" t="s">
        <v>30</v>
      </c>
      <c r="T57" s="24" t="s">
        <v>30</v>
      </c>
      <c r="U57" s="24" t="s">
        <v>208</v>
      </c>
      <c r="V57" s="23"/>
      <c r="W57" s="19"/>
      <c r="X57" s="25"/>
      <c r="Y57" s="26"/>
    </row>
    <row r="58" spans="1:25" s="27" customFormat="1" ht="33" customHeight="1" thickBot="1" x14ac:dyDescent="0.35">
      <c r="A58" s="17">
        <v>33</v>
      </c>
      <c r="B58" s="23">
        <v>4145</v>
      </c>
      <c r="C58" s="19"/>
      <c r="D58" s="23" t="s">
        <v>494</v>
      </c>
      <c r="E58" s="20" t="s">
        <v>508</v>
      </c>
      <c r="F58" s="21" t="s">
        <v>239</v>
      </c>
      <c r="G58" s="22" t="s">
        <v>26</v>
      </c>
      <c r="H58" s="22"/>
      <c r="I58" s="23" t="s">
        <v>240</v>
      </c>
      <c r="J58" s="23" t="s">
        <v>241</v>
      </c>
      <c r="K58" s="23" t="s">
        <v>242</v>
      </c>
      <c r="L58" s="23" t="s">
        <v>51</v>
      </c>
      <c r="M58" s="23">
        <v>0</v>
      </c>
      <c r="N58" s="23">
        <v>1</v>
      </c>
      <c r="O58" s="23" t="s">
        <v>29</v>
      </c>
      <c r="P58" s="24" t="s">
        <v>30</v>
      </c>
      <c r="Q58" s="24" t="s">
        <v>30</v>
      </c>
      <c r="R58" s="19">
        <v>2</v>
      </c>
      <c r="S58" s="24" t="s">
        <v>30</v>
      </c>
      <c r="T58" s="24" t="s">
        <v>30</v>
      </c>
      <c r="U58" s="24" t="s">
        <v>208</v>
      </c>
      <c r="V58" s="23">
        <v>53</v>
      </c>
      <c r="W58" s="19"/>
      <c r="X58" s="25"/>
      <c r="Y58" s="26"/>
    </row>
    <row r="59" spans="1:25" s="27" customFormat="1" ht="33" customHeight="1" thickBot="1" x14ac:dyDescent="0.35">
      <c r="A59" s="17">
        <v>33</v>
      </c>
      <c r="B59" s="23">
        <v>4145</v>
      </c>
      <c r="C59" s="19"/>
      <c r="D59" s="23" t="s">
        <v>493</v>
      </c>
      <c r="E59" s="20" t="s">
        <v>508</v>
      </c>
      <c r="F59" s="21" t="s">
        <v>243</v>
      </c>
      <c r="G59" s="22" t="s">
        <v>26</v>
      </c>
      <c r="H59" s="22"/>
      <c r="I59" s="23" t="s">
        <v>240</v>
      </c>
      <c r="J59" s="23" t="s">
        <v>241</v>
      </c>
      <c r="K59" s="23" t="s">
        <v>242</v>
      </c>
      <c r="L59" s="23" t="s">
        <v>51</v>
      </c>
      <c r="M59" s="23">
        <v>0</v>
      </c>
      <c r="N59" s="23">
        <v>1</v>
      </c>
      <c r="O59" s="23" t="s">
        <v>29</v>
      </c>
      <c r="P59" s="24"/>
      <c r="Q59" s="24"/>
      <c r="R59" s="19"/>
      <c r="S59" s="24"/>
      <c r="T59" s="24" t="s">
        <v>30</v>
      </c>
      <c r="U59" s="24" t="s">
        <v>208</v>
      </c>
      <c r="V59" s="23"/>
      <c r="W59" s="19"/>
      <c r="X59" s="25"/>
      <c r="Y59" s="26"/>
    </row>
    <row r="60" spans="1:25" s="27" customFormat="1" ht="33" hidden="1" customHeight="1" thickBot="1" x14ac:dyDescent="0.35">
      <c r="A60" s="17">
        <v>34</v>
      </c>
      <c r="B60" s="23">
        <v>4231</v>
      </c>
      <c r="C60" s="19">
        <v>49786</v>
      </c>
      <c r="D60" s="23" t="s">
        <v>244</v>
      </c>
      <c r="E60" s="20" t="s">
        <v>245</v>
      </c>
      <c r="F60" s="21" t="s">
        <v>246</v>
      </c>
      <c r="G60" s="22" t="s">
        <v>26</v>
      </c>
      <c r="H60" s="22"/>
      <c r="I60" s="23">
        <v>1282</v>
      </c>
      <c r="J60" s="23"/>
      <c r="K60" s="23" t="s">
        <v>247</v>
      </c>
      <c r="L60" s="23" t="s">
        <v>28</v>
      </c>
      <c r="M60" s="23">
        <v>1</v>
      </c>
      <c r="N60" s="23">
        <v>0</v>
      </c>
      <c r="O60" s="23" t="s">
        <v>29</v>
      </c>
      <c r="P60" s="24" t="s">
        <v>30</v>
      </c>
      <c r="Q60" s="24">
        <v>44439</v>
      </c>
      <c r="R60" s="19">
        <v>1</v>
      </c>
      <c r="S60" s="24" t="s">
        <v>30</v>
      </c>
      <c r="T60" s="24" t="s">
        <v>30</v>
      </c>
      <c r="U60" s="24" t="s">
        <v>31</v>
      </c>
      <c r="V60" s="23" t="s">
        <v>248</v>
      </c>
      <c r="W60" s="19"/>
      <c r="X60" s="25"/>
      <c r="Y60" s="26"/>
    </row>
    <row r="61" spans="1:25" s="27" customFormat="1" ht="33" hidden="1" customHeight="1" thickBot="1" x14ac:dyDescent="0.35">
      <c r="A61" s="17">
        <v>35</v>
      </c>
      <c r="B61" s="23">
        <v>4231</v>
      </c>
      <c r="C61" s="19">
        <v>49799</v>
      </c>
      <c r="D61" s="23" t="s">
        <v>249</v>
      </c>
      <c r="E61" s="20" t="s">
        <v>250</v>
      </c>
      <c r="F61" s="21" t="s">
        <v>251</v>
      </c>
      <c r="G61" s="22" t="s">
        <v>26</v>
      </c>
      <c r="H61" s="22"/>
      <c r="I61" s="23">
        <v>1282</v>
      </c>
      <c r="J61" s="23"/>
      <c r="K61" s="23" t="s">
        <v>252</v>
      </c>
      <c r="L61" s="23" t="s">
        <v>28</v>
      </c>
      <c r="M61" s="23">
        <v>1</v>
      </c>
      <c r="N61" s="23">
        <v>0</v>
      </c>
      <c r="O61" s="23" t="s">
        <v>29</v>
      </c>
      <c r="P61" s="24" t="s">
        <v>30</v>
      </c>
      <c r="Q61" s="24" t="s">
        <v>30</v>
      </c>
      <c r="R61" s="19">
        <v>1</v>
      </c>
      <c r="S61" s="24" t="s">
        <v>30</v>
      </c>
      <c r="T61" s="24" t="s">
        <v>30</v>
      </c>
      <c r="U61" s="24" t="s">
        <v>31</v>
      </c>
      <c r="V61" s="23"/>
      <c r="W61" s="19"/>
      <c r="X61" s="25"/>
      <c r="Y61" s="26"/>
    </row>
    <row r="62" spans="1:25" s="27" customFormat="1" ht="33" hidden="1" customHeight="1" thickBot="1" x14ac:dyDescent="0.35">
      <c r="A62" s="17">
        <v>36</v>
      </c>
      <c r="B62" s="23">
        <v>4231</v>
      </c>
      <c r="C62" s="19">
        <v>49822</v>
      </c>
      <c r="D62" s="23" t="s">
        <v>253</v>
      </c>
      <c r="E62" s="20" t="s">
        <v>254</v>
      </c>
      <c r="F62" s="21" t="s">
        <v>255</v>
      </c>
      <c r="G62" s="22" t="s">
        <v>26</v>
      </c>
      <c r="H62" s="22"/>
      <c r="I62" s="23">
        <v>1282</v>
      </c>
      <c r="J62" s="23"/>
      <c r="K62" s="23" t="s">
        <v>256</v>
      </c>
      <c r="L62" s="23" t="s">
        <v>28</v>
      </c>
      <c r="M62" s="23">
        <v>1</v>
      </c>
      <c r="N62" s="23">
        <v>0</v>
      </c>
      <c r="O62" s="23" t="s">
        <v>29</v>
      </c>
      <c r="P62" s="24" t="s">
        <v>30</v>
      </c>
      <c r="Q62" s="24" t="s">
        <v>30</v>
      </c>
      <c r="R62" s="19">
        <v>1</v>
      </c>
      <c r="S62" s="24" t="s">
        <v>30</v>
      </c>
      <c r="T62" s="24" t="s">
        <v>30</v>
      </c>
      <c r="U62" s="24" t="s">
        <v>31</v>
      </c>
      <c r="V62" s="23" t="s">
        <v>257</v>
      </c>
      <c r="W62" s="19"/>
      <c r="X62" s="25"/>
      <c r="Y62" s="26"/>
    </row>
    <row r="63" spans="1:25" s="27" customFormat="1" ht="33" hidden="1" customHeight="1" thickBot="1" x14ac:dyDescent="0.35">
      <c r="A63" s="17">
        <v>37</v>
      </c>
      <c r="B63" s="23">
        <v>4231</v>
      </c>
      <c r="C63" s="19">
        <v>49817</v>
      </c>
      <c r="D63" s="23" t="s">
        <v>258</v>
      </c>
      <c r="E63" s="20" t="s">
        <v>259</v>
      </c>
      <c r="F63" s="21" t="s">
        <v>260</v>
      </c>
      <c r="G63" s="22" t="s">
        <v>26</v>
      </c>
      <c r="H63" s="22"/>
      <c r="I63" s="23">
        <v>1282</v>
      </c>
      <c r="J63" s="23"/>
      <c r="K63" s="23" t="s">
        <v>261</v>
      </c>
      <c r="L63" s="23" t="s">
        <v>28</v>
      </c>
      <c r="M63" s="23">
        <v>1</v>
      </c>
      <c r="N63" s="23">
        <v>0</v>
      </c>
      <c r="O63" s="23" t="s">
        <v>29</v>
      </c>
      <c r="P63" s="24" t="s">
        <v>30</v>
      </c>
      <c r="Q63" s="24" t="s">
        <v>30</v>
      </c>
      <c r="R63" s="19">
        <v>1</v>
      </c>
      <c r="S63" s="24" t="s">
        <v>30</v>
      </c>
      <c r="T63" s="24" t="s">
        <v>30</v>
      </c>
      <c r="U63" s="24" t="s">
        <v>31</v>
      </c>
      <c r="V63" s="23"/>
      <c r="W63" s="19"/>
      <c r="X63" s="25"/>
      <c r="Y63" s="26"/>
    </row>
    <row r="64" spans="1:25" s="27" customFormat="1" ht="33" hidden="1" customHeight="1" thickBot="1" x14ac:dyDescent="0.35">
      <c r="A64" s="17">
        <v>38</v>
      </c>
      <c r="B64" s="23">
        <v>4231</v>
      </c>
      <c r="C64" s="19">
        <v>49824</v>
      </c>
      <c r="D64" s="23" t="s">
        <v>262</v>
      </c>
      <c r="E64" s="20" t="s">
        <v>263</v>
      </c>
      <c r="F64" s="21" t="s">
        <v>264</v>
      </c>
      <c r="G64" s="22" t="s">
        <v>26</v>
      </c>
      <c r="H64" s="22"/>
      <c r="I64" s="23">
        <v>1138</v>
      </c>
      <c r="J64" s="23"/>
      <c r="K64" s="23">
        <v>1155</v>
      </c>
      <c r="L64" s="23" t="s">
        <v>28</v>
      </c>
      <c r="M64" s="23">
        <v>1</v>
      </c>
      <c r="N64" s="23">
        <v>0</v>
      </c>
      <c r="O64" s="23" t="s">
        <v>29</v>
      </c>
      <c r="P64" s="24" t="s">
        <v>30</v>
      </c>
      <c r="Q64" s="24" t="s">
        <v>30</v>
      </c>
      <c r="R64" s="19">
        <v>1</v>
      </c>
      <c r="S64" s="24" t="s">
        <v>30</v>
      </c>
      <c r="T64" s="24" t="s">
        <v>30</v>
      </c>
      <c r="U64" s="24" t="s">
        <v>31</v>
      </c>
      <c r="V64" s="23"/>
      <c r="W64" s="19"/>
      <c r="X64" s="25"/>
      <c r="Y64" s="26"/>
    </row>
    <row r="65" spans="1:25" s="27" customFormat="1" ht="33" hidden="1" customHeight="1" thickBot="1" x14ac:dyDescent="0.35">
      <c r="A65" s="17">
        <v>39</v>
      </c>
      <c r="B65" s="23">
        <v>4231</v>
      </c>
      <c r="C65" s="19">
        <v>49818</v>
      </c>
      <c r="D65" s="23" t="s">
        <v>265</v>
      </c>
      <c r="E65" s="20" t="s">
        <v>266</v>
      </c>
      <c r="F65" s="21" t="s">
        <v>267</v>
      </c>
      <c r="G65" s="22" t="s">
        <v>26</v>
      </c>
      <c r="H65" s="22"/>
      <c r="I65" s="23">
        <v>1155</v>
      </c>
      <c r="J65" s="23"/>
      <c r="K65" s="23">
        <v>1144</v>
      </c>
      <c r="L65" s="23" t="s">
        <v>28</v>
      </c>
      <c r="M65" s="23">
        <v>1</v>
      </c>
      <c r="N65" s="23">
        <v>0</v>
      </c>
      <c r="O65" s="23" t="s">
        <v>29</v>
      </c>
      <c r="P65" s="24" t="s">
        <v>30</v>
      </c>
      <c r="Q65" s="24" t="s">
        <v>30</v>
      </c>
      <c r="R65" s="19">
        <v>1</v>
      </c>
      <c r="S65" s="24" t="s">
        <v>30</v>
      </c>
      <c r="T65" s="24" t="s">
        <v>30</v>
      </c>
      <c r="U65" s="24" t="s">
        <v>31</v>
      </c>
      <c r="V65" s="23"/>
      <c r="W65" s="19"/>
      <c r="X65" s="25"/>
      <c r="Y65" s="26"/>
    </row>
    <row r="66" spans="1:25" s="27" customFormat="1" ht="33" hidden="1" customHeight="1" thickBot="1" x14ac:dyDescent="0.35">
      <c r="A66" s="17">
        <v>40</v>
      </c>
      <c r="B66" s="23">
        <v>4319</v>
      </c>
      <c r="C66" s="19" t="s">
        <v>274</v>
      </c>
      <c r="D66" s="23" t="s">
        <v>275</v>
      </c>
      <c r="E66" s="20" t="s">
        <v>276</v>
      </c>
      <c r="F66" s="21" t="s">
        <v>277</v>
      </c>
      <c r="G66" s="22" t="s">
        <v>26</v>
      </c>
      <c r="H66" s="22"/>
      <c r="I66" s="23" t="s">
        <v>271</v>
      </c>
      <c r="J66" s="23" t="s">
        <v>272</v>
      </c>
      <c r="K66" s="23" t="s">
        <v>273</v>
      </c>
      <c r="L66" s="23" t="s">
        <v>51</v>
      </c>
      <c r="M66" s="23">
        <v>0</v>
      </c>
      <c r="N66" s="23">
        <v>1</v>
      </c>
      <c r="O66" s="23" t="s">
        <v>29</v>
      </c>
      <c r="P66" s="24"/>
      <c r="Q66" s="24"/>
      <c r="R66" s="19"/>
      <c r="S66" s="24"/>
      <c r="T66" s="24" t="s">
        <v>30</v>
      </c>
      <c r="U66" s="24" t="s">
        <v>31</v>
      </c>
      <c r="V66" s="23"/>
      <c r="W66" s="19"/>
      <c r="X66" s="25"/>
      <c r="Y66" s="26"/>
    </row>
    <row r="67" spans="1:25" s="27" customFormat="1" ht="33" hidden="1" customHeight="1" thickBot="1" x14ac:dyDescent="0.35">
      <c r="A67" s="17">
        <v>40</v>
      </c>
      <c r="B67" s="23">
        <v>4319</v>
      </c>
      <c r="C67" s="19">
        <v>50157</v>
      </c>
      <c r="D67" s="23" t="s">
        <v>268</v>
      </c>
      <c r="E67" s="20" t="s">
        <v>269</v>
      </c>
      <c r="F67" s="21" t="s">
        <v>270</v>
      </c>
      <c r="G67" s="22" t="s">
        <v>26</v>
      </c>
      <c r="H67" s="22"/>
      <c r="I67" s="23" t="s">
        <v>271</v>
      </c>
      <c r="J67" s="23" t="s">
        <v>272</v>
      </c>
      <c r="K67" s="23" t="s">
        <v>273</v>
      </c>
      <c r="L67" s="23" t="s">
        <v>51</v>
      </c>
      <c r="M67" s="23">
        <v>0</v>
      </c>
      <c r="N67" s="23">
        <v>1</v>
      </c>
      <c r="O67" s="23" t="s">
        <v>29</v>
      </c>
      <c r="P67" s="24" t="s">
        <v>30</v>
      </c>
      <c r="Q67" s="24" t="s">
        <v>30</v>
      </c>
      <c r="R67" s="19">
        <v>2</v>
      </c>
      <c r="S67" s="24" t="s">
        <v>30</v>
      </c>
      <c r="T67" s="24" t="s">
        <v>30</v>
      </c>
      <c r="U67" s="24" t="s">
        <v>31</v>
      </c>
      <c r="V67" s="23"/>
      <c r="W67" s="19"/>
      <c r="X67" s="25"/>
      <c r="Y67" s="26"/>
    </row>
    <row r="68" spans="1:25" s="27" customFormat="1" ht="33" hidden="1" customHeight="1" thickBot="1" x14ac:dyDescent="0.35">
      <c r="A68" s="17">
        <v>41</v>
      </c>
      <c r="B68" s="23">
        <v>4319</v>
      </c>
      <c r="C68" s="19" t="s">
        <v>283</v>
      </c>
      <c r="D68" s="23" t="s">
        <v>284</v>
      </c>
      <c r="E68" s="20" t="s">
        <v>285</v>
      </c>
      <c r="F68" s="21" t="s">
        <v>286</v>
      </c>
      <c r="G68" s="22" t="s">
        <v>26</v>
      </c>
      <c r="H68" s="22"/>
      <c r="I68" s="23" t="s">
        <v>281</v>
      </c>
      <c r="J68" s="23" t="s">
        <v>273</v>
      </c>
      <c r="K68" s="23" t="s">
        <v>282</v>
      </c>
      <c r="L68" s="23" t="s">
        <v>51</v>
      </c>
      <c r="M68" s="23">
        <v>0</v>
      </c>
      <c r="N68" s="23">
        <v>1</v>
      </c>
      <c r="O68" s="23" t="s">
        <v>29</v>
      </c>
      <c r="P68" s="24"/>
      <c r="Q68" s="24"/>
      <c r="R68" s="19"/>
      <c r="S68" s="24"/>
      <c r="T68" s="24" t="s">
        <v>30</v>
      </c>
      <c r="U68" s="24" t="s">
        <v>31</v>
      </c>
      <c r="V68" s="23"/>
      <c r="W68" s="19"/>
      <c r="X68" s="25"/>
      <c r="Y68" s="26"/>
    </row>
    <row r="69" spans="1:25" s="27" customFormat="1" ht="33" hidden="1" customHeight="1" thickBot="1" x14ac:dyDescent="0.35">
      <c r="A69" s="17">
        <v>41</v>
      </c>
      <c r="B69" s="23">
        <v>4319</v>
      </c>
      <c r="C69" s="19" t="s">
        <v>278</v>
      </c>
      <c r="D69" s="23" t="s">
        <v>279</v>
      </c>
      <c r="E69" s="20" t="s">
        <v>276</v>
      </c>
      <c r="F69" s="21" t="s">
        <v>280</v>
      </c>
      <c r="G69" s="22" t="s">
        <v>26</v>
      </c>
      <c r="H69" s="22"/>
      <c r="I69" s="23" t="s">
        <v>281</v>
      </c>
      <c r="J69" s="23" t="s">
        <v>273</v>
      </c>
      <c r="K69" s="23" t="s">
        <v>282</v>
      </c>
      <c r="L69" s="23" t="s">
        <v>51</v>
      </c>
      <c r="M69" s="23">
        <v>0</v>
      </c>
      <c r="N69" s="23">
        <v>1</v>
      </c>
      <c r="O69" s="23" t="s">
        <v>29</v>
      </c>
      <c r="P69" s="24" t="s">
        <v>30</v>
      </c>
      <c r="Q69" s="24" t="s">
        <v>30</v>
      </c>
      <c r="R69" s="19">
        <v>2</v>
      </c>
      <c r="S69" s="24" t="s">
        <v>30</v>
      </c>
      <c r="T69" s="24" t="s">
        <v>30</v>
      </c>
      <c r="U69" s="24" t="s">
        <v>31</v>
      </c>
      <c r="V69" s="23"/>
      <c r="W69" s="19"/>
      <c r="X69" s="25"/>
      <c r="Y69" s="26"/>
    </row>
    <row r="70" spans="1:25" s="27" customFormat="1" ht="33" hidden="1" customHeight="1" thickBot="1" x14ac:dyDescent="0.35">
      <c r="A70" s="17">
        <v>42</v>
      </c>
      <c r="B70" s="23">
        <v>4319</v>
      </c>
      <c r="C70" s="19">
        <v>50095</v>
      </c>
      <c r="D70" s="23" t="s">
        <v>287</v>
      </c>
      <c r="E70" s="20" t="s">
        <v>288</v>
      </c>
      <c r="F70" s="21" t="s">
        <v>289</v>
      </c>
      <c r="G70" s="22" t="s">
        <v>26</v>
      </c>
      <c r="H70" s="22"/>
      <c r="I70" s="23" t="s">
        <v>290</v>
      </c>
      <c r="J70" s="23" t="s">
        <v>291</v>
      </c>
      <c r="K70" s="23" t="s">
        <v>292</v>
      </c>
      <c r="L70" s="23" t="s">
        <v>51</v>
      </c>
      <c r="M70" s="23">
        <v>0</v>
      </c>
      <c r="N70" s="23">
        <v>1</v>
      </c>
      <c r="O70" s="23" t="s">
        <v>29</v>
      </c>
      <c r="P70" s="24">
        <v>44392</v>
      </c>
      <c r="Q70" s="24" t="s">
        <v>30</v>
      </c>
      <c r="R70" s="19">
        <v>2</v>
      </c>
      <c r="S70" s="24" t="s">
        <v>30</v>
      </c>
      <c r="T70" s="24" t="s">
        <v>30</v>
      </c>
      <c r="U70" s="24" t="s">
        <v>31</v>
      </c>
      <c r="V70" s="23" t="s">
        <v>293</v>
      </c>
      <c r="W70" s="19"/>
      <c r="X70" s="25"/>
      <c r="Y70" s="26"/>
    </row>
    <row r="71" spans="1:25" s="27" customFormat="1" ht="33" hidden="1" customHeight="1" thickBot="1" x14ac:dyDescent="0.35">
      <c r="A71" s="17">
        <v>42</v>
      </c>
      <c r="B71" s="23">
        <v>4319</v>
      </c>
      <c r="C71" s="19">
        <v>50082</v>
      </c>
      <c r="D71" s="23" t="s">
        <v>294</v>
      </c>
      <c r="E71" s="20" t="s">
        <v>295</v>
      </c>
      <c r="F71" s="21" t="s">
        <v>296</v>
      </c>
      <c r="G71" s="22" t="s">
        <v>26</v>
      </c>
      <c r="H71" s="22"/>
      <c r="I71" s="23" t="s">
        <v>290</v>
      </c>
      <c r="J71" s="23" t="s">
        <v>291</v>
      </c>
      <c r="K71" s="23" t="s">
        <v>292</v>
      </c>
      <c r="L71" s="23" t="s">
        <v>51</v>
      </c>
      <c r="M71" s="23">
        <v>0</v>
      </c>
      <c r="N71" s="23">
        <v>1</v>
      </c>
      <c r="O71" s="23" t="s">
        <v>29</v>
      </c>
      <c r="P71" s="24"/>
      <c r="Q71" s="24"/>
      <c r="R71" s="19"/>
      <c r="S71" s="24"/>
      <c r="T71" s="24" t="s">
        <v>30</v>
      </c>
      <c r="U71" s="24" t="s">
        <v>31</v>
      </c>
      <c r="V71" s="23" t="s">
        <v>293</v>
      </c>
      <c r="W71" s="19"/>
      <c r="X71" s="25"/>
      <c r="Y71" s="26"/>
    </row>
    <row r="72" spans="1:25" s="27" customFormat="1" ht="33" hidden="1" customHeight="1" thickBot="1" x14ac:dyDescent="0.35">
      <c r="A72" s="17">
        <v>43</v>
      </c>
      <c r="B72" s="23">
        <v>4319</v>
      </c>
      <c r="C72" s="19">
        <v>50096</v>
      </c>
      <c r="D72" s="23" t="s">
        <v>297</v>
      </c>
      <c r="E72" s="20" t="s">
        <v>298</v>
      </c>
      <c r="F72" s="21" t="s">
        <v>299</v>
      </c>
      <c r="G72" s="22" t="s">
        <v>26</v>
      </c>
      <c r="H72" s="22"/>
      <c r="I72" s="23" t="s">
        <v>300</v>
      </c>
      <c r="J72" s="23"/>
      <c r="K72" s="23" t="s">
        <v>301</v>
      </c>
      <c r="L72" s="23" t="s">
        <v>51</v>
      </c>
      <c r="M72" s="23">
        <v>0</v>
      </c>
      <c r="N72" s="23">
        <v>1</v>
      </c>
      <c r="O72" s="23" t="s">
        <v>29</v>
      </c>
      <c r="P72" s="24">
        <v>44392</v>
      </c>
      <c r="Q72" s="24" t="s">
        <v>30</v>
      </c>
      <c r="R72" s="19">
        <v>2</v>
      </c>
      <c r="S72" s="24" t="s">
        <v>30</v>
      </c>
      <c r="T72" s="24" t="s">
        <v>30</v>
      </c>
      <c r="U72" s="24" t="s">
        <v>31</v>
      </c>
      <c r="V72" s="23" t="s">
        <v>293</v>
      </c>
      <c r="W72" s="19"/>
      <c r="X72" s="25"/>
      <c r="Y72" s="26"/>
    </row>
    <row r="73" spans="1:25" s="27" customFormat="1" ht="33" hidden="1" customHeight="1" thickBot="1" x14ac:dyDescent="0.35">
      <c r="A73" s="17">
        <v>43</v>
      </c>
      <c r="B73" s="23">
        <v>4319</v>
      </c>
      <c r="C73" s="19">
        <v>50158</v>
      </c>
      <c r="D73" s="23" t="s">
        <v>302</v>
      </c>
      <c r="E73" s="20" t="s">
        <v>303</v>
      </c>
      <c r="F73" s="21" t="s">
        <v>304</v>
      </c>
      <c r="G73" s="22" t="s">
        <v>26</v>
      </c>
      <c r="H73" s="22"/>
      <c r="I73" s="23" t="s">
        <v>300</v>
      </c>
      <c r="J73" s="23"/>
      <c r="K73" s="23" t="s">
        <v>301</v>
      </c>
      <c r="L73" s="23" t="s">
        <v>51</v>
      </c>
      <c r="M73" s="23">
        <v>0</v>
      </c>
      <c r="N73" s="23">
        <v>1</v>
      </c>
      <c r="O73" s="23" t="s">
        <v>29</v>
      </c>
      <c r="P73" s="24"/>
      <c r="Q73" s="24"/>
      <c r="R73" s="19"/>
      <c r="S73" s="24"/>
      <c r="T73" s="24" t="s">
        <v>30</v>
      </c>
      <c r="U73" s="24" t="s">
        <v>31</v>
      </c>
      <c r="V73" s="23" t="s">
        <v>293</v>
      </c>
      <c r="W73" s="19"/>
      <c r="X73" s="25"/>
      <c r="Y73" s="26"/>
    </row>
    <row r="74" spans="1:25" s="27" customFormat="1" ht="33" hidden="1" customHeight="1" thickBot="1" x14ac:dyDescent="0.35">
      <c r="A74" s="17">
        <v>44</v>
      </c>
      <c r="B74" s="23">
        <v>4319</v>
      </c>
      <c r="C74" s="19"/>
      <c r="D74" s="23" t="s">
        <v>134</v>
      </c>
      <c r="E74" s="20" t="s">
        <v>135</v>
      </c>
      <c r="F74" s="21" t="s">
        <v>305</v>
      </c>
      <c r="G74" s="22" t="s">
        <v>26</v>
      </c>
      <c r="H74" s="22"/>
      <c r="I74" s="23" t="s">
        <v>306</v>
      </c>
      <c r="J74" s="23"/>
      <c r="K74" s="23" t="s">
        <v>307</v>
      </c>
      <c r="L74" s="23" t="s">
        <v>51</v>
      </c>
      <c r="M74" s="23">
        <v>0</v>
      </c>
      <c r="N74" s="23">
        <v>1</v>
      </c>
      <c r="O74" s="23" t="s">
        <v>29</v>
      </c>
      <c r="P74" s="24">
        <v>44392</v>
      </c>
      <c r="Q74" s="24" t="s">
        <v>30</v>
      </c>
      <c r="R74" s="19">
        <v>2</v>
      </c>
      <c r="S74" s="24" t="s">
        <v>30</v>
      </c>
      <c r="T74" s="24" t="s">
        <v>30</v>
      </c>
      <c r="U74" s="24" t="s">
        <v>31</v>
      </c>
      <c r="V74" s="23" t="s">
        <v>308</v>
      </c>
      <c r="W74" s="19"/>
      <c r="X74" s="25"/>
      <c r="Y74" s="26"/>
    </row>
    <row r="75" spans="1:25" s="27" customFormat="1" ht="33" hidden="1" customHeight="1" thickBot="1" x14ac:dyDescent="0.35">
      <c r="A75" s="17">
        <v>44</v>
      </c>
      <c r="B75" s="23">
        <v>4319</v>
      </c>
      <c r="C75" s="19"/>
      <c r="D75" s="23" t="s">
        <v>309</v>
      </c>
      <c r="E75" s="20" t="s">
        <v>552</v>
      </c>
      <c r="F75" s="21" t="s">
        <v>310</v>
      </c>
      <c r="G75" s="22"/>
      <c r="H75" s="22"/>
      <c r="I75" s="23" t="s">
        <v>306</v>
      </c>
      <c r="J75" s="23"/>
      <c r="K75" s="23" t="s">
        <v>307</v>
      </c>
      <c r="L75" s="23" t="s">
        <v>51</v>
      </c>
      <c r="M75" s="23">
        <v>0</v>
      </c>
      <c r="N75" s="23">
        <v>1</v>
      </c>
      <c r="O75" s="23" t="s">
        <v>29</v>
      </c>
      <c r="P75" s="24"/>
      <c r="Q75" s="24"/>
      <c r="R75" s="19"/>
      <c r="S75" s="24"/>
      <c r="T75" s="24" t="s">
        <v>30</v>
      </c>
      <c r="U75" s="24" t="s">
        <v>31</v>
      </c>
      <c r="V75" s="23" t="s">
        <v>308</v>
      </c>
      <c r="W75" s="19"/>
      <c r="X75" s="25"/>
      <c r="Y75" s="26"/>
    </row>
    <row r="76" spans="1:25" s="27" customFormat="1" ht="33" hidden="1" customHeight="1" thickBot="1" x14ac:dyDescent="0.35">
      <c r="A76" s="17">
        <v>45</v>
      </c>
      <c r="B76" s="23">
        <v>4319</v>
      </c>
      <c r="C76" s="19"/>
      <c r="D76" s="23" t="s">
        <v>311</v>
      </c>
      <c r="E76" s="20"/>
      <c r="F76" s="21" t="s">
        <v>312</v>
      </c>
      <c r="G76" s="22"/>
      <c r="H76" s="22"/>
      <c r="I76" s="23" t="s">
        <v>313</v>
      </c>
      <c r="J76" s="23" t="s">
        <v>314</v>
      </c>
      <c r="K76" s="23" t="s">
        <v>290</v>
      </c>
      <c r="L76" s="23" t="s">
        <v>51</v>
      </c>
      <c r="M76" s="23">
        <v>0</v>
      </c>
      <c r="N76" s="23">
        <v>1</v>
      </c>
      <c r="O76" s="23" t="s">
        <v>29</v>
      </c>
      <c r="P76" s="24">
        <v>44392</v>
      </c>
      <c r="Q76" s="24">
        <v>44434</v>
      </c>
      <c r="R76" s="19">
        <v>2</v>
      </c>
      <c r="S76" s="24" t="s">
        <v>30</v>
      </c>
      <c r="T76" s="24" t="s">
        <v>30</v>
      </c>
      <c r="U76" s="24" t="s">
        <v>31</v>
      </c>
      <c r="V76" s="23" t="s">
        <v>308</v>
      </c>
      <c r="W76" s="19"/>
      <c r="X76" s="25"/>
      <c r="Y76" s="26"/>
    </row>
    <row r="77" spans="1:25" s="27" customFormat="1" ht="33" hidden="1" customHeight="1" thickBot="1" x14ac:dyDescent="0.35">
      <c r="A77" s="17">
        <v>45</v>
      </c>
      <c r="B77" s="23">
        <v>4319</v>
      </c>
      <c r="C77" s="19"/>
      <c r="D77" s="23" t="s">
        <v>315</v>
      </c>
      <c r="E77" s="20"/>
      <c r="F77" s="21" t="s">
        <v>316</v>
      </c>
      <c r="G77" s="22"/>
      <c r="H77" s="22"/>
      <c r="I77" s="23" t="s">
        <v>313</v>
      </c>
      <c r="J77" s="23" t="s">
        <v>314</v>
      </c>
      <c r="K77" s="23" t="s">
        <v>290</v>
      </c>
      <c r="L77" s="23" t="s">
        <v>51</v>
      </c>
      <c r="M77" s="23">
        <v>0</v>
      </c>
      <c r="N77" s="23">
        <v>1</v>
      </c>
      <c r="O77" s="23" t="s">
        <v>29</v>
      </c>
      <c r="P77" s="24"/>
      <c r="Q77" s="24"/>
      <c r="R77" s="19"/>
      <c r="S77" s="24"/>
      <c r="T77" s="24" t="s">
        <v>30</v>
      </c>
      <c r="U77" s="24" t="s">
        <v>31</v>
      </c>
      <c r="V77" s="23" t="s">
        <v>308</v>
      </c>
      <c r="W77" s="19"/>
      <c r="X77" s="25"/>
      <c r="Y77" s="26"/>
    </row>
    <row r="78" spans="1:25" s="27" customFormat="1" ht="33" hidden="1" customHeight="1" thickBot="1" x14ac:dyDescent="0.35">
      <c r="A78" s="17">
        <v>46</v>
      </c>
      <c r="B78" s="23">
        <v>4319</v>
      </c>
      <c r="C78" s="19"/>
      <c r="D78" s="23" t="s">
        <v>317</v>
      </c>
      <c r="E78" s="20"/>
      <c r="F78" s="21" t="s">
        <v>318</v>
      </c>
      <c r="G78" s="22"/>
      <c r="H78" s="22"/>
      <c r="I78" s="23" t="s">
        <v>319</v>
      </c>
      <c r="J78" s="23" t="s">
        <v>320</v>
      </c>
      <c r="K78" s="23" t="s">
        <v>321</v>
      </c>
      <c r="L78" s="23" t="s">
        <v>51</v>
      </c>
      <c r="M78" s="23">
        <v>0</v>
      </c>
      <c r="N78" s="23">
        <v>1</v>
      </c>
      <c r="O78" s="23" t="s">
        <v>29</v>
      </c>
      <c r="P78" s="24">
        <v>44392</v>
      </c>
      <c r="Q78" s="24" t="s">
        <v>30</v>
      </c>
      <c r="R78" s="19">
        <v>2</v>
      </c>
      <c r="S78" s="24" t="s">
        <v>30</v>
      </c>
      <c r="T78" s="24" t="s">
        <v>30</v>
      </c>
      <c r="U78" s="24" t="s">
        <v>31</v>
      </c>
      <c r="V78" s="23" t="s">
        <v>308</v>
      </c>
      <c r="W78" s="19"/>
      <c r="X78" s="25"/>
      <c r="Y78" s="26"/>
    </row>
    <row r="79" spans="1:25" s="27" customFormat="1" ht="33" hidden="1" customHeight="1" thickBot="1" x14ac:dyDescent="0.35">
      <c r="A79" s="17">
        <v>46</v>
      </c>
      <c r="B79" s="23">
        <v>4319</v>
      </c>
      <c r="C79" s="19"/>
      <c r="D79" s="23" t="s">
        <v>322</v>
      </c>
      <c r="E79" s="20"/>
      <c r="F79" s="21" t="s">
        <v>323</v>
      </c>
      <c r="G79" s="22"/>
      <c r="H79" s="22"/>
      <c r="I79" s="23" t="s">
        <v>319</v>
      </c>
      <c r="J79" s="23" t="s">
        <v>320</v>
      </c>
      <c r="K79" s="23" t="s">
        <v>321</v>
      </c>
      <c r="L79" s="23" t="s">
        <v>51</v>
      </c>
      <c r="M79" s="23">
        <v>0</v>
      </c>
      <c r="N79" s="23">
        <v>1</v>
      </c>
      <c r="O79" s="23" t="s">
        <v>29</v>
      </c>
      <c r="P79" s="24"/>
      <c r="Q79" s="24"/>
      <c r="R79" s="19"/>
      <c r="S79" s="24"/>
      <c r="T79" s="24" t="s">
        <v>30</v>
      </c>
      <c r="U79" s="24" t="s">
        <v>31</v>
      </c>
      <c r="V79" s="23" t="s">
        <v>308</v>
      </c>
      <c r="W79" s="19"/>
      <c r="X79" s="25"/>
      <c r="Y79" s="26"/>
    </row>
    <row r="80" spans="1:25" s="27" customFormat="1" ht="33" hidden="1" customHeight="1" thickBot="1" x14ac:dyDescent="0.35">
      <c r="A80" s="17">
        <v>47</v>
      </c>
      <c r="B80" s="23">
        <v>4319</v>
      </c>
      <c r="C80" s="19">
        <v>49803</v>
      </c>
      <c r="D80" s="23" t="s">
        <v>327</v>
      </c>
      <c r="E80" s="20" t="s">
        <v>328</v>
      </c>
      <c r="F80" s="21" t="s">
        <v>329</v>
      </c>
      <c r="G80" s="22" t="s">
        <v>26</v>
      </c>
      <c r="H80" s="22" t="s">
        <v>330</v>
      </c>
      <c r="I80" s="23" t="s">
        <v>331</v>
      </c>
      <c r="J80" s="23"/>
      <c r="K80" s="23" t="s">
        <v>332</v>
      </c>
      <c r="L80" s="23" t="s">
        <v>28</v>
      </c>
      <c r="M80" s="23">
        <v>1</v>
      </c>
      <c r="N80" s="23">
        <v>0</v>
      </c>
      <c r="O80" s="23" t="s">
        <v>29</v>
      </c>
      <c r="P80" s="24">
        <v>44392</v>
      </c>
      <c r="Q80" s="24" t="s">
        <v>30</v>
      </c>
      <c r="R80" s="19">
        <v>1</v>
      </c>
      <c r="S80" s="24" t="s">
        <v>30</v>
      </c>
      <c r="T80" s="24" t="s">
        <v>30</v>
      </c>
      <c r="U80" s="24" t="s">
        <v>31</v>
      </c>
      <c r="V80" s="23" t="s">
        <v>293</v>
      </c>
      <c r="W80" s="19"/>
      <c r="X80" s="25"/>
      <c r="Y80" s="26"/>
    </row>
    <row r="81" spans="1:25" s="27" customFormat="1" ht="33" hidden="1" customHeight="1" thickBot="1" x14ac:dyDescent="0.35">
      <c r="A81" s="17">
        <v>48</v>
      </c>
      <c r="B81" s="23">
        <v>4319</v>
      </c>
      <c r="C81" s="19">
        <v>50134</v>
      </c>
      <c r="D81" s="23" t="s">
        <v>333</v>
      </c>
      <c r="E81" s="20" t="s">
        <v>334</v>
      </c>
      <c r="F81" s="21" t="s">
        <v>335</v>
      </c>
      <c r="G81" s="22" t="s">
        <v>26</v>
      </c>
      <c r="H81" s="22" t="s">
        <v>336</v>
      </c>
      <c r="I81" s="23" t="s">
        <v>337</v>
      </c>
      <c r="J81" s="23" t="s">
        <v>338</v>
      </c>
      <c r="K81" s="23" t="s">
        <v>339</v>
      </c>
      <c r="L81" s="23" t="s">
        <v>51</v>
      </c>
      <c r="M81" s="23">
        <v>0</v>
      </c>
      <c r="N81" s="23">
        <v>1</v>
      </c>
      <c r="O81" s="23" t="s">
        <v>29</v>
      </c>
      <c r="P81" s="24">
        <v>44392</v>
      </c>
      <c r="Q81" s="24" t="s">
        <v>30</v>
      </c>
      <c r="R81" s="19">
        <v>2</v>
      </c>
      <c r="S81" s="24" t="s">
        <v>30</v>
      </c>
      <c r="T81" s="24" t="s">
        <v>30</v>
      </c>
      <c r="U81" s="24" t="s">
        <v>31</v>
      </c>
      <c r="V81" s="23" t="s">
        <v>293</v>
      </c>
      <c r="W81" s="19"/>
      <c r="X81" s="25"/>
      <c r="Y81" s="26"/>
    </row>
    <row r="82" spans="1:25" s="27" customFormat="1" ht="33" hidden="1" customHeight="1" thickBot="1" x14ac:dyDescent="0.35">
      <c r="A82" s="17">
        <v>48</v>
      </c>
      <c r="B82" s="23">
        <v>4319</v>
      </c>
      <c r="C82" s="19">
        <v>50089</v>
      </c>
      <c r="D82" s="23" t="s">
        <v>340</v>
      </c>
      <c r="E82" s="20" t="s">
        <v>341</v>
      </c>
      <c r="F82" s="21" t="s">
        <v>342</v>
      </c>
      <c r="G82" s="22" t="s">
        <v>26</v>
      </c>
      <c r="H82" s="22" t="s">
        <v>343</v>
      </c>
      <c r="I82" s="23" t="s">
        <v>337</v>
      </c>
      <c r="J82" s="23" t="s">
        <v>338</v>
      </c>
      <c r="K82" s="23" t="s">
        <v>339</v>
      </c>
      <c r="L82" s="23" t="s">
        <v>51</v>
      </c>
      <c r="M82" s="23">
        <v>0</v>
      </c>
      <c r="N82" s="23">
        <v>1</v>
      </c>
      <c r="O82" s="23" t="s">
        <v>29</v>
      </c>
      <c r="P82" s="24"/>
      <c r="Q82" s="24"/>
      <c r="R82" s="19"/>
      <c r="S82" s="24"/>
      <c r="T82" s="24" t="s">
        <v>30</v>
      </c>
      <c r="U82" s="24" t="s">
        <v>31</v>
      </c>
      <c r="V82" s="23" t="s">
        <v>293</v>
      </c>
      <c r="W82" s="19"/>
      <c r="X82" s="25"/>
      <c r="Y82" s="26"/>
    </row>
    <row r="83" spans="1:25" s="27" customFormat="1" ht="33" hidden="1" customHeight="1" thickBot="1" x14ac:dyDescent="0.35">
      <c r="A83" s="17">
        <v>49</v>
      </c>
      <c r="B83" s="23">
        <v>4319</v>
      </c>
      <c r="C83" s="19">
        <v>50050</v>
      </c>
      <c r="D83" s="23" t="s">
        <v>344</v>
      </c>
      <c r="E83" s="20" t="s">
        <v>345</v>
      </c>
      <c r="F83" s="21" t="s">
        <v>346</v>
      </c>
      <c r="G83" s="22" t="s">
        <v>26</v>
      </c>
      <c r="H83" s="22" t="s">
        <v>347</v>
      </c>
      <c r="I83" s="23" t="s">
        <v>337</v>
      </c>
      <c r="J83" s="23"/>
      <c r="K83" s="23" t="s">
        <v>348</v>
      </c>
      <c r="L83" s="23" t="s">
        <v>51</v>
      </c>
      <c r="M83" s="23">
        <v>0</v>
      </c>
      <c r="N83" s="23">
        <v>1</v>
      </c>
      <c r="O83" s="23" t="s">
        <v>29</v>
      </c>
      <c r="P83" s="24">
        <v>44392</v>
      </c>
      <c r="Q83" s="24" t="s">
        <v>30</v>
      </c>
      <c r="R83" s="19">
        <v>2</v>
      </c>
      <c r="S83" s="24" t="s">
        <v>30</v>
      </c>
      <c r="T83" s="24" t="s">
        <v>30</v>
      </c>
      <c r="U83" s="24" t="s">
        <v>31</v>
      </c>
      <c r="V83" s="23" t="s">
        <v>293</v>
      </c>
      <c r="W83" s="19"/>
      <c r="X83" s="25"/>
      <c r="Y83" s="26"/>
    </row>
    <row r="84" spans="1:25" s="27" customFormat="1" ht="33" hidden="1" customHeight="1" thickBot="1" x14ac:dyDescent="0.35">
      <c r="A84" s="17">
        <v>49</v>
      </c>
      <c r="B84" s="23">
        <v>4319</v>
      </c>
      <c r="C84" s="19">
        <v>50156</v>
      </c>
      <c r="D84" s="23" t="s">
        <v>349</v>
      </c>
      <c r="E84" s="20" t="s">
        <v>350</v>
      </c>
      <c r="F84" s="21" t="s">
        <v>351</v>
      </c>
      <c r="G84" s="22" t="s">
        <v>26</v>
      </c>
      <c r="H84" s="22" t="s">
        <v>352</v>
      </c>
      <c r="I84" s="23" t="s">
        <v>337</v>
      </c>
      <c r="J84" s="23"/>
      <c r="K84" s="23" t="s">
        <v>348</v>
      </c>
      <c r="L84" s="23" t="s">
        <v>51</v>
      </c>
      <c r="M84" s="23">
        <v>0</v>
      </c>
      <c r="N84" s="23">
        <v>1</v>
      </c>
      <c r="O84" s="23" t="s">
        <v>29</v>
      </c>
      <c r="P84" s="24"/>
      <c r="Q84" s="24"/>
      <c r="R84" s="19"/>
      <c r="S84" s="24"/>
      <c r="T84" s="24" t="s">
        <v>30</v>
      </c>
      <c r="U84" s="24" t="s">
        <v>31</v>
      </c>
      <c r="V84" s="23" t="s">
        <v>293</v>
      </c>
      <c r="W84" s="19"/>
      <c r="X84" s="25"/>
      <c r="Y84" s="26"/>
    </row>
    <row r="85" spans="1:25" s="27" customFormat="1" ht="33" hidden="1" customHeight="1" thickBot="1" x14ac:dyDescent="0.35">
      <c r="A85" s="17">
        <v>50</v>
      </c>
      <c r="B85" s="23">
        <v>4319</v>
      </c>
      <c r="C85" s="19"/>
      <c r="D85" s="23" t="s">
        <v>495</v>
      </c>
      <c r="E85" s="20"/>
      <c r="F85" s="21" t="s">
        <v>353</v>
      </c>
      <c r="G85" s="22" t="s">
        <v>26</v>
      </c>
      <c r="H85" s="22"/>
      <c r="I85" s="23" t="s">
        <v>354</v>
      </c>
      <c r="J85" s="23"/>
      <c r="K85" s="23" t="s">
        <v>355</v>
      </c>
      <c r="L85" s="23" t="s">
        <v>28</v>
      </c>
      <c r="M85" s="23">
        <v>1</v>
      </c>
      <c r="N85" s="23">
        <v>0</v>
      </c>
      <c r="O85" s="23" t="s">
        <v>176</v>
      </c>
      <c r="P85" s="24">
        <v>44392</v>
      </c>
      <c r="Q85" s="24">
        <v>44435</v>
      </c>
      <c r="R85" s="19">
        <v>1</v>
      </c>
      <c r="S85" s="24" t="s">
        <v>30</v>
      </c>
      <c r="T85" s="24" t="s">
        <v>30</v>
      </c>
      <c r="U85" s="24" t="s">
        <v>31</v>
      </c>
      <c r="V85" s="23" t="s">
        <v>162</v>
      </c>
      <c r="W85" s="19"/>
      <c r="X85" s="25" t="s">
        <v>178</v>
      </c>
      <c r="Y85" s="26"/>
    </row>
    <row r="86" spans="1:25" s="27" customFormat="1" ht="33" hidden="1" customHeight="1" thickBot="1" x14ac:dyDescent="0.35">
      <c r="A86" s="17">
        <v>51</v>
      </c>
      <c r="B86" s="23">
        <v>4319</v>
      </c>
      <c r="C86" s="19">
        <v>49794</v>
      </c>
      <c r="D86" s="23" t="s">
        <v>356</v>
      </c>
      <c r="E86" s="20">
        <v>708101003</v>
      </c>
      <c r="F86" s="21" t="s">
        <v>357</v>
      </c>
      <c r="G86" s="22" t="s">
        <v>26</v>
      </c>
      <c r="H86" s="22"/>
      <c r="I86" s="23" t="s">
        <v>39</v>
      </c>
      <c r="J86" s="23"/>
      <c r="K86" s="23" t="s">
        <v>358</v>
      </c>
      <c r="L86" s="23" t="s">
        <v>28</v>
      </c>
      <c r="M86" s="23">
        <v>1</v>
      </c>
      <c r="N86" s="23">
        <v>0</v>
      </c>
      <c r="O86" s="23" t="s">
        <v>29</v>
      </c>
      <c r="P86" s="24">
        <v>44392</v>
      </c>
      <c r="Q86" s="24" t="s">
        <v>30</v>
      </c>
      <c r="R86" s="19">
        <v>1</v>
      </c>
      <c r="S86" s="24" t="s">
        <v>30</v>
      </c>
      <c r="T86" s="24" t="s">
        <v>30</v>
      </c>
      <c r="U86" s="24" t="s">
        <v>31</v>
      </c>
      <c r="V86" s="23" t="s">
        <v>359</v>
      </c>
      <c r="W86" s="19"/>
      <c r="X86" s="25"/>
      <c r="Y86" s="26"/>
    </row>
    <row r="87" spans="1:25" s="27" customFormat="1" ht="33" hidden="1" customHeight="1" thickBot="1" x14ac:dyDescent="0.35">
      <c r="A87" s="17">
        <v>52</v>
      </c>
      <c r="B87" s="23">
        <v>4319</v>
      </c>
      <c r="C87" s="19"/>
      <c r="D87" s="23"/>
      <c r="E87" s="20"/>
      <c r="F87" s="21" t="s">
        <v>366</v>
      </c>
      <c r="G87" s="22" t="s">
        <v>26</v>
      </c>
      <c r="H87" s="22"/>
      <c r="I87" s="23" t="s">
        <v>367</v>
      </c>
      <c r="J87" s="23"/>
      <c r="K87" s="23" t="s">
        <v>368</v>
      </c>
      <c r="L87" s="23" t="s">
        <v>28</v>
      </c>
      <c r="M87" s="23">
        <v>1</v>
      </c>
      <c r="N87" s="23">
        <v>0</v>
      </c>
      <c r="O87" s="23" t="s">
        <v>176</v>
      </c>
      <c r="P87" s="24">
        <v>44392</v>
      </c>
      <c r="Q87" s="24">
        <v>44435</v>
      </c>
      <c r="R87" s="19">
        <v>1</v>
      </c>
      <c r="S87" s="24" t="s">
        <v>30</v>
      </c>
      <c r="T87" s="24" t="s">
        <v>30</v>
      </c>
      <c r="U87" s="24" t="s">
        <v>31</v>
      </c>
      <c r="V87" s="23" t="s">
        <v>162</v>
      </c>
      <c r="W87" s="19"/>
      <c r="X87" s="25"/>
      <c r="Y87" s="26"/>
    </row>
    <row r="88" spans="1:25" s="27" customFormat="1" ht="33" hidden="1" customHeight="1" thickBot="1" x14ac:dyDescent="0.35">
      <c r="A88" s="17">
        <v>53</v>
      </c>
      <c r="B88" s="23">
        <v>4319</v>
      </c>
      <c r="C88" s="19">
        <v>50073</v>
      </c>
      <c r="D88" s="23" t="s">
        <v>369</v>
      </c>
      <c r="E88" s="20" t="s">
        <v>370</v>
      </c>
      <c r="F88" s="21" t="s">
        <v>371</v>
      </c>
      <c r="G88" s="22"/>
      <c r="H88" s="22"/>
      <c r="I88" s="23" t="s">
        <v>271</v>
      </c>
      <c r="J88" s="23" t="s">
        <v>372</v>
      </c>
      <c r="K88" s="23" t="s">
        <v>373</v>
      </c>
      <c r="L88" s="23" t="s">
        <v>51</v>
      </c>
      <c r="M88" s="23">
        <v>0</v>
      </c>
      <c r="N88" s="23">
        <v>1</v>
      </c>
      <c r="O88" s="23" t="s">
        <v>29</v>
      </c>
      <c r="P88" s="24">
        <v>44392</v>
      </c>
      <c r="Q88" s="24" t="s">
        <v>30</v>
      </c>
      <c r="R88" s="19">
        <v>2</v>
      </c>
      <c r="S88" s="24" t="s">
        <v>30</v>
      </c>
      <c r="T88" s="24" t="s">
        <v>30</v>
      </c>
      <c r="U88" s="24" t="s">
        <v>31</v>
      </c>
      <c r="V88" s="23"/>
      <c r="W88" s="19"/>
      <c r="X88" s="25"/>
      <c r="Y88" s="26"/>
    </row>
    <row r="89" spans="1:25" s="27" customFormat="1" ht="33" hidden="1" customHeight="1" thickBot="1" x14ac:dyDescent="0.35">
      <c r="A89" s="17">
        <v>53</v>
      </c>
      <c r="B89" s="23">
        <v>4319</v>
      </c>
      <c r="C89" s="19">
        <v>50128</v>
      </c>
      <c r="D89" s="23" t="s">
        <v>374</v>
      </c>
      <c r="E89" s="20" t="s">
        <v>375</v>
      </c>
      <c r="F89" s="21" t="s">
        <v>376</v>
      </c>
      <c r="G89" s="22" t="s">
        <v>26</v>
      </c>
      <c r="H89" s="22"/>
      <c r="I89" s="23" t="s">
        <v>271</v>
      </c>
      <c r="J89" s="23" t="s">
        <v>372</v>
      </c>
      <c r="K89" s="23" t="s">
        <v>373</v>
      </c>
      <c r="L89" s="23" t="s">
        <v>51</v>
      </c>
      <c r="M89" s="23">
        <v>0</v>
      </c>
      <c r="N89" s="23">
        <v>1</v>
      </c>
      <c r="O89" s="23" t="s">
        <v>29</v>
      </c>
      <c r="P89" s="24"/>
      <c r="Q89" s="24"/>
      <c r="R89" s="19"/>
      <c r="S89" s="24"/>
      <c r="T89" s="24" t="s">
        <v>30</v>
      </c>
      <c r="U89" s="24" t="s">
        <v>31</v>
      </c>
      <c r="V89" s="23"/>
      <c r="W89" s="19"/>
      <c r="X89" s="25"/>
      <c r="Y89" s="26"/>
    </row>
    <row r="90" spans="1:25" s="27" customFormat="1" ht="33" hidden="1" customHeight="1" thickBot="1" x14ac:dyDescent="0.35">
      <c r="A90" s="17">
        <v>54</v>
      </c>
      <c r="B90" s="23">
        <v>4319</v>
      </c>
      <c r="C90" s="19">
        <v>50104</v>
      </c>
      <c r="D90" s="23" t="s">
        <v>377</v>
      </c>
      <c r="E90" s="20" t="s">
        <v>378</v>
      </c>
      <c r="F90" s="21" t="s">
        <v>379</v>
      </c>
      <c r="G90" s="22" t="s">
        <v>26</v>
      </c>
      <c r="H90" s="22"/>
      <c r="I90" s="23" t="s">
        <v>380</v>
      </c>
      <c r="J90" s="23" t="s">
        <v>381</v>
      </c>
      <c r="K90" s="23" t="s">
        <v>382</v>
      </c>
      <c r="L90" s="23" t="s">
        <v>51</v>
      </c>
      <c r="M90" s="23">
        <v>0</v>
      </c>
      <c r="N90" s="23">
        <v>1</v>
      </c>
      <c r="O90" s="23" t="s">
        <v>29</v>
      </c>
      <c r="P90" s="24">
        <v>44392</v>
      </c>
      <c r="Q90" s="24" t="s">
        <v>30</v>
      </c>
      <c r="R90" s="19">
        <v>2</v>
      </c>
      <c r="S90" s="24" t="s">
        <v>30</v>
      </c>
      <c r="T90" s="24" t="s">
        <v>30</v>
      </c>
      <c r="U90" s="24" t="s">
        <v>31</v>
      </c>
      <c r="V90" s="23" t="s">
        <v>359</v>
      </c>
      <c r="W90" s="19"/>
      <c r="X90" s="25"/>
      <c r="Y90" s="26"/>
    </row>
    <row r="91" spans="1:25" s="27" customFormat="1" ht="33" hidden="1" customHeight="1" thickBot="1" x14ac:dyDescent="0.35">
      <c r="A91" s="17">
        <v>54</v>
      </c>
      <c r="B91" s="23">
        <v>4319</v>
      </c>
      <c r="C91" s="19">
        <v>50130</v>
      </c>
      <c r="D91" s="23" t="s">
        <v>383</v>
      </c>
      <c r="E91" s="20" t="s">
        <v>384</v>
      </c>
      <c r="F91" s="21" t="s">
        <v>385</v>
      </c>
      <c r="G91" s="22" t="s">
        <v>26</v>
      </c>
      <c r="H91" s="22"/>
      <c r="I91" s="23" t="s">
        <v>380</v>
      </c>
      <c r="J91" s="23" t="s">
        <v>381</v>
      </c>
      <c r="K91" s="23" t="s">
        <v>382</v>
      </c>
      <c r="L91" s="23" t="s">
        <v>51</v>
      </c>
      <c r="M91" s="23">
        <v>0</v>
      </c>
      <c r="N91" s="23">
        <v>1</v>
      </c>
      <c r="O91" s="23" t="s">
        <v>29</v>
      </c>
      <c r="P91" s="24"/>
      <c r="Q91" s="24"/>
      <c r="R91" s="19"/>
      <c r="S91" s="24"/>
      <c r="T91" s="24" t="s">
        <v>30</v>
      </c>
      <c r="U91" s="24" t="s">
        <v>31</v>
      </c>
      <c r="V91" s="23"/>
      <c r="W91" s="19"/>
      <c r="X91" s="25"/>
      <c r="Y91" s="26"/>
    </row>
    <row r="92" spans="1:25" s="27" customFormat="1" ht="33" hidden="1" customHeight="1" thickBot="1" x14ac:dyDescent="0.35">
      <c r="A92" s="17">
        <v>55</v>
      </c>
      <c r="B92" s="23">
        <v>4319</v>
      </c>
      <c r="C92" s="19">
        <v>50141</v>
      </c>
      <c r="D92" s="23" t="s">
        <v>386</v>
      </c>
      <c r="E92" s="20" t="s">
        <v>387</v>
      </c>
      <c r="F92" s="21" t="s">
        <v>388</v>
      </c>
      <c r="G92" s="22"/>
      <c r="H92" s="22"/>
      <c r="I92" s="23" t="s">
        <v>389</v>
      </c>
      <c r="J92" s="23"/>
      <c r="K92" s="23" t="s">
        <v>390</v>
      </c>
      <c r="L92" s="23" t="s">
        <v>51</v>
      </c>
      <c r="M92" s="23">
        <v>0</v>
      </c>
      <c r="N92" s="23">
        <v>1</v>
      </c>
      <c r="O92" s="23" t="s">
        <v>29</v>
      </c>
      <c r="P92" s="24">
        <v>44392</v>
      </c>
      <c r="Q92" s="24" t="s">
        <v>30</v>
      </c>
      <c r="R92" s="19">
        <v>2</v>
      </c>
      <c r="S92" s="24" t="s">
        <v>30</v>
      </c>
      <c r="T92" s="24" t="s">
        <v>30</v>
      </c>
      <c r="U92" s="24" t="s">
        <v>31</v>
      </c>
      <c r="V92" s="23" t="s">
        <v>359</v>
      </c>
      <c r="W92" s="19"/>
      <c r="X92" s="25"/>
      <c r="Y92" s="26"/>
    </row>
    <row r="93" spans="1:25" s="27" customFormat="1" ht="33" hidden="1" customHeight="1" thickBot="1" x14ac:dyDescent="0.35">
      <c r="A93" s="17">
        <v>55</v>
      </c>
      <c r="B93" s="23">
        <v>4319</v>
      </c>
      <c r="C93" s="19">
        <v>50099</v>
      </c>
      <c r="D93" s="23" t="s">
        <v>391</v>
      </c>
      <c r="E93" s="20" t="s">
        <v>392</v>
      </c>
      <c r="F93" s="21" t="s">
        <v>393</v>
      </c>
      <c r="G93" s="22"/>
      <c r="H93" s="22"/>
      <c r="I93" s="23" t="s">
        <v>389</v>
      </c>
      <c r="J93" s="23"/>
      <c r="K93" s="23" t="s">
        <v>390</v>
      </c>
      <c r="L93" s="23" t="s">
        <v>51</v>
      </c>
      <c r="M93" s="23">
        <v>0</v>
      </c>
      <c r="N93" s="23">
        <v>1</v>
      </c>
      <c r="O93" s="23" t="s">
        <v>29</v>
      </c>
      <c r="P93" s="24"/>
      <c r="Q93" s="24"/>
      <c r="R93" s="19"/>
      <c r="S93" s="24"/>
      <c r="T93" s="24" t="s">
        <v>30</v>
      </c>
      <c r="U93" s="24" t="s">
        <v>31</v>
      </c>
      <c r="V93" s="23"/>
      <c r="W93" s="19"/>
      <c r="X93" s="25"/>
      <c r="Y93" s="26"/>
    </row>
    <row r="94" spans="1:25" s="27" customFormat="1" ht="33" customHeight="1" thickBot="1" x14ac:dyDescent="0.35">
      <c r="A94" s="17">
        <v>56</v>
      </c>
      <c r="B94" s="23">
        <v>4145</v>
      </c>
      <c r="C94" s="19">
        <v>50155</v>
      </c>
      <c r="D94" s="23" t="s">
        <v>406</v>
      </c>
      <c r="E94" s="20" t="s">
        <v>407</v>
      </c>
      <c r="F94" s="21" t="s">
        <v>560</v>
      </c>
      <c r="G94" s="22" t="s">
        <v>26</v>
      </c>
      <c r="H94" s="22"/>
      <c r="I94" s="23" t="s">
        <v>396</v>
      </c>
      <c r="J94" s="23"/>
      <c r="K94" s="23">
        <v>523</v>
      </c>
      <c r="L94" s="23" t="s">
        <v>51</v>
      </c>
      <c r="M94" s="23">
        <v>0</v>
      </c>
      <c r="N94" s="23">
        <v>1</v>
      </c>
      <c r="O94" s="23" t="s">
        <v>29</v>
      </c>
      <c r="P94" s="24">
        <v>44392</v>
      </c>
      <c r="Q94" s="24">
        <v>44443</v>
      </c>
      <c r="R94" s="19">
        <v>2</v>
      </c>
      <c r="S94" s="24" t="s">
        <v>30</v>
      </c>
      <c r="T94" s="24" t="s">
        <v>30</v>
      </c>
      <c r="U94" s="24" t="s">
        <v>208</v>
      </c>
      <c r="V94" s="23" t="s">
        <v>397</v>
      </c>
      <c r="W94" s="19"/>
      <c r="X94" s="25"/>
      <c r="Y94" s="26"/>
    </row>
    <row r="95" spans="1:25" s="27" customFormat="1" ht="33" customHeight="1" thickBot="1" x14ac:dyDescent="0.35">
      <c r="A95" s="17">
        <v>56</v>
      </c>
      <c r="B95" s="23">
        <v>4145</v>
      </c>
      <c r="C95" s="19">
        <v>50153</v>
      </c>
      <c r="D95" s="23" t="s">
        <v>400</v>
      </c>
      <c r="E95" s="20" t="s">
        <v>401</v>
      </c>
      <c r="F95" s="21" t="s">
        <v>561</v>
      </c>
      <c r="G95" s="22" t="s">
        <v>26</v>
      </c>
      <c r="H95" s="22"/>
      <c r="I95" s="23" t="s">
        <v>396</v>
      </c>
      <c r="J95" s="23"/>
      <c r="K95" s="23">
        <v>523</v>
      </c>
      <c r="L95" s="23" t="s">
        <v>51</v>
      </c>
      <c r="M95" s="23">
        <v>0</v>
      </c>
      <c r="N95" s="23">
        <v>1</v>
      </c>
      <c r="O95" s="23" t="s">
        <v>29</v>
      </c>
      <c r="P95" s="24"/>
      <c r="Q95" s="24"/>
      <c r="R95" s="19"/>
      <c r="S95" s="24"/>
      <c r="T95" s="24" t="s">
        <v>30</v>
      </c>
      <c r="U95" s="24" t="s">
        <v>208</v>
      </c>
      <c r="V95" s="23"/>
      <c r="W95" s="19"/>
      <c r="X95" s="25"/>
      <c r="Y95" s="26"/>
    </row>
    <row r="96" spans="1:25" s="27" customFormat="1" ht="33" customHeight="1" thickBot="1" x14ac:dyDescent="0.35">
      <c r="A96" s="17">
        <v>57</v>
      </c>
      <c r="B96" s="23">
        <v>4145</v>
      </c>
      <c r="C96" s="19">
        <v>50080</v>
      </c>
      <c r="D96" s="23" t="s">
        <v>398</v>
      </c>
      <c r="E96" s="20" t="s">
        <v>399</v>
      </c>
      <c r="F96" s="21" t="s">
        <v>562</v>
      </c>
      <c r="G96" s="22" t="s">
        <v>26</v>
      </c>
      <c r="H96" s="22"/>
      <c r="I96" s="23">
        <v>534</v>
      </c>
      <c r="J96" s="23"/>
      <c r="K96" s="23">
        <v>523</v>
      </c>
      <c r="L96" s="23" t="s">
        <v>51</v>
      </c>
      <c r="M96" s="23">
        <v>0</v>
      </c>
      <c r="N96" s="23">
        <v>1</v>
      </c>
      <c r="O96" s="23" t="s">
        <v>29</v>
      </c>
      <c r="P96" s="24">
        <v>44392</v>
      </c>
      <c r="Q96" s="24">
        <v>44443</v>
      </c>
      <c r="R96" s="19">
        <v>2</v>
      </c>
      <c r="S96" s="24" t="s">
        <v>30</v>
      </c>
      <c r="T96" s="24" t="s">
        <v>30</v>
      </c>
      <c r="U96" s="24" t="s">
        <v>208</v>
      </c>
      <c r="V96" s="23" t="s">
        <v>397</v>
      </c>
      <c r="W96" s="19"/>
      <c r="X96" s="25"/>
      <c r="Y96" s="26"/>
    </row>
    <row r="97" spans="1:25" s="27" customFormat="1" ht="33" customHeight="1" thickBot="1" x14ac:dyDescent="0.35">
      <c r="A97" s="17">
        <v>57</v>
      </c>
      <c r="B97" s="23">
        <v>4145</v>
      </c>
      <c r="C97" s="19">
        <v>50092</v>
      </c>
      <c r="D97" s="23" t="s">
        <v>394</v>
      </c>
      <c r="E97" s="20" t="s">
        <v>395</v>
      </c>
      <c r="F97" s="21" t="s">
        <v>563</v>
      </c>
      <c r="G97" s="22" t="s">
        <v>26</v>
      </c>
      <c r="H97" s="22"/>
      <c r="I97" s="23">
        <v>534</v>
      </c>
      <c r="J97" s="23"/>
      <c r="K97" s="23">
        <v>523</v>
      </c>
      <c r="L97" s="23" t="s">
        <v>51</v>
      </c>
      <c r="M97" s="23">
        <v>0</v>
      </c>
      <c r="N97" s="23">
        <v>1</v>
      </c>
      <c r="O97" s="23" t="s">
        <v>29</v>
      </c>
      <c r="P97" s="24"/>
      <c r="Q97" s="24"/>
      <c r="R97" s="19"/>
      <c r="S97" s="24"/>
      <c r="T97" s="24" t="s">
        <v>30</v>
      </c>
      <c r="U97" s="24" t="s">
        <v>208</v>
      </c>
      <c r="V97" s="23"/>
      <c r="W97" s="19"/>
      <c r="X97" s="25"/>
      <c r="Y97" s="26"/>
    </row>
    <row r="98" spans="1:25" s="27" customFormat="1" ht="33" customHeight="1" thickBot="1" x14ac:dyDescent="0.35">
      <c r="A98" s="17">
        <v>58</v>
      </c>
      <c r="B98" s="23">
        <v>4145</v>
      </c>
      <c r="C98" s="19">
        <v>50097</v>
      </c>
      <c r="D98" s="23" t="s">
        <v>402</v>
      </c>
      <c r="E98" s="20" t="s">
        <v>403</v>
      </c>
      <c r="F98" s="21" t="s">
        <v>554</v>
      </c>
      <c r="G98" s="22" t="s">
        <v>26</v>
      </c>
      <c r="H98" s="22"/>
      <c r="I98" s="23" t="s">
        <v>404</v>
      </c>
      <c r="J98" s="23"/>
      <c r="K98" s="23" t="s">
        <v>405</v>
      </c>
      <c r="L98" s="23" t="s">
        <v>51</v>
      </c>
      <c r="M98" s="23">
        <v>0</v>
      </c>
      <c r="N98" s="23">
        <v>1</v>
      </c>
      <c r="O98" s="23" t="s">
        <v>29</v>
      </c>
      <c r="P98" s="24">
        <v>44392</v>
      </c>
      <c r="Q98" s="24">
        <v>44443</v>
      </c>
      <c r="R98" s="19">
        <v>2</v>
      </c>
      <c r="S98" s="24" t="s">
        <v>30</v>
      </c>
      <c r="T98" s="24" t="s">
        <v>30</v>
      </c>
      <c r="U98" s="24" t="s">
        <v>208</v>
      </c>
      <c r="V98" s="23" t="s">
        <v>397</v>
      </c>
      <c r="W98" s="19"/>
      <c r="X98" s="25"/>
      <c r="Y98" s="26"/>
    </row>
    <row r="99" spans="1:25" s="27" customFormat="1" ht="33" customHeight="1" thickBot="1" x14ac:dyDescent="0.35">
      <c r="A99" s="17">
        <v>58</v>
      </c>
      <c r="B99" s="23">
        <v>4145</v>
      </c>
      <c r="C99" s="19">
        <v>50105</v>
      </c>
      <c r="D99" s="23" t="s">
        <v>406</v>
      </c>
      <c r="E99" s="20" t="s">
        <v>407</v>
      </c>
      <c r="F99" s="21" t="s">
        <v>554</v>
      </c>
      <c r="G99" s="22" t="s">
        <v>26</v>
      </c>
      <c r="H99" s="22"/>
      <c r="I99" s="23" t="s">
        <v>404</v>
      </c>
      <c r="J99" s="23"/>
      <c r="K99" s="23" t="s">
        <v>453</v>
      </c>
      <c r="L99" s="23" t="s">
        <v>51</v>
      </c>
      <c r="M99" s="23">
        <v>0</v>
      </c>
      <c r="N99" s="23">
        <v>1</v>
      </c>
      <c r="O99" s="23" t="s">
        <v>29</v>
      </c>
      <c r="P99" s="24"/>
      <c r="Q99" s="24"/>
      <c r="R99" s="19"/>
      <c r="S99" s="24"/>
      <c r="T99" s="24" t="s">
        <v>30</v>
      </c>
      <c r="U99" s="24" t="s">
        <v>208</v>
      </c>
      <c r="V99" s="23"/>
      <c r="W99" s="19"/>
      <c r="X99" s="25"/>
      <c r="Y99" s="26"/>
    </row>
    <row r="100" spans="1:25" s="27" customFormat="1" ht="33" hidden="1" customHeight="1" thickBot="1" x14ac:dyDescent="0.35">
      <c r="A100" s="17">
        <v>59</v>
      </c>
      <c r="B100" s="23">
        <v>4319</v>
      </c>
      <c r="C100" s="19"/>
      <c r="D100" s="23" t="s">
        <v>408</v>
      </c>
      <c r="E100" s="20" t="s">
        <v>559</v>
      </c>
      <c r="F100" s="21" t="s">
        <v>409</v>
      </c>
      <c r="G100" s="22"/>
      <c r="H100" s="22"/>
      <c r="I100" s="23" t="s">
        <v>410</v>
      </c>
      <c r="J100" s="23"/>
      <c r="K100" s="23" t="s">
        <v>411</v>
      </c>
      <c r="L100" s="23" t="s">
        <v>51</v>
      </c>
      <c r="M100" s="23">
        <v>0</v>
      </c>
      <c r="N100" s="23">
        <v>1</v>
      </c>
      <c r="O100" s="23" t="s">
        <v>176</v>
      </c>
      <c r="P100" s="24" t="s">
        <v>30</v>
      </c>
      <c r="Q100" s="24">
        <v>44439</v>
      </c>
      <c r="R100" s="19">
        <v>2</v>
      </c>
      <c r="S100" s="24" t="s">
        <v>30</v>
      </c>
      <c r="T100" s="24" t="s">
        <v>30</v>
      </c>
      <c r="U100" s="24" t="s">
        <v>31</v>
      </c>
      <c r="V100" s="23"/>
      <c r="W100" s="19"/>
      <c r="X100" s="25"/>
      <c r="Y100" s="26"/>
    </row>
    <row r="101" spans="1:25" s="27" customFormat="1" ht="33" hidden="1" customHeight="1" thickBot="1" x14ac:dyDescent="0.35">
      <c r="A101" s="17">
        <v>59</v>
      </c>
      <c r="B101" s="23">
        <v>4319</v>
      </c>
      <c r="C101" s="19"/>
      <c r="D101" s="23" t="s">
        <v>412</v>
      </c>
      <c r="E101" s="20" t="s">
        <v>558</v>
      </c>
      <c r="F101" s="21" t="s">
        <v>413</v>
      </c>
      <c r="G101" s="22"/>
      <c r="H101" s="22"/>
      <c r="I101" s="23" t="s">
        <v>410</v>
      </c>
      <c r="J101" s="23"/>
      <c r="K101" s="23" t="s">
        <v>411</v>
      </c>
      <c r="L101" s="23" t="s">
        <v>51</v>
      </c>
      <c r="M101" s="23">
        <v>0</v>
      </c>
      <c r="N101" s="23">
        <v>1</v>
      </c>
      <c r="O101" s="23" t="s">
        <v>176</v>
      </c>
      <c r="P101" s="24"/>
      <c r="Q101" s="24"/>
      <c r="R101" s="19"/>
      <c r="S101" s="24"/>
      <c r="T101" s="24" t="s">
        <v>30</v>
      </c>
      <c r="U101" s="24" t="s">
        <v>31</v>
      </c>
      <c r="V101" s="23"/>
      <c r="W101" s="19"/>
      <c r="X101" s="25"/>
      <c r="Y101" s="26"/>
    </row>
    <row r="102" spans="1:25" s="27" customFormat="1" ht="33" hidden="1" customHeight="1" thickBot="1" x14ac:dyDescent="0.35">
      <c r="A102" s="17">
        <v>60</v>
      </c>
      <c r="B102" s="23">
        <v>4319</v>
      </c>
      <c r="C102" s="19"/>
      <c r="D102" s="23"/>
      <c r="E102" s="20"/>
      <c r="F102" s="21" t="s">
        <v>414</v>
      </c>
      <c r="G102" s="22" t="s">
        <v>26</v>
      </c>
      <c r="H102" s="22"/>
      <c r="I102" s="23" t="s">
        <v>415</v>
      </c>
      <c r="J102" s="23"/>
      <c r="K102" s="23" t="s">
        <v>416</v>
      </c>
      <c r="L102" s="23" t="s">
        <v>51</v>
      </c>
      <c r="M102" s="23">
        <v>0</v>
      </c>
      <c r="N102" s="23">
        <v>1</v>
      </c>
      <c r="O102" s="23" t="s">
        <v>176</v>
      </c>
      <c r="P102" s="24" t="s">
        <v>30</v>
      </c>
      <c r="Q102" s="24">
        <v>44435</v>
      </c>
      <c r="R102" s="19">
        <v>2</v>
      </c>
      <c r="S102" s="24" t="s">
        <v>30</v>
      </c>
      <c r="T102" s="24" t="s">
        <v>30</v>
      </c>
      <c r="U102" s="24" t="s">
        <v>31</v>
      </c>
      <c r="V102" s="23" t="s">
        <v>162</v>
      </c>
      <c r="W102" s="19"/>
      <c r="X102" s="25" t="s">
        <v>178</v>
      </c>
      <c r="Y102" s="26"/>
    </row>
    <row r="103" spans="1:25" s="27" customFormat="1" ht="33" hidden="1" customHeight="1" thickBot="1" x14ac:dyDescent="0.35">
      <c r="A103" s="17">
        <v>60</v>
      </c>
      <c r="B103" s="23">
        <v>4319</v>
      </c>
      <c r="C103" s="19"/>
      <c r="D103" s="23"/>
      <c r="E103" s="20"/>
      <c r="F103" s="21" t="s">
        <v>417</v>
      </c>
      <c r="G103" s="22"/>
      <c r="H103" s="22"/>
      <c r="I103" s="23" t="s">
        <v>415</v>
      </c>
      <c r="J103" s="23"/>
      <c r="K103" s="23" t="s">
        <v>416</v>
      </c>
      <c r="L103" s="23" t="s">
        <v>51</v>
      </c>
      <c r="M103" s="23">
        <v>0</v>
      </c>
      <c r="N103" s="23">
        <v>1</v>
      </c>
      <c r="O103" s="23" t="s">
        <v>176</v>
      </c>
      <c r="P103" s="24"/>
      <c r="Q103" s="24"/>
      <c r="R103" s="19"/>
      <c r="S103" s="24"/>
      <c r="T103" s="24" t="s">
        <v>30</v>
      </c>
      <c r="U103" s="24" t="s">
        <v>31</v>
      </c>
      <c r="V103" s="23"/>
      <c r="W103" s="19"/>
      <c r="X103" s="25"/>
      <c r="Y103" s="26"/>
    </row>
    <row r="104" spans="1:25" s="27" customFormat="1" ht="33" hidden="1" customHeight="1" thickBot="1" x14ac:dyDescent="0.35">
      <c r="A104" s="17">
        <v>61</v>
      </c>
      <c r="B104" s="23">
        <v>4319</v>
      </c>
      <c r="C104" s="19">
        <v>50151</v>
      </c>
      <c r="D104" s="23" t="s">
        <v>418</v>
      </c>
      <c r="E104" s="20" t="s">
        <v>419</v>
      </c>
      <c r="F104" s="21" t="s">
        <v>420</v>
      </c>
      <c r="G104" s="22"/>
      <c r="H104" s="22"/>
      <c r="I104" s="23" t="s">
        <v>421</v>
      </c>
      <c r="J104" s="23"/>
      <c r="K104" s="23" t="s">
        <v>422</v>
      </c>
      <c r="L104" s="23" t="s">
        <v>51</v>
      </c>
      <c r="M104" s="23">
        <v>0</v>
      </c>
      <c r="N104" s="23">
        <v>1</v>
      </c>
      <c r="O104" s="23" t="s">
        <v>176</v>
      </c>
      <c r="P104" s="24" t="s">
        <v>30</v>
      </c>
      <c r="Q104" s="24">
        <v>44434</v>
      </c>
      <c r="R104" s="19">
        <v>2</v>
      </c>
      <c r="S104" s="24" t="s">
        <v>30</v>
      </c>
      <c r="T104" s="24" t="s">
        <v>30</v>
      </c>
      <c r="U104" s="24" t="s">
        <v>31</v>
      </c>
      <c r="V104" s="23" t="s">
        <v>162</v>
      </c>
      <c r="W104" s="19"/>
      <c r="X104" s="25"/>
      <c r="Y104" s="26"/>
    </row>
    <row r="105" spans="1:25" s="27" customFormat="1" ht="33" hidden="1" customHeight="1" thickBot="1" x14ac:dyDescent="0.35">
      <c r="A105" s="17">
        <v>62</v>
      </c>
      <c r="B105" s="23">
        <v>4319</v>
      </c>
      <c r="C105" s="19">
        <v>50152</v>
      </c>
      <c r="D105" s="23" t="s">
        <v>423</v>
      </c>
      <c r="E105" s="20" t="s">
        <v>424</v>
      </c>
      <c r="F105" s="21" t="s">
        <v>425</v>
      </c>
      <c r="G105" s="22"/>
      <c r="H105" s="22"/>
      <c r="I105" s="23" t="s">
        <v>421</v>
      </c>
      <c r="J105" s="23"/>
      <c r="K105" s="23" t="s">
        <v>422</v>
      </c>
      <c r="L105" s="23" t="s">
        <v>51</v>
      </c>
      <c r="M105" s="23">
        <v>0</v>
      </c>
      <c r="N105" s="23">
        <v>1</v>
      </c>
      <c r="O105" s="23" t="s">
        <v>176</v>
      </c>
      <c r="P105" s="24"/>
      <c r="Q105" s="24"/>
      <c r="R105" s="19"/>
      <c r="S105" s="24"/>
      <c r="T105" s="24" t="s">
        <v>30</v>
      </c>
      <c r="U105" s="24" t="s">
        <v>31</v>
      </c>
      <c r="V105" s="23" t="s">
        <v>426</v>
      </c>
      <c r="W105" s="19"/>
      <c r="X105" s="25"/>
      <c r="Y105" s="26"/>
    </row>
    <row r="106" spans="1:25" s="27" customFormat="1" ht="33" hidden="1" customHeight="1" thickBot="1" x14ac:dyDescent="0.35">
      <c r="A106" s="17">
        <v>62</v>
      </c>
      <c r="B106" s="23">
        <v>4319</v>
      </c>
      <c r="C106" s="19">
        <v>50081</v>
      </c>
      <c r="D106" s="23" t="s">
        <v>432</v>
      </c>
      <c r="E106" s="20" t="s">
        <v>433</v>
      </c>
      <c r="F106" s="21" t="s">
        <v>434</v>
      </c>
      <c r="G106" s="22"/>
      <c r="H106" s="22"/>
      <c r="I106" s="23" t="s">
        <v>430</v>
      </c>
      <c r="J106" s="23"/>
      <c r="K106" s="23" t="s">
        <v>431</v>
      </c>
      <c r="L106" s="23" t="s">
        <v>51</v>
      </c>
      <c r="M106" s="23">
        <v>0</v>
      </c>
      <c r="N106" s="23">
        <v>1</v>
      </c>
      <c r="O106" s="23" t="s">
        <v>176</v>
      </c>
      <c r="P106" s="24"/>
      <c r="Q106" s="24"/>
      <c r="R106" s="19"/>
      <c r="S106" s="24"/>
      <c r="T106" s="24" t="s">
        <v>30</v>
      </c>
      <c r="U106" s="24" t="s">
        <v>31</v>
      </c>
      <c r="V106" s="23" t="s">
        <v>162</v>
      </c>
      <c r="W106" s="19"/>
      <c r="X106" s="25"/>
      <c r="Y106" s="26"/>
    </row>
    <row r="107" spans="1:25" s="27" customFormat="1" ht="33" hidden="1" customHeight="1" thickBot="1" x14ac:dyDescent="0.35">
      <c r="A107" s="17">
        <v>62</v>
      </c>
      <c r="B107" s="23">
        <v>4319</v>
      </c>
      <c r="C107" s="19">
        <v>50083</v>
      </c>
      <c r="D107" s="23" t="s">
        <v>427</v>
      </c>
      <c r="E107" s="20" t="s">
        <v>428</v>
      </c>
      <c r="F107" s="21" t="s">
        <v>429</v>
      </c>
      <c r="G107" s="22"/>
      <c r="H107" s="22"/>
      <c r="I107" s="23" t="s">
        <v>430</v>
      </c>
      <c r="J107" s="23"/>
      <c r="K107" s="23" t="s">
        <v>431</v>
      </c>
      <c r="L107" s="23" t="s">
        <v>51</v>
      </c>
      <c r="M107" s="23">
        <v>0</v>
      </c>
      <c r="N107" s="23">
        <v>1</v>
      </c>
      <c r="O107" s="23" t="s">
        <v>176</v>
      </c>
      <c r="P107" s="24" t="s">
        <v>30</v>
      </c>
      <c r="Q107" s="24">
        <v>44434</v>
      </c>
      <c r="R107" s="19">
        <v>2</v>
      </c>
      <c r="S107" s="24" t="s">
        <v>30</v>
      </c>
      <c r="T107" s="24" t="s">
        <v>30</v>
      </c>
      <c r="U107" s="24" t="s">
        <v>31</v>
      </c>
      <c r="V107" s="23" t="s">
        <v>426</v>
      </c>
      <c r="W107" s="19"/>
      <c r="X107" s="25"/>
      <c r="Y107" s="26"/>
    </row>
    <row r="108" spans="1:25" s="27" customFormat="1" ht="33" hidden="1" customHeight="1" thickBot="1" x14ac:dyDescent="0.35">
      <c r="A108" s="17">
        <v>63</v>
      </c>
      <c r="B108" s="23">
        <v>4319</v>
      </c>
      <c r="C108" s="19"/>
      <c r="D108" s="23" t="s">
        <v>555</v>
      </c>
      <c r="E108" s="20" t="s">
        <v>556</v>
      </c>
      <c r="F108" s="21" t="s">
        <v>435</v>
      </c>
      <c r="G108" s="22"/>
      <c r="H108" s="22"/>
      <c r="I108" s="23" t="s">
        <v>436</v>
      </c>
      <c r="J108" s="23"/>
      <c r="K108" s="23" t="s">
        <v>430</v>
      </c>
      <c r="L108" s="23" t="s">
        <v>51</v>
      </c>
      <c r="M108" s="23">
        <v>0</v>
      </c>
      <c r="N108" s="23">
        <v>1</v>
      </c>
      <c r="O108" s="23" t="s">
        <v>176</v>
      </c>
      <c r="P108" s="24" t="s">
        <v>30</v>
      </c>
      <c r="Q108" s="24">
        <v>44439</v>
      </c>
      <c r="R108" s="19">
        <v>2</v>
      </c>
      <c r="S108" s="24" t="s">
        <v>30</v>
      </c>
      <c r="T108" s="24" t="s">
        <v>30</v>
      </c>
      <c r="U108" s="24" t="s">
        <v>31</v>
      </c>
      <c r="V108" s="23"/>
      <c r="W108" s="19"/>
      <c r="X108" s="25"/>
      <c r="Y108" s="26"/>
    </row>
    <row r="109" spans="1:25" s="27" customFormat="1" ht="33" hidden="1" customHeight="1" thickBot="1" x14ac:dyDescent="0.35">
      <c r="A109" s="17">
        <v>63</v>
      </c>
      <c r="B109" s="23">
        <v>4319</v>
      </c>
      <c r="C109" s="19"/>
      <c r="D109" s="23" t="s">
        <v>437</v>
      </c>
      <c r="E109" s="20" t="s">
        <v>557</v>
      </c>
      <c r="F109" s="21" t="s">
        <v>438</v>
      </c>
      <c r="G109" s="22"/>
      <c r="H109" s="22"/>
      <c r="I109" s="23" t="s">
        <v>436</v>
      </c>
      <c r="J109" s="23"/>
      <c r="K109" s="23" t="s">
        <v>430</v>
      </c>
      <c r="L109" s="23" t="s">
        <v>51</v>
      </c>
      <c r="M109" s="23">
        <v>0</v>
      </c>
      <c r="N109" s="23">
        <v>1</v>
      </c>
      <c r="O109" s="23" t="s">
        <v>176</v>
      </c>
      <c r="P109" s="24"/>
      <c r="Q109" s="24"/>
      <c r="R109" s="19"/>
      <c r="S109" s="24"/>
      <c r="T109" s="24" t="s">
        <v>30</v>
      </c>
      <c r="U109" s="24" t="s">
        <v>31</v>
      </c>
      <c r="V109" s="23"/>
      <c r="W109" s="19"/>
      <c r="X109" s="25"/>
      <c r="Y109" s="26"/>
    </row>
    <row r="110" spans="1:25" s="27" customFormat="1" ht="33" hidden="1" customHeight="1" thickBot="1" x14ac:dyDescent="0.35">
      <c r="A110" s="17">
        <v>64</v>
      </c>
      <c r="B110" s="23">
        <v>4319</v>
      </c>
      <c r="C110" s="19"/>
      <c r="D110" s="23" t="s">
        <v>492</v>
      </c>
      <c r="E110" s="20" t="s">
        <v>509</v>
      </c>
      <c r="F110" s="21" t="s">
        <v>440</v>
      </c>
      <c r="G110" s="22" t="s">
        <v>26</v>
      </c>
      <c r="H110" s="22"/>
      <c r="I110" s="23" t="s">
        <v>441</v>
      </c>
      <c r="J110" s="23"/>
      <c r="K110" s="23" t="s">
        <v>442</v>
      </c>
      <c r="L110" s="23" t="s">
        <v>28</v>
      </c>
      <c r="M110" s="23">
        <v>1</v>
      </c>
      <c r="N110" s="23">
        <v>0</v>
      </c>
      <c r="O110" s="23" t="s">
        <v>29</v>
      </c>
      <c r="P110" s="24" t="s">
        <v>30</v>
      </c>
      <c r="Q110" s="24" t="s">
        <v>30</v>
      </c>
      <c r="R110" s="19">
        <v>1</v>
      </c>
      <c r="S110" s="24" t="s">
        <v>30</v>
      </c>
      <c r="T110" s="24" t="s">
        <v>30</v>
      </c>
      <c r="U110" s="24" t="s">
        <v>31</v>
      </c>
      <c r="V110" s="23" t="s">
        <v>443</v>
      </c>
      <c r="W110" s="19"/>
      <c r="X110" s="25"/>
      <c r="Y110" s="26"/>
    </row>
    <row r="111" spans="1:25" s="27" customFormat="1" ht="33" hidden="1" customHeight="1" thickBot="1" x14ac:dyDescent="0.35">
      <c r="A111" s="17">
        <v>65</v>
      </c>
      <c r="B111" s="23">
        <v>4319</v>
      </c>
      <c r="C111" s="19">
        <v>49780</v>
      </c>
      <c r="D111" s="23" t="s">
        <v>444</v>
      </c>
      <c r="E111" s="20" t="s">
        <v>445</v>
      </c>
      <c r="F111" s="21" t="s">
        <v>446</v>
      </c>
      <c r="G111" s="22" t="s">
        <v>26</v>
      </c>
      <c r="H111" s="22"/>
      <c r="I111" s="23" t="s">
        <v>441</v>
      </c>
      <c r="J111" s="23"/>
      <c r="K111" s="23" t="s">
        <v>447</v>
      </c>
      <c r="L111" s="23" t="s">
        <v>28</v>
      </c>
      <c r="M111" s="23">
        <v>1</v>
      </c>
      <c r="N111" s="23">
        <v>0</v>
      </c>
      <c r="O111" s="23" t="s">
        <v>29</v>
      </c>
      <c r="P111" s="24" t="s">
        <v>30</v>
      </c>
      <c r="Q111" s="24">
        <v>44433</v>
      </c>
      <c r="R111" s="19">
        <v>1</v>
      </c>
      <c r="S111" s="24" t="s">
        <v>30</v>
      </c>
      <c r="T111" s="24" t="s">
        <v>30</v>
      </c>
      <c r="U111" s="24" t="s">
        <v>31</v>
      </c>
      <c r="V111" s="23" t="s">
        <v>448</v>
      </c>
      <c r="W111" s="19"/>
      <c r="X111" s="25"/>
      <c r="Y111" s="26"/>
    </row>
    <row r="112" spans="1:25" s="27" customFormat="1" ht="33" hidden="1" customHeight="1" thickBot="1" x14ac:dyDescent="0.35">
      <c r="A112" s="17">
        <v>66</v>
      </c>
      <c r="B112" s="23">
        <v>4319</v>
      </c>
      <c r="C112" s="19"/>
      <c r="D112" s="23"/>
      <c r="E112" s="20"/>
      <c r="F112" s="21" t="s">
        <v>449</v>
      </c>
      <c r="G112" s="22" t="s">
        <v>26</v>
      </c>
      <c r="H112" s="22"/>
      <c r="I112" s="23">
        <v>511</v>
      </c>
      <c r="J112" s="23"/>
      <c r="K112" s="23">
        <v>560</v>
      </c>
      <c r="L112" s="23" t="s">
        <v>51</v>
      </c>
      <c r="M112" s="23">
        <v>0</v>
      </c>
      <c r="N112" s="23">
        <v>1</v>
      </c>
      <c r="O112" s="23" t="s">
        <v>29</v>
      </c>
      <c r="P112" s="24" t="s">
        <v>30</v>
      </c>
      <c r="Q112" s="24" t="s">
        <v>30</v>
      </c>
      <c r="R112" s="19">
        <v>2</v>
      </c>
      <c r="S112" s="24" t="s">
        <v>30</v>
      </c>
      <c r="T112" s="24" t="s">
        <v>30</v>
      </c>
      <c r="U112" s="24" t="s">
        <v>31</v>
      </c>
      <c r="V112" s="23" t="s">
        <v>450</v>
      </c>
      <c r="W112" s="19"/>
      <c r="X112" s="25"/>
      <c r="Y112" s="26"/>
    </row>
    <row r="113" spans="1:26" s="27" customFormat="1" ht="33" hidden="1" customHeight="1" thickBot="1" x14ac:dyDescent="0.35">
      <c r="A113" s="17">
        <v>66</v>
      </c>
      <c r="B113" s="23">
        <v>4319</v>
      </c>
      <c r="C113" s="19"/>
      <c r="D113" s="23"/>
      <c r="E113" s="20"/>
      <c r="F113" s="21" t="s">
        <v>451</v>
      </c>
      <c r="G113" s="22" t="s">
        <v>26</v>
      </c>
      <c r="H113" s="22"/>
      <c r="I113" s="23">
        <v>511</v>
      </c>
      <c r="J113" s="23"/>
      <c r="K113" s="23">
        <v>560</v>
      </c>
      <c r="L113" s="23" t="s">
        <v>51</v>
      </c>
      <c r="M113" s="23">
        <v>0</v>
      </c>
      <c r="N113" s="23">
        <v>1</v>
      </c>
      <c r="O113" s="23" t="s">
        <v>29</v>
      </c>
      <c r="P113" s="24"/>
      <c r="Q113" s="24"/>
      <c r="R113" s="19"/>
      <c r="S113" s="24"/>
      <c r="T113" s="24" t="s">
        <v>30</v>
      </c>
      <c r="U113" s="24" t="s">
        <v>31</v>
      </c>
      <c r="V113" s="23"/>
      <c r="W113" s="19"/>
      <c r="X113" s="25"/>
      <c r="Y113" s="26"/>
    </row>
    <row r="114" spans="1:26" s="27" customFormat="1" ht="33" hidden="1" customHeight="1" thickBot="1" x14ac:dyDescent="0.35">
      <c r="A114" s="17">
        <v>67</v>
      </c>
      <c r="B114" s="23">
        <v>4319</v>
      </c>
      <c r="C114" s="19"/>
      <c r="D114" s="23" t="s">
        <v>137</v>
      </c>
      <c r="E114" s="20" t="s">
        <v>138</v>
      </c>
      <c r="F114" s="21" t="s">
        <v>139</v>
      </c>
      <c r="G114" s="22" t="s">
        <v>26</v>
      </c>
      <c r="H114" s="22"/>
      <c r="I114" s="23" t="s">
        <v>140</v>
      </c>
      <c r="J114" s="23" t="s">
        <v>141</v>
      </c>
      <c r="K114" s="23" t="s">
        <v>142</v>
      </c>
      <c r="L114" s="23" t="s">
        <v>51</v>
      </c>
      <c r="M114" s="23">
        <v>0</v>
      </c>
      <c r="N114" s="23">
        <v>1</v>
      </c>
      <c r="O114" s="23" t="s">
        <v>29</v>
      </c>
      <c r="P114" s="24">
        <v>44385</v>
      </c>
      <c r="Q114" s="24">
        <v>44385</v>
      </c>
      <c r="R114" s="19">
        <v>2</v>
      </c>
      <c r="S114" s="24"/>
      <c r="T114" s="24"/>
      <c r="U114" s="24" t="s">
        <v>31</v>
      </c>
      <c r="V114" s="23">
        <v>14</v>
      </c>
      <c r="W114" s="19"/>
      <c r="X114" s="25"/>
      <c r="Y114" s="26"/>
    </row>
    <row r="115" spans="1:26" s="27" customFormat="1" ht="33" hidden="1" customHeight="1" thickBot="1" x14ac:dyDescent="0.35">
      <c r="A115" s="17">
        <v>67</v>
      </c>
      <c r="B115" s="23">
        <v>4319</v>
      </c>
      <c r="C115" s="19"/>
      <c r="D115" s="23" t="s">
        <v>143</v>
      </c>
      <c r="E115" s="20" t="s">
        <v>144</v>
      </c>
      <c r="F115" s="21" t="s">
        <v>145</v>
      </c>
      <c r="G115" s="22" t="s">
        <v>26</v>
      </c>
      <c r="H115" s="22"/>
      <c r="I115" s="23" t="s">
        <v>140</v>
      </c>
      <c r="J115" s="23" t="s">
        <v>141</v>
      </c>
      <c r="K115" s="23" t="s">
        <v>142</v>
      </c>
      <c r="L115" s="23" t="s">
        <v>51</v>
      </c>
      <c r="M115" s="23">
        <v>0</v>
      </c>
      <c r="N115" s="23">
        <v>1</v>
      </c>
      <c r="O115" s="23" t="s">
        <v>29</v>
      </c>
      <c r="P115" s="24"/>
      <c r="Q115" s="24"/>
      <c r="R115" s="19"/>
      <c r="S115" s="24"/>
      <c r="T115" s="24"/>
      <c r="U115" s="24" t="s">
        <v>31</v>
      </c>
      <c r="V115" s="23" t="s">
        <v>146</v>
      </c>
      <c r="W115" s="19"/>
      <c r="X115" s="25"/>
      <c r="Y115" s="26"/>
    </row>
    <row r="116" spans="1:26" s="94" customFormat="1" ht="33" hidden="1" customHeight="1" thickBot="1" x14ac:dyDescent="0.35">
      <c r="A116" s="85"/>
      <c r="B116" s="86"/>
      <c r="C116" s="87"/>
      <c r="D116" s="86"/>
      <c r="E116" s="88"/>
      <c r="F116" s="89" t="s">
        <v>158</v>
      </c>
      <c r="G116" s="90" t="s">
        <v>26</v>
      </c>
      <c r="H116" s="90"/>
      <c r="I116" s="86" t="s">
        <v>159</v>
      </c>
      <c r="J116" s="86"/>
      <c r="K116" s="86" t="s">
        <v>160</v>
      </c>
      <c r="L116" s="86" t="s">
        <v>51</v>
      </c>
      <c r="M116" s="86">
        <v>0</v>
      </c>
      <c r="N116" s="86">
        <v>0</v>
      </c>
      <c r="O116" s="86" t="s">
        <v>29</v>
      </c>
      <c r="P116" s="91">
        <v>44385</v>
      </c>
      <c r="Q116" s="91"/>
      <c r="R116" s="87"/>
      <c r="S116" s="91"/>
      <c r="T116" s="91"/>
      <c r="V116" s="86">
        <v>3</v>
      </c>
      <c r="W116" s="87"/>
      <c r="X116" s="92"/>
      <c r="Y116" s="93"/>
      <c r="Z116" s="91" t="s">
        <v>31</v>
      </c>
    </row>
    <row r="117" spans="1:26" s="94" customFormat="1" ht="33" hidden="1" customHeight="1" thickBot="1" x14ac:dyDescent="0.35">
      <c r="A117" s="85"/>
      <c r="B117" s="86"/>
      <c r="C117" s="87"/>
      <c r="D117" s="86"/>
      <c r="E117" s="88"/>
      <c r="F117" s="89" t="s">
        <v>161</v>
      </c>
      <c r="G117" s="90" t="s">
        <v>26</v>
      </c>
      <c r="H117" s="90"/>
      <c r="I117" s="86" t="s">
        <v>159</v>
      </c>
      <c r="J117" s="86"/>
      <c r="K117" s="86" t="s">
        <v>160</v>
      </c>
      <c r="L117" s="86" t="s">
        <v>51</v>
      </c>
      <c r="M117" s="86">
        <v>0</v>
      </c>
      <c r="N117" s="86">
        <v>0</v>
      </c>
      <c r="O117" s="86" t="s">
        <v>29</v>
      </c>
      <c r="P117" s="91"/>
      <c r="Q117" s="91"/>
      <c r="R117" s="87"/>
      <c r="S117" s="91"/>
      <c r="T117" s="91"/>
      <c r="V117" s="86" t="s">
        <v>162</v>
      </c>
      <c r="W117" s="87"/>
      <c r="X117" s="92"/>
      <c r="Y117" s="93"/>
      <c r="Z117" s="91" t="s">
        <v>31</v>
      </c>
    </row>
    <row r="118" spans="1:26" s="94" customFormat="1" ht="33" hidden="1" customHeight="1" thickBot="1" x14ac:dyDescent="0.4">
      <c r="A118" s="85"/>
      <c r="B118" s="95">
        <v>4319</v>
      </c>
      <c r="C118" s="87"/>
      <c r="D118" s="86"/>
      <c r="E118" s="88"/>
      <c r="F118" s="84" t="s">
        <v>551</v>
      </c>
      <c r="G118" s="90" t="s">
        <v>26</v>
      </c>
      <c r="H118" s="96"/>
      <c r="I118" s="97" t="s">
        <v>324</v>
      </c>
      <c r="J118" s="86" t="s">
        <v>325</v>
      </c>
      <c r="K118" s="86" t="s">
        <v>326</v>
      </c>
      <c r="L118" s="86" t="s">
        <v>28</v>
      </c>
      <c r="M118" s="86">
        <v>0</v>
      </c>
      <c r="N118" s="86">
        <v>0</v>
      </c>
      <c r="O118" s="86" t="s">
        <v>29</v>
      </c>
      <c r="P118" s="91">
        <v>44392</v>
      </c>
      <c r="Q118" s="91"/>
      <c r="R118" s="87"/>
      <c r="S118" s="91"/>
      <c r="T118" s="91"/>
      <c r="V118" s="86" t="s">
        <v>308</v>
      </c>
      <c r="W118" s="98"/>
      <c r="X118" s="98"/>
      <c r="Y118" s="98"/>
      <c r="Z118" s="91" t="s">
        <v>31</v>
      </c>
    </row>
    <row r="119" spans="1:26" s="27" customFormat="1" ht="33" hidden="1" customHeight="1" thickBot="1" x14ac:dyDescent="0.35">
      <c r="A119" s="17">
        <v>68</v>
      </c>
      <c r="B119" s="23">
        <v>4319</v>
      </c>
      <c r="C119" s="19">
        <v>50133</v>
      </c>
      <c r="D119" s="23" t="s">
        <v>488</v>
      </c>
      <c r="E119" s="20" t="s">
        <v>487</v>
      </c>
      <c r="F119" s="21" t="s">
        <v>360</v>
      </c>
      <c r="G119" s="22" t="s">
        <v>26</v>
      </c>
      <c r="H119" s="22"/>
      <c r="I119" s="23" t="s">
        <v>361</v>
      </c>
      <c r="J119" s="23"/>
      <c r="K119" s="23" t="s">
        <v>362</v>
      </c>
      <c r="L119" s="23" t="s">
        <v>51</v>
      </c>
      <c r="M119" s="23">
        <v>0</v>
      </c>
      <c r="N119" s="23">
        <v>1</v>
      </c>
      <c r="O119" s="23" t="s">
        <v>29</v>
      </c>
      <c r="P119" s="24">
        <v>44392</v>
      </c>
      <c r="Q119" s="24"/>
      <c r="R119" s="19"/>
      <c r="S119" s="24"/>
      <c r="T119" s="24"/>
      <c r="U119" s="24" t="s">
        <v>31</v>
      </c>
      <c r="V119" s="23" t="s">
        <v>359</v>
      </c>
      <c r="W119" s="19"/>
      <c r="X119" s="25" t="s">
        <v>363</v>
      </c>
      <c r="Y119" s="26"/>
    </row>
    <row r="120" spans="1:26" s="27" customFormat="1" ht="33" hidden="1" customHeight="1" thickBot="1" x14ac:dyDescent="0.35">
      <c r="A120" s="17">
        <v>68</v>
      </c>
      <c r="B120" s="23">
        <v>4319</v>
      </c>
      <c r="C120" s="19">
        <v>50162</v>
      </c>
      <c r="D120" s="23" t="s">
        <v>364</v>
      </c>
      <c r="E120" s="20" t="s">
        <v>486</v>
      </c>
      <c r="F120" s="21" t="s">
        <v>365</v>
      </c>
      <c r="G120" s="22" t="s">
        <v>26</v>
      </c>
      <c r="H120" s="22"/>
      <c r="I120" s="23" t="s">
        <v>361</v>
      </c>
      <c r="J120" s="23"/>
      <c r="K120" s="23" t="s">
        <v>362</v>
      </c>
      <c r="L120" s="23" t="s">
        <v>51</v>
      </c>
      <c r="M120" s="23">
        <v>0</v>
      </c>
      <c r="N120" s="23">
        <v>1</v>
      </c>
      <c r="O120" s="23" t="s">
        <v>29</v>
      </c>
      <c r="P120" s="24"/>
      <c r="Q120" s="24"/>
      <c r="R120" s="19"/>
      <c r="S120" s="24"/>
      <c r="T120" s="24"/>
      <c r="U120" s="24" t="s">
        <v>31</v>
      </c>
      <c r="V120" s="23"/>
      <c r="W120" s="19"/>
      <c r="X120" s="25"/>
      <c r="Y120" s="26"/>
    </row>
    <row r="121" spans="1:26" s="27" customFormat="1" ht="33" hidden="1" customHeight="1" thickBot="1" x14ac:dyDescent="0.35">
      <c r="A121" s="17">
        <v>69</v>
      </c>
      <c r="B121" s="23">
        <v>4319</v>
      </c>
      <c r="C121" s="19"/>
      <c r="D121" s="23" t="s">
        <v>491</v>
      </c>
      <c r="E121" s="20" t="s">
        <v>544</v>
      </c>
      <c r="F121" s="21" t="s">
        <v>484</v>
      </c>
      <c r="G121" s="22" t="s">
        <v>485</v>
      </c>
      <c r="H121" s="22"/>
      <c r="I121" s="23" t="s">
        <v>405</v>
      </c>
      <c r="J121" s="23"/>
      <c r="K121" s="23" t="s">
        <v>454</v>
      </c>
      <c r="L121" s="23" t="s">
        <v>28</v>
      </c>
      <c r="M121" s="23">
        <v>1</v>
      </c>
      <c r="N121" s="23">
        <v>0</v>
      </c>
      <c r="O121" s="23" t="s">
        <v>176</v>
      </c>
      <c r="P121" s="24"/>
      <c r="Q121" s="24"/>
      <c r="R121" s="19"/>
      <c r="S121" s="24"/>
      <c r="T121" s="24"/>
      <c r="U121" s="24" t="s">
        <v>31</v>
      </c>
      <c r="V121" s="23"/>
      <c r="W121" s="19"/>
      <c r="X121" s="25"/>
      <c r="Y121" s="26"/>
    </row>
    <row r="122" spans="1:26" s="27" customFormat="1" ht="33" hidden="1" customHeight="1" thickBot="1" x14ac:dyDescent="0.35">
      <c r="A122" s="17">
        <v>70</v>
      </c>
      <c r="B122" s="23">
        <v>4319</v>
      </c>
      <c r="C122" s="19"/>
      <c r="D122" s="23" t="s">
        <v>489</v>
      </c>
      <c r="E122" s="20" t="s">
        <v>543</v>
      </c>
      <c r="F122" s="21" t="s">
        <v>490</v>
      </c>
      <c r="G122" s="22" t="s">
        <v>26</v>
      </c>
      <c r="H122" s="22"/>
      <c r="I122" s="23" t="s">
        <v>455</v>
      </c>
      <c r="J122" s="23"/>
      <c r="K122" s="23" t="s">
        <v>456</v>
      </c>
      <c r="L122" s="23" t="s">
        <v>28</v>
      </c>
      <c r="M122" s="23">
        <v>1</v>
      </c>
      <c r="N122" s="23">
        <v>0</v>
      </c>
      <c r="O122" s="23" t="s">
        <v>176</v>
      </c>
      <c r="P122" s="24"/>
      <c r="Q122" s="24"/>
      <c r="R122" s="19"/>
      <c r="S122" s="24"/>
      <c r="T122" s="24"/>
      <c r="U122" s="24" t="s">
        <v>31</v>
      </c>
      <c r="V122" s="23"/>
      <c r="W122" s="19"/>
      <c r="X122" s="25"/>
      <c r="Y122" s="26"/>
    </row>
    <row r="123" spans="1:26" s="27" customFormat="1" ht="33" hidden="1" customHeight="1" thickBot="1" x14ac:dyDescent="0.35">
      <c r="A123" s="17">
        <v>71</v>
      </c>
      <c r="B123" s="23"/>
      <c r="C123" s="19"/>
      <c r="D123" s="23" t="s">
        <v>580</v>
      </c>
      <c r="E123" s="20" t="s">
        <v>581</v>
      </c>
      <c r="F123" s="21" t="s">
        <v>579</v>
      </c>
      <c r="G123" s="22" t="s">
        <v>26</v>
      </c>
      <c r="H123" s="22"/>
      <c r="I123" s="23" t="s">
        <v>457</v>
      </c>
      <c r="J123" s="23"/>
      <c r="K123" s="23" t="s">
        <v>439</v>
      </c>
      <c r="L123" s="23" t="s">
        <v>28</v>
      </c>
      <c r="M123" s="23">
        <v>1</v>
      </c>
      <c r="N123" s="23">
        <v>0</v>
      </c>
      <c r="O123" s="23" t="s">
        <v>29</v>
      </c>
      <c r="P123" s="24"/>
      <c r="Q123" s="24"/>
      <c r="R123" s="19"/>
      <c r="S123" s="24"/>
      <c r="T123" s="24"/>
      <c r="U123" s="24" t="s">
        <v>31</v>
      </c>
      <c r="V123" s="23"/>
      <c r="W123" s="19"/>
      <c r="X123" s="25"/>
      <c r="Y123" s="26"/>
    </row>
    <row r="124" spans="1:26" s="27" customFormat="1" ht="33" hidden="1" customHeight="1" thickBot="1" x14ac:dyDescent="0.35">
      <c r="A124" s="17">
        <v>72</v>
      </c>
      <c r="B124" s="23">
        <v>4319</v>
      </c>
      <c r="C124" s="19"/>
      <c r="D124" s="23" t="s">
        <v>511</v>
      </c>
      <c r="E124" s="20" t="s">
        <v>512</v>
      </c>
      <c r="F124" s="21" t="s">
        <v>510</v>
      </c>
      <c r="G124" s="22" t="s">
        <v>26</v>
      </c>
      <c r="H124" s="22"/>
      <c r="I124" s="23" t="s">
        <v>457</v>
      </c>
      <c r="J124" s="23"/>
      <c r="K124" s="23" t="s">
        <v>458</v>
      </c>
      <c r="L124" s="23" t="s">
        <v>28</v>
      </c>
      <c r="M124" s="23">
        <v>1</v>
      </c>
      <c r="N124" s="23">
        <v>0</v>
      </c>
      <c r="O124" s="23" t="s">
        <v>29</v>
      </c>
      <c r="P124" s="24"/>
      <c r="Q124" s="24"/>
      <c r="R124" s="19"/>
      <c r="S124" s="24"/>
      <c r="T124" s="24"/>
      <c r="U124" s="24" t="s">
        <v>31</v>
      </c>
      <c r="V124" s="23"/>
      <c r="W124" s="19"/>
      <c r="X124" s="25"/>
      <c r="Y124" s="26"/>
    </row>
    <row r="125" spans="1:26" s="94" customFormat="1" ht="33" hidden="1" customHeight="1" thickBot="1" x14ac:dyDescent="0.35">
      <c r="A125" s="85"/>
      <c r="B125" s="86"/>
      <c r="C125" s="87"/>
      <c r="D125" s="86" t="s">
        <v>583</v>
      </c>
      <c r="E125" s="88" t="s">
        <v>584</v>
      </c>
      <c r="F125" s="89" t="s">
        <v>582</v>
      </c>
      <c r="G125" s="90" t="s">
        <v>26</v>
      </c>
      <c r="H125" s="90"/>
      <c r="I125" s="86" t="s">
        <v>457</v>
      </c>
      <c r="J125" s="86"/>
      <c r="K125" s="86" t="s">
        <v>459</v>
      </c>
      <c r="L125" s="86" t="s">
        <v>28</v>
      </c>
      <c r="M125" s="86">
        <v>0</v>
      </c>
      <c r="N125" s="86">
        <v>0</v>
      </c>
      <c r="O125" s="86" t="s">
        <v>29</v>
      </c>
      <c r="P125" s="91"/>
      <c r="Q125" s="91"/>
      <c r="R125" s="87"/>
      <c r="S125" s="91"/>
      <c r="T125" s="91"/>
      <c r="V125" s="86"/>
      <c r="W125" s="87"/>
      <c r="X125" s="92"/>
      <c r="Y125" s="93"/>
      <c r="Z125" s="91" t="s">
        <v>31</v>
      </c>
    </row>
    <row r="126" spans="1:26" s="27" customFormat="1" ht="33" hidden="1" customHeight="1" thickBot="1" x14ac:dyDescent="0.35">
      <c r="A126" s="17">
        <v>73</v>
      </c>
      <c r="B126" s="23">
        <v>4319</v>
      </c>
      <c r="C126" s="19"/>
      <c r="D126" s="23" t="s">
        <v>513</v>
      </c>
      <c r="E126" s="20" t="s">
        <v>516</v>
      </c>
      <c r="F126" s="21" t="s">
        <v>515</v>
      </c>
      <c r="G126" s="22" t="s">
        <v>26</v>
      </c>
      <c r="H126" s="22"/>
      <c r="I126" s="23" t="s">
        <v>457</v>
      </c>
      <c r="J126" s="23"/>
      <c r="K126" s="23" t="s">
        <v>459</v>
      </c>
      <c r="L126" s="23" t="s">
        <v>51</v>
      </c>
      <c r="M126" s="23">
        <v>0</v>
      </c>
      <c r="N126" s="23">
        <v>1</v>
      </c>
      <c r="O126" s="23" t="s">
        <v>29</v>
      </c>
      <c r="P126" s="24"/>
      <c r="Q126" s="24"/>
      <c r="R126" s="19"/>
      <c r="S126" s="24"/>
      <c r="T126" s="24"/>
      <c r="U126" s="24" t="s">
        <v>31</v>
      </c>
      <c r="V126" s="23"/>
      <c r="W126" s="19"/>
      <c r="X126" s="25"/>
      <c r="Y126" s="26"/>
    </row>
    <row r="127" spans="1:26" s="27" customFormat="1" ht="33" hidden="1" customHeight="1" thickBot="1" x14ac:dyDescent="0.35">
      <c r="A127" s="17">
        <v>73</v>
      </c>
      <c r="B127" s="23">
        <v>4319</v>
      </c>
      <c r="C127" s="19"/>
      <c r="D127" s="23" t="s">
        <v>518</v>
      </c>
      <c r="E127" s="20" t="s">
        <v>517</v>
      </c>
      <c r="F127" s="21" t="s">
        <v>514</v>
      </c>
      <c r="G127" s="22" t="s">
        <v>26</v>
      </c>
      <c r="H127" s="22"/>
      <c r="I127" s="23" t="s">
        <v>457</v>
      </c>
      <c r="J127" s="23"/>
      <c r="K127" s="23" t="s">
        <v>459</v>
      </c>
      <c r="L127" s="23" t="s">
        <v>51</v>
      </c>
      <c r="M127" s="23">
        <v>0</v>
      </c>
      <c r="N127" s="23">
        <v>1</v>
      </c>
      <c r="O127" s="23" t="s">
        <v>29</v>
      </c>
      <c r="P127" s="24"/>
      <c r="Q127" s="24"/>
      <c r="R127" s="19"/>
      <c r="S127" s="24"/>
      <c r="T127" s="24"/>
      <c r="U127" s="24" t="s">
        <v>31</v>
      </c>
      <c r="V127" s="23"/>
      <c r="W127" s="19"/>
      <c r="X127" s="25"/>
      <c r="Y127" s="26"/>
    </row>
    <row r="128" spans="1:26" s="27" customFormat="1" ht="33" hidden="1" customHeight="1" thickBot="1" x14ac:dyDescent="0.35">
      <c r="A128" s="17">
        <v>74</v>
      </c>
      <c r="B128" s="23">
        <v>4319</v>
      </c>
      <c r="C128" s="19"/>
      <c r="D128" s="23" t="s">
        <v>519</v>
      </c>
      <c r="E128" s="20" t="s">
        <v>520</v>
      </c>
      <c r="F128" s="21" t="s">
        <v>521</v>
      </c>
      <c r="G128" s="22" t="s">
        <v>26</v>
      </c>
      <c r="H128" s="22"/>
      <c r="I128" s="23" t="s">
        <v>457</v>
      </c>
      <c r="J128" s="23"/>
      <c r="K128" s="23" t="s">
        <v>460</v>
      </c>
      <c r="L128" s="23" t="s">
        <v>28</v>
      </c>
      <c r="M128" s="23">
        <v>1</v>
      </c>
      <c r="N128" s="23">
        <v>0</v>
      </c>
      <c r="O128" s="23" t="s">
        <v>29</v>
      </c>
      <c r="P128" s="24"/>
      <c r="Q128" s="24"/>
      <c r="R128" s="19"/>
      <c r="S128" s="24"/>
      <c r="T128" s="24"/>
      <c r="U128" s="24" t="s">
        <v>31</v>
      </c>
      <c r="V128" s="23"/>
      <c r="W128" s="19"/>
      <c r="X128" s="25"/>
      <c r="Y128" s="26"/>
    </row>
    <row r="129" spans="1:26" s="27" customFormat="1" ht="33" hidden="1" customHeight="1" thickBot="1" x14ac:dyDescent="0.35">
      <c r="A129" s="17">
        <v>75</v>
      </c>
      <c r="B129" s="23">
        <v>4319</v>
      </c>
      <c r="C129" s="19"/>
      <c r="D129" s="23" t="s">
        <v>524</v>
      </c>
      <c r="E129" s="20" t="s">
        <v>526</v>
      </c>
      <c r="F129" s="21" t="s">
        <v>522</v>
      </c>
      <c r="G129" s="22" t="s">
        <v>26</v>
      </c>
      <c r="H129" s="22"/>
      <c r="I129" s="23" t="s">
        <v>457</v>
      </c>
      <c r="J129" s="23"/>
      <c r="K129" s="23" t="s">
        <v>460</v>
      </c>
      <c r="L129" s="23" t="s">
        <v>51</v>
      </c>
      <c r="M129" s="23">
        <v>0</v>
      </c>
      <c r="N129" s="23">
        <v>1</v>
      </c>
      <c r="O129" s="23" t="s">
        <v>29</v>
      </c>
      <c r="P129" s="24"/>
      <c r="Q129" s="24"/>
      <c r="R129" s="19"/>
      <c r="S129" s="24"/>
      <c r="T129" s="24"/>
      <c r="U129" s="24" t="s">
        <v>31</v>
      </c>
      <c r="V129" s="23"/>
      <c r="W129" s="19"/>
      <c r="X129" s="25"/>
      <c r="Y129" s="26"/>
    </row>
    <row r="130" spans="1:26" s="27" customFormat="1" ht="33" hidden="1" customHeight="1" thickBot="1" x14ac:dyDescent="0.35">
      <c r="A130" s="17">
        <v>75</v>
      </c>
      <c r="B130" s="23">
        <v>4319</v>
      </c>
      <c r="C130" s="19"/>
      <c r="D130" s="23" t="s">
        <v>525</v>
      </c>
      <c r="E130" s="20" t="s">
        <v>527</v>
      </c>
      <c r="F130" s="21" t="s">
        <v>523</v>
      </c>
      <c r="G130" s="22" t="s">
        <v>26</v>
      </c>
      <c r="H130" s="22"/>
      <c r="I130" s="23" t="s">
        <v>457</v>
      </c>
      <c r="J130" s="23"/>
      <c r="K130" s="23" t="s">
        <v>460</v>
      </c>
      <c r="L130" s="23" t="s">
        <v>51</v>
      </c>
      <c r="M130" s="23">
        <v>0</v>
      </c>
      <c r="N130" s="23">
        <v>1</v>
      </c>
      <c r="O130" s="23" t="s">
        <v>29</v>
      </c>
      <c r="P130" s="24"/>
      <c r="Q130" s="24"/>
      <c r="R130" s="19"/>
      <c r="S130" s="24"/>
      <c r="T130" s="24"/>
      <c r="U130" s="24" t="s">
        <v>31</v>
      </c>
      <c r="V130" s="23"/>
      <c r="W130" s="19"/>
      <c r="X130" s="25"/>
      <c r="Y130" s="26"/>
    </row>
    <row r="131" spans="1:26" s="94" customFormat="1" ht="33" hidden="1" customHeight="1" thickBot="1" x14ac:dyDescent="0.35">
      <c r="A131" s="85"/>
      <c r="B131" s="86"/>
      <c r="C131" s="87"/>
      <c r="D131" s="86"/>
      <c r="E131" s="88"/>
      <c r="F131" s="89"/>
      <c r="G131" s="90" t="s">
        <v>26</v>
      </c>
      <c r="H131" s="90"/>
      <c r="I131" s="86" t="s">
        <v>457</v>
      </c>
      <c r="J131" s="86"/>
      <c r="K131" s="86" t="s">
        <v>461</v>
      </c>
      <c r="L131" s="86" t="s">
        <v>28</v>
      </c>
      <c r="M131" s="86">
        <v>0</v>
      </c>
      <c r="N131" s="86">
        <v>0</v>
      </c>
      <c r="O131" s="86" t="s">
        <v>29</v>
      </c>
      <c r="P131" s="91"/>
      <c r="Q131" s="91"/>
      <c r="R131" s="87"/>
      <c r="S131" s="91"/>
      <c r="T131" s="91"/>
      <c r="V131" s="86"/>
      <c r="W131" s="87"/>
      <c r="X131" s="92"/>
      <c r="Y131" s="93"/>
      <c r="Z131" s="91" t="s">
        <v>31</v>
      </c>
    </row>
    <row r="132" spans="1:26" s="27" customFormat="1" ht="33" hidden="1" customHeight="1" thickBot="1" x14ac:dyDescent="0.35">
      <c r="A132" s="17">
        <v>76</v>
      </c>
      <c r="B132" s="23">
        <v>4319</v>
      </c>
      <c r="C132" s="19"/>
      <c r="D132" s="23" t="s">
        <v>529</v>
      </c>
      <c r="E132" s="20" t="s">
        <v>531</v>
      </c>
      <c r="F132" s="21" t="s">
        <v>528</v>
      </c>
      <c r="G132" s="22" t="s">
        <v>26</v>
      </c>
      <c r="H132" s="22"/>
      <c r="I132" s="23" t="s">
        <v>462</v>
      </c>
      <c r="J132" s="23"/>
      <c r="K132" s="23" t="s">
        <v>463</v>
      </c>
      <c r="L132" s="23" t="s">
        <v>51</v>
      </c>
      <c r="M132" s="23">
        <v>0</v>
      </c>
      <c r="N132" s="23">
        <v>1</v>
      </c>
      <c r="O132" s="23" t="s">
        <v>29</v>
      </c>
      <c r="P132" s="24"/>
      <c r="Q132" s="24"/>
      <c r="R132" s="19"/>
      <c r="S132" s="24"/>
      <c r="T132" s="24"/>
      <c r="U132" s="24" t="s">
        <v>31</v>
      </c>
      <c r="V132" s="23"/>
      <c r="W132" s="19"/>
      <c r="X132" s="25"/>
      <c r="Y132" s="26"/>
    </row>
    <row r="133" spans="1:26" s="27" customFormat="1" ht="33" hidden="1" customHeight="1" thickBot="1" x14ac:dyDescent="0.35">
      <c r="A133" s="17">
        <v>76</v>
      </c>
      <c r="B133" s="23">
        <v>4319</v>
      </c>
      <c r="C133" s="19"/>
      <c r="D133" s="23" t="s">
        <v>530</v>
      </c>
      <c r="E133" s="20" t="s">
        <v>531</v>
      </c>
      <c r="F133" s="21" t="s">
        <v>351</v>
      </c>
      <c r="G133" s="22" t="s">
        <v>26</v>
      </c>
      <c r="H133" s="22"/>
      <c r="I133" s="23" t="s">
        <v>462</v>
      </c>
      <c r="J133" s="23"/>
      <c r="K133" s="23" t="s">
        <v>463</v>
      </c>
      <c r="L133" s="23" t="s">
        <v>51</v>
      </c>
      <c r="M133" s="23">
        <v>0</v>
      </c>
      <c r="N133" s="23">
        <v>1</v>
      </c>
      <c r="O133" s="23" t="s">
        <v>29</v>
      </c>
      <c r="P133" s="24"/>
      <c r="Q133" s="24"/>
      <c r="R133" s="19"/>
      <c r="S133" s="24"/>
      <c r="T133" s="24"/>
      <c r="U133" s="24" t="s">
        <v>31</v>
      </c>
      <c r="V133" s="23"/>
      <c r="W133" s="19"/>
      <c r="X133" s="25"/>
      <c r="Y133" s="26"/>
    </row>
    <row r="134" spans="1:26" s="27" customFormat="1" ht="33" hidden="1" customHeight="1" thickBot="1" x14ac:dyDescent="0.35">
      <c r="A134" s="17">
        <v>77</v>
      </c>
      <c r="B134" s="23">
        <v>4319</v>
      </c>
      <c r="C134" s="19"/>
      <c r="D134" s="23" t="s">
        <v>534</v>
      </c>
      <c r="E134" s="20" t="s">
        <v>536</v>
      </c>
      <c r="F134" s="21" t="s">
        <v>532</v>
      </c>
      <c r="G134" s="22" t="s">
        <v>26</v>
      </c>
      <c r="H134" s="22"/>
      <c r="I134" s="23" t="s">
        <v>464</v>
      </c>
      <c r="J134" s="23" t="s">
        <v>460</v>
      </c>
      <c r="K134" s="23" t="s">
        <v>463</v>
      </c>
      <c r="L134" s="23" t="s">
        <v>51</v>
      </c>
      <c r="M134" s="23">
        <v>0</v>
      </c>
      <c r="N134" s="23">
        <v>1</v>
      </c>
      <c r="O134" s="23" t="s">
        <v>29</v>
      </c>
      <c r="P134" s="24"/>
      <c r="Q134" s="24"/>
      <c r="R134" s="19"/>
      <c r="S134" s="24"/>
      <c r="T134" s="24"/>
      <c r="U134" s="24" t="s">
        <v>31</v>
      </c>
      <c r="V134" s="23"/>
      <c r="W134" s="19"/>
      <c r="X134" s="25"/>
      <c r="Y134" s="26"/>
    </row>
    <row r="135" spans="1:26" s="27" customFormat="1" ht="33" hidden="1" customHeight="1" thickBot="1" x14ac:dyDescent="0.35">
      <c r="A135" s="17">
        <v>77</v>
      </c>
      <c r="B135" s="23">
        <v>4319</v>
      </c>
      <c r="C135" s="19"/>
      <c r="D135" s="23" t="s">
        <v>535</v>
      </c>
      <c r="E135" s="20" t="s">
        <v>537</v>
      </c>
      <c r="F135" s="21" t="s">
        <v>533</v>
      </c>
      <c r="G135" s="22" t="s">
        <v>26</v>
      </c>
      <c r="H135" s="22"/>
      <c r="I135" s="23" t="s">
        <v>464</v>
      </c>
      <c r="J135" s="23" t="s">
        <v>460</v>
      </c>
      <c r="K135" s="23" t="s">
        <v>463</v>
      </c>
      <c r="L135" s="23" t="s">
        <v>51</v>
      </c>
      <c r="M135" s="23">
        <v>0</v>
      </c>
      <c r="N135" s="23">
        <v>1</v>
      </c>
      <c r="O135" s="23" t="s">
        <v>29</v>
      </c>
      <c r="P135" s="24"/>
      <c r="Q135" s="24"/>
      <c r="R135" s="19"/>
      <c r="S135" s="24"/>
      <c r="T135" s="24"/>
      <c r="U135" s="24" t="s">
        <v>31</v>
      </c>
      <c r="V135" s="23"/>
      <c r="W135" s="19"/>
      <c r="X135" s="25"/>
      <c r="Y135" s="26"/>
    </row>
    <row r="136" spans="1:26" s="27" customFormat="1" ht="33" hidden="1" customHeight="1" thickBot="1" x14ac:dyDescent="0.35">
      <c r="A136" s="17">
        <v>78</v>
      </c>
      <c r="B136" s="23">
        <v>4319</v>
      </c>
      <c r="C136" s="19"/>
      <c r="D136" s="23" t="s">
        <v>540</v>
      </c>
      <c r="E136" s="20" t="s">
        <v>543</v>
      </c>
      <c r="F136" s="21" t="s">
        <v>538</v>
      </c>
      <c r="G136" s="22" t="s">
        <v>26</v>
      </c>
      <c r="H136" s="22"/>
      <c r="I136" s="23" t="s">
        <v>458</v>
      </c>
      <c r="J136" s="23" t="s">
        <v>464</v>
      </c>
      <c r="K136" s="23" t="s">
        <v>465</v>
      </c>
      <c r="L136" s="23" t="s">
        <v>51</v>
      </c>
      <c r="M136" s="23">
        <v>0</v>
      </c>
      <c r="N136" s="23">
        <v>1</v>
      </c>
      <c r="O136" s="23" t="s">
        <v>29</v>
      </c>
      <c r="P136" s="24"/>
      <c r="Q136" s="24"/>
      <c r="R136" s="19"/>
      <c r="S136" s="24"/>
      <c r="T136" s="24"/>
      <c r="U136" s="24" t="s">
        <v>31</v>
      </c>
      <c r="V136" s="23"/>
      <c r="W136" s="19"/>
      <c r="X136" s="25"/>
      <c r="Y136" s="26"/>
    </row>
    <row r="137" spans="1:26" s="27" customFormat="1" ht="33" hidden="1" customHeight="1" thickBot="1" x14ac:dyDescent="0.35">
      <c r="A137" s="17">
        <v>78</v>
      </c>
      <c r="B137" s="23">
        <v>4319</v>
      </c>
      <c r="C137" s="19"/>
      <c r="D137" s="23" t="s">
        <v>541</v>
      </c>
      <c r="E137" s="20" t="s">
        <v>542</v>
      </c>
      <c r="F137" s="21" t="s">
        <v>539</v>
      </c>
      <c r="G137" s="22" t="s">
        <v>26</v>
      </c>
      <c r="H137" s="22"/>
      <c r="I137" s="23" t="s">
        <v>458</v>
      </c>
      <c r="J137" s="23" t="s">
        <v>464</v>
      </c>
      <c r="K137" s="23" t="s">
        <v>465</v>
      </c>
      <c r="L137" s="23" t="s">
        <v>51</v>
      </c>
      <c r="M137" s="23">
        <v>0</v>
      </c>
      <c r="N137" s="23">
        <v>1</v>
      </c>
      <c r="O137" s="23" t="s">
        <v>29</v>
      </c>
      <c r="P137" s="24"/>
      <c r="Q137" s="24"/>
      <c r="R137" s="19"/>
      <c r="S137" s="24"/>
      <c r="T137" s="24"/>
      <c r="U137" s="24" t="s">
        <v>31</v>
      </c>
      <c r="V137" s="23"/>
      <c r="W137" s="19"/>
      <c r="X137" s="25"/>
      <c r="Y137" s="26"/>
    </row>
    <row r="138" spans="1:26" s="94" customFormat="1" ht="33" hidden="1" customHeight="1" thickBot="1" x14ac:dyDescent="0.35">
      <c r="A138" s="85"/>
      <c r="B138" s="86">
        <v>4319</v>
      </c>
      <c r="C138" s="87"/>
      <c r="D138" s="86"/>
      <c r="E138" s="88"/>
      <c r="F138" s="89"/>
      <c r="G138" s="90" t="s">
        <v>468</v>
      </c>
      <c r="H138" s="90"/>
      <c r="I138" s="86" t="s">
        <v>466</v>
      </c>
      <c r="J138" s="86"/>
      <c r="K138" s="86" t="s">
        <v>467</v>
      </c>
      <c r="L138" s="86" t="s">
        <v>28</v>
      </c>
      <c r="M138" s="86">
        <v>0</v>
      </c>
      <c r="N138" s="86">
        <v>0</v>
      </c>
      <c r="O138" s="86" t="s">
        <v>29</v>
      </c>
      <c r="P138" s="91"/>
      <c r="Q138" s="91"/>
      <c r="R138" s="87"/>
      <c r="S138" s="91"/>
      <c r="T138" s="91"/>
      <c r="V138" s="86"/>
      <c r="W138" s="87"/>
      <c r="X138" s="92"/>
      <c r="Y138" s="93"/>
      <c r="Z138" s="91" t="s">
        <v>31</v>
      </c>
    </row>
    <row r="139" spans="1:26" s="27" customFormat="1" ht="33" hidden="1" customHeight="1" thickBot="1" x14ac:dyDescent="0.35">
      <c r="A139" s="17">
        <v>79</v>
      </c>
      <c r="B139" s="23"/>
      <c r="C139" s="19"/>
      <c r="D139" s="23" t="s">
        <v>570</v>
      </c>
      <c r="E139" s="20" t="s">
        <v>569</v>
      </c>
      <c r="F139" s="21" t="s">
        <v>564</v>
      </c>
      <c r="G139" s="22" t="s">
        <v>26</v>
      </c>
      <c r="H139" s="22"/>
      <c r="I139" s="23" t="s">
        <v>59</v>
      </c>
      <c r="J139" s="23"/>
      <c r="K139" s="23" t="s">
        <v>568</v>
      </c>
      <c r="L139" s="23" t="s">
        <v>28</v>
      </c>
      <c r="M139" s="23">
        <v>1</v>
      </c>
      <c r="N139" s="23">
        <v>0</v>
      </c>
      <c r="O139" s="23" t="s">
        <v>29</v>
      </c>
      <c r="P139" s="24"/>
      <c r="Q139" s="24"/>
      <c r="R139" s="19"/>
      <c r="S139" s="24"/>
      <c r="T139" s="24"/>
      <c r="U139" s="24"/>
      <c r="V139" s="23"/>
      <c r="W139" s="19"/>
      <c r="X139" s="25"/>
      <c r="Y139" s="26"/>
    </row>
    <row r="140" spans="1:26" s="27" customFormat="1" ht="33" hidden="1" customHeight="1" thickBot="1" x14ac:dyDescent="0.35">
      <c r="A140" s="17">
        <v>80</v>
      </c>
      <c r="B140" s="23"/>
      <c r="C140" s="19"/>
      <c r="D140" s="23" t="s">
        <v>572</v>
      </c>
      <c r="E140" s="20" t="s">
        <v>571</v>
      </c>
      <c r="F140" s="21" t="s">
        <v>565</v>
      </c>
      <c r="G140" s="22" t="s">
        <v>26</v>
      </c>
      <c r="H140" s="22"/>
      <c r="I140" s="23" t="s">
        <v>59</v>
      </c>
      <c r="J140" s="23"/>
      <c r="K140" s="23" t="s">
        <v>573</v>
      </c>
      <c r="L140" s="23" t="s">
        <v>28</v>
      </c>
      <c r="M140" s="23">
        <v>1</v>
      </c>
      <c r="N140" s="23">
        <v>0</v>
      </c>
      <c r="O140" s="23" t="s">
        <v>29</v>
      </c>
      <c r="P140" s="24"/>
      <c r="Q140" s="24"/>
      <c r="R140" s="19"/>
      <c r="S140" s="24"/>
      <c r="T140" s="24"/>
      <c r="U140" s="24"/>
      <c r="V140" s="23"/>
      <c r="W140" s="19"/>
      <c r="X140" s="25"/>
      <c r="Y140" s="26"/>
    </row>
    <row r="141" spans="1:26" s="27" customFormat="1" ht="33" hidden="1" customHeight="1" thickBot="1" x14ac:dyDescent="0.35">
      <c r="A141" s="17">
        <v>81</v>
      </c>
      <c r="B141" s="23"/>
      <c r="C141" s="19"/>
      <c r="D141" s="23" t="s">
        <v>575</v>
      </c>
      <c r="E141" s="20" t="s">
        <v>576</v>
      </c>
      <c r="F141" s="21" t="s">
        <v>566</v>
      </c>
      <c r="G141" s="22" t="s">
        <v>26</v>
      </c>
      <c r="H141" s="22"/>
      <c r="I141" s="23" t="s">
        <v>574</v>
      </c>
      <c r="J141" s="23"/>
      <c r="K141" s="23" t="s">
        <v>568</v>
      </c>
      <c r="L141" s="23" t="s">
        <v>28</v>
      </c>
      <c r="M141" s="23">
        <v>1</v>
      </c>
      <c r="N141" s="23">
        <v>0</v>
      </c>
      <c r="O141" s="23" t="s">
        <v>29</v>
      </c>
      <c r="P141" s="24"/>
      <c r="Q141" s="24"/>
      <c r="R141" s="19"/>
      <c r="S141" s="24"/>
      <c r="T141" s="24"/>
      <c r="U141" s="24"/>
      <c r="V141" s="23"/>
      <c r="W141" s="19"/>
      <c r="X141" s="25"/>
      <c r="Y141" s="26"/>
    </row>
    <row r="142" spans="1:26" s="27" customFormat="1" ht="33" hidden="1" customHeight="1" thickBot="1" x14ac:dyDescent="0.35">
      <c r="A142" s="17">
        <v>82</v>
      </c>
      <c r="B142" s="23"/>
      <c r="C142" s="19"/>
      <c r="D142" s="23" t="s">
        <v>577</v>
      </c>
      <c r="E142" s="20" t="s">
        <v>578</v>
      </c>
      <c r="F142" s="21" t="s">
        <v>567</v>
      </c>
      <c r="G142" s="22" t="s">
        <v>26</v>
      </c>
      <c r="H142" s="22"/>
      <c r="I142" s="23" t="s">
        <v>574</v>
      </c>
      <c r="J142" s="23"/>
      <c r="K142" s="23" t="s">
        <v>573</v>
      </c>
      <c r="L142" s="23" t="s">
        <v>28</v>
      </c>
      <c r="M142" s="23">
        <v>1</v>
      </c>
      <c r="N142" s="23">
        <v>0</v>
      </c>
      <c r="O142" s="23" t="s">
        <v>29</v>
      </c>
      <c r="P142" s="24"/>
      <c r="Q142" s="24"/>
      <c r="R142" s="19"/>
      <c r="S142" s="24"/>
      <c r="T142" s="24"/>
      <c r="U142" s="24"/>
      <c r="V142" s="23"/>
      <c r="W142" s="19"/>
      <c r="X142" s="25"/>
      <c r="Y142" s="26"/>
    </row>
    <row r="143" spans="1:26" ht="33" hidden="1" customHeight="1" thickBot="1" x14ac:dyDescent="0.35">
      <c r="A143" s="17">
        <v>83</v>
      </c>
      <c r="B143" s="23"/>
      <c r="C143" s="19"/>
      <c r="D143" s="23" t="s">
        <v>593</v>
      </c>
      <c r="E143" s="20" t="s">
        <v>594</v>
      </c>
      <c r="F143" s="21" t="s">
        <v>585</v>
      </c>
      <c r="G143" s="22" t="s">
        <v>586</v>
      </c>
      <c r="H143" s="22"/>
      <c r="I143" s="23" t="s">
        <v>590</v>
      </c>
      <c r="J143" s="23"/>
      <c r="K143" s="23" t="s">
        <v>573</v>
      </c>
      <c r="L143" s="23" t="s">
        <v>28</v>
      </c>
      <c r="M143" s="23">
        <v>1</v>
      </c>
      <c r="N143" s="23">
        <v>0</v>
      </c>
      <c r="O143" s="23" t="s">
        <v>29</v>
      </c>
      <c r="P143" s="24"/>
      <c r="Q143" s="24"/>
      <c r="R143" s="19"/>
      <c r="S143" s="24"/>
      <c r="T143" s="24"/>
      <c r="U143" s="24"/>
    </row>
    <row r="144" spans="1:26" ht="33" customHeight="1" thickBot="1" x14ac:dyDescent="0.35">
      <c r="A144" s="17">
        <v>84</v>
      </c>
      <c r="B144" s="23"/>
      <c r="C144" s="19"/>
      <c r="D144" s="23" t="s">
        <v>595</v>
      </c>
      <c r="E144" s="20" t="s">
        <v>596</v>
      </c>
      <c r="F144" s="21" t="s">
        <v>597</v>
      </c>
      <c r="G144" s="22" t="s">
        <v>587</v>
      </c>
      <c r="H144" s="22"/>
      <c r="I144" s="23" t="s">
        <v>588</v>
      </c>
      <c r="J144" s="23"/>
      <c r="K144" s="23" t="s">
        <v>589</v>
      </c>
      <c r="L144" s="23" t="s">
        <v>28</v>
      </c>
      <c r="M144" s="23">
        <v>1</v>
      </c>
      <c r="N144" s="23">
        <v>0</v>
      </c>
      <c r="O144" s="23" t="s">
        <v>29</v>
      </c>
      <c r="P144" s="24"/>
      <c r="Q144" s="24"/>
      <c r="R144" s="19"/>
      <c r="S144" s="24"/>
      <c r="T144" s="24"/>
      <c r="U144" s="24" t="s">
        <v>208</v>
      </c>
    </row>
    <row r="145" spans="1:21" ht="33" customHeight="1" thickBot="1" x14ac:dyDescent="0.35">
      <c r="A145" s="17"/>
      <c r="B145" s="23"/>
      <c r="C145" s="19"/>
      <c r="D145" s="23"/>
      <c r="E145" s="20"/>
      <c r="F145" s="21"/>
      <c r="G145" s="22"/>
      <c r="H145" s="22"/>
      <c r="I145" s="23" t="s">
        <v>600</v>
      </c>
      <c r="J145" s="23"/>
      <c r="K145" s="23" t="s">
        <v>601</v>
      </c>
      <c r="L145" s="23" t="s">
        <v>28</v>
      </c>
      <c r="M145" s="23"/>
      <c r="N145" s="23"/>
      <c r="O145" s="23"/>
      <c r="P145" s="24"/>
      <c r="Q145" s="24"/>
      <c r="R145" s="19"/>
      <c r="S145" s="24"/>
      <c r="T145" s="24"/>
      <c r="U145" s="24"/>
    </row>
    <row r="146" spans="1:21" ht="33" customHeight="1" thickBot="1" x14ac:dyDescent="0.35">
      <c r="A146" s="17"/>
      <c r="B146" s="23"/>
      <c r="C146" s="19"/>
      <c r="D146" s="23"/>
      <c r="E146" s="20"/>
      <c r="F146" s="21"/>
      <c r="G146" s="22"/>
      <c r="H146" s="22"/>
      <c r="I146" s="23" t="s">
        <v>600</v>
      </c>
      <c r="J146" s="23"/>
      <c r="K146" s="23" t="s">
        <v>602</v>
      </c>
      <c r="L146" s="23" t="s">
        <v>28</v>
      </c>
      <c r="M146" s="23"/>
      <c r="N146" s="23"/>
      <c r="O146" s="23"/>
      <c r="P146" s="24"/>
      <c r="Q146" s="24"/>
      <c r="R146" s="19"/>
      <c r="S146" s="24"/>
      <c r="T146" s="24"/>
      <c r="U146" s="24"/>
    </row>
    <row r="147" spans="1:21" ht="33" customHeight="1" thickBot="1" x14ac:dyDescent="0.35">
      <c r="A147" s="17"/>
      <c r="B147" s="23"/>
      <c r="C147" s="19"/>
      <c r="D147" s="23"/>
      <c r="E147" s="20"/>
      <c r="F147" s="21"/>
      <c r="G147" s="22"/>
      <c r="H147" s="22"/>
      <c r="I147" s="23" t="s">
        <v>600</v>
      </c>
      <c r="J147" s="23"/>
      <c r="K147" s="23" t="s">
        <v>603</v>
      </c>
      <c r="L147" s="23" t="s">
        <v>28</v>
      </c>
      <c r="M147" s="23"/>
      <c r="N147" s="23"/>
      <c r="O147" s="23"/>
      <c r="P147" s="24"/>
      <c r="Q147" s="24"/>
      <c r="R147" s="19"/>
      <c r="S147" s="24"/>
      <c r="T147" s="24"/>
      <c r="U147" s="24"/>
    </row>
    <row r="148" spans="1:21" ht="33" customHeight="1" thickBot="1" x14ac:dyDescent="0.35">
      <c r="A148" s="17"/>
      <c r="B148" s="23"/>
      <c r="C148" s="19"/>
      <c r="D148" s="23"/>
      <c r="E148" s="20"/>
      <c r="F148" s="21"/>
      <c r="G148" s="22"/>
      <c r="H148" s="22"/>
      <c r="I148" s="23" t="s">
        <v>213</v>
      </c>
      <c r="J148" s="23"/>
      <c r="K148" s="23" t="s">
        <v>604</v>
      </c>
      <c r="L148" s="23" t="s">
        <v>28</v>
      </c>
      <c r="M148" s="23"/>
      <c r="N148" s="23"/>
      <c r="O148" s="23"/>
      <c r="P148" s="24"/>
      <c r="Q148" s="24"/>
      <c r="R148" s="19"/>
      <c r="S148" s="24"/>
      <c r="T148" s="24"/>
      <c r="U148" s="24"/>
    </row>
    <row r="149" spans="1:21" ht="33" customHeight="1" thickBot="1" x14ac:dyDescent="0.35">
      <c r="A149" s="17"/>
      <c r="B149" s="23"/>
      <c r="C149" s="19"/>
      <c r="D149" s="23"/>
      <c r="E149" s="20"/>
      <c r="F149" s="21"/>
      <c r="G149" s="22"/>
      <c r="H149" s="22"/>
      <c r="I149" s="23" t="s">
        <v>213</v>
      </c>
      <c r="J149" s="23"/>
      <c r="K149" s="23" t="s">
        <v>605</v>
      </c>
      <c r="L149" s="23" t="s">
        <v>28</v>
      </c>
      <c r="M149" s="23"/>
      <c r="N149" s="23"/>
      <c r="O149" s="23"/>
      <c r="P149" s="24"/>
      <c r="Q149" s="24"/>
      <c r="R149" s="19"/>
      <c r="S149" s="24"/>
      <c r="T149" s="24"/>
      <c r="U149" s="24"/>
    </row>
    <row r="150" spans="1:21" ht="33" customHeight="1" thickBot="1" x14ac:dyDescent="0.35">
      <c r="A150" s="17"/>
      <c r="B150" s="23"/>
      <c r="C150" s="19"/>
      <c r="D150" s="23"/>
      <c r="E150" s="20"/>
      <c r="F150" s="21"/>
      <c r="G150" s="22"/>
      <c r="H150" s="22"/>
      <c r="I150" s="23" t="s">
        <v>213</v>
      </c>
      <c r="J150" s="23"/>
      <c r="K150" s="23" t="s">
        <v>606</v>
      </c>
      <c r="L150" s="23" t="s">
        <v>28</v>
      </c>
      <c r="M150" s="23"/>
      <c r="N150" s="23"/>
      <c r="O150" s="23"/>
      <c r="P150" s="24"/>
      <c r="Q150" s="24"/>
      <c r="R150" s="19"/>
      <c r="S150" s="24"/>
      <c r="T150" s="24"/>
      <c r="U150" s="24"/>
    </row>
    <row r="151" spans="1:21" ht="33" customHeight="1" thickBot="1" x14ac:dyDescent="0.35">
      <c r="A151" s="17"/>
      <c r="B151" s="23"/>
      <c r="C151" s="19"/>
      <c r="D151" s="23"/>
      <c r="E151" s="20"/>
      <c r="F151" s="21"/>
      <c r="G151" s="22"/>
      <c r="H151" s="22"/>
      <c r="I151" s="23" t="s">
        <v>607</v>
      </c>
      <c r="J151" s="23" t="s">
        <v>608</v>
      </c>
      <c r="K151" s="23" t="s">
        <v>601</v>
      </c>
      <c r="L151" s="23" t="s">
        <v>28</v>
      </c>
      <c r="M151" s="23"/>
      <c r="N151" s="23"/>
      <c r="O151" s="23"/>
      <c r="P151" s="24"/>
      <c r="Q151" s="24"/>
      <c r="R151" s="19"/>
      <c r="S151" s="24"/>
      <c r="T151" s="24"/>
      <c r="U151" s="24"/>
    </row>
    <row r="152" spans="1:21" ht="33" customHeight="1" thickBot="1" x14ac:dyDescent="0.35">
      <c r="A152" s="17"/>
      <c r="B152" s="23"/>
      <c r="C152" s="19"/>
      <c r="D152" s="23"/>
      <c r="E152" s="20"/>
      <c r="F152" s="21"/>
      <c r="G152" s="22"/>
      <c r="H152" s="22"/>
      <c r="I152" s="23" t="s">
        <v>213</v>
      </c>
      <c r="J152" s="23"/>
      <c r="K152" s="23" t="s">
        <v>609</v>
      </c>
      <c r="L152" s="23" t="s">
        <v>28</v>
      </c>
      <c r="M152" s="23"/>
      <c r="N152" s="23"/>
      <c r="O152" s="23"/>
      <c r="P152" s="24"/>
      <c r="Q152" s="24"/>
      <c r="R152" s="19"/>
      <c r="S152" s="24"/>
      <c r="T152" s="24"/>
      <c r="U152" s="24"/>
    </row>
    <row r="153" spans="1:21" ht="33" customHeight="1" thickBot="1" x14ac:dyDescent="0.35">
      <c r="A153" s="17"/>
      <c r="B153" s="23"/>
      <c r="C153" s="19"/>
      <c r="D153" s="23"/>
      <c r="E153" s="20"/>
      <c r="F153" s="21"/>
      <c r="G153" s="22"/>
      <c r="H153" s="22"/>
      <c r="I153" s="23" t="s">
        <v>213</v>
      </c>
      <c r="J153" s="23"/>
      <c r="K153" s="23" t="s">
        <v>453</v>
      </c>
      <c r="L153" s="23" t="s">
        <v>28</v>
      </c>
      <c r="M153" s="23"/>
      <c r="N153" s="23"/>
      <c r="O153" s="23"/>
      <c r="P153" s="24"/>
      <c r="Q153" s="24"/>
      <c r="R153" s="19"/>
      <c r="S153" s="24"/>
      <c r="T153" s="24"/>
      <c r="U153" s="24"/>
    </row>
    <row r="154" spans="1:21" ht="33" customHeight="1" thickBot="1" x14ac:dyDescent="0.35">
      <c r="A154" s="17"/>
      <c r="B154" s="23"/>
      <c r="C154" s="19"/>
      <c r="D154" s="23"/>
      <c r="E154" s="20"/>
      <c r="F154" s="21"/>
      <c r="G154" s="22"/>
      <c r="H154" s="22"/>
      <c r="I154" s="23" t="s">
        <v>600</v>
      </c>
      <c r="J154" s="23"/>
      <c r="K154" s="23" t="s">
        <v>610</v>
      </c>
      <c r="L154" s="23" t="s">
        <v>28</v>
      </c>
      <c r="M154" s="23"/>
      <c r="N154" s="23"/>
      <c r="O154" s="23"/>
      <c r="P154" s="24"/>
      <c r="Q154" s="24"/>
      <c r="R154" s="19"/>
      <c r="S154" s="24"/>
      <c r="T154" s="24"/>
      <c r="U154" s="24"/>
    </row>
    <row r="155" spans="1:21" ht="33" customHeight="1" thickBot="1" x14ac:dyDescent="0.35">
      <c r="A155" s="17"/>
      <c r="B155" s="23"/>
      <c r="C155" s="19"/>
      <c r="D155" s="23"/>
      <c r="E155" s="20"/>
      <c r="F155" s="21"/>
      <c r="G155" s="22"/>
      <c r="H155" s="22"/>
      <c r="I155" s="23" t="s">
        <v>153</v>
      </c>
      <c r="J155" s="23"/>
      <c r="K155" s="23" t="s">
        <v>611</v>
      </c>
      <c r="L155" s="23" t="s">
        <v>28</v>
      </c>
      <c r="M155" s="23"/>
      <c r="N155" s="23"/>
      <c r="O155" s="23"/>
      <c r="P155" s="24"/>
      <c r="Q155" s="24"/>
      <c r="R155" s="19"/>
      <c r="S155" s="24"/>
      <c r="T155" s="24"/>
      <c r="U155" s="24"/>
    </row>
    <row r="156" spans="1:21" ht="33" customHeight="1" thickBot="1" x14ac:dyDescent="0.35">
      <c r="A156" s="17"/>
      <c r="B156" s="23"/>
      <c r="C156" s="19"/>
      <c r="D156" s="23"/>
      <c r="E156" s="20"/>
      <c r="F156" s="21"/>
      <c r="G156" s="22"/>
      <c r="H156" s="22"/>
      <c r="I156" s="23" t="s">
        <v>153</v>
      </c>
      <c r="J156" s="23"/>
      <c r="K156" s="23" t="s">
        <v>306</v>
      </c>
      <c r="L156" s="23" t="s">
        <v>28</v>
      </c>
      <c r="M156" s="23"/>
      <c r="N156" s="23"/>
      <c r="O156" s="23"/>
      <c r="P156" s="24"/>
      <c r="Q156" s="24"/>
      <c r="R156" s="19"/>
      <c r="S156" s="24"/>
      <c r="T156" s="24"/>
      <c r="U156" s="24"/>
    </row>
    <row r="157" spans="1:21" ht="33" customHeight="1" thickBot="1" x14ac:dyDescent="0.35">
      <c r="A157" s="17"/>
      <c r="B157" s="23"/>
      <c r="C157" s="19"/>
      <c r="D157" s="23"/>
      <c r="E157" s="20"/>
      <c r="F157" s="21"/>
      <c r="G157" s="22"/>
      <c r="H157" s="22"/>
      <c r="I157" s="23" t="s">
        <v>235</v>
      </c>
      <c r="J157" s="23"/>
      <c r="K157" s="23" t="s">
        <v>612</v>
      </c>
      <c r="L157" s="23" t="s">
        <v>51</v>
      </c>
      <c r="M157" s="23"/>
      <c r="N157" s="23"/>
      <c r="O157" s="23"/>
      <c r="P157" s="24"/>
      <c r="Q157" s="24"/>
      <c r="R157" s="19"/>
      <c r="S157" s="24"/>
      <c r="T157" s="24"/>
      <c r="U157" s="24"/>
    </row>
    <row r="158" spans="1:21" ht="33" customHeight="1" x14ac:dyDescent="0.3">
      <c r="E158" s="3"/>
    </row>
    <row r="159" spans="1:21" ht="33" customHeight="1" x14ac:dyDescent="0.3">
      <c r="E159" s="3"/>
    </row>
    <row r="160" spans="1:21" ht="33" customHeight="1" x14ac:dyDescent="0.3">
      <c r="E160" s="3"/>
    </row>
    <row r="161" spans="5:5" ht="33" customHeight="1" x14ac:dyDescent="0.3">
      <c r="E161" s="3"/>
    </row>
    <row r="162" spans="5:5" ht="33" customHeight="1" x14ac:dyDescent="0.3">
      <c r="E162" s="3"/>
    </row>
    <row r="163" spans="5:5" ht="33" customHeight="1" x14ac:dyDescent="0.3">
      <c r="E163" s="3"/>
    </row>
    <row r="164" spans="5:5" ht="33" customHeight="1" x14ac:dyDescent="0.3">
      <c r="E164" s="3"/>
    </row>
    <row r="165" spans="5:5" ht="33" customHeight="1" x14ac:dyDescent="0.3">
      <c r="E165" s="3"/>
    </row>
    <row r="166" spans="5:5" ht="33" customHeight="1" x14ac:dyDescent="0.3">
      <c r="E166" s="3"/>
    </row>
    <row r="167" spans="5:5" ht="33" customHeight="1" x14ac:dyDescent="0.3">
      <c r="E167" s="3"/>
    </row>
    <row r="168" spans="5:5" ht="33" customHeight="1" x14ac:dyDescent="0.3">
      <c r="E168" s="3"/>
    </row>
    <row r="169" spans="5:5" ht="33" customHeight="1" x14ac:dyDescent="0.3">
      <c r="E169" s="3"/>
    </row>
    <row r="170" spans="5:5" ht="33" customHeight="1" x14ac:dyDescent="0.3">
      <c r="E170" s="3"/>
    </row>
    <row r="171" spans="5:5" ht="33" customHeight="1" x14ac:dyDescent="0.3">
      <c r="E171" s="3"/>
    </row>
    <row r="172" spans="5:5" ht="33" customHeight="1" x14ac:dyDescent="0.3">
      <c r="E172" s="3"/>
    </row>
    <row r="173" spans="5:5" ht="33" customHeight="1" x14ac:dyDescent="0.3">
      <c r="E173" s="3"/>
    </row>
    <row r="174" spans="5:5" ht="33" customHeight="1" x14ac:dyDescent="0.3">
      <c r="E174" s="3"/>
    </row>
    <row r="175" spans="5:5" ht="33" customHeight="1" x14ac:dyDescent="0.3">
      <c r="E175" s="3"/>
    </row>
    <row r="176" spans="5:5" ht="33" customHeight="1" x14ac:dyDescent="0.3">
      <c r="E176" s="3"/>
    </row>
    <row r="177" spans="5:5" ht="33" customHeight="1" x14ac:dyDescent="0.3">
      <c r="E177" s="3"/>
    </row>
    <row r="178" spans="5:5" ht="33" customHeight="1" x14ac:dyDescent="0.3">
      <c r="E178" s="3"/>
    </row>
    <row r="179" spans="5:5" ht="33" customHeight="1" x14ac:dyDescent="0.3">
      <c r="E179" s="3"/>
    </row>
    <row r="180" spans="5:5" ht="33" customHeight="1" x14ac:dyDescent="0.3">
      <c r="E180" s="3"/>
    </row>
    <row r="181" spans="5:5" ht="33" customHeight="1" x14ac:dyDescent="0.3">
      <c r="E181" s="3"/>
    </row>
    <row r="182" spans="5:5" ht="33" customHeight="1" x14ac:dyDescent="0.3">
      <c r="E182" s="3"/>
    </row>
    <row r="183" spans="5:5" ht="33" customHeight="1" x14ac:dyDescent="0.3">
      <c r="E183" s="3"/>
    </row>
    <row r="184" spans="5:5" ht="33" customHeight="1" x14ac:dyDescent="0.3">
      <c r="E184" s="3"/>
    </row>
    <row r="185" spans="5:5" ht="33" customHeight="1" x14ac:dyDescent="0.3">
      <c r="E185" s="3"/>
    </row>
    <row r="186" spans="5:5" ht="33" customHeight="1" x14ac:dyDescent="0.3">
      <c r="E186" s="3"/>
    </row>
    <row r="187" spans="5:5" ht="33" customHeight="1" x14ac:dyDescent="0.3">
      <c r="E187" s="3"/>
    </row>
    <row r="188" spans="5:5" ht="33" customHeight="1" x14ac:dyDescent="0.3">
      <c r="E188" s="3"/>
    </row>
    <row r="189" spans="5:5" ht="33" customHeight="1" x14ac:dyDescent="0.3">
      <c r="E189" s="3"/>
    </row>
    <row r="190" spans="5:5" ht="33" customHeight="1" x14ac:dyDescent="0.3">
      <c r="E190" s="3"/>
    </row>
    <row r="191" spans="5:5" ht="33" customHeight="1" x14ac:dyDescent="0.3">
      <c r="E191" s="3"/>
    </row>
    <row r="192" spans="5:5" ht="33" customHeight="1" x14ac:dyDescent="0.3">
      <c r="E192" s="3"/>
    </row>
    <row r="193" spans="5:5" ht="33" customHeight="1" x14ac:dyDescent="0.3">
      <c r="E193" s="3"/>
    </row>
    <row r="194" spans="5:5" ht="33" customHeight="1" x14ac:dyDescent="0.3">
      <c r="E194" s="3"/>
    </row>
    <row r="195" spans="5:5" ht="33" customHeight="1" x14ac:dyDescent="0.3">
      <c r="E195" s="3"/>
    </row>
    <row r="196" spans="5:5" ht="33" customHeight="1" x14ac:dyDescent="0.3">
      <c r="E196" s="3"/>
    </row>
    <row r="197" spans="5:5" ht="33" customHeight="1" x14ac:dyDescent="0.3">
      <c r="E197" s="3"/>
    </row>
    <row r="198" spans="5:5" ht="33" customHeight="1" x14ac:dyDescent="0.3">
      <c r="E198" s="3"/>
    </row>
    <row r="199" spans="5:5" ht="33" customHeight="1" x14ac:dyDescent="0.3">
      <c r="E199" s="3"/>
    </row>
    <row r="200" spans="5:5" ht="33" customHeight="1" x14ac:dyDescent="0.3">
      <c r="E200" s="3"/>
    </row>
    <row r="201" spans="5:5" ht="33" customHeight="1" x14ac:dyDescent="0.3">
      <c r="E201" s="3"/>
    </row>
    <row r="202" spans="5:5" ht="33" customHeight="1" x14ac:dyDescent="0.3">
      <c r="E202" s="3"/>
    </row>
    <row r="203" spans="5:5" ht="33" customHeight="1" x14ac:dyDescent="0.3">
      <c r="E203" s="3"/>
    </row>
    <row r="204" spans="5:5" ht="33" customHeight="1" x14ac:dyDescent="0.3">
      <c r="E204" s="3"/>
    </row>
    <row r="205" spans="5:5" ht="33" customHeight="1" x14ac:dyDescent="0.3">
      <c r="E205" s="3"/>
    </row>
    <row r="206" spans="5:5" ht="33" customHeight="1" x14ac:dyDescent="0.3">
      <c r="E206" s="3"/>
    </row>
    <row r="207" spans="5:5" ht="33" customHeight="1" x14ac:dyDescent="0.3">
      <c r="E207" s="3"/>
    </row>
    <row r="208" spans="5:5" ht="33" customHeight="1" x14ac:dyDescent="0.3">
      <c r="E208" s="3"/>
    </row>
    <row r="209" spans="5:5" ht="33" customHeight="1" x14ac:dyDescent="0.3">
      <c r="E209" s="3"/>
    </row>
    <row r="210" spans="5:5" ht="33" customHeight="1" x14ac:dyDescent="0.3">
      <c r="E210" s="3"/>
    </row>
    <row r="211" spans="5:5" ht="33" customHeight="1" x14ac:dyDescent="0.3">
      <c r="E211" s="3"/>
    </row>
    <row r="212" spans="5:5" ht="33" customHeight="1" x14ac:dyDescent="0.3">
      <c r="E212" s="3"/>
    </row>
    <row r="213" spans="5:5" ht="33" customHeight="1" x14ac:dyDescent="0.3">
      <c r="E213" s="3"/>
    </row>
    <row r="214" spans="5:5" ht="33" customHeight="1" x14ac:dyDescent="0.3">
      <c r="E214" s="3"/>
    </row>
    <row r="215" spans="5:5" ht="33" customHeight="1" x14ac:dyDescent="0.3">
      <c r="E215" s="3"/>
    </row>
    <row r="216" spans="5:5" ht="33" customHeight="1" x14ac:dyDescent="0.3">
      <c r="E216" s="3"/>
    </row>
    <row r="217" spans="5:5" ht="33" customHeight="1" x14ac:dyDescent="0.3">
      <c r="E217" s="3"/>
    </row>
    <row r="218" spans="5:5" ht="33" customHeight="1" x14ac:dyDescent="0.3">
      <c r="E218" s="3"/>
    </row>
    <row r="219" spans="5:5" ht="33" customHeight="1" x14ac:dyDescent="0.3">
      <c r="E219" s="3"/>
    </row>
    <row r="220" spans="5:5" ht="33" customHeight="1" x14ac:dyDescent="0.3">
      <c r="E220" s="3"/>
    </row>
    <row r="221" spans="5:5" ht="33" customHeight="1" x14ac:dyDescent="0.3">
      <c r="E221" s="3"/>
    </row>
    <row r="222" spans="5:5" ht="33" customHeight="1" x14ac:dyDescent="0.3">
      <c r="E222" s="3"/>
    </row>
    <row r="223" spans="5:5" ht="33" customHeight="1" x14ac:dyDescent="0.3">
      <c r="E223" s="3"/>
    </row>
    <row r="224" spans="5:5" ht="33" customHeight="1" x14ac:dyDescent="0.3">
      <c r="E224" s="3"/>
    </row>
    <row r="225" spans="5:5" ht="33" customHeight="1" x14ac:dyDescent="0.3">
      <c r="E225" s="3"/>
    </row>
    <row r="226" spans="5:5" ht="33" customHeight="1" x14ac:dyDescent="0.3">
      <c r="E226" s="3"/>
    </row>
    <row r="227" spans="5:5" ht="33" customHeight="1" x14ac:dyDescent="0.3">
      <c r="E227" s="3"/>
    </row>
    <row r="228" spans="5:5" ht="33" customHeight="1" x14ac:dyDescent="0.3">
      <c r="E228" s="3"/>
    </row>
    <row r="229" spans="5:5" ht="33" customHeight="1" x14ac:dyDescent="0.3">
      <c r="E229" s="3"/>
    </row>
    <row r="230" spans="5:5" ht="33" customHeight="1" x14ac:dyDescent="0.3">
      <c r="E230" s="3"/>
    </row>
    <row r="231" spans="5:5" ht="33" customHeight="1" x14ac:dyDescent="0.3">
      <c r="E231" s="3"/>
    </row>
    <row r="232" spans="5:5" ht="33" customHeight="1" x14ac:dyDescent="0.3">
      <c r="E232" s="3"/>
    </row>
    <row r="233" spans="5:5" ht="33" customHeight="1" x14ac:dyDescent="0.3">
      <c r="E233" s="3"/>
    </row>
    <row r="234" spans="5:5" ht="33" customHeight="1" x14ac:dyDescent="0.3">
      <c r="E234" s="3"/>
    </row>
    <row r="235" spans="5:5" ht="33" customHeight="1" x14ac:dyDescent="0.3">
      <c r="E235" s="3"/>
    </row>
    <row r="236" spans="5:5" ht="33" customHeight="1" x14ac:dyDescent="0.3">
      <c r="E236" s="3"/>
    </row>
    <row r="237" spans="5:5" ht="33" customHeight="1" x14ac:dyDescent="0.3">
      <c r="E237" s="3"/>
    </row>
    <row r="238" spans="5:5" ht="33" customHeight="1" x14ac:dyDescent="0.3">
      <c r="E238" s="3"/>
    </row>
    <row r="239" spans="5:5" ht="33" customHeight="1" x14ac:dyDescent="0.3">
      <c r="E239" s="3"/>
    </row>
    <row r="240" spans="5:5" ht="33" customHeight="1" x14ac:dyDescent="0.3">
      <c r="E240" s="3"/>
    </row>
    <row r="241" spans="5:5" ht="33" customHeight="1" x14ac:dyDescent="0.3">
      <c r="E241" s="3"/>
    </row>
    <row r="242" spans="5:5" ht="33" customHeight="1" x14ac:dyDescent="0.3">
      <c r="E242" s="3"/>
    </row>
    <row r="243" spans="5:5" ht="33" customHeight="1" x14ac:dyDescent="0.3">
      <c r="E243" s="3"/>
    </row>
    <row r="244" spans="5:5" ht="33" customHeight="1" x14ac:dyDescent="0.3">
      <c r="E244" s="3"/>
    </row>
    <row r="245" spans="5:5" ht="33" customHeight="1" x14ac:dyDescent="0.3">
      <c r="E245" s="3"/>
    </row>
    <row r="246" spans="5:5" ht="33" customHeight="1" x14ac:dyDescent="0.3">
      <c r="E246" s="3"/>
    </row>
    <row r="247" spans="5:5" ht="33" customHeight="1" x14ac:dyDescent="0.3">
      <c r="E247" s="3"/>
    </row>
    <row r="248" spans="5:5" ht="33" customHeight="1" x14ac:dyDescent="0.3">
      <c r="E248" s="3"/>
    </row>
    <row r="249" spans="5:5" ht="33" customHeight="1" x14ac:dyDescent="0.3">
      <c r="E249" s="3"/>
    </row>
    <row r="250" spans="5:5" ht="33" customHeight="1" x14ac:dyDescent="0.3">
      <c r="E250" s="3"/>
    </row>
    <row r="251" spans="5:5" ht="33" customHeight="1" x14ac:dyDescent="0.3">
      <c r="E251" s="3"/>
    </row>
    <row r="252" spans="5:5" ht="33" customHeight="1" x14ac:dyDescent="0.3">
      <c r="E252" s="3"/>
    </row>
    <row r="253" spans="5:5" ht="33" customHeight="1" x14ac:dyDescent="0.3">
      <c r="E253" s="3"/>
    </row>
    <row r="254" spans="5:5" ht="33" customHeight="1" x14ac:dyDescent="0.3">
      <c r="E254" s="3"/>
    </row>
    <row r="255" spans="5:5" ht="33" customHeight="1" x14ac:dyDescent="0.3">
      <c r="E255" s="3"/>
    </row>
    <row r="256" spans="5:5" ht="33" customHeight="1" x14ac:dyDescent="0.3">
      <c r="E256" s="3"/>
    </row>
    <row r="257" spans="5:5" ht="33" customHeight="1" x14ac:dyDescent="0.3">
      <c r="E257" s="3"/>
    </row>
    <row r="258" spans="5:5" ht="33" customHeight="1" x14ac:dyDescent="0.3">
      <c r="E258" s="3"/>
    </row>
    <row r="259" spans="5:5" ht="33" customHeight="1" x14ac:dyDescent="0.3">
      <c r="E259" s="3"/>
    </row>
    <row r="260" spans="5:5" ht="33" customHeight="1" x14ac:dyDescent="0.3">
      <c r="E260" s="3"/>
    </row>
    <row r="261" spans="5:5" ht="33" customHeight="1" x14ac:dyDescent="0.3">
      <c r="E261" s="3"/>
    </row>
    <row r="262" spans="5:5" ht="33" customHeight="1" x14ac:dyDescent="0.3">
      <c r="E262" s="3"/>
    </row>
    <row r="263" spans="5:5" ht="33" customHeight="1" x14ac:dyDescent="0.3">
      <c r="E263" s="3"/>
    </row>
    <row r="264" spans="5:5" ht="33" customHeight="1" x14ac:dyDescent="0.3">
      <c r="E264" s="3"/>
    </row>
    <row r="265" spans="5:5" ht="33" customHeight="1" x14ac:dyDescent="0.3">
      <c r="E265" s="3"/>
    </row>
    <row r="266" spans="5:5" ht="33" customHeight="1" x14ac:dyDescent="0.3">
      <c r="E266" s="3"/>
    </row>
    <row r="267" spans="5:5" ht="33" customHeight="1" x14ac:dyDescent="0.3">
      <c r="E267" s="3"/>
    </row>
    <row r="268" spans="5:5" ht="33" customHeight="1" x14ac:dyDescent="0.3">
      <c r="E268" s="3"/>
    </row>
    <row r="269" spans="5:5" ht="33" customHeight="1" x14ac:dyDescent="0.3">
      <c r="E269" s="3"/>
    </row>
    <row r="270" spans="5:5" ht="33" customHeight="1" x14ac:dyDescent="0.3">
      <c r="E270" s="3"/>
    </row>
    <row r="271" spans="5:5" ht="33" customHeight="1" x14ac:dyDescent="0.3">
      <c r="E271" s="3"/>
    </row>
    <row r="272" spans="5:5" ht="33" customHeight="1" x14ac:dyDescent="0.3">
      <c r="E272" s="3"/>
    </row>
    <row r="273" spans="5:5" ht="33" customHeight="1" x14ac:dyDescent="0.3">
      <c r="E273" s="3"/>
    </row>
    <row r="274" spans="5:5" ht="33" customHeight="1" x14ac:dyDescent="0.3">
      <c r="E274" s="3"/>
    </row>
    <row r="275" spans="5:5" ht="33" customHeight="1" x14ac:dyDescent="0.3">
      <c r="E275" s="3"/>
    </row>
    <row r="276" spans="5:5" ht="33" customHeight="1" x14ac:dyDescent="0.3">
      <c r="E276" s="3"/>
    </row>
    <row r="277" spans="5:5" ht="33" customHeight="1" x14ac:dyDescent="0.3">
      <c r="E277" s="3"/>
    </row>
    <row r="278" spans="5:5" ht="33" customHeight="1" x14ac:dyDescent="0.3">
      <c r="E278" s="3"/>
    </row>
    <row r="279" spans="5:5" ht="33" customHeight="1" x14ac:dyDescent="0.3">
      <c r="E279" s="3"/>
    </row>
    <row r="280" spans="5:5" ht="33" customHeight="1" x14ac:dyDescent="0.3">
      <c r="E280" s="3"/>
    </row>
    <row r="281" spans="5:5" ht="33" customHeight="1" x14ac:dyDescent="0.3">
      <c r="E281" s="3"/>
    </row>
    <row r="282" spans="5:5" ht="33" customHeight="1" x14ac:dyDescent="0.3">
      <c r="E282" s="3"/>
    </row>
    <row r="283" spans="5:5" ht="33" customHeight="1" x14ac:dyDescent="0.3">
      <c r="E283" s="3"/>
    </row>
    <row r="284" spans="5:5" ht="33" customHeight="1" x14ac:dyDescent="0.3">
      <c r="E284" s="3"/>
    </row>
    <row r="285" spans="5:5" ht="33" customHeight="1" x14ac:dyDescent="0.3">
      <c r="E285" s="3"/>
    </row>
    <row r="286" spans="5:5" ht="33" customHeight="1" x14ac:dyDescent="0.3">
      <c r="E286" s="3"/>
    </row>
    <row r="287" spans="5:5" ht="33" customHeight="1" x14ac:dyDescent="0.3">
      <c r="E287" s="3"/>
    </row>
    <row r="288" spans="5:5" ht="33" customHeight="1" x14ac:dyDescent="0.3">
      <c r="E288" s="3"/>
    </row>
    <row r="289" spans="5:5" ht="33" customHeight="1" x14ac:dyDescent="0.3">
      <c r="E289" s="3"/>
    </row>
    <row r="290" spans="5:5" ht="33" customHeight="1" x14ac:dyDescent="0.3">
      <c r="E290" s="3"/>
    </row>
    <row r="291" spans="5:5" ht="33" customHeight="1" x14ac:dyDescent="0.3">
      <c r="E291" s="3"/>
    </row>
    <row r="292" spans="5:5" ht="33" customHeight="1" x14ac:dyDescent="0.3">
      <c r="E292" s="3"/>
    </row>
    <row r="293" spans="5:5" ht="33" customHeight="1" x14ac:dyDescent="0.3">
      <c r="E293" s="3"/>
    </row>
    <row r="294" spans="5:5" ht="33" customHeight="1" x14ac:dyDescent="0.3">
      <c r="E294" s="3"/>
    </row>
    <row r="295" spans="5:5" ht="33" customHeight="1" x14ac:dyDescent="0.3">
      <c r="E295" s="3"/>
    </row>
    <row r="296" spans="5:5" ht="33" customHeight="1" x14ac:dyDescent="0.3">
      <c r="E296" s="3"/>
    </row>
    <row r="297" spans="5:5" ht="33" customHeight="1" x14ac:dyDescent="0.3">
      <c r="E297" s="3"/>
    </row>
    <row r="298" spans="5:5" ht="33" customHeight="1" x14ac:dyDescent="0.3">
      <c r="E298" s="3"/>
    </row>
    <row r="299" spans="5:5" ht="33" customHeight="1" x14ac:dyDescent="0.3">
      <c r="E299" s="3"/>
    </row>
    <row r="300" spans="5:5" ht="33" customHeight="1" x14ac:dyDescent="0.3">
      <c r="E300" s="3"/>
    </row>
    <row r="301" spans="5:5" ht="33" customHeight="1" x14ac:dyDescent="0.3">
      <c r="E301" s="3"/>
    </row>
    <row r="302" spans="5:5" ht="33" customHeight="1" x14ac:dyDescent="0.3">
      <c r="E302" s="3"/>
    </row>
    <row r="303" spans="5:5" ht="33" customHeight="1" x14ac:dyDescent="0.3">
      <c r="E303" s="3"/>
    </row>
    <row r="304" spans="5:5" ht="33" customHeight="1" x14ac:dyDescent="0.3">
      <c r="E304" s="3"/>
    </row>
    <row r="305" spans="5:5" ht="33" customHeight="1" x14ac:dyDescent="0.3">
      <c r="E305" s="3"/>
    </row>
    <row r="306" spans="5:5" ht="33" customHeight="1" x14ac:dyDescent="0.3">
      <c r="E306" s="3"/>
    </row>
    <row r="307" spans="5:5" ht="33" customHeight="1" x14ac:dyDescent="0.3">
      <c r="E307" s="3"/>
    </row>
    <row r="308" spans="5:5" ht="33" customHeight="1" x14ac:dyDescent="0.3">
      <c r="E308" s="3"/>
    </row>
    <row r="309" spans="5:5" ht="33" customHeight="1" x14ac:dyDescent="0.3">
      <c r="E309" s="3"/>
    </row>
    <row r="310" spans="5:5" ht="33" customHeight="1" x14ac:dyDescent="0.3">
      <c r="E310" s="3"/>
    </row>
    <row r="311" spans="5:5" ht="33" customHeight="1" x14ac:dyDescent="0.3">
      <c r="E311" s="3"/>
    </row>
    <row r="312" spans="5:5" ht="33" customHeight="1" x14ac:dyDescent="0.3">
      <c r="E312" s="3"/>
    </row>
    <row r="313" spans="5:5" ht="33" customHeight="1" x14ac:dyDescent="0.3">
      <c r="E313" s="3"/>
    </row>
    <row r="314" spans="5:5" ht="33" customHeight="1" x14ac:dyDescent="0.3">
      <c r="E314" s="3"/>
    </row>
    <row r="315" spans="5:5" ht="33" customHeight="1" x14ac:dyDescent="0.3">
      <c r="E315" s="3"/>
    </row>
    <row r="316" spans="5:5" ht="33" customHeight="1" x14ac:dyDescent="0.3">
      <c r="E316" s="3"/>
    </row>
    <row r="317" spans="5:5" ht="33" customHeight="1" x14ac:dyDescent="0.3">
      <c r="E317" s="3"/>
    </row>
    <row r="318" spans="5:5" ht="33" customHeight="1" x14ac:dyDescent="0.3">
      <c r="E318" s="3"/>
    </row>
    <row r="319" spans="5:5" ht="33" customHeight="1" x14ac:dyDescent="0.3">
      <c r="E319" s="3"/>
    </row>
    <row r="320" spans="5:5" ht="33" customHeight="1" x14ac:dyDescent="0.3">
      <c r="E320" s="3"/>
    </row>
    <row r="321" spans="5:5" ht="33" customHeight="1" x14ac:dyDescent="0.3">
      <c r="E321" s="3"/>
    </row>
    <row r="322" spans="5:5" ht="33" customHeight="1" x14ac:dyDescent="0.3">
      <c r="E322" s="3"/>
    </row>
    <row r="323" spans="5:5" ht="33" customHeight="1" x14ac:dyDescent="0.3">
      <c r="E323" s="3"/>
    </row>
    <row r="324" spans="5:5" ht="33" customHeight="1" x14ac:dyDescent="0.3">
      <c r="E324" s="3"/>
    </row>
    <row r="325" spans="5:5" ht="33" customHeight="1" x14ac:dyDescent="0.3">
      <c r="E325" s="3"/>
    </row>
    <row r="326" spans="5:5" ht="33" customHeight="1" x14ac:dyDescent="0.3">
      <c r="E326" s="3"/>
    </row>
    <row r="327" spans="5:5" ht="33" customHeight="1" x14ac:dyDescent="0.3">
      <c r="E327" s="3"/>
    </row>
    <row r="328" spans="5:5" ht="33" customHeight="1" x14ac:dyDescent="0.3">
      <c r="E328" s="3"/>
    </row>
    <row r="329" spans="5:5" ht="33" customHeight="1" x14ac:dyDescent="0.3">
      <c r="E329" s="3"/>
    </row>
    <row r="330" spans="5:5" ht="33" customHeight="1" x14ac:dyDescent="0.3">
      <c r="E330" s="3"/>
    </row>
    <row r="331" spans="5:5" ht="33" customHeight="1" x14ac:dyDescent="0.3">
      <c r="E331" s="3"/>
    </row>
    <row r="332" spans="5:5" ht="33" customHeight="1" x14ac:dyDescent="0.3">
      <c r="E332" s="3"/>
    </row>
    <row r="333" spans="5:5" ht="33" customHeight="1" x14ac:dyDescent="0.3">
      <c r="E333" s="3"/>
    </row>
    <row r="334" spans="5:5" ht="33" customHeight="1" x14ac:dyDescent="0.3">
      <c r="E334" s="3"/>
    </row>
    <row r="335" spans="5:5" ht="33" customHeight="1" x14ac:dyDescent="0.3">
      <c r="E335" s="3"/>
    </row>
    <row r="336" spans="5:5" ht="33" customHeight="1" x14ac:dyDescent="0.3">
      <c r="E336" s="3"/>
    </row>
    <row r="337" spans="5:5" ht="33" customHeight="1" x14ac:dyDescent="0.3">
      <c r="E337" s="3"/>
    </row>
    <row r="338" spans="5:5" ht="33" customHeight="1" x14ac:dyDescent="0.3">
      <c r="E338" s="3"/>
    </row>
    <row r="339" spans="5:5" ht="33" customHeight="1" x14ac:dyDescent="0.3">
      <c r="E339" s="3"/>
    </row>
    <row r="340" spans="5:5" ht="33" customHeight="1" x14ac:dyDescent="0.3">
      <c r="E340" s="3"/>
    </row>
    <row r="341" spans="5:5" ht="33" customHeight="1" x14ac:dyDescent="0.3">
      <c r="E341" s="3"/>
    </row>
    <row r="342" spans="5:5" ht="33" customHeight="1" x14ac:dyDescent="0.3">
      <c r="E342" s="3"/>
    </row>
    <row r="343" spans="5:5" ht="33" customHeight="1" x14ac:dyDescent="0.3">
      <c r="E343" s="3"/>
    </row>
    <row r="344" spans="5:5" ht="33" customHeight="1" x14ac:dyDescent="0.3">
      <c r="E344" s="3"/>
    </row>
    <row r="345" spans="5:5" ht="33" customHeight="1" x14ac:dyDescent="0.3">
      <c r="E345" s="3"/>
    </row>
    <row r="346" spans="5:5" ht="33" customHeight="1" x14ac:dyDescent="0.3">
      <c r="E346" s="3"/>
    </row>
    <row r="347" spans="5:5" ht="33" customHeight="1" x14ac:dyDescent="0.3">
      <c r="E347" s="3"/>
    </row>
    <row r="348" spans="5:5" ht="33" customHeight="1" x14ac:dyDescent="0.3">
      <c r="E348" s="3"/>
    </row>
    <row r="349" spans="5:5" ht="33" customHeight="1" x14ac:dyDescent="0.3">
      <c r="E349" s="3"/>
    </row>
    <row r="350" spans="5:5" ht="33" customHeight="1" x14ac:dyDescent="0.3">
      <c r="E350" s="3"/>
    </row>
    <row r="351" spans="5:5" ht="33" customHeight="1" x14ac:dyDescent="0.3">
      <c r="E351" s="3"/>
    </row>
    <row r="352" spans="5:5" ht="33" customHeight="1" x14ac:dyDescent="0.3">
      <c r="E352" s="3"/>
    </row>
    <row r="353" spans="5:5" ht="33" customHeight="1" x14ac:dyDescent="0.3">
      <c r="E353" s="3"/>
    </row>
    <row r="354" spans="5:5" ht="33" customHeight="1" x14ac:dyDescent="0.3">
      <c r="E354" s="3"/>
    </row>
    <row r="355" spans="5:5" ht="33" customHeight="1" x14ac:dyDescent="0.3">
      <c r="E355" s="3"/>
    </row>
    <row r="356" spans="5:5" ht="33" customHeight="1" x14ac:dyDescent="0.3">
      <c r="E356" s="3"/>
    </row>
    <row r="357" spans="5:5" ht="33" customHeight="1" x14ac:dyDescent="0.3">
      <c r="E357" s="3"/>
    </row>
    <row r="358" spans="5:5" ht="33" customHeight="1" x14ac:dyDescent="0.3">
      <c r="E358" s="3"/>
    </row>
    <row r="359" spans="5:5" ht="33" customHeight="1" x14ac:dyDescent="0.3">
      <c r="E359" s="3"/>
    </row>
    <row r="360" spans="5:5" ht="33" customHeight="1" x14ac:dyDescent="0.3">
      <c r="E360" s="3"/>
    </row>
    <row r="361" spans="5:5" ht="33" customHeight="1" x14ac:dyDescent="0.3">
      <c r="E361" s="3"/>
    </row>
    <row r="362" spans="5:5" ht="33" customHeight="1" x14ac:dyDescent="0.3">
      <c r="E362" s="3"/>
    </row>
    <row r="363" spans="5:5" ht="33" customHeight="1" x14ac:dyDescent="0.3">
      <c r="E363" s="3"/>
    </row>
    <row r="364" spans="5:5" ht="33" customHeight="1" x14ac:dyDescent="0.3">
      <c r="E364" s="3"/>
    </row>
    <row r="365" spans="5:5" ht="33" customHeight="1" x14ac:dyDescent="0.3">
      <c r="E365" s="3"/>
    </row>
    <row r="366" spans="5:5" ht="33" customHeight="1" x14ac:dyDescent="0.3">
      <c r="E366" s="3"/>
    </row>
    <row r="367" spans="5:5" ht="33" customHeight="1" x14ac:dyDescent="0.3">
      <c r="E367" s="3"/>
    </row>
    <row r="368" spans="5:5" ht="33" customHeight="1" x14ac:dyDescent="0.3">
      <c r="E368" s="3"/>
    </row>
    <row r="369" spans="5:5" ht="33" customHeight="1" x14ac:dyDescent="0.3">
      <c r="E369" s="3"/>
    </row>
    <row r="370" spans="5:5" ht="33" customHeight="1" x14ac:dyDescent="0.3">
      <c r="E370" s="3"/>
    </row>
    <row r="371" spans="5:5" ht="33" customHeight="1" x14ac:dyDescent="0.3">
      <c r="E371" s="3"/>
    </row>
    <row r="372" spans="5:5" ht="33" customHeight="1" x14ac:dyDescent="0.3">
      <c r="E372" s="3"/>
    </row>
    <row r="373" spans="5:5" ht="33" customHeight="1" x14ac:dyDescent="0.3">
      <c r="E373" s="3"/>
    </row>
    <row r="374" spans="5:5" ht="33" customHeight="1" x14ac:dyDescent="0.3">
      <c r="E374" s="3"/>
    </row>
    <row r="375" spans="5:5" ht="33" customHeight="1" x14ac:dyDescent="0.3">
      <c r="E375" s="3"/>
    </row>
    <row r="376" spans="5:5" ht="33" customHeight="1" x14ac:dyDescent="0.3">
      <c r="E376" s="3"/>
    </row>
    <row r="377" spans="5:5" ht="33" customHeight="1" x14ac:dyDescent="0.3">
      <c r="E377" s="3"/>
    </row>
    <row r="378" spans="5:5" ht="33" customHeight="1" x14ac:dyDescent="0.3">
      <c r="E378" s="3"/>
    </row>
    <row r="379" spans="5:5" ht="33" customHeight="1" x14ac:dyDescent="0.3">
      <c r="E379" s="3"/>
    </row>
    <row r="380" spans="5:5" ht="33" customHeight="1" x14ac:dyDescent="0.3">
      <c r="E380" s="3"/>
    </row>
    <row r="381" spans="5:5" ht="33" customHeight="1" x14ac:dyDescent="0.3">
      <c r="E381" s="3"/>
    </row>
    <row r="382" spans="5:5" ht="33" customHeight="1" x14ac:dyDescent="0.3">
      <c r="E382" s="3"/>
    </row>
    <row r="383" spans="5:5" ht="33" customHeight="1" x14ac:dyDescent="0.3">
      <c r="E383" s="3"/>
    </row>
    <row r="384" spans="5:5" ht="33" customHeight="1" x14ac:dyDescent="0.3">
      <c r="E384" s="3"/>
    </row>
    <row r="385" spans="5:5" ht="33" customHeight="1" x14ac:dyDescent="0.3">
      <c r="E385" s="3"/>
    </row>
    <row r="386" spans="5:5" ht="33" customHeight="1" x14ac:dyDescent="0.3">
      <c r="E386" s="3"/>
    </row>
    <row r="387" spans="5:5" ht="33" customHeight="1" x14ac:dyDescent="0.3">
      <c r="E387" s="3"/>
    </row>
    <row r="388" spans="5:5" ht="33" customHeight="1" x14ac:dyDescent="0.3">
      <c r="E388" s="3"/>
    </row>
    <row r="389" spans="5:5" ht="33" customHeight="1" x14ac:dyDescent="0.3">
      <c r="E389" s="3"/>
    </row>
    <row r="390" spans="5:5" ht="33" customHeight="1" x14ac:dyDescent="0.3">
      <c r="E390" s="3"/>
    </row>
    <row r="391" spans="5:5" ht="33" customHeight="1" x14ac:dyDescent="0.3">
      <c r="E391" s="3"/>
    </row>
    <row r="392" spans="5:5" ht="33" customHeight="1" x14ac:dyDescent="0.3">
      <c r="E392" s="3"/>
    </row>
    <row r="393" spans="5:5" ht="33" customHeight="1" x14ac:dyDescent="0.3">
      <c r="E393" s="3"/>
    </row>
    <row r="394" spans="5:5" ht="33" customHeight="1" x14ac:dyDescent="0.3">
      <c r="E394" s="3"/>
    </row>
    <row r="395" spans="5:5" ht="33" customHeight="1" x14ac:dyDescent="0.3">
      <c r="E395" s="3"/>
    </row>
    <row r="396" spans="5:5" ht="33" customHeight="1" x14ac:dyDescent="0.3">
      <c r="E396" s="3"/>
    </row>
    <row r="397" spans="5:5" ht="33" customHeight="1" x14ac:dyDescent="0.3">
      <c r="E397" s="3"/>
    </row>
    <row r="398" spans="5:5" ht="33" customHeight="1" x14ac:dyDescent="0.3">
      <c r="E398" s="3"/>
    </row>
    <row r="399" spans="5:5" ht="33" customHeight="1" x14ac:dyDescent="0.3">
      <c r="E399" s="3"/>
    </row>
    <row r="400" spans="5:5" ht="33" customHeight="1" x14ac:dyDescent="0.3">
      <c r="E400" s="3"/>
    </row>
    <row r="401" spans="5:5" ht="33" customHeight="1" x14ac:dyDescent="0.3">
      <c r="E401" s="3"/>
    </row>
    <row r="402" spans="5:5" ht="33" customHeight="1" x14ac:dyDescent="0.3">
      <c r="E402" s="3"/>
    </row>
    <row r="403" spans="5:5" ht="33" customHeight="1" x14ac:dyDescent="0.3">
      <c r="E403" s="3"/>
    </row>
    <row r="404" spans="5:5" ht="33" customHeight="1" x14ac:dyDescent="0.3">
      <c r="E404" s="3"/>
    </row>
    <row r="405" spans="5:5" ht="33" customHeight="1" x14ac:dyDescent="0.3">
      <c r="E405" s="3"/>
    </row>
    <row r="406" spans="5:5" ht="33" customHeight="1" x14ac:dyDescent="0.3">
      <c r="E406" s="3"/>
    </row>
    <row r="407" spans="5:5" ht="33" customHeight="1" x14ac:dyDescent="0.3">
      <c r="E407" s="3"/>
    </row>
    <row r="408" spans="5:5" ht="33" customHeight="1" x14ac:dyDescent="0.3">
      <c r="E408" s="3"/>
    </row>
    <row r="409" spans="5:5" ht="33" customHeight="1" x14ac:dyDescent="0.3">
      <c r="E409" s="3"/>
    </row>
    <row r="410" spans="5:5" ht="33" customHeight="1" x14ac:dyDescent="0.3">
      <c r="E410" s="3"/>
    </row>
    <row r="411" spans="5:5" ht="33" customHeight="1" x14ac:dyDescent="0.3">
      <c r="E411" s="3"/>
    </row>
    <row r="412" spans="5:5" ht="33" customHeight="1" x14ac:dyDescent="0.3">
      <c r="E412" s="3"/>
    </row>
    <row r="413" spans="5:5" ht="33" customHeight="1" x14ac:dyDescent="0.3">
      <c r="E413" s="3"/>
    </row>
    <row r="414" spans="5:5" ht="33" customHeight="1" x14ac:dyDescent="0.3">
      <c r="E414" s="3"/>
    </row>
    <row r="415" spans="5:5" ht="33" customHeight="1" x14ac:dyDescent="0.3">
      <c r="E415" s="3"/>
    </row>
    <row r="416" spans="5:5" ht="33" customHeight="1" x14ac:dyDescent="0.3">
      <c r="E416" s="3"/>
    </row>
    <row r="417" spans="5:5" ht="33" customHeight="1" x14ac:dyDescent="0.3">
      <c r="E417" s="3"/>
    </row>
    <row r="418" spans="5:5" ht="33" customHeight="1" x14ac:dyDescent="0.3">
      <c r="E418" s="3"/>
    </row>
    <row r="419" spans="5:5" ht="33" customHeight="1" x14ac:dyDescent="0.3">
      <c r="E419" s="3"/>
    </row>
    <row r="420" spans="5:5" ht="33" customHeight="1" x14ac:dyDescent="0.3">
      <c r="E420" s="3"/>
    </row>
    <row r="421" spans="5:5" ht="33" customHeight="1" x14ac:dyDescent="0.3">
      <c r="E421" s="3"/>
    </row>
    <row r="422" spans="5:5" ht="33" customHeight="1" x14ac:dyDescent="0.3">
      <c r="E422" s="3"/>
    </row>
    <row r="423" spans="5:5" ht="33" customHeight="1" x14ac:dyDescent="0.3">
      <c r="E423" s="3"/>
    </row>
    <row r="424" spans="5:5" ht="33" customHeight="1" x14ac:dyDescent="0.3">
      <c r="E424" s="3"/>
    </row>
    <row r="425" spans="5:5" ht="33" customHeight="1" x14ac:dyDescent="0.3">
      <c r="E425" s="3"/>
    </row>
    <row r="426" spans="5:5" ht="33" customHeight="1" x14ac:dyDescent="0.3">
      <c r="E426" s="3"/>
    </row>
    <row r="427" spans="5:5" ht="33" customHeight="1" x14ac:dyDescent="0.3">
      <c r="E427" s="3"/>
    </row>
    <row r="428" spans="5:5" ht="33" customHeight="1" x14ac:dyDescent="0.3">
      <c r="E428" s="3"/>
    </row>
    <row r="429" spans="5:5" ht="33" customHeight="1" x14ac:dyDescent="0.3">
      <c r="E429" s="3"/>
    </row>
    <row r="430" spans="5:5" ht="33" customHeight="1" x14ac:dyDescent="0.3">
      <c r="E430" s="3"/>
    </row>
    <row r="431" spans="5:5" ht="33" customHeight="1" x14ac:dyDescent="0.3">
      <c r="E431" s="3"/>
    </row>
    <row r="432" spans="5:5" ht="33" customHeight="1" x14ac:dyDescent="0.3">
      <c r="E432" s="3"/>
    </row>
    <row r="433" spans="5:5" ht="33" customHeight="1" x14ac:dyDescent="0.3">
      <c r="E433" s="3"/>
    </row>
    <row r="434" spans="5:5" ht="33" customHeight="1" x14ac:dyDescent="0.3">
      <c r="E434" s="3"/>
    </row>
    <row r="435" spans="5:5" ht="33" customHeight="1" x14ac:dyDescent="0.3">
      <c r="E435" s="3"/>
    </row>
    <row r="436" spans="5:5" ht="33" customHeight="1" x14ac:dyDescent="0.3">
      <c r="E436" s="3"/>
    </row>
    <row r="437" spans="5:5" ht="33" customHeight="1" x14ac:dyDescent="0.3">
      <c r="E437" s="3"/>
    </row>
    <row r="438" spans="5:5" ht="33" customHeight="1" x14ac:dyDescent="0.3">
      <c r="E438" s="3"/>
    </row>
    <row r="439" spans="5:5" ht="33" customHeight="1" x14ac:dyDescent="0.3">
      <c r="E439" s="3"/>
    </row>
    <row r="440" spans="5:5" ht="33" customHeight="1" x14ac:dyDescent="0.3">
      <c r="E440" s="3"/>
    </row>
    <row r="441" spans="5:5" ht="33" customHeight="1" x14ac:dyDescent="0.3">
      <c r="E441" s="3"/>
    </row>
    <row r="442" spans="5:5" ht="33" customHeight="1" x14ac:dyDescent="0.3">
      <c r="E442" s="3"/>
    </row>
    <row r="443" spans="5:5" ht="33" customHeight="1" x14ac:dyDescent="0.3">
      <c r="E443" s="3"/>
    </row>
    <row r="444" spans="5:5" ht="33" customHeight="1" x14ac:dyDescent="0.3">
      <c r="E444" s="3"/>
    </row>
    <row r="445" spans="5:5" ht="33" customHeight="1" x14ac:dyDescent="0.3">
      <c r="E445" s="3"/>
    </row>
    <row r="446" spans="5:5" ht="33" customHeight="1" x14ac:dyDescent="0.3">
      <c r="E446" s="3"/>
    </row>
    <row r="447" spans="5:5" ht="33" customHeight="1" x14ac:dyDescent="0.3">
      <c r="E447" s="3"/>
    </row>
    <row r="448" spans="5:5" ht="33" customHeight="1" x14ac:dyDescent="0.3">
      <c r="E448" s="3"/>
    </row>
    <row r="449" spans="5:5" ht="33" customHeight="1" x14ac:dyDescent="0.3">
      <c r="E449" s="3"/>
    </row>
    <row r="450" spans="5:5" ht="33" customHeight="1" x14ac:dyDescent="0.3">
      <c r="E450" s="3"/>
    </row>
    <row r="451" spans="5:5" ht="33" customHeight="1" x14ac:dyDescent="0.3">
      <c r="E451" s="3"/>
    </row>
    <row r="452" spans="5:5" ht="33" customHeight="1" x14ac:dyDescent="0.3">
      <c r="E452" s="3"/>
    </row>
    <row r="453" spans="5:5" ht="33" customHeight="1" x14ac:dyDescent="0.3">
      <c r="E453" s="3"/>
    </row>
    <row r="454" spans="5:5" ht="33" customHeight="1" x14ac:dyDescent="0.3">
      <c r="E454" s="3"/>
    </row>
    <row r="455" spans="5:5" ht="33" customHeight="1" x14ac:dyDescent="0.3">
      <c r="E455" s="3"/>
    </row>
    <row r="456" spans="5:5" ht="33" customHeight="1" x14ac:dyDescent="0.3">
      <c r="E456" s="3"/>
    </row>
    <row r="457" spans="5:5" ht="33" customHeight="1" x14ac:dyDescent="0.3">
      <c r="E457" s="3"/>
    </row>
    <row r="458" spans="5:5" ht="33" customHeight="1" x14ac:dyDescent="0.3">
      <c r="E458" s="3"/>
    </row>
    <row r="459" spans="5:5" ht="33" customHeight="1" x14ac:dyDescent="0.3">
      <c r="E459" s="3"/>
    </row>
    <row r="460" spans="5:5" ht="33" customHeight="1" x14ac:dyDescent="0.3">
      <c r="E460" s="3"/>
    </row>
    <row r="461" spans="5:5" ht="33" customHeight="1" x14ac:dyDescent="0.3">
      <c r="E461" s="3"/>
    </row>
    <row r="462" spans="5:5" ht="33" customHeight="1" x14ac:dyDescent="0.3">
      <c r="E462" s="3"/>
    </row>
    <row r="463" spans="5:5" ht="33" customHeight="1" x14ac:dyDescent="0.3">
      <c r="E463" s="3"/>
    </row>
    <row r="464" spans="5:5" ht="33" customHeight="1" x14ac:dyDescent="0.3">
      <c r="E464" s="3"/>
    </row>
    <row r="465" spans="5:5" ht="33" customHeight="1" x14ac:dyDescent="0.3">
      <c r="E465" s="3"/>
    </row>
    <row r="466" spans="5:5" ht="33" customHeight="1" x14ac:dyDescent="0.3">
      <c r="E466" s="3"/>
    </row>
    <row r="467" spans="5:5" ht="33" customHeight="1" x14ac:dyDescent="0.3">
      <c r="E467" s="3"/>
    </row>
    <row r="468" spans="5:5" ht="33" customHeight="1" x14ac:dyDescent="0.3">
      <c r="E468" s="3"/>
    </row>
    <row r="469" spans="5:5" ht="33" customHeight="1" x14ac:dyDescent="0.3">
      <c r="E469" s="3"/>
    </row>
    <row r="470" spans="5:5" ht="33" customHeight="1" x14ac:dyDescent="0.3">
      <c r="E470" s="3"/>
    </row>
    <row r="471" spans="5:5" ht="33" customHeight="1" x14ac:dyDescent="0.3">
      <c r="E471" s="3"/>
    </row>
    <row r="472" spans="5:5" ht="33" customHeight="1" x14ac:dyDescent="0.3">
      <c r="E472" s="3"/>
    </row>
    <row r="473" spans="5:5" ht="33" customHeight="1" x14ac:dyDescent="0.3">
      <c r="E473" s="3"/>
    </row>
    <row r="474" spans="5:5" ht="33" customHeight="1" x14ac:dyDescent="0.3">
      <c r="E474" s="3"/>
    </row>
    <row r="475" spans="5:5" ht="33" customHeight="1" x14ac:dyDescent="0.3">
      <c r="E475" s="3"/>
    </row>
    <row r="476" spans="5:5" ht="33" customHeight="1" x14ac:dyDescent="0.3">
      <c r="E476" s="3"/>
    </row>
    <row r="477" spans="5:5" ht="33" customHeight="1" x14ac:dyDescent="0.3">
      <c r="E477" s="3"/>
    </row>
    <row r="478" spans="5:5" ht="33" customHeight="1" x14ac:dyDescent="0.3">
      <c r="E478" s="3"/>
    </row>
    <row r="479" spans="5:5" ht="33" customHeight="1" x14ac:dyDescent="0.3">
      <c r="E479" s="3"/>
    </row>
    <row r="480" spans="5:5" ht="33" customHeight="1" x14ac:dyDescent="0.3">
      <c r="E480" s="3"/>
    </row>
    <row r="481" spans="5:5" ht="33" customHeight="1" x14ac:dyDescent="0.3">
      <c r="E481" s="3"/>
    </row>
    <row r="482" spans="5:5" ht="33" customHeight="1" x14ac:dyDescent="0.3">
      <c r="E482" s="3"/>
    </row>
    <row r="483" spans="5:5" ht="33" customHeight="1" x14ac:dyDescent="0.3">
      <c r="E483" s="3"/>
    </row>
    <row r="484" spans="5:5" ht="33" customHeight="1" x14ac:dyDescent="0.3">
      <c r="E484" s="3"/>
    </row>
    <row r="485" spans="5:5" ht="33" customHeight="1" x14ac:dyDescent="0.3">
      <c r="E485" s="3"/>
    </row>
    <row r="486" spans="5:5" ht="33" customHeight="1" x14ac:dyDescent="0.3">
      <c r="E486" s="3"/>
    </row>
    <row r="487" spans="5:5" ht="33" customHeight="1" x14ac:dyDescent="0.3">
      <c r="E487" s="3"/>
    </row>
    <row r="488" spans="5:5" ht="33" customHeight="1" x14ac:dyDescent="0.3">
      <c r="E488" s="3"/>
    </row>
    <row r="489" spans="5:5" ht="33" customHeight="1" x14ac:dyDescent="0.3">
      <c r="E489" s="3"/>
    </row>
    <row r="490" spans="5:5" ht="33" customHeight="1" x14ac:dyDescent="0.3">
      <c r="E490" s="3"/>
    </row>
    <row r="491" spans="5:5" ht="33" customHeight="1" x14ac:dyDescent="0.3">
      <c r="E491" s="3"/>
    </row>
    <row r="492" spans="5:5" ht="33" customHeight="1" x14ac:dyDescent="0.3">
      <c r="E492" s="3"/>
    </row>
    <row r="493" spans="5:5" ht="33" customHeight="1" x14ac:dyDescent="0.3">
      <c r="E493" s="3"/>
    </row>
    <row r="494" spans="5:5" ht="33" customHeight="1" x14ac:dyDescent="0.3">
      <c r="E494" s="3"/>
    </row>
    <row r="495" spans="5:5" ht="33" customHeight="1" x14ac:dyDescent="0.3">
      <c r="E495" s="3"/>
    </row>
    <row r="496" spans="5:5" ht="33" customHeight="1" x14ac:dyDescent="0.3">
      <c r="E496" s="3"/>
    </row>
    <row r="497" spans="5:5" ht="33" customHeight="1" x14ac:dyDescent="0.3">
      <c r="E497" s="3"/>
    </row>
    <row r="498" spans="5:5" ht="33" customHeight="1" x14ac:dyDescent="0.3">
      <c r="E498" s="3"/>
    </row>
    <row r="499" spans="5:5" ht="33" customHeight="1" x14ac:dyDescent="0.3">
      <c r="E499" s="3"/>
    </row>
    <row r="500" spans="5:5" ht="33" customHeight="1" x14ac:dyDescent="0.3">
      <c r="E500" s="3"/>
    </row>
    <row r="501" spans="5:5" ht="33" customHeight="1" x14ac:dyDescent="0.3">
      <c r="E501" s="3"/>
    </row>
    <row r="502" spans="5:5" ht="33" customHeight="1" x14ac:dyDescent="0.3">
      <c r="E502" s="3"/>
    </row>
    <row r="503" spans="5:5" ht="33" customHeight="1" x14ac:dyDescent="0.3">
      <c r="E503" s="3"/>
    </row>
    <row r="504" spans="5:5" ht="33" customHeight="1" x14ac:dyDescent="0.3">
      <c r="E504" s="3"/>
    </row>
    <row r="505" spans="5:5" ht="33" customHeight="1" x14ac:dyDescent="0.3">
      <c r="E505" s="3"/>
    </row>
    <row r="506" spans="5:5" ht="33" customHeight="1" x14ac:dyDescent="0.3">
      <c r="E506" s="3"/>
    </row>
    <row r="507" spans="5:5" ht="33" customHeight="1" x14ac:dyDescent="0.3">
      <c r="E507" s="3"/>
    </row>
    <row r="508" spans="5:5" ht="33" customHeight="1" x14ac:dyDescent="0.3">
      <c r="E508" s="3"/>
    </row>
    <row r="509" spans="5:5" ht="33" customHeight="1" x14ac:dyDescent="0.3">
      <c r="E509" s="3"/>
    </row>
    <row r="510" spans="5:5" ht="33" customHeight="1" x14ac:dyDescent="0.3">
      <c r="E510" s="3"/>
    </row>
    <row r="511" spans="5:5" ht="33" customHeight="1" x14ac:dyDescent="0.3">
      <c r="E511" s="3"/>
    </row>
    <row r="512" spans="5:5" ht="33" customHeight="1" x14ac:dyDescent="0.3">
      <c r="E512" s="3"/>
    </row>
    <row r="513" spans="5:5" ht="33" customHeight="1" x14ac:dyDescent="0.3">
      <c r="E513" s="3"/>
    </row>
    <row r="514" spans="5:5" ht="33" customHeight="1" x14ac:dyDescent="0.3">
      <c r="E514" s="3"/>
    </row>
    <row r="515" spans="5:5" ht="33" customHeight="1" x14ac:dyDescent="0.3">
      <c r="E515" s="3"/>
    </row>
    <row r="516" spans="5:5" ht="33" customHeight="1" x14ac:dyDescent="0.3">
      <c r="E516" s="3"/>
    </row>
    <row r="517" spans="5:5" ht="33" customHeight="1" x14ac:dyDescent="0.3">
      <c r="E517" s="3"/>
    </row>
    <row r="518" spans="5:5" ht="33" customHeight="1" x14ac:dyDescent="0.3">
      <c r="E518" s="3"/>
    </row>
    <row r="519" spans="5:5" ht="33" customHeight="1" x14ac:dyDescent="0.3">
      <c r="E519" s="3"/>
    </row>
    <row r="520" spans="5:5" ht="33" customHeight="1" x14ac:dyDescent="0.3">
      <c r="E520" s="3"/>
    </row>
    <row r="521" spans="5:5" ht="33" customHeight="1" x14ac:dyDescent="0.3">
      <c r="E521" s="3"/>
    </row>
    <row r="522" spans="5:5" ht="33" customHeight="1" x14ac:dyDescent="0.3">
      <c r="E522" s="3"/>
    </row>
    <row r="523" spans="5:5" ht="33" customHeight="1" x14ac:dyDescent="0.3">
      <c r="E523" s="3"/>
    </row>
    <row r="524" spans="5:5" ht="33" customHeight="1" x14ac:dyDescent="0.3">
      <c r="E524" s="3"/>
    </row>
    <row r="525" spans="5:5" ht="33" customHeight="1" x14ac:dyDescent="0.3">
      <c r="E525" s="3"/>
    </row>
    <row r="526" spans="5:5" ht="33" customHeight="1" x14ac:dyDescent="0.3">
      <c r="E526" s="3"/>
    </row>
    <row r="527" spans="5:5" ht="33" customHeight="1" x14ac:dyDescent="0.3">
      <c r="E527" s="3"/>
    </row>
    <row r="528" spans="5:5" ht="33" customHeight="1" x14ac:dyDescent="0.3">
      <c r="E528" s="3"/>
    </row>
    <row r="529" spans="5:5" ht="33" customHeight="1" x14ac:dyDescent="0.3">
      <c r="E529" s="3"/>
    </row>
    <row r="530" spans="5:5" ht="33" customHeight="1" x14ac:dyDescent="0.3">
      <c r="E530" s="3"/>
    </row>
    <row r="531" spans="5:5" ht="33" customHeight="1" x14ac:dyDescent="0.3">
      <c r="E531" s="3"/>
    </row>
    <row r="532" spans="5:5" ht="33" customHeight="1" x14ac:dyDescent="0.3">
      <c r="E532" s="3"/>
    </row>
    <row r="533" spans="5:5" ht="33" customHeight="1" x14ac:dyDescent="0.3">
      <c r="E533" s="3"/>
    </row>
    <row r="534" spans="5:5" ht="33" customHeight="1" x14ac:dyDescent="0.3">
      <c r="E534" s="3"/>
    </row>
    <row r="535" spans="5:5" ht="33" customHeight="1" x14ac:dyDescent="0.3">
      <c r="E535" s="3"/>
    </row>
    <row r="536" spans="5:5" ht="33" customHeight="1" x14ac:dyDescent="0.3">
      <c r="E536" s="3"/>
    </row>
    <row r="537" spans="5:5" ht="33" customHeight="1" x14ac:dyDescent="0.3">
      <c r="E537" s="3"/>
    </row>
    <row r="538" spans="5:5" ht="33" customHeight="1" x14ac:dyDescent="0.3">
      <c r="E538" s="3"/>
    </row>
    <row r="539" spans="5:5" ht="33" customHeight="1" x14ac:dyDescent="0.3">
      <c r="E539" s="3"/>
    </row>
    <row r="540" spans="5:5" ht="33" customHeight="1" x14ac:dyDescent="0.3">
      <c r="E540" s="3"/>
    </row>
    <row r="541" spans="5:5" ht="33" customHeight="1" x14ac:dyDescent="0.3">
      <c r="E541" s="3"/>
    </row>
    <row r="542" spans="5:5" ht="33" customHeight="1" x14ac:dyDescent="0.3">
      <c r="E542" s="3"/>
    </row>
    <row r="543" spans="5:5" ht="33" customHeight="1" x14ac:dyDescent="0.3">
      <c r="E543" s="3"/>
    </row>
    <row r="544" spans="5:5" ht="33" customHeight="1" x14ac:dyDescent="0.3">
      <c r="E544" s="3"/>
    </row>
    <row r="545" spans="5:5" ht="33" customHeight="1" x14ac:dyDescent="0.3">
      <c r="E545" s="3"/>
    </row>
    <row r="546" spans="5:5" ht="33" customHeight="1" x14ac:dyDescent="0.3">
      <c r="E546" s="3"/>
    </row>
    <row r="547" spans="5:5" ht="33" customHeight="1" x14ac:dyDescent="0.3">
      <c r="E547" s="3"/>
    </row>
    <row r="548" spans="5:5" ht="33" customHeight="1" x14ac:dyDescent="0.3">
      <c r="E548" s="3"/>
    </row>
    <row r="549" spans="5:5" ht="33" customHeight="1" x14ac:dyDescent="0.3">
      <c r="E549" s="3"/>
    </row>
    <row r="550" spans="5:5" ht="33" customHeight="1" x14ac:dyDescent="0.3">
      <c r="E550" s="3"/>
    </row>
    <row r="551" spans="5:5" ht="33" customHeight="1" x14ac:dyDescent="0.3">
      <c r="E551" s="3"/>
    </row>
    <row r="552" spans="5:5" ht="33" customHeight="1" x14ac:dyDescent="0.3">
      <c r="E552" s="3"/>
    </row>
    <row r="553" spans="5:5" ht="33" customHeight="1" x14ac:dyDescent="0.3">
      <c r="E553" s="3"/>
    </row>
    <row r="554" spans="5:5" ht="33" customHeight="1" x14ac:dyDescent="0.3">
      <c r="E554" s="3"/>
    </row>
    <row r="555" spans="5:5" ht="33" customHeight="1" x14ac:dyDescent="0.3">
      <c r="E555" s="3"/>
    </row>
    <row r="556" spans="5:5" ht="33" customHeight="1" x14ac:dyDescent="0.3">
      <c r="E556" s="3"/>
    </row>
    <row r="557" spans="5:5" ht="33" customHeight="1" x14ac:dyDescent="0.3">
      <c r="E557" s="3"/>
    </row>
    <row r="558" spans="5:5" ht="33" customHeight="1" x14ac:dyDescent="0.3">
      <c r="E558" s="3"/>
    </row>
    <row r="559" spans="5:5" ht="33" customHeight="1" x14ac:dyDescent="0.3">
      <c r="E559" s="3"/>
    </row>
    <row r="560" spans="5:5" ht="33" customHeight="1" x14ac:dyDescent="0.3">
      <c r="E560" s="3"/>
    </row>
    <row r="561" spans="5:5" ht="33" customHeight="1" x14ac:dyDescent="0.3">
      <c r="E561" s="3"/>
    </row>
    <row r="562" spans="5:5" ht="33" customHeight="1" x14ac:dyDescent="0.3">
      <c r="E562" s="3"/>
    </row>
    <row r="563" spans="5:5" ht="33" customHeight="1" x14ac:dyDescent="0.3">
      <c r="E563" s="3"/>
    </row>
    <row r="564" spans="5:5" ht="33" customHeight="1" x14ac:dyDescent="0.3">
      <c r="E564" s="3"/>
    </row>
    <row r="565" spans="5:5" ht="33" customHeight="1" x14ac:dyDescent="0.3">
      <c r="E565" s="3"/>
    </row>
    <row r="566" spans="5:5" ht="33" customHeight="1" x14ac:dyDescent="0.3">
      <c r="E566" s="3"/>
    </row>
    <row r="567" spans="5:5" ht="33" customHeight="1" x14ac:dyDescent="0.3">
      <c r="E567" s="3"/>
    </row>
    <row r="568" spans="5:5" ht="33" customHeight="1" x14ac:dyDescent="0.3">
      <c r="E568" s="3"/>
    </row>
    <row r="569" spans="5:5" ht="33" customHeight="1" x14ac:dyDescent="0.3">
      <c r="E569" s="3"/>
    </row>
    <row r="570" spans="5:5" ht="33" customHeight="1" x14ac:dyDescent="0.3">
      <c r="E570" s="3"/>
    </row>
    <row r="571" spans="5:5" ht="33" customHeight="1" x14ac:dyDescent="0.3">
      <c r="E571" s="3"/>
    </row>
    <row r="572" spans="5:5" ht="33" customHeight="1" x14ac:dyDescent="0.3">
      <c r="E572" s="3"/>
    </row>
    <row r="573" spans="5:5" ht="33" customHeight="1" x14ac:dyDescent="0.3">
      <c r="E573" s="3"/>
    </row>
    <row r="574" spans="5:5" ht="33" customHeight="1" x14ac:dyDescent="0.3">
      <c r="E574" s="3"/>
    </row>
    <row r="575" spans="5:5" ht="33" customHeight="1" x14ac:dyDescent="0.3">
      <c r="E575" s="3"/>
    </row>
    <row r="576" spans="5:5" ht="33" customHeight="1" x14ac:dyDescent="0.3">
      <c r="E576" s="3"/>
    </row>
    <row r="577" spans="5:5" ht="33" customHeight="1" x14ac:dyDescent="0.3">
      <c r="E577" s="3"/>
    </row>
    <row r="578" spans="5:5" ht="33" customHeight="1" x14ac:dyDescent="0.3">
      <c r="E578" s="3"/>
    </row>
    <row r="579" spans="5:5" ht="33" customHeight="1" x14ac:dyDescent="0.3">
      <c r="E579" s="3"/>
    </row>
    <row r="580" spans="5:5" ht="33" customHeight="1" x14ac:dyDescent="0.3">
      <c r="E580" s="3"/>
    </row>
    <row r="581" spans="5:5" ht="33" customHeight="1" x14ac:dyDescent="0.3">
      <c r="E581" s="3"/>
    </row>
    <row r="582" spans="5:5" ht="33" customHeight="1" x14ac:dyDescent="0.3">
      <c r="E582" s="3"/>
    </row>
    <row r="583" spans="5:5" ht="33" customHeight="1" x14ac:dyDescent="0.3">
      <c r="E583" s="3"/>
    </row>
    <row r="584" spans="5:5" ht="33" customHeight="1" x14ac:dyDescent="0.3">
      <c r="E584" s="3"/>
    </row>
    <row r="585" spans="5:5" ht="33" customHeight="1" x14ac:dyDescent="0.3">
      <c r="E585" s="3"/>
    </row>
    <row r="586" spans="5:5" ht="33" customHeight="1" x14ac:dyDescent="0.3">
      <c r="E586" s="3"/>
    </row>
    <row r="587" spans="5:5" ht="33" customHeight="1" x14ac:dyDescent="0.3">
      <c r="E587" s="3"/>
    </row>
    <row r="588" spans="5:5" ht="33" customHeight="1" x14ac:dyDescent="0.3">
      <c r="E588" s="3"/>
    </row>
    <row r="589" spans="5:5" ht="33" customHeight="1" x14ac:dyDescent="0.3">
      <c r="E589" s="3"/>
    </row>
    <row r="590" spans="5:5" ht="33" customHeight="1" x14ac:dyDescent="0.3">
      <c r="E590" s="3"/>
    </row>
    <row r="591" spans="5:5" ht="33" customHeight="1" x14ac:dyDescent="0.3">
      <c r="E591" s="3"/>
    </row>
    <row r="592" spans="5:5" ht="33" customHeight="1" x14ac:dyDescent="0.3">
      <c r="E592" s="3"/>
    </row>
    <row r="593" spans="5:5" ht="33" customHeight="1" x14ac:dyDescent="0.3">
      <c r="E593" s="3"/>
    </row>
    <row r="594" spans="5:5" ht="33" customHeight="1" x14ac:dyDescent="0.3">
      <c r="E594" s="3"/>
    </row>
    <row r="595" spans="5:5" ht="33" customHeight="1" x14ac:dyDescent="0.3">
      <c r="E595" s="3"/>
    </row>
    <row r="596" spans="5:5" ht="33" customHeight="1" x14ac:dyDescent="0.3">
      <c r="E596" s="3"/>
    </row>
    <row r="597" spans="5:5" ht="33" customHeight="1" x14ac:dyDescent="0.3">
      <c r="E597" s="3"/>
    </row>
    <row r="598" spans="5:5" ht="33" customHeight="1" x14ac:dyDescent="0.3">
      <c r="E598" s="3"/>
    </row>
    <row r="599" spans="5:5" ht="33" customHeight="1" x14ac:dyDescent="0.3">
      <c r="E599" s="3"/>
    </row>
    <row r="600" spans="5:5" ht="33" customHeight="1" x14ac:dyDescent="0.3">
      <c r="E600" s="3"/>
    </row>
    <row r="601" spans="5:5" ht="33" customHeight="1" x14ac:dyDescent="0.3">
      <c r="E601" s="3"/>
    </row>
    <row r="602" spans="5:5" ht="33" customHeight="1" x14ac:dyDescent="0.3">
      <c r="E602" s="3"/>
    </row>
    <row r="603" spans="5:5" ht="33" customHeight="1" x14ac:dyDescent="0.3">
      <c r="E603" s="3"/>
    </row>
    <row r="604" spans="5:5" ht="33" customHeight="1" x14ac:dyDescent="0.3">
      <c r="E604" s="3"/>
    </row>
    <row r="605" spans="5:5" ht="33" customHeight="1" x14ac:dyDescent="0.3">
      <c r="E605" s="3"/>
    </row>
    <row r="606" spans="5:5" ht="33" customHeight="1" x14ac:dyDescent="0.3">
      <c r="E606" s="3"/>
    </row>
    <row r="607" spans="5:5" ht="33" customHeight="1" x14ac:dyDescent="0.3">
      <c r="E607" s="3"/>
    </row>
    <row r="608" spans="5:5" ht="33" customHeight="1" x14ac:dyDescent="0.3">
      <c r="E608" s="3"/>
    </row>
    <row r="609" spans="5:5" ht="33" customHeight="1" x14ac:dyDescent="0.3">
      <c r="E609" s="3"/>
    </row>
    <row r="610" spans="5:5" ht="33" customHeight="1" x14ac:dyDescent="0.3">
      <c r="E610" s="3"/>
    </row>
    <row r="611" spans="5:5" ht="33" customHeight="1" x14ac:dyDescent="0.3">
      <c r="E611" s="3"/>
    </row>
    <row r="612" spans="5:5" ht="33" customHeight="1" x14ac:dyDescent="0.3">
      <c r="E612" s="3"/>
    </row>
    <row r="613" spans="5:5" ht="33" customHeight="1" x14ac:dyDescent="0.3">
      <c r="E613" s="3"/>
    </row>
    <row r="614" spans="5:5" ht="33" customHeight="1" x14ac:dyDescent="0.3">
      <c r="E614" s="3"/>
    </row>
    <row r="615" spans="5:5" ht="33" customHeight="1" x14ac:dyDescent="0.3">
      <c r="E615" s="3"/>
    </row>
    <row r="616" spans="5:5" ht="33" customHeight="1" x14ac:dyDescent="0.3">
      <c r="E616" s="3"/>
    </row>
    <row r="617" spans="5:5" ht="33" customHeight="1" x14ac:dyDescent="0.3">
      <c r="E617" s="3"/>
    </row>
    <row r="618" spans="5:5" ht="33" customHeight="1" x14ac:dyDescent="0.3">
      <c r="E618" s="3"/>
    </row>
    <row r="619" spans="5:5" ht="33" customHeight="1" x14ac:dyDescent="0.3">
      <c r="E619" s="3"/>
    </row>
    <row r="620" spans="5:5" ht="33" customHeight="1" x14ac:dyDescent="0.3">
      <c r="E620" s="3"/>
    </row>
    <row r="621" spans="5:5" ht="33" customHeight="1" x14ac:dyDescent="0.3">
      <c r="E621" s="3"/>
    </row>
    <row r="622" spans="5:5" ht="33" customHeight="1" x14ac:dyDescent="0.3">
      <c r="E622" s="3"/>
    </row>
    <row r="623" spans="5:5" ht="33" customHeight="1" x14ac:dyDescent="0.3">
      <c r="E623" s="3"/>
    </row>
    <row r="624" spans="5:5" ht="33" customHeight="1" x14ac:dyDescent="0.3">
      <c r="E624" s="3"/>
    </row>
    <row r="625" spans="5:5" ht="33" customHeight="1" x14ac:dyDescent="0.3">
      <c r="E625" s="3"/>
    </row>
    <row r="626" spans="5:5" ht="33" customHeight="1" x14ac:dyDescent="0.3">
      <c r="E626" s="3"/>
    </row>
    <row r="627" spans="5:5" ht="33" customHeight="1" x14ac:dyDescent="0.3">
      <c r="E627" s="3"/>
    </row>
    <row r="628" spans="5:5" ht="33" customHeight="1" x14ac:dyDescent="0.3">
      <c r="E628" s="3"/>
    </row>
    <row r="629" spans="5:5" ht="33" customHeight="1" x14ac:dyDescent="0.3">
      <c r="E629" s="3"/>
    </row>
    <row r="630" spans="5:5" ht="33" customHeight="1" x14ac:dyDescent="0.3">
      <c r="E630" s="3"/>
    </row>
    <row r="631" spans="5:5" ht="33" customHeight="1" x14ac:dyDescent="0.3">
      <c r="E631" s="3"/>
    </row>
    <row r="632" spans="5:5" ht="33" customHeight="1" x14ac:dyDescent="0.3">
      <c r="E632" s="3"/>
    </row>
    <row r="633" spans="5:5" ht="33" customHeight="1" x14ac:dyDescent="0.3">
      <c r="E633" s="3"/>
    </row>
    <row r="634" spans="5:5" ht="33" customHeight="1" x14ac:dyDescent="0.3">
      <c r="E634" s="3"/>
    </row>
    <row r="635" spans="5:5" ht="33" customHeight="1" x14ac:dyDescent="0.3">
      <c r="E635" s="3"/>
    </row>
    <row r="636" spans="5:5" ht="33" customHeight="1" x14ac:dyDescent="0.3">
      <c r="E636" s="3"/>
    </row>
    <row r="637" spans="5:5" ht="33" customHeight="1" x14ac:dyDescent="0.3">
      <c r="E637" s="3"/>
    </row>
    <row r="638" spans="5:5" ht="33" customHeight="1" x14ac:dyDescent="0.3">
      <c r="E638" s="3"/>
    </row>
    <row r="639" spans="5:5" ht="33" customHeight="1" x14ac:dyDescent="0.3">
      <c r="E639" s="3"/>
    </row>
    <row r="640" spans="5:5" ht="33" customHeight="1" x14ac:dyDescent="0.3">
      <c r="E640" s="3"/>
    </row>
    <row r="641" spans="5:5" ht="33" customHeight="1" x14ac:dyDescent="0.3">
      <c r="E641" s="3"/>
    </row>
    <row r="642" spans="5:5" ht="33" customHeight="1" x14ac:dyDescent="0.3">
      <c r="E642" s="3"/>
    </row>
    <row r="643" spans="5:5" ht="33" customHeight="1" x14ac:dyDescent="0.3">
      <c r="E643" s="3"/>
    </row>
    <row r="644" spans="5:5" ht="33" customHeight="1" x14ac:dyDescent="0.3">
      <c r="E644" s="3"/>
    </row>
    <row r="645" spans="5:5" ht="33" customHeight="1" x14ac:dyDescent="0.3">
      <c r="E645" s="3"/>
    </row>
    <row r="646" spans="5:5" ht="33" customHeight="1" x14ac:dyDescent="0.3">
      <c r="E646" s="3"/>
    </row>
    <row r="647" spans="5:5" ht="33" customHeight="1" x14ac:dyDescent="0.3">
      <c r="E647" s="3"/>
    </row>
    <row r="648" spans="5:5" ht="33" customHeight="1" x14ac:dyDescent="0.3">
      <c r="E648" s="3"/>
    </row>
    <row r="649" spans="5:5" ht="33" customHeight="1" x14ac:dyDescent="0.3">
      <c r="E649" s="3"/>
    </row>
    <row r="650" spans="5:5" ht="33" customHeight="1" x14ac:dyDescent="0.3">
      <c r="E650" s="3"/>
    </row>
    <row r="651" spans="5:5" ht="33" customHeight="1" x14ac:dyDescent="0.3">
      <c r="E651" s="3"/>
    </row>
    <row r="652" spans="5:5" ht="33" customHeight="1" x14ac:dyDescent="0.3">
      <c r="E652" s="3"/>
    </row>
    <row r="653" spans="5:5" ht="33" customHeight="1" x14ac:dyDescent="0.3">
      <c r="E653" s="3"/>
    </row>
    <row r="654" spans="5:5" ht="33" customHeight="1" x14ac:dyDescent="0.3">
      <c r="E654" s="3"/>
    </row>
    <row r="655" spans="5:5" ht="33" customHeight="1" x14ac:dyDescent="0.3">
      <c r="E655" s="3"/>
    </row>
    <row r="656" spans="5:5" ht="33" customHeight="1" x14ac:dyDescent="0.3">
      <c r="E656" s="3"/>
    </row>
    <row r="657" spans="5:5" ht="33" customHeight="1" x14ac:dyDescent="0.3">
      <c r="E657" s="3"/>
    </row>
    <row r="658" spans="5:5" ht="33" customHeight="1" x14ac:dyDescent="0.3">
      <c r="E658" s="3"/>
    </row>
    <row r="659" spans="5:5" ht="33" customHeight="1" x14ac:dyDescent="0.3">
      <c r="E659" s="3"/>
    </row>
    <row r="660" spans="5:5" ht="33" customHeight="1" x14ac:dyDescent="0.3">
      <c r="E660" s="3"/>
    </row>
    <row r="661" spans="5:5" ht="33" customHeight="1" x14ac:dyDescent="0.3">
      <c r="E661" s="3"/>
    </row>
    <row r="662" spans="5:5" ht="33" customHeight="1" x14ac:dyDescent="0.3">
      <c r="E662" s="3"/>
    </row>
    <row r="663" spans="5:5" ht="33" customHeight="1" x14ac:dyDescent="0.3">
      <c r="E663" s="3"/>
    </row>
    <row r="664" spans="5:5" ht="33" customHeight="1" x14ac:dyDescent="0.3">
      <c r="E664" s="3"/>
    </row>
    <row r="665" spans="5:5" ht="33" customHeight="1" x14ac:dyDescent="0.3">
      <c r="E665" s="3"/>
    </row>
    <row r="666" spans="5:5" ht="33" customHeight="1" x14ac:dyDescent="0.3">
      <c r="E666" s="3"/>
    </row>
    <row r="667" spans="5:5" ht="33" customHeight="1" x14ac:dyDescent="0.3">
      <c r="E667" s="3"/>
    </row>
    <row r="668" spans="5:5" ht="33" customHeight="1" x14ac:dyDescent="0.3">
      <c r="E668" s="3"/>
    </row>
    <row r="669" spans="5:5" ht="33" customHeight="1" x14ac:dyDescent="0.3">
      <c r="E669" s="3"/>
    </row>
    <row r="670" spans="5:5" ht="33" customHeight="1" x14ac:dyDescent="0.3">
      <c r="E670" s="3"/>
    </row>
    <row r="671" spans="5:5" ht="33" customHeight="1" x14ac:dyDescent="0.3">
      <c r="E671" s="3"/>
    </row>
    <row r="672" spans="5:5" ht="33" customHeight="1" x14ac:dyDescent="0.3">
      <c r="E672" s="3"/>
    </row>
    <row r="673" spans="5:5" ht="33" customHeight="1" x14ac:dyDescent="0.3">
      <c r="E673" s="3"/>
    </row>
    <row r="674" spans="5:5" ht="33" customHeight="1" x14ac:dyDescent="0.3">
      <c r="E674" s="3"/>
    </row>
    <row r="675" spans="5:5" ht="33" customHeight="1" x14ac:dyDescent="0.3">
      <c r="E675" s="3"/>
    </row>
    <row r="676" spans="5:5" ht="33" customHeight="1" x14ac:dyDescent="0.3">
      <c r="E676" s="3"/>
    </row>
    <row r="677" spans="5:5" ht="33" customHeight="1" x14ac:dyDescent="0.3">
      <c r="E677" s="3"/>
    </row>
    <row r="678" spans="5:5" ht="33" customHeight="1" x14ac:dyDescent="0.3">
      <c r="E678" s="3"/>
    </row>
    <row r="679" spans="5:5" ht="33" customHeight="1" x14ac:dyDescent="0.3">
      <c r="E679" s="3"/>
    </row>
    <row r="680" spans="5:5" ht="33" customHeight="1" x14ac:dyDescent="0.3">
      <c r="E680" s="3"/>
    </row>
    <row r="681" spans="5:5" ht="33" customHeight="1" x14ac:dyDescent="0.3">
      <c r="E681" s="3"/>
    </row>
    <row r="682" spans="5:5" ht="33" customHeight="1" x14ac:dyDescent="0.3">
      <c r="E682" s="3"/>
    </row>
    <row r="683" spans="5:5" ht="33" customHeight="1" x14ac:dyDescent="0.3">
      <c r="E683" s="3"/>
    </row>
    <row r="684" spans="5:5" ht="33" customHeight="1" x14ac:dyDescent="0.3">
      <c r="E684" s="3"/>
    </row>
    <row r="685" spans="5:5" ht="33" customHeight="1" x14ac:dyDescent="0.3">
      <c r="E685" s="3"/>
    </row>
    <row r="686" spans="5:5" ht="33" customHeight="1" x14ac:dyDescent="0.3">
      <c r="E686" s="3"/>
    </row>
    <row r="687" spans="5:5" ht="33" customHeight="1" x14ac:dyDescent="0.3">
      <c r="E687" s="3"/>
    </row>
    <row r="688" spans="5:5" ht="33" customHeight="1" x14ac:dyDescent="0.3">
      <c r="E688" s="3"/>
    </row>
    <row r="689" spans="5:5" ht="33" customHeight="1" x14ac:dyDescent="0.3">
      <c r="E689" s="3"/>
    </row>
    <row r="690" spans="5:5" ht="33" customHeight="1" x14ac:dyDescent="0.3">
      <c r="E690" s="3"/>
    </row>
    <row r="691" spans="5:5" ht="33" customHeight="1" x14ac:dyDescent="0.3">
      <c r="E691" s="3"/>
    </row>
    <row r="692" spans="5:5" ht="33" customHeight="1" x14ac:dyDescent="0.3">
      <c r="E692" s="3"/>
    </row>
    <row r="693" spans="5:5" ht="33" customHeight="1" x14ac:dyDescent="0.3">
      <c r="E693" s="3"/>
    </row>
    <row r="694" spans="5:5" ht="33" customHeight="1" x14ac:dyDescent="0.3">
      <c r="E694" s="3"/>
    </row>
    <row r="695" spans="5:5" ht="33" customHeight="1" x14ac:dyDescent="0.3">
      <c r="E695" s="3"/>
    </row>
    <row r="696" spans="5:5" ht="33" customHeight="1" x14ac:dyDescent="0.3">
      <c r="E696" s="3"/>
    </row>
    <row r="697" spans="5:5" ht="33" customHeight="1" x14ac:dyDescent="0.3">
      <c r="E697" s="3"/>
    </row>
    <row r="698" spans="5:5" ht="33" customHeight="1" x14ac:dyDescent="0.3">
      <c r="E698" s="3"/>
    </row>
    <row r="699" spans="5:5" ht="33" customHeight="1" x14ac:dyDescent="0.3">
      <c r="E699" s="3"/>
    </row>
    <row r="700" spans="5:5" ht="33" customHeight="1" x14ac:dyDescent="0.3">
      <c r="E700" s="3"/>
    </row>
    <row r="701" spans="5:5" ht="33" customHeight="1" x14ac:dyDescent="0.3">
      <c r="E701" s="3"/>
    </row>
    <row r="702" spans="5:5" ht="33" customHeight="1" x14ac:dyDescent="0.3">
      <c r="E702" s="3"/>
    </row>
    <row r="703" spans="5:5" ht="33" customHeight="1" x14ac:dyDescent="0.3">
      <c r="E703" s="3"/>
    </row>
    <row r="704" spans="5:5" ht="33" customHeight="1" x14ac:dyDescent="0.3">
      <c r="E704" s="3"/>
    </row>
    <row r="705" spans="5:5" ht="33" customHeight="1" x14ac:dyDescent="0.3">
      <c r="E705" s="3"/>
    </row>
    <row r="706" spans="5:5" ht="33" customHeight="1" x14ac:dyDescent="0.3">
      <c r="E706" s="3"/>
    </row>
    <row r="707" spans="5:5" ht="33" customHeight="1" x14ac:dyDescent="0.3">
      <c r="E707" s="3"/>
    </row>
    <row r="708" spans="5:5" ht="33" customHeight="1" x14ac:dyDescent="0.3">
      <c r="E708" s="3"/>
    </row>
    <row r="709" spans="5:5" ht="33" customHeight="1" x14ac:dyDescent="0.3">
      <c r="E709" s="3"/>
    </row>
    <row r="710" spans="5:5" ht="33" customHeight="1" x14ac:dyDescent="0.3">
      <c r="E710" s="3"/>
    </row>
    <row r="711" spans="5:5" ht="33" customHeight="1" x14ac:dyDescent="0.3">
      <c r="E711" s="3"/>
    </row>
    <row r="712" spans="5:5" ht="33" customHeight="1" x14ac:dyDescent="0.3">
      <c r="E712" s="3"/>
    </row>
    <row r="713" spans="5:5" ht="33" customHeight="1" x14ac:dyDescent="0.3">
      <c r="E713" s="3"/>
    </row>
    <row r="714" spans="5:5" ht="33" customHeight="1" x14ac:dyDescent="0.3">
      <c r="E714" s="3"/>
    </row>
    <row r="715" spans="5:5" ht="33" customHeight="1" x14ac:dyDescent="0.3">
      <c r="E715" s="3"/>
    </row>
    <row r="716" spans="5:5" ht="33" customHeight="1" x14ac:dyDescent="0.3">
      <c r="E716" s="3"/>
    </row>
    <row r="717" spans="5:5" ht="33" customHeight="1" x14ac:dyDescent="0.3">
      <c r="E717" s="3"/>
    </row>
    <row r="718" spans="5:5" ht="33" customHeight="1" x14ac:dyDescent="0.3">
      <c r="E718" s="3"/>
    </row>
    <row r="719" spans="5:5" ht="33" customHeight="1" x14ac:dyDescent="0.3">
      <c r="E719" s="3"/>
    </row>
    <row r="720" spans="5:5" ht="33" customHeight="1" x14ac:dyDescent="0.3">
      <c r="E720" s="3"/>
    </row>
    <row r="721" spans="5:5" ht="33" customHeight="1" x14ac:dyDescent="0.3">
      <c r="E721" s="3"/>
    </row>
    <row r="722" spans="5:5" ht="33" customHeight="1" x14ac:dyDescent="0.3">
      <c r="E722" s="3"/>
    </row>
    <row r="723" spans="5:5" ht="33" customHeight="1" x14ac:dyDescent="0.3">
      <c r="E723" s="3"/>
    </row>
    <row r="724" spans="5:5" ht="33" customHeight="1" x14ac:dyDescent="0.3">
      <c r="E724" s="3"/>
    </row>
    <row r="725" spans="5:5" ht="33" customHeight="1" x14ac:dyDescent="0.3">
      <c r="E725" s="3"/>
    </row>
    <row r="726" spans="5:5" ht="33" customHeight="1" x14ac:dyDescent="0.3">
      <c r="E726" s="3"/>
    </row>
    <row r="727" spans="5:5" ht="33" customHeight="1" x14ac:dyDescent="0.3">
      <c r="E727" s="3"/>
    </row>
    <row r="728" spans="5:5" ht="33" customHeight="1" x14ac:dyDescent="0.3">
      <c r="E728" s="3"/>
    </row>
    <row r="729" spans="5:5" ht="33" customHeight="1" x14ac:dyDescent="0.3">
      <c r="E729" s="3"/>
    </row>
    <row r="730" spans="5:5" ht="33" customHeight="1" x14ac:dyDescent="0.3">
      <c r="E730" s="3"/>
    </row>
    <row r="731" spans="5:5" ht="33" customHeight="1" x14ac:dyDescent="0.3">
      <c r="E731" s="3"/>
    </row>
    <row r="732" spans="5:5" ht="33" customHeight="1" x14ac:dyDescent="0.3">
      <c r="E732" s="3"/>
    </row>
    <row r="733" spans="5:5" ht="33" customHeight="1" x14ac:dyDescent="0.3">
      <c r="E733" s="3"/>
    </row>
    <row r="734" spans="5:5" ht="33" customHeight="1" x14ac:dyDescent="0.3">
      <c r="E734" s="3"/>
    </row>
    <row r="735" spans="5:5" ht="33" customHeight="1" x14ac:dyDescent="0.3">
      <c r="E735" s="3"/>
    </row>
    <row r="736" spans="5:5" ht="33" customHeight="1" x14ac:dyDescent="0.3">
      <c r="E736" s="3"/>
    </row>
    <row r="737" spans="5:5" ht="33" customHeight="1" x14ac:dyDescent="0.3">
      <c r="E737" s="3"/>
    </row>
    <row r="738" spans="5:5" ht="33" customHeight="1" x14ac:dyDescent="0.3">
      <c r="E738" s="3"/>
    </row>
    <row r="739" spans="5:5" ht="33" customHeight="1" x14ac:dyDescent="0.3">
      <c r="E739" s="3"/>
    </row>
    <row r="740" spans="5:5" ht="33" customHeight="1" x14ac:dyDescent="0.3">
      <c r="E740" s="3"/>
    </row>
    <row r="741" spans="5:5" ht="33" customHeight="1" x14ac:dyDescent="0.3">
      <c r="E741" s="3"/>
    </row>
    <row r="742" spans="5:5" ht="33" customHeight="1" x14ac:dyDescent="0.3">
      <c r="E742" s="3"/>
    </row>
    <row r="743" spans="5:5" ht="33" customHeight="1" x14ac:dyDescent="0.3">
      <c r="E743" s="3"/>
    </row>
    <row r="744" spans="5:5" ht="33" customHeight="1" x14ac:dyDescent="0.3">
      <c r="E744" s="3"/>
    </row>
    <row r="745" spans="5:5" ht="33" customHeight="1" x14ac:dyDescent="0.3">
      <c r="E745" s="3"/>
    </row>
    <row r="746" spans="5:5" ht="33" customHeight="1" x14ac:dyDescent="0.3">
      <c r="E746" s="3"/>
    </row>
    <row r="747" spans="5:5" ht="33" customHeight="1" x14ac:dyDescent="0.3">
      <c r="E747" s="3"/>
    </row>
    <row r="748" spans="5:5" ht="33" customHeight="1" x14ac:dyDescent="0.3">
      <c r="E748" s="3"/>
    </row>
    <row r="749" spans="5:5" ht="33" customHeight="1" x14ac:dyDescent="0.3">
      <c r="E749" s="3"/>
    </row>
    <row r="750" spans="5:5" ht="33" customHeight="1" x14ac:dyDescent="0.3">
      <c r="E750" s="3"/>
    </row>
    <row r="751" spans="5:5" ht="33" customHeight="1" x14ac:dyDescent="0.3">
      <c r="E751" s="3"/>
    </row>
    <row r="752" spans="5:5" ht="33" customHeight="1" x14ac:dyDescent="0.3">
      <c r="E752" s="3"/>
    </row>
    <row r="753" spans="5:5" ht="33" customHeight="1" x14ac:dyDescent="0.3">
      <c r="E753" s="3"/>
    </row>
    <row r="754" spans="5:5" ht="33" customHeight="1" x14ac:dyDescent="0.3">
      <c r="E754" s="3"/>
    </row>
    <row r="755" spans="5:5" ht="33" customHeight="1" x14ac:dyDescent="0.3">
      <c r="E755" s="3"/>
    </row>
    <row r="756" spans="5:5" ht="33" customHeight="1" x14ac:dyDescent="0.3">
      <c r="E756" s="3"/>
    </row>
    <row r="757" spans="5:5" ht="33" customHeight="1" x14ac:dyDescent="0.3">
      <c r="E757" s="3"/>
    </row>
    <row r="758" spans="5:5" ht="33" customHeight="1" x14ac:dyDescent="0.3">
      <c r="E758" s="3"/>
    </row>
    <row r="759" spans="5:5" ht="33" customHeight="1" x14ac:dyDescent="0.3">
      <c r="E759" s="3"/>
    </row>
    <row r="760" spans="5:5" ht="33" customHeight="1" x14ac:dyDescent="0.3">
      <c r="E760" s="3"/>
    </row>
    <row r="761" spans="5:5" ht="33" customHeight="1" x14ac:dyDescent="0.3">
      <c r="E761" s="3"/>
    </row>
    <row r="762" spans="5:5" ht="33" customHeight="1" x14ac:dyDescent="0.3">
      <c r="E762" s="3"/>
    </row>
    <row r="763" spans="5:5" ht="33" customHeight="1" x14ac:dyDescent="0.3">
      <c r="E763" s="3"/>
    </row>
    <row r="764" spans="5:5" ht="33" customHeight="1" x14ac:dyDescent="0.3">
      <c r="E764" s="3"/>
    </row>
    <row r="765" spans="5:5" ht="33" customHeight="1" x14ac:dyDescent="0.3">
      <c r="E765" s="3"/>
    </row>
    <row r="766" spans="5:5" ht="33" customHeight="1" x14ac:dyDescent="0.3">
      <c r="E766" s="3"/>
    </row>
    <row r="767" spans="5:5" ht="33" customHeight="1" x14ac:dyDescent="0.3">
      <c r="E767" s="3"/>
    </row>
    <row r="768" spans="5:5" ht="33" customHeight="1" x14ac:dyDescent="0.3">
      <c r="E768" s="3"/>
    </row>
    <row r="769" spans="5:5" ht="33" customHeight="1" x14ac:dyDescent="0.3">
      <c r="E769" s="3"/>
    </row>
    <row r="770" spans="5:5" ht="33" customHeight="1" x14ac:dyDescent="0.3">
      <c r="E770" s="3"/>
    </row>
    <row r="771" spans="5:5" ht="33" customHeight="1" x14ac:dyDescent="0.3">
      <c r="E771" s="3"/>
    </row>
    <row r="772" spans="5:5" ht="33" customHeight="1" x14ac:dyDescent="0.3">
      <c r="E772" s="3"/>
    </row>
    <row r="773" spans="5:5" ht="33" customHeight="1" x14ac:dyDescent="0.3">
      <c r="E773" s="3"/>
    </row>
    <row r="774" spans="5:5" ht="33" customHeight="1" x14ac:dyDescent="0.3">
      <c r="E774" s="3"/>
    </row>
    <row r="775" spans="5:5" ht="33" customHeight="1" x14ac:dyDescent="0.3">
      <c r="E775" s="3"/>
    </row>
    <row r="776" spans="5:5" ht="33" customHeight="1" x14ac:dyDescent="0.3">
      <c r="E776" s="3"/>
    </row>
    <row r="777" spans="5:5" ht="33" customHeight="1" x14ac:dyDescent="0.3">
      <c r="E777" s="3"/>
    </row>
    <row r="778" spans="5:5" ht="33" customHeight="1" x14ac:dyDescent="0.3">
      <c r="E778" s="3"/>
    </row>
    <row r="779" spans="5:5" ht="33" customHeight="1" x14ac:dyDescent="0.3">
      <c r="E779" s="3"/>
    </row>
    <row r="780" spans="5:5" ht="33" customHeight="1" x14ac:dyDescent="0.3">
      <c r="E780" s="3"/>
    </row>
    <row r="781" spans="5:5" ht="33" customHeight="1" x14ac:dyDescent="0.3">
      <c r="E781" s="3"/>
    </row>
    <row r="782" spans="5:5" ht="33" customHeight="1" x14ac:dyDescent="0.3">
      <c r="E782" s="3"/>
    </row>
    <row r="783" spans="5:5" ht="33" customHeight="1" x14ac:dyDescent="0.3">
      <c r="E783" s="3"/>
    </row>
    <row r="784" spans="5:5" ht="33" customHeight="1" x14ac:dyDescent="0.3">
      <c r="E784" s="3"/>
    </row>
    <row r="785" spans="5:5" ht="33" customHeight="1" x14ac:dyDescent="0.3">
      <c r="E785" s="3"/>
    </row>
    <row r="786" spans="5:5" ht="33" customHeight="1" x14ac:dyDescent="0.3">
      <c r="E786" s="3"/>
    </row>
    <row r="787" spans="5:5" ht="33" customHeight="1" x14ac:dyDescent="0.3">
      <c r="E787" s="3"/>
    </row>
    <row r="788" spans="5:5" ht="33" customHeight="1" x14ac:dyDescent="0.3">
      <c r="E788" s="3"/>
    </row>
    <row r="789" spans="5:5" ht="33" customHeight="1" x14ac:dyDescent="0.3">
      <c r="E789" s="3"/>
    </row>
    <row r="790" spans="5:5" ht="33" customHeight="1" x14ac:dyDescent="0.3">
      <c r="E790" s="3"/>
    </row>
    <row r="791" spans="5:5" ht="33" customHeight="1" x14ac:dyDescent="0.3">
      <c r="E791" s="3"/>
    </row>
    <row r="792" spans="5:5" ht="33" customHeight="1" x14ac:dyDescent="0.3">
      <c r="E792" s="3"/>
    </row>
    <row r="793" spans="5:5" ht="33" customHeight="1" x14ac:dyDescent="0.3">
      <c r="E793" s="3"/>
    </row>
    <row r="794" spans="5:5" ht="33" customHeight="1" x14ac:dyDescent="0.3">
      <c r="E794" s="3"/>
    </row>
    <row r="795" spans="5:5" ht="33" customHeight="1" x14ac:dyDescent="0.3">
      <c r="E795" s="3"/>
    </row>
    <row r="796" spans="5:5" ht="33" customHeight="1" x14ac:dyDescent="0.3">
      <c r="E796" s="3"/>
    </row>
    <row r="797" spans="5:5" ht="33" customHeight="1" x14ac:dyDescent="0.3">
      <c r="E797" s="3"/>
    </row>
    <row r="798" spans="5:5" ht="33" customHeight="1" x14ac:dyDescent="0.3">
      <c r="E798" s="3"/>
    </row>
    <row r="799" spans="5:5" ht="33" customHeight="1" x14ac:dyDescent="0.3">
      <c r="E799" s="3"/>
    </row>
    <row r="800" spans="5:5" ht="33" customHeight="1" x14ac:dyDescent="0.3">
      <c r="E800" s="3"/>
    </row>
    <row r="801" spans="5:5" ht="33" customHeight="1" x14ac:dyDescent="0.3">
      <c r="E801" s="3"/>
    </row>
    <row r="802" spans="5:5" ht="33" customHeight="1" x14ac:dyDescent="0.3">
      <c r="E802" s="3"/>
    </row>
    <row r="803" spans="5:5" ht="33" customHeight="1" x14ac:dyDescent="0.3">
      <c r="E803" s="3"/>
    </row>
    <row r="804" spans="5:5" ht="33" customHeight="1" x14ac:dyDescent="0.3">
      <c r="E804" s="3"/>
    </row>
    <row r="805" spans="5:5" ht="33" customHeight="1" x14ac:dyDescent="0.3">
      <c r="E805" s="3"/>
    </row>
    <row r="806" spans="5:5" ht="33" customHeight="1" x14ac:dyDescent="0.3">
      <c r="E806" s="3"/>
    </row>
    <row r="807" spans="5:5" ht="33" customHeight="1" x14ac:dyDescent="0.3">
      <c r="E807" s="3"/>
    </row>
    <row r="808" spans="5:5" ht="33" customHeight="1" x14ac:dyDescent="0.3">
      <c r="E808" s="3"/>
    </row>
    <row r="809" spans="5:5" ht="33" customHeight="1" x14ac:dyDescent="0.3">
      <c r="E809" s="3"/>
    </row>
    <row r="810" spans="5:5" ht="33" customHeight="1" x14ac:dyDescent="0.3">
      <c r="E810" s="3"/>
    </row>
    <row r="811" spans="5:5" ht="33" customHeight="1" x14ac:dyDescent="0.3">
      <c r="E811" s="3"/>
    </row>
    <row r="812" spans="5:5" ht="33" customHeight="1" x14ac:dyDescent="0.3">
      <c r="E812" s="3"/>
    </row>
    <row r="813" spans="5:5" ht="33" customHeight="1" x14ac:dyDescent="0.3">
      <c r="E813" s="3"/>
    </row>
    <row r="814" spans="5:5" ht="33" customHeight="1" x14ac:dyDescent="0.3">
      <c r="E814" s="3"/>
    </row>
    <row r="815" spans="5:5" ht="33" customHeight="1" x14ac:dyDescent="0.3">
      <c r="E815" s="3"/>
    </row>
    <row r="816" spans="5:5" ht="33" customHeight="1" x14ac:dyDescent="0.3">
      <c r="E816" s="3"/>
    </row>
    <row r="817" spans="5:5" ht="33" customHeight="1" x14ac:dyDescent="0.3">
      <c r="E817" s="3"/>
    </row>
    <row r="818" spans="5:5" ht="33" customHeight="1" x14ac:dyDescent="0.3">
      <c r="E818" s="3"/>
    </row>
    <row r="819" spans="5:5" ht="33" customHeight="1" x14ac:dyDescent="0.3">
      <c r="E819" s="3"/>
    </row>
    <row r="820" spans="5:5" ht="33" customHeight="1" x14ac:dyDescent="0.3">
      <c r="E820" s="3"/>
    </row>
    <row r="821" spans="5:5" ht="33" customHeight="1" x14ac:dyDescent="0.3">
      <c r="E821" s="3"/>
    </row>
    <row r="822" spans="5:5" ht="33" customHeight="1" x14ac:dyDescent="0.3">
      <c r="E822" s="3"/>
    </row>
    <row r="823" spans="5:5" ht="33" customHeight="1" x14ac:dyDescent="0.3">
      <c r="E823" s="3"/>
    </row>
    <row r="824" spans="5:5" ht="33" customHeight="1" x14ac:dyDescent="0.3">
      <c r="E824" s="3"/>
    </row>
    <row r="825" spans="5:5" ht="33" customHeight="1" x14ac:dyDescent="0.3">
      <c r="E825" s="3"/>
    </row>
    <row r="826" spans="5:5" ht="33" customHeight="1" x14ac:dyDescent="0.3">
      <c r="E826" s="3"/>
    </row>
    <row r="827" spans="5:5" ht="33" customHeight="1" x14ac:dyDescent="0.3">
      <c r="E827" s="3"/>
    </row>
    <row r="828" spans="5:5" ht="33" customHeight="1" x14ac:dyDescent="0.3">
      <c r="E828" s="3"/>
    </row>
    <row r="829" spans="5:5" ht="33" customHeight="1" x14ac:dyDescent="0.3">
      <c r="E829" s="3"/>
    </row>
    <row r="830" spans="5:5" ht="33" customHeight="1" x14ac:dyDescent="0.3">
      <c r="E830" s="3"/>
    </row>
    <row r="831" spans="5:5" ht="33" customHeight="1" x14ac:dyDescent="0.3">
      <c r="E831" s="3"/>
    </row>
    <row r="832" spans="5:5" ht="33" customHeight="1" x14ac:dyDescent="0.3">
      <c r="E832" s="3"/>
    </row>
    <row r="833" spans="5:5" ht="33" customHeight="1" x14ac:dyDescent="0.3">
      <c r="E833" s="3"/>
    </row>
    <row r="834" spans="5:5" ht="33" customHeight="1" x14ac:dyDescent="0.3">
      <c r="E834" s="3"/>
    </row>
    <row r="835" spans="5:5" ht="33" customHeight="1" x14ac:dyDescent="0.3">
      <c r="E835" s="3"/>
    </row>
    <row r="836" spans="5:5" ht="33" customHeight="1" x14ac:dyDescent="0.3">
      <c r="E836" s="3"/>
    </row>
    <row r="837" spans="5:5" ht="33" customHeight="1" x14ac:dyDescent="0.3">
      <c r="E837" s="3"/>
    </row>
    <row r="838" spans="5:5" ht="33" customHeight="1" x14ac:dyDescent="0.3">
      <c r="E838" s="3"/>
    </row>
    <row r="839" spans="5:5" ht="33" customHeight="1" x14ac:dyDescent="0.3">
      <c r="E839" s="3"/>
    </row>
    <row r="840" spans="5:5" ht="33" customHeight="1" x14ac:dyDescent="0.3">
      <c r="E840" s="3"/>
    </row>
    <row r="841" spans="5:5" ht="33" customHeight="1" x14ac:dyDescent="0.3">
      <c r="E841" s="3"/>
    </row>
    <row r="842" spans="5:5" ht="33" customHeight="1" x14ac:dyDescent="0.3">
      <c r="E842" s="3"/>
    </row>
    <row r="843" spans="5:5" ht="33" customHeight="1" x14ac:dyDescent="0.3">
      <c r="E843" s="3"/>
    </row>
    <row r="844" spans="5:5" ht="33" customHeight="1" x14ac:dyDescent="0.3">
      <c r="E844" s="3"/>
    </row>
    <row r="845" spans="5:5" ht="33" customHeight="1" x14ac:dyDescent="0.3">
      <c r="E845" s="3"/>
    </row>
    <row r="846" spans="5:5" ht="33" customHeight="1" x14ac:dyDescent="0.3">
      <c r="E846" s="3"/>
    </row>
    <row r="847" spans="5:5" ht="33" customHeight="1" x14ac:dyDescent="0.3">
      <c r="E847" s="3"/>
    </row>
    <row r="848" spans="5:5" ht="33" customHeight="1" x14ac:dyDescent="0.3">
      <c r="E848" s="3"/>
    </row>
    <row r="849" spans="5:5" ht="33" customHeight="1" x14ac:dyDescent="0.3">
      <c r="E849" s="3"/>
    </row>
    <row r="850" spans="5:5" ht="33" customHeight="1" x14ac:dyDescent="0.3">
      <c r="E850" s="3"/>
    </row>
    <row r="851" spans="5:5" ht="33" customHeight="1" x14ac:dyDescent="0.3">
      <c r="E851" s="3"/>
    </row>
    <row r="852" spans="5:5" ht="33" customHeight="1" x14ac:dyDescent="0.3">
      <c r="E852" s="3"/>
    </row>
    <row r="853" spans="5:5" ht="33" customHeight="1" x14ac:dyDescent="0.3">
      <c r="E853" s="3"/>
    </row>
    <row r="854" spans="5:5" ht="33" customHeight="1" x14ac:dyDescent="0.3">
      <c r="E854" s="3"/>
    </row>
    <row r="855" spans="5:5" ht="33" customHeight="1" x14ac:dyDescent="0.3">
      <c r="E855" s="3"/>
    </row>
    <row r="856" spans="5:5" ht="33" customHeight="1" x14ac:dyDescent="0.3">
      <c r="E856" s="3"/>
    </row>
    <row r="857" spans="5:5" ht="33" customHeight="1" x14ac:dyDescent="0.3">
      <c r="E857" s="3"/>
    </row>
    <row r="858" spans="5:5" ht="33" customHeight="1" x14ac:dyDescent="0.3">
      <c r="E858" s="3"/>
    </row>
    <row r="859" spans="5:5" ht="33" customHeight="1" x14ac:dyDescent="0.3">
      <c r="E859" s="3"/>
    </row>
    <row r="860" spans="5:5" ht="33" customHeight="1" x14ac:dyDescent="0.3">
      <c r="E860" s="3"/>
    </row>
    <row r="861" spans="5:5" ht="33" customHeight="1" x14ac:dyDescent="0.3">
      <c r="E861" s="3"/>
    </row>
    <row r="862" spans="5:5" ht="33" customHeight="1" x14ac:dyDescent="0.3">
      <c r="E862" s="3"/>
    </row>
    <row r="863" spans="5:5" ht="33" customHeight="1" x14ac:dyDescent="0.3">
      <c r="E863" s="3"/>
    </row>
    <row r="864" spans="5:5" ht="33" customHeight="1" x14ac:dyDescent="0.3">
      <c r="E864" s="3"/>
    </row>
    <row r="865" spans="5:5" ht="33" customHeight="1" x14ac:dyDescent="0.3">
      <c r="E865" s="3"/>
    </row>
    <row r="866" spans="5:5" ht="33" customHeight="1" x14ac:dyDescent="0.3">
      <c r="E866" s="3"/>
    </row>
    <row r="867" spans="5:5" ht="33" customHeight="1" x14ac:dyDescent="0.3">
      <c r="E867" s="3"/>
    </row>
    <row r="868" spans="5:5" ht="33" customHeight="1" x14ac:dyDescent="0.3">
      <c r="E868" s="3"/>
    </row>
    <row r="869" spans="5:5" ht="33" customHeight="1" x14ac:dyDescent="0.3">
      <c r="E869" s="3"/>
    </row>
    <row r="870" spans="5:5" ht="33" customHeight="1" x14ac:dyDescent="0.3">
      <c r="E870" s="3"/>
    </row>
    <row r="871" spans="5:5" ht="33" customHeight="1" x14ac:dyDescent="0.3">
      <c r="E871" s="3"/>
    </row>
    <row r="872" spans="5:5" ht="33" customHeight="1" x14ac:dyDescent="0.3">
      <c r="E872" s="3"/>
    </row>
    <row r="873" spans="5:5" ht="33" customHeight="1" x14ac:dyDescent="0.3">
      <c r="E873" s="3"/>
    </row>
    <row r="874" spans="5:5" ht="33" customHeight="1" x14ac:dyDescent="0.3">
      <c r="E874" s="3"/>
    </row>
    <row r="875" spans="5:5" ht="33" customHeight="1" x14ac:dyDescent="0.3">
      <c r="E875" s="3"/>
    </row>
    <row r="876" spans="5:5" ht="33" customHeight="1" x14ac:dyDescent="0.3">
      <c r="E876" s="3"/>
    </row>
    <row r="877" spans="5:5" ht="33" customHeight="1" x14ac:dyDescent="0.3">
      <c r="E877" s="3"/>
    </row>
    <row r="878" spans="5:5" ht="33" customHeight="1" x14ac:dyDescent="0.3">
      <c r="E878" s="3"/>
    </row>
    <row r="879" spans="5:5" ht="33" customHeight="1" x14ac:dyDescent="0.3">
      <c r="E879" s="3"/>
    </row>
    <row r="880" spans="5:5" ht="33" customHeight="1" x14ac:dyDescent="0.3">
      <c r="E880" s="3"/>
    </row>
    <row r="881" spans="5:5" ht="33" customHeight="1" x14ac:dyDescent="0.3">
      <c r="E881" s="3"/>
    </row>
    <row r="882" spans="5:5" ht="33" customHeight="1" x14ac:dyDescent="0.3">
      <c r="E882" s="3"/>
    </row>
    <row r="883" spans="5:5" ht="33" customHeight="1" x14ac:dyDescent="0.3">
      <c r="E883" s="3"/>
    </row>
    <row r="884" spans="5:5" ht="33" customHeight="1" x14ac:dyDescent="0.3">
      <c r="E884" s="3"/>
    </row>
    <row r="885" spans="5:5" ht="33" customHeight="1" x14ac:dyDescent="0.3">
      <c r="E885" s="3"/>
    </row>
    <row r="886" spans="5:5" ht="33" customHeight="1" x14ac:dyDescent="0.3">
      <c r="E886" s="3"/>
    </row>
    <row r="887" spans="5:5" ht="33" customHeight="1" x14ac:dyDescent="0.3">
      <c r="E887" s="3"/>
    </row>
    <row r="888" spans="5:5" ht="33" customHeight="1" x14ac:dyDescent="0.3">
      <c r="E888" s="3"/>
    </row>
    <row r="889" spans="5:5" ht="33" customHeight="1" x14ac:dyDescent="0.3">
      <c r="E889" s="3"/>
    </row>
    <row r="890" spans="5:5" ht="33" customHeight="1" x14ac:dyDescent="0.3">
      <c r="E890" s="3"/>
    </row>
    <row r="891" spans="5:5" ht="33" customHeight="1" x14ac:dyDescent="0.3">
      <c r="E891" s="3"/>
    </row>
    <row r="892" spans="5:5" ht="33" customHeight="1" x14ac:dyDescent="0.3">
      <c r="E892" s="3"/>
    </row>
    <row r="893" spans="5:5" ht="33" customHeight="1" x14ac:dyDescent="0.3">
      <c r="E893" s="3"/>
    </row>
    <row r="894" spans="5:5" ht="33" customHeight="1" x14ac:dyDescent="0.3">
      <c r="E894" s="3"/>
    </row>
    <row r="895" spans="5:5" ht="33" customHeight="1" x14ac:dyDescent="0.3">
      <c r="E895" s="3"/>
    </row>
    <row r="896" spans="5:5" ht="33" customHeight="1" x14ac:dyDescent="0.3">
      <c r="E896" s="3"/>
    </row>
    <row r="897" spans="5:5" ht="33" customHeight="1" x14ac:dyDescent="0.3">
      <c r="E897" s="3"/>
    </row>
    <row r="898" spans="5:5" ht="33" customHeight="1" x14ac:dyDescent="0.3">
      <c r="E898" s="3"/>
    </row>
    <row r="899" spans="5:5" ht="33" customHeight="1" x14ac:dyDescent="0.3">
      <c r="E899" s="3"/>
    </row>
    <row r="900" spans="5:5" ht="33" customHeight="1" x14ac:dyDescent="0.3">
      <c r="E900" s="3"/>
    </row>
    <row r="901" spans="5:5" ht="33" customHeight="1" x14ac:dyDescent="0.3">
      <c r="E901" s="3"/>
    </row>
    <row r="902" spans="5:5" ht="33" customHeight="1" x14ac:dyDescent="0.3">
      <c r="E902" s="3"/>
    </row>
    <row r="903" spans="5:5" ht="33" customHeight="1" x14ac:dyDescent="0.3">
      <c r="E903" s="3"/>
    </row>
    <row r="904" spans="5:5" ht="33" customHeight="1" x14ac:dyDescent="0.3">
      <c r="E904" s="3"/>
    </row>
    <row r="905" spans="5:5" ht="33" customHeight="1" x14ac:dyDescent="0.3">
      <c r="E905" s="3"/>
    </row>
    <row r="906" spans="5:5" ht="33" customHeight="1" x14ac:dyDescent="0.3">
      <c r="E906" s="3"/>
    </row>
    <row r="907" spans="5:5" ht="33" customHeight="1" x14ac:dyDescent="0.3">
      <c r="E907" s="3"/>
    </row>
    <row r="908" spans="5:5" ht="33" customHeight="1" x14ac:dyDescent="0.3">
      <c r="E908" s="3"/>
    </row>
    <row r="909" spans="5:5" ht="33" customHeight="1" x14ac:dyDescent="0.3">
      <c r="E909" s="3"/>
    </row>
    <row r="910" spans="5:5" ht="33" customHeight="1" x14ac:dyDescent="0.3">
      <c r="E910" s="3"/>
    </row>
    <row r="911" spans="5:5" ht="33" customHeight="1" x14ac:dyDescent="0.3">
      <c r="E911" s="3"/>
    </row>
    <row r="912" spans="5:5" ht="33" customHeight="1" x14ac:dyDescent="0.3">
      <c r="E912" s="3"/>
    </row>
    <row r="913" spans="5:5" ht="33" customHeight="1" x14ac:dyDescent="0.3">
      <c r="E913" s="3"/>
    </row>
    <row r="914" spans="5:5" ht="33" customHeight="1" x14ac:dyDescent="0.3">
      <c r="E914" s="3"/>
    </row>
    <row r="915" spans="5:5" ht="33" customHeight="1" x14ac:dyDescent="0.3">
      <c r="E915" s="3"/>
    </row>
    <row r="916" spans="5:5" ht="33" customHeight="1" x14ac:dyDescent="0.3">
      <c r="E916" s="3"/>
    </row>
    <row r="917" spans="5:5" ht="33" customHeight="1" x14ac:dyDescent="0.3">
      <c r="E917" s="3"/>
    </row>
    <row r="918" spans="5:5" ht="33" customHeight="1" x14ac:dyDescent="0.3">
      <c r="E918" s="3"/>
    </row>
    <row r="919" spans="5:5" ht="33" customHeight="1" x14ac:dyDescent="0.3">
      <c r="E919" s="3"/>
    </row>
    <row r="920" spans="5:5" ht="33" customHeight="1" x14ac:dyDescent="0.3">
      <c r="E920" s="3"/>
    </row>
    <row r="921" spans="5:5" ht="33" customHeight="1" x14ac:dyDescent="0.3">
      <c r="E921" s="3"/>
    </row>
    <row r="922" spans="5:5" ht="33" customHeight="1" x14ac:dyDescent="0.3">
      <c r="E922" s="3"/>
    </row>
    <row r="923" spans="5:5" ht="33" customHeight="1" x14ac:dyDescent="0.3">
      <c r="E923" s="3"/>
    </row>
    <row r="924" spans="5:5" ht="33" customHeight="1" x14ac:dyDescent="0.3">
      <c r="E924" s="3"/>
    </row>
    <row r="925" spans="5:5" ht="33" customHeight="1" x14ac:dyDescent="0.3">
      <c r="E925" s="3"/>
    </row>
    <row r="926" spans="5:5" ht="33" customHeight="1" x14ac:dyDescent="0.3">
      <c r="E926" s="3"/>
    </row>
    <row r="927" spans="5:5" ht="33" customHeight="1" x14ac:dyDescent="0.3">
      <c r="E927" s="3"/>
    </row>
    <row r="928" spans="5:5" ht="33" customHeight="1" x14ac:dyDescent="0.3">
      <c r="E928" s="3"/>
    </row>
    <row r="929" spans="5:5" ht="33" customHeight="1" x14ac:dyDescent="0.3">
      <c r="E929" s="3"/>
    </row>
    <row r="930" spans="5:5" ht="33" customHeight="1" x14ac:dyDescent="0.3">
      <c r="E930" s="3"/>
    </row>
    <row r="931" spans="5:5" ht="33" customHeight="1" x14ac:dyDescent="0.3">
      <c r="E931" s="3"/>
    </row>
    <row r="932" spans="5:5" ht="33" customHeight="1" x14ac:dyDescent="0.3">
      <c r="E932" s="3"/>
    </row>
    <row r="933" spans="5:5" ht="33" customHeight="1" x14ac:dyDescent="0.3">
      <c r="E933" s="3"/>
    </row>
    <row r="934" spans="5:5" ht="33" customHeight="1" x14ac:dyDescent="0.3">
      <c r="E934" s="3"/>
    </row>
    <row r="935" spans="5:5" ht="33" customHeight="1" x14ac:dyDescent="0.3">
      <c r="E935" s="3"/>
    </row>
    <row r="936" spans="5:5" ht="33" customHeight="1" x14ac:dyDescent="0.3">
      <c r="E936" s="3"/>
    </row>
    <row r="937" spans="5:5" ht="33" customHeight="1" x14ac:dyDescent="0.3">
      <c r="E937" s="3"/>
    </row>
    <row r="938" spans="5:5" ht="33" customHeight="1" x14ac:dyDescent="0.3">
      <c r="E938" s="3"/>
    </row>
    <row r="939" spans="5:5" ht="33" customHeight="1" x14ac:dyDescent="0.3">
      <c r="E939" s="3"/>
    </row>
    <row r="940" spans="5:5" ht="33" customHeight="1" x14ac:dyDescent="0.3">
      <c r="E940" s="3"/>
    </row>
    <row r="941" spans="5:5" ht="33" customHeight="1" x14ac:dyDescent="0.3">
      <c r="E941" s="3"/>
    </row>
    <row r="942" spans="5:5" ht="33" customHeight="1" x14ac:dyDescent="0.3">
      <c r="E942" s="3"/>
    </row>
    <row r="943" spans="5:5" ht="33" customHeight="1" x14ac:dyDescent="0.3">
      <c r="E943" s="3"/>
    </row>
    <row r="944" spans="5:5" ht="33" customHeight="1" x14ac:dyDescent="0.3">
      <c r="E944" s="3"/>
    </row>
    <row r="945" spans="5:5" ht="33" customHeight="1" x14ac:dyDescent="0.3">
      <c r="E945" s="3"/>
    </row>
    <row r="946" spans="5:5" ht="33" customHeight="1" x14ac:dyDescent="0.3">
      <c r="E946" s="3"/>
    </row>
    <row r="947" spans="5:5" ht="33" customHeight="1" x14ac:dyDescent="0.3">
      <c r="E947" s="3"/>
    </row>
    <row r="948" spans="5:5" ht="33" customHeight="1" x14ac:dyDescent="0.3">
      <c r="E948" s="3"/>
    </row>
    <row r="949" spans="5:5" ht="33" customHeight="1" x14ac:dyDescent="0.3">
      <c r="E949" s="3"/>
    </row>
    <row r="950" spans="5:5" ht="33" customHeight="1" x14ac:dyDescent="0.3">
      <c r="E950" s="3"/>
    </row>
    <row r="951" spans="5:5" ht="33" customHeight="1" x14ac:dyDescent="0.3">
      <c r="E951" s="3"/>
    </row>
    <row r="952" spans="5:5" ht="33" customHeight="1" x14ac:dyDescent="0.3">
      <c r="E952" s="3"/>
    </row>
    <row r="953" spans="5:5" ht="33" customHeight="1" x14ac:dyDescent="0.3">
      <c r="E953" s="3"/>
    </row>
    <row r="954" spans="5:5" ht="33" customHeight="1" x14ac:dyDescent="0.3">
      <c r="E954" s="3"/>
    </row>
    <row r="955" spans="5:5" ht="33" customHeight="1" x14ac:dyDescent="0.3">
      <c r="E955" s="3"/>
    </row>
    <row r="956" spans="5:5" ht="33" customHeight="1" x14ac:dyDescent="0.3">
      <c r="E956" s="3"/>
    </row>
    <row r="957" spans="5:5" ht="33" customHeight="1" x14ac:dyDescent="0.3">
      <c r="E957" s="3"/>
    </row>
    <row r="958" spans="5:5" ht="33" customHeight="1" x14ac:dyDescent="0.3">
      <c r="E958" s="3"/>
    </row>
    <row r="959" spans="5:5" ht="33" customHeight="1" x14ac:dyDescent="0.3">
      <c r="E959" s="3"/>
    </row>
    <row r="960" spans="5:5" ht="33" customHeight="1" x14ac:dyDescent="0.3">
      <c r="E960" s="3"/>
    </row>
    <row r="961" spans="5:5" ht="33" customHeight="1" x14ac:dyDescent="0.3">
      <c r="E961" s="3"/>
    </row>
    <row r="962" spans="5:5" ht="33" customHeight="1" x14ac:dyDescent="0.3">
      <c r="E962" s="3"/>
    </row>
    <row r="963" spans="5:5" ht="33" customHeight="1" x14ac:dyDescent="0.3">
      <c r="E963" s="3"/>
    </row>
    <row r="964" spans="5:5" ht="33" customHeight="1" x14ac:dyDescent="0.3">
      <c r="E964" s="3"/>
    </row>
    <row r="965" spans="5:5" ht="33" customHeight="1" x14ac:dyDescent="0.3">
      <c r="E965" s="3"/>
    </row>
    <row r="966" spans="5:5" ht="33" customHeight="1" x14ac:dyDescent="0.3">
      <c r="E966" s="3"/>
    </row>
    <row r="967" spans="5:5" ht="33" customHeight="1" x14ac:dyDescent="0.3">
      <c r="E967" s="3"/>
    </row>
    <row r="968" spans="5:5" ht="33" customHeight="1" x14ac:dyDescent="0.3">
      <c r="E968" s="3"/>
    </row>
    <row r="969" spans="5:5" ht="33" customHeight="1" x14ac:dyDescent="0.3">
      <c r="E969" s="3"/>
    </row>
    <row r="970" spans="5:5" ht="33" customHeight="1" x14ac:dyDescent="0.3">
      <c r="E970" s="3"/>
    </row>
    <row r="971" spans="5:5" ht="33" customHeight="1" x14ac:dyDescent="0.3">
      <c r="E971" s="3"/>
    </row>
    <row r="972" spans="5:5" ht="33" customHeight="1" x14ac:dyDescent="0.3">
      <c r="E972" s="3"/>
    </row>
    <row r="973" spans="5:5" ht="33" customHeight="1" x14ac:dyDescent="0.3">
      <c r="E973" s="3"/>
    </row>
    <row r="974" spans="5:5" ht="33" customHeight="1" x14ac:dyDescent="0.3">
      <c r="E974" s="3"/>
    </row>
    <row r="975" spans="5:5" ht="33" customHeight="1" x14ac:dyDescent="0.3">
      <c r="E975" s="3"/>
    </row>
    <row r="976" spans="5:5" ht="33" customHeight="1" x14ac:dyDescent="0.3">
      <c r="E976" s="3"/>
    </row>
    <row r="977" spans="5:5" ht="33" customHeight="1" x14ac:dyDescent="0.3">
      <c r="E977" s="3"/>
    </row>
    <row r="978" spans="5:5" ht="33" customHeight="1" x14ac:dyDescent="0.3">
      <c r="E978" s="3"/>
    </row>
    <row r="979" spans="5:5" ht="33" customHeight="1" x14ac:dyDescent="0.3">
      <c r="E979" s="3"/>
    </row>
    <row r="980" spans="5:5" ht="33" customHeight="1" x14ac:dyDescent="0.3">
      <c r="E980" s="3"/>
    </row>
    <row r="981" spans="5:5" ht="33" customHeight="1" x14ac:dyDescent="0.3">
      <c r="E981" s="3"/>
    </row>
    <row r="982" spans="5:5" ht="33" customHeight="1" x14ac:dyDescent="0.3">
      <c r="E982" s="3"/>
    </row>
    <row r="983" spans="5:5" ht="33" customHeight="1" x14ac:dyDescent="0.3">
      <c r="E983" s="3"/>
    </row>
    <row r="984" spans="5:5" ht="33" customHeight="1" x14ac:dyDescent="0.3">
      <c r="E984" s="3"/>
    </row>
    <row r="985" spans="5:5" ht="33" customHeight="1" x14ac:dyDescent="0.3">
      <c r="E985" s="3"/>
    </row>
    <row r="986" spans="5:5" ht="33" customHeight="1" x14ac:dyDescent="0.3">
      <c r="E986" s="3"/>
    </row>
    <row r="987" spans="5:5" ht="33" customHeight="1" x14ac:dyDescent="0.3">
      <c r="E987" s="3"/>
    </row>
    <row r="988" spans="5:5" ht="33" customHeight="1" x14ac:dyDescent="0.3">
      <c r="E988" s="3"/>
    </row>
    <row r="989" spans="5:5" ht="33" customHeight="1" x14ac:dyDescent="0.3">
      <c r="E989" s="3"/>
    </row>
    <row r="990" spans="5:5" ht="33" customHeight="1" x14ac:dyDescent="0.3">
      <c r="E990" s="3"/>
    </row>
    <row r="991" spans="5:5" ht="33" customHeight="1" x14ac:dyDescent="0.3">
      <c r="E991" s="3"/>
    </row>
    <row r="992" spans="5:5" ht="33" customHeight="1" x14ac:dyDescent="0.3">
      <c r="E992" s="3"/>
    </row>
    <row r="993" spans="5:5" ht="33" customHeight="1" x14ac:dyDescent="0.3">
      <c r="E993" s="3"/>
    </row>
    <row r="994" spans="5:5" ht="33" customHeight="1" x14ac:dyDescent="0.3">
      <c r="E994" s="3"/>
    </row>
    <row r="995" spans="5:5" ht="33" customHeight="1" x14ac:dyDescent="0.3">
      <c r="E995" s="3"/>
    </row>
    <row r="996" spans="5:5" ht="33" customHeight="1" x14ac:dyDescent="0.3">
      <c r="E996" s="3"/>
    </row>
    <row r="997" spans="5:5" ht="33" customHeight="1" x14ac:dyDescent="0.3">
      <c r="E997" s="3"/>
    </row>
    <row r="998" spans="5:5" ht="33" customHeight="1" x14ac:dyDescent="0.3">
      <c r="E998" s="3"/>
    </row>
    <row r="999" spans="5:5" ht="33" customHeight="1" x14ac:dyDescent="0.3">
      <c r="E999" s="3"/>
    </row>
    <row r="1000" spans="5:5" ht="33" customHeight="1" x14ac:dyDescent="0.3">
      <c r="E1000" s="3"/>
    </row>
    <row r="1001" spans="5:5" ht="33" customHeight="1" x14ac:dyDescent="0.3">
      <c r="E1001" s="3"/>
    </row>
    <row r="1002" spans="5:5" ht="33" customHeight="1" x14ac:dyDescent="0.3">
      <c r="E1002" s="3"/>
    </row>
    <row r="1003" spans="5:5" ht="33" customHeight="1" x14ac:dyDescent="0.3">
      <c r="E1003" s="3"/>
    </row>
    <row r="1004" spans="5:5" ht="33" customHeight="1" x14ac:dyDescent="0.3">
      <c r="E1004" s="3"/>
    </row>
    <row r="1005" spans="5:5" ht="33" customHeight="1" x14ac:dyDescent="0.3">
      <c r="E1005" s="3"/>
    </row>
    <row r="1006" spans="5:5" ht="33" customHeight="1" x14ac:dyDescent="0.3">
      <c r="E1006" s="3"/>
    </row>
    <row r="1007" spans="5:5" ht="33" customHeight="1" x14ac:dyDescent="0.3">
      <c r="E1007" s="3"/>
    </row>
    <row r="1008" spans="5:5" ht="33" customHeight="1" x14ac:dyDescent="0.3">
      <c r="E1008" s="3"/>
    </row>
    <row r="1009" spans="5:5" ht="33" customHeight="1" x14ac:dyDescent="0.3">
      <c r="E1009" s="3"/>
    </row>
    <row r="1010" spans="5:5" ht="33" customHeight="1" x14ac:dyDescent="0.3">
      <c r="E1010" s="3"/>
    </row>
    <row r="1011" spans="5:5" ht="33" customHeight="1" x14ac:dyDescent="0.3">
      <c r="E1011" s="3"/>
    </row>
    <row r="1012" spans="5:5" ht="33" customHeight="1" x14ac:dyDescent="0.3">
      <c r="E1012" s="3"/>
    </row>
    <row r="1013" spans="5:5" ht="33" customHeight="1" x14ac:dyDescent="0.3">
      <c r="E1013" s="3"/>
    </row>
    <row r="1014" spans="5:5" ht="33" customHeight="1" x14ac:dyDescent="0.3">
      <c r="E1014" s="3"/>
    </row>
    <row r="1015" spans="5:5" ht="33" customHeight="1" x14ac:dyDescent="0.3">
      <c r="E1015" s="3"/>
    </row>
    <row r="1016" spans="5:5" ht="33" customHeight="1" x14ac:dyDescent="0.3">
      <c r="E1016" s="3"/>
    </row>
    <row r="1017" spans="5:5" ht="33" customHeight="1" x14ac:dyDescent="0.3">
      <c r="E1017" s="3"/>
    </row>
    <row r="1018" spans="5:5" ht="33" customHeight="1" x14ac:dyDescent="0.3">
      <c r="E1018" s="3"/>
    </row>
    <row r="1019" spans="5:5" ht="33" customHeight="1" x14ac:dyDescent="0.3">
      <c r="E1019" s="3"/>
    </row>
    <row r="1020" spans="5:5" ht="33" customHeight="1" x14ac:dyDescent="0.3">
      <c r="E1020" s="3"/>
    </row>
    <row r="1021" spans="5:5" ht="33" customHeight="1" x14ac:dyDescent="0.3">
      <c r="E1021" s="3"/>
    </row>
    <row r="1022" spans="5:5" ht="33" customHeight="1" x14ac:dyDescent="0.3">
      <c r="E1022" s="3"/>
    </row>
    <row r="1023" spans="5:5" ht="33" customHeight="1" x14ac:dyDescent="0.3">
      <c r="E1023" s="3"/>
    </row>
    <row r="1024" spans="5:5" ht="33" customHeight="1" x14ac:dyDescent="0.3">
      <c r="E1024" s="3"/>
    </row>
    <row r="1025" spans="5:5" ht="33" customHeight="1" x14ac:dyDescent="0.3">
      <c r="E1025" s="3"/>
    </row>
    <row r="1026" spans="5:5" ht="33" customHeight="1" x14ac:dyDescent="0.3">
      <c r="E1026" s="3"/>
    </row>
    <row r="1027" spans="5:5" ht="33" customHeight="1" x14ac:dyDescent="0.3">
      <c r="E1027" s="3"/>
    </row>
    <row r="1028" spans="5:5" ht="33" customHeight="1" x14ac:dyDescent="0.3">
      <c r="E1028" s="3"/>
    </row>
    <row r="1029" spans="5:5" ht="33" customHeight="1" x14ac:dyDescent="0.3">
      <c r="E1029" s="3"/>
    </row>
    <row r="1030" spans="5:5" ht="33" customHeight="1" x14ac:dyDescent="0.3">
      <c r="E1030" s="3"/>
    </row>
    <row r="1031" spans="5:5" ht="33" customHeight="1" x14ac:dyDescent="0.3">
      <c r="E1031" s="3"/>
    </row>
    <row r="1032" spans="5:5" ht="33" customHeight="1" x14ac:dyDescent="0.3">
      <c r="E1032" s="3"/>
    </row>
    <row r="1033" spans="5:5" ht="33" customHeight="1" x14ac:dyDescent="0.3">
      <c r="E1033" s="3"/>
    </row>
    <row r="1034" spans="5:5" ht="33" customHeight="1" x14ac:dyDescent="0.3">
      <c r="E1034" s="3"/>
    </row>
    <row r="1035" spans="5:5" ht="33" customHeight="1" x14ac:dyDescent="0.3">
      <c r="E1035" s="3"/>
    </row>
    <row r="1036" spans="5:5" ht="33" customHeight="1" x14ac:dyDescent="0.3">
      <c r="E1036" s="3"/>
    </row>
    <row r="1037" spans="5:5" ht="33" customHeight="1" x14ac:dyDescent="0.3">
      <c r="E1037" s="3"/>
    </row>
    <row r="1038" spans="5:5" ht="33" customHeight="1" x14ac:dyDescent="0.3">
      <c r="E1038" s="3"/>
    </row>
    <row r="1039" spans="5:5" ht="33" customHeight="1" x14ac:dyDescent="0.3">
      <c r="E1039" s="3"/>
    </row>
    <row r="1040" spans="5:5" ht="33" customHeight="1" x14ac:dyDescent="0.3">
      <c r="E1040" s="3"/>
    </row>
    <row r="1041" spans="5:5" ht="33" customHeight="1" x14ac:dyDescent="0.3">
      <c r="E1041" s="3"/>
    </row>
    <row r="1042" spans="5:5" ht="33" customHeight="1" x14ac:dyDescent="0.3">
      <c r="E1042" s="3"/>
    </row>
    <row r="1043" spans="5:5" ht="33" customHeight="1" x14ac:dyDescent="0.3">
      <c r="E1043" s="3"/>
    </row>
    <row r="1044" spans="5:5" ht="33" customHeight="1" x14ac:dyDescent="0.3">
      <c r="E1044" s="3"/>
    </row>
    <row r="1045" spans="5:5" ht="33" customHeight="1" x14ac:dyDescent="0.3">
      <c r="E1045" s="3"/>
    </row>
    <row r="1046" spans="5:5" ht="33" customHeight="1" x14ac:dyDescent="0.3">
      <c r="E1046" s="3"/>
    </row>
    <row r="1047" spans="5:5" ht="33" customHeight="1" x14ac:dyDescent="0.3">
      <c r="E1047" s="3"/>
    </row>
    <row r="1048" spans="5:5" ht="33" customHeight="1" x14ac:dyDescent="0.3">
      <c r="E1048" s="3"/>
    </row>
    <row r="1049" spans="5:5" ht="33" customHeight="1" x14ac:dyDescent="0.3">
      <c r="E1049" s="3"/>
    </row>
    <row r="1050" spans="5:5" ht="33" customHeight="1" x14ac:dyDescent="0.3">
      <c r="E1050" s="3"/>
    </row>
    <row r="1051" spans="5:5" ht="33" customHeight="1" x14ac:dyDescent="0.3">
      <c r="E1051" s="3"/>
    </row>
    <row r="1052" spans="5:5" ht="33" customHeight="1" x14ac:dyDescent="0.3">
      <c r="E1052" s="3"/>
    </row>
    <row r="1053" spans="5:5" ht="33" customHeight="1" x14ac:dyDescent="0.3">
      <c r="E1053" s="3"/>
    </row>
    <row r="1054" spans="5:5" ht="33" customHeight="1" x14ac:dyDescent="0.3">
      <c r="E1054" s="3"/>
    </row>
    <row r="1055" spans="5:5" ht="33" customHeight="1" x14ac:dyDescent="0.3">
      <c r="E1055" s="3"/>
    </row>
    <row r="1056" spans="5:5" ht="33" customHeight="1" x14ac:dyDescent="0.3">
      <c r="E1056" s="3"/>
    </row>
    <row r="1057" spans="5:5" ht="33" customHeight="1" x14ac:dyDescent="0.3">
      <c r="E1057" s="3"/>
    </row>
    <row r="1058" spans="5:5" ht="33" customHeight="1" x14ac:dyDescent="0.3">
      <c r="E1058" s="3"/>
    </row>
    <row r="1059" spans="5:5" ht="33" customHeight="1" x14ac:dyDescent="0.3">
      <c r="E1059" s="3"/>
    </row>
    <row r="1060" spans="5:5" ht="33" customHeight="1" x14ac:dyDescent="0.3">
      <c r="E1060" s="3"/>
    </row>
    <row r="1061" spans="5:5" ht="33" customHeight="1" x14ac:dyDescent="0.3">
      <c r="E1061" s="3"/>
    </row>
    <row r="1062" spans="5:5" ht="33" customHeight="1" x14ac:dyDescent="0.3">
      <c r="E1062" s="3"/>
    </row>
    <row r="1063" spans="5:5" ht="33" customHeight="1" x14ac:dyDescent="0.3">
      <c r="E1063" s="3"/>
    </row>
    <row r="1064" spans="5:5" ht="33" customHeight="1" x14ac:dyDescent="0.3">
      <c r="E1064" s="3"/>
    </row>
    <row r="1065" spans="5:5" ht="33" customHeight="1" x14ac:dyDescent="0.3">
      <c r="E1065" s="3"/>
    </row>
    <row r="1066" spans="5:5" ht="33" customHeight="1" x14ac:dyDescent="0.3">
      <c r="E1066" s="3"/>
    </row>
    <row r="1067" spans="5:5" ht="33" customHeight="1" x14ac:dyDescent="0.3">
      <c r="E1067" s="3"/>
    </row>
    <row r="1068" spans="5:5" ht="33" customHeight="1" x14ac:dyDescent="0.3">
      <c r="E1068" s="3"/>
    </row>
    <row r="1069" spans="5:5" ht="33" customHeight="1" x14ac:dyDescent="0.3">
      <c r="E1069" s="3"/>
    </row>
    <row r="1070" spans="5:5" ht="33" customHeight="1" x14ac:dyDescent="0.3">
      <c r="E1070" s="3"/>
    </row>
    <row r="1071" spans="5:5" ht="33" customHeight="1" x14ac:dyDescent="0.3">
      <c r="E1071" s="3"/>
    </row>
    <row r="1072" spans="5:5" ht="33" customHeight="1" x14ac:dyDescent="0.3">
      <c r="E1072" s="3"/>
    </row>
    <row r="1073" spans="5:5" ht="33" customHeight="1" x14ac:dyDescent="0.3">
      <c r="E1073" s="3"/>
    </row>
    <row r="1074" spans="5:5" ht="33" customHeight="1" x14ac:dyDescent="0.3">
      <c r="E1074" s="3"/>
    </row>
    <row r="1075" spans="5:5" ht="33" customHeight="1" x14ac:dyDescent="0.3">
      <c r="E1075" s="3"/>
    </row>
    <row r="1076" spans="5:5" ht="33" customHeight="1" x14ac:dyDescent="0.3">
      <c r="E1076" s="3"/>
    </row>
    <row r="1077" spans="5:5" ht="33" customHeight="1" x14ac:dyDescent="0.3">
      <c r="E1077" s="3"/>
    </row>
    <row r="1078" spans="5:5" ht="33" customHeight="1" x14ac:dyDescent="0.3">
      <c r="E1078" s="3"/>
    </row>
    <row r="1079" spans="5:5" ht="33" customHeight="1" x14ac:dyDescent="0.3">
      <c r="E1079" s="3"/>
    </row>
    <row r="1080" spans="5:5" ht="33" customHeight="1" x14ac:dyDescent="0.3">
      <c r="E1080" s="3"/>
    </row>
    <row r="1081" spans="5:5" ht="33" customHeight="1" x14ac:dyDescent="0.3">
      <c r="E1081" s="3"/>
    </row>
    <row r="1082" spans="5:5" ht="33" customHeight="1" x14ac:dyDescent="0.3">
      <c r="E1082" s="3"/>
    </row>
    <row r="1083" spans="5:5" ht="33" customHeight="1" x14ac:dyDescent="0.3">
      <c r="E1083" s="3"/>
    </row>
    <row r="1084" spans="5:5" ht="33" customHeight="1" x14ac:dyDescent="0.3">
      <c r="E1084" s="3"/>
    </row>
    <row r="1085" spans="5:5" ht="33" customHeight="1" x14ac:dyDescent="0.3">
      <c r="E1085" s="3"/>
    </row>
    <row r="1086" spans="5:5" ht="33" customHeight="1" x14ac:dyDescent="0.3">
      <c r="E1086" s="3"/>
    </row>
    <row r="1087" spans="5:5" ht="33" customHeight="1" x14ac:dyDescent="0.3">
      <c r="E1087" s="3"/>
    </row>
    <row r="1088" spans="5:5" ht="33" customHeight="1" x14ac:dyDescent="0.3">
      <c r="E1088" s="3"/>
    </row>
    <row r="1089" spans="5:5" ht="33" customHeight="1" x14ac:dyDescent="0.3">
      <c r="E1089" s="3"/>
    </row>
    <row r="1090" spans="5:5" ht="33" customHeight="1" x14ac:dyDescent="0.3">
      <c r="E1090" s="3"/>
    </row>
    <row r="1091" spans="5:5" ht="33" customHeight="1" x14ac:dyDescent="0.3">
      <c r="E1091" s="3"/>
    </row>
    <row r="1092" spans="5:5" ht="33" customHeight="1" x14ac:dyDescent="0.3">
      <c r="E1092" s="3"/>
    </row>
    <row r="1093" spans="5:5" ht="33" customHeight="1" x14ac:dyDescent="0.3">
      <c r="E1093" s="3"/>
    </row>
    <row r="1094" spans="5:5" ht="33" customHeight="1" x14ac:dyDescent="0.3">
      <c r="E1094" s="3"/>
    </row>
    <row r="1095" spans="5:5" ht="33" customHeight="1" x14ac:dyDescent="0.3">
      <c r="E1095" s="3"/>
    </row>
    <row r="1096" spans="5:5" ht="33" customHeight="1" x14ac:dyDescent="0.3">
      <c r="E1096" s="3"/>
    </row>
    <row r="1097" spans="5:5" ht="33" customHeight="1" x14ac:dyDescent="0.3">
      <c r="E1097" s="3"/>
    </row>
    <row r="1098" spans="5:5" ht="33" customHeight="1" x14ac:dyDescent="0.3">
      <c r="E1098" s="3"/>
    </row>
    <row r="1099" spans="5:5" ht="33" customHeight="1" x14ac:dyDescent="0.3">
      <c r="E1099" s="3"/>
    </row>
    <row r="1100" spans="5:5" ht="33" customHeight="1" x14ac:dyDescent="0.3">
      <c r="E1100" s="3"/>
    </row>
    <row r="1101" spans="5:5" ht="33" customHeight="1" x14ac:dyDescent="0.3">
      <c r="E1101" s="3"/>
    </row>
    <row r="1102" spans="5:5" ht="33" customHeight="1" x14ac:dyDescent="0.3">
      <c r="E1102" s="3"/>
    </row>
    <row r="1103" spans="5:5" ht="33" customHeight="1" x14ac:dyDescent="0.3">
      <c r="E1103" s="3"/>
    </row>
    <row r="1104" spans="5:5" ht="33" customHeight="1" x14ac:dyDescent="0.3">
      <c r="E1104" s="3"/>
    </row>
    <row r="1105" spans="5:5" ht="33" customHeight="1" x14ac:dyDescent="0.3">
      <c r="E1105" s="3"/>
    </row>
    <row r="1106" spans="5:5" ht="33" customHeight="1" x14ac:dyDescent="0.3">
      <c r="E1106" s="3"/>
    </row>
    <row r="1107" spans="5:5" ht="33" customHeight="1" x14ac:dyDescent="0.3">
      <c r="E1107" s="3"/>
    </row>
    <row r="1108" spans="5:5" ht="33" customHeight="1" x14ac:dyDescent="0.3">
      <c r="E1108" s="3"/>
    </row>
    <row r="1109" spans="5:5" ht="33" customHeight="1" x14ac:dyDescent="0.3">
      <c r="E1109" s="3"/>
    </row>
    <row r="1110" spans="5:5" ht="33" customHeight="1" x14ac:dyDescent="0.3">
      <c r="E1110" s="3"/>
    </row>
    <row r="1111" spans="5:5" ht="33" customHeight="1" x14ac:dyDescent="0.3">
      <c r="E1111" s="3"/>
    </row>
    <row r="1112" spans="5:5" ht="33" customHeight="1" x14ac:dyDescent="0.3">
      <c r="E1112" s="3"/>
    </row>
    <row r="1113" spans="5:5" ht="33" customHeight="1" x14ac:dyDescent="0.3">
      <c r="E1113" s="3"/>
    </row>
    <row r="1114" spans="5:5" ht="33" customHeight="1" x14ac:dyDescent="0.3">
      <c r="E1114" s="3"/>
    </row>
    <row r="1115" spans="5:5" ht="33" customHeight="1" x14ac:dyDescent="0.3">
      <c r="E1115" s="3"/>
    </row>
    <row r="1116" spans="5:5" ht="33" customHeight="1" x14ac:dyDescent="0.3">
      <c r="E1116" s="3"/>
    </row>
    <row r="1117" spans="5:5" ht="33" customHeight="1" x14ac:dyDescent="0.3">
      <c r="E1117" s="3"/>
    </row>
    <row r="1118" spans="5:5" ht="33" customHeight="1" x14ac:dyDescent="0.3">
      <c r="E1118" s="3"/>
    </row>
    <row r="1119" spans="5:5" ht="33" customHeight="1" x14ac:dyDescent="0.3">
      <c r="E1119" s="3"/>
    </row>
    <row r="1120" spans="5:5" ht="33" customHeight="1" x14ac:dyDescent="0.3">
      <c r="E1120" s="3"/>
    </row>
    <row r="1121" spans="5:5" ht="33" customHeight="1" x14ac:dyDescent="0.3">
      <c r="E1121" s="3"/>
    </row>
    <row r="1122" spans="5:5" ht="33" customHeight="1" x14ac:dyDescent="0.3">
      <c r="E1122" s="3"/>
    </row>
    <row r="1123" spans="5:5" ht="33" customHeight="1" x14ac:dyDescent="0.3">
      <c r="E1123" s="3"/>
    </row>
    <row r="1124" spans="5:5" ht="33" customHeight="1" x14ac:dyDescent="0.3">
      <c r="E1124" s="3"/>
    </row>
    <row r="1125" spans="5:5" ht="33" customHeight="1" x14ac:dyDescent="0.3">
      <c r="E1125" s="3"/>
    </row>
    <row r="1126" spans="5:5" ht="33" customHeight="1" x14ac:dyDescent="0.3">
      <c r="E1126" s="3"/>
    </row>
    <row r="1127" spans="5:5" ht="33" customHeight="1" x14ac:dyDescent="0.3">
      <c r="E1127" s="3"/>
    </row>
    <row r="1128" spans="5:5" ht="33" customHeight="1" x14ac:dyDescent="0.3">
      <c r="E1128" s="3"/>
    </row>
    <row r="1129" spans="5:5" ht="33" customHeight="1" x14ac:dyDescent="0.3">
      <c r="E1129" s="3"/>
    </row>
    <row r="1130" spans="5:5" ht="33" customHeight="1" x14ac:dyDescent="0.3">
      <c r="E1130" s="3"/>
    </row>
    <row r="1131" spans="5:5" ht="33" customHeight="1" x14ac:dyDescent="0.3">
      <c r="E1131" s="3"/>
    </row>
    <row r="1132" spans="5:5" ht="33" customHeight="1" x14ac:dyDescent="0.3">
      <c r="E1132" s="3"/>
    </row>
    <row r="1133" spans="5:5" ht="33" customHeight="1" x14ac:dyDescent="0.3">
      <c r="E1133" s="3"/>
    </row>
    <row r="1134" spans="5:5" ht="33" customHeight="1" x14ac:dyDescent="0.3">
      <c r="E1134" s="3"/>
    </row>
    <row r="1135" spans="5:5" ht="33" customHeight="1" x14ac:dyDescent="0.3">
      <c r="E1135" s="3"/>
    </row>
    <row r="1136" spans="5:5" ht="33" customHeight="1" x14ac:dyDescent="0.3">
      <c r="E1136" s="3"/>
    </row>
    <row r="1137" spans="5:5" ht="33" customHeight="1" x14ac:dyDescent="0.3">
      <c r="E1137" s="3"/>
    </row>
    <row r="1138" spans="5:5" ht="33" customHeight="1" x14ac:dyDescent="0.3">
      <c r="E1138" s="3"/>
    </row>
    <row r="1139" spans="5:5" ht="33" customHeight="1" x14ac:dyDescent="0.3">
      <c r="E1139" s="3"/>
    </row>
    <row r="1140" spans="5:5" ht="33" customHeight="1" x14ac:dyDescent="0.3">
      <c r="E1140" s="3"/>
    </row>
    <row r="1141" spans="5:5" ht="33" customHeight="1" x14ac:dyDescent="0.3">
      <c r="E1141" s="3"/>
    </row>
    <row r="1142" spans="5:5" ht="33" customHeight="1" x14ac:dyDescent="0.3">
      <c r="E1142" s="3"/>
    </row>
    <row r="1143" spans="5:5" ht="33" customHeight="1" x14ac:dyDescent="0.3">
      <c r="E1143" s="3"/>
    </row>
    <row r="1144" spans="5:5" ht="33" customHeight="1" x14ac:dyDescent="0.3">
      <c r="E1144" s="3"/>
    </row>
    <row r="1145" spans="5:5" ht="33" customHeight="1" x14ac:dyDescent="0.3">
      <c r="E1145" s="3"/>
    </row>
    <row r="1146" spans="5:5" ht="33" customHeight="1" x14ac:dyDescent="0.3">
      <c r="E1146" s="3"/>
    </row>
    <row r="1147" spans="5:5" ht="33" customHeight="1" x14ac:dyDescent="0.3">
      <c r="E1147" s="3"/>
    </row>
    <row r="1148" spans="5:5" ht="33" customHeight="1" x14ac:dyDescent="0.3">
      <c r="E1148" s="3"/>
    </row>
    <row r="1149" spans="5:5" ht="33" customHeight="1" x14ac:dyDescent="0.3">
      <c r="E1149" s="3"/>
    </row>
    <row r="1150" spans="5:5" ht="33" customHeight="1" x14ac:dyDescent="0.3">
      <c r="E1150" s="3"/>
    </row>
    <row r="1151" spans="5:5" ht="33" customHeight="1" x14ac:dyDescent="0.3">
      <c r="E1151" s="3"/>
    </row>
    <row r="1152" spans="5:5" ht="33" customHeight="1" x14ac:dyDescent="0.3">
      <c r="E1152" s="3"/>
    </row>
    <row r="1153" spans="5:5" ht="33" customHeight="1" x14ac:dyDescent="0.3">
      <c r="E1153" s="3"/>
    </row>
    <row r="1154" spans="5:5" ht="33" customHeight="1" x14ac:dyDescent="0.3">
      <c r="E1154" s="3"/>
    </row>
    <row r="1155" spans="5:5" ht="33" customHeight="1" x14ac:dyDescent="0.3">
      <c r="E1155" s="3"/>
    </row>
    <row r="1156" spans="5:5" ht="33" customHeight="1" x14ac:dyDescent="0.3">
      <c r="E1156" s="3"/>
    </row>
    <row r="1157" spans="5:5" ht="33" customHeight="1" x14ac:dyDescent="0.3">
      <c r="E1157" s="3"/>
    </row>
    <row r="1158" spans="5:5" ht="33" customHeight="1" x14ac:dyDescent="0.3">
      <c r="E1158" s="3"/>
    </row>
    <row r="1159" spans="5:5" ht="33" customHeight="1" x14ac:dyDescent="0.3">
      <c r="E1159" s="3"/>
    </row>
    <row r="1160" spans="5:5" ht="33" customHeight="1" x14ac:dyDescent="0.3">
      <c r="E1160" s="3"/>
    </row>
    <row r="1161" spans="5:5" ht="33" customHeight="1" x14ac:dyDescent="0.3">
      <c r="E1161" s="3"/>
    </row>
    <row r="1162" spans="5:5" ht="33" customHeight="1" x14ac:dyDescent="0.3">
      <c r="E1162" s="3"/>
    </row>
    <row r="1163" spans="5:5" ht="33" customHeight="1" x14ac:dyDescent="0.3">
      <c r="E1163" s="3"/>
    </row>
    <row r="1164" spans="5:5" ht="33" customHeight="1" x14ac:dyDescent="0.3">
      <c r="E1164" s="3"/>
    </row>
    <row r="1165" spans="5:5" ht="33" customHeight="1" x14ac:dyDescent="0.3">
      <c r="E1165" s="3"/>
    </row>
    <row r="1166" spans="5:5" ht="33" customHeight="1" x14ac:dyDescent="0.3">
      <c r="E1166" s="3"/>
    </row>
    <row r="1167" spans="5:5" ht="33" customHeight="1" x14ac:dyDescent="0.3">
      <c r="E1167" s="3"/>
    </row>
    <row r="1168" spans="5:5" ht="33" customHeight="1" x14ac:dyDescent="0.3">
      <c r="E1168" s="3"/>
    </row>
    <row r="1169" spans="5:5" ht="33" customHeight="1" x14ac:dyDescent="0.3">
      <c r="E1169" s="3"/>
    </row>
    <row r="1170" spans="5:5" ht="33" customHeight="1" x14ac:dyDescent="0.3">
      <c r="E1170" s="3"/>
    </row>
    <row r="1171" spans="5:5" ht="33" customHeight="1" x14ac:dyDescent="0.3">
      <c r="E1171" s="3"/>
    </row>
    <row r="1172" spans="5:5" ht="33" customHeight="1" x14ac:dyDescent="0.3">
      <c r="E1172" s="3"/>
    </row>
    <row r="1173" spans="5:5" ht="33" customHeight="1" x14ac:dyDescent="0.3">
      <c r="E1173" s="3"/>
    </row>
    <row r="1174" spans="5:5" ht="33" customHeight="1" x14ac:dyDescent="0.3">
      <c r="E1174" s="3"/>
    </row>
    <row r="1175" spans="5:5" ht="33" customHeight="1" x14ac:dyDescent="0.3">
      <c r="E1175" s="3"/>
    </row>
    <row r="1176" spans="5:5" ht="33" customHeight="1" x14ac:dyDescent="0.3">
      <c r="E1176" s="3"/>
    </row>
    <row r="1177" spans="5:5" ht="33" customHeight="1" x14ac:dyDescent="0.3">
      <c r="E1177" s="3"/>
    </row>
    <row r="1178" spans="5:5" ht="33" customHeight="1" x14ac:dyDescent="0.3">
      <c r="E1178" s="3"/>
    </row>
    <row r="1179" spans="5:5" ht="33" customHeight="1" x14ac:dyDescent="0.3">
      <c r="E1179" s="3"/>
    </row>
    <row r="1180" spans="5:5" ht="33" customHeight="1" x14ac:dyDescent="0.3">
      <c r="E1180" s="3"/>
    </row>
    <row r="1181" spans="5:5" ht="33" customHeight="1" x14ac:dyDescent="0.3">
      <c r="E1181" s="3"/>
    </row>
    <row r="1182" spans="5:5" ht="33" customHeight="1" x14ac:dyDescent="0.3">
      <c r="E1182" s="3"/>
    </row>
    <row r="1183" spans="5:5" ht="33" customHeight="1" x14ac:dyDescent="0.3">
      <c r="E1183" s="3"/>
    </row>
    <row r="1184" spans="5:5" ht="33" customHeight="1" x14ac:dyDescent="0.3">
      <c r="E1184" s="3"/>
    </row>
    <row r="1185" spans="5:5" ht="33" customHeight="1" x14ac:dyDescent="0.3">
      <c r="E1185" s="3"/>
    </row>
    <row r="1186" spans="5:5" ht="33" customHeight="1" x14ac:dyDescent="0.3">
      <c r="E1186" s="3"/>
    </row>
    <row r="1187" spans="5:5" ht="33" customHeight="1" x14ac:dyDescent="0.3">
      <c r="E1187" s="3"/>
    </row>
    <row r="1188" spans="5:5" ht="33" customHeight="1" x14ac:dyDescent="0.3">
      <c r="E1188" s="3"/>
    </row>
    <row r="1189" spans="5:5" ht="33" customHeight="1" x14ac:dyDescent="0.3">
      <c r="E1189" s="3"/>
    </row>
    <row r="1190" spans="5:5" ht="33" customHeight="1" x14ac:dyDescent="0.3">
      <c r="E1190" s="3"/>
    </row>
    <row r="1191" spans="5:5" ht="33" customHeight="1" x14ac:dyDescent="0.3">
      <c r="E1191" s="3"/>
    </row>
    <row r="1192" spans="5:5" ht="33" customHeight="1" x14ac:dyDescent="0.3">
      <c r="E1192" s="3"/>
    </row>
    <row r="1193" spans="5:5" ht="33" customHeight="1" x14ac:dyDescent="0.3">
      <c r="E1193" s="3"/>
    </row>
    <row r="1194" spans="5:5" ht="33" customHeight="1" x14ac:dyDescent="0.3">
      <c r="E1194" s="3"/>
    </row>
    <row r="1195" spans="5:5" ht="33" customHeight="1" x14ac:dyDescent="0.3">
      <c r="E1195" s="3"/>
    </row>
    <row r="1196" spans="5:5" ht="33" customHeight="1" x14ac:dyDescent="0.3">
      <c r="E1196" s="3"/>
    </row>
    <row r="1197" spans="5:5" ht="33" customHeight="1" x14ac:dyDescent="0.3">
      <c r="E1197" s="3"/>
    </row>
    <row r="1198" spans="5:5" ht="33" customHeight="1" x14ac:dyDescent="0.3">
      <c r="E1198" s="3"/>
    </row>
    <row r="1199" spans="5:5" ht="33" customHeight="1" x14ac:dyDescent="0.3">
      <c r="E1199" s="3"/>
    </row>
    <row r="1200" spans="5:5" ht="33" customHeight="1" x14ac:dyDescent="0.3">
      <c r="E1200" s="3"/>
    </row>
    <row r="1201" spans="5:5" ht="33" customHeight="1" x14ac:dyDescent="0.3">
      <c r="E1201" s="3"/>
    </row>
    <row r="1202" spans="5:5" ht="33" customHeight="1" x14ac:dyDescent="0.3">
      <c r="E1202" s="3"/>
    </row>
    <row r="1203" spans="5:5" ht="33" customHeight="1" x14ac:dyDescent="0.3">
      <c r="E1203" s="3"/>
    </row>
    <row r="1204" spans="5:5" ht="33" customHeight="1" x14ac:dyDescent="0.3">
      <c r="E1204" s="3"/>
    </row>
    <row r="1205" spans="5:5" ht="33" customHeight="1" x14ac:dyDescent="0.3">
      <c r="E1205" s="3"/>
    </row>
    <row r="1206" spans="5:5" ht="33" customHeight="1" x14ac:dyDescent="0.3">
      <c r="E1206" s="3"/>
    </row>
    <row r="1207" spans="5:5" ht="33" customHeight="1" x14ac:dyDescent="0.3">
      <c r="E1207" s="3"/>
    </row>
    <row r="1208" spans="5:5" ht="33" customHeight="1" x14ac:dyDescent="0.3">
      <c r="E1208" s="3"/>
    </row>
    <row r="1209" spans="5:5" ht="33" customHeight="1" x14ac:dyDescent="0.3">
      <c r="E1209" s="3"/>
    </row>
    <row r="1210" spans="5:5" ht="33" customHeight="1" x14ac:dyDescent="0.3">
      <c r="E1210" s="3"/>
    </row>
    <row r="1211" spans="5:5" ht="33" customHeight="1" x14ac:dyDescent="0.3">
      <c r="E1211" s="3"/>
    </row>
    <row r="1212" spans="5:5" ht="33" customHeight="1" x14ac:dyDescent="0.3">
      <c r="E1212" s="3"/>
    </row>
    <row r="1213" spans="5:5" ht="33" customHeight="1" x14ac:dyDescent="0.3">
      <c r="E1213" s="3"/>
    </row>
    <row r="1214" spans="5:5" ht="33" customHeight="1" x14ac:dyDescent="0.3">
      <c r="E1214" s="3"/>
    </row>
    <row r="1215" spans="5:5" ht="33" customHeight="1" x14ac:dyDescent="0.3">
      <c r="E1215" s="3"/>
    </row>
    <row r="1216" spans="5:5" ht="33" customHeight="1" x14ac:dyDescent="0.3">
      <c r="E1216" s="3"/>
    </row>
    <row r="1217" spans="5:5" ht="33" customHeight="1" x14ac:dyDescent="0.3">
      <c r="E1217" s="3"/>
    </row>
    <row r="1218" spans="5:5" ht="33" customHeight="1" x14ac:dyDescent="0.3">
      <c r="E1218" s="3"/>
    </row>
    <row r="1219" spans="5:5" ht="33" customHeight="1" x14ac:dyDescent="0.3">
      <c r="E1219" s="3"/>
    </row>
    <row r="1220" spans="5:5" ht="33" customHeight="1" x14ac:dyDescent="0.3">
      <c r="E1220" s="3"/>
    </row>
    <row r="1221" spans="5:5" ht="33" customHeight="1" x14ac:dyDescent="0.3">
      <c r="E1221" s="3"/>
    </row>
    <row r="1222" spans="5:5" ht="33" customHeight="1" x14ac:dyDescent="0.3">
      <c r="E1222" s="3"/>
    </row>
    <row r="1223" spans="5:5" ht="33" customHeight="1" x14ac:dyDescent="0.3">
      <c r="E1223" s="3"/>
    </row>
    <row r="1224" spans="5:5" ht="33" customHeight="1" x14ac:dyDescent="0.3">
      <c r="E1224" s="3"/>
    </row>
    <row r="1225" spans="5:5" ht="33" customHeight="1" x14ac:dyDescent="0.3">
      <c r="E1225" s="3"/>
    </row>
    <row r="1226" spans="5:5" ht="33" customHeight="1" x14ac:dyDescent="0.3">
      <c r="E1226" s="3"/>
    </row>
    <row r="1227" spans="5:5" ht="33" customHeight="1" x14ac:dyDescent="0.3">
      <c r="E1227" s="3"/>
    </row>
    <row r="1228" spans="5:5" ht="33" customHeight="1" x14ac:dyDescent="0.3">
      <c r="E1228" s="3"/>
    </row>
    <row r="1229" spans="5:5" ht="33" customHeight="1" x14ac:dyDescent="0.3">
      <c r="E1229" s="3"/>
    </row>
    <row r="1230" spans="5:5" ht="33" customHeight="1" x14ac:dyDescent="0.3">
      <c r="E1230" s="3"/>
    </row>
    <row r="1231" spans="5:5" ht="33" customHeight="1" x14ac:dyDescent="0.3">
      <c r="E1231" s="3"/>
    </row>
    <row r="1232" spans="5:5" ht="33" customHeight="1" x14ac:dyDescent="0.3">
      <c r="E1232" s="3"/>
    </row>
    <row r="1233" spans="5:5" ht="33" customHeight="1" x14ac:dyDescent="0.3">
      <c r="E1233" s="3"/>
    </row>
    <row r="1234" spans="5:5" ht="33" customHeight="1" x14ac:dyDescent="0.3">
      <c r="E1234" s="3"/>
    </row>
    <row r="1235" spans="5:5" ht="33" customHeight="1" x14ac:dyDescent="0.3">
      <c r="E1235" s="3"/>
    </row>
    <row r="1236" spans="5:5" ht="33" customHeight="1" x14ac:dyDescent="0.3">
      <c r="E1236" s="3"/>
    </row>
    <row r="1237" spans="5:5" ht="33" customHeight="1" x14ac:dyDescent="0.3">
      <c r="E1237" s="3"/>
    </row>
    <row r="1238" spans="5:5" ht="33" customHeight="1" x14ac:dyDescent="0.3">
      <c r="E1238" s="3"/>
    </row>
    <row r="1239" spans="5:5" ht="33" customHeight="1" x14ac:dyDescent="0.3">
      <c r="E1239" s="3"/>
    </row>
    <row r="1240" spans="5:5" ht="33" customHeight="1" x14ac:dyDescent="0.3">
      <c r="E1240" s="3"/>
    </row>
    <row r="1241" spans="5:5" ht="33" customHeight="1" x14ac:dyDescent="0.3">
      <c r="E1241" s="3"/>
    </row>
    <row r="1242" spans="5:5" ht="33" customHeight="1" x14ac:dyDescent="0.3">
      <c r="E1242" s="3"/>
    </row>
    <row r="1243" spans="5:5" ht="33" customHeight="1" x14ac:dyDescent="0.3">
      <c r="E1243" s="3"/>
    </row>
    <row r="1244" spans="5:5" ht="33" customHeight="1" x14ac:dyDescent="0.3">
      <c r="E1244" s="3"/>
    </row>
    <row r="1245" spans="5:5" ht="33" customHeight="1" x14ac:dyDescent="0.3">
      <c r="E1245" s="3"/>
    </row>
    <row r="1246" spans="5:5" ht="33" customHeight="1" x14ac:dyDescent="0.3">
      <c r="E1246" s="3"/>
    </row>
    <row r="1247" spans="5:5" ht="33" customHeight="1" x14ac:dyDescent="0.3">
      <c r="E1247" s="3"/>
    </row>
    <row r="1248" spans="5:5" ht="33" customHeight="1" x14ac:dyDescent="0.3">
      <c r="E1248" s="3"/>
    </row>
    <row r="1249" spans="5:5" ht="33" customHeight="1" x14ac:dyDescent="0.3">
      <c r="E1249" s="3"/>
    </row>
    <row r="1250" spans="5:5" ht="33" customHeight="1" x14ac:dyDescent="0.3">
      <c r="E1250" s="3"/>
    </row>
    <row r="1251" spans="5:5" ht="33" customHeight="1" x14ac:dyDescent="0.3">
      <c r="E1251" s="3"/>
    </row>
    <row r="1252" spans="5:5" ht="33" customHeight="1" x14ac:dyDescent="0.3">
      <c r="E1252" s="3"/>
    </row>
    <row r="1253" spans="5:5" ht="33" customHeight="1" x14ac:dyDescent="0.3">
      <c r="E1253" s="3"/>
    </row>
    <row r="1254" spans="5:5" ht="33" customHeight="1" x14ac:dyDescent="0.3">
      <c r="E1254" s="3"/>
    </row>
    <row r="1255" spans="5:5" ht="33" customHeight="1" x14ac:dyDescent="0.3">
      <c r="E1255" s="3"/>
    </row>
    <row r="1256" spans="5:5" ht="33" customHeight="1" x14ac:dyDescent="0.3">
      <c r="E1256" s="3"/>
    </row>
    <row r="1257" spans="5:5" ht="33" customHeight="1" x14ac:dyDescent="0.3">
      <c r="E1257" s="3"/>
    </row>
    <row r="1258" spans="5:5" ht="33" customHeight="1" x14ac:dyDescent="0.3">
      <c r="E1258" s="3"/>
    </row>
    <row r="1259" spans="5:5" ht="33" customHeight="1" x14ac:dyDescent="0.3">
      <c r="E1259" s="3"/>
    </row>
    <row r="1260" spans="5:5" ht="33" customHeight="1" x14ac:dyDescent="0.3">
      <c r="E1260" s="3"/>
    </row>
    <row r="1261" spans="5:5" ht="33" customHeight="1" x14ac:dyDescent="0.3">
      <c r="E1261" s="3"/>
    </row>
    <row r="1262" spans="5:5" ht="33" customHeight="1" x14ac:dyDescent="0.3">
      <c r="E1262" s="3"/>
    </row>
    <row r="1263" spans="5:5" ht="33" customHeight="1" x14ac:dyDescent="0.3">
      <c r="E1263" s="3"/>
    </row>
    <row r="1264" spans="5:5" ht="33" customHeight="1" x14ac:dyDescent="0.3">
      <c r="E1264" s="3"/>
    </row>
    <row r="1265" spans="5:5" ht="33" customHeight="1" x14ac:dyDescent="0.3">
      <c r="E1265" s="3"/>
    </row>
    <row r="1266" spans="5:5" ht="33" customHeight="1" x14ac:dyDescent="0.3">
      <c r="E1266" s="3"/>
    </row>
    <row r="1267" spans="5:5" ht="33" customHeight="1" x14ac:dyDescent="0.3">
      <c r="E1267" s="3"/>
    </row>
    <row r="1268" spans="5:5" ht="33" customHeight="1" x14ac:dyDescent="0.3">
      <c r="E1268" s="3"/>
    </row>
    <row r="1269" spans="5:5" ht="33" customHeight="1" x14ac:dyDescent="0.3">
      <c r="E1269" s="3"/>
    </row>
    <row r="1270" spans="5:5" ht="33" customHeight="1" x14ac:dyDescent="0.3">
      <c r="E1270" s="3"/>
    </row>
    <row r="1271" spans="5:5" ht="33" customHeight="1" x14ac:dyDescent="0.3">
      <c r="E1271" s="3"/>
    </row>
    <row r="1272" spans="5:5" ht="33" customHeight="1" x14ac:dyDescent="0.3">
      <c r="E1272" s="3"/>
    </row>
    <row r="1273" spans="5:5" ht="33" customHeight="1" x14ac:dyDescent="0.3">
      <c r="E1273" s="3"/>
    </row>
    <row r="1274" spans="5:5" ht="33" customHeight="1" x14ac:dyDescent="0.3">
      <c r="E1274" s="3"/>
    </row>
    <row r="1275" spans="5:5" ht="33" customHeight="1" x14ac:dyDescent="0.3">
      <c r="E1275" s="3"/>
    </row>
    <row r="1276" spans="5:5" ht="33" customHeight="1" x14ac:dyDescent="0.3">
      <c r="E1276" s="3"/>
    </row>
    <row r="1277" spans="5:5" ht="33" customHeight="1" x14ac:dyDescent="0.3">
      <c r="E1277" s="3"/>
    </row>
    <row r="1278" spans="5:5" ht="33" customHeight="1" x14ac:dyDescent="0.3">
      <c r="E1278" s="3"/>
    </row>
    <row r="1279" spans="5:5" ht="33" customHeight="1" x14ac:dyDescent="0.3">
      <c r="E1279" s="3"/>
    </row>
    <row r="1280" spans="5:5" ht="33" customHeight="1" x14ac:dyDescent="0.3">
      <c r="E1280" s="3"/>
    </row>
    <row r="1281" spans="5:5" ht="33" customHeight="1" x14ac:dyDescent="0.3">
      <c r="E1281" s="3"/>
    </row>
    <row r="1282" spans="5:5" ht="33" customHeight="1" x14ac:dyDescent="0.3">
      <c r="E1282" s="3"/>
    </row>
    <row r="1283" spans="5:5" ht="33" customHeight="1" x14ac:dyDescent="0.3">
      <c r="E1283" s="3"/>
    </row>
    <row r="1284" spans="5:5" ht="33" customHeight="1" x14ac:dyDescent="0.3">
      <c r="E1284" s="3"/>
    </row>
    <row r="1285" spans="5:5" ht="33" customHeight="1" x14ac:dyDescent="0.3">
      <c r="E1285" s="3"/>
    </row>
    <row r="1286" spans="5:5" ht="33" customHeight="1" x14ac:dyDescent="0.3">
      <c r="E1286" s="3"/>
    </row>
    <row r="1287" spans="5:5" ht="33" customHeight="1" x14ac:dyDescent="0.3">
      <c r="E1287" s="3"/>
    </row>
    <row r="1288" spans="5:5" ht="33" customHeight="1" x14ac:dyDescent="0.3">
      <c r="E1288" s="3"/>
    </row>
    <row r="1289" spans="5:5" ht="33" customHeight="1" x14ac:dyDescent="0.3">
      <c r="E1289" s="3"/>
    </row>
    <row r="1290" spans="5:5" ht="33" customHeight="1" x14ac:dyDescent="0.3">
      <c r="E1290" s="3"/>
    </row>
    <row r="1291" spans="5:5" ht="33" customHeight="1" x14ac:dyDescent="0.3">
      <c r="E1291" s="3"/>
    </row>
    <row r="1292" spans="5:5" ht="33" customHeight="1" x14ac:dyDescent="0.3">
      <c r="E1292" s="3"/>
    </row>
    <row r="1293" spans="5:5" ht="33" customHeight="1" x14ac:dyDescent="0.3">
      <c r="E1293" s="3"/>
    </row>
    <row r="1294" spans="5:5" ht="33" customHeight="1" x14ac:dyDescent="0.3">
      <c r="E1294" s="3"/>
    </row>
    <row r="1295" spans="5:5" ht="33" customHeight="1" x14ac:dyDescent="0.3">
      <c r="E1295" s="3"/>
    </row>
    <row r="1296" spans="5:5" ht="33" customHeight="1" x14ac:dyDescent="0.3">
      <c r="E1296" s="3"/>
    </row>
    <row r="1297" spans="5:5" ht="33" customHeight="1" x14ac:dyDescent="0.3">
      <c r="E1297" s="3"/>
    </row>
    <row r="1298" spans="5:5" ht="33" customHeight="1" x14ac:dyDescent="0.3">
      <c r="E1298" s="3"/>
    </row>
    <row r="1299" spans="5:5" ht="33" customHeight="1" x14ac:dyDescent="0.3">
      <c r="E1299" s="3"/>
    </row>
    <row r="1300" spans="5:5" ht="33" customHeight="1" x14ac:dyDescent="0.3">
      <c r="E1300" s="3"/>
    </row>
    <row r="1301" spans="5:5" ht="33" customHeight="1" x14ac:dyDescent="0.3">
      <c r="E1301" s="3"/>
    </row>
    <row r="1302" spans="5:5" ht="33" customHeight="1" x14ac:dyDescent="0.3">
      <c r="E1302" s="3"/>
    </row>
    <row r="1303" spans="5:5" ht="33" customHeight="1" x14ac:dyDescent="0.3">
      <c r="E1303" s="3"/>
    </row>
    <row r="1304" spans="5:5" ht="33" customHeight="1" x14ac:dyDescent="0.3">
      <c r="E1304" s="3"/>
    </row>
    <row r="1305" spans="5:5" ht="33" customHeight="1" x14ac:dyDescent="0.3">
      <c r="E1305" s="3"/>
    </row>
    <row r="1306" spans="5:5" ht="33" customHeight="1" x14ac:dyDescent="0.3">
      <c r="E1306" s="3"/>
    </row>
    <row r="1307" spans="5:5" ht="33" customHeight="1" x14ac:dyDescent="0.3">
      <c r="E1307" s="3"/>
    </row>
    <row r="1308" spans="5:5" ht="33" customHeight="1" x14ac:dyDescent="0.3">
      <c r="E1308" s="3"/>
    </row>
    <row r="1309" spans="5:5" ht="33" customHeight="1" x14ac:dyDescent="0.3">
      <c r="E1309" s="3"/>
    </row>
    <row r="1310" spans="5:5" ht="33" customHeight="1" x14ac:dyDescent="0.3">
      <c r="E1310" s="3"/>
    </row>
    <row r="1311" spans="5:5" ht="33" customHeight="1" x14ac:dyDescent="0.3">
      <c r="E1311" s="3"/>
    </row>
    <row r="1312" spans="5:5" ht="33" customHeight="1" x14ac:dyDescent="0.3">
      <c r="E1312" s="3"/>
    </row>
    <row r="1313" spans="5:5" ht="33" customHeight="1" x14ac:dyDescent="0.3">
      <c r="E1313" s="3"/>
    </row>
    <row r="1314" spans="5:5" ht="33" customHeight="1" x14ac:dyDescent="0.3">
      <c r="E1314" s="3"/>
    </row>
    <row r="1315" spans="5:5" ht="33" customHeight="1" x14ac:dyDescent="0.3">
      <c r="E1315" s="3"/>
    </row>
    <row r="1316" spans="5:5" ht="33" customHeight="1" x14ac:dyDescent="0.3">
      <c r="E1316" s="3"/>
    </row>
    <row r="1317" spans="5:5" ht="33" customHeight="1" x14ac:dyDescent="0.3">
      <c r="E1317" s="3"/>
    </row>
    <row r="1318" spans="5:5" ht="33" customHeight="1" x14ac:dyDescent="0.3">
      <c r="E1318" s="3"/>
    </row>
    <row r="1319" spans="5:5" ht="33" customHeight="1" x14ac:dyDescent="0.3">
      <c r="E1319" s="3"/>
    </row>
    <row r="1320" spans="5:5" ht="33" customHeight="1" x14ac:dyDescent="0.3">
      <c r="E1320" s="3"/>
    </row>
    <row r="1321" spans="5:5" ht="33" customHeight="1" x14ac:dyDescent="0.3">
      <c r="E1321" s="3"/>
    </row>
    <row r="1322" spans="5:5" ht="33" customHeight="1" x14ac:dyDescent="0.3">
      <c r="E1322" s="3"/>
    </row>
    <row r="1323" spans="5:5" ht="33" customHeight="1" x14ac:dyDescent="0.3">
      <c r="E1323" s="3"/>
    </row>
    <row r="1324" spans="5:5" ht="33" customHeight="1" x14ac:dyDescent="0.3">
      <c r="E1324" s="3"/>
    </row>
    <row r="1325" spans="5:5" ht="33" customHeight="1" x14ac:dyDescent="0.3">
      <c r="E1325" s="3"/>
    </row>
    <row r="1326" spans="5:5" ht="33" customHeight="1" x14ac:dyDescent="0.3">
      <c r="E1326" s="3"/>
    </row>
    <row r="1327" spans="5:5" ht="33" customHeight="1" x14ac:dyDescent="0.3">
      <c r="E1327" s="3"/>
    </row>
    <row r="1328" spans="5:5" ht="33" customHeight="1" x14ac:dyDescent="0.3">
      <c r="E1328" s="3"/>
    </row>
    <row r="1329" spans="5:5" ht="33" customHeight="1" x14ac:dyDescent="0.3">
      <c r="E1329" s="3"/>
    </row>
    <row r="1330" spans="5:5" ht="33" customHeight="1" x14ac:dyDescent="0.3">
      <c r="E1330" s="3"/>
    </row>
    <row r="1331" spans="5:5" ht="33" customHeight="1" x14ac:dyDescent="0.3">
      <c r="E1331" s="3"/>
    </row>
    <row r="1332" spans="5:5" ht="33" customHeight="1" x14ac:dyDescent="0.3">
      <c r="E1332" s="3"/>
    </row>
    <row r="1333" spans="5:5" ht="33" customHeight="1" x14ac:dyDescent="0.3">
      <c r="E1333" s="3"/>
    </row>
    <row r="1334" spans="5:5" ht="33" customHeight="1" x14ac:dyDescent="0.3">
      <c r="E1334" s="3"/>
    </row>
    <row r="1335" spans="5:5" ht="33" customHeight="1" x14ac:dyDescent="0.3">
      <c r="E1335" s="3"/>
    </row>
    <row r="1336" spans="5:5" ht="33" customHeight="1" x14ac:dyDescent="0.3">
      <c r="E1336" s="3"/>
    </row>
    <row r="1337" spans="5:5" ht="33" customHeight="1" x14ac:dyDescent="0.3">
      <c r="E1337" s="3"/>
    </row>
    <row r="1338" spans="5:5" ht="33" customHeight="1" x14ac:dyDescent="0.3">
      <c r="E1338" s="3"/>
    </row>
    <row r="1339" spans="5:5" ht="33" customHeight="1" x14ac:dyDescent="0.3">
      <c r="E1339" s="3"/>
    </row>
    <row r="1340" spans="5:5" ht="33" customHeight="1" x14ac:dyDescent="0.3">
      <c r="E1340" s="3"/>
    </row>
    <row r="1341" spans="5:5" ht="33" customHeight="1" x14ac:dyDescent="0.3">
      <c r="E1341" s="3"/>
    </row>
    <row r="1342" spans="5:5" ht="33" customHeight="1" x14ac:dyDescent="0.3">
      <c r="E1342" s="3"/>
    </row>
    <row r="1343" spans="5:5" ht="33" customHeight="1" x14ac:dyDescent="0.3">
      <c r="E1343" s="3"/>
    </row>
    <row r="1344" spans="5:5" ht="33" customHeight="1" x14ac:dyDescent="0.3">
      <c r="E1344" s="3"/>
    </row>
    <row r="1345" spans="5:5" ht="33" customHeight="1" x14ac:dyDescent="0.3">
      <c r="E1345" s="3"/>
    </row>
    <row r="1346" spans="5:5" ht="33" customHeight="1" x14ac:dyDescent="0.3">
      <c r="E1346" s="3"/>
    </row>
    <row r="1347" spans="5:5" ht="33" customHeight="1" x14ac:dyDescent="0.3">
      <c r="E1347" s="3"/>
    </row>
    <row r="1348" spans="5:5" ht="33" customHeight="1" x14ac:dyDescent="0.3">
      <c r="E1348" s="3"/>
    </row>
    <row r="1349" spans="5:5" ht="33" customHeight="1" x14ac:dyDescent="0.3">
      <c r="E1349" s="3"/>
    </row>
    <row r="1350" spans="5:5" ht="33" customHeight="1" x14ac:dyDescent="0.3">
      <c r="E1350" s="3"/>
    </row>
    <row r="1351" spans="5:5" ht="33" customHeight="1" x14ac:dyDescent="0.3">
      <c r="E1351" s="3"/>
    </row>
    <row r="1352" spans="5:5" ht="33" customHeight="1" x14ac:dyDescent="0.3">
      <c r="E1352" s="3"/>
    </row>
    <row r="1353" spans="5:5" ht="33" customHeight="1" x14ac:dyDescent="0.3">
      <c r="E1353" s="3"/>
    </row>
    <row r="1354" spans="5:5" ht="33" customHeight="1" x14ac:dyDescent="0.3">
      <c r="E1354" s="3"/>
    </row>
    <row r="1355" spans="5:5" ht="33" customHeight="1" x14ac:dyDescent="0.3">
      <c r="E1355" s="3"/>
    </row>
    <row r="1356" spans="5:5" ht="33" customHeight="1" x14ac:dyDescent="0.3">
      <c r="E1356" s="3"/>
    </row>
    <row r="1357" spans="5:5" ht="33" customHeight="1" x14ac:dyDescent="0.3">
      <c r="E1357" s="3"/>
    </row>
    <row r="1358" spans="5:5" ht="33" customHeight="1" x14ac:dyDescent="0.3">
      <c r="E1358" s="3"/>
    </row>
    <row r="1359" spans="5:5" ht="33" customHeight="1" x14ac:dyDescent="0.3">
      <c r="E1359" s="3"/>
    </row>
    <row r="1360" spans="5:5" ht="33" customHeight="1" x14ac:dyDescent="0.3">
      <c r="E1360" s="3"/>
    </row>
    <row r="1361" spans="5:5" ht="33" customHeight="1" x14ac:dyDescent="0.3">
      <c r="E1361" s="3"/>
    </row>
    <row r="1362" spans="5:5" ht="33" customHeight="1" x14ac:dyDescent="0.3">
      <c r="E1362" s="3"/>
    </row>
    <row r="1363" spans="5:5" ht="33" customHeight="1" x14ac:dyDescent="0.3">
      <c r="E1363" s="3"/>
    </row>
    <row r="1364" spans="5:5" ht="33" customHeight="1" x14ac:dyDescent="0.3">
      <c r="E1364" s="3"/>
    </row>
    <row r="1365" spans="5:5" ht="33" customHeight="1" x14ac:dyDescent="0.3">
      <c r="E1365" s="3"/>
    </row>
    <row r="1366" spans="5:5" ht="33" customHeight="1" x14ac:dyDescent="0.3">
      <c r="E1366" s="3"/>
    </row>
    <row r="1367" spans="5:5" ht="33" customHeight="1" x14ac:dyDescent="0.3">
      <c r="E1367" s="3"/>
    </row>
    <row r="1368" spans="5:5" ht="33" customHeight="1" x14ac:dyDescent="0.3">
      <c r="E1368" s="3"/>
    </row>
    <row r="1369" spans="5:5" ht="33" customHeight="1" x14ac:dyDescent="0.3">
      <c r="E1369" s="3"/>
    </row>
    <row r="1370" spans="5:5" ht="33" customHeight="1" x14ac:dyDescent="0.3">
      <c r="E1370" s="3"/>
    </row>
    <row r="1371" spans="5:5" ht="33" customHeight="1" x14ac:dyDescent="0.3">
      <c r="E1371" s="3"/>
    </row>
    <row r="1372" spans="5:5" ht="33" customHeight="1" x14ac:dyDescent="0.3">
      <c r="E1372" s="3"/>
    </row>
    <row r="1373" spans="5:5" ht="33" customHeight="1" x14ac:dyDescent="0.3">
      <c r="E1373" s="3"/>
    </row>
    <row r="1374" spans="5:5" ht="33" customHeight="1" x14ac:dyDescent="0.3">
      <c r="E1374" s="3"/>
    </row>
    <row r="1375" spans="5:5" ht="33" customHeight="1" x14ac:dyDescent="0.3">
      <c r="E1375" s="3"/>
    </row>
    <row r="1376" spans="5:5" ht="33" customHeight="1" x14ac:dyDescent="0.3">
      <c r="E1376" s="3"/>
    </row>
    <row r="1377" spans="5:5" ht="33" customHeight="1" x14ac:dyDescent="0.3">
      <c r="E1377" s="3"/>
    </row>
    <row r="1378" spans="5:5" ht="33" customHeight="1" x14ac:dyDescent="0.3">
      <c r="E1378" s="3"/>
    </row>
    <row r="1379" spans="5:5" ht="33" customHeight="1" x14ac:dyDescent="0.3">
      <c r="E1379" s="3"/>
    </row>
    <row r="1380" spans="5:5" ht="33" customHeight="1" x14ac:dyDescent="0.3">
      <c r="E1380" s="3"/>
    </row>
    <row r="1381" spans="5:5" ht="33" customHeight="1" x14ac:dyDescent="0.3">
      <c r="E1381" s="3"/>
    </row>
    <row r="1382" spans="5:5" ht="33" customHeight="1" x14ac:dyDescent="0.3">
      <c r="E1382" s="3"/>
    </row>
    <row r="1383" spans="5:5" ht="33" customHeight="1" x14ac:dyDescent="0.3">
      <c r="E1383" s="3"/>
    </row>
    <row r="1384" spans="5:5" ht="33" customHeight="1" x14ac:dyDescent="0.3">
      <c r="E1384" s="3"/>
    </row>
    <row r="1385" spans="5:5" ht="33" customHeight="1" x14ac:dyDescent="0.3">
      <c r="E1385" s="3"/>
    </row>
    <row r="1386" spans="5:5" ht="33" customHeight="1" x14ac:dyDescent="0.3">
      <c r="E1386" s="3"/>
    </row>
    <row r="1387" spans="5:5" ht="33" customHeight="1" x14ac:dyDescent="0.3">
      <c r="E1387" s="3"/>
    </row>
    <row r="1388" spans="5:5" ht="33" customHeight="1" x14ac:dyDescent="0.3">
      <c r="E1388" s="3"/>
    </row>
    <row r="1389" spans="5:5" ht="33" customHeight="1" x14ac:dyDescent="0.3">
      <c r="E1389" s="3"/>
    </row>
    <row r="1390" spans="5:5" ht="33" customHeight="1" x14ac:dyDescent="0.3">
      <c r="E1390" s="3"/>
    </row>
    <row r="1391" spans="5:5" ht="33" customHeight="1" x14ac:dyDescent="0.3">
      <c r="E1391" s="3"/>
    </row>
    <row r="1392" spans="5:5" ht="33" customHeight="1" x14ac:dyDescent="0.3">
      <c r="E1392" s="3"/>
    </row>
    <row r="1393" spans="5:5" ht="33" customHeight="1" x14ac:dyDescent="0.3">
      <c r="E1393" s="3"/>
    </row>
    <row r="1394" spans="5:5" ht="33" customHeight="1" x14ac:dyDescent="0.3">
      <c r="E1394" s="3"/>
    </row>
    <row r="1395" spans="5:5" ht="33" customHeight="1" x14ac:dyDescent="0.3">
      <c r="E1395" s="3"/>
    </row>
    <row r="1396" spans="5:5" ht="33" customHeight="1" x14ac:dyDescent="0.3">
      <c r="E1396" s="3"/>
    </row>
    <row r="1397" spans="5:5" ht="33" customHeight="1" x14ac:dyDescent="0.3">
      <c r="E1397" s="3"/>
    </row>
    <row r="1398" spans="5:5" ht="33" customHeight="1" x14ac:dyDescent="0.3">
      <c r="E1398" s="3"/>
    </row>
    <row r="1399" spans="5:5" ht="33" customHeight="1" x14ac:dyDescent="0.3">
      <c r="E1399" s="3"/>
    </row>
    <row r="1400" spans="5:5" ht="33" customHeight="1" x14ac:dyDescent="0.3">
      <c r="E1400" s="3"/>
    </row>
    <row r="1401" spans="5:5" ht="33" customHeight="1" x14ac:dyDescent="0.3">
      <c r="E1401" s="3"/>
    </row>
    <row r="1402" spans="5:5" ht="33" customHeight="1" x14ac:dyDescent="0.3">
      <c r="E1402" s="3"/>
    </row>
    <row r="1403" spans="5:5" ht="33" customHeight="1" x14ac:dyDescent="0.3">
      <c r="E1403" s="3"/>
    </row>
    <row r="1404" spans="5:5" ht="33" customHeight="1" x14ac:dyDescent="0.3">
      <c r="E1404" s="3"/>
    </row>
    <row r="1405" spans="5:5" ht="33" customHeight="1" x14ac:dyDescent="0.3">
      <c r="E1405" s="3"/>
    </row>
    <row r="1406" spans="5:5" ht="33" customHeight="1" thickBot="1" x14ac:dyDescent="0.35">
      <c r="E1406" s="3"/>
    </row>
    <row r="1407" spans="5:5" ht="33" customHeight="1" thickBot="1" x14ac:dyDescent="0.35"/>
    <row r="1408" spans="5:5" ht="33" customHeight="1" thickBot="1" x14ac:dyDescent="0.35"/>
    <row r="1409" ht="33" customHeight="1" thickBot="1" x14ac:dyDescent="0.35"/>
    <row r="1410" ht="33" customHeight="1" thickBot="1" x14ac:dyDescent="0.35"/>
  </sheetData>
  <autoFilter ref="A5:U144" xr:uid="{00000000-0009-0000-0000-000000000000}">
    <filterColumn colId="20">
      <filters>
        <filter val="IPCOMS"/>
      </filters>
    </filterColumn>
  </autoFilter>
  <conditionalFormatting sqref="B1:B137 B142:B144 B158:B1048576">
    <cfRule type="cellIs" dxfId="27" priority="24" operator="equal">
      <formula>4231</formula>
    </cfRule>
    <cfRule type="cellIs" dxfId="26" priority="25" operator="equal">
      <formula>4145</formula>
    </cfRule>
    <cfRule type="cellIs" dxfId="25" priority="26" operator="equal">
      <formula>4319</formula>
    </cfRule>
    <cfRule type="cellIs" dxfId="24" priority="27" operator="equal">
      <formula>4230</formula>
    </cfRule>
    <cfRule type="cellIs" dxfId="23" priority="28" operator="equal">
      <formula>4232</formula>
    </cfRule>
  </conditionalFormatting>
  <conditionalFormatting sqref="O158:O315 O6:O137">
    <cfRule type="cellIs" dxfId="22" priority="22" operator="equal">
      <formula>"FIBRA"</formula>
    </cfRule>
    <cfRule type="cellIs" dxfId="21" priority="23" operator="equal">
      <formula>"RADIO"</formula>
    </cfRule>
  </conditionalFormatting>
  <conditionalFormatting sqref="B138:B141">
    <cfRule type="cellIs" dxfId="20" priority="17" operator="equal">
      <formula>4231</formula>
    </cfRule>
    <cfRule type="cellIs" dxfId="19" priority="18" operator="equal">
      <formula>4145</formula>
    </cfRule>
    <cfRule type="cellIs" dxfId="18" priority="19" operator="equal">
      <formula>4319</formula>
    </cfRule>
    <cfRule type="cellIs" dxfId="17" priority="20" operator="equal">
      <formula>4230</formula>
    </cfRule>
    <cfRule type="cellIs" dxfId="16" priority="21" operator="equal">
      <formula>4232</formula>
    </cfRule>
  </conditionalFormatting>
  <conditionalFormatting sqref="O138:O144">
    <cfRule type="cellIs" dxfId="15" priority="15" operator="equal">
      <formula>"FIBRA"</formula>
    </cfRule>
    <cfRule type="cellIs" dxfId="14" priority="16" operator="equal">
      <formula>"RADIO"</formula>
    </cfRule>
  </conditionalFormatting>
  <conditionalFormatting sqref="B145:B154">
    <cfRule type="cellIs" dxfId="13" priority="10" operator="equal">
      <formula>4231</formula>
    </cfRule>
    <cfRule type="cellIs" dxfId="12" priority="11" operator="equal">
      <formula>4145</formula>
    </cfRule>
    <cfRule type="cellIs" dxfId="11" priority="12" operator="equal">
      <formula>4319</formula>
    </cfRule>
    <cfRule type="cellIs" dxfId="10" priority="13" operator="equal">
      <formula>4230</formula>
    </cfRule>
    <cfRule type="cellIs" dxfId="9" priority="14" operator="equal">
      <formula>4232</formula>
    </cfRule>
  </conditionalFormatting>
  <conditionalFormatting sqref="O145:O154">
    <cfRule type="cellIs" dxfId="8" priority="8" operator="equal">
      <formula>"FIBRA"</formula>
    </cfRule>
    <cfRule type="cellIs" dxfId="7" priority="9" operator="equal">
      <formula>"RADIO"</formula>
    </cfRule>
  </conditionalFormatting>
  <conditionalFormatting sqref="B155:B157">
    <cfRule type="cellIs" dxfId="6" priority="3" operator="equal">
      <formula>4231</formula>
    </cfRule>
    <cfRule type="cellIs" dxfId="5" priority="4" operator="equal">
      <formula>4145</formula>
    </cfRule>
    <cfRule type="cellIs" dxfId="4" priority="5" operator="equal">
      <formula>4319</formula>
    </cfRule>
    <cfRule type="cellIs" dxfId="3" priority="6" operator="equal">
      <formula>4230</formula>
    </cfRule>
    <cfRule type="cellIs" dxfId="2" priority="7" operator="equal">
      <formula>4232</formula>
    </cfRule>
  </conditionalFormatting>
  <conditionalFormatting sqref="O155:O157">
    <cfRule type="cellIs" dxfId="1" priority="1" operator="equal">
      <formula>"FIBRA"</formula>
    </cfRule>
    <cfRule type="cellIs" dxfId="0" priority="2" operator="equal">
      <formula>"RADIO"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</vt:lpstr>
      <vt:lpstr>resumen</vt:lpstr>
      <vt:lpstr>bonomo</vt:lpstr>
      <vt:lpstr>ivan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2021-11-09T17:27:25Z</dcterms:created>
  <dcterms:modified xsi:type="dcterms:W3CDTF">2022-04-20T12:25:45Z</dcterms:modified>
</cp:coreProperties>
</file>