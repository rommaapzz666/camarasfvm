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1E2D4264-93DA-4B1E-985F-23D68A1F17D5}" xr6:coauthVersionLast="47" xr6:coauthVersionMax="47" xr10:uidLastSave="{00000000-0000-0000-0000-000000000000}"/>
  <bookViews>
    <workbookView xWindow="-108" yWindow="-108" windowWidth="23256" windowHeight="13176" firstSheet="4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5" l="1"/>
  <c r="X4" i="25" s="1"/>
  <c r="X5" i="25"/>
  <c r="X6" i="25" s="1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25" i="24" l="1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25" i="24" l="1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8" i="14" l="1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AC2" i="1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<sst xmlns="http://schemas.openxmlformats.org/spreadsheetml/2006/main" count="3643" uniqueCount="1209">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</sst>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AA5" activePane="bottomRight" state="frozen"/>
      <selection pane="topRight" activeCell="M1" sqref="M1"/>
      <selection pane="bottomLeft" activeCell="A5" sqref="A5"/>
      <selection pane="bottomRight" activeCell="J19" sqref="J19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18</v>
      </c>
      <c r="I31" s="17">
        <f t="shared" si="8"/>
        <v>12</v>
      </c>
      <c r="J31" s="18">
        <f t="shared" si="9"/>
        <v>0.6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12</v>
      </c>
      <c r="I34" s="17">
        <f t="shared" si="8"/>
        <v>18</v>
      </c>
      <c r="J34" s="18">
        <f t="shared" si="9"/>
        <v>0.4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12</v>
      </c>
      <c r="I67" s="17">
        <f t="shared" si="8"/>
        <v>18</v>
      </c>
      <c r="J67" s="18">
        <f t="shared" si="9"/>
        <v>0.4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29</v>
      </c>
      <c r="I76" s="17">
        <f t="shared" si="11"/>
        <v>1</v>
      </c>
      <c r="J76" s="18">
        <f t="shared" si="12"/>
        <v>0.96666666666666667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29</v>
      </c>
      <c r="I79" s="17">
        <f t="shared" si="11"/>
        <v>1</v>
      </c>
      <c r="J79" s="18">
        <f t="shared" si="12"/>
        <v>0.96666666666666667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18</v>
      </c>
      <c r="I87" s="17">
        <f t="shared" si="11"/>
        <v>12</v>
      </c>
      <c r="J87" s="18">
        <f t="shared" si="12"/>
        <v>0.6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20</v>
      </c>
      <c r="I96" s="17">
        <f t="shared" si="11"/>
        <v>10</v>
      </c>
      <c r="J96" s="18">
        <f t="shared" si="12"/>
        <v>0.66666666666666663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12</v>
      </c>
      <c r="I134" s="17">
        <f t="shared" si="14"/>
        <v>18</v>
      </c>
      <c r="J134" s="18">
        <f t="shared" si="15"/>
        <v>0.4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12</v>
      </c>
      <c r="I156" s="17">
        <f t="shared" si="14"/>
        <v>18</v>
      </c>
      <c r="J156" s="18">
        <f t="shared" si="15"/>
        <v>0.4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13</v>
      </c>
      <c r="I158" s="17">
        <f t="shared" si="14"/>
        <v>17</v>
      </c>
      <c r="J158" s="18">
        <f t="shared" si="15"/>
        <v>0.43333333333333335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13</v>
      </c>
      <c r="I163" s="17">
        <f t="shared" si="14"/>
        <v>17</v>
      </c>
      <c r="J163" s="18">
        <f t="shared" si="15"/>
        <v>0.43333333333333335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12</v>
      </c>
      <c r="I166" s="17">
        <f t="shared" si="14"/>
        <v>18</v>
      </c>
      <c r="J166" s="18">
        <f t="shared" si="15"/>
        <v>0.4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27</v>
      </c>
      <c r="I191" s="17">
        <f t="shared" si="14"/>
        <v>3</v>
      </c>
      <c r="J191" s="18">
        <f t="shared" si="15"/>
        <v>0.9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12</v>
      </c>
      <c r="I210" s="17">
        <f t="shared" si="17"/>
        <v>18</v>
      </c>
      <c r="J210" s="18">
        <f t="shared" si="18"/>
        <v>0.4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15</v>
      </c>
      <c r="I213" s="17">
        <f t="shared" si="17"/>
        <v>15</v>
      </c>
      <c r="J213" s="18">
        <f t="shared" si="18"/>
        <v>0.5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15</v>
      </c>
      <c r="I214" s="17">
        <f t="shared" si="17"/>
        <v>15</v>
      </c>
      <c r="J214" s="18">
        <f t="shared" si="18"/>
        <v>0.5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12</v>
      </c>
      <c r="I215" s="17">
        <f t="shared" si="17"/>
        <v>18</v>
      </c>
      <c r="J215" s="18">
        <f t="shared" si="18"/>
        <v>0.4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12</v>
      </c>
      <c r="I216" s="17">
        <f t="shared" si="17"/>
        <v>18</v>
      </c>
      <c r="J216" s="18">
        <f t="shared" si="18"/>
        <v>0.4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15</v>
      </c>
      <c r="I217" s="17">
        <f t="shared" si="17"/>
        <v>15</v>
      </c>
      <c r="J217" s="18">
        <f t="shared" si="18"/>
        <v>0.5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17</v>
      </c>
      <c r="I224" s="17">
        <f t="shared" si="17"/>
        <v>13</v>
      </c>
      <c r="J224" s="18">
        <f t="shared" si="18"/>
        <v>0.56666666666666665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12</v>
      </c>
      <c r="I254" s="17">
        <f t="shared" si="17"/>
        <v>18</v>
      </c>
      <c r="J254" s="18">
        <f t="shared" si="18"/>
        <v>0.4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12</v>
      </c>
      <c r="I255" s="17">
        <f t="shared" si="17"/>
        <v>18</v>
      </c>
      <c r="J255" s="18">
        <f t="shared" si="18"/>
        <v>0.4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18</v>
      </c>
      <c r="I289" s="17">
        <f t="shared" si="21"/>
        <v>12</v>
      </c>
      <c r="J289" s="18">
        <f t="shared" si="22"/>
        <v>0.6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18</v>
      </c>
      <c r="I290" s="17">
        <f t="shared" si="21"/>
        <v>12</v>
      </c>
      <c r="J290" s="18">
        <f t="shared" si="22"/>
        <v>0.6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18</v>
      </c>
      <c r="I291" s="17">
        <f t="shared" si="21"/>
        <v>12</v>
      </c>
      <c r="J291" s="18">
        <f t="shared" si="22"/>
        <v>0.6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18</v>
      </c>
      <c r="I292" s="17">
        <f t="shared" si="21"/>
        <v>12</v>
      </c>
      <c r="J292" s="18">
        <f t="shared" si="22"/>
        <v>0.6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25</v>
      </c>
      <c r="I316" s="17">
        <f t="shared" si="21"/>
        <v>5</v>
      </c>
      <c r="J316" s="18">
        <f t="shared" si="22"/>
        <v>0.83333333333333337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12</v>
      </c>
      <c r="I327" s="17">
        <f t="shared" ref="I327:I372" si="24">COUNTIF(K327:AL327,"APAGADO")</f>
        <v>18</v>
      </c>
      <c r="J327" s="18">
        <f t="shared" ref="J327:J372" si="25">(H327)/(I327+H327)</f>
        <v>0.4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12</v>
      </c>
      <c r="I328" s="17">
        <f t="shared" si="24"/>
        <v>18</v>
      </c>
      <c r="J328" s="18">
        <f t="shared" si="25"/>
        <v>0.4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18</v>
      </c>
      <c r="I348" s="17">
        <f t="shared" si="24"/>
        <v>12</v>
      </c>
      <c r="J348" s="18">
        <f t="shared" si="25"/>
        <v>0.6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18</v>
      </c>
      <c r="I356" s="17">
        <f t="shared" si="24"/>
        <v>12</v>
      </c>
      <c r="J356" s="18">
        <f t="shared" si="25"/>
        <v>0.6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18</v>
      </c>
      <c r="I357" s="17">
        <f t="shared" si="24"/>
        <v>12</v>
      </c>
      <c r="J357" s="18">
        <f t="shared" si="25"/>
        <v>0.6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13</v>
      </c>
      <c r="I361" s="17">
        <f t="shared" si="24"/>
        <v>17</v>
      </c>
      <c r="J361" s="18">
        <f t="shared" si="25"/>
        <v>0.43333333333333335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13</v>
      </c>
      <c r="I362" s="17">
        <f t="shared" si="24"/>
        <v>17</v>
      </c>
      <c r="J362" s="18">
        <f t="shared" si="25"/>
        <v>0.43333333333333335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25</v>
      </c>
      <c r="I369" s="17">
        <f t="shared" si="24"/>
        <v>5</v>
      </c>
      <c r="J369" s="18">
        <f t="shared" si="25"/>
        <v>0.83333333333333337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38" priority="39" operator="equal">
      <formula>"apagado"</formula>
    </cfRule>
  </conditionalFormatting>
  <conditionalFormatting sqref="AB96">
    <cfRule type="cellIs" dxfId="37" priority="37" operator="lessThan">
      <formula>0.8</formula>
    </cfRule>
    <cfRule type="cellIs" dxfId="36" priority="38" operator="greaterThan">
      <formula>0.8</formula>
    </cfRule>
  </conditionalFormatting>
  <conditionalFormatting sqref="AB96">
    <cfRule type="notContainsText" dxfId="35" priority="35" operator="notContains" text="Caida">
      <formula>ISERROR(SEARCH("Caida",AB96))</formula>
    </cfRule>
    <cfRule type="containsText" dxfId="34" priority="36" operator="containsText" text="Caida">
      <formula>NOT(ISERROR(SEARCH("Caida",AB96)))</formula>
    </cfRule>
  </conditionalFormatting>
  <conditionalFormatting sqref="AB96">
    <cfRule type="cellIs" dxfId="33" priority="34" operator="equal">
      <formula>"apagado"</formula>
    </cfRule>
  </conditionalFormatting>
  <conditionalFormatting sqref="AB134">
    <cfRule type="cellIs" dxfId="32" priority="33" operator="equal">
      <formula>"apagado"</formula>
    </cfRule>
  </conditionalFormatting>
  <conditionalFormatting sqref="AB156">
    <cfRule type="cellIs" dxfId="31" priority="32" operator="equal">
      <formula>"apagado"</formula>
    </cfRule>
  </conditionalFormatting>
  <conditionalFormatting sqref="AB158">
    <cfRule type="cellIs" dxfId="30" priority="31" operator="equal">
      <formula>"apagado"</formula>
    </cfRule>
  </conditionalFormatting>
  <conditionalFormatting sqref="AB163">
    <cfRule type="cellIs" dxfId="29" priority="30" operator="equal">
      <formula>"apagado"</formula>
    </cfRule>
  </conditionalFormatting>
  <conditionalFormatting sqref="AB166">
    <cfRule type="cellIs" dxfId="28" priority="29" operator="equal">
      <formula>"apagado"</formula>
    </cfRule>
  </conditionalFormatting>
  <conditionalFormatting sqref="AB87">
    <cfRule type="cellIs" dxfId="27" priority="27" operator="lessThan">
      <formula>0.8</formula>
    </cfRule>
    <cfRule type="cellIs" dxfId="26" priority="28" operator="greaterThan">
      <formula>0.8</formula>
    </cfRule>
  </conditionalFormatting>
  <conditionalFormatting sqref="AB87">
    <cfRule type="notContainsText" dxfId="25" priority="25" operator="notContains" text="Caida">
      <formula>ISERROR(SEARCH("Caida",AB87))</formula>
    </cfRule>
    <cfRule type="containsText" dxfId="24" priority="26" operator="containsText" text="Caida">
      <formula>NOT(ISERROR(SEARCH("Caida",AB87)))</formula>
    </cfRule>
  </conditionalFormatting>
  <conditionalFormatting sqref="AB87">
    <cfRule type="cellIs" dxfId="23" priority="24" operator="equal">
      <formula>"apagado"</formula>
    </cfRule>
  </conditionalFormatting>
  <conditionalFormatting sqref="AB191">
    <cfRule type="cellIs" dxfId="22" priority="23" operator="equal">
      <formula>"apagado"</formula>
    </cfRule>
  </conditionalFormatting>
  <conditionalFormatting sqref="AB254">
    <cfRule type="cellIs" dxfId="21" priority="22" operator="equal">
      <formula>"apagado"</formula>
    </cfRule>
  </conditionalFormatting>
  <conditionalFormatting sqref="AB255">
    <cfRule type="cellIs" dxfId="20" priority="21" operator="equal">
      <formula>"apagado"</formula>
    </cfRule>
  </conditionalFormatting>
  <conditionalFormatting sqref="AB289">
    <cfRule type="cellIs" dxfId="19" priority="20" operator="equal">
      <formula>"apagado"</formula>
    </cfRule>
  </conditionalFormatting>
  <conditionalFormatting sqref="AB290">
    <cfRule type="cellIs" dxfId="18" priority="19" operator="equal">
      <formula>"apagado"</formula>
    </cfRule>
  </conditionalFormatting>
  <conditionalFormatting sqref="AB291">
    <cfRule type="cellIs" dxfId="17" priority="18" operator="equal">
      <formula>"apagado"</formula>
    </cfRule>
  </conditionalFormatting>
  <conditionalFormatting sqref="AB292">
    <cfRule type="cellIs" dxfId="16" priority="17" operator="equal">
      <formula>"apagado"</formula>
    </cfRule>
  </conditionalFormatting>
  <conditionalFormatting sqref="AB316">
    <cfRule type="cellIs" dxfId="15" priority="16" operator="equal">
      <formula>"apagado"</formula>
    </cfRule>
  </conditionalFormatting>
  <conditionalFormatting sqref="AB327">
    <cfRule type="cellIs" dxfId="14" priority="15" operator="equal">
      <formula>"apagado"</formula>
    </cfRule>
  </conditionalFormatting>
  <conditionalFormatting sqref="AB328">
    <cfRule type="cellIs" dxfId="13" priority="14" operator="equal">
      <formula>"apagado"</formula>
    </cfRule>
  </conditionalFormatting>
  <conditionalFormatting sqref="AB348">
    <cfRule type="cellIs" dxfId="12" priority="13" operator="equal">
      <formula>"apagado"</formula>
    </cfRule>
  </conditionalFormatting>
  <conditionalFormatting sqref="AB356">
    <cfRule type="cellIs" dxfId="11" priority="12" operator="equal">
      <formula>"apagado"</formula>
    </cfRule>
  </conditionalFormatting>
  <conditionalFormatting sqref="AB357">
    <cfRule type="cellIs" dxfId="10" priority="11" operator="equal">
      <formula>"apagado"</formula>
    </cfRule>
  </conditionalFormatting>
  <conditionalFormatting sqref="AB361">
    <cfRule type="cellIs" dxfId="9" priority="10" operator="equal">
      <formula>"apagado"</formula>
    </cfRule>
  </conditionalFormatting>
  <conditionalFormatting sqref="AB362">
    <cfRule type="cellIs" dxfId="8" priority="9" operator="equal">
      <formula>"apagado"</formula>
    </cfRule>
  </conditionalFormatting>
  <conditionalFormatting sqref="AB369">
    <cfRule type="cellIs" dxfId="7" priority="8" operator="equal">
      <formula>"apagado"</formula>
    </cfRule>
  </conditionalFormatting>
  <conditionalFormatting sqref="AB213">
    <cfRule type="cellIs" dxfId="6" priority="7" operator="equal">
      <formula>"apagado"</formula>
    </cfRule>
  </conditionalFormatting>
  <conditionalFormatting sqref="AB214">
    <cfRule type="cellIs" dxfId="5" priority="6" operator="equal">
      <formula>"apagado"</formula>
    </cfRule>
  </conditionalFormatting>
  <conditionalFormatting sqref="AB215">
    <cfRule type="cellIs" dxfId="4" priority="5" operator="equal">
      <formula>"apagado"</formula>
    </cfRule>
  </conditionalFormatting>
  <conditionalFormatting sqref="AB216">
    <cfRule type="cellIs" dxfId="3" priority="4" operator="equal">
      <formula>"apagado"</formula>
    </cfRule>
  </conditionalFormatting>
  <conditionalFormatting sqref="AB224">
    <cfRule type="cellIs" dxfId="2" priority="3" operator="equal">
      <formula>"apagado"</formula>
    </cfRule>
  </conditionalFormatting>
  <conditionalFormatting sqref="AB217">
    <cfRule type="cellIs" dxfId="1" priority="2" operator="equal">
      <formula>"apagado"</formula>
    </cfRule>
  </conditionalFormatting>
  <conditionalFormatting sqref="AB210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85" priority="1" operator="equal">
      <formula>0</formula>
    </cfRule>
    <cfRule type="cellIs" dxfId="18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83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82" priority="2" operator="containsText" text="APAGADO">
      <formula>NOT(ISERROR(SEARCH("APAGADO",AE3)))</formula>
    </cfRule>
  </conditionalFormatting>
  <conditionalFormatting sqref="F4:AI454">
    <cfRule type="containsText" dxfId="18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80" priority="2" operator="containsText" text="APAGADO">
      <formula>NOT(ISERROR(SEARCH("APAGADO",AE3)))</formula>
    </cfRule>
  </conditionalFormatting>
  <conditionalFormatting sqref="F4:AI400">
    <cfRule type="containsText" dxfId="17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7" workbookViewId="0">
      <selection activeCell="A22" sqref="A22:E2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/>
      <c r="B27" s="69"/>
      <c r="C27" s="65"/>
      <c r="D27" s="62"/>
      <c r="E27" s="143"/>
      <c r="G27" s="76"/>
      <c r="H27" s="77"/>
      <c r="I27" s="77"/>
      <c r="J27" s="77"/>
      <c r="K27" s="78"/>
      <c r="L27" s="79"/>
      <c r="M27" s="141"/>
    </row>
    <row r="28" spans="1:14" x14ac:dyDescent="0.3">
      <c r="A28" s="59"/>
      <c r="B28" s="70"/>
      <c r="C28" s="66"/>
      <c r="D28" s="63"/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/>
      <c r="B29" s="70"/>
      <c r="C29" s="66"/>
      <c r="D29" s="63"/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/>
      <c r="B30" s="70"/>
      <c r="C30" s="66"/>
      <c r="D30" s="63"/>
      <c r="E30" s="144"/>
    </row>
    <row r="31" spans="1:14" ht="15.6" thickTop="1" thickBot="1" x14ac:dyDescent="0.35">
      <c r="A31" s="60"/>
      <c r="B31" s="71"/>
      <c r="C31" s="67"/>
      <c r="D31" s="64"/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" thickTop="1" x14ac:dyDescent="0.3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3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3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/>
      <c r="B39" s="70"/>
      <c r="C39" s="66"/>
      <c r="D39" s="63"/>
      <c r="E39" s="144"/>
    </row>
    <row r="40" spans="1:14" ht="15" thickTop="1" x14ac:dyDescent="0.3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3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/>
      <c r="B46" s="71"/>
      <c r="C46" s="67"/>
      <c r="D46" s="64"/>
      <c r="E46" s="145"/>
    </row>
    <row r="47" spans="1:14" ht="15" thickTop="1" x14ac:dyDescent="0.3">
      <c r="G47" s="52"/>
      <c r="H47" s="51"/>
      <c r="I47" s="51"/>
      <c r="J47" s="51"/>
      <c r="K47" s="16"/>
      <c r="L47" s="83"/>
    </row>
    <row r="48" spans="1:14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78" priority="259" operator="containsText" text="Radio">
      <formula>NOT(ISERROR(SEARCH("Radio",I9)))</formula>
    </cfRule>
  </conditionalFormatting>
  <conditionalFormatting sqref="I9">
    <cfRule type="containsText" dxfId="177" priority="251" operator="containsText" text="fija">
      <formula>NOT(ISERROR(SEARCH("fija",I9)))</formula>
    </cfRule>
    <cfRule type="containsText" dxfId="176" priority="252" operator="containsText" text="domo">
      <formula>NOT(ISERROR(SEARCH("domo",I9)))</formula>
    </cfRule>
  </conditionalFormatting>
  <conditionalFormatting sqref="J9">
    <cfRule type="cellIs" dxfId="175" priority="250" operator="equal">
      <formula>"PTP A FO"</formula>
    </cfRule>
  </conditionalFormatting>
  <conditionalFormatting sqref="L20">
    <cfRule type="containsText" dxfId="174" priority="217" operator="containsText" text="Radio">
      <formula>NOT(ISERROR(SEARCH("Radio",L20)))</formula>
    </cfRule>
  </conditionalFormatting>
  <conditionalFormatting sqref="I20:K20">
    <cfRule type="containsText" dxfId="173" priority="207" operator="containsText" text="Radio">
      <formula>NOT(ISERROR(SEARCH("Radio",I20)))</formula>
    </cfRule>
  </conditionalFormatting>
  <conditionalFormatting sqref="I20">
    <cfRule type="containsText" dxfId="172" priority="205" operator="containsText" text="fija">
      <formula>NOT(ISERROR(SEARCH("fija",I20)))</formula>
    </cfRule>
    <cfRule type="containsText" dxfId="171" priority="206" operator="containsText" text="domo">
      <formula>NOT(ISERROR(SEARCH("domo",I20)))</formula>
    </cfRule>
  </conditionalFormatting>
  <conditionalFormatting sqref="J20">
    <cfRule type="cellIs" dxfId="170" priority="204" operator="equal">
      <formula>"PTP A FO"</formula>
    </cfRule>
  </conditionalFormatting>
  <conditionalFormatting sqref="I24:L27 L28">
    <cfRule type="containsText" dxfId="169" priority="179" operator="containsText" text="Radio">
      <formula>NOT(ISERROR(SEARCH("Radio",I24)))</formula>
    </cfRule>
  </conditionalFormatting>
  <conditionalFormatting sqref="I27">
    <cfRule type="containsText" dxfId="168" priority="177" operator="containsText" text="fija">
      <formula>NOT(ISERROR(SEARCH("fija",I27)))</formula>
    </cfRule>
    <cfRule type="containsText" dxfId="167" priority="178" operator="containsText" text="domo">
      <formula>NOT(ISERROR(SEARCH("domo",I27)))</formula>
    </cfRule>
  </conditionalFormatting>
  <conditionalFormatting sqref="J27">
    <cfRule type="cellIs" dxfId="166" priority="176" operator="equal">
      <formula>"PTP A FO"</formula>
    </cfRule>
  </conditionalFormatting>
  <conditionalFormatting sqref="I24">
    <cfRule type="containsText" dxfId="165" priority="174" operator="containsText" text="fija">
      <formula>NOT(ISERROR(SEARCH("fija",I24)))</formula>
    </cfRule>
    <cfRule type="containsText" dxfId="164" priority="175" operator="containsText" text="domo">
      <formula>NOT(ISERROR(SEARCH("domo",I24)))</formula>
    </cfRule>
  </conditionalFormatting>
  <conditionalFormatting sqref="J24">
    <cfRule type="cellIs" dxfId="163" priority="173" operator="equal">
      <formula>"PTP A FO"</formula>
    </cfRule>
  </conditionalFormatting>
  <conditionalFormatting sqref="I25:I26">
    <cfRule type="containsText" dxfId="162" priority="171" operator="containsText" text="fija">
      <formula>NOT(ISERROR(SEARCH("fija",I25)))</formula>
    </cfRule>
    <cfRule type="containsText" dxfId="161" priority="172" operator="containsText" text="domo">
      <formula>NOT(ISERROR(SEARCH("domo",I25)))</formula>
    </cfRule>
  </conditionalFormatting>
  <conditionalFormatting sqref="J25:J26">
    <cfRule type="cellIs" dxfId="160" priority="170" operator="equal">
      <formula>"PTP A FO"</formula>
    </cfRule>
  </conditionalFormatting>
  <conditionalFormatting sqref="I28:K28">
    <cfRule type="containsText" dxfId="159" priority="169" operator="containsText" text="Radio">
      <formula>NOT(ISERROR(SEARCH("Radio",I28)))</formula>
    </cfRule>
  </conditionalFormatting>
  <conditionalFormatting sqref="I28">
    <cfRule type="containsText" dxfId="158" priority="167" operator="containsText" text="fija">
      <formula>NOT(ISERROR(SEARCH("fija",I28)))</formula>
    </cfRule>
    <cfRule type="containsText" dxfId="157" priority="168" operator="containsText" text="domo">
      <formula>NOT(ISERROR(SEARCH("domo",I28)))</formula>
    </cfRule>
  </conditionalFormatting>
  <conditionalFormatting sqref="J28">
    <cfRule type="cellIs" dxfId="156" priority="166" operator="equal">
      <formula>"PTP A FO"</formula>
    </cfRule>
  </conditionalFormatting>
  <conditionalFormatting sqref="I32:L32 I34:L34">
    <cfRule type="containsText" dxfId="155" priority="165" operator="containsText" text="Radio">
      <formula>NOT(ISERROR(SEARCH("Radio",I32)))</formula>
    </cfRule>
  </conditionalFormatting>
  <conditionalFormatting sqref="I32 I34">
    <cfRule type="containsText" dxfId="154" priority="163" operator="containsText" text="fija">
      <formula>NOT(ISERROR(SEARCH("fija",I32)))</formula>
    </cfRule>
    <cfRule type="containsText" dxfId="153" priority="164" operator="containsText" text="domo">
      <formula>NOT(ISERROR(SEARCH("domo",I32)))</formula>
    </cfRule>
  </conditionalFormatting>
  <conditionalFormatting sqref="J32 L34 J34">
    <cfRule type="cellIs" dxfId="152" priority="162" operator="equal">
      <formula>"PTP A FO"</formula>
    </cfRule>
  </conditionalFormatting>
  <conditionalFormatting sqref="I33:L33">
    <cfRule type="containsText" dxfId="151" priority="161" operator="containsText" text="Radio">
      <formula>NOT(ISERROR(SEARCH("Radio",I33)))</formula>
    </cfRule>
  </conditionalFormatting>
  <conditionalFormatting sqref="I33">
    <cfRule type="containsText" dxfId="150" priority="159" operator="containsText" text="fija">
      <formula>NOT(ISERROR(SEARCH("fija",I33)))</formula>
    </cfRule>
    <cfRule type="containsText" dxfId="149" priority="160" operator="containsText" text="domo">
      <formula>NOT(ISERROR(SEARCH("domo",I33)))</formula>
    </cfRule>
  </conditionalFormatting>
  <conditionalFormatting sqref="J33">
    <cfRule type="cellIs" dxfId="148" priority="158" operator="equal">
      <formula>"PTP A FO"</formula>
    </cfRule>
  </conditionalFormatting>
  <conditionalFormatting sqref="L35">
    <cfRule type="containsText" dxfId="147" priority="157" operator="containsText" text="Radio">
      <formula>NOT(ISERROR(SEARCH("Radio",L35)))</formula>
    </cfRule>
  </conditionalFormatting>
  <conditionalFormatting sqref="L35">
    <cfRule type="cellIs" dxfId="146" priority="156" operator="equal">
      <formula>"PTP A FO"</formula>
    </cfRule>
  </conditionalFormatting>
  <conditionalFormatting sqref="I35:K35">
    <cfRule type="containsText" dxfId="145" priority="155" operator="containsText" text="Radio">
      <formula>NOT(ISERROR(SEARCH("Radio",I35)))</formula>
    </cfRule>
  </conditionalFormatting>
  <conditionalFormatting sqref="I35">
    <cfRule type="containsText" dxfId="144" priority="153" operator="containsText" text="fija">
      <formula>NOT(ISERROR(SEARCH("fija",I35)))</formula>
    </cfRule>
    <cfRule type="containsText" dxfId="143" priority="154" operator="containsText" text="domo">
      <formula>NOT(ISERROR(SEARCH("domo",I35)))</formula>
    </cfRule>
  </conditionalFormatting>
  <conditionalFormatting sqref="J35">
    <cfRule type="cellIs" dxfId="142" priority="152" operator="equal">
      <formula>"PTP A FO"</formula>
    </cfRule>
  </conditionalFormatting>
  <conditionalFormatting sqref="I36:L37">
    <cfRule type="containsText" dxfId="141" priority="151" operator="containsText" text="Radio">
      <formula>NOT(ISERROR(SEARCH("Radio",I36)))</formula>
    </cfRule>
  </conditionalFormatting>
  <conditionalFormatting sqref="I36:I37">
    <cfRule type="containsText" dxfId="140" priority="149" operator="containsText" text="fija">
      <formula>NOT(ISERROR(SEARCH("fija",I36)))</formula>
    </cfRule>
    <cfRule type="containsText" dxfId="139" priority="150" operator="containsText" text="domo">
      <formula>NOT(ISERROR(SEARCH("domo",I36)))</formula>
    </cfRule>
  </conditionalFormatting>
  <conditionalFormatting sqref="J36:J37">
    <cfRule type="cellIs" dxfId="138" priority="148" operator="equal">
      <formula>"PTP A FO"</formula>
    </cfRule>
  </conditionalFormatting>
  <conditionalFormatting sqref="I38:L38">
    <cfRule type="containsText" dxfId="137" priority="147" operator="containsText" text="Radio">
      <formula>NOT(ISERROR(SEARCH("Radio",I38)))</formula>
    </cfRule>
  </conditionalFormatting>
  <conditionalFormatting sqref="I38">
    <cfRule type="containsText" dxfId="136" priority="145" operator="containsText" text="fija">
      <formula>NOT(ISERROR(SEARCH("fija",I38)))</formula>
    </cfRule>
    <cfRule type="containsText" dxfId="135" priority="146" operator="containsText" text="domo">
      <formula>NOT(ISERROR(SEARCH("domo",I38)))</formula>
    </cfRule>
  </conditionalFormatting>
  <conditionalFormatting sqref="J38">
    <cfRule type="cellIs" dxfId="134" priority="144" operator="equal">
      <formula>"PTP A FO"</formula>
    </cfRule>
  </conditionalFormatting>
  <conditionalFormatting sqref="I40:L43 L44">
    <cfRule type="containsText" dxfId="133" priority="113" operator="containsText" text="Radio">
      <formula>NOT(ISERROR(SEARCH("Radio",I40)))</formula>
    </cfRule>
  </conditionalFormatting>
  <conditionalFormatting sqref="I43">
    <cfRule type="containsText" dxfId="132" priority="111" operator="containsText" text="fija">
      <formula>NOT(ISERROR(SEARCH("fija",I43)))</formula>
    </cfRule>
    <cfRule type="containsText" dxfId="131" priority="112" operator="containsText" text="domo">
      <formula>NOT(ISERROR(SEARCH("domo",I43)))</formula>
    </cfRule>
  </conditionalFormatting>
  <conditionalFormatting sqref="J43">
    <cfRule type="cellIs" dxfId="130" priority="110" operator="equal">
      <formula>"PTP A FO"</formula>
    </cfRule>
  </conditionalFormatting>
  <conditionalFormatting sqref="I40">
    <cfRule type="containsText" dxfId="129" priority="108" operator="containsText" text="fija">
      <formula>NOT(ISERROR(SEARCH("fija",I40)))</formula>
    </cfRule>
    <cfRule type="containsText" dxfId="128" priority="109" operator="containsText" text="domo">
      <formula>NOT(ISERROR(SEARCH("domo",I40)))</formula>
    </cfRule>
  </conditionalFormatting>
  <conditionalFormatting sqref="J40">
    <cfRule type="cellIs" dxfId="127" priority="107" operator="equal">
      <formula>"PTP A FO"</formula>
    </cfRule>
  </conditionalFormatting>
  <conditionalFormatting sqref="I41:I42">
    <cfRule type="containsText" dxfId="126" priority="105" operator="containsText" text="fija">
      <formula>NOT(ISERROR(SEARCH("fija",I41)))</formula>
    </cfRule>
    <cfRule type="containsText" dxfId="125" priority="106" operator="containsText" text="domo">
      <formula>NOT(ISERROR(SEARCH("domo",I41)))</formula>
    </cfRule>
  </conditionalFormatting>
  <conditionalFormatting sqref="J41:J42">
    <cfRule type="cellIs" dxfId="124" priority="104" operator="equal">
      <formula>"PTP A FO"</formula>
    </cfRule>
  </conditionalFormatting>
  <conditionalFormatting sqref="I44:K44">
    <cfRule type="containsText" dxfId="123" priority="103" operator="containsText" text="Radio">
      <formula>NOT(ISERROR(SEARCH("Radio",I44)))</formula>
    </cfRule>
  </conditionalFormatting>
  <conditionalFormatting sqref="I44">
    <cfRule type="containsText" dxfId="122" priority="101" operator="containsText" text="fija">
      <formula>NOT(ISERROR(SEARCH("fija",I44)))</formula>
    </cfRule>
    <cfRule type="containsText" dxfId="121" priority="102" operator="containsText" text="domo">
      <formula>NOT(ISERROR(SEARCH("domo",I44)))</formula>
    </cfRule>
  </conditionalFormatting>
  <conditionalFormatting sqref="J44">
    <cfRule type="cellIs" dxfId="120" priority="100" operator="equal">
      <formula>"PTP A FO"</formula>
    </cfRule>
  </conditionalFormatting>
  <conditionalFormatting sqref="I47:L49">
    <cfRule type="containsText" dxfId="119" priority="99" operator="containsText" text="Radio">
      <formula>NOT(ISERROR(SEARCH("Radio",I47)))</formula>
    </cfRule>
  </conditionalFormatting>
  <conditionalFormatting sqref="I47">
    <cfRule type="containsText" dxfId="118" priority="97" operator="containsText" text="fija">
      <formula>NOT(ISERROR(SEARCH("fija",I47)))</formula>
    </cfRule>
    <cfRule type="containsText" dxfId="117" priority="98" operator="containsText" text="domo">
      <formula>NOT(ISERROR(SEARCH("domo",I47)))</formula>
    </cfRule>
  </conditionalFormatting>
  <conditionalFormatting sqref="J47">
    <cfRule type="cellIs" dxfId="116" priority="96" operator="equal">
      <formula>"PTP A FO"</formula>
    </cfRule>
  </conditionalFormatting>
  <conditionalFormatting sqref="I48">
    <cfRule type="containsText" dxfId="115" priority="94" operator="containsText" text="fija">
      <formula>NOT(ISERROR(SEARCH("fija",I48)))</formula>
    </cfRule>
    <cfRule type="containsText" dxfId="114" priority="95" operator="containsText" text="domo">
      <formula>NOT(ISERROR(SEARCH("domo",I48)))</formula>
    </cfRule>
  </conditionalFormatting>
  <conditionalFormatting sqref="J48">
    <cfRule type="cellIs" dxfId="113" priority="93" operator="equal">
      <formula>"PTP A FO"</formula>
    </cfRule>
  </conditionalFormatting>
  <conditionalFormatting sqref="I49">
    <cfRule type="containsText" dxfId="112" priority="91" operator="containsText" text="fija">
      <formula>NOT(ISERROR(SEARCH("fija",I49)))</formula>
    </cfRule>
    <cfRule type="containsText" dxfId="111" priority="92" operator="containsText" text="domo">
      <formula>NOT(ISERROR(SEARCH("domo",I49)))</formula>
    </cfRule>
  </conditionalFormatting>
  <conditionalFormatting sqref="J49">
    <cfRule type="cellIs" dxfId="110" priority="90" operator="equal">
      <formula>"PTP A FO"</formula>
    </cfRule>
  </conditionalFormatting>
  <conditionalFormatting sqref="I50:L50">
    <cfRule type="containsText" dxfId="109" priority="89" operator="containsText" text="Radio">
      <formula>NOT(ISERROR(SEARCH("Radio",I50)))</formula>
    </cfRule>
  </conditionalFormatting>
  <conditionalFormatting sqref="I50">
    <cfRule type="containsText" dxfId="108" priority="87" operator="containsText" text="fija">
      <formula>NOT(ISERROR(SEARCH("fija",I50)))</formula>
    </cfRule>
    <cfRule type="containsText" dxfId="107" priority="88" operator="containsText" text="domo">
      <formula>NOT(ISERROR(SEARCH("domo",I50)))</formula>
    </cfRule>
  </conditionalFormatting>
  <conditionalFormatting sqref="J50">
    <cfRule type="cellIs" dxfId="106" priority="86" operator="equal">
      <formula>"PTP A FO"</formula>
    </cfRule>
  </conditionalFormatting>
  <conditionalFormatting sqref="L51">
    <cfRule type="containsText" dxfId="105" priority="85" operator="containsText" text="Radio">
      <formula>NOT(ISERROR(SEARCH("Radio",L51)))</formula>
    </cfRule>
  </conditionalFormatting>
  <conditionalFormatting sqref="L51">
    <cfRule type="cellIs" dxfId="104" priority="84" operator="equal">
      <formula>"PTP A FO"</formula>
    </cfRule>
  </conditionalFormatting>
  <conditionalFormatting sqref="I51:K51">
    <cfRule type="containsText" dxfId="103" priority="83" operator="containsText" text="Radio">
      <formula>NOT(ISERROR(SEARCH("Radio",I51)))</formula>
    </cfRule>
  </conditionalFormatting>
  <conditionalFormatting sqref="I51">
    <cfRule type="containsText" dxfId="102" priority="81" operator="containsText" text="fija">
      <formula>NOT(ISERROR(SEARCH("fija",I51)))</formula>
    </cfRule>
    <cfRule type="containsText" dxfId="101" priority="82" operator="containsText" text="domo">
      <formula>NOT(ISERROR(SEARCH("domo",I51)))</formula>
    </cfRule>
  </conditionalFormatting>
  <conditionalFormatting sqref="J51">
    <cfRule type="cellIs" dxfId="100" priority="80" operator="equal">
      <formula>"PTP A FO"</formula>
    </cfRule>
  </conditionalFormatting>
  <conditionalFormatting sqref="I52:L53">
    <cfRule type="containsText" dxfId="99" priority="79" operator="containsText" text="Radio">
      <formula>NOT(ISERROR(SEARCH("Radio",I52)))</formula>
    </cfRule>
  </conditionalFormatting>
  <conditionalFormatting sqref="I52:I53">
    <cfRule type="containsText" dxfId="98" priority="77" operator="containsText" text="fija">
      <formula>NOT(ISERROR(SEARCH("fija",I52)))</formula>
    </cfRule>
    <cfRule type="containsText" dxfId="97" priority="78" operator="containsText" text="domo">
      <formula>NOT(ISERROR(SEARCH("domo",I52)))</formula>
    </cfRule>
  </conditionalFormatting>
  <conditionalFormatting sqref="J52:J53">
    <cfRule type="cellIs" dxfId="96" priority="76" operator="equal">
      <formula>"PTP A FO"</formula>
    </cfRule>
  </conditionalFormatting>
  <conditionalFormatting sqref="I3:L3">
    <cfRule type="containsText" dxfId="95" priority="75" operator="containsText" text="Radio">
      <formula>NOT(ISERROR(SEARCH("Radio",I3)))</formula>
    </cfRule>
  </conditionalFormatting>
  <conditionalFormatting sqref="I3">
    <cfRule type="containsText" dxfId="94" priority="73" operator="containsText" text="fija">
      <formula>NOT(ISERROR(SEARCH("fija",I3)))</formula>
    </cfRule>
    <cfRule type="containsText" dxfId="93" priority="74" operator="containsText" text="domo">
      <formula>NOT(ISERROR(SEARCH("domo",I3)))</formula>
    </cfRule>
  </conditionalFormatting>
  <conditionalFormatting sqref="J3">
    <cfRule type="cellIs" dxfId="92" priority="72" operator="equal">
      <formula>"PTP A FO"</formula>
    </cfRule>
  </conditionalFormatting>
  <conditionalFormatting sqref="I4:L4">
    <cfRule type="containsText" dxfId="91" priority="71" operator="containsText" text="Radio">
      <formula>NOT(ISERROR(SEARCH("Radio",I4)))</formula>
    </cfRule>
  </conditionalFormatting>
  <conditionalFormatting sqref="I4">
    <cfRule type="containsText" dxfId="90" priority="69" operator="containsText" text="fija">
      <formula>NOT(ISERROR(SEARCH("fija",I4)))</formula>
    </cfRule>
    <cfRule type="containsText" dxfId="89" priority="70" operator="containsText" text="domo">
      <formula>NOT(ISERROR(SEARCH("domo",I4)))</formula>
    </cfRule>
  </conditionalFormatting>
  <conditionalFormatting sqref="J4">
    <cfRule type="cellIs" dxfId="88" priority="68" operator="equal">
      <formula>"PTP A FO"</formula>
    </cfRule>
  </conditionalFormatting>
  <conditionalFormatting sqref="I5:L5">
    <cfRule type="containsText" dxfId="87" priority="67" operator="containsText" text="Radio">
      <formula>NOT(ISERROR(SEARCH("Radio",I5)))</formula>
    </cfRule>
  </conditionalFormatting>
  <conditionalFormatting sqref="I5">
    <cfRule type="containsText" dxfId="86" priority="65" operator="containsText" text="fija">
      <formula>NOT(ISERROR(SEARCH("fija",I5)))</formula>
    </cfRule>
    <cfRule type="containsText" dxfId="85" priority="66" operator="containsText" text="domo">
      <formula>NOT(ISERROR(SEARCH("domo",I5)))</formula>
    </cfRule>
  </conditionalFormatting>
  <conditionalFormatting sqref="J5">
    <cfRule type="cellIs" dxfId="84" priority="64" operator="equal">
      <formula>"PTP A FO"</formula>
    </cfRule>
  </conditionalFormatting>
  <conditionalFormatting sqref="L6">
    <cfRule type="containsText" dxfId="83" priority="63" operator="containsText" text="Radio">
      <formula>NOT(ISERROR(SEARCH("Radio",L6)))</formula>
    </cfRule>
  </conditionalFormatting>
  <conditionalFormatting sqref="L6">
    <cfRule type="cellIs" dxfId="82" priority="62" operator="equal">
      <formula>"PTP A FO"</formula>
    </cfRule>
  </conditionalFormatting>
  <conditionalFormatting sqref="I6:K6">
    <cfRule type="containsText" dxfId="81" priority="61" operator="containsText" text="Radio">
      <formula>NOT(ISERROR(SEARCH("Radio",I6)))</formula>
    </cfRule>
  </conditionalFormatting>
  <conditionalFormatting sqref="I6">
    <cfRule type="containsText" dxfId="80" priority="59" operator="containsText" text="fija">
      <formula>NOT(ISERROR(SEARCH("fija",I6)))</formula>
    </cfRule>
    <cfRule type="containsText" dxfId="79" priority="60" operator="containsText" text="domo">
      <formula>NOT(ISERROR(SEARCH("domo",I6)))</formula>
    </cfRule>
  </conditionalFormatting>
  <conditionalFormatting sqref="J6">
    <cfRule type="cellIs" dxfId="78" priority="58" operator="equal">
      <formula>"PTP A FO"</formula>
    </cfRule>
  </conditionalFormatting>
  <conditionalFormatting sqref="I7:L8">
    <cfRule type="containsText" dxfId="77" priority="57" operator="containsText" text="Radio">
      <formula>NOT(ISERROR(SEARCH("Radio",I7)))</formula>
    </cfRule>
  </conditionalFormatting>
  <conditionalFormatting sqref="I7:I8">
    <cfRule type="containsText" dxfId="76" priority="55" operator="containsText" text="fija">
      <formula>NOT(ISERROR(SEARCH("fija",I7)))</formula>
    </cfRule>
    <cfRule type="containsText" dxfId="75" priority="56" operator="containsText" text="domo">
      <formula>NOT(ISERROR(SEARCH("domo",I7)))</formula>
    </cfRule>
  </conditionalFormatting>
  <conditionalFormatting sqref="J7:J8">
    <cfRule type="cellIs" dxfId="74" priority="54" operator="equal">
      <formula>"PTP A FO"</formula>
    </cfRule>
  </conditionalFormatting>
  <conditionalFormatting sqref="I10:L13 L14">
    <cfRule type="containsText" dxfId="73" priority="31" operator="containsText" text="Radio">
      <formula>NOT(ISERROR(SEARCH("Radio",I10)))</formula>
    </cfRule>
  </conditionalFormatting>
  <conditionalFormatting sqref="I13">
    <cfRule type="containsText" dxfId="72" priority="29" operator="containsText" text="fija">
      <formula>NOT(ISERROR(SEARCH("fija",I13)))</formula>
    </cfRule>
    <cfRule type="containsText" dxfId="71" priority="30" operator="containsText" text="domo">
      <formula>NOT(ISERROR(SEARCH("domo",I13)))</formula>
    </cfRule>
  </conditionalFormatting>
  <conditionalFormatting sqref="J13">
    <cfRule type="cellIs" dxfId="70" priority="28" operator="equal">
      <formula>"PTP A FO"</formula>
    </cfRule>
  </conditionalFormatting>
  <conditionalFormatting sqref="I10">
    <cfRule type="containsText" dxfId="69" priority="26" operator="containsText" text="fija">
      <formula>NOT(ISERROR(SEARCH("fija",I10)))</formula>
    </cfRule>
    <cfRule type="containsText" dxfId="68" priority="27" operator="containsText" text="domo">
      <formula>NOT(ISERROR(SEARCH("domo",I10)))</formula>
    </cfRule>
  </conditionalFormatting>
  <conditionalFormatting sqref="J10">
    <cfRule type="cellIs" dxfId="67" priority="25" operator="equal">
      <formula>"PTP A FO"</formula>
    </cfRule>
  </conditionalFormatting>
  <conditionalFormatting sqref="I11:I12">
    <cfRule type="containsText" dxfId="66" priority="23" operator="containsText" text="fija">
      <formula>NOT(ISERROR(SEARCH("fija",I11)))</formula>
    </cfRule>
    <cfRule type="containsText" dxfId="65" priority="24" operator="containsText" text="domo">
      <formula>NOT(ISERROR(SEARCH("domo",I11)))</formula>
    </cfRule>
  </conditionalFormatting>
  <conditionalFormatting sqref="J11:J12">
    <cfRule type="cellIs" dxfId="64" priority="22" operator="equal">
      <formula>"PTP A FO"</formula>
    </cfRule>
  </conditionalFormatting>
  <conditionalFormatting sqref="I14:K14">
    <cfRule type="containsText" dxfId="63" priority="21" operator="containsText" text="Radio">
      <formula>NOT(ISERROR(SEARCH("Radio",I14)))</formula>
    </cfRule>
  </conditionalFormatting>
  <conditionalFormatting sqref="I14">
    <cfRule type="containsText" dxfId="62" priority="19" operator="containsText" text="fija">
      <formula>NOT(ISERROR(SEARCH("fija",I14)))</formula>
    </cfRule>
    <cfRule type="containsText" dxfId="61" priority="20" operator="containsText" text="domo">
      <formula>NOT(ISERROR(SEARCH("domo",I14)))</formula>
    </cfRule>
  </conditionalFormatting>
  <conditionalFormatting sqref="J14">
    <cfRule type="cellIs" dxfId="60" priority="18" operator="equal">
      <formula>"PTP A FO"</formula>
    </cfRule>
  </conditionalFormatting>
  <conditionalFormatting sqref="I16:L16">
    <cfRule type="containsText" dxfId="59" priority="17" operator="containsText" text="Radio">
      <formula>NOT(ISERROR(SEARCH("Radio",I16)))</formula>
    </cfRule>
  </conditionalFormatting>
  <conditionalFormatting sqref="I16">
    <cfRule type="containsText" dxfId="58" priority="15" operator="containsText" text="fija">
      <formula>NOT(ISERROR(SEARCH("fija",I16)))</formula>
    </cfRule>
    <cfRule type="containsText" dxfId="57" priority="16" operator="containsText" text="domo">
      <formula>NOT(ISERROR(SEARCH("domo",I16)))</formula>
    </cfRule>
  </conditionalFormatting>
  <conditionalFormatting sqref="J16">
    <cfRule type="cellIs" dxfId="56" priority="14" operator="equal">
      <formula>"PTP A FO"</formula>
    </cfRule>
  </conditionalFormatting>
  <conditionalFormatting sqref="I17:L17">
    <cfRule type="containsText" dxfId="55" priority="13" operator="containsText" text="Radio">
      <formula>NOT(ISERROR(SEARCH("Radio",I17)))</formula>
    </cfRule>
  </conditionalFormatting>
  <conditionalFormatting sqref="I17">
    <cfRule type="containsText" dxfId="54" priority="11" operator="containsText" text="fija">
      <formula>NOT(ISERROR(SEARCH("fija",I17)))</formula>
    </cfRule>
    <cfRule type="containsText" dxfId="53" priority="12" operator="containsText" text="domo">
      <formula>NOT(ISERROR(SEARCH("domo",I17)))</formula>
    </cfRule>
  </conditionalFormatting>
  <conditionalFormatting sqref="J17">
    <cfRule type="cellIs" dxfId="52" priority="10" operator="equal">
      <formula>"PTP A FO"</formula>
    </cfRule>
  </conditionalFormatting>
  <conditionalFormatting sqref="L18">
    <cfRule type="containsText" dxfId="51" priority="9" operator="containsText" text="Radio">
      <formula>NOT(ISERROR(SEARCH("Radio",L18)))</formula>
    </cfRule>
  </conditionalFormatting>
  <conditionalFormatting sqref="I18:K18">
    <cfRule type="containsText" dxfId="50" priority="8" operator="containsText" text="Radio">
      <formula>NOT(ISERROR(SEARCH("Radio",I18)))</formula>
    </cfRule>
  </conditionalFormatting>
  <conditionalFormatting sqref="I18">
    <cfRule type="containsText" dxfId="49" priority="6" operator="containsText" text="fija">
      <formula>NOT(ISERROR(SEARCH("fija",I18)))</formula>
    </cfRule>
    <cfRule type="containsText" dxfId="48" priority="7" operator="containsText" text="domo">
      <formula>NOT(ISERROR(SEARCH("domo",I18)))</formula>
    </cfRule>
  </conditionalFormatting>
  <conditionalFormatting sqref="J18">
    <cfRule type="cellIs" dxfId="47" priority="5" operator="equal">
      <formula>"PTP A FO"</formula>
    </cfRule>
  </conditionalFormatting>
  <conditionalFormatting sqref="I19:L19">
    <cfRule type="containsText" dxfId="46" priority="4" operator="containsText" text="Radio">
      <formula>NOT(ISERROR(SEARCH("Radio",I19)))</formula>
    </cfRule>
  </conditionalFormatting>
  <conditionalFormatting sqref="I19">
    <cfRule type="containsText" dxfId="45" priority="2" operator="containsText" text="fija">
      <formula>NOT(ISERROR(SEARCH("fija",I19)))</formula>
    </cfRule>
    <cfRule type="containsText" dxfId="44" priority="3" operator="containsText" text="domo">
      <formula>NOT(ISERROR(SEARCH("domo",I19)))</formula>
    </cfRule>
  </conditionalFormatting>
  <conditionalFormatting sqref="J19">
    <cfRule type="cellIs" dxfId="43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0" sqref="F20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7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7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7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7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topLeftCell="C1" workbookViewId="0">
      <selection activeCell="X3" sqref="X3:X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0</v>
      </c>
      <c r="Y3" s="125">
        <f>COUNTIFS('RESUMEN TOTAL'!C5:C396, "=BONOMO",'RESUMEN TOTAL'!AD5:AD396,"=APAGADO")</f>
        <v>0</v>
      </c>
      <c r="Z3" s="125">
        <f>COUNTIFS('RESUMEN TOTAL'!C5:C396, "=BONOMO",'RESUMEN TOTAL'!AE5:AE396,"=APAGADO")</f>
        <v>0</v>
      </c>
      <c r="AA3" s="125">
        <f>COUNTIFS('RESUMEN TOTAL'!C5:C396, "=BONOMO",'RESUMEN TOTAL'!AF5:AF396,"=APAGADO")</f>
        <v>0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</v>
      </c>
      <c r="Y4" s="132">
        <f t="shared" si="0"/>
        <v>0</v>
      </c>
      <c r="Z4" s="132">
        <f t="shared" si="0"/>
        <v>0</v>
      </c>
      <c r="AA4" s="132">
        <f t="shared" si="0"/>
        <v>0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0</v>
      </c>
      <c r="Y5" s="127">
        <f>COUNTIFS('RESUMEN TOTAL'!C7:C398, "=COSEIDI",'RESUMEN TOTAL'!AD7:AD398,"=APAGADO")</f>
        <v>0</v>
      </c>
      <c r="Z5" s="127">
        <f>COUNTIFS('RESUMEN TOTAL'!C7:C398, "=COSEIDI",'RESUMEN TOTAL'!AE7:AE398,"=APAGADO")</f>
        <v>0</v>
      </c>
      <c r="AA5" s="127">
        <f>COUNTIFS('RESUMEN TOTAL'!C7:C398, "=COSEIDI",'RESUMEN TOTAL'!AF7:AF398,"=APAGADO")</f>
        <v>0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</v>
      </c>
      <c r="Y6" s="131">
        <f t="shared" si="2"/>
        <v>0</v>
      </c>
      <c r="Z6" s="131">
        <f t="shared" si="2"/>
        <v>0</v>
      </c>
      <c r="AA6" s="131">
        <f t="shared" si="2"/>
        <v>0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42" priority="4" operator="greaterThan">
      <formula>10</formula>
    </cfRule>
    <cfRule type="cellIs" dxfId="41" priority="3" operator="greaterThan">
      <formula>0.1</formula>
    </cfRule>
  </conditionalFormatting>
  <conditionalFormatting sqref="F6:AJ6">
    <cfRule type="cellIs" dxfId="40" priority="2" operator="greaterThan">
      <formula>0.11</formula>
    </cfRule>
    <cfRule type="cellIs" dxfId="39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2022-08-18T13:48:57Z</dcterms:modified>
</cp:coreProperties>
</file>