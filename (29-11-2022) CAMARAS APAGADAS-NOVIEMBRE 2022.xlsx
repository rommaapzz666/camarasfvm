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773FCDE7-F632-47E0-9F8E-76D5707C6CC8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3" i="24" l="1"/>
  <c r="C54" i="24"/>
  <c r="D54" i="24" s="1"/>
  <c r="D48" i="24"/>
  <c r="C49" i="24"/>
  <c r="D49" i="24" s="1"/>
  <c r="D43" i="24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30" i="14" l="1"/>
  <c r="C55" i="24"/>
  <c r="F24" i="14"/>
  <c r="F25" i="14"/>
  <c r="F26" i="14"/>
  <c r="F27" i="14"/>
  <c r="F28" i="14"/>
  <c r="F29" i="14"/>
  <c r="C50" i="24"/>
  <c r="F22" i="14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55" i="24" l="1"/>
  <c r="C56" i="24"/>
  <c r="D56" i="24" s="1"/>
  <c r="D50" i="24"/>
  <c r="C51" i="24"/>
  <c r="D51" i="24" s="1"/>
  <c r="D45" i="24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C30" i="14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21" l="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H2" i="21" l="1"/>
  <c r="D30" i="14" s="1"/>
  <c r="AD2" i="2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C27" i="14" s="1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C29" i="14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AH2" i="11" l="1"/>
  <c r="B30" i="14" s="1"/>
  <c r="E30" i="14" s="1"/>
  <c r="G30" i="14" s="1"/>
  <c r="C26" i="14"/>
  <c r="C25" i="14"/>
  <c r="AC2" i="11"/>
  <c r="B25" i="14" s="1"/>
  <c r="E25" i="14" s="1"/>
  <c r="G25" i="14" s="1"/>
  <c r="AD2" i="11"/>
  <c r="B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D29" i="14" s="1"/>
  <c r="AF2" i="21"/>
  <c r="D28" i="14" s="1"/>
  <c r="AE2" i="21"/>
  <c r="D27" i="14" s="1"/>
  <c r="B27" i="14" s="1"/>
  <c r="E27" i="14" s="1"/>
  <c r="G27" i="14" s="1"/>
  <c r="AE2" i="10"/>
  <c r="C28" i="14" s="1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E26" i="14" l="1"/>
  <c r="G26" i="14" s="1"/>
  <c r="B29" i="14"/>
  <c r="E29" i="14" s="1"/>
  <c r="G29" i="14" s="1"/>
  <c r="B28" i="14"/>
  <c r="E28" i="14" s="1"/>
  <c r="G28" i="14" s="1"/>
  <c r="B2" i="14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D24" i="14" s="1"/>
  <c r="B24" i="14" s="1"/>
  <c r="AB21" i="10"/>
  <c r="AB2" i="10" s="1"/>
  <c r="C24" i="14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E24" i="14" l="1"/>
  <c r="G24" i="14" s="1"/>
  <c r="X385" i="1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<sst xmlns="http://schemas.openxmlformats.org/spreadsheetml/2006/main" count="4782" uniqueCount="1298">
  <si>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</si>
  <si>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</si>
  <si>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</si>
  <si>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</si>
  <si>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</si>
  <si>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</si>
  <si>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</si>
  <si>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</si>
  <si>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</si>
  <si>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</si>
  <si>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</si>
  <si>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</si>
  <si>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</si>
  <si>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</si>
  <si>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</si>
  <si>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</si>
  <si>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</si>
  <si>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</si>
  <si>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</si>
  <si>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</si>
  <si>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</si>
  <si>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</si>
  <si>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</si>
  <si>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</si>
  <si>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</si>
  <si>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</si>
  <si>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</si>
  <si>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</si>
  <si>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</si>
  <si>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</si>
  <si>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</si>
  <si>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</si>
  <si>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</si>
  <si>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</si>
  <si>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</si>
  <si>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</si>
  <si>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</si>
  <si>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</si>
  <si>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</si>
  <si>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</si>
  <si>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</si>
  <si>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</si>
  <si>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</si>
  <si>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</si>
  <si>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</si>
  <si>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</si>
  <si>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</si>
  <si>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</si>
  <si>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</si>
  <si>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</si>
  <si>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</si>
  <si>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</si>
  <si>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</si>
  <si>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</si>
  <si>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</si>
  <si>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</si>
  <si>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</si>
  <si>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</si>
  <si>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</si>
  <si>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</si>
  <si>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</si>
  <si>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</si>
  <si>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</si>
  <si>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</si>
  <si>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</si>
  <si>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</si>
  <si>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</si>
  <si>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</si>
  <si>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</si>
  <si>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</si>
  <si>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</si>
  <si>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</si>
  <si>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</si>
  <si>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</si>
  <si>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</si>
  <si>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</si>
  <si>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</si>
  <si>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</si>
  <si>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</si>
  <si>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</si>
  <si>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</si>
  <si>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</si>
  <si>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</si>
  <si>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</si>
  <si>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</si>
  <si>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</si>
  <si>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</si>
  <si>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</si>
  <si>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</si>
  <si>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</si>
  <si>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</si>
  <si>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</si>
  <si>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</si>
  <si>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</si>
  <si>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</si>
  <si>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</si>
  <si>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</si>
  <si>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</si>
  <si>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</si>
  <si>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</si>
  <si>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</si>
  <si>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</si>
  <si>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</si>
  <si>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</si>
  <si>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</si>
  <si>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</si>
  <si>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</si>
  <si>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</si>
  <si>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</si>
  <si>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</si>
  <si>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</si>
  <si>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</si>
  <si>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</si>
  <si>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</si>
  <si>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</si>
  <si>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</si>
  <si>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</si>
  <si>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</si>
  <si>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</si>
  <si>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</si>
  <si>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</si>
  <si>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</si>
  <si>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</si>
  <si>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</si>
  <si>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</si>
  <si>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</si>
  <si>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</si>
  <si>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</si>
  <si>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</si>
  <si>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</si>
  <si>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</si>
  <si>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</si>
  <si>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</si>
  <si>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</si>
  <si>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</si>
  <si>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</si>
  <si>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</si>
  <si>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</si>
  <si>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</si>
  <si>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</si>
  <si>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</si>
  <si>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</si>
  <si>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</si>
  <si>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</si>
  <si>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</si>
  <si>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</si>
  <si>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</si>
  <si>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</si>
  <si>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</si>
  <si>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</si>
  <si>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</si>
  <si>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</si>
  <si>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</si>
  <si>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</si>
  <si>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</si>
  <si>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</si>
  <si>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</si>
  <si>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</si>
  <si>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</si>
  <si>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</si>
  <si>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</si>
  <si>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</si>
  <si>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</si>
  <si>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</si>
  <si>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</si>
  <si>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</si>
  <si>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</si>
  <si>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</si>
  <si>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</si>
  <si>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</si>
  <si>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</si>
  <si>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</si>
  <si>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</si>
  <si>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</si>
  <si>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</si>
  <si>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</si>
  <si>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</si>
  <si>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</si>
  <si>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</si>
  <si>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</si>
  <si>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</si>
  <si>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</si>
  <si>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</si>
  <si>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</si>
  <si>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</si>
  <si>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</si>
  <si>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</si>
  <si>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</si>
  <si>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</si>
  <si>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</si>
  <si>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</si>
  <si>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</si>
  <si>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</si>
  <si>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</si>
  <si>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</si>
  <si>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</si>
  <si>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</si>
  <si>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</si>
  <si>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</si>
  <si>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</si>
  <si>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</si>
  <si>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</si>
  <si>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</si>
  <si>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</si>
  <si>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</si>
  <si>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</si>
  <si>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</si>
  <si>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</si>
  <si>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</si>
  <si>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</si>
  <si>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</si>
  <si>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</si>
  <si>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</si>
  <si>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</si>
  <si>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</si>
  <si>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</si>
  <si>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</si>
  <si>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</si>
  <si>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</si>
  <si>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</si>
  <si>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</si>
  <si>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</si>
  <si>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</si>
  <si>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</si>
  <si>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</si>
  <si>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</si>
  <si>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</si>
  <si>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</si>
  <si>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</si>
  <si>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</si>
  <si>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</si>
  <si>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</si>
  <si>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</si>
  <si>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</si>
  <si>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</si>
  <si>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</si>
  <si>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</si>
  <si>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</si>
  <si>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</si>
  <si>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</si>
  <si>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</si>
  <si>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</si>
  <si>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</si>
  <si>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</si>
  <si>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</si>
  <si>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</si>
  <si>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</si>
  <si>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</si>
  <si>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</si>
  <si>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</si>
  <si>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</si>
  <si>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</si>
  <si>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</si>
  <si>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</si>
  <si>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</si>
  <si>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</si>
  <si>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</si>
  <si>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</si>
  <si>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</si>
  <si>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</si>
  <si>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</si>
  <si>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</si>
  <si>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</si>
  <si>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</si>
  <si>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</si>
  <si>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</si>
  <si>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</si>
  <si>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</si>
  <si>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</si>
  <si>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</si>
  <si>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</si>
  <si>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</si>
  <si>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</si>
  <si>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</si>
  <si>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</si>
  <si>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</si>
  <si>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</si>
  <si>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</si>
  <si>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</si>
  <si>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</si>
  <si>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</si>
  <si>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</si>
  <si>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</si>
  <si>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</si>
  <si>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</si>
  <si>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</si>
  <si>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</si>
  <si>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</si>
  <si>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</si>
  <si>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</si>
  <si>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</si>
  <si>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</si>
  <si>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</si>
  <si>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</si>
  <si>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</si>
  <si>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</si>
  <si>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</si>
  <si>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</si>
  <si>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</si>
  <si>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</si>
  <si>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</si>
  <si>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</si>
  <si>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</si>
  <si>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</si>
  <si>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</si>
  <si>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</si>
  <si>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</si>
  <si>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</si>
  <si>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</si>
  <si>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</si>
  <si>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</si>
  <si>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</si>
  <si>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</si>
  <si>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</si>
  <si>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</si>
  <si>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</si>
  <si>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</si>
  <si>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</si>
  <si>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</si>
  <si>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</si>
  <si>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</si>
  <si>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</si>
  <si>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</si>
  <si>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</si>
  <si>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</si>
  <si>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</si>
  <si>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</si>
  <si>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</si>
  <si>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</si>
  <si>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</si>
  <si>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</si>
  <si>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</si>
  <si>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</si>
  <si>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</si>
  <si>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</si>
  <si>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</si>
  <si>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</si>
  <si>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</si>
  <si>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</si>
  <si>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</si>
  <si>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</si>
  <si>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</si>
  <si>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</si>
  <si>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</si>
  <si>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</si>
  <si>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</si>
  <si>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</si>
  <si>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</si>
  <si>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</si>
  <si>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</si>
  <si>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</si>
  <si>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</si>
  <si>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</si>
  <si>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</si>
  <si>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</si>
  <si>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</si>
  <si>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</si>
  <si>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</si>
  <si>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</si>
  <si>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</si>
  <si>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</si>
  <si>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</si>
  <si>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</si>
  <si>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</si>
  <si>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</si>
  <si>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</si>
  <si>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</si>
  <si>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</si>
  <si>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</si>
  <si>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</si>
  <si>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</si>
  <si>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</si>
  <si>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</si>
  <si>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</si>
  <si>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</si>
  <si>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</si>
  <si>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</si>
  <si>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</si>
  <si>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</si>
  <si>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</si>
  <si>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</si>
  <si>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</si>
  <si>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</si>
  <si>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</si>
  <si>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</si>
  <si>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</si>
  <si>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</si>
  <si>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</si>
  <si>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</si>
  <si>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</si>
  <si>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</si>
  <si>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</si>
  <si>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</si>
  <si>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</si>
  <si>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</si>
  <si>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</si>
  <si>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</si>
  <si>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</si>
  <si>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</si>
  <si>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</si>
  <si>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</si>
  <si>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</si>
  <si>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</si>
  <si>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</si>
  <si>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</si>
  <si>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</si>
  <si>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</si>
  <si>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</si>
  <si>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</si>
  <si>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</si>
  <si>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</si>
  <si>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</si>
  <si>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</si>
  <si>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</si>
  <si>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</si>
  <si>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</si>
  <si>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</si>
  <si>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</si>
  <si>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</si>
  <si>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</si>
  <si>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</si>
  <si>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</si>
  <si>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</si>
  <si>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</si>
  <si>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</si>
  <si>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</si>
  <si>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</si>
  <si>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</si>
  <si>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</si>
  <si>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</si>
  <si>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</si>
  <si>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</si>
  <si>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</si>
  <si>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</si>
  <si>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</si>
  <si>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</si>
  <si>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</si>
  <si>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</si>
  <si>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</si>
  <si>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</si>
  <si>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</si>
  <si>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</si>
  <si>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</si>
  <si>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</si>
  <si>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</si>
  <si>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</si>
  <si>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</si>
  <si>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</si>
  <si>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</si>
  <si>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</si>
  <si>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</si>
  <si>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</si>
  <si>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</si>
  <si>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</si>
  <si>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</si>
  <si>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</si>
  <si>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</si>
  <si>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</si>
  <si>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</si>
  <si>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</si>
  <si>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</si>
  <si>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</si>
  <si>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</si>
  <si>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</si>
  <si>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</si>
  <si>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</si>
  <si>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</si>
  <si>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</si>
  <si>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</si>
  <si>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</si>
  <si>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</si>
  <si>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</si>
  <si>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</si>
  <si>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</si>
  <si>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</si>
  <si>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</si>
  <si>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</si>
  <si>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</si>
  <si>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</si>
  <si>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</si>
  <si>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</si>
  <si>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</si>
  <si>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</si>
  <si>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</si>
  <si>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</si>
  <si>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</si>
  <si>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</si>
  <si>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</si>
  <si>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</si>
  <si>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</si>
  <si>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</si>
  <si>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</si>
  <si>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</si>
  <si>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</si>
  <si>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</si>
  <si>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</si>
  <si>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</si>
  <si>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</si>
  <si>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</si>
  <si>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</si>
  <si>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</si>
  <si>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</si>
  <si>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</si>
  <si>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</si>
  <si>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</si>
  <si>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</si>
  <si>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</si>
  <si>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</si>
  <si>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</si>
  <si>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</si>
  <si>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</si>
  <si>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</si>
  <si>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</si>
  <si>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</si>
  <si>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</si>
  <si>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</si>
  <si>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</si>
  <si>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</si>
  <si>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</si>
  <si>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</si>
  <si>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</si>
  <si>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</si>
  <si>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</si>
  <si>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</si>
  <si>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</si>
  <si>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</si>
  <si>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</si>
  <si>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</si>
  <si>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</si>
  <si>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</si>
  <si>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</si>
  <si>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</si>
  <si>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</si>
  <si>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</si>
  <si>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</si>
  <si>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</si>
  <si>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</si>
  <si>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</si>
  <si>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</si>
  <si>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</si>
  <si>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</si>
  <si>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</si>
  <si>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</si>
  <si>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</si>
  <si>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</si>
  <si>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</si>
  <si>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</si>
  <si>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</si>
  <si>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</si>
  <si>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</si>
  <si>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</si>
  <si>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</si>
  <si>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</si>
  <si>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</si>
  <si>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</si>
  <si>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</si>
  <si>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</si>
  <si>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</si>
  <si>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</si>
  <si>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</si>
  <si>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</si>
  <si>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</si>
  <si>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</si>
  <si>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</si>
  <si>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</si>
  <si>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</si>
  <si>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</si>
  <si>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</si>
  <si>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</si>
  <si>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</si>
  <si>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</si>
  <si>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</si>
  <si>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</si>
  <si>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</si>
  <si>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</si>
  <si>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</si>
  <si>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</si>
  <si>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</si>
  <si>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</si>
  <si>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</si>
  <si>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</si>
  <si>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</si>
  <si>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</si>
  <si>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</si>
  <si>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</si>
  <si>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</si>
  <si>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</si>
  <si>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</si>
  <si>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</si>
  <si>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</si>
  <si>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</si>
  <si>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</si>
  <si>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</si>
  <si>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</si>
  <si>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</si>
  <si>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</si>
  <si>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</si>
  <si>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</si>
  <si>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</si>
  <si>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</si>
  <si>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</si>
  <si>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</si>
  <si>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</si>
  <si>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</si>
  <si>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</si>
  <si>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</si>
  <si>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</si>
  <si>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</si>
  <si>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</si>
  <si>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</si>
  <si>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</si>
  <si>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</si>
  <si>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</si>
  <si>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</si>
  <si>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</si>
  <si>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</si>
  <si>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</si>
  <si>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</si>
  <si>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</si>
  <si>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</si>
  <si>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</si>
  <si>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</si>
  <si>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</si>
  <si>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</si>
  <si>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</si>
  <si>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</si>
  <si>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</si>
  <si>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</si>
  <si>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</si>
  <si>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</si>
  <si>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</si>
  <si>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</si>
  <si>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</si>
  <si>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</si>
  <si>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</si>
  <si>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</si>
  <si>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</si>
  <si>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</si>
  <si>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</si>
  <si>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</si>
  <si>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</si>
  <si>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</si>
  <si>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</si>
  <si>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</si>
  <si>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</si>
  <si>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</si>
  <si>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</si>
  <si>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</si>
  <si>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</si>
  <si>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</si>
  <si>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</si>
  <si>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</si>
  <si>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</si>
  <si>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</si>
  <si>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</si>
  <si>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</si>
  <si>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</si>
  <si>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</si>
  <si>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</si>
  <si>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</si>
  <si>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</si>
  <si>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</si>
  <si>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</si>
  <si>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</si>
  <si>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</si>
  <si>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</si>
  <si>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</si>
  <si>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</si>
  <si>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</si>
  <si>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</si>
  <si>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</si>
  <si>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</si>
  <si>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</si>
  <si>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</si>
  <si>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</si>
  <si>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</si>
  <si>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</si>
  <si>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</si>
  <si>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</si>
  <si>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</si>
  <si>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</si>
  <si>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</si>
  <si>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</si>
  <si>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</si>
  <si>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</si>
  <si>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</si>
  <si>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</si>
  <si>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</si>
  <si>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</si>
  <si>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</si>
  <si>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</si>
  <si>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</si>
  <si>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</si>
  <si>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</si>
  <si>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</si>
  <si>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</si>
  <si>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</si>
  <si>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</si>
  <si>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</si>
  <si>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</si>
  <si>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</si>
  <si>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</si>
  <si>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</si>
  <si>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</si>
  <si>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</si>
  <si>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</si>
  <si>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</si>
  <si>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</si>
  <si>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</si>
  <si>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</si>
  <si>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</si>
  <si>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</si>
  <si>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</si>
  <si>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</si>
  <si>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</si>
  <si>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</si>
  <si>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</si>
  <si>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</si>
  <si>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</si>
  <si>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</si>
  <si>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</si>
  <si>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</si>
  <si>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</si>
  <si>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</si>
  <si>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</si>
  <si>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</si>
  <si>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</si>
  <si>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</si>
  <si>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</si>
  <si>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</si>
  <si>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</si>
  <si>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</si>
  <si>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</si>
  <si>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</si>
  <si>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</si>
  <si>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</si>
  <si>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</si>
  <si>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</si>
  <si>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</si>
  <si>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</si>
  <si>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</si>
  <si>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</si>
  <si>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</si>
  <si>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</si>
  <si>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</si>
  <si>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</si>
  <si>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</si>
  <si>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</si>
  <si>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</si>
  <si>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</si>
  <si>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</si>
  <si>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</si>
  <si>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</si>
  <si>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</si>
  <si>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</si>
  <si>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</si>
  <si>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</si>
  <si>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</si>
  <si>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</si>
  <si>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</si>
  <si>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</si>
  <si>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</si>
  <si>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</si>
  <si>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</si>
  <si>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</si>
  <si>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</si>
  <si>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</si>
  <si>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</si>
  <si>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</si>
  <si>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</si>
  <si>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</si>
  <si>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</si>
  <si>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</si>
  <si>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</si>
  <si>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</si>
  <si>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</si>
  <si>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</si>
  <si>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</si>
  <si>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</si>
  <si>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</si>
  <si>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</si>
  <si>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</si>
  <si>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</si>
  <si>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</si>
  <si>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</si>
  <si>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</si>
  <si>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</si>
  <si>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</si>
  <si>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</si>
  <si>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</si>
  <si>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</si>
  <si>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</si>
  <si>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</si>
  <si>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</si>
  <si>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</si>
  <si>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</si>
  <si>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</si>
  <si>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</si>
  <si>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</si>
  <si>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</si>
  <si>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</si>
  <si>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</si>
  <si>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</si>
  <si>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</si>
  <si>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</si>
  <si>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</si>
  <si>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</si>
  <si>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</si>
  <si>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</si>
  <si>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</si>
  <si>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</si>
  <si>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</si>
  <si>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</si>
  <si>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</si>
  <si>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</si>
  <si>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</si>
  <si>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</si>
  <si>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</si>
  <si>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</si>
  <si>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</si>
  <si>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</si>
  <si>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</si>
  <si>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</si>
  <si>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</si>
  <si>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</si>
  <si>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</si>
  <si>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</si>
  <si>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</si>
  <si>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</si>
  <si>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</si>
  <si>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</si>
  <si>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</si>
  <si>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</si>
  <si>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</si>
  <si>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</si>
  <si>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</si>
  <si>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</si>
  <si>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</si>
  <si>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</si>
  <si>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</si>
  <si>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</si>
  <si>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</si>
  <si>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</si>
  <si>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</si>
  <si>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</si>
  <si>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</si>
  <si>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</si>
  <si>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</si>
  <si>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</si>
  <si>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</si>
  <si>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</si>
  <si>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</si>
  <si>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</si>
  <si>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</si>
  <si>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</si>
  <si>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</si>
  <si>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</si>
  <si>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</si>
  <si>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</si>
  <si>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</si>
  <si>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</si>
  <si>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</si>
  <si>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</si>
  <si>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</si>
  <si>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</si>
  <si>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</si>
  <si>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</si>
  <si>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</si>
  <si>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</si>
  <si>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</si>
  <si>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</si>
  <si>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</si>
  <si>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</si>
  <si>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</si>
  <si>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</si>
  <si>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</si>
  <si>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</si>
  <si>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</si>
  <si>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</si>
  <si>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</si>
  <si>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</si>
  <si>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</si>
  <si>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</si>
  <si>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</si>
  <si>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</si>
  <si>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</si>
  <si>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</si>
  <si>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</si>
  <si>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</si>
  <si>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</si>
  <si>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</si>
  <si>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</si>
  <si>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</si>
  <si>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</si>
  <si>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</si>
  <si>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</si>
  <si>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</si>
  <si>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</si>
  <si>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</si>
  <si>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</si>
  <si>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</si>
  <si>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</si>
  <si>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</si>
  <si>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</si>
  <si>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</si>
  <si>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</si>
  <si>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</si>
  <si>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</si>
  <si>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</si>
  <si>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</si>
  <si>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</si>
  <si>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</si>
  <si>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</si>
  <si>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</si>
  <si>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</si>
  <si>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</si>
  <si>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</si>
  <si>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</si>
  <si>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</si>
  <si>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</si>
  <si>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</si>
  <si>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</si>
  <si>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</si>
  <si>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</si>
  <si>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</si>
  <si>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</si>
  <si>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</si>
  <si>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</si>
  <si>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</si>
  <si>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</si>
  <si>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</si>
  <si>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</si>
  <si>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</si>
  <si>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</si>
  <si>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</si>
  <si>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</si>
  <si>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</si>
  <si>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</si>
  <si>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</si>
  <si>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</si>
  <si>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</si>
  <si>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</si>
  <si>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</si>
  <si>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</si>
  <si>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</si>
  <si>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</si>
  <si>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</si>
  <si>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</si>
  <si>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</si>
  <si>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</si>
  <si>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</si>
  <si>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</si>
  <si>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</si>
  <si>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</si>
  <si>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</si>
  <si>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</si>
  <si>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</si>
  <si>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</si>
  <si>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</si>
  <si>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</si>
  <si>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</si>
  <si>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</si>
  <si>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</si>
  <si>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</si>
  <si>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</si>
  <si>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</si>
  <si>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</si>
  <si>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</si>
  <si>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</si>
  <si>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</si>
  <si>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</si>
  <si>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</si>
  <si>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</si>
  <si>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</si>
  <si>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</si>
  <si>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</si>
  <si>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</si>
  <si>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</si>
  <si>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</si>
  <si>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</si>
  <si>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</si>
  <si>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</si>
  <si>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</si>
  <si>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</si>
  <si>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</si>
  <si>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</si>
  <si>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</si>
  <si>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</si>
  <si>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</si>
  <si>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</si>
  <si>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</si>
  <si>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</si>
  <si>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</si>
  <si>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</si>
  <si>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</si>
  <si>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</si>
  <si>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</si>
  <si>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</si>
  <si>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</si>
  <si>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</si>
  <si>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</si>
  <si>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</si>
  <si>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</si>
  <si>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</si>
  <si>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</si>
  <si>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</si>
  <si>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</si>
  <si>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</si>
  <si>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</si>
  <si>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</si>
  <si>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</si>
  <si>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</si>
  <si>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</si>
  <si>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</si>
  <si>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</si>
  <si>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</si>
  <si>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</si>
  <si>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</si>
  <si>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</si>
  <si>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</si>
  <si>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</si>
  <si>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</si>
  <si>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</si>
  <si>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</si>
  <si>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</si>
  <si>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</si>
  <si>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</si>
  <si>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</si>
  <si>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</si>
  <si>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</si>
  <si>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</si>
  <si>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</si>
  <si>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</si>
  <si>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</si>
  <si>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</si>
  <si>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</si>
  <si>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</si>
  <si>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</si>
  <si>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</si>
  <si>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</si>
  <si>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</si>
  <si>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</si>
  <si>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</si>
  <si>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</si>
  <si>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</si>
  <si>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</si>
  <si>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</si>
  <si>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</si>
  <si>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</si>
  <si>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</si>
  <si>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</si>
  <si>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</si>
  <si>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</si>
  <si>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</si>
  <si>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</si>
  <si>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</si>
  <si>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</si>
  <si>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</si>
  <si>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</si>
  <si>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</si>
  <si>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</si>
  <si>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</si>
  <si>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</si>
  <si>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</si>
  <si>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</si>
  <si>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</si>
  <si>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</si>
  <si>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</si>
  <si>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</si>
  <si>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</si>
  <si>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</si>
  <si>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</si>
  <si>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</si>
  <si>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</si>
  <si>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</si>
  <si>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</si>
  <si>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</si>
  <si>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</si>
  <si>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</si>
  <si>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</si>
  <si>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</si>
  <si>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</si>
  <si>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</si>
  <si>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</si>
  <si>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</si>
  <si>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</si>
  <si>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</si>
  <si>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</si>
  <si>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</si>
  <si>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</si>
  <si>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</si>
  <si>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</si>
  <si>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</si>
  <si>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</si>
  <si>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</si>
  <si>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</si>
  <si>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</si>
  <si>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</si>
  <si>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</si>
  <si>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</si>
  <si>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</si>
  <si>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</si>
  <si>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</si>
  <si>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</si>
  <si>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</si>
  <si>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</si>
  <si>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</si>
  <si>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</si>
  <si>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</si>
  <si>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</si>
  <si>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</si>
  <si>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</si>
  <si>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</si>
  <si>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</si>
  <si>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</si>
  <si>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</si>
  <si>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</si>
  <si>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</si>
  <si>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</si>
  <si>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</si>
  <si>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</si>
  <si>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</si>
  <si>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</si>
  <si>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</si>
  <si>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</si>
  <si>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</si>
  <si>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</si>
  <si>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</si>
  <si>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</si>
  <si>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</si>
  <si>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</si>
  <si>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</si>
  <si>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</si>
  <si>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</si>
  <si>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</si>
  <si>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</si>
  <si>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</si>
  <si>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</si>
  <si>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</si>
  <si>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</si>
  <si>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</si>
  <si>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</si>
  <si>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</si>
  <si>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</si>
  <si>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</si>
  <si>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</si>
  <si>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</si>
  <si>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</si>
  <si>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</si>
  <si>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</si>
  <si>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</si>
  <si>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</si>
  <si>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</si>
  <si>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</si>
  <si>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</si>
  <si>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</si>
  <si>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</si>
  <si>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</si>
  <si>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</si>
  <si>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</si>
  <si>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</si>
  <si>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</si>
  <si>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</si>
  <si>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</si>
  <si>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</si>
  <si>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</si>
  <si>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</si>
  <si>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</si>
  <si>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</si>
  <si>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</si>
  <si>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</si>
  <si>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</si>
  <si>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</si>
  <si>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</si>
  <si>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</si>
  <si>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</si>
  <si>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</si>
  <si>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</si>
  <si>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</si>
  <si>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</si>
  <si>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</si>
  <si>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</si>
  <si>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</si>
  <si>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</si>
  <si>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</si>
  <si>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</si>
  <si>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</si>
  <si>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</si>
  <si>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</si>
  <si>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</si>
  <si>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</si>
  <si>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</si>
  <si>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</si>
  <si>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</si>
  <si>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</si>
  <si>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</si>
  <si>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</si>
  <si>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</si>
  <si>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</si>
  <si>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</si>
  <si>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</si>
  <si>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</si>
  <si>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</si>
  <si>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</si>
  <si>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</si>
  <si>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</si>
  <si>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</si>
  <si>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</si>
  <si>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</si>
  <si>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</si>
  <si>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</si>
  <si>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</si>
  <si>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</si>
  <si>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</si>
  <si>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</si>
  <si>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</si>
  <si>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</si>
  <si>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</si>
  <si>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</si>
  <si>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</si>
  <si>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</si>
  <si>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</si>
  <si>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</si>
  <si>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</si>
  <si>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</si>
  <si>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</si>
  <si>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</si>
  <si>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</si>
  <si>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</si>
  <si>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</si>
  <si>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</si>
  <si>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</si>
  <si>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</si>
  <si>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</si>
  <si>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</si>
  <si>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</si>
  <si>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</si>
  <si>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</si>
  <si>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</si>
  <si>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</si>
  <si>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</si>
  <si>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</si>
  <si>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</si>
  <si>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</si>
  <si>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</si>
  <si>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</si>
  <si>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</si>
  <si>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</si>
  <si>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</si>
  <si>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</si>
  <si>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</si>
  <si>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</si>
  <si>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</si>
  <si>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</si>
  <si>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</si>
  <si>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</si>
  <si>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</si>
  <si>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</si>
  <si>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</si>
  <si>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</si>
  <si>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</si>
  <si>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</si>
  <si>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</si>
  <si>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</si>
  <si>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</si>
  <si>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</si>
  <si>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</si>
  <si>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</si>
  <si>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</si>
  <si>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</si>
  <si>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</si>
  <si>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</si>
  <si>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</si>
  <si>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</si>
  <si>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</si>
  <si>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</si>
  <si>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</si>
  <si>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</si>
  <si>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</si>
  <si>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</si>
  <si>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</si>
  <si>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</si>
  <si>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</si>
  <si>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</si>
  <si>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</si>
  <si>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</si>
  <si>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</si>
  <si>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</si>
  <si>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</si>
  <si>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</si>
  <si>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</si>
  <si>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</si>
  <si>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</si>
  <si>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</si>
  <si>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FUNCIONANDO</t>
  </si>
  <si>
    <t>BELGRANA14:A49O</t>
  </si>
  <si>
    <t>total: 35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</si>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</sst>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5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47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49" fontId="0" fillId="0" borderId="18" xfId="0" applyNumberFormat="1" applyBorder="1"/>
    <xf numFmtId="0" fontId="0" fillId="0" borderId="34" xfId="0" applyBorder="1"/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12" borderId="41" xfId="0" applyFill="1" applyBorder="1"/>
    <xf numFmtId="0" fontId="0" fillId="12" borderId="52" xfId="0" applyFill="1" applyBorder="1"/>
    <xf numFmtId="0" fontId="0" fillId="12" borderId="42" xfId="0" applyFill="1" applyBorder="1"/>
    <xf numFmtId="14" fontId="0" fillId="0" borderId="30" xfId="0" applyNumberFormat="1" applyBorder="1"/>
    <xf numFmtId="0" fontId="0" fillId="12" borderId="33" xfId="0" applyFill="1" applyBorder="1"/>
    <xf numFmtId="0" fontId="0" fillId="12" borderId="48" xfId="0" applyFill="1" applyBorder="1"/>
    <xf numFmtId="0" fontId="0" fillId="12" borderId="36" xfId="0" applyFill="1" applyBorder="1"/>
    <xf numFmtId="0" fontId="0" fillId="13" borderId="54" xfId="0" applyFill="1" applyBorder="1"/>
    <xf numFmtId="0" fontId="7" fillId="13" borderId="30" xfId="0" applyFont="1" applyFill="1" applyBorder="1"/>
    <xf numFmtId="0" fontId="7" fillId="13" borderId="53" xfId="0" applyFont="1" applyFill="1" applyBorder="1"/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  <c:pt idx="22">
                  <c:v>0.12325581395348838</c:v>
                </c:pt>
                <c:pt idx="23">
                  <c:v>9.5348837209302331E-2</c:v>
                </c:pt>
                <c:pt idx="24">
                  <c:v>9.0697674418604657E-2</c:v>
                </c:pt>
                <c:pt idx="25">
                  <c:v>0.1372093023255814</c:v>
                </c:pt>
                <c:pt idx="26">
                  <c:v>9.5348837209302331E-2</c:v>
                </c:pt>
                <c:pt idx="27">
                  <c:v>0.10465116279069768</c:v>
                </c:pt>
                <c:pt idx="28">
                  <c:v>0.10232558139534884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  <c:pt idx="22">
                  <c:v>12</c:v>
                </c:pt>
                <c:pt idx="23">
                  <c:v>8</c:v>
                </c:pt>
                <c:pt idx="24">
                  <c:v>6</c:v>
                </c:pt>
                <c:pt idx="25">
                  <c:v>9</c:v>
                </c:pt>
                <c:pt idx="26">
                  <c:v>9</c:v>
                </c:pt>
                <c:pt idx="27">
                  <c:v>8</c:v>
                </c:pt>
                <c:pt idx="2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  <c:pt idx="22">
                  <c:v>41</c:v>
                </c:pt>
                <c:pt idx="23">
                  <c:v>33</c:v>
                </c:pt>
                <c:pt idx="24">
                  <c:v>33</c:v>
                </c:pt>
                <c:pt idx="25">
                  <c:v>50</c:v>
                </c:pt>
                <c:pt idx="26">
                  <c:v>32</c:v>
                </c:pt>
                <c:pt idx="27">
                  <c:v>37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  <c:pt idx="22">
                  <c:v>53</c:v>
                </c:pt>
                <c:pt idx="23">
                  <c:v>41</c:v>
                </c:pt>
                <c:pt idx="24">
                  <c:v>39</c:v>
                </c:pt>
                <c:pt idx="25">
                  <c:v>59</c:v>
                </c:pt>
                <c:pt idx="26">
                  <c:v>41</c:v>
                </c:pt>
                <c:pt idx="27">
                  <c:v>45</c:v>
                </c:pt>
                <c:pt idx="28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  <c:pt idx="22">
                  <c:v>0.12325581395348838</c:v>
                </c:pt>
                <c:pt idx="23">
                  <c:v>9.5348837209302331E-2</c:v>
                </c:pt>
                <c:pt idx="24">
                  <c:v>9.0697674418604657E-2</c:v>
                </c:pt>
                <c:pt idx="25">
                  <c:v>0.1372093023255814</c:v>
                </c:pt>
                <c:pt idx="26">
                  <c:v>9.5348837209302331E-2</c:v>
                </c:pt>
                <c:pt idx="27">
                  <c:v>0.10465116279069768</c:v>
                </c:pt>
                <c:pt idx="28">
                  <c:v>0.10232558139534884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  <c:pt idx="24">
                  <c:v>34</c:v>
                </c:pt>
                <c:pt idx="25">
                  <c:v>33</c:v>
                </c:pt>
                <c:pt idx="26">
                  <c:v>34</c:v>
                </c:pt>
                <c:pt idx="27">
                  <c:v>37</c:v>
                </c:pt>
                <c:pt idx="28">
                  <c:v>36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12</c:v>
                </c:pt>
                <c:pt idx="24">
                  <c:v>22</c:v>
                </c:pt>
                <c:pt idx="25">
                  <c:v>8</c:v>
                </c:pt>
                <c:pt idx="26">
                  <c:v>7</c:v>
                </c:pt>
                <c:pt idx="27">
                  <c:v>8</c:v>
                </c:pt>
                <c:pt idx="28">
                  <c:v>7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0.12888888888888889</c:v>
                      </c:pt>
                      <c:pt idx="24">
                        <c:v>0.15111111111111111</c:v>
                      </c:pt>
                      <c:pt idx="25">
                        <c:v>0.14666666666666667</c:v>
                      </c:pt>
                      <c:pt idx="26">
                        <c:v>0.15111111111111111</c:v>
                      </c:pt>
                      <c:pt idx="27">
                        <c:v>0.16444444444444445</c:v>
                      </c:pt>
                      <c:pt idx="28">
                        <c:v>0.16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5.8536585365853662E-2</c:v>
                      </c:pt>
                      <c:pt idx="24">
                        <c:v>0.10731707317073171</c:v>
                      </c:pt>
                      <c:pt idx="25">
                        <c:v>3.9024390243902439E-2</c:v>
                      </c:pt>
                      <c:pt idx="26" formatCode="0.00%">
                        <c:v>3.4146341463414637E-2</c:v>
                      </c:pt>
                      <c:pt idx="27" formatCode="0.00%">
                        <c:v>3.9024390243902439E-2</c:v>
                      </c:pt>
                      <c:pt idx="28" formatCode="0.00%">
                        <c:v>3.4146341463414637E-2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0.12888888888888889</c:v>
                </c:pt>
                <c:pt idx="24">
                  <c:v>0.15111111111111111</c:v>
                </c:pt>
                <c:pt idx="25">
                  <c:v>0.14666666666666667</c:v>
                </c:pt>
                <c:pt idx="26">
                  <c:v>0.15111111111111111</c:v>
                </c:pt>
                <c:pt idx="27">
                  <c:v>0.16444444444444445</c:v>
                </c:pt>
                <c:pt idx="28">
                  <c:v>0.16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5.8536585365853662E-2</c:v>
                </c:pt>
                <c:pt idx="24">
                  <c:v>0.10731707317073171</c:v>
                </c:pt>
                <c:pt idx="25">
                  <c:v>3.9024390243902439E-2</c:v>
                </c:pt>
                <c:pt idx="26" formatCode="0.00%">
                  <c:v>3.4146341463414637E-2</c:v>
                </c:pt>
                <c:pt idx="27" formatCode="0.00%">
                  <c:v>3.9024390243902439E-2</c:v>
                </c:pt>
                <c:pt idx="28" formatCode="0.00%">
                  <c:v>3.4146341463414637E-2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34</c:v>
                      </c:pt>
                      <c:pt idx="25">
                        <c:v>33</c:v>
                      </c:pt>
                      <c:pt idx="26">
                        <c:v>34</c:v>
                      </c:pt>
                      <c:pt idx="27">
                        <c:v>37</c:v>
                      </c:pt>
                      <c:pt idx="28">
                        <c:v>36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8</c:v>
                      </c:pt>
                      <c:pt idx="26">
                        <c:v>7</c:v>
                      </c:pt>
                      <c:pt idx="27">
                        <c:v>8</c:v>
                      </c:pt>
                      <c:pt idx="28">
                        <c:v>7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M5" activePane="bottomRight" state="frozen"/>
      <selection pane="topRight" activeCell="M1" sqref="M1"/>
      <selection pane="bottomLeft" activeCell="A5" sqref="A5"/>
      <selection pane="bottomRight" activeCell="I29" sqref="I29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9.5348837209302331E-2</v>
      </c>
      <c r="AI1" s="4">
        <f t="shared" si="0"/>
        <v>0.13023255813953488</v>
      </c>
      <c r="AJ1" s="4">
        <f t="shared" si="0"/>
        <v>9.5348837209302331E-2</v>
      </c>
      <c r="AK1" s="4">
        <f t="shared" si="0"/>
        <v>9.7674418604651161E-2</v>
      </c>
      <c r="AL1" s="4">
        <f t="shared" si="0"/>
        <v>0.10465116279069768</v>
      </c>
      <c r="AM1" s="4">
        <f t="shared" si="0"/>
        <v>0.10232558139534884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389</v>
      </c>
      <c r="AI2" s="127">
        <f t="shared" si="1"/>
        <v>374</v>
      </c>
      <c r="AJ2" s="127">
        <f t="shared" si="1"/>
        <v>389</v>
      </c>
      <c r="AK2" s="127">
        <f t="shared" si="1"/>
        <v>388</v>
      </c>
      <c r="AL2" s="127">
        <f t="shared" si="1"/>
        <v>385</v>
      </c>
      <c r="AM2" s="127">
        <f t="shared" si="1"/>
        <v>386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41</v>
      </c>
      <c r="AI3" s="12">
        <f t="shared" si="2"/>
        <v>56</v>
      </c>
      <c r="AJ3" s="12">
        <f t="shared" si="2"/>
        <v>41</v>
      </c>
      <c r="AK3" s="12">
        <f t="shared" si="2"/>
        <v>42</v>
      </c>
      <c r="AL3" s="12">
        <f t="shared" si="2"/>
        <v>45</v>
      </c>
      <c r="AM3" s="12">
        <f t="shared" si="2"/>
        <v>44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3</v>
      </c>
      <c r="I16" s="42">
        <f t="shared" si="3"/>
        <v>26</v>
      </c>
      <c r="J16" s="43">
        <f t="shared" si="4"/>
        <v>0.10344827586206896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 t="s">
        <v>1274</v>
      </c>
      <c r="AI16" s="20" t="s">
        <v>1274</v>
      </c>
      <c r="AJ16" s="20" t="s">
        <v>1274</v>
      </c>
      <c r="AK16" s="20" t="s">
        <v>1274</v>
      </c>
      <c r="AL16" s="20" t="s">
        <v>1274</v>
      </c>
      <c r="AM16" s="20" t="s">
        <v>1274</v>
      </c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23</v>
      </c>
      <c r="I27" s="42">
        <f>COUNTIF(K27:AL27,"APAGADO")</f>
        <v>6</v>
      </c>
      <c r="J27" s="43">
        <f>(H27)/(I27+H27)</f>
        <v>0.7931034482758621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 t="s">
        <v>1274</v>
      </c>
      <c r="AI27" s="20" t="s">
        <v>1274</v>
      </c>
      <c r="AJ27" s="20" t="s">
        <v>1274</v>
      </c>
      <c r="AK27" s="20" t="s">
        <v>1274</v>
      </c>
      <c r="AL27" s="20" t="s">
        <v>1274</v>
      </c>
      <c r="AM27" s="20" t="s">
        <v>1274</v>
      </c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</v>
      </c>
      <c r="I34" s="42">
        <f>COUNTIF(K34:AL34,"APAGADO")</f>
        <v>27</v>
      </c>
      <c r="J34" s="43">
        <f>(H34)/(I34+H34)</f>
        <v>6.8965517241379309E-2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 t="s">
        <v>1274</v>
      </c>
      <c r="AI34" s="20" t="s">
        <v>1274</v>
      </c>
      <c r="AJ34" s="20" t="s">
        <v>1274</v>
      </c>
      <c r="AK34" s="20" t="s">
        <v>1274</v>
      </c>
      <c r="AL34" s="20" t="s">
        <v>1274</v>
      </c>
      <c r="AM34" s="20" t="s">
        <v>1274</v>
      </c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</v>
      </c>
      <c r="I40" s="42">
        <f t="shared" si="3"/>
        <v>28</v>
      </c>
      <c r="J40" s="43">
        <f t="shared" si="4"/>
        <v>3.4482758620689655E-2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 t="s">
        <v>1274</v>
      </c>
      <c r="AI40" s="20" t="s">
        <v>1274</v>
      </c>
      <c r="AJ40" s="20" t="s">
        <v>1274</v>
      </c>
      <c r="AK40" s="20" t="s">
        <v>1274</v>
      </c>
      <c r="AL40" s="20" t="s">
        <v>1274</v>
      </c>
      <c r="AM40" s="20" t="s">
        <v>1274</v>
      </c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</v>
      </c>
      <c r="I48" s="42">
        <f t="shared" si="3"/>
        <v>28</v>
      </c>
      <c r="J48" s="43">
        <f t="shared" si="4"/>
        <v>3.4482758620689655E-2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 t="s">
        <v>1274</v>
      </c>
      <c r="AI48" s="20" t="s">
        <v>1274</v>
      </c>
      <c r="AJ48" s="20" t="s">
        <v>1274</v>
      </c>
      <c r="AK48" s="20" t="s">
        <v>1274</v>
      </c>
      <c r="AL48" s="20" t="s">
        <v>1274</v>
      </c>
      <c r="AM48" s="20" t="s">
        <v>1274</v>
      </c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</v>
      </c>
      <c r="I49" s="42">
        <f t="shared" si="3"/>
        <v>27</v>
      </c>
      <c r="J49" s="43">
        <f t="shared" si="4"/>
        <v>6.8965517241379309E-2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 t="s">
        <v>1274</v>
      </c>
      <c r="AI49" s="20" t="s">
        <v>1274</v>
      </c>
      <c r="AJ49" s="20" t="s">
        <v>1274</v>
      </c>
      <c r="AK49" s="20" t="s">
        <v>1274</v>
      </c>
      <c r="AL49" s="20" t="s">
        <v>1274</v>
      </c>
      <c r="AM49" s="20" t="s">
        <v>1274</v>
      </c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</v>
      </c>
      <c r="I51" s="42">
        <f t="shared" si="3"/>
        <v>28</v>
      </c>
      <c r="J51" s="43">
        <f t="shared" si="4"/>
        <v>3.4482758620689655E-2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 t="s">
        <v>1274</v>
      </c>
      <c r="AI51" s="20" t="s">
        <v>1274</v>
      </c>
      <c r="AJ51" s="20" t="s">
        <v>1274</v>
      </c>
      <c r="AK51" s="20" t="s">
        <v>1274</v>
      </c>
      <c r="AL51" s="20" t="s">
        <v>1274</v>
      </c>
      <c r="AM51" s="20" t="s">
        <v>1274</v>
      </c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</v>
      </c>
      <c r="I54" s="42">
        <f t="shared" si="3"/>
        <v>28</v>
      </c>
      <c r="J54" s="43">
        <f t="shared" si="4"/>
        <v>3.4482758620689655E-2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 t="s">
        <v>1274</v>
      </c>
      <c r="AI54" s="20" t="s">
        <v>1274</v>
      </c>
      <c r="AJ54" s="20" t="s">
        <v>1274</v>
      </c>
      <c r="AK54" s="20" t="s">
        <v>1274</v>
      </c>
      <c r="AL54" s="20" t="s">
        <v>1274</v>
      </c>
      <c r="AM54" s="20" t="s">
        <v>1274</v>
      </c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</v>
      </c>
      <c r="I56" s="42">
        <f t="shared" si="3"/>
        <v>28</v>
      </c>
      <c r="J56" s="43">
        <f t="shared" si="4"/>
        <v>3.4482758620689655E-2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 t="s">
        <v>1274</v>
      </c>
      <c r="AI56" s="20" t="s">
        <v>1274</v>
      </c>
      <c r="AJ56" s="20" t="s">
        <v>1274</v>
      </c>
      <c r="AK56" s="20" t="s">
        <v>1274</v>
      </c>
      <c r="AL56" s="20" t="s">
        <v>1274</v>
      </c>
      <c r="AM56" s="20" t="s">
        <v>1274</v>
      </c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29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 t="s">
        <v>624</v>
      </c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25</v>
      </c>
      <c r="I72" s="42">
        <f>COUNTIF(K72:AL72,"APAGADO")</f>
        <v>4</v>
      </c>
      <c r="J72" s="43">
        <f>(H72)/(I72+H72)</f>
        <v>0.86206896551724133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 t="s">
        <v>1274</v>
      </c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3</v>
      </c>
      <c r="I75" s="42">
        <f t="shared" si="3"/>
        <v>26</v>
      </c>
      <c r="J75" s="43">
        <f t="shared" si="4"/>
        <v>0.10344827586206896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 t="s">
        <v>1274</v>
      </c>
      <c r="AI75" s="20" t="s">
        <v>1274</v>
      </c>
      <c r="AJ75" s="20" t="s">
        <v>1274</v>
      </c>
      <c r="AK75" s="20" t="s">
        <v>1274</v>
      </c>
      <c r="AL75" s="20" t="s">
        <v>1274</v>
      </c>
      <c r="AM75" s="20" t="s">
        <v>1274</v>
      </c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28</v>
      </c>
      <c r="I76" s="42">
        <f t="shared" si="3"/>
        <v>2</v>
      </c>
      <c r="J76" s="43">
        <f t="shared" si="4"/>
        <v>0.93333333333333335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 t="s">
        <v>1274</v>
      </c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21</v>
      </c>
      <c r="I77" s="42">
        <f t="shared" ref="I77:I140" si="10">COUNTIF(K77:AL77,"APAGADO")</f>
        <v>8</v>
      </c>
      <c r="J77" s="43">
        <f t="shared" ref="J77:J140" si="11">(H77)/(I77+H77)</f>
        <v>0.72413793103448276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 t="s">
        <v>1274</v>
      </c>
      <c r="AK77" s="20" t="s">
        <v>1274</v>
      </c>
      <c r="AL77" s="20" t="s">
        <v>1274</v>
      </c>
      <c r="AM77" s="20" t="s">
        <v>1274</v>
      </c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14</v>
      </c>
      <c r="I87" s="42">
        <f>COUNTIF(K87:AL87,"APAGADO")</f>
        <v>15</v>
      </c>
      <c r="J87" s="43">
        <f>(H87)/(I87+H87)</f>
        <v>0.48275862068965519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 t="s">
        <v>1274</v>
      </c>
      <c r="AI87" s="20"/>
      <c r="AJ87" s="20"/>
      <c r="AK87" s="20"/>
      <c r="AL87" s="20" t="s">
        <v>1274</v>
      </c>
      <c r="AM87" s="20" t="s">
        <v>1274</v>
      </c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14</v>
      </c>
      <c r="I88" s="42">
        <f t="shared" si="10"/>
        <v>15</v>
      </c>
      <c r="J88" s="43">
        <f t="shared" si="11"/>
        <v>0.48275862068965519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 t="s">
        <v>1274</v>
      </c>
      <c r="AI88" s="20"/>
      <c r="AJ88" s="20"/>
      <c r="AK88" s="20"/>
      <c r="AL88" s="20" t="s">
        <v>1274</v>
      </c>
      <c r="AM88" s="20" t="s">
        <v>1274</v>
      </c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</v>
      </c>
      <c r="I94" s="42">
        <f>COUNTIF(K94:AL94,"APAGADO")</f>
        <v>27</v>
      </c>
      <c r="J94" s="43">
        <f>(H94)/(I94+H94)</f>
        <v>6.8965517241379309E-2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 t="s">
        <v>1274</v>
      </c>
      <c r="AI94" s="20" t="s">
        <v>1274</v>
      </c>
      <c r="AJ94" s="20" t="s">
        <v>1274</v>
      </c>
      <c r="AK94" s="20" t="s">
        <v>1274</v>
      </c>
      <c r="AL94" s="20" t="s">
        <v>1274</v>
      </c>
      <c r="AM94" s="20" t="s">
        <v>1274</v>
      </c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</v>
      </c>
      <c r="I98" s="42">
        <f>COUNTIF(K98:AL98,"APAGADO")</f>
        <v>28</v>
      </c>
      <c r="J98" s="43">
        <f>(H98)/(I98+H98)</f>
        <v>3.4482758620689655E-2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 t="s">
        <v>1274</v>
      </c>
      <c r="AI98" s="20" t="s">
        <v>1274</v>
      </c>
      <c r="AJ98" s="20" t="s">
        <v>1274</v>
      </c>
      <c r="AK98" s="20" t="s">
        <v>1274</v>
      </c>
      <c r="AL98" s="20" t="s">
        <v>1274</v>
      </c>
      <c r="AM98" s="20" t="s">
        <v>1274</v>
      </c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</v>
      </c>
      <c r="I101" s="42">
        <f t="shared" si="10"/>
        <v>27</v>
      </c>
      <c r="J101" s="43">
        <f t="shared" si="11"/>
        <v>6.8965517241379309E-2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 t="s">
        <v>1274</v>
      </c>
      <c r="AI101" s="20" t="s">
        <v>1274</v>
      </c>
      <c r="AJ101" s="20" t="s">
        <v>1274</v>
      </c>
      <c r="AK101" s="20" t="s">
        <v>1274</v>
      </c>
      <c r="AL101" s="20" t="s">
        <v>1274</v>
      </c>
      <c r="AM101" s="20" t="s">
        <v>1274</v>
      </c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</v>
      </c>
      <c r="I102" s="42">
        <f t="shared" si="10"/>
        <v>27</v>
      </c>
      <c r="J102" s="43">
        <f t="shared" si="11"/>
        <v>6.8965517241379309E-2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 t="s">
        <v>1274</v>
      </c>
      <c r="AI102" s="20" t="s">
        <v>1274</v>
      </c>
      <c r="AJ102" s="20" t="s">
        <v>1274</v>
      </c>
      <c r="AK102" s="20" t="s">
        <v>1274</v>
      </c>
      <c r="AL102" s="20" t="s">
        <v>1274</v>
      </c>
      <c r="AM102" s="20" t="s">
        <v>1274</v>
      </c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29</v>
      </c>
      <c r="I118" s="42">
        <f t="shared" si="10"/>
        <v>1</v>
      </c>
      <c r="J118" s="43">
        <f t="shared" si="11"/>
        <v>0.96666666666666667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 t="s">
        <v>1274</v>
      </c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29</v>
      </c>
      <c r="I119" s="42">
        <f t="shared" si="10"/>
        <v>1</v>
      </c>
      <c r="J119" s="43">
        <f t="shared" si="11"/>
        <v>0.96666666666666667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 t="s">
        <v>1274</v>
      </c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29</v>
      </c>
      <c r="I120" s="42">
        <f t="shared" si="10"/>
        <v>1</v>
      </c>
      <c r="J120" s="43">
        <f t="shared" si="11"/>
        <v>0.96666666666666667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 t="s">
        <v>1274</v>
      </c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29</v>
      </c>
      <c r="I121" s="42">
        <f t="shared" si="10"/>
        <v>1</v>
      </c>
      <c r="J121" s="43">
        <f t="shared" si="11"/>
        <v>0.96666666666666667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 t="s">
        <v>1274</v>
      </c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14</v>
      </c>
      <c r="I122" s="42">
        <f t="shared" si="10"/>
        <v>15</v>
      </c>
      <c r="J122" s="43">
        <f t="shared" si="11"/>
        <v>0.48275862068965519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 t="s">
        <v>1274</v>
      </c>
      <c r="AI122" s="20" t="s">
        <v>1274</v>
      </c>
      <c r="AJ122" s="20" t="s">
        <v>1274</v>
      </c>
      <c r="AK122" s="20" t="s">
        <v>1274</v>
      </c>
      <c r="AL122" s="20" t="s">
        <v>1274</v>
      </c>
      <c r="AM122" s="20" t="s">
        <v>1274</v>
      </c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29</v>
      </c>
      <c r="I138" s="42">
        <f t="shared" si="10"/>
        <v>1</v>
      </c>
      <c r="J138" s="43">
        <f t="shared" si="11"/>
        <v>0.96666666666666667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 t="s">
        <v>1274</v>
      </c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28</v>
      </c>
      <c r="I139" s="42">
        <f t="shared" si="10"/>
        <v>2</v>
      </c>
      <c r="J139" s="43">
        <f t="shared" si="11"/>
        <v>0.93333333333333335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 t="s">
        <v>1274</v>
      </c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</v>
      </c>
      <c r="I175" s="42">
        <f t="shared" si="12"/>
        <v>27</v>
      </c>
      <c r="J175" s="43">
        <f t="shared" si="13"/>
        <v>6.8965517241379309E-2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 t="s">
        <v>1274</v>
      </c>
      <c r="AJ175" s="20" t="s">
        <v>1274</v>
      </c>
      <c r="AK175" s="20" t="s">
        <v>1274</v>
      </c>
      <c r="AL175" s="20" t="s">
        <v>1274</v>
      </c>
      <c r="AM175" s="20" t="s">
        <v>1274</v>
      </c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28</v>
      </c>
      <c r="I176" s="42">
        <f t="shared" si="12"/>
        <v>2</v>
      </c>
      <c r="J176" s="43">
        <f t="shared" si="13"/>
        <v>0.93333333333333335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 t="s">
        <v>1274</v>
      </c>
      <c r="AJ176" s="20"/>
      <c r="AK176" s="20"/>
      <c r="AL176" s="20" t="s">
        <v>1274</v>
      </c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</v>
      </c>
      <c r="I177" s="42">
        <f t="shared" si="12"/>
        <v>27</v>
      </c>
      <c r="J177" s="43">
        <f t="shared" si="13"/>
        <v>6.8965517241379309E-2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 t="s">
        <v>1274</v>
      </c>
      <c r="AJ177" s="20" t="s">
        <v>1274</v>
      </c>
      <c r="AK177" s="20" t="s">
        <v>1274</v>
      </c>
      <c r="AL177" s="20" t="s">
        <v>1274</v>
      </c>
      <c r="AM177" s="20" t="s">
        <v>1274</v>
      </c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</v>
      </c>
      <c r="I182" s="42">
        <f t="shared" si="12"/>
        <v>27</v>
      </c>
      <c r="J182" s="43">
        <f t="shared" si="13"/>
        <v>6.8965517241379309E-2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 t="s">
        <v>1274</v>
      </c>
      <c r="AJ182" s="20" t="s">
        <v>1274</v>
      </c>
      <c r="AK182" s="20" t="s">
        <v>1274</v>
      </c>
      <c r="AL182" s="20" t="s">
        <v>1274</v>
      </c>
      <c r="AM182" s="20" t="s">
        <v>1274</v>
      </c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22</v>
      </c>
      <c r="I184" s="42">
        <f t="shared" si="12"/>
        <v>8</v>
      </c>
      <c r="J184" s="43">
        <f t="shared" si="13"/>
        <v>0.73333333333333328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 t="s">
        <v>1274</v>
      </c>
      <c r="AK184" s="20" t="s">
        <v>1274</v>
      </c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</v>
      </c>
      <c r="I185" s="42">
        <f t="shared" si="12"/>
        <v>28</v>
      </c>
      <c r="J185" s="43">
        <f t="shared" si="13"/>
        <v>3.4482758620689655E-2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 t="s">
        <v>1274</v>
      </c>
      <c r="AI185" s="20" t="s">
        <v>1274</v>
      </c>
      <c r="AJ185" s="20" t="s">
        <v>1274</v>
      </c>
      <c r="AK185" s="20" t="s">
        <v>1274</v>
      </c>
      <c r="AL185" s="20" t="s">
        <v>1274</v>
      </c>
      <c r="AM185" s="20" t="s">
        <v>1274</v>
      </c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</v>
      </c>
      <c r="I187" s="42">
        <f t="shared" si="12"/>
        <v>28</v>
      </c>
      <c r="J187" s="43">
        <f t="shared" si="13"/>
        <v>3.4482758620689655E-2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 t="s">
        <v>1274</v>
      </c>
      <c r="AI187" s="20" t="s">
        <v>1274</v>
      </c>
      <c r="AJ187" s="20" t="s">
        <v>1274</v>
      </c>
      <c r="AK187" s="20" t="s">
        <v>1274</v>
      </c>
      <c r="AL187" s="20" t="s">
        <v>1274</v>
      </c>
      <c r="AM187" s="20" t="s">
        <v>1274</v>
      </c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</v>
      </c>
      <c r="I198" s="42">
        <f>COUNTIF(K198:AL198,"APAGADO")</f>
        <v>28</v>
      </c>
      <c r="J198" s="43">
        <f>(H198)/(I198+H198)</f>
        <v>3.4482758620689655E-2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 t="s">
        <v>1274</v>
      </c>
      <c r="AI198" s="20" t="s">
        <v>1274</v>
      </c>
      <c r="AJ198" s="20" t="s">
        <v>1274</v>
      </c>
      <c r="AK198" s="20" t="s">
        <v>1274</v>
      </c>
      <c r="AL198" s="20" t="s">
        <v>1274</v>
      </c>
      <c r="AM198" s="20" t="s">
        <v>1274</v>
      </c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24</v>
      </c>
      <c r="I212" s="42">
        <f t="shared" si="12"/>
        <v>5</v>
      </c>
      <c r="J212" s="43">
        <f t="shared" si="13"/>
        <v>0.82758620689655171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 t="s">
        <v>1274</v>
      </c>
      <c r="AI212" s="20" t="s">
        <v>1274</v>
      </c>
      <c r="AJ212" s="20" t="s">
        <v>1274</v>
      </c>
      <c r="AK212" s="20" t="s">
        <v>1274</v>
      </c>
      <c r="AL212" s="20" t="s">
        <v>1274</v>
      </c>
      <c r="AM212" s="20" t="s">
        <v>1274</v>
      </c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28</v>
      </c>
      <c r="I220" s="42">
        <f t="shared" si="12"/>
        <v>2</v>
      </c>
      <c r="J220" s="43">
        <f t="shared" si="13"/>
        <v>0.93333333333333335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 t="s">
        <v>1274</v>
      </c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29</v>
      </c>
      <c r="I221" s="42">
        <f t="shared" si="12"/>
        <v>1</v>
      </c>
      <c r="J221" s="43">
        <f t="shared" si="13"/>
        <v>0.96666666666666667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 t="s">
        <v>1274</v>
      </c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29</v>
      </c>
      <c r="I222" s="42">
        <f t="shared" si="12"/>
        <v>1</v>
      </c>
      <c r="J222" s="43">
        <f t="shared" si="13"/>
        <v>0.96666666666666667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 t="s">
        <v>1274</v>
      </c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29</v>
      </c>
      <c r="I223" s="42">
        <f t="shared" si="12"/>
        <v>1</v>
      </c>
      <c r="J223" s="43">
        <f t="shared" si="13"/>
        <v>0.96666666666666667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 t="s">
        <v>1274</v>
      </c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</v>
      </c>
      <c r="I229" s="42">
        <f t="shared" si="12"/>
        <v>27</v>
      </c>
      <c r="J229" s="43">
        <f t="shared" si="13"/>
        <v>6.8965517241379309E-2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 t="s">
        <v>1274</v>
      </c>
      <c r="AI229" s="20" t="s">
        <v>1274</v>
      </c>
      <c r="AJ229" s="20" t="s">
        <v>1274</v>
      </c>
      <c r="AK229" s="20" t="s">
        <v>1274</v>
      </c>
      <c r="AL229" s="20" t="s">
        <v>1274</v>
      </c>
      <c r="AM229" s="20" t="s">
        <v>1274</v>
      </c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3</v>
      </c>
      <c r="I236" s="42">
        <f t="shared" si="19"/>
        <v>26</v>
      </c>
      <c r="J236" s="43">
        <f t="shared" si="20"/>
        <v>0.10344827586206896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 t="s">
        <v>1274</v>
      </c>
      <c r="AI236" s="20" t="s">
        <v>1274</v>
      </c>
      <c r="AJ236" s="20" t="s">
        <v>1274</v>
      </c>
      <c r="AK236" s="20" t="s">
        <v>1274</v>
      </c>
      <c r="AL236" s="20" t="s">
        <v>1274</v>
      </c>
      <c r="AM236" s="20" t="s">
        <v>1274</v>
      </c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29</v>
      </c>
      <c r="I237" s="42">
        <f t="shared" si="19"/>
        <v>1</v>
      </c>
      <c r="J237" s="43">
        <f t="shared" si="20"/>
        <v>0.96666666666666667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 t="s">
        <v>1274</v>
      </c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29</v>
      </c>
      <c r="I238" s="42">
        <f t="shared" si="19"/>
        <v>1</v>
      </c>
      <c r="J238" s="43">
        <f t="shared" si="20"/>
        <v>0.96666666666666667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 t="s">
        <v>1274</v>
      </c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26</v>
      </c>
      <c r="I241" s="42">
        <f t="shared" si="19"/>
        <v>4</v>
      </c>
      <c r="J241" s="43">
        <f t="shared" si="20"/>
        <v>0.8666666666666667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 t="s">
        <v>1274</v>
      </c>
      <c r="AI241" s="20" t="s">
        <v>1274</v>
      </c>
      <c r="AJ241" s="20"/>
      <c r="AK241" s="20"/>
      <c r="AL241" s="20" t="s">
        <v>1274</v>
      </c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</v>
      </c>
      <c r="I256" s="42">
        <f t="shared" si="19"/>
        <v>28</v>
      </c>
      <c r="J256" s="43">
        <f t="shared" si="20"/>
        <v>3.4482758620689655E-2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 t="s">
        <v>1274</v>
      </c>
      <c r="AI256" s="20" t="s">
        <v>1274</v>
      </c>
      <c r="AJ256" s="20" t="s">
        <v>1274</v>
      </c>
      <c r="AK256" s="20" t="s">
        <v>1274</v>
      </c>
      <c r="AL256" s="20" t="s">
        <v>1274</v>
      </c>
      <c r="AM256" s="20" t="s">
        <v>1274</v>
      </c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25</v>
      </c>
      <c r="I267" s="42">
        <f t="shared" si="19"/>
        <v>4</v>
      </c>
      <c r="J267" s="43">
        <f t="shared" si="20"/>
        <v>0.86206896551724133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 t="s">
        <v>1274</v>
      </c>
      <c r="AJ267" s="20" t="s">
        <v>1274</v>
      </c>
      <c r="AK267" s="20" t="s">
        <v>1274</v>
      </c>
      <c r="AL267" s="20" t="s">
        <v>1274</v>
      </c>
      <c r="AM267" s="20" t="s">
        <v>1274</v>
      </c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25</v>
      </c>
      <c r="I268" s="42">
        <f t="shared" si="19"/>
        <v>4</v>
      </c>
      <c r="J268" s="43">
        <f t="shared" si="20"/>
        <v>0.86206896551724133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 t="s">
        <v>1274</v>
      </c>
      <c r="AJ268" s="20" t="s">
        <v>1274</v>
      </c>
      <c r="AK268" s="20" t="s">
        <v>1274</v>
      </c>
      <c r="AL268" s="20" t="s">
        <v>1274</v>
      </c>
      <c r="AM268" s="20" t="s">
        <v>1274</v>
      </c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25</v>
      </c>
      <c r="I275" s="42">
        <f t="shared" si="19"/>
        <v>5</v>
      </c>
      <c r="J275" s="43">
        <f t="shared" si="20"/>
        <v>0.83333333333333337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 t="s">
        <v>1274</v>
      </c>
      <c r="AJ275" s="20" t="s">
        <v>1274</v>
      </c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20</v>
      </c>
      <c r="I302" s="42">
        <f t="shared" si="22"/>
        <v>10</v>
      </c>
      <c r="J302" s="43">
        <f t="shared" si="23"/>
        <v>0.66666666666666663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 t="s">
        <v>1274</v>
      </c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20</v>
      </c>
      <c r="I315" s="42">
        <f t="shared" si="22"/>
        <v>10</v>
      </c>
      <c r="J315" s="43">
        <f t="shared" si="23"/>
        <v>0.66666666666666663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 t="s">
        <v>1274</v>
      </c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23</v>
      </c>
      <c r="I316" s="42">
        <f t="shared" si="22"/>
        <v>7</v>
      </c>
      <c r="J316" s="43">
        <f t="shared" si="23"/>
        <v>0.76666666666666672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 t="s">
        <v>1274</v>
      </c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28</v>
      </c>
      <c r="I323" s="42">
        <f t="shared" si="22"/>
        <v>2</v>
      </c>
      <c r="J323" s="43">
        <f t="shared" si="23"/>
        <v>0.93333333333333335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 t="s">
        <v>1274</v>
      </c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29</v>
      </c>
      <c r="I335" s="42">
        <f t="shared" si="22"/>
        <v>1</v>
      </c>
      <c r="J335" s="43">
        <f t="shared" si="23"/>
        <v>0.96666666666666667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 t="s">
        <v>1274</v>
      </c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20</v>
      </c>
      <c r="I345" s="42">
        <f t="shared" si="22"/>
        <v>9</v>
      </c>
      <c r="J345" s="43">
        <f t="shared" si="23"/>
        <v>0.68965517241379315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 t="s">
        <v>1274</v>
      </c>
      <c r="AI345" s="20" t="s">
        <v>1274</v>
      </c>
      <c r="AJ345" s="20" t="s">
        <v>1274</v>
      </c>
      <c r="AK345" s="20" t="s">
        <v>1274</v>
      </c>
      <c r="AL345" s="20" t="s">
        <v>1274</v>
      </c>
      <c r="AM345" s="20" t="s">
        <v>1274</v>
      </c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21</v>
      </c>
      <c r="I347" s="42">
        <f t="shared" si="22"/>
        <v>8</v>
      </c>
      <c r="J347" s="43">
        <f t="shared" si="23"/>
        <v>0.72413793103448276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 t="s">
        <v>1274</v>
      </c>
      <c r="AI347" s="20" t="s">
        <v>1274</v>
      </c>
      <c r="AJ347" s="20" t="s">
        <v>1274</v>
      </c>
      <c r="AK347" s="20" t="s">
        <v>1274</v>
      </c>
      <c r="AL347" s="20" t="s">
        <v>1274</v>
      </c>
      <c r="AM347" s="20" t="s">
        <v>1274</v>
      </c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23</v>
      </c>
      <c r="I348" s="42">
        <f t="shared" si="22"/>
        <v>6</v>
      </c>
      <c r="J348" s="43">
        <f t="shared" si="23"/>
        <v>0.7931034482758621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 t="s">
        <v>1274</v>
      </c>
      <c r="AI348" s="20" t="s">
        <v>1274</v>
      </c>
      <c r="AJ348" s="20" t="s">
        <v>1274</v>
      </c>
      <c r="AK348" s="20" t="s">
        <v>1274</v>
      </c>
      <c r="AL348" s="20" t="s">
        <v>1274</v>
      </c>
      <c r="AM348" s="20" t="s">
        <v>1274</v>
      </c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23</v>
      </c>
      <c r="I349" s="42">
        <f t="shared" si="22"/>
        <v>6</v>
      </c>
      <c r="J349" s="43">
        <f t="shared" si="23"/>
        <v>0.7931034482758621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 t="s">
        <v>1274</v>
      </c>
      <c r="AI349" s="20" t="s">
        <v>1274</v>
      </c>
      <c r="AJ349" s="20" t="s">
        <v>1274</v>
      </c>
      <c r="AK349" s="20" t="s">
        <v>1274</v>
      </c>
      <c r="AL349" s="20" t="s">
        <v>1274</v>
      </c>
      <c r="AM349" s="20" t="s">
        <v>1274</v>
      </c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23</v>
      </c>
      <c r="I350" s="42">
        <f t="shared" si="22"/>
        <v>6</v>
      </c>
      <c r="J350" s="43">
        <f t="shared" si="23"/>
        <v>0.7931034482758621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 t="s">
        <v>1274</v>
      </c>
      <c r="AI350" s="20" t="s">
        <v>1274</v>
      </c>
      <c r="AJ350" s="20" t="s">
        <v>1274</v>
      </c>
      <c r="AK350" s="20" t="s">
        <v>1274</v>
      </c>
      <c r="AL350" s="20" t="s">
        <v>1274</v>
      </c>
      <c r="AM350" s="20" t="s">
        <v>1274</v>
      </c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23</v>
      </c>
      <c r="I351" s="42">
        <f t="shared" si="22"/>
        <v>6</v>
      </c>
      <c r="J351" s="43">
        <f t="shared" si="23"/>
        <v>0.7931034482758621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 t="s">
        <v>1274</v>
      </c>
      <c r="AI351" s="20" t="s">
        <v>1274</v>
      </c>
      <c r="AJ351" s="20" t="s">
        <v>1274</v>
      </c>
      <c r="AK351" s="20" t="s">
        <v>1274</v>
      </c>
      <c r="AL351" s="20" t="s">
        <v>1274</v>
      </c>
      <c r="AM351" s="20" t="s">
        <v>1274</v>
      </c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7</v>
      </c>
      <c r="I360" s="42">
        <f t="shared" si="22"/>
        <v>23</v>
      </c>
      <c r="J360" s="43">
        <f t="shared" si="23"/>
        <v>0.23333333333333334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 t="s">
        <v>1274</v>
      </c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16</v>
      </c>
      <c r="I371" s="42">
        <f t="shared" si="22"/>
        <v>14</v>
      </c>
      <c r="J371" s="43">
        <f t="shared" si="23"/>
        <v>0.53333333333333333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 t="s">
        <v>1274</v>
      </c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7</v>
      </c>
      <c r="I374" s="42">
        <f t="shared" si="22"/>
        <v>22</v>
      </c>
      <c r="J374" s="43">
        <f t="shared" si="23"/>
        <v>0.2413793103448276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 t="s">
        <v>1274</v>
      </c>
      <c r="AI374" s="20" t="s">
        <v>1274</v>
      </c>
      <c r="AJ374" s="20" t="s">
        <v>1274</v>
      </c>
      <c r="AK374" s="20" t="s">
        <v>1274</v>
      </c>
      <c r="AL374" s="20" t="s">
        <v>1274</v>
      </c>
      <c r="AM374" s="20" t="s">
        <v>1274</v>
      </c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</v>
      </c>
      <c r="I379" s="42">
        <f t="shared" si="28"/>
        <v>28</v>
      </c>
      <c r="J379" s="43">
        <f t="shared" si="29"/>
        <v>3.4482758620689655E-2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 t="s">
        <v>1274</v>
      </c>
      <c r="AI379" s="20" t="s">
        <v>1274</v>
      </c>
      <c r="AJ379" s="20" t="s">
        <v>1274</v>
      </c>
      <c r="AK379" s="20" t="s">
        <v>1274</v>
      </c>
      <c r="AL379" s="20" t="s">
        <v>1274</v>
      </c>
      <c r="AM379" s="20" t="s">
        <v>1274</v>
      </c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14</v>
      </c>
      <c r="I390" s="42">
        <f t="shared" si="28"/>
        <v>15</v>
      </c>
      <c r="J390" s="43">
        <f t="shared" si="29"/>
        <v>0.48275862068965519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 t="s">
        <v>1274</v>
      </c>
      <c r="AI390" s="20" t="s">
        <v>1274</v>
      </c>
      <c r="AJ390" s="20"/>
      <c r="AK390" s="20" t="s">
        <v>1274</v>
      </c>
      <c r="AL390" s="20" t="s">
        <v>1274</v>
      </c>
      <c r="AM390" s="20" t="s">
        <v>1274</v>
      </c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14</v>
      </c>
      <c r="I391" s="42">
        <f t="shared" si="28"/>
        <v>15</v>
      </c>
      <c r="J391" s="43">
        <f t="shared" si="29"/>
        <v>0.48275862068965519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 t="s">
        <v>1274</v>
      </c>
      <c r="AI391" s="20" t="s">
        <v>1274</v>
      </c>
      <c r="AJ391" s="20"/>
      <c r="AK391" s="20" t="s">
        <v>1274</v>
      </c>
      <c r="AL391" s="20" t="s">
        <v>1274</v>
      </c>
      <c r="AM391" s="20" t="s">
        <v>1274</v>
      </c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23</v>
      </c>
      <c r="I405" s="42">
        <f t="shared" si="28"/>
        <v>6</v>
      </c>
      <c r="J405" s="43">
        <f t="shared" si="29"/>
        <v>0.7931034482758621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 t="s">
        <v>1274</v>
      </c>
      <c r="AI405" s="20" t="s">
        <v>1274</v>
      </c>
      <c r="AJ405" s="20" t="s">
        <v>1274</v>
      </c>
      <c r="AK405" s="20" t="s">
        <v>1274</v>
      </c>
      <c r="AL405" s="20" t="s">
        <v>1274</v>
      </c>
      <c r="AM405" s="20" t="s">
        <v>1274</v>
      </c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</v>
      </c>
      <c r="I420" s="42">
        <f t="shared" si="28"/>
        <v>28</v>
      </c>
      <c r="J420" s="43">
        <f t="shared" si="29"/>
        <v>3.4482758620689655E-2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 t="s">
        <v>1274</v>
      </c>
      <c r="AI420" s="20" t="s">
        <v>1274</v>
      </c>
      <c r="AJ420" s="20" t="s">
        <v>1274</v>
      </c>
      <c r="AK420" s="20" t="s">
        <v>1274</v>
      </c>
      <c r="AL420" s="20" t="s">
        <v>1274</v>
      </c>
      <c r="AM420" s="20" t="s">
        <v>1274</v>
      </c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25</v>
      </c>
      <c r="I432" s="42">
        <f t="shared" si="28"/>
        <v>4</v>
      </c>
      <c r="J432" s="43">
        <f t="shared" si="29"/>
        <v>0.86206896551724133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 t="s">
        <v>1274</v>
      </c>
      <c r="AL432" s="20"/>
      <c r="AM432" s="20" t="s">
        <v>1274</v>
      </c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J104:J115 J308:K353 L409:AF434 J396:J434 J4:J22 AO264:AO405 J264:AN307 J261:AO263 L317:AN353 J354:AN377 R378:AN391 AG396:AN405 R205:AN260 J23:AO103 AO106:AO260 J116:AN204 K8:AO22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6:G426 E428:G1048576 E1:G415">
    <cfRule type="containsText" dxfId="735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308:K353 L161:AN204 K161:K260 K435:AO1048576 AO264:AO434 K261:AO263 L317:AN353 K354:AN377 R378:AN391 R205:AN260 R394:AN408 K116:AN160 AO106:AO260 K8:AO103 K409:AN434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2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2">
    <cfRule type="notContainsText" dxfId="730" priority="525" operator="notContains" text="Caida">
      <formula>ISERROR(SEARCH("Caida",L382))</formula>
    </cfRule>
    <cfRule type="containsText" dxfId="729" priority="526" operator="containsText" text="Caida">
      <formula>NOT(ISERROR(SEARCH("Caida",L382)))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0">
    <cfRule type="notContainsText" dxfId="725" priority="561" operator="notContains" text="Caida">
      <formula>ISERROR(SEARCH("Caida",L310))</formula>
    </cfRule>
    <cfRule type="containsText" dxfId="724" priority="562" operator="containsText" text="Caida">
      <formula>NOT(ISERROR(SEARCH("Caida",L310)))</formula>
    </cfRule>
  </conditionalFormatting>
  <conditionalFormatting sqref="L311:L312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1:L312">
    <cfRule type="notContainsText" dxfId="721" priority="557" operator="notContains" text="Caida">
      <formula>ISERROR(SEARCH("Caida",L311))</formula>
    </cfRule>
    <cfRule type="containsText" dxfId="720" priority="558" operator="containsText" text="Caida">
      <formula>NOT(ISERROR(SEARCH("Caida",L311)))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0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0">
    <cfRule type="notContainsText" dxfId="713" priority="549" operator="notContains" text="Caida">
      <formula>ISERROR(SEARCH("Caida",L250))</formula>
    </cfRule>
    <cfRule type="containsText" dxfId="712" priority="550" operator="containsText" text="Caida">
      <formula>NOT(ISERROR(SEARCH("Caida",L250)))</formula>
    </cfRule>
  </conditionalFormatting>
  <conditionalFormatting sqref="L251:L255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1:L255">
    <cfRule type="notContainsText" dxfId="709" priority="545" operator="notContains" text="Caida">
      <formula>ISERROR(SEARCH("Caida",L251))</formula>
    </cfRule>
    <cfRule type="containsText" dxfId="708" priority="546" operator="containsText" text="Caida">
      <formula>NOT(ISERROR(SEARCH("Caida",L251)))</formula>
    </cfRule>
  </conditionalFormatting>
  <conditionalFormatting sqref="L256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6">
    <cfRule type="notContainsText" dxfId="705" priority="541" operator="notContains" text="Caida">
      <formula>ISERROR(SEARCH("Caida",L256))</formula>
    </cfRule>
    <cfRule type="containsText" dxfId="704" priority="542" operator="containsText" text="Caida">
      <formula>NOT(ISERROR(SEARCH("Caida",L256)))</formula>
    </cfRule>
  </conditionalFormatting>
  <conditionalFormatting sqref="L257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7">
    <cfRule type="notContainsText" dxfId="701" priority="537" operator="notContains" text="Caida">
      <formula>ISERROR(SEARCH("Caida",L257))</formula>
    </cfRule>
    <cfRule type="containsText" dxfId="700" priority="538" operator="containsText" text="Caida">
      <formula>NOT(ISERROR(SEARCH("Caida",L257)))</formula>
    </cfRule>
  </conditionalFormatting>
  <conditionalFormatting sqref="L258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58">
    <cfRule type="notContainsText" dxfId="697" priority="533" operator="notContains" text="Caida">
      <formula>ISERROR(SEARCH("Caida",L258))</formula>
    </cfRule>
    <cfRule type="containsText" dxfId="696" priority="534" operator="containsText" text="Caida">
      <formula>NOT(ISERROR(SEARCH("Caida",L258)))</formula>
    </cfRule>
  </conditionalFormatting>
  <conditionalFormatting sqref="L381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1">
    <cfRule type="notContainsText" dxfId="693" priority="529" operator="notContains" text="Caida">
      <formula>ISERROR(SEARCH("Caida",L381))</formula>
    </cfRule>
    <cfRule type="containsText" dxfId="692" priority="530" operator="containsText" text="Caida">
      <formula>NOT(ISERROR(SEARCH("Caida",L381)))</formula>
    </cfRule>
  </conditionalFormatting>
  <conditionalFormatting sqref="M382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2">
    <cfRule type="notContainsText" dxfId="689" priority="484" operator="notContains" text="Caida">
      <formula>ISERROR(SEARCH("Caida",M382))</formula>
    </cfRule>
    <cfRule type="containsText" dxfId="688" priority="485" operator="containsText" text="Caida">
      <formula>NOT(ISERROR(SEARCH("Caida",M382)))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0">
    <cfRule type="notContainsText" dxfId="684" priority="520" operator="notContains" text="Caida">
      <formula>ISERROR(SEARCH("Caida",M310))</formula>
    </cfRule>
    <cfRule type="containsText" dxfId="683" priority="521" operator="containsText" text="Caida">
      <formula>NOT(ISERROR(SEARCH("Caida",M310)))</formula>
    </cfRule>
  </conditionalFormatting>
  <conditionalFormatting sqref="M311:M312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1:M312">
    <cfRule type="notContainsText" dxfId="680" priority="516" operator="notContains" text="Caida">
      <formula>ISERROR(SEARCH("Caida",M311))</formula>
    </cfRule>
    <cfRule type="containsText" dxfId="679" priority="517" operator="containsText" text="Caida">
      <formula>NOT(ISERROR(SEARCH("Caida",M311)))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0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0">
    <cfRule type="notContainsText" dxfId="672" priority="508" operator="notContains" text="Caida">
      <formula>ISERROR(SEARCH("Caida",M250))</formula>
    </cfRule>
    <cfRule type="containsText" dxfId="671" priority="509" operator="containsText" text="Caida">
      <formula>NOT(ISERROR(SEARCH("Caida",M250)))</formula>
    </cfRule>
  </conditionalFormatting>
  <conditionalFormatting sqref="M251:M255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1:M255">
    <cfRule type="notContainsText" dxfId="668" priority="504" operator="notContains" text="Caida">
      <formula>ISERROR(SEARCH("Caida",M251))</formula>
    </cfRule>
    <cfRule type="containsText" dxfId="667" priority="505" operator="containsText" text="Caida">
      <formula>NOT(ISERROR(SEARCH("Caida",M251)))</formula>
    </cfRule>
  </conditionalFormatting>
  <conditionalFormatting sqref="M256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6">
    <cfRule type="notContainsText" dxfId="664" priority="500" operator="notContains" text="Caida">
      <formula>ISERROR(SEARCH("Caida",M256))</formula>
    </cfRule>
    <cfRule type="containsText" dxfId="663" priority="501" operator="containsText" text="Caida">
      <formula>NOT(ISERROR(SEARCH("Caida",M256)))</formula>
    </cfRule>
  </conditionalFormatting>
  <conditionalFormatting sqref="M257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7">
    <cfRule type="notContainsText" dxfId="660" priority="496" operator="notContains" text="Caida">
      <formula>ISERROR(SEARCH("Caida",M257))</formula>
    </cfRule>
    <cfRule type="containsText" dxfId="659" priority="497" operator="containsText" text="Caida">
      <formula>NOT(ISERROR(SEARCH("Caida",M257)))</formula>
    </cfRule>
  </conditionalFormatting>
  <conditionalFormatting sqref="M258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58">
    <cfRule type="notContainsText" dxfId="656" priority="492" operator="notContains" text="Caida">
      <formula>ISERROR(SEARCH("Caida",M258))</formula>
    </cfRule>
    <cfRule type="containsText" dxfId="655" priority="493" operator="containsText" text="Caida">
      <formula>NOT(ISERROR(SEARCH("Caida",M258)))</formula>
    </cfRule>
  </conditionalFormatting>
  <conditionalFormatting sqref="M381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1">
    <cfRule type="notContainsText" dxfId="652" priority="488" operator="notContains" text="Caida">
      <formula>ISERROR(SEARCH("Caida",M381))</formula>
    </cfRule>
    <cfRule type="containsText" dxfId="651" priority="489" operator="containsText" text="Caida">
      <formula>NOT(ISERROR(SEARCH("Caida",M381)))</formula>
    </cfRule>
  </conditionalFormatting>
  <conditionalFormatting sqref="N382:P382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2:P382">
    <cfRule type="notContainsText" dxfId="648" priority="443" operator="notContains" text="Caida">
      <formula>ISERROR(SEARCH("Caida",N382))</formula>
    </cfRule>
    <cfRule type="containsText" dxfId="647" priority="444" operator="containsText" text="Caida">
      <formula>NOT(ISERROR(SEARCH("Caida",N382)))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0:P310">
    <cfRule type="notContainsText" dxfId="643" priority="479" operator="notContains" text="Caida">
      <formula>ISERROR(SEARCH("Caida",N310))</formula>
    </cfRule>
    <cfRule type="containsText" dxfId="642" priority="480" operator="containsText" text="Caida">
      <formula>NOT(ISERROR(SEARCH("Caida",N310)))</formula>
    </cfRule>
  </conditionalFormatting>
  <conditionalFormatting sqref="N311:P312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1:P312">
    <cfRule type="notContainsText" dxfId="639" priority="475" operator="notContains" text="Caida">
      <formula>ISERROR(SEARCH("Caida",N311))</formula>
    </cfRule>
    <cfRule type="containsText" dxfId="638" priority="476" operator="containsText" text="Caida">
      <formula>NOT(ISERROR(SEARCH("Caida",N311)))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0:P250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0:P250">
    <cfRule type="notContainsText" dxfId="631" priority="467" operator="notContains" text="Caida">
      <formula>ISERROR(SEARCH("Caida",N250))</formula>
    </cfRule>
    <cfRule type="containsText" dxfId="630" priority="468" operator="containsText" text="Caida">
      <formula>NOT(ISERROR(SEARCH("Caida",N250)))</formula>
    </cfRule>
  </conditionalFormatting>
  <conditionalFormatting sqref="N251:P255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1:P255">
    <cfRule type="notContainsText" dxfId="627" priority="463" operator="notContains" text="Caida">
      <formula>ISERROR(SEARCH("Caida",N251))</formula>
    </cfRule>
    <cfRule type="containsText" dxfId="626" priority="464" operator="containsText" text="Caida">
      <formula>NOT(ISERROR(SEARCH("Caida",N251)))</formula>
    </cfRule>
  </conditionalFormatting>
  <conditionalFormatting sqref="N256:P256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6:P256">
    <cfRule type="notContainsText" dxfId="623" priority="459" operator="notContains" text="Caida">
      <formula>ISERROR(SEARCH("Caida",N256))</formula>
    </cfRule>
    <cfRule type="containsText" dxfId="622" priority="460" operator="containsText" text="Caida">
      <formula>NOT(ISERROR(SEARCH("Caida",N256)))</formula>
    </cfRule>
  </conditionalFormatting>
  <conditionalFormatting sqref="N257:P257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7:P257">
    <cfRule type="notContainsText" dxfId="619" priority="455" operator="notContains" text="Caida">
      <formula>ISERROR(SEARCH("Caida",N257))</formula>
    </cfRule>
    <cfRule type="containsText" dxfId="618" priority="456" operator="containsText" text="Caida">
      <formula>NOT(ISERROR(SEARCH("Caida",N257)))</formula>
    </cfRule>
  </conditionalFormatting>
  <conditionalFormatting sqref="N258:P258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58:P258">
    <cfRule type="notContainsText" dxfId="615" priority="451" operator="notContains" text="Caida">
      <formula>ISERROR(SEARCH("Caida",N258))</formula>
    </cfRule>
    <cfRule type="containsText" dxfId="614" priority="452" operator="containsText" text="Caida">
      <formula>NOT(ISERROR(SEARCH("Caida",N258)))</formula>
    </cfRule>
  </conditionalFormatting>
  <conditionalFormatting sqref="N381:P381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1:P381">
    <cfRule type="notContainsText" dxfId="611" priority="447" operator="notContains" text="Caida">
      <formula>ISERROR(SEARCH("Caida",N381))</formula>
    </cfRule>
    <cfRule type="containsText" dxfId="610" priority="448" operator="containsText" text="Caida">
      <formula>NOT(ISERROR(SEARCH("Caida",N381)))</formula>
    </cfRule>
  </conditionalFormatting>
  <conditionalFormatting sqref="L104:L106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4:L106">
    <cfRule type="notContainsText" dxfId="607" priority="439" operator="notContains" text="Caida">
      <formula>ISERROR(SEARCH("Caida",L104))</formula>
    </cfRule>
    <cfRule type="containsText" dxfId="606" priority="440" operator="containsText" text="Caida">
      <formula>NOT(ISERROR(SEARCH("Caida",L104)))</formula>
    </cfRule>
  </conditionalFormatting>
  <conditionalFormatting sqref="M104:M106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4:M106">
    <cfRule type="notContainsText" dxfId="603" priority="435" operator="notContains" text="Caida">
      <formula>ISERROR(SEARCH("Caida",M104))</formula>
    </cfRule>
    <cfRule type="containsText" dxfId="602" priority="436" operator="containsText" text="Caida">
      <formula>NOT(ISERROR(SEARCH("Caida",M104)))</formula>
    </cfRule>
  </conditionalFormatting>
  <conditionalFormatting sqref="N104:N106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4:N106">
    <cfRule type="notContainsText" dxfId="599" priority="431" operator="notContains" text="Caida">
      <formula>ISERROR(SEARCH("Caida",N104))</formula>
    </cfRule>
    <cfRule type="containsText" dxfId="598" priority="432" operator="containsText" text="Caida">
      <formula>NOT(ISERROR(SEARCH("Caida",N104)))</formula>
    </cfRule>
  </conditionalFormatting>
  <conditionalFormatting sqref="L403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3">
    <cfRule type="notContainsText" dxfId="595" priority="427" operator="notContains" text="Caida">
      <formula>ISERROR(SEARCH("Caida",L403))</formula>
    </cfRule>
    <cfRule type="containsText" dxfId="594" priority="428" operator="containsText" text="Caida">
      <formula>NOT(ISERROR(SEARCH("Caida",L403)))</formula>
    </cfRule>
  </conditionalFormatting>
  <conditionalFormatting sqref="M403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3">
    <cfRule type="notContainsText" dxfId="591" priority="423" operator="notContains" text="Caida">
      <formula>ISERROR(SEARCH("Caida",M403))</formula>
    </cfRule>
    <cfRule type="containsText" dxfId="590" priority="424" operator="containsText" text="Caida">
      <formula>NOT(ISERROR(SEARCH("Caida",M403)))</formula>
    </cfRule>
  </conditionalFormatting>
  <conditionalFormatting sqref="N403:P403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3:P403">
    <cfRule type="notContainsText" dxfId="587" priority="419" operator="notContains" text="Caida">
      <formula>ISERROR(SEARCH("Caida",N403))</formula>
    </cfRule>
    <cfRule type="containsText" dxfId="586" priority="420" operator="containsText" text="Caida">
      <formula>NOT(ISERROR(SEARCH("Caida",N403)))</formula>
    </cfRule>
  </conditionalFormatting>
  <conditionalFormatting sqref="L404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4">
    <cfRule type="notContainsText" dxfId="583" priority="415" operator="notContains" text="Caida">
      <formula>ISERROR(SEARCH("Caida",L404))</formula>
    </cfRule>
    <cfRule type="containsText" dxfId="582" priority="416" operator="containsText" text="Caida">
      <formula>NOT(ISERROR(SEARCH("Caida",L404)))</formula>
    </cfRule>
  </conditionalFormatting>
  <conditionalFormatting sqref="M404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4">
    <cfRule type="notContainsText" dxfId="579" priority="411" operator="notContains" text="Caida">
      <formula>ISERROR(SEARCH("Caida",M404))</formula>
    </cfRule>
    <cfRule type="containsText" dxfId="578" priority="412" operator="containsText" text="Caida">
      <formula>NOT(ISERROR(SEARCH("Caida",M404)))</formula>
    </cfRule>
  </conditionalFormatting>
  <conditionalFormatting sqref="N404:P404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4:P404">
    <cfRule type="notContainsText" dxfId="575" priority="407" operator="notContains" text="Caida">
      <formula>ISERROR(SEARCH("Caida",N404))</formula>
    </cfRule>
    <cfRule type="containsText" dxfId="574" priority="408" operator="containsText" text="Caida">
      <formula>NOT(ISERROR(SEARCH("Caida",N404)))</formula>
    </cfRule>
  </conditionalFormatting>
  <conditionalFormatting sqref="L405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5">
    <cfRule type="notContainsText" dxfId="571" priority="403" operator="notContains" text="Caida">
      <formula>ISERROR(SEARCH("Caida",L405))</formula>
    </cfRule>
    <cfRule type="containsText" dxfId="570" priority="404" operator="containsText" text="Caida">
      <formula>NOT(ISERROR(SEARCH("Caida",L405)))</formula>
    </cfRule>
  </conditionalFormatting>
  <conditionalFormatting sqref="M405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5">
    <cfRule type="notContainsText" dxfId="567" priority="399" operator="notContains" text="Caida">
      <formula>ISERROR(SEARCH("Caida",M405))</formula>
    </cfRule>
    <cfRule type="containsText" dxfId="566" priority="400" operator="containsText" text="Caida">
      <formula>NOT(ISERROR(SEARCH("Caida",M405)))</formula>
    </cfRule>
  </conditionalFormatting>
  <conditionalFormatting sqref="N405:P405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5:P405">
    <cfRule type="notContainsText" dxfId="563" priority="395" operator="notContains" text="Caida">
      <formula>ISERROR(SEARCH("Caida",N405))</formula>
    </cfRule>
    <cfRule type="containsText" dxfId="562" priority="396" operator="containsText" text="Caida">
      <formula>NOT(ISERROR(SEARCH("Caida",N405)))</formula>
    </cfRule>
  </conditionalFormatting>
  <conditionalFormatting sqref="Q250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0">
    <cfRule type="notContainsText" dxfId="559" priority="366" operator="notContains" text="Caida">
      <formula>ISERROR(SEARCH("Caida",Q250))</formula>
    </cfRule>
    <cfRule type="containsText" dxfId="558" priority="367" operator="containsText" text="Caida">
      <formula>NOT(ISERROR(SEARCH("Caida",Q250)))</formula>
    </cfRule>
  </conditionalFormatting>
  <conditionalFormatting sqref="Q251:Q255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1:Q255">
    <cfRule type="notContainsText" dxfId="555" priority="362" operator="notContains" text="Caida">
      <formula>ISERROR(SEARCH("Caida",Q251))</formula>
    </cfRule>
    <cfRule type="containsText" dxfId="554" priority="363" operator="containsText" text="Caida">
      <formula>NOT(ISERROR(SEARCH("Caida",Q251)))</formula>
    </cfRule>
  </conditionalFormatting>
  <conditionalFormatting sqref="L406:L408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6:L408">
    <cfRule type="notContainsText" dxfId="551" priority="391" operator="notContains" text="Caida">
      <formula>ISERROR(SEARCH("Caida",L406))</formula>
    </cfRule>
    <cfRule type="containsText" dxfId="550" priority="392" operator="containsText" text="Caida">
      <formula>NOT(ISERROR(SEARCH("Caida",L406)))</formula>
    </cfRule>
  </conditionalFormatting>
  <conditionalFormatting sqref="M406:M408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6:M408">
    <cfRule type="notContainsText" dxfId="547" priority="387" operator="notContains" text="Caida">
      <formula>ISERROR(SEARCH("Caida",M406))</formula>
    </cfRule>
    <cfRule type="containsText" dxfId="546" priority="388" operator="containsText" text="Caida">
      <formula>NOT(ISERROR(SEARCH("Caida",M406)))</formula>
    </cfRule>
  </conditionalFormatting>
  <conditionalFormatting sqref="N406:P406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6:P406">
    <cfRule type="notContainsText" dxfId="543" priority="383" operator="notContains" text="Caida">
      <formula>ISERROR(SEARCH("Caida",N406))</formula>
    </cfRule>
    <cfRule type="containsText" dxfId="542" priority="384" operator="containsText" text="Caida">
      <formula>NOT(ISERROR(SEARCH("Caida",N406)))</formula>
    </cfRule>
  </conditionalFormatting>
  <conditionalFormatting sqref="Q404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4">
    <cfRule type="notContainsText" dxfId="539" priority="330" operator="notContains" text="Caida">
      <formula>ISERROR(SEARCH("Caida",Q404))</formula>
    </cfRule>
    <cfRule type="containsText" dxfId="538" priority="331" operator="containsText" text="Caida">
      <formula>NOT(ISERROR(SEARCH("Caida",Q404)))</formula>
    </cfRule>
  </conditionalFormatting>
  <conditionalFormatting sqref="Q405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5">
    <cfRule type="notContainsText" dxfId="535" priority="326" operator="notContains" text="Caida">
      <formula>ISERROR(SEARCH("Caida",Q405))</formula>
    </cfRule>
    <cfRule type="containsText" dxfId="534" priority="327" operator="containsText" text="Caida">
      <formula>NOT(ISERROR(SEARCH("Caida",Q405)))</formula>
    </cfRule>
  </conditionalFormatting>
  <conditionalFormatting sqref="Q406:Q408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6:Q408">
    <cfRule type="notContainsText" dxfId="531" priority="322" operator="notContains" text="Caida">
      <formula>ISERROR(SEARCH("Caida",Q406))</formula>
    </cfRule>
    <cfRule type="containsText" dxfId="530" priority="323" operator="containsText" text="Caida">
      <formula>NOT(ISERROR(SEARCH("Caida",Q406)))</formula>
    </cfRule>
  </conditionalFormatting>
  <conditionalFormatting sqref="Q382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2">
    <cfRule type="notContainsText" dxfId="527" priority="342" operator="notContains" text="Caida">
      <formula>ISERROR(SEARCH("Caida",Q382))</formula>
    </cfRule>
    <cfRule type="containsText" dxfId="526" priority="343" operator="containsText" text="Caida">
      <formula>NOT(ISERROR(SEARCH("Caida",Q382)))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0">
    <cfRule type="notContainsText" dxfId="522" priority="378" operator="notContains" text="Caida">
      <formula>ISERROR(SEARCH("Caida",Q310))</formula>
    </cfRule>
    <cfRule type="containsText" dxfId="521" priority="379" operator="containsText" text="Caida">
      <formula>NOT(ISERROR(SEARCH("Caida",Q310)))</formula>
    </cfRule>
  </conditionalFormatting>
  <conditionalFormatting sqref="Q311:Q312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1:Q312">
    <cfRule type="notContainsText" dxfId="518" priority="374" operator="notContains" text="Caida">
      <formula>ISERROR(SEARCH("Caida",Q311))</formula>
    </cfRule>
    <cfRule type="containsText" dxfId="517" priority="375" operator="containsText" text="Caida">
      <formula>NOT(ISERROR(SEARCH("Caida",Q311)))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6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6">
    <cfRule type="notContainsText" dxfId="510" priority="358" operator="notContains" text="Caida">
      <formula>ISERROR(SEARCH("Caida",Q256))</formula>
    </cfRule>
    <cfRule type="containsText" dxfId="509" priority="359" operator="containsText" text="Caida">
      <formula>NOT(ISERROR(SEARCH("Caida",Q256)))</formula>
    </cfRule>
  </conditionalFormatting>
  <conditionalFormatting sqref="Q257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7">
    <cfRule type="notContainsText" dxfId="506" priority="354" operator="notContains" text="Caida">
      <formula>ISERROR(SEARCH("Caida",Q257))</formula>
    </cfRule>
    <cfRule type="containsText" dxfId="505" priority="355" operator="containsText" text="Caida">
      <formula>NOT(ISERROR(SEARCH("Caida",Q257)))</formula>
    </cfRule>
  </conditionalFormatting>
  <conditionalFormatting sqref="Q258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58">
    <cfRule type="notContainsText" dxfId="502" priority="350" operator="notContains" text="Caida">
      <formula>ISERROR(SEARCH("Caida",Q258))</formula>
    </cfRule>
    <cfRule type="containsText" dxfId="501" priority="351" operator="containsText" text="Caida">
      <formula>NOT(ISERROR(SEARCH("Caida",Q258)))</formula>
    </cfRule>
  </conditionalFormatting>
  <conditionalFormatting sqref="Q381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1">
    <cfRule type="notContainsText" dxfId="498" priority="346" operator="notContains" text="Caida">
      <formula>ISERROR(SEARCH("Caida",Q381))</formula>
    </cfRule>
    <cfRule type="containsText" dxfId="497" priority="347" operator="containsText" text="Caida">
      <formula>NOT(ISERROR(SEARCH("Caida",Q381)))</formula>
    </cfRule>
  </conditionalFormatting>
  <conditionalFormatting sqref="Q104:Q106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4:Q106">
    <cfRule type="notContainsText" dxfId="494" priority="338" operator="notContains" text="Caida">
      <formula>ISERROR(SEARCH("Caida",Q104))</formula>
    </cfRule>
    <cfRule type="containsText" dxfId="493" priority="339" operator="containsText" text="Caida">
      <formula>NOT(ISERROR(SEARCH("Caida",Q104)))</formula>
    </cfRule>
  </conditionalFormatting>
  <conditionalFormatting sqref="Q403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3">
    <cfRule type="notContainsText" dxfId="490" priority="334" operator="notContains" text="Caida">
      <formula>ISERROR(SEARCH("Caida",Q403))</formula>
    </cfRule>
    <cfRule type="containsText" dxfId="489" priority="335" operator="containsText" text="Caida">
      <formula>NOT(ISERROR(SEARCH("Caida",Q403)))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4:T106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4:T106">
    <cfRule type="notContainsText" dxfId="481" priority="313" operator="notContains" text="Caida">
      <formula>ISERROR(SEARCH("Caida",R104))</formula>
    </cfRule>
    <cfRule type="containsText" dxfId="480" priority="314" operator="containsText" text="Caida">
      <formula>NOT(ISERROR(SEARCH("Caida",R104)))</formula>
    </cfRule>
  </conditionalFormatting>
  <conditionalFormatting sqref="E426 E428:E1048576 E1:E408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4:AL105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4:AL105">
    <cfRule type="notContainsText" dxfId="470" priority="302" operator="notContains" text="Caida">
      <formula>ISERROR(SEARCH("Caida",AG104))</formula>
    </cfRule>
    <cfRule type="containsText" dxfId="469" priority="303" operator="containsText" text="Caida">
      <formula>NOT(ISERROR(SEARCH("Caida",AG104)))</formula>
    </cfRule>
  </conditionalFormatting>
  <conditionalFormatting sqref="AG435:AO1048576 K5:AO434">
    <cfRule type="cellIs" dxfId="468" priority="301" operator="equal">
      <formula>"APAGADO"</formula>
    </cfRule>
  </conditionalFormatting>
  <conditionalFormatting sqref="O104:O106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4:O106">
    <cfRule type="notContainsText" dxfId="465" priority="297" operator="notContains" text="Caida">
      <formula>ISERROR(SEARCH("Caida",O104))</formula>
    </cfRule>
    <cfRule type="containsText" dxfId="464" priority="298" operator="containsText" text="Caida">
      <formula>NOT(ISERROR(SEARCH("Caida",O104)))</formula>
    </cfRule>
  </conditionalFormatting>
  <conditionalFormatting sqref="P104:P106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4:P106">
    <cfRule type="notContainsText" dxfId="461" priority="293" operator="notContains" text="Caida">
      <formula>ISERROR(SEARCH("Caida",P104))</formula>
    </cfRule>
    <cfRule type="containsText" dxfId="460" priority="294" operator="containsText" text="Caida">
      <formula>NOT(ISERROR(SEARCH("Caida",P104)))</formula>
    </cfRule>
  </conditionalFormatting>
  <conditionalFormatting sqref="F426 F428:F1048576 F1:F408">
    <cfRule type="cellIs" dxfId="459" priority="292" operator="equal">
      <formula>"PTP A FO"</formula>
    </cfRule>
  </conditionalFormatting>
  <conditionalFormatting sqref="N407:P408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07:P408">
    <cfRule type="notContainsText" dxfId="456" priority="288" operator="notContains" text="Caida">
      <formula>ISERROR(SEARCH("Caida",N407))</formula>
    </cfRule>
    <cfRule type="containsText" dxfId="455" priority="289" operator="containsText" text="Caida">
      <formula>NOT(ISERROR(SEARCH("Caida",N407)))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4:K105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4:K105">
    <cfRule type="notContainsText" dxfId="447" priority="279" operator="notContains" text="Caida">
      <formula>ISERROR(SEARCH("Caida",K104))</formula>
    </cfRule>
    <cfRule type="containsText" dxfId="446" priority="280" operator="containsText" text="Caida">
      <formula>NOT(ISERROR(SEARCH("Caida",K104)))</formula>
    </cfRule>
  </conditionalFormatting>
  <conditionalFormatting sqref="AN104:AN105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4:AN105">
    <cfRule type="notContainsText" dxfId="443" priority="275" operator="notContains" text="Caida">
      <formula>ISERROR(SEARCH("Caida",AN104))</formula>
    </cfRule>
    <cfRule type="containsText" dxfId="442" priority="276" operator="containsText" text="Caida">
      <formula>NOT(ISERROR(SEARCH("Caida",AN104)))</formula>
    </cfRule>
  </conditionalFormatting>
  <conditionalFormatting sqref="W104:AB106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4:AB106">
    <cfRule type="notContainsText" dxfId="439" priority="271" operator="notContains" text="Caida">
      <formula>ISERROR(SEARCH("Caida",W104))</formula>
    </cfRule>
    <cfRule type="containsText" dxfId="438" priority="272" operator="containsText" text="Caida">
      <formula>NOT(ISERROR(SEARCH("Caida",W104)))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4:AC106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4:AC106">
    <cfRule type="notContainsText" dxfId="427" priority="259" operator="notContains" text="Caida">
      <formula>ISERROR(SEARCH("Caida",AC104))</formula>
    </cfRule>
    <cfRule type="containsText" dxfId="426" priority="260" operator="containsText" text="Caida">
      <formula>NOT(ISERROR(SEARCH("Caida",AC104)))</formula>
    </cfRule>
  </conditionalFormatting>
  <conditionalFormatting sqref="AC3">
    <cfRule type="cellIs" dxfId="425" priority="258" operator="equal">
      <formula>"apagado"</formula>
    </cfRule>
  </conditionalFormatting>
  <conditionalFormatting sqref="AD104:AD106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4:AD106">
    <cfRule type="notContainsText" dxfId="422" priority="254" operator="notContains" text="Caida">
      <formula>ISERROR(SEARCH("Caida",AD104))</formula>
    </cfRule>
    <cfRule type="containsText" dxfId="421" priority="255" operator="containsText" text="Caida">
      <formula>NOT(ISERROR(SEARCH("Caida",AD104)))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4:AF106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4:AF106">
    <cfRule type="notContainsText" dxfId="416" priority="248" operator="notContains" text="Caida">
      <formula>ISERROR(SEARCH("Caida",AF104))</formula>
    </cfRule>
    <cfRule type="containsText" dxfId="415" priority="249" operator="containsText" text="Caida">
      <formula>NOT(ISERROR(SEARCH("Caida",AF104)))</formula>
    </cfRule>
  </conditionalFormatting>
  <conditionalFormatting sqref="AF3">
    <cfRule type="cellIs" dxfId="414" priority="247" operator="equal">
      <formula>"apagado"</formula>
    </cfRule>
  </conditionalFormatting>
  <conditionalFormatting sqref="AM104:AM105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4:AM105">
    <cfRule type="notContainsText" dxfId="411" priority="243" operator="notContains" text="Caida">
      <formula>ISERROR(SEARCH("Caida",AM104))</formula>
    </cfRule>
    <cfRule type="containsText" dxfId="410" priority="244" operator="containsText" text="Caida">
      <formula>NOT(ISERROR(SEARCH("Caida",AM104)))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4:U106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4:U106">
    <cfRule type="notContainsText" dxfId="396" priority="228" operator="notContains" text="Caida">
      <formula>ISERROR(SEARCH("Caida",U104))</formula>
    </cfRule>
    <cfRule type="containsText" dxfId="395" priority="229" operator="containsText" text="Caida">
      <formula>NOT(ISERROR(SEARCH("Caida",U104)))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4:V106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4:V106">
    <cfRule type="notContainsText" dxfId="387" priority="219" operator="notContains" text="Caida">
      <formula>ISERROR(SEARCH("Caida",V104))</formula>
    </cfRule>
    <cfRule type="containsText" dxfId="386" priority="220" operator="containsText" text="Caida">
      <formula>NOT(ISERROR(SEARCH("Caida",V104)))</formula>
    </cfRule>
  </conditionalFormatting>
  <conditionalFormatting sqref="AD105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5">
    <cfRule type="notContainsText" dxfId="383" priority="215" operator="notContains" text="Caida">
      <formula>ISERROR(SEARCH("Caida",AD105))</formula>
    </cfRule>
    <cfRule type="containsText" dxfId="382" priority="216" operator="containsText" text="Caida">
      <formula>NOT(ISERROR(SEARCH("Caida",AD105)))</formula>
    </cfRule>
  </conditionalFormatting>
  <conditionalFormatting sqref="AD107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7">
    <cfRule type="notContainsText" dxfId="379" priority="211" operator="notContains" text="Caida">
      <formula>ISERROR(SEARCH("Caida",AD107))</formula>
    </cfRule>
    <cfRule type="containsText" dxfId="378" priority="212" operator="containsText" text="Caida">
      <formula>NOT(ISERROR(SEARCH("Caida",AD107)))</formula>
    </cfRule>
  </conditionalFormatting>
  <conditionalFormatting sqref="AD110:AD111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0:AD111">
    <cfRule type="notContainsText" dxfId="375" priority="207" operator="notContains" text="Caida">
      <formula>ISERROR(SEARCH("Caida",AD110))</formula>
    </cfRule>
    <cfRule type="containsText" dxfId="374" priority="208" operator="containsText" text="Caida">
      <formula>NOT(ISERROR(SEARCH("Caida",AD110)))</formula>
    </cfRule>
  </conditionalFormatting>
  <conditionalFormatting sqref="AD127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7">
    <cfRule type="notContainsText" dxfId="371" priority="203" operator="notContains" text="Caida">
      <formula>ISERROR(SEARCH("Caida",AD127))</formula>
    </cfRule>
    <cfRule type="containsText" dxfId="370" priority="204" operator="containsText" text="Caida">
      <formula>NOT(ISERROR(SEARCH("Caida",AD127)))</formula>
    </cfRule>
  </conditionalFormatting>
  <conditionalFormatting sqref="AD128:AD129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28:AD129">
    <cfRule type="notContainsText" dxfId="367" priority="199" operator="notContains" text="Caida">
      <formula>ISERROR(SEARCH("Caida",AD128))</formula>
    </cfRule>
    <cfRule type="containsText" dxfId="366" priority="200" operator="containsText" text="Caida">
      <formula>NOT(ISERROR(SEARCH("Caida",AD128)))</formula>
    </cfRule>
  </conditionalFormatting>
  <conditionalFormatting sqref="AD133:AD137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3:AD137">
    <cfRule type="notContainsText" dxfId="363" priority="195" operator="notContains" text="Caida">
      <formula>ISERROR(SEARCH("Caida",AD133))</formula>
    </cfRule>
    <cfRule type="containsText" dxfId="362" priority="196" operator="containsText" text="Caida">
      <formula>NOT(ISERROR(SEARCH("Caida",AD133)))</formula>
    </cfRule>
  </conditionalFormatting>
  <conditionalFormatting sqref="AD138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38">
    <cfRule type="notContainsText" dxfId="359" priority="191" operator="notContains" text="Caida">
      <formula>ISERROR(SEARCH("Caida",AD138))</formula>
    </cfRule>
    <cfRule type="containsText" dxfId="358" priority="192" operator="containsText" text="Caida">
      <formula>NOT(ISERROR(SEARCH("Caida",AD138)))</formula>
    </cfRule>
  </conditionalFormatting>
  <conditionalFormatting sqref="AD142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2">
    <cfRule type="notContainsText" dxfId="355" priority="187" operator="notContains" text="Caida">
      <formula>ISERROR(SEARCH("Caida",AD142))</formula>
    </cfRule>
    <cfRule type="containsText" dxfId="354" priority="188" operator="containsText" text="Caida">
      <formula>NOT(ISERROR(SEARCH("Caida",AD142)))</formula>
    </cfRule>
  </conditionalFormatting>
  <conditionalFormatting sqref="AD14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4">
    <cfRule type="notContainsText" dxfId="351" priority="183" operator="notContains" text="Caida">
      <formula>ISERROR(SEARCH("Caida",AD144))</formula>
    </cfRule>
    <cfRule type="containsText" dxfId="350" priority="184" operator="containsText" text="Caida">
      <formula>NOT(ISERROR(SEARCH("Caida",AD144)))</formula>
    </cfRule>
  </conditionalFormatting>
  <conditionalFormatting sqref="AD159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59">
    <cfRule type="notContainsText" dxfId="347" priority="179" operator="notContains" text="Caida">
      <formula>ISERROR(SEARCH("Caida",AD159))</formula>
    </cfRule>
    <cfRule type="containsText" dxfId="346" priority="180" operator="containsText" text="Caida">
      <formula>NOT(ISERROR(SEARCH("Caida",AD159)))</formula>
    </cfRule>
  </conditionalFormatting>
  <conditionalFormatting sqref="AD160:AD162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0:AD162">
    <cfRule type="notContainsText" dxfId="343" priority="175" operator="notContains" text="Caida">
      <formula>ISERROR(SEARCH("Caida",AD160))</formula>
    </cfRule>
    <cfRule type="containsText" dxfId="342" priority="176" operator="containsText" text="Caida">
      <formula>NOT(ISERROR(SEARCH("Caida",AD160)))</formula>
    </cfRule>
  </conditionalFormatting>
  <conditionalFormatting sqref="AD163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3">
    <cfRule type="notContainsText" dxfId="339" priority="171" operator="notContains" text="Caida">
      <formula>ISERROR(SEARCH("Caida",AD163))</formula>
    </cfRule>
    <cfRule type="containsText" dxfId="338" priority="172" operator="containsText" text="Caida">
      <formula>NOT(ISERROR(SEARCH("Caida",AD163)))</formula>
    </cfRule>
  </conditionalFormatting>
  <conditionalFormatting sqref="AD18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2">
    <cfRule type="notContainsText" dxfId="335" priority="167" operator="notContains" text="Caida">
      <formula>ISERROR(SEARCH("Caida",AD182))</formula>
    </cfRule>
    <cfRule type="containsText" dxfId="334" priority="168" operator="containsText" text="Caida">
      <formula>NOT(ISERROR(SEARCH("Caida",AD182)))</formula>
    </cfRule>
  </conditionalFormatting>
  <conditionalFormatting sqref="AD183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3">
    <cfRule type="notContainsText" dxfId="331" priority="163" operator="notContains" text="Caida">
      <formula>ISERROR(SEARCH("Caida",AD183))</formula>
    </cfRule>
    <cfRule type="containsText" dxfId="330" priority="164" operator="containsText" text="Caida">
      <formula>NOT(ISERROR(SEARCH("Caida",AD183)))</formula>
    </cfRule>
  </conditionalFormatting>
  <conditionalFormatting sqref="AD185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5">
    <cfRule type="notContainsText" dxfId="327" priority="159" operator="notContains" text="Caida">
      <formula>ISERROR(SEARCH("Caida",AD185))</formula>
    </cfRule>
    <cfRule type="containsText" dxfId="326" priority="160" operator="containsText" text="Caida">
      <formula>NOT(ISERROR(SEARCH("Caida",AD185)))</formula>
    </cfRule>
  </conditionalFormatting>
  <conditionalFormatting sqref="AD19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198">
    <cfRule type="notContainsText" dxfId="323" priority="155" operator="notContains" text="Caida">
      <formula>ISERROR(SEARCH("Caida",AD198))</formula>
    </cfRule>
    <cfRule type="containsText" dxfId="322" priority="156" operator="containsText" text="Caida">
      <formula>NOT(ISERROR(SEARCH("Caida",AD198)))</formula>
    </cfRule>
  </conditionalFormatting>
  <conditionalFormatting sqref="AD209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09">
    <cfRule type="notContainsText" dxfId="319" priority="151" operator="notContains" text="Caida">
      <formula>ISERROR(SEARCH("Caida",AD209))</formula>
    </cfRule>
    <cfRule type="containsText" dxfId="318" priority="152" operator="containsText" text="Caida">
      <formula>NOT(ISERROR(SEARCH("Caida",AD209)))</formula>
    </cfRule>
  </conditionalFormatting>
  <conditionalFormatting sqref="AD210:AD211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0:AD211">
    <cfRule type="notContainsText" dxfId="315" priority="147" operator="notContains" text="Caida">
      <formula>ISERROR(SEARCH("Caida",AD210))</formula>
    </cfRule>
    <cfRule type="containsText" dxfId="314" priority="148" operator="containsText" text="Caida">
      <formula>NOT(ISERROR(SEARCH("Caida",AD210)))</formula>
    </cfRule>
  </conditionalFormatting>
  <conditionalFormatting sqref="AD217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7">
    <cfRule type="notContainsText" dxfId="311" priority="143" operator="notContains" text="Caida">
      <formula>ISERROR(SEARCH("Caida",AD217))</formula>
    </cfRule>
    <cfRule type="containsText" dxfId="310" priority="144" operator="containsText" text="Caida">
      <formula>NOT(ISERROR(SEARCH("Caida",AD217)))</formula>
    </cfRule>
  </conditionalFormatting>
  <conditionalFormatting sqref="AD225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5">
    <cfRule type="notContainsText" dxfId="307" priority="139" operator="notContains" text="Caida">
      <formula>ISERROR(SEARCH("Caida",AD225))</formula>
    </cfRule>
    <cfRule type="containsText" dxfId="306" priority="140" operator="containsText" text="Caida">
      <formula>NOT(ISERROR(SEARCH("Caida",AD225)))</formula>
    </cfRule>
  </conditionalFormatting>
  <conditionalFormatting sqref="AD230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0">
    <cfRule type="notContainsText" dxfId="303" priority="135" operator="notContains" text="Caida">
      <formula>ISERROR(SEARCH("Caida",AD230))</formula>
    </cfRule>
    <cfRule type="containsText" dxfId="302" priority="136" operator="containsText" text="Caida">
      <formula>NOT(ISERROR(SEARCH("Caida",AD230)))</formula>
    </cfRule>
  </conditionalFormatting>
  <conditionalFormatting sqref="AD231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1">
    <cfRule type="notContainsText" dxfId="299" priority="131" operator="notContains" text="Caida">
      <formula>ISERROR(SEARCH("Caida",AD231))</formula>
    </cfRule>
    <cfRule type="containsText" dxfId="298" priority="132" operator="containsText" text="Caida">
      <formula>NOT(ISERROR(SEARCH("Caida",AD231)))</formula>
    </cfRule>
  </conditionalFormatting>
  <conditionalFormatting sqref="AD395">
    <cfRule type="cellIs" dxfId="297" priority="130" operator="equal">
      <formula>"apagado"</formula>
    </cfRule>
  </conditionalFormatting>
  <conditionalFormatting sqref="AD400">
    <cfRule type="cellIs" dxfId="296" priority="129" operator="equal">
      <formula>"apagado"</formula>
    </cfRule>
  </conditionalFormatting>
  <conditionalFormatting sqref="AD396">
    <cfRule type="cellIs" dxfId="295" priority="128" operator="equal">
      <formula>"apagado"</formula>
    </cfRule>
  </conditionalFormatting>
  <conditionalFormatting sqref="AD397">
    <cfRule type="cellIs" dxfId="294" priority="127" operator="equal">
      <formula>"apagado"</formula>
    </cfRule>
  </conditionalFormatting>
  <conditionalFormatting sqref="AD225">
    <cfRule type="cellIs" dxfId="293" priority="126" operator="equal">
      <formula>"apagado"</formula>
    </cfRule>
  </conditionalFormatting>
  <conditionalFormatting sqref="AD230">
    <cfRule type="cellIs" dxfId="292" priority="125" operator="equal">
      <formula>"apagado"</formula>
    </cfRule>
  </conditionalFormatting>
  <conditionalFormatting sqref="AD231">
    <cfRule type="cellIs" dxfId="291" priority="124" operator="equal">
      <formula>"apagado"</formula>
    </cfRule>
  </conditionalFormatting>
  <conditionalFormatting sqref="AD217">
    <cfRule type="cellIs" dxfId="290" priority="123" operator="equal">
      <formula>"apagado"</formula>
    </cfRule>
  </conditionalFormatting>
  <conditionalFormatting sqref="AD210:AD211">
    <cfRule type="cellIs" dxfId="289" priority="122" operator="equal">
      <formula>"apagado"</formula>
    </cfRule>
  </conditionalFormatting>
  <conditionalFormatting sqref="AD209">
    <cfRule type="cellIs" dxfId="288" priority="121" operator="equal">
      <formula>"apagado"</formula>
    </cfRule>
  </conditionalFormatting>
  <conditionalFormatting sqref="AD198">
    <cfRule type="cellIs" dxfId="287" priority="120" operator="equal">
      <formula>"apagado"</formula>
    </cfRule>
  </conditionalFormatting>
  <conditionalFormatting sqref="AD185">
    <cfRule type="cellIs" dxfId="286" priority="119" operator="equal">
      <formula>"apagado"</formula>
    </cfRule>
  </conditionalFormatting>
  <conditionalFormatting sqref="AD182">
    <cfRule type="cellIs" dxfId="285" priority="118" operator="equal">
      <formula>"apagado"</formula>
    </cfRule>
  </conditionalFormatting>
  <conditionalFormatting sqref="AD183">
    <cfRule type="cellIs" dxfId="284" priority="117" operator="equal">
      <formula>"apagado"</formula>
    </cfRule>
  </conditionalFormatting>
  <conditionalFormatting sqref="AD159">
    <cfRule type="cellIs" dxfId="283" priority="116" operator="equal">
      <formula>"apagado"</formula>
    </cfRule>
  </conditionalFormatting>
  <conditionalFormatting sqref="AD160:AD162">
    <cfRule type="cellIs" dxfId="282" priority="115" operator="equal">
      <formula>"apagado"</formula>
    </cfRule>
  </conditionalFormatting>
  <conditionalFormatting sqref="AD163">
    <cfRule type="cellIs" dxfId="281" priority="114" operator="equal">
      <formula>"apagado"</formula>
    </cfRule>
  </conditionalFormatting>
  <conditionalFormatting sqref="AD142">
    <cfRule type="cellIs" dxfId="280" priority="113" operator="equal">
      <formula>"apagado"</formula>
    </cfRule>
  </conditionalFormatting>
  <conditionalFormatting sqref="AD144">
    <cfRule type="cellIs" dxfId="279" priority="112" operator="equal">
      <formula>"apagado"</formula>
    </cfRule>
  </conditionalFormatting>
  <conditionalFormatting sqref="AD127">
    <cfRule type="cellIs" dxfId="278" priority="111" operator="equal">
      <formula>"apagado"</formula>
    </cfRule>
  </conditionalFormatting>
  <conditionalFormatting sqref="AD128:AD129">
    <cfRule type="cellIs" dxfId="277" priority="110" operator="equal">
      <formula>"apagado"</formula>
    </cfRule>
  </conditionalFormatting>
  <conditionalFormatting sqref="AD133:AD137">
    <cfRule type="cellIs" dxfId="276" priority="109" operator="equal">
      <formula>"apagado"</formula>
    </cfRule>
  </conditionalFormatting>
  <conditionalFormatting sqref="AD138">
    <cfRule type="cellIs" dxfId="275" priority="108" operator="equal">
      <formula>"apagado"</formula>
    </cfRule>
  </conditionalFormatting>
  <conditionalFormatting sqref="AD110:AD111">
    <cfRule type="cellIs" dxfId="274" priority="107" operator="equal">
      <formula>"apagado"</formula>
    </cfRule>
  </conditionalFormatting>
  <conditionalFormatting sqref="AD105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5">
    <cfRule type="notContainsText" dxfId="271" priority="103" operator="notContains" text="Caida">
      <formula>ISERROR(SEARCH("Caida",AD105))</formula>
    </cfRule>
    <cfRule type="containsText" dxfId="270" priority="104" operator="containsText" text="Caida">
      <formula>NOT(ISERROR(SEARCH("Caida",AD105)))</formula>
    </cfRule>
  </conditionalFormatting>
  <conditionalFormatting sqref="AD105">
    <cfRule type="cellIs" dxfId="269" priority="102" operator="equal">
      <formula>"apagado"</formula>
    </cfRule>
  </conditionalFormatting>
  <conditionalFormatting sqref="AD107">
    <cfRule type="cellIs" dxfId="268" priority="101" operator="equal">
      <formula>"apagado"</formula>
    </cfRule>
  </conditionalFormatting>
  <conditionalFormatting sqref="E409:E415">
    <cfRule type="containsText" dxfId="267" priority="99" operator="containsText" text="fija">
      <formula>NOT(ISERROR(SEARCH("fija",E409)))</formula>
    </cfRule>
    <cfRule type="containsText" dxfId="266" priority="100" operator="containsText" text="domo">
      <formula>NOT(ISERROR(SEARCH("domo",E409)))</formula>
    </cfRule>
  </conditionalFormatting>
  <conditionalFormatting sqref="F409:F415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2:D353 D161:D162 C1:C1048576">
    <cfRule type="cellIs" dxfId="261" priority="93" operator="equal">
      <formula>$C$213</formula>
    </cfRule>
    <cfRule type="cellIs" dxfId="260" priority="94" operator="equal">
      <formula>$C$201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4:AE106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4:AE106">
    <cfRule type="notContainsText" dxfId="252" priority="84" operator="notContains" text="Caida">
      <formula>ISERROR(SEARCH("Caida",AE104))</formula>
    </cfRule>
    <cfRule type="containsText" dxfId="251" priority="85" operator="containsText" text="Caida">
      <formula>NOT(ISERROR(SEARCH("Caida",AE104)))</formula>
    </cfRule>
  </conditionalFormatting>
  <conditionalFormatting sqref="AA87">
    <cfRule type="cellIs" dxfId="250" priority="83" operator="equal">
      <formula>"apagado"</formula>
    </cfRule>
  </conditionalFormatting>
  <conditionalFormatting sqref="AB107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7">
    <cfRule type="notContainsText" dxfId="247" priority="79" operator="notContains" text="Caida">
      <formula>ISERROR(SEARCH("Caida",AB107))</formula>
    </cfRule>
    <cfRule type="containsText" dxfId="246" priority="80" operator="containsText" text="Caida">
      <formula>NOT(ISERROR(SEARCH("Caida",AB107)))</formula>
    </cfRule>
  </conditionalFormatting>
  <conditionalFormatting sqref="AB107">
    <cfRule type="cellIs" dxfId="245" priority="78" operator="equal">
      <formula>"apagado"</formula>
    </cfRule>
  </conditionalFormatting>
  <conditionalFormatting sqref="AB143">
    <cfRule type="cellIs" dxfId="244" priority="77" operator="equal">
      <formula>"apagado"</formula>
    </cfRule>
  </conditionalFormatting>
  <conditionalFormatting sqref="AB175">
    <cfRule type="cellIs" dxfId="243" priority="76" operator="equal">
      <formula>"apagado"</formula>
    </cfRule>
  </conditionalFormatting>
  <conditionalFormatting sqref="AB177">
    <cfRule type="cellIs" dxfId="242" priority="75" operator="equal">
      <formula>"apagado"</formula>
    </cfRule>
  </conditionalFormatting>
  <conditionalFormatting sqref="AB182">
    <cfRule type="cellIs" dxfId="241" priority="74" operator="equal">
      <formula>"apagado"</formula>
    </cfRule>
  </conditionalFormatting>
  <conditionalFormatting sqref="AB185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09">
    <cfRule type="cellIs" dxfId="234" priority="67" operator="equal">
      <formula>"apagado"</formula>
    </cfRule>
  </conditionalFormatting>
  <conditionalFormatting sqref="AB280">
    <cfRule type="cellIs" dxfId="233" priority="66" operator="equal">
      <formula>"apagado"</formula>
    </cfRule>
  </conditionalFormatting>
  <conditionalFormatting sqref="AB281">
    <cfRule type="cellIs" dxfId="232" priority="65" operator="equal">
      <formula>"apagado"</formula>
    </cfRule>
  </conditionalFormatting>
  <conditionalFormatting sqref="AB319">
    <cfRule type="cellIs" dxfId="231" priority="64" operator="equal">
      <formula>"apagado"</formula>
    </cfRule>
  </conditionalFormatting>
  <conditionalFormatting sqref="AB320">
    <cfRule type="cellIs" dxfId="230" priority="63" operator="equal">
      <formula>"apagado"</formula>
    </cfRule>
  </conditionalFormatting>
  <conditionalFormatting sqref="AB317">
    <cfRule type="cellIs" dxfId="229" priority="62" operator="equal">
      <formula>"apagado"</formula>
    </cfRule>
  </conditionalFormatting>
  <conditionalFormatting sqref="AB318:AB320">
    <cfRule type="cellIs" dxfId="228" priority="61" operator="equal">
      <formula>"apagado"</formula>
    </cfRule>
  </conditionalFormatting>
  <conditionalFormatting sqref="AB345">
    <cfRule type="cellIs" dxfId="227" priority="60" operator="equal">
      <formula>"apagado"</formula>
    </cfRule>
  </conditionalFormatting>
  <conditionalFormatting sqref="AB356">
    <cfRule type="cellIs" dxfId="226" priority="59" operator="equal">
      <formula>"apagado"</formula>
    </cfRule>
  </conditionalFormatting>
  <conditionalFormatting sqref="AB357">
    <cfRule type="cellIs" dxfId="225" priority="58" operator="equal">
      <formula>"apagado"</formula>
    </cfRule>
  </conditionalFormatting>
  <conditionalFormatting sqref="AB374">
    <cfRule type="cellIs" dxfId="224" priority="57" operator="equal">
      <formula>"apagado"</formula>
    </cfRule>
  </conditionalFormatting>
  <conditionalFormatting sqref="AB390">
    <cfRule type="cellIs" dxfId="223" priority="56" operator="equal">
      <formula>"apagado"</formula>
    </cfRule>
  </conditionalFormatting>
  <conditionalFormatting sqref="AB391:AB393">
    <cfRule type="cellIs" dxfId="222" priority="55" operator="equal">
      <formula>"apagado"</formula>
    </cfRule>
  </conditionalFormatting>
  <conditionalFormatting sqref="AB396">
    <cfRule type="cellIs" dxfId="221" priority="54" operator="equal">
      <formula>"apagado"</formula>
    </cfRule>
  </conditionalFormatting>
  <conditionalFormatting sqref="AB397">
    <cfRule type="cellIs" dxfId="220" priority="53" operator="equal">
      <formula>"apagado"</formula>
    </cfRule>
  </conditionalFormatting>
  <conditionalFormatting sqref="AB405">
    <cfRule type="cellIs" dxfId="219" priority="52" operator="equal">
      <formula>"apagado"</formula>
    </cfRule>
  </conditionalFormatting>
  <conditionalFormatting sqref="AB232">
    <cfRule type="cellIs" dxfId="218" priority="51" operator="equal">
      <formula>"apagado"</formula>
    </cfRule>
  </conditionalFormatting>
  <conditionalFormatting sqref="AB233">
    <cfRule type="cellIs" dxfId="217" priority="50" operator="equal">
      <formula>"apagado"</formula>
    </cfRule>
  </conditionalFormatting>
  <conditionalFormatting sqref="AB234">
    <cfRule type="cellIs" dxfId="216" priority="49" operator="equal">
      <formula>"apagado"</formula>
    </cfRule>
  </conditionalFormatting>
  <conditionalFormatting sqref="AB235">
    <cfRule type="cellIs" dxfId="215" priority="48" operator="equal">
      <formula>"apagado"</formula>
    </cfRule>
  </conditionalFormatting>
  <conditionalFormatting sqref="AB243">
    <cfRule type="cellIs" dxfId="214" priority="47" operator="equal">
      <formula>"apagado"</formula>
    </cfRule>
  </conditionalFormatting>
  <conditionalFormatting sqref="AB236">
    <cfRule type="cellIs" dxfId="213" priority="46" operator="equal">
      <formula>"apagado"</formula>
    </cfRule>
  </conditionalFormatting>
  <conditionalFormatting sqref="AB229">
    <cfRule type="cellIs" dxfId="212" priority="45" operator="equal">
      <formula>"apagado"</formula>
    </cfRule>
  </conditionalFormatting>
  <conditionalFormatting sqref="E429:E430">
    <cfRule type="containsText" dxfId="211" priority="43" operator="containsText" text="fija">
      <formula>NOT(ISERROR(SEARCH("fija",E429)))</formula>
    </cfRule>
    <cfRule type="containsText" dxfId="210" priority="44" operator="containsText" text="domo">
      <formula>NOT(ISERROR(SEARCH("domo",E429)))</formula>
    </cfRule>
  </conditionalFormatting>
  <conditionalFormatting sqref="E417">
    <cfRule type="containsText" dxfId="209" priority="42" operator="containsText" text="Radio">
      <formula>NOT(ISERROR(SEARCH("Radio",E417)))</formula>
    </cfRule>
  </conditionalFormatting>
  <conditionalFormatting sqref="E417">
    <cfRule type="containsText" dxfId="208" priority="40" operator="containsText" text="fija">
      <formula>NOT(ISERROR(SEARCH("fija",E417)))</formula>
    </cfRule>
    <cfRule type="containsText" dxfId="207" priority="41" operator="containsText" text="domo">
      <formula>NOT(ISERROR(SEARCH("domo",E417)))</formula>
    </cfRule>
  </conditionalFormatting>
  <conditionalFormatting sqref="E417">
    <cfRule type="containsText" dxfId="206" priority="38" operator="containsText" text="fija">
      <formula>NOT(ISERROR(SEARCH("fija",E417)))</formula>
    </cfRule>
    <cfRule type="containsText" dxfId="205" priority="39" operator="containsText" text="domo">
      <formula>NOT(ISERROR(SEARCH("domo",E417)))</formula>
    </cfRule>
  </conditionalFormatting>
  <conditionalFormatting sqref="E418">
    <cfRule type="containsText" dxfId="204" priority="37" operator="containsText" text="Radio">
      <formula>NOT(ISERROR(SEARCH("Radio",E418)))</formula>
    </cfRule>
  </conditionalFormatting>
  <conditionalFormatting sqref="E418">
    <cfRule type="containsText" dxfId="203" priority="35" operator="containsText" text="fija">
      <formula>NOT(ISERROR(SEARCH("fija",E418)))</formula>
    </cfRule>
    <cfRule type="containsText" dxfId="202" priority="36" operator="containsText" text="domo">
      <formula>NOT(ISERROR(SEARCH("domo",E418)))</formula>
    </cfRule>
  </conditionalFormatting>
  <conditionalFormatting sqref="E418">
    <cfRule type="containsText" dxfId="201" priority="33" operator="containsText" text="fija">
      <formula>NOT(ISERROR(SEARCH("fija",E418)))</formula>
    </cfRule>
    <cfRule type="containsText" dxfId="200" priority="34" operator="containsText" text="domo">
      <formula>NOT(ISERROR(SEARCH("domo",E418)))</formula>
    </cfRule>
  </conditionalFormatting>
  <conditionalFormatting sqref="E421">
    <cfRule type="containsText" dxfId="199" priority="32" operator="containsText" text="Radio">
      <formula>NOT(ISERROR(SEARCH("Radio",E421)))</formula>
    </cfRule>
  </conditionalFormatting>
  <conditionalFormatting sqref="E421">
    <cfRule type="containsText" dxfId="198" priority="30" operator="containsText" text="fija">
      <formula>NOT(ISERROR(SEARCH("fija",E421)))</formula>
    </cfRule>
    <cfRule type="containsText" dxfId="197" priority="31" operator="containsText" text="domo">
      <formula>NOT(ISERROR(SEARCH("domo",E421)))</formula>
    </cfRule>
  </conditionalFormatting>
  <conditionalFormatting sqref="E421">
    <cfRule type="containsText" dxfId="196" priority="28" operator="containsText" text="fija">
      <formula>NOT(ISERROR(SEARCH("fija",E421)))</formula>
    </cfRule>
    <cfRule type="containsText" dxfId="195" priority="29" operator="containsText" text="domo">
      <formula>NOT(ISERROR(SEARCH("domo",E421)))</formula>
    </cfRule>
  </conditionalFormatting>
  <conditionalFormatting sqref="E422">
    <cfRule type="containsText" dxfId="194" priority="27" operator="containsText" text="Radio">
      <formula>NOT(ISERROR(SEARCH("Radio",E422)))</formula>
    </cfRule>
  </conditionalFormatting>
  <conditionalFormatting sqref="E422">
    <cfRule type="containsText" dxfId="193" priority="25" operator="containsText" text="fija">
      <formula>NOT(ISERROR(SEARCH("fija",E422)))</formula>
    </cfRule>
    <cfRule type="containsText" dxfId="192" priority="26" operator="containsText" text="domo">
      <formula>NOT(ISERROR(SEARCH("domo",E422)))</formula>
    </cfRule>
  </conditionalFormatting>
  <conditionalFormatting sqref="E422">
    <cfRule type="containsText" dxfId="191" priority="23" operator="containsText" text="fija">
      <formula>NOT(ISERROR(SEARCH("fija",E422)))</formula>
    </cfRule>
    <cfRule type="containsText" dxfId="190" priority="24" operator="containsText" text="domo">
      <formula>NOT(ISERROR(SEARCH("domo",E422)))</formula>
    </cfRule>
  </conditionalFormatting>
  <conditionalFormatting sqref="E423">
    <cfRule type="containsText" dxfId="189" priority="22" operator="containsText" text="Radio">
      <formula>NOT(ISERROR(SEARCH("Radio",E423)))</formula>
    </cfRule>
  </conditionalFormatting>
  <conditionalFormatting sqref="E423">
    <cfRule type="containsText" dxfId="188" priority="20" operator="containsText" text="fija">
      <formula>NOT(ISERROR(SEARCH("fija",E423)))</formula>
    </cfRule>
    <cfRule type="containsText" dxfId="187" priority="21" operator="containsText" text="domo">
      <formula>NOT(ISERROR(SEARCH("domo",E423)))</formula>
    </cfRule>
  </conditionalFormatting>
  <conditionalFormatting sqref="E423">
    <cfRule type="containsText" dxfId="186" priority="18" operator="containsText" text="fija">
      <formula>NOT(ISERROR(SEARCH("fija",E423)))</formula>
    </cfRule>
    <cfRule type="containsText" dxfId="185" priority="19" operator="containsText" text="domo">
      <formula>NOT(ISERROR(SEARCH("domo",E423)))</formula>
    </cfRule>
  </conditionalFormatting>
  <conditionalFormatting sqref="E424">
    <cfRule type="containsText" dxfId="184" priority="17" operator="containsText" text="Radio">
      <formula>NOT(ISERROR(SEARCH("Radio",E424)))</formula>
    </cfRule>
  </conditionalFormatting>
  <conditionalFormatting sqref="E424">
    <cfRule type="containsText" dxfId="183" priority="15" operator="containsText" text="fija">
      <formula>NOT(ISERROR(SEARCH("fija",E424)))</formula>
    </cfRule>
    <cfRule type="containsText" dxfId="182" priority="16" operator="containsText" text="domo">
      <formula>NOT(ISERROR(SEARCH("domo",E424)))</formula>
    </cfRule>
  </conditionalFormatting>
  <conditionalFormatting sqref="E424">
    <cfRule type="containsText" dxfId="181" priority="13" operator="containsText" text="fija">
      <formula>NOT(ISERROR(SEARCH("fija",E424)))</formula>
    </cfRule>
    <cfRule type="containsText" dxfId="180" priority="14" operator="containsText" text="domo">
      <formula>NOT(ISERROR(SEARCH("domo",E424)))</formula>
    </cfRule>
  </conditionalFormatting>
  <conditionalFormatting sqref="AO104:AO105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4:AO105">
    <cfRule type="notContainsText" dxfId="177" priority="9" operator="notContains" text="Caida">
      <formula>ISERROR(SEARCH("Caida",AO104))</formula>
    </cfRule>
    <cfRule type="containsText" dxfId="176" priority="10" operator="containsText" text="Caida">
      <formula>NOT(ISERROR(SEARCH("Caida",AO104)))</formula>
    </cfRule>
  </conditionalFormatting>
  <conditionalFormatting sqref="AL407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08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0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07">
    <cfRule type="cellIs" dxfId="169" priority="2" operator="equal">
      <formula>"apagado"</formula>
    </cfRule>
  </conditionalFormatting>
  <conditionalFormatting sqref="AL408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 t="str">
        <f>'RESUMEN TOTAL'!AH16</f>
        <v>APAGADO</v>
      </c>
      <c r="AD13" s="23" t="str">
        <f>'RESUMEN TOTAL'!AI16</f>
        <v>APAGADO</v>
      </c>
      <c r="AE13" s="23" t="str">
        <f>'RESUMEN TOTAL'!AJ16</f>
        <v>APAGADO</v>
      </c>
      <c r="AF13" s="23" t="str">
        <f>'RESUMEN TOTAL'!AK16</f>
        <v>APAGADO</v>
      </c>
      <c r="AG13" s="23" t="str">
        <f>'RESUMEN TOTAL'!AL16</f>
        <v>APAGADO</v>
      </c>
      <c r="AH13" s="23" t="str">
        <f>'RESUMEN TOTAL'!AM16</f>
        <v>APAGADO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 t="str">
        <f>'RESUMEN TOTAL'!AH27</f>
        <v>APAGADO</v>
      </c>
      <c r="AD25" s="23" t="str">
        <f>'RESUMEN TOTAL'!AI27</f>
        <v>APAGADO</v>
      </c>
      <c r="AE25" s="23" t="str">
        <f>'RESUMEN TOTAL'!AJ27</f>
        <v>APAGADO</v>
      </c>
      <c r="AF25" s="23" t="str">
        <f>'RESUMEN TOTAL'!AK27</f>
        <v>APAGADO</v>
      </c>
      <c r="AG25" s="23" t="str">
        <f>'RESUMEN TOTAL'!AL27</f>
        <v>APAGADO</v>
      </c>
      <c r="AH25" s="23" t="str">
        <f>'RESUMEN TOTAL'!AM27</f>
        <v>APAGADO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 t="str">
        <f>'RESUMEN TOTAL'!AH34</f>
        <v>APAGADO</v>
      </c>
      <c r="AD32" s="23" t="str">
        <f>'RESUMEN TOTAL'!AI34</f>
        <v>APAGADO</v>
      </c>
      <c r="AE32" s="23" t="str">
        <f>'RESUMEN TOTAL'!AJ34</f>
        <v>APAGADO</v>
      </c>
      <c r="AF32" s="23" t="str">
        <f>'RESUMEN TOTAL'!AK34</f>
        <v>APAGADO</v>
      </c>
      <c r="AG32" s="23" t="str">
        <f>'RESUMEN TOTAL'!AL34</f>
        <v>APAGADO</v>
      </c>
      <c r="AH32" s="23" t="str">
        <f>'RESUMEN TOTAL'!AM34</f>
        <v>APAGADO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 t="str">
        <f>'RESUMEN TOTAL'!AH40</f>
        <v>APAGADO</v>
      </c>
      <c r="AD38" s="23" t="str">
        <f>'RESUMEN TOTAL'!AI40</f>
        <v>APAGADO</v>
      </c>
      <c r="AE38" s="23" t="str">
        <f>'RESUMEN TOTAL'!AJ40</f>
        <v>APAGADO</v>
      </c>
      <c r="AF38" s="23" t="str">
        <f>'RESUMEN TOTAL'!AK40</f>
        <v>APAGADO</v>
      </c>
      <c r="AG38" s="23" t="str">
        <f>'RESUMEN TOTAL'!AL40</f>
        <v>APAGADO</v>
      </c>
      <c r="AH38" s="23" t="str">
        <f>'RESUMEN TOTAL'!AM40</f>
        <v>APAGADO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 t="str">
        <f>'RESUMEN TOTAL'!AH48</f>
        <v>APAGADO</v>
      </c>
      <c r="AD46" s="23" t="str">
        <f>'RESUMEN TOTAL'!AI48</f>
        <v>APAGADO</v>
      </c>
      <c r="AE46" s="23" t="str">
        <f>'RESUMEN TOTAL'!AJ48</f>
        <v>APAGADO</v>
      </c>
      <c r="AF46" s="23" t="str">
        <f>'RESUMEN TOTAL'!AK48</f>
        <v>APAGADO</v>
      </c>
      <c r="AG46" s="23" t="str">
        <f>'RESUMEN TOTAL'!AL48</f>
        <v>APAGADO</v>
      </c>
      <c r="AH46" s="23" t="str">
        <f>'RESUMEN TOTAL'!AM48</f>
        <v>APAGADO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 t="str">
        <f>'RESUMEN TOTAL'!AH49</f>
        <v>APAGADO</v>
      </c>
      <c r="AD47" s="23" t="str">
        <f>'RESUMEN TOTAL'!AI49</f>
        <v>APAGADO</v>
      </c>
      <c r="AE47" s="23" t="str">
        <f>'RESUMEN TOTAL'!AJ49</f>
        <v>APAGADO</v>
      </c>
      <c r="AF47" s="23" t="str">
        <f>'RESUMEN TOTAL'!AK49</f>
        <v>APAGADO</v>
      </c>
      <c r="AG47" s="23" t="str">
        <f>'RESUMEN TOTAL'!AL49</f>
        <v>APAGADO</v>
      </c>
      <c r="AH47" s="23" t="str">
        <f>'RESUMEN TOTAL'!AM49</f>
        <v>APAGADO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 t="str">
        <f>'RESUMEN TOTAL'!AH51</f>
        <v>APAGADO</v>
      </c>
      <c r="AD49" s="23" t="str">
        <f>'RESUMEN TOTAL'!AI51</f>
        <v>APAGADO</v>
      </c>
      <c r="AE49" s="23" t="str">
        <f>'RESUMEN TOTAL'!AJ51</f>
        <v>APAGADO</v>
      </c>
      <c r="AF49" s="23" t="str">
        <f>'RESUMEN TOTAL'!AK51</f>
        <v>APAGADO</v>
      </c>
      <c r="AG49" s="23" t="str">
        <f>'RESUMEN TOTAL'!AL51</f>
        <v>APAGADO</v>
      </c>
      <c r="AH49" s="23" t="str">
        <f>'RESUMEN TOTAL'!AM51</f>
        <v>APAGADO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 t="str">
        <f>'RESUMEN TOTAL'!AH54</f>
        <v>APAGADO</v>
      </c>
      <c r="AD52" s="23" t="str">
        <f>'RESUMEN TOTAL'!AI54</f>
        <v>APAGADO</v>
      </c>
      <c r="AE52" s="23" t="str">
        <f>'RESUMEN TOTAL'!AJ54</f>
        <v>APAGADO</v>
      </c>
      <c r="AF52" s="23" t="str">
        <f>'RESUMEN TOTAL'!AK54</f>
        <v>APAGADO</v>
      </c>
      <c r="AG52" s="23" t="str">
        <f>'RESUMEN TOTAL'!AL54</f>
        <v>APAGADO</v>
      </c>
      <c r="AH52" s="23" t="str">
        <f>'RESUMEN TOTAL'!AM54</f>
        <v>APAGADO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 t="str">
        <f>'RESUMEN TOTAL'!AH56</f>
        <v>APAGADO</v>
      </c>
      <c r="AD54" s="23" t="str">
        <f>'RESUMEN TOTAL'!AI56</f>
        <v>APAGADO</v>
      </c>
      <c r="AE54" s="23" t="str">
        <f>'RESUMEN TOTAL'!AJ56</f>
        <v>APAGADO</v>
      </c>
      <c r="AF54" s="23" t="str">
        <f>'RESUMEN TOTAL'!AK56</f>
        <v>APAGADO</v>
      </c>
      <c r="AG54" s="23" t="str">
        <f>'RESUMEN TOTAL'!AL56</f>
        <v>APAGADO</v>
      </c>
      <c r="AH54" s="23" t="str">
        <f>'RESUMEN TOTAL'!AM56</f>
        <v>APAGADO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 t="str">
        <f>'RESUMEN TOTAL'!AL57</f>
        <v xml:space="preserve"> 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 t="str">
        <f>'RESUMEN TOTAL'!AM72</f>
        <v>APAGADO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 t="str">
        <f>'RESUMEN TOTAL'!AH75</f>
        <v>APAGADO</v>
      </c>
      <c r="AD73" s="23" t="str">
        <f>'RESUMEN TOTAL'!AI75</f>
        <v>APAGADO</v>
      </c>
      <c r="AE73" s="23" t="str">
        <f>'RESUMEN TOTAL'!AJ75</f>
        <v>APAGADO</v>
      </c>
      <c r="AF73" s="23" t="str">
        <f>'RESUMEN TOTAL'!AK75</f>
        <v>APAGADO</v>
      </c>
      <c r="AG73" s="23" t="str">
        <f>'RESUMEN TOTAL'!AL75</f>
        <v>APAGADO</v>
      </c>
      <c r="AH73" s="23" t="str">
        <f>'RESUMEN TOTAL'!AM75</f>
        <v>APAGADO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 t="str">
        <f>'RESUMEN TOTAL'!AL76</f>
        <v>APAGADO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 t="str">
        <f>'RESUMEN TOTAL'!AJ77</f>
        <v>APAGADO</v>
      </c>
      <c r="AF75" s="23" t="str">
        <f>'RESUMEN TOTAL'!AK77</f>
        <v>APAGADO</v>
      </c>
      <c r="AG75" s="23" t="str">
        <f>'RESUMEN TOTAL'!AL77</f>
        <v>APAGADO</v>
      </c>
      <c r="AH75" s="23" t="str">
        <f>'RESUMEN TOTAL'!AM77</f>
        <v>APAGADO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 t="str">
        <f>'RESUMEN TOTAL'!AH87</f>
        <v>APAGADO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 t="str">
        <f>'RESUMEN TOTAL'!AL87</f>
        <v>APAGADO</v>
      </c>
      <c r="AH85" s="23" t="str">
        <f>'RESUMEN TOTAL'!AM87</f>
        <v>APAGADO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 t="str">
        <f>'RESUMEN TOTAL'!AH88</f>
        <v>APAGADO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 t="str">
        <f>'RESUMEN TOTAL'!AL88</f>
        <v>APAGADO</v>
      </c>
      <c r="AH86" s="23" t="str">
        <f>'RESUMEN TOTAL'!AM88</f>
        <v>APAGADO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 t="str">
        <f>'RESUMEN TOTAL'!AH94</f>
        <v>APAGADO</v>
      </c>
      <c r="AD92" s="23" t="str">
        <f>'RESUMEN TOTAL'!AI94</f>
        <v>APAGADO</v>
      </c>
      <c r="AE92" s="23" t="str">
        <f>'RESUMEN TOTAL'!AJ94</f>
        <v>APAGADO</v>
      </c>
      <c r="AF92" s="23" t="str">
        <f>'RESUMEN TOTAL'!AK94</f>
        <v>APAGADO</v>
      </c>
      <c r="AG92" s="23" t="str">
        <f>'RESUMEN TOTAL'!AL94</f>
        <v>APAGADO</v>
      </c>
      <c r="AH92" s="23" t="str">
        <f>'RESUMEN TOTAL'!AM94</f>
        <v>APAGADO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 t="str">
        <f>'RESUMEN TOTAL'!AH98</f>
        <v>APAGADO</v>
      </c>
      <c r="AD96" s="23" t="str">
        <f>'RESUMEN TOTAL'!AI98</f>
        <v>APAGADO</v>
      </c>
      <c r="AE96" s="23" t="str">
        <f>'RESUMEN TOTAL'!AJ98</f>
        <v>APAGADO</v>
      </c>
      <c r="AF96" s="23" t="str">
        <f>'RESUMEN TOTAL'!AK98</f>
        <v>APAGADO</v>
      </c>
      <c r="AG96" s="23" t="str">
        <f>'RESUMEN TOTAL'!AL98</f>
        <v>APAGADO</v>
      </c>
      <c r="AH96" s="23" t="str">
        <f>'RESUMEN TOTAL'!AM98</f>
        <v>APAGADO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 t="str">
        <f>'RESUMEN TOTAL'!AH101</f>
        <v>APAGADO</v>
      </c>
      <c r="AD99" s="23" t="str">
        <f>'RESUMEN TOTAL'!AI101</f>
        <v>APAGADO</v>
      </c>
      <c r="AE99" s="23" t="str">
        <f>'RESUMEN TOTAL'!AJ101</f>
        <v>APAGADO</v>
      </c>
      <c r="AF99" s="23" t="str">
        <f>'RESUMEN TOTAL'!AK101</f>
        <v>APAGADO</v>
      </c>
      <c r="AG99" s="23" t="str">
        <f>'RESUMEN TOTAL'!AL101</f>
        <v>APAGADO</v>
      </c>
      <c r="AH99" s="23" t="str">
        <f>'RESUMEN TOTAL'!AM101</f>
        <v>APAGADO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 t="str">
        <f>'RESUMEN TOTAL'!AH102</f>
        <v>APAGADO</v>
      </c>
      <c r="AD100" s="23" t="str">
        <f>'RESUMEN TOTAL'!AI102</f>
        <v>APAGADO</v>
      </c>
      <c r="AE100" s="23" t="str">
        <f>'RESUMEN TOTAL'!AJ102</f>
        <v>APAGADO</v>
      </c>
      <c r="AF100" s="23" t="str">
        <f>'RESUMEN TOTAL'!AK102</f>
        <v>APAGADO</v>
      </c>
      <c r="AG100" s="23" t="str">
        <f>'RESUMEN TOTAL'!AL102</f>
        <v>APAGADO</v>
      </c>
      <c r="AH100" s="23" t="str">
        <f>'RESUMEN TOTAL'!AM102</f>
        <v>APAGADO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 t="str">
        <f>'RESUMEN TOTAL'!AI118</f>
        <v>APAGADO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 t="str">
        <f>'RESUMEN TOTAL'!AI119</f>
        <v>APAGADO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 t="str">
        <f>'RESUMEN TOTAL'!AI120</f>
        <v>APAGADO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 t="str">
        <f>'RESUMEN TOTAL'!AI121</f>
        <v>APAGADO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 t="str">
        <f>'RESUMEN TOTAL'!AH122</f>
        <v>APAGADO</v>
      </c>
      <c r="AD121" s="23" t="str">
        <f>'RESUMEN TOTAL'!AI122</f>
        <v>APAGADO</v>
      </c>
      <c r="AE121" s="23" t="str">
        <f>'RESUMEN TOTAL'!AJ122</f>
        <v>APAGADO</v>
      </c>
      <c r="AF121" s="23" t="str">
        <f>'RESUMEN TOTAL'!AK122</f>
        <v>APAGADO</v>
      </c>
      <c r="AG121" s="23" t="str">
        <f>'RESUMEN TOTAL'!AL122</f>
        <v>APAGADO</v>
      </c>
      <c r="AH121" s="23" t="str">
        <f>'RESUMEN TOTAL'!AM122</f>
        <v>APAGADO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 t="str">
        <f>'RESUMEN TOTAL'!AI138</f>
        <v>APAGADO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 t="str">
        <f>'RESUMEN TOTAL'!AI139</f>
        <v>APAGADO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 t="str">
        <f>'RESUMEN TOTAL'!AI175</f>
        <v>APAGADO</v>
      </c>
      <c r="AE173" s="23" t="str">
        <f>'RESUMEN TOTAL'!AJ175</f>
        <v>APAGADO</v>
      </c>
      <c r="AF173" s="23" t="str">
        <f>'RESUMEN TOTAL'!AK175</f>
        <v>APAGADO</v>
      </c>
      <c r="AG173" s="23" t="str">
        <f>'RESUMEN TOTAL'!AL175</f>
        <v>APAGADO</v>
      </c>
      <c r="AH173" s="23" t="str">
        <f>'RESUMEN TOTAL'!AM175</f>
        <v>APAGADO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 t="str">
        <f>'RESUMEN TOTAL'!AI176</f>
        <v>APAGADO</v>
      </c>
      <c r="AE174" s="23">
        <f>'RESUMEN TOTAL'!AJ176</f>
        <v>0</v>
      </c>
      <c r="AF174" s="23">
        <f>'RESUMEN TOTAL'!AK176</f>
        <v>0</v>
      </c>
      <c r="AG174" s="23" t="str">
        <f>'RESUMEN TOTAL'!AL176</f>
        <v>APAGADO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 t="str">
        <f>'RESUMEN TOTAL'!AI177</f>
        <v>APAGADO</v>
      </c>
      <c r="AE175" s="23" t="str">
        <f>'RESUMEN TOTAL'!AJ177</f>
        <v>APAGADO</v>
      </c>
      <c r="AF175" s="23" t="str">
        <f>'RESUMEN TOTAL'!AK177</f>
        <v>APAGADO</v>
      </c>
      <c r="AG175" s="23" t="str">
        <f>'RESUMEN TOTAL'!AL177</f>
        <v>APAGADO</v>
      </c>
      <c r="AH175" s="23" t="str">
        <f>'RESUMEN TOTAL'!AM177</f>
        <v>APAGADO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 t="str">
        <f>'RESUMEN TOTAL'!AI182</f>
        <v>APAGADO</v>
      </c>
      <c r="AE180" s="23" t="str">
        <f>'RESUMEN TOTAL'!AJ182</f>
        <v>APAGADO</v>
      </c>
      <c r="AF180" s="23" t="str">
        <f>'RESUMEN TOTAL'!AK182</f>
        <v>APAGADO</v>
      </c>
      <c r="AG180" s="23" t="str">
        <f>'RESUMEN TOTAL'!AL182</f>
        <v>APAGADO</v>
      </c>
      <c r="AH180" s="23" t="str">
        <f>'RESUMEN TOTAL'!AM182</f>
        <v>APAGADO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 t="str">
        <f>'RESUMEN TOTAL'!AJ184</f>
        <v>APAGADO</v>
      </c>
      <c r="AF182" s="23" t="str">
        <f>'RESUMEN TOTAL'!AK184</f>
        <v>APAGADO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 t="str">
        <f>'RESUMEN TOTAL'!AH185</f>
        <v>APAGADO</v>
      </c>
      <c r="AD183" s="23" t="str">
        <f>'RESUMEN TOTAL'!AI185</f>
        <v>APAGADO</v>
      </c>
      <c r="AE183" s="23" t="str">
        <f>'RESUMEN TOTAL'!AJ185</f>
        <v>APAGADO</v>
      </c>
      <c r="AF183" s="23" t="str">
        <f>'RESUMEN TOTAL'!AK185</f>
        <v>APAGADO</v>
      </c>
      <c r="AG183" s="23" t="str">
        <f>'RESUMEN TOTAL'!AL185</f>
        <v>APAGADO</v>
      </c>
      <c r="AH183" s="23" t="str">
        <f>'RESUMEN TOTAL'!AM185</f>
        <v>APAGADO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 t="str">
        <f>'RESUMEN TOTAL'!AH187</f>
        <v>APAGADO</v>
      </c>
      <c r="AD185" s="23" t="str">
        <f>'RESUMEN TOTAL'!AI187</f>
        <v>APAGADO</v>
      </c>
      <c r="AE185" s="23" t="str">
        <f>'RESUMEN TOTAL'!AJ187</f>
        <v>APAGADO</v>
      </c>
      <c r="AF185" s="23" t="str">
        <f>'RESUMEN TOTAL'!AK187</f>
        <v>APAGADO</v>
      </c>
      <c r="AG185" s="23" t="str">
        <f>'RESUMEN TOTAL'!AL187</f>
        <v>APAGADO</v>
      </c>
      <c r="AH185" s="23" t="str">
        <f>'RESUMEN TOTAL'!AM187</f>
        <v>APAGADO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 t="str">
        <f>'RESUMEN TOTAL'!AH198</f>
        <v>APAGADO</v>
      </c>
      <c r="AD196" s="23" t="str">
        <f>'RESUMEN TOTAL'!AI198</f>
        <v>APAGADO</v>
      </c>
      <c r="AE196" s="23" t="str">
        <f>'RESUMEN TOTAL'!AJ198</f>
        <v>APAGADO</v>
      </c>
      <c r="AF196" s="23" t="str">
        <f>'RESUMEN TOTAL'!AK198</f>
        <v>APAGADO</v>
      </c>
      <c r="AG196" s="23" t="str">
        <f>'RESUMEN TOTAL'!AL198</f>
        <v>APAGADO</v>
      </c>
      <c r="AH196" s="23" t="str">
        <f>'RESUMEN TOTAL'!AM198</f>
        <v>APAGADO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 t="str">
        <f>'RESUMEN TOTAL'!AH212</f>
        <v>APAGADO</v>
      </c>
      <c r="AD210" s="23" t="str">
        <f>'RESUMEN TOTAL'!AI212</f>
        <v>APAGADO</v>
      </c>
      <c r="AE210" s="23" t="str">
        <f>'RESUMEN TOTAL'!AJ212</f>
        <v>APAGADO</v>
      </c>
      <c r="AF210" s="23" t="str">
        <f>'RESUMEN TOTAL'!AK212</f>
        <v>APAGADO</v>
      </c>
      <c r="AG210" s="23" t="str">
        <f>'RESUMEN TOTAL'!AL212</f>
        <v>APAGADO</v>
      </c>
      <c r="AH210" s="23" t="str">
        <f>'RESUMEN TOTAL'!AM212</f>
        <v>APAGADO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 t="str">
        <f>'RESUMEN TOTAL'!AI220</f>
        <v>APAGADO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 t="str">
        <f>'RESUMEN TOTAL'!AI221</f>
        <v>APAGADO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 t="str">
        <f>'RESUMEN TOTAL'!AI222</f>
        <v>APAGADO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 t="str">
        <f>'RESUMEN TOTAL'!AI223</f>
        <v>APAGADO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 t="str">
        <f>'RESUMEN TOTAL'!AH229</f>
        <v>APAGADO</v>
      </c>
      <c r="AD227" s="23" t="str">
        <f>'RESUMEN TOTAL'!AI229</f>
        <v>APAGADO</v>
      </c>
      <c r="AE227" s="23" t="str">
        <f>'RESUMEN TOTAL'!AJ229</f>
        <v>APAGADO</v>
      </c>
      <c r="AF227" s="23" t="str">
        <f>'RESUMEN TOTAL'!AK229</f>
        <v>APAGADO</v>
      </c>
      <c r="AG227" s="23" t="str">
        <f>'RESUMEN TOTAL'!AL229</f>
        <v>APAGADO</v>
      </c>
      <c r="AH227" s="23" t="str">
        <f>'RESUMEN TOTAL'!AM229</f>
        <v>APAGADO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 t="str">
        <f>'RESUMEN TOTAL'!AH236</f>
        <v>APAGADO</v>
      </c>
      <c r="AD234" s="23" t="str">
        <f>'RESUMEN TOTAL'!AI236</f>
        <v>APAGADO</v>
      </c>
      <c r="AE234" s="23" t="str">
        <f>'RESUMEN TOTAL'!AJ236</f>
        <v>APAGADO</v>
      </c>
      <c r="AF234" s="23" t="str">
        <f>'RESUMEN TOTAL'!AK236</f>
        <v>APAGADO</v>
      </c>
      <c r="AG234" s="23" t="str">
        <f>'RESUMEN TOTAL'!AL236</f>
        <v>APAGADO</v>
      </c>
      <c r="AH234" s="23" t="str">
        <f>'RESUMEN TOTAL'!AM236</f>
        <v>APAGADO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 t="str">
        <f>'RESUMEN TOTAL'!AI237</f>
        <v>APAGADO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 t="str">
        <f>'RESUMEN TOTAL'!AI238</f>
        <v>APAGADO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 t="str">
        <f>'RESUMEN TOTAL'!AH241</f>
        <v>APAGADO</v>
      </c>
      <c r="AD239" s="23" t="str">
        <f>'RESUMEN TOTAL'!AI241</f>
        <v>APAGADO</v>
      </c>
      <c r="AE239" s="23">
        <f>'RESUMEN TOTAL'!AJ241</f>
        <v>0</v>
      </c>
      <c r="AF239" s="23">
        <f>'RESUMEN TOTAL'!AK241</f>
        <v>0</v>
      </c>
      <c r="AG239" s="23" t="str">
        <f>'RESUMEN TOTAL'!AL241</f>
        <v>APAGADO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 t="str">
        <f>'RESUMEN TOTAL'!AH256</f>
        <v>APAGADO</v>
      </c>
      <c r="AD254" s="23" t="str">
        <f>'RESUMEN TOTAL'!AI256</f>
        <v>APAGADO</v>
      </c>
      <c r="AE254" s="23" t="str">
        <f>'RESUMEN TOTAL'!AJ256</f>
        <v>APAGADO</v>
      </c>
      <c r="AF254" s="23" t="str">
        <f>'RESUMEN TOTAL'!AK256</f>
        <v>APAGADO</v>
      </c>
      <c r="AG254" s="23" t="str">
        <f>'RESUMEN TOTAL'!AL256</f>
        <v>APAGADO</v>
      </c>
      <c r="AH254" s="23" t="str">
        <f>'RESUMEN TOTAL'!AM256</f>
        <v>APAGADO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 t="str">
        <f>'RESUMEN TOTAL'!AI267</f>
        <v>APAGADO</v>
      </c>
      <c r="AE264" s="23" t="str">
        <f>'RESUMEN TOTAL'!AJ267</f>
        <v>APAGADO</v>
      </c>
      <c r="AF264" s="23" t="str">
        <f>'RESUMEN TOTAL'!AK267</f>
        <v>APAGADO</v>
      </c>
      <c r="AG264" s="23" t="str">
        <f>'RESUMEN TOTAL'!AL267</f>
        <v>APAGADO</v>
      </c>
      <c r="AH264" s="23" t="str">
        <f>'RESUMEN TOTAL'!AM267</f>
        <v>APAGADO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 t="str">
        <f>'RESUMEN TOTAL'!AI268</f>
        <v>APAGADO</v>
      </c>
      <c r="AE265" s="23" t="str">
        <f>'RESUMEN TOTAL'!AJ268</f>
        <v>APAGADO</v>
      </c>
      <c r="AF265" s="23" t="str">
        <f>'RESUMEN TOTAL'!AK268</f>
        <v>APAGADO</v>
      </c>
      <c r="AG265" s="23" t="str">
        <f>'RESUMEN TOTAL'!AL268</f>
        <v>APAGADO</v>
      </c>
      <c r="AH265" s="23" t="str">
        <f>'RESUMEN TOTAL'!AM268</f>
        <v>APAGADO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 t="str">
        <f>'RESUMEN TOTAL'!AI275</f>
        <v>APAGADO</v>
      </c>
      <c r="AE272" s="23" t="str">
        <f>'RESUMEN TOTAL'!AJ275</f>
        <v>APAGADO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 t="str">
        <f>'RESUMEN TOTAL'!AJ302</f>
        <v>APAGADO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 t="str">
        <f>'RESUMEN TOTAL'!AI315</f>
        <v>APAGADO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 t="str">
        <f>'RESUMEN TOTAL'!AI316</f>
        <v>APAGADO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 t="str">
        <f>'RESUMEN TOTAL'!AH323</f>
        <v>APAGADO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 t="str">
        <f>'RESUMEN TOTAL'!AH335</f>
        <v>APAGADO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 t="str">
        <f>'RESUMEN TOTAL'!AH345</f>
        <v>APAGADO</v>
      </c>
      <c r="AD342" s="23" t="str">
        <f>'RESUMEN TOTAL'!AI345</f>
        <v>APAGADO</v>
      </c>
      <c r="AE342" s="23" t="str">
        <f>'RESUMEN TOTAL'!AJ345</f>
        <v>APAGADO</v>
      </c>
      <c r="AF342" s="23" t="str">
        <f>'RESUMEN TOTAL'!AK345</f>
        <v>APAGADO</v>
      </c>
      <c r="AG342" s="23" t="str">
        <f>'RESUMEN TOTAL'!AL345</f>
        <v>APAGADO</v>
      </c>
      <c r="AH342" s="23" t="str">
        <f>'RESUMEN TOTAL'!AM345</f>
        <v>APAGADO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 t="str">
        <f>'RESUMEN TOTAL'!AH347</f>
        <v>APAGADO</v>
      </c>
      <c r="AD344" s="23" t="str">
        <f>'RESUMEN TOTAL'!AI347</f>
        <v>APAGADO</v>
      </c>
      <c r="AE344" s="23" t="str">
        <f>'RESUMEN TOTAL'!AJ347</f>
        <v>APAGADO</v>
      </c>
      <c r="AF344" s="23" t="str">
        <f>'RESUMEN TOTAL'!AK347</f>
        <v>APAGADO</v>
      </c>
      <c r="AG344" s="23" t="str">
        <f>'RESUMEN TOTAL'!AL347</f>
        <v>APAGADO</v>
      </c>
      <c r="AH344" s="23" t="str">
        <f>'RESUMEN TOTAL'!AM347</f>
        <v>APAGADO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 t="str">
        <f>'RESUMEN TOTAL'!AH348</f>
        <v>APAGADO</v>
      </c>
      <c r="AD345" s="23" t="str">
        <f>'RESUMEN TOTAL'!AI348</f>
        <v>APAGADO</v>
      </c>
      <c r="AE345" s="23" t="str">
        <f>'RESUMEN TOTAL'!AJ348</f>
        <v>APAGADO</v>
      </c>
      <c r="AF345" s="23" t="str">
        <f>'RESUMEN TOTAL'!AK348</f>
        <v>APAGADO</v>
      </c>
      <c r="AG345" s="23" t="str">
        <f>'RESUMEN TOTAL'!AL348</f>
        <v>APAGADO</v>
      </c>
      <c r="AH345" s="23" t="str">
        <f>'RESUMEN TOTAL'!AM348</f>
        <v>APAGADO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 t="str">
        <f>'RESUMEN TOTAL'!AH349</f>
        <v>APAGADO</v>
      </c>
      <c r="AD346" s="23" t="str">
        <f>'RESUMEN TOTAL'!AI349</f>
        <v>APAGADO</v>
      </c>
      <c r="AE346" s="23" t="str">
        <f>'RESUMEN TOTAL'!AJ349</f>
        <v>APAGADO</v>
      </c>
      <c r="AF346" s="23" t="str">
        <f>'RESUMEN TOTAL'!AK349</f>
        <v>APAGADO</v>
      </c>
      <c r="AG346" s="23" t="str">
        <f>'RESUMEN TOTAL'!AL349</f>
        <v>APAGADO</v>
      </c>
      <c r="AH346" s="23" t="str">
        <f>'RESUMEN TOTAL'!AM349</f>
        <v>APAGADO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 t="str">
        <f>'RESUMEN TOTAL'!AH350</f>
        <v>APAGADO</v>
      </c>
      <c r="AD347" s="23" t="str">
        <f>'RESUMEN TOTAL'!AI350</f>
        <v>APAGADO</v>
      </c>
      <c r="AE347" s="23" t="str">
        <f>'RESUMEN TOTAL'!AJ350</f>
        <v>APAGADO</v>
      </c>
      <c r="AF347" s="23" t="str">
        <f>'RESUMEN TOTAL'!AK350</f>
        <v>APAGADO</v>
      </c>
      <c r="AG347" s="23" t="str">
        <f>'RESUMEN TOTAL'!AL350</f>
        <v>APAGADO</v>
      </c>
      <c r="AH347" s="23" t="str">
        <f>'RESUMEN TOTAL'!AM350</f>
        <v>APAGADO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 t="str">
        <f>'RESUMEN TOTAL'!AH351</f>
        <v>APAGADO</v>
      </c>
      <c r="AD348" s="23" t="str">
        <f>'RESUMEN TOTAL'!AI351</f>
        <v>APAGADO</v>
      </c>
      <c r="AE348" s="23" t="str">
        <f>'RESUMEN TOTAL'!AJ351</f>
        <v>APAGADO</v>
      </c>
      <c r="AF348" s="23" t="str">
        <f>'RESUMEN TOTAL'!AK351</f>
        <v>APAGADO</v>
      </c>
      <c r="AG348" s="23" t="str">
        <f>'RESUMEN TOTAL'!AL351</f>
        <v>APAGADO</v>
      </c>
      <c r="AH348" s="23" t="str">
        <f>'RESUMEN TOTAL'!AM351</f>
        <v>APAGADO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 t="str">
        <f>'RESUMEN TOTAL'!AH360</f>
        <v>APAGADO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 t="str">
        <f>'RESUMEN TOTAL'!AH371</f>
        <v>APAGADO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 t="str">
        <f>'RESUMEN TOTAL'!AH374</f>
        <v>APAGADO</v>
      </c>
      <c r="AD371" s="23" t="str">
        <f>'RESUMEN TOTAL'!AI374</f>
        <v>APAGADO</v>
      </c>
      <c r="AE371" s="23" t="str">
        <f>'RESUMEN TOTAL'!AJ374</f>
        <v>APAGADO</v>
      </c>
      <c r="AF371" s="23" t="str">
        <f>'RESUMEN TOTAL'!AK374</f>
        <v>APAGADO</v>
      </c>
      <c r="AG371" s="23" t="str">
        <f>'RESUMEN TOTAL'!AL374</f>
        <v>APAGADO</v>
      </c>
      <c r="AH371" s="23" t="str">
        <f>'RESUMEN TOTAL'!AM374</f>
        <v>APAGADO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 t="str">
        <f>'RESUMEN TOTAL'!AH379</f>
        <v>APAGADO</v>
      </c>
      <c r="AD376" s="23" t="str">
        <f>'RESUMEN TOTAL'!AI379</f>
        <v>APAGADO</v>
      </c>
      <c r="AE376" s="23" t="str">
        <f>'RESUMEN TOTAL'!AJ379</f>
        <v>APAGADO</v>
      </c>
      <c r="AF376" s="23" t="str">
        <f>'RESUMEN TOTAL'!AK379</f>
        <v>APAGADO</v>
      </c>
      <c r="AG376" s="23" t="str">
        <f>'RESUMEN TOTAL'!AL379</f>
        <v>APAGADO</v>
      </c>
      <c r="AH376" s="23" t="str">
        <f>'RESUMEN TOTAL'!AM379</f>
        <v>APAGADO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 t="str">
        <f>'RESUMEN TOTAL'!AH390</f>
        <v>APAGADO</v>
      </c>
      <c r="AD387" s="23" t="str">
        <f>'RESUMEN TOTAL'!AI390</f>
        <v>APAGADO</v>
      </c>
      <c r="AE387" s="23">
        <f>'RESUMEN TOTAL'!AJ390</f>
        <v>0</v>
      </c>
      <c r="AF387" s="23" t="str">
        <f>'RESUMEN TOTAL'!AK390</f>
        <v>APAGADO</v>
      </c>
      <c r="AG387" s="23" t="str">
        <f>'RESUMEN TOTAL'!AL390</f>
        <v>APAGADO</v>
      </c>
      <c r="AH387" s="23" t="str">
        <f>'RESUMEN TOTAL'!AM390</f>
        <v>APAGADO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 t="str">
        <f>'RESUMEN TOTAL'!AH391</f>
        <v>APAGADO</v>
      </c>
      <c r="AD388" s="23" t="str">
        <f>'RESUMEN TOTAL'!AI391</f>
        <v>APAGADO</v>
      </c>
      <c r="AE388" s="23">
        <f>'RESUMEN TOTAL'!AJ391</f>
        <v>0</v>
      </c>
      <c r="AF388" s="23" t="str">
        <f>'RESUMEN TOTAL'!AK391</f>
        <v>APAGADO</v>
      </c>
      <c r="AG388" s="23" t="str">
        <f>'RESUMEN TOTAL'!AL391</f>
        <v>APAGADO</v>
      </c>
      <c r="AH388" s="23" t="str">
        <f>'RESUMEN TOTAL'!AM391</f>
        <v>APAGADO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 t="str">
        <f>'RESUMEN TOTAL'!AH405</f>
        <v>APAGADO</v>
      </c>
      <c r="AD402" s="23" t="str">
        <f>'RESUMEN TOTAL'!AI405</f>
        <v>APAGADO</v>
      </c>
      <c r="AE402" s="23" t="str">
        <f>'RESUMEN TOTAL'!AJ405</f>
        <v>APAGADO</v>
      </c>
      <c r="AF402" s="23" t="str">
        <f>'RESUMEN TOTAL'!AK405</f>
        <v>APAGADO</v>
      </c>
      <c r="AG402" s="23" t="str">
        <f>'RESUMEN TOTAL'!AL405</f>
        <v>APAGADO</v>
      </c>
      <c r="AH402" s="23" t="str">
        <f>'RESUMEN TOTAL'!AM405</f>
        <v>APAGADO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 t="str">
        <f>'RESUMEN TOTAL'!AH420</f>
        <v>APAGADO</v>
      </c>
      <c r="AD417" s="23" t="str">
        <f>'RESUMEN TOTAL'!AI420</f>
        <v>APAGADO</v>
      </c>
      <c r="AE417" s="23" t="str">
        <f>'RESUMEN TOTAL'!AJ420</f>
        <v>APAGADO</v>
      </c>
      <c r="AF417" s="23" t="str">
        <f>'RESUMEN TOTAL'!AK420</f>
        <v>APAGADO</v>
      </c>
      <c r="AG417" s="23" t="str">
        <f>'RESUMEN TOTAL'!AL420</f>
        <v>APAGADO</v>
      </c>
      <c r="AH417" s="23" t="str">
        <f>'RESUMEN TOTAL'!AM420</f>
        <v>APAGADO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 t="str">
        <f>'RESUMEN TOTAL'!AK432</f>
        <v>APAGADO</v>
      </c>
      <c r="AG429" s="23">
        <f>'RESUMEN TOTAL'!AL432</f>
        <v>0</v>
      </c>
      <c r="AH429" s="23" t="str">
        <f>'RESUMEN TOTAL'!AM432</f>
        <v>APAGADO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39</v>
      </c>
      <c r="AD1" s="19">
        <f t="shared" si="0"/>
        <v>54</v>
      </c>
      <c r="AE1" s="19">
        <f t="shared" si="0"/>
        <v>39</v>
      </c>
      <c r="AF1" s="19">
        <f t="shared" si="0"/>
        <v>39</v>
      </c>
      <c r="AG1" s="19">
        <f t="shared" si="0"/>
        <v>43</v>
      </c>
      <c r="AH1" s="19">
        <f t="shared" ref="AH1:AI1" si="1">COUNTIF(AH3:AH400, "APAGADO")</f>
        <v>41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 t="str">
        <f>ESTADISTICA!AG13</f>
        <v>APAGADO</v>
      </c>
      <c r="AH14" s="40" t="str">
        <f>ESTADISTICA!AH13</f>
        <v>APAGADO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 s="40" t="str">
        <f>ESTADISTICA!AH25</f>
        <v>APAGADO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 t="str">
        <f>ESTADISTICA!AE32</f>
        <v>APAGADO</v>
      </c>
      <c r="AF33" t="str">
        <f>ESTADISTICA!AF32</f>
        <v>APAGADO</v>
      </c>
      <c r="AG33" t="str">
        <f>ESTADISTICA!AG32</f>
        <v>APAGADO</v>
      </c>
      <c r="AH33" s="40" t="str">
        <f>ESTADISTICA!AH32</f>
        <v>APAGADO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 t="str">
        <f>ESTADISTICA!AG38</f>
        <v>APAGADO</v>
      </c>
      <c r="AH39" s="40" t="str">
        <f>ESTADISTICA!AH38</f>
        <v>APAGADO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 s="40" t="str">
        <f>ESTADISTICA!AH46</f>
        <v>APAGADO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 s="40" t="str">
        <f>ESTADISTICA!AH47</f>
        <v>APAGADO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 s="40" t="str">
        <f>ESTADISTICA!AH49</f>
        <v>APAGADO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 s="40" t="str">
        <f>ESTADISTICA!AH52</f>
        <v>APAGADO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s="40" t="str">
        <f>ESTADISTICA!AH54</f>
        <v>APAGADO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 t="str">
        <f>ESTADISTICA!AG55</f>
        <v xml:space="preserve"> 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 t="str">
        <f>ESTADISTICA!AH70</f>
        <v>APAGADO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 t="str">
        <f>ESTADISTICA!AC73</f>
        <v>APAGADO</v>
      </c>
      <c r="AD74" t="str">
        <f>ESTADISTICA!AD73</f>
        <v>APAGADO</v>
      </c>
      <c r="AE74" t="str">
        <f>ESTADISTICA!AE73</f>
        <v>APAGADO</v>
      </c>
      <c r="AF74" t="str">
        <f>ESTADISTICA!AF73</f>
        <v>APAGADO</v>
      </c>
      <c r="AG74" t="str">
        <f>ESTADISTICA!AG73</f>
        <v>APAGADO</v>
      </c>
      <c r="AH74" s="40" t="str">
        <f>ESTADISTICA!AH73</f>
        <v>APAGADO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 t="str">
        <f>ESTADISTICA!AG74</f>
        <v>APAGADO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 t="str">
        <f>ESTADISTICA!AE75</f>
        <v>APAGADO</v>
      </c>
      <c r="AF76" t="str">
        <f>ESTADISTICA!AF75</f>
        <v>APAGADO</v>
      </c>
      <c r="AG76" t="str">
        <f>ESTADISTICA!AG75</f>
        <v>APAGADO</v>
      </c>
      <c r="AH76" s="40" t="str">
        <f>ESTADISTICA!AH75</f>
        <v>APAGADO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 t="str">
        <f>ESTADISTICA!AG85</f>
        <v>APAGADO</v>
      </c>
      <c r="AH86" s="40" t="str">
        <f>ESTADISTICA!AH85</f>
        <v>APAGADO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 t="str">
        <f>ESTADISTICA!AG86</f>
        <v>APAGADO</v>
      </c>
      <c r="AH87" s="40" t="str">
        <f>ESTADISTICA!AH86</f>
        <v>APAGADO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 t="str">
        <f>ESTADISTICA!AG92</f>
        <v>APAGADO</v>
      </c>
      <c r="AH93" s="40" t="str">
        <f>ESTADISTICA!AH92</f>
        <v>APAGADO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 s="40" t="str">
        <f>ESTADISTICA!AH96</f>
        <v>APAGADO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 t="str">
        <f>ESTADISTICA!AE99</f>
        <v>APAGADO</v>
      </c>
      <c r="AF100" t="str">
        <f>ESTADISTICA!AF99</f>
        <v>APAGADO</v>
      </c>
      <c r="AG100" t="str">
        <f>ESTADISTICA!AG99</f>
        <v>APAGADO</v>
      </c>
      <c r="AH100" s="40" t="str">
        <f>ESTADISTICA!AH99</f>
        <v>APAGADO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 t="str">
        <f>ESTADISTICA!AE100</f>
        <v>APAGADO</v>
      </c>
      <c r="AF101" t="str">
        <f>ESTADISTICA!AF100</f>
        <v>APAGADO</v>
      </c>
      <c r="AG101" t="str">
        <f>ESTADISTICA!AG100</f>
        <v>APAGADO</v>
      </c>
      <c r="AH101" s="40" t="str">
        <f>ESTADISTICA!AH100</f>
        <v>APAGADO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 s="40" t="str">
        <f>ESTADISTICA!AH121</f>
        <v>APAGADO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 s="40" t="str">
        <f>ESTADISTICA!AH173</f>
        <v>APAGADO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 t="str">
        <f>ESTADISTICA!AG174</f>
        <v>APAGADO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 s="40" t="str">
        <f>ESTADISTICA!AH175</f>
        <v>APAGADO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 t="str">
        <f>ESTADISTICA!AG180</f>
        <v>APAGADO</v>
      </c>
      <c r="AH181" s="40" t="str">
        <f>ESTADISTICA!AH180</f>
        <v>APAGADO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 t="str">
        <f>ESTADISTICA!AG183</f>
        <v>APAGADO</v>
      </c>
      <c r="AH184" s="40" t="str">
        <f>ESTADISTICA!AH183</f>
        <v>APAGADO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 t="str">
        <f>ESTADISTICA!AG185</f>
        <v>APAGADO</v>
      </c>
      <c r="AH186" s="40" t="str">
        <f>ESTADISTICA!AH185</f>
        <v>APAGADO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 s="40" t="str">
        <f>ESTADISTICA!AH196</f>
        <v>APAGADO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 t="str">
        <f>ESTADISTICA!AF210</f>
        <v>APAGADO</v>
      </c>
      <c r="AG211" t="str">
        <f>ESTADISTICA!AG210</f>
        <v>APAGADO</v>
      </c>
      <c r="AH211" s="40" t="str">
        <f>ESTADISTICA!AH210</f>
        <v>APAGADO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 t="str">
        <f>ESTADISTICA!AG227</f>
        <v>APAGADO</v>
      </c>
      <c r="AH228" s="40" t="str">
        <f>ESTADISTICA!AH227</f>
        <v>APAGADO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s="40" t="str">
        <f>ESTADISTICA!AH234</f>
        <v>APAGADO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 t="str">
        <f>ESTADISTICA!AG239</f>
        <v>APAGADO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 t="str">
        <f>ESTADISTICA!AC254</f>
        <v>APAGADO</v>
      </c>
      <c r="AD255" t="str">
        <f>ESTADISTICA!AD254</f>
        <v>APAGADO</v>
      </c>
      <c r="AE255" t="str">
        <f>ESTADISTICA!AE254</f>
        <v>APAGADO</v>
      </c>
      <c r="AF255" t="str">
        <f>ESTADISTICA!AF254</f>
        <v>APAGADO</v>
      </c>
      <c r="AG255" t="str">
        <f>ESTADISTICA!AG254</f>
        <v>APAGADO</v>
      </c>
      <c r="AH255" s="40" t="str">
        <f>ESTADISTICA!AH254</f>
        <v>APAGADO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 t="str">
        <f>ESTADISTICA!AE264</f>
        <v>APAGADO</v>
      </c>
      <c r="AF265" t="str">
        <f>ESTADISTICA!AF264</f>
        <v>APAGADO</v>
      </c>
      <c r="AG265" t="str">
        <f>ESTADISTICA!AG264</f>
        <v>APAGADO</v>
      </c>
      <c r="AH265" s="40" t="str">
        <f>ESTADISTICA!AH264</f>
        <v>APAGADO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 t="str">
        <f>ESTADISTICA!AE265</f>
        <v>APAGADO</v>
      </c>
      <c r="AF266" t="str">
        <f>ESTADISTICA!AF265</f>
        <v>APAGADO</v>
      </c>
      <c r="AG266" t="str">
        <f>ESTADISTICA!AG265</f>
        <v>APAGADO</v>
      </c>
      <c r="AH266" s="40" t="str">
        <f>ESTADISTICA!AH265</f>
        <v>APAGADO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 t="str">
        <f>ESTADISTICA!AD272</f>
        <v>APAGADO</v>
      </c>
      <c r="AE273" t="str">
        <f>ESTADISTICA!AE272</f>
        <v>APAGADO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 t="str">
        <f>ESTADISTICA!AE299</f>
        <v>APAGADO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 t="str">
        <f>ESTADISTICA!AD313</f>
        <v>APAGADO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 t="str">
        <f>ESTADISTICA!AE342</f>
        <v>APAGADO</v>
      </c>
      <c r="AF343" t="str">
        <f>ESTADISTICA!AF342</f>
        <v>APAGADO</v>
      </c>
      <c r="AG343" t="str">
        <f>ESTADISTICA!AG342</f>
        <v>APAGADO</v>
      </c>
      <c r="AH343" s="40" t="str">
        <f>ESTADISTICA!AH342</f>
        <v>APAGADO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 t="str">
        <f>ESTADISTICA!AE344</f>
        <v>APAGADO</v>
      </c>
      <c r="AF345" t="str">
        <f>ESTADISTICA!AF344</f>
        <v>APAGADO</v>
      </c>
      <c r="AG345" t="str">
        <f>ESTADISTICA!AG344</f>
        <v>APAGADO</v>
      </c>
      <c r="AH345" s="40" t="str">
        <f>ESTADISTICA!AH344</f>
        <v>APAGADO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 t="str">
        <f>ESTADISTICA!AE345</f>
        <v>APAGADO</v>
      </c>
      <c r="AF346" t="str">
        <f>ESTADISTICA!AF345</f>
        <v>APAGADO</v>
      </c>
      <c r="AG346" t="str">
        <f>ESTADISTICA!AG345</f>
        <v>APAGADO</v>
      </c>
      <c r="AH346" s="40" t="str">
        <f>ESTADISTICA!AH345</f>
        <v>APAGADO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 t="str">
        <f>ESTADISTICA!AE346</f>
        <v>APAGADO</v>
      </c>
      <c r="AF347" t="str">
        <f>ESTADISTICA!AF346</f>
        <v>APAGADO</v>
      </c>
      <c r="AG347" t="str">
        <f>ESTADISTICA!AG346</f>
        <v>APAGADO</v>
      </c>
      <c r="AH347" s="40" t="str">
        <f>ESTADISTICA!AH346</f>
        <v>APAGADO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 t="str">
        <f>ESTADISTICA!AE347</f>
        <v>APAGADO</v>
      </c>
      <c r="AF348" t="str">
        <f>ESTADISTICA!AF347</f>
        <v>APAGADO</v>
      </c>
      <c r="AG348" t="str">
        <f>ESTADISTICA!AG347</f>
        <v>APAGADO</v>
      </c>
      <c r="AH348" s="40" t="str">
        <f>ESTADISTICA!AH347</f>
        <v>APAGADO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 s="40" t="str">
        <f>ESTADISTICA!AH348</f>
        <v>APAGADO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 t="str">
        <f>ESTADISTICA!AE371</f>
        <v>APAGADO</v>
      </c>
      <c r="AF372" t="str">
        <f>ESTADISTICA!AF371</f>
        <v>APAGADO</v>
      </c>
      <c r="AG372" t="str">
        <f>ESTADISTICA!AG371</f>
        <v>APAGADO</v>
      </c>
      <c r="AH372" s="40" t="str">
        <f>ESTADISTICA!AH371</f>
        <v>APAGADO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 t="str">
        <f>ESTADISTICA!AE376</f>
        <v>APAGADO</v>
      </c>
      <c r="AF377" t="str">
        <f>ESTADISTICA!AF376</f>
        <v>APAGADO</v>
      </c>
      <c r="AG377" t="str">
        <f>ESTADISTICA!AG376</f>
        <v>APAGADO</v>
      </c>
      <c r="AH377" s="40" t="str">
        <f>ESTADISTICA!AH376</f>
        <v>APAGADO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 t="str">
        <f>ESTADISTICA!AC387</f>
        <v>APAGADO</v>
      </c>
      <c r="AD388" s="40" t="str">
        <f>ESTADISTICA!AD387</f>
        <v>APAGADO</v>
      </c>
      <c r="AE388" s="40">
        <f>ESTADISTICA!AE387</f>
        <v>0</v>
      </c>
      <c r="AF388" s="40" t="str">
        <f>ESTADISTICA!AF387</f>
        <v>APAGADO</v>
      </c>
      <c r="AG388" s="40" t="str">
        <f>ESTADISTICA!AG387</f>
        <v>APAGADO</v>
      </c>
      <c r="AH388" s="40" t="str">
        <f>ESTADISTICA!AH387</f>
        <v>APAGADO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 t="str">
        <f>ESTADISTICA!AC388</f>
        <v>APAGADO</v>
      </c>
      <c r="AD389" s="40" t="str">
        <f>ESTADISTICA!AD388</f>
        <v>APAGADO</v>
      </c>
      <c r="AE389" s="40">
        <f>ESTADISTICA!AE388</f>
        <v>0</v>
      </c>
      <c r="AF389" s="40" t="str">
        <f>ESTADISTICA!AF388</f>
        <v>APAGADO</v>
      </c>
      <c r="AG389" s="40" t="str">
        <f>ESTADISTICA!AG388</f>
        <v>APAGADO</v>
      </c>
      <c r="AH389" s="40" t="str">
        <f>ESTADISTICA!AH388</f>
        <v>APAGADO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 t="str">
        <f>ESTADISTICA!AC402</f>
        <v>APAGADO</v>
      </c>
      <c r="AD403" s="40" t="str">
        <f>ESTADISTICA!AD402</f>
        <v>APAGADO</v>
      </c>
      <c r="AE403" s="40" t="str">
        <f>ESTADISTICA!AE402</f>
        <v>APAGADO</v>
      </c>
      <c r="AF403" s="40" t="str">
        <f>ESTADISTICA!AF402</f>
        <v>APAGADO</v>
      </c>
      <c r="AG403" s="40" t="str">
        <f>ESTADISTICA!AG402</f>
        <v>APAGADO</v>
      </c>
      <c r="AH403" s="40" t="str">
        <f>ESTADISTICA!AH402</f>
        <v>APAGADO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 t="str">
        <f>ESTADISTICA!AC417</f>
        <v>APAGADO</v>
      </c>
      <c r="AD418" s="40" t="str">
        <f>ESTADISTICA!AD417</f>
        <v>APAGADO</v>
      </c>
      <c r="AE418" s="40" t="str">
        <f>ESTADISTICA!AE417</f>
        <v>APAGADO</v>
      </c>
      <c r="AF418" s="40" t="str">
        <f>ESTADISTICA!AF417</f>
        <v>APAGADO</v>
      </c>
      <c r="AG418" s="40" t="str">
        <f>ESTADISTICA!AG417</f>
        <v>APAGADO</v>
      </c>
      <c r="AH418" s="40" t="str">
        <f>ESTADISTICA!AH417</f>
        <v>APAGADO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 t="str">
        <f>ESTADISTICA!AF429</f>
        <v>APAGADO</v>
      </c>
      <c r="AG430" s="40">
        <f>ESTADISTICA!AG429</f>
        <v>0</v>
      </c>
      <c r="AH430" s="40" t="str">
        <f>ESTADISTICA!AH429</f>
        <v>APAGADO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198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COUNTIFS(AB4:AB500, "=APAGADO",E4:E500,"=Fibra Optica")</f>
        <v>41</v>
      </c>
      <c r="AC2" s="19">
        <f>COUNTIFS(AC4:AC500, "=APAGADO",E4:E500,"=Fibra Optica")</f>
        <v>33</v>
      </c>
      <c r="AD2" s="19">
        <f>COUNTIFS(AD4:AD500, "=APAGADO",E4:E500,"=Fibra Optica")</f>
        <v>50</v>
      </c>
      <c r="AE2" s="19">
        <f>COUNTIFS(AE4:AE500, "=APAGADO",E4:E500,"=Fibra Optica")</f>
        <v>32</v>
      </c>
      <c r="AF2" s="19">
        <f>COUNTIFS(AF4:AF500, "=APAGADO",E4:E500,"=Fibra Optica")</f>
        <v>33</v>
      </c>
      <c r="AG2" s="19">
        <f>COUNTIFS(AG4:AG500, "=APAGADO",E4:E500,"=Fibra Optica")</f>
        <v>37</v>
      </c>
      <c r="AH2" s="19">
        <f>COUNTIFS(AH4:AH500, "=APAGADO",E4:E500,"=Fibra Optica")</f>
        <v>35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 t="str">
        <f>ESTADISTICA!AC13</f>
        <v>APAGADO</v>
      </c>
      <c r="AD15" s="40" t="str">
        <f>ESTADISTICA!AD13</f>
        <v>APAGADO</v>
      </c>
      <c r="AE15" s="40" t="str">
        <f>ESTADISTICA!AE13</f>
        <v>APAGADO</v>
      </c>
      <c r="AF15" s="40" t="str">
        <f>ESTADISTICA!AF13</f>
        <v>APAGADO</v>
      </c>
      <c r="AG15" s="40" t="str">
        <f>ESTADISTICA!AG13</f>
        <v>APAGADO</v>
      </c>
      <c r="AH15" s="40" t="str">
        <f>ESTADISTICA!AH13</f>
        <v>APAGADO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 t="str">
        <f>ESTADISTICA!AC25</f>
        <v>APAGADO</v>
      </c>
      <c r="AD27" s="40" t="str">
        <f>ESTADISTICA!AD25</f>
        <v>APAGADO</v>
      </c>
      <c r="AE27" s="40" t="str">
        <f>ESTADISTICA!AE25</f>
        <v>APAGADO</v>
      </c>
      <c r="AF27" s="40" t="str">
        <f>ESTADISTICA!AF25</f>
        <v>APAGADO</v>
      </c>
      <c r="AG27" s="40" t="str">
        <f>ESTADISTICA!AG25</f>
        <v>APAGADO</v>
      </c>
      <c r="AH27" s="40" t="str">
        <f>ESTADISTICA!AH25</f>
        <v>APAGADO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 t="str">
        <f>ESTADISTICA!AC32</f>
        <v>APAGADO</v>
      </c>
      <c r="AD34" s="40" t="str">
        <f>ESTADISTICA!AD32</f>
        <v>APAGADO</v>
      </c>
      <c r="AE34" s="40" t="str">
        <f>ESTADISTICA!AE32</f>
        <v>APAGADO</v>
      </c>
      <c r="AF34" s="40" t="str">
        <f>ESTADISTICA!AF32</f>
        <v>APAGADO</v>
      </c>
      <c r="AG34" s="40" t="str">
        <f>ESTADISTICA!AG32</f>
        <v>APAGADO</v>
      </c>
      <c r="AH34" s="40" t="str">
        <f>ESTADISTICA!AH32</f>
        <v>APAGADO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 t="str">
        <f>ESTADISTICA!AC38</f>
        <v>APAGADO</v>
      </c>
      <c r="AD40" s="40" t="str">
        <f>ESTADISTICA!AD38</f>
        <v>APAGADO</v>
      </c>
      <c r="AE40" s="40" t="str">
        <f>ESTADISTICA!AE38</f>
        <v>APAGADO</v>
      </c>
      <c r="AF40" s="40" t="str">
        <f>ESTADISTICA!AF38</f>
        <v>APAGADO</v>
      </c>
      <c r="AG40" s="40" t="str">
        <f>ESTADISTICA!AG38</f>
        <v>APAGADO</v>
      </c>
      <c r="AH40" s="40" t="str">
        <f>ESTADISTICA!AH38</f>
        <v>APAGADO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 t="str">
        <f>ESTADISTICA!AC46</f>
        <v>APAGADO</v>
      </c>
      <c r="AD48" s="40" t="str">
        <f>ESTADISTICA!AD46</f>
        <v>APAGADO</v>
      </c>
      <c r="AE48" s="40" t="str">
        <f>ESTADISTICA!AE46</f>
        <v>APAGADO</v>
      </c>
      <c r="AF48" s="40" t="str">
        <f>ESTADISTICA!AF46</f>
        <v>APAGADO</v>
      </c>
      <c r="AG48" s="40" t="str">
        <f>ESTADISTICA!AG46</f>
        <v>APAGADO</v>
      </c>
      <c r="AH48" s="40" t="str">
        <f>ESTADISTICA!AH46</f>
        <v>APAGADO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 t="str">
        <f>ESTADISTICA!AC47</f>
        <v>APAGADO</v>
      </c>
      <c r="AD49" s="40" t="str">
        <f>ESTADISTICA!AD47</f>
        <v>APAGADO</v>
      </c>
      <c r="AE49" s="40" t="str">
        <f>ESTADISTICA!AE47</f>
        <v>APAGADO</v>
      </c>
      <c r="AF49" s="40" t="str">
        <f>ESTADISTICA!AF47</f>
        <v>APAGADO</v>
      </c>
      <c r="AG49" s="40" t="str">
        <f>ESTADISTICA!AG47</f>
        <v>APAGADO</v>
      </c>
      <c r="AH49" s="40" t="str">
        <f>ESTADISTICA!AH47</f>
        <v>APAGADO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 t="str">
        <f>ESTADISTICA!AC49</f>
        <v>APAGADO</v>
      </c>
      <c r="AD51" s="40" t="str">
        <f>ESTADISTICA!AD49</f>
        <v>APAGADO</v>
      </c>
      <c r="AE51" s="40" t="str">
        <f>ESTADISTICA!AE49</f>
        <v>APAGADO</v>
      </c>
      <c r="AF51" s="40" t="str">
        <f>ESTADISTICA!AF49</f>
        <v>APAGADO</v>
      </c>
      <c r="AG51" s="40" t="str">
        <f>ESTADISTICA!AG49</f>
        <v>APAGADO</v>
      </c>
      <c r="AH51" s="40" t="str">
        <f>ESTADISTICA!AH49</f>
        <v>APAGADO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 t="str">
        <f>ESTADISTICA!AC52</f>
        <v>APAGADO</v>
      </c>
      <c r="AD54" s="40" t="str">
        <f>ESTADISTICA!AD52</f>
        <v>APAGADO</v>
      </c>
      <c r="AE54" s="40" t="str">
        <f>ESTADISTICA!AE52</f>
        <v>APAGADO</v>
      </c>
      <c r="AF54" s="40" t="str">
        <f>ESTADISTICA!AF52</f>
        <v>APAGADO</v>
      </c>
      <c r="AG54" s="40" t="str">
        <f>ESTADISTICA!AG52</f>
        <v>APAGADO</v>
      </c>
      <c r="AH54" s="40" t="str">
        <f>ESTADISTICA!AH52</f>
        <v>APAGADO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 t="str">
        <f>ESTADISTICA!AC54</f>
        <v>APAGADO</v>
      </c>
      <c r="AD56" s="40" t="str">
        <f>ESTADISTICA!AD54</f>
        <v>APAGADO</v>
      </c>
      <c r="AE56" s="40" t="str">
        <f>ESTADISTICA!AE54</f>
        <v>APAGADO</v>
      </c>
      <c r="AF56" s="40" t="str">
        <f>ESTADISTICA!AF54</f>
        <v>APAGADO</v>
      </c>
      <c r="AG56" s="40" t="str">
        <f>ESTADISTICA!AG54</f>
        <v>APAGADO</v>
      </c>
      <c r="AH56" s="40" t="str">
        <f>ESTADISTICA!AH54</f>
        <v>APAGADO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 t="str">
        <f>ESTADISTICA!AG55</f>
        <v xml:space="preserve"> 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 t="str">
        <f>ESTADISTICA!AH70</f>
        <v>APAGADO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 t="str">
        <f>ESTADISTICA!AC73</f>
        <v>APAGADO</v>
      </c>
      <c r="AD75" s="40" t="str">
        <f>ESTADISTICA!AD73</f>
        <v>APAGADO</v>
      </c>
      <c r="AE75" s="40" t="str">
        <f>ESTADISTICA!AE73</f>
        <v>APAGADO</v>
      </c>
      <c r="AF75" s="40" t="str">
        <f>ESTADISTICA!AF73</f>
        <v>APAGADO</v>
      </c>
      <c r="AG75" s="40" t="str">
        <f>ESTADISTICA!AG73</f>
        <v>APAGADO</v>
      </c>
      <c r="AH75" s="40" t="str">
        <f>ESTADISTICA!AH73</f>
        <v>APAGADO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 t="str">
        <f>ESTADISTICA!AG74</f>
        <v>APAGADO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 t="str">
        <f>ESTADISTICA!AE75</f>
        <v>APAGADO</v>
      </c>
      <c r="AF77" s="40" t="str">
        <f>ESTADISTICA!AF75</f>
        <v>APAGADO</v>
      </c>
      <c r="AG77" s="40" t="str">
        <f>ESTADISTICA!AG75</f>
        <v>APAGADO</v>
      </c>
      <c r="AH77" s="40" t="str">
        <f>ESTADISTICA!AH75</f>
        <v>APAGADO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 t="str">
        <f>ESTADISTICA!AC85</f>
        <v>APAGADO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 t="str">
        <f>ESTADISTICA!AG85</f>
        <v>APAGADO</v>
      </c>
      <c r="AH87" s="40" t="str">
        <f>ESTADISTICA!AH85</f>
        <v>APAGADO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 t="str">
        <f>ESTADISTICA!AC86</f>
        <v>APAGADO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 t="str">
        <f>ESTADISTICA!AG86</f>
        <v>APAGADO</v>
      </c>
      <c r="AH88" s="40" t="str">
        <f>ESTADISTICA!AH86</f>
        <v>APAGADO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 t="str">
        <f>ESTADISTICA!AC92</f>
        <v>APAGADO</v>
      </c>
      <c r="AD94" s="40" t="str">
        <f>ESTADISTICA!AD92</f>
        <v>APAGADO</v>
      </c>
      <c r="AE94" s="40" t="str">
        <f>ESTADISTICA!AE92</f>
        <v>APAGADO</v>
      </c>
      <c r="AF94" s="40" t="str">
        <f>ESTADISTICA!AF92</f>
        <v>APAGADO</v>
      </c>
      <c r="AG94" s="40" t="str">
        <f>ESTADISTICA!AG92</f>
        <v>APAGADO</v>
      </c>
      <c r="AH94" s="40" t="str">
        <f>ESTADISTICA!AH92</f>
        <v>APAGADO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 t="str">
        <f>ESTADISTICA!AC96</f>
        <v>APAGADO</v>
      </c>
      <c r="AD98" s="40" t="str">
        <f>ESTADISTICA!AD96</f>
        <v>APAGADO</v>
      </c>
      <c r="AE98" s="40" t="str">
        <f>ESTADISTICA!AE96</f>
        <v>APAGADO</v>
      </c>
      <c r="AF98" s="40" t="str">
        <f>ESTADISTICA!AF96</f>
        <v>APAGADO</v>
      </c>
      <c r="AG98" s="40" t="str">
        <f>ESTADISTICA!AG96</f>
        <v>APAGADO</v>
      </c>
      <c r="AH98" s="40" t="str">
        <f>ESTADISTICA!AH96</f>
        <v>APAGADO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 t="str">
        <f>ESTADISTICA!AC99</f>
        <v>APAGADO</v>
      </c>
      <c r="AD101" s="40" t="str">
        <f>ESTADISTICA!AD99</f>
        <v>APAGADO</v>
      </c>
      <c r="AE101" s="40" t="str">
        <f>ESTADISTICA!AE99</f>
        <v>APAGADO</v>
      </c>
      <c r="AF101" s="40" t="str">
        <f>ESTADISTICA!AF99</f>
        <v>APAGADO</v>
      </c>
      <c r="AG101" s="40" t="str">
        <f>ESTADISTICA!AG99</f>
        <v>APAGADO</v>
      </c>
      <c r="AH101" s="40" t="str">
        <f>ESTADISTICA!AH99</f>
        <v>APAGADO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 t="str">
        <f>ESTADISTICA!AC100</f>
        <v>APAGADO</v>
      </c>
      <c r="AD102" s="40" t="str">
        <f>ESTADISTICA!AD100</f>
        <v>APAGADO</v>
      </c>
      <c r="AE102" s="40" t="str">
        <f>ESTADISTICA!AE100</f>
        <v>APAGADO</v>
      </c>
      <c r="AF102" s="40" t="str">
        <f>ESTADISTICA!AF100</f>
        <v>APAGADO</v>
      </c>
      <c r="AG102" s="40" t="str">
        <f>ESTADISTICA!AG100</f>
        <v>APAGADO</v>
      </c>
      <c r="AH102" s="40" t="str">
        <f>ESTADISTICA!AH100</f>
        <v>APAGADO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 t="str">
        <f>ESTADISTICA!AD116</f>
        <v>APAGADO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 t="str">
        <f>ESTADISTICA!AD117</f>
        <v>APAGADO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 t="str">
        <f>ESTADISTICA!AD118</f>
        <v>APAGADO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 t="str">
        <f>ESTADISTICA!AD119</f>
        <v>APAGADO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 t="str">
        <f>ESTADISTICA!AC121</f>
        <v>APAGADO</v>
      </c>
      <c r="AD123" s="40" t="str">
        <f>ESTADISTICA!AD121</f>
        <v>APAGADO</v>
      </c>
      <c r="AE123" s="40" t="str">
        <f>ESTADISTICA!AE121</f>
        <v>APAGADO</v>
      </c>
      <c r="AF123" s="40" t="str">
        <f>ESTADISTICA!AF121</f>
        <v>APAGADO</v>
      </c>
      <c r="AG123" s="40" t="str">
        <f>ESTADISTICA!AG121</f>
        <v>APAGADO</v>
      </c>
      <c r="AH123" s="40" t="str">
        <f>ESTADISTICA!AH121</f>
        <v>APAGADO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 t="str">
        <f>ESTADISTICA!AD136</f>
        <v>APAGADO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 t="str">
        <f>ESTADISTICA!AD137</f>
        <v>APAGADO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 t="str">
        <f>ESTADISTICA!AD173</f>
        <v>APAGADO</v>
      </c>
      <c r="AE175" s="40" t="str">
        <f>ESTADISTICA!AE173</f>
        <v>APAGADO</v>
      </c>
      <c r="AF175" s="40" t="str">
        <f>ESTADISTICA!AF173</f>
        <v>APAGADO</v>
      </c>
      <c r="AG175" s="40" t="str">
        <f>ESTADISTICA!AG173</f>
        <v>APAGADO</v>
      </c>
      <c r="AH175" s="40" t="str">
        <f>ESTADISTICA!AH173</f>
        <v>APAGADO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 t="str">
        <f>ESTADISTICA!AD174</f>
        <v>APAGADO</v>
      </c>
      <c r="AE176" s="40">
        <f>ESTADISTICA!AE174</f>
        <v>0</v>
      </c>
      <c r="AF176" s="40">
        <f>ESTADISTICA!AF174</f>
        <v>0</v>
      </c>
      <c r="AG176" s="40" t="str">
        <f>ESTADISTICA!AG174</f>
        <v>APAGADO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 t="str">
        <f>ESTADISTICA!AD175</f>
        <v>APAGADO</v>
      </c>
      <c r="AE177" s="40" t="str">
        <f>ESTADISTICA!AE175</f>
        <v>APAGADO</v>
      </c>
      <c r="AF177" s="40" t="str">
        <f>ESTADISTICA!AF175</f>
        <v>APAGADO</v>
      </c>
      <c r="AG177" s="40" t="str">
        <f>ESTADISTICA!AG175</f>
        <v>APAGADO</v>
      </c>
      <c r="AH177" s="40" t="str">
        <f>ESTADISTICA!AH175</f>
        <v>APAGADO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 t="str">
        <f>ESTADISTICA!AD180</f>
        <v>APAGADO</v>
      </c>
      <c r="AE182" s="40" t="str">
        <f>ESTADISTICA!AE180</f>
        <v>APAGADO</v>
      </c>
      <c r="AF182" s="40" t="str">
        <f>ESTADISTICA!AF180</f>
        <v>APAGADO</v>
      </c>
      <c r="AG182" s="40" t="str">
        <f>ESTADISTICA!AG180</f>
        <v>APAGADO</v>
      </c>
      <c r="AH182" s="40" t="str">
        <f>ESTADISTICA!AH180</f>
        <v>APAGADO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 t="str">
        <f>ESTADISTICA!AE182</f>
        <v>APAGADO</v>
      </c>
      <c r="AF184" s="40" t="str">
        <f>ESTADISTICA!AF182</f>
        <v>APAGADO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 t="str">
        <f>ESTADISTICA!AC183</f>
        <v>APAGADO</v>
      </c>
      <c r="AD185" s="40" t="str">
        <f>ESTADISTICA!AD183</f>
        <v>APAGADO</v>
      </c>
      <c r="AE185" s="40" t="str">
        <f>ESTADISTICA!AE183</f>
        <v>APAGADO</v>
      </c>
      <c r="AF185" s="40" t="str">
        <f>ESTADISTICA!AF183</f>
        <v>APAGADO</v>
      </c>
      <c r="AG185" s="40" t="str">
        <f>ESTADISTICA!AG183</f>
        <v>APAGADO</v>
      </c>
      <c r="AH185" s="40" t="str">
        <f>ESTADISTICA!AH183</f>
        <v>APAGADO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 t="str">
        <f>ESTADISTICA!AC185</f>
        <v>APAGADO</v>
      </c>
      <c r="AD187" s="40" t="str">
        <f>ESTADISTICA!AD185</f>
        <v>APAGADO</v>
      </c>
      <c r="AE187" s="40" t="str">
        <f>ESTADISTICA!AE185</f>
        <v>APAGADO</v>
      </c>
      <c r="AF187" s="40" t="str">
        <f>ESTADISTICA!AF185</f>
        <v>APAGADO</v>
      </c>
      <c r="AG187" s="40" t="str">
        <f>ESTADISTICA!AG185</f>
        <v>APAGADO</v>
      </c>
      <c r="AH187" s="40" t="str">
        <f>ESTADISTICA!AH185</f>
        <v>APAGADO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 t="str">
        <f>ESTADISTICA!AC196</f>
        <v>APAGADO</v>
      </c>
      <c r="AD198" s="40" t="str">
        <f>ESTADISTICA!AD196</f>
        <v>APAGADO</v>
      </c>
      <c r="AE198" s="40" t="str">
        <f>ESTADISTICA!AE196</f>
        <v>APAGADO</v>
      </c>
      <c r="AF198" s="40" t="str">
        <f>ESTADISTICA!AF196</f>
        <v>APAGADO</v>
      </c>
      <c r="AG198" s="40" t="str">
        <f>ESTADISTICA!AG196</f>
        <v>APAGADO</v>
      </c>
      <c r="AH198" s="40" t="str">
        <f>ESTADISTICA!AH196</f>
        <v>APAGADO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 t="str">
        <f>ESTADISTICA!AC210</f>
        <v>APAGADO</v>
      </c>
      <c r="AD212" s="40" t="str">
        <f>ESTADISTICA!AD210</f>
        <v>APAGADO</v>
      </c>
      <c r="AE212" s="40" t="str">
        <f>ESTADISTICA!AE210</f>
        <v>APAGADO</v>
      </c>
      <c r="AF212" s="40" t="str">
        <f>ESTADISTICA!AF210</f>
        <v>APAGADO</v>
      </c>
      <c r="AG212" s="40" t="str">
        <f>ESTADISTICA!AG210</f>
        <v>APAGADO</v>
      </c>
      <c r="AH212" s="40" t="str">
        <f>ESTADISTICA!AH210</f>
        <v>APAGADO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 t="str">
        <f>ESTADISTICA!AD218</f>
        <v>APAGADO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 t="str">
        <f>ESTADISTICA!AD219</f>
        <v>APAGADO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 t="str">
        <f>ESTADISTICA!AD220</f>
        <v>APAGADO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 t="str">
        <f>ESTADISTICA!AD221</f>
        <v>APAGADO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 t="str">
        <f>ESTADISTICA!AC227</f>
        <v>APAGADO</v>
      </c>
      <c r="AD229" s="40" t="str">
        <f>ESTADISTICA!AD227</f>
        <v>APAGADO</v>
      </c>
      <c r="AE229" s="40" t="str">
        <f>ESTADISTICA!AE227</f>
        <v>APAGADO</v>
      </c>
      <c r="AF229" s="40" t="str">
        <f>ESTADISTICA!AF227</f>
        <v>APAGADO</v>
      </c>
      <c r="AG229" s="40" t="str">
        <f>ESTADISTICA!AG227</f>
        <v>APAGADO</v>
      </c>
      <c r="AH229" s="40" t="str">
        <f>ESTADISTICA!AH227</f>
        <v>APAGADO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 t="str">
        <f>ESTADISTICA!AC234</f>
        <v>APAGADO</v>
      </c>
      <c r="AD236" s="40" t="str">
        <f>ESTADISTICA!AD234</f>
        <v>APAGADO</v>
      </c>
      <c r="AE236" s="40" t="str">
        <f>ESTADISTICA!AE234</f>
        <v>APAGADO</v>
      </c>
      <c r="AF236" s="40" t="str">
        <f>ESTADISTICA!AF234</f>
        <v>APAGADO</v>
      </c>
      <c r="AG236" s="40" t="str">
        <f>ESTADISTICA!AG234</f>
        <v>APAGADO</v>
      </c>
      <c r="AH236" s="40" t="str">
        <f>ESTADISTICA!AH234</f>
        <v>APAGADO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 t="str">
        <f>ESTADISTICA!AD235</f>
        <v>APAGADO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 t="str">
        <f>ESTADISTICA!AD236</f>
        <v>APAGADO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 t="str">
        <f>ESTADISTICA!AC239</f>
        <v>APAGADO</v>
      </c>
      <c r="AD241" s="40" t="str">
        <f>ESTADISTICA!AD239</f>
        <v>APAGADO</v>
      </c>
      <c r="AE241" s="40">
        <f>ESTADISTICA!AE239</f>
        <v>0</v>
      </c>
      <c r="AF241" s="40">
        <f>ESTADISTICA!AF239</f>
        <v>0</v>
      </c>
      <c r="AG241" s="40" t="str">
        <f>ESTADISTICA!AG239</f>
        <v>APAGADO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 t="str">
        <f>ESTADISTICA!AC254</f>
        <v>APAGADO</v>
      </c>
      <c r="AD256" s="40" t="str">
        <f>ESTADISTICA!AD254</f>
        <v>APAGADO</v>
      </c>
      <c r="AE256" s="40" t="str">
        <f>ESTADISTICA!AE254</f>
        <v>APAGADO</v>
      </c>
      <c r="AF256" s="40" t="str">
        <f>ESTADISTICA!AF254</f>
        <v>APAGADO</v>
      </c>
      <c r="AG256" s="40" t="str">
        <f>ESTADISTICA!AG254</f>
        <v>APAGADO</v>
      </c>
      <c r="AH256" s="40" t="str">
        <f>ESTADISTICA!AH254</f>
        <v>APAGADO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 t="str">
        <f>ESTADISTICA!AD264</f>
        <v>APAGADO</v>
      </c>
      <c r="AE266" s="40" t="str">
        <f>ESTADISTICA!AE264</f>
        <v>APAGADO</v>
      </c>
      <c r="AF266" s="40" t="str">
        <f>ESTADISTICA!AF264</f>
        <v>APAGADO</v>
      </c>
      <c r="AG266" s="40" t="str">
        <f>ESTADISTICA!AG264</f>
        <v>APAGADO</v>
      </c>
      <c r="AH266" s="40" t="str">
        <f>ESTADISTICA!AH264</f>
        <v>APAGADO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 t="str">
        <f>ESTADISTICA!AD265</f>
        <v>APAGADO</v>
      </c>
      <c r="AE267" s="40" t="str">
        <f>ESTADISTICA!AE265</f>
        <v>APAGADO</v>
      </c>
      <c r="AF267" s="40" t="str">
        <f>ESTADISTICA!AF265</f>
        <v>APAGADO</v>
      </c>
      <c r="AG267" s="40" t="str">
        <f>ESTADISTICA!AG265</f>
        <v>APAGADO</v>
      </c>
      <c r="AH267" s="40" t="str">
        <f>ESTADISTICA!AH265</f>
        <v>APAGADO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 t="str">
        <f>ESTADISTICA!AD272</f>
        <v>APAGADO</v>
      </c>
      <c r="AE274" s="40" t="str">
        <f>ESTADISTICA!AE272</f>
        <v>APAGADO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 t="str">
        <f>ESTADISTICA!AE299</f>
        <v>APAGADO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 t="str">
        <f>ESTADISTICA!AD312</f>
        <v>APAGADO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 t="str">
        <f>ESTADISTICA!AD313</f>
        <v>APAGADO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 t="str">
        <f>ESTADISTICA!AC320</f>
        <v>APAGADO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 t="str">
        <f>ESTADISTICA!AC332</f>
        <v>APAGADO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 t="str">
        <f>ESTADISTICA!AC342</f>
        <v>APAGADO</v>
      </c>
      <c r="AD344" s="40" t="str">
        <f>ESTADISTICA!AD342</f>
        <v>APAGADO</v>
      </c>
      <c r="AE344" s="40" t="str">
        <f>ESTADISTICA!AE342</f>
        <v>APAGADO</v>
      </c>
      <c r="AF344" s="40" t="str">
        <f>ESTADISTICA!AF342</f>
        <v>APAGADO</v>
      </c>
      <c r="AG344" s="40" t="str">
        <f>ESTADISTICA!AG342</f>
        <v>APAGADO</v>
      </c>
      <c r="AH344" s="40" t="str">
        <f>ESTADISTICA!AH342</f>
        <v>APAGADO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 t="str">
        <f>ESTADISTICA!AC344</f>
        <v>APAGADO</v>
      </c>
      <c r="AD346" s="40" t="str">
        <f>ESTADISTICA!AD344</f>
        <v>APAGADO</v>
      </c>
      <c r="AE346" s="40" t="str">
        <f>ESTADISTICA!AE344</f>
        <v>APAGADO</v>
      </c>
      <c r="AF346" s="40" t="str">
        <f>ESTADISTICA!AF344</f>
        <v>APAGADO</v>
      </c>
      <c r="AG346" s="40" t="str">
        <f>ESTADISTICA!AG344</f>
        <v>APAGADO</v>
      </c>
      <c r="AH346" s="40" t="str">
        <f>ESTADISTICA!AH344</f>
        <v>APAGADO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 t="str">
        <f>ESTADISTICA!AC345</f>
        <v>APAGADO</v>
      </c>
      <c r="AD347" s="40" t="str">
        <f>ESTADISTICA!AD345</f>
        <v>APAGADO</v>
      </c>
      <c r="AE347" s="40" t="str">
        <f>ESTADISTICA!AE345</f>
        <v>APAGADO</v>
      </c>
      <c r="AF347" s="40" t="str">
        <f>ESTADISTICA!AF345</f>
        <v>APAGADO</v>
      </c>
      <c r="AG347" s="40" t="str">
        <f>ESTADISTICA!AG345</f>
        <v>APAGADO</v>
      </c>
      <c r="AH347" s="40" t="str">
        <f>ESTADISTICA!AH345</f>
        <v>APAGADO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 t="str">
        <f>ESTADISTICA!AC346</f>
        <v>APAGADO</v>
      </c>
      <c r="AD348" s="40" t="str">
        <f>ESTADISTICA!AD346</f>
        <v>APAGADO</v>
      </c>
      <c r="AE348" s="40" t="str">
        <f>ESTADISTICA!AE346</f>
        <v>APAGADO</v>
      </c>
      <c r="AF348" s="40" t="str">
        <f>ESTADISTICA!AF346</f>
        <v>APAGADO</v>
      </c>
      <c r="AG348" s="40" t="str">
        <f>ESTADISTICA!AG346</f>
        <v>APAGADO</v>
      </c>
      <c r="AH348" s="40" t="str">
        <f>ESTADISTICA!AH346</f>
        <v>APAGADO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 t="str">
        <f>ESTADISTICA!AC347</f>
        <v>APAGADO</v>
      </c>
      <c r="AD349" s="40" t="str">
        <f>ESTADISTICA!AD347</f>
        <v>APAGADO</v>
      </c>
      <c r="AE349" s="40" t="str">
        <f>ESTADISTICA!AE347</f>
        <v>APAGADO</v>
      </c>
      <c r="AF349" s="40" t="str">
        <f>ESTADISTICA!AF347</f>
        <v>APAGADO</v>
      </c>
      <c r="AG349" s="40" t="str">
        <f>ESTADISTICA!AG347</f>
        <v>APAGADO</v>
      </c>
      <c r="AH349" s="40" t="str">
        <f>ESTADISTICA!AH347</f>
        <v>APAGADO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 t="str">
        <f>ESTADISTICA!AC348</f>
        <v>APAGADO</v>
      </c>
      <c r="AD350" s="40" t="str">
        <f>ESTADISTICA!AD348</f>
        <v>APAGADO</v>
      </c>
      <c r="AE350" s="40" t="str">
        <f>ESTADISTICA!AE348</f>
        <v>APAGADO</v>
      </c>
      <c r="AF350" s="40" t="str">
        <f>ESTADISTICA!AF348</f>
        <v>APAGADO</v>
      </c>
      <c r="AG350" s="40" t="str">
        <f>ESTADISTICA!AG348</f>
        <v>APAGADO</v>
      </c>
      <c r="AH350" s="40" t="str">
        <f>ESTADISTICA!AH348</f>
        <v>APAGADO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 t="str">
        <f>ESTADISTICA!AC357</f>
        <v>APAGADO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 t="str">
        <f>ESTADISTICA!AH371</f>
        <v>APAGADO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 t="str">
        <f>ESTADISTICA!AH376</f>
        <v>APAGADO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 t="str">
        <f>ESTADISTICA!AH387</f>
        <v>APAGADO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 t="str">
        <f>ESTADISTICA!AH388</f>
        <v>APAGADO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 t="str">
        <f>ESTADISTICA!AH402</f>
        <v>APAGADO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 t="str">
        <f>ESTADISTICA!AH417</f>
        <v>APAGADO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 t="str">
        <f>ESTADISTICA!AH429</f>
        <v>APAGADO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COUNTIFS(AB4:AB500, "=APAGADO",E4:E500,"=PTO A FO")</f>
        <v>4</v>
      </c>
      <c r="AC2" s="19">
        <f>COUNTIFS(AC4:AC500, "=APAGADO",E4:E500,"=PTO A FO")</f>
        <v>4</v>
      </c>
      <c r="AD2" s="19">
        <f>COUNTIFS(AD4:AD500, "=APAGADO",E4:E500,"=PTO A FO")</f>
        <v>4</v>
      </c>
      <c r="AE2" s="19">
        <f>COUNTIFS(AE4:AE500, "=APAGADO",E4:E500,"=PTO A FO")</f>
        <v>4</v>
      </c>
      <c r="AF2" s="19">
        <f>COUNTIFS(AF4:AF500, "=APAGADO",E4:E500,"=PTO A FO")</f>
        <v>4</v>
      </c>
      <c r="AG2" s="19">
        <f>COUNTIFS(AG4:AG500, "=APAGADO",E4:E500,"=PTO A FO")</f>
        <v>4</v>
      </c>
      <c r="AH2" s="19">
        <f>COUNTIFS(AH4:AH500, "=APAGADO",E4:E500,"=PTO A FO")</f>
        <v>4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 t="str">
        <f>ESTADISTICA!AG55</f>
        <v xml:space="preserve"> 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str">
        <f>ESTADISTICA!AH70</f>
        <v>APAGADO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 t="str">
        <f>ESTADISTICA!AH73</f>
        <v>APAGADO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 t="str">
        <f>ESTADISTICA!AG74</f>
        <v>APAGADO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 t="str">
        <f>ESTADISTICA!AG75</f>
        <v>APAGADO</v>
      </c>
      <c r="AH77" t="str">
        <f>ESTADISTICA!AH75</f>
        <v>APAGADO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str">
        <f>ESTADISTICA!AH85</f>
        <v>APAGADO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 t="str">
        <f>ESTADISTICA!AH86</f>
        <v>APAGADO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 t="str">
        <f>ESTADISTICA!AH99</f>
        <v>APAGADO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 t="str">
        <f>ESTADISTICA!AH100</f>
        <v>APAGADO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 t="str">
        <f>ESTADISTICA!AG121</f>
        <v>APAGADO</v>
      </c>
      <c r="AH123" t="str">
        <f>ESTADISTICA!AH121</f>
        <v>APAGADO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 t="str">
        <f>ESTADISTICA!AG185</f>
        <v>APAGADO</v>
      </c>
      <c r="AH187" t="str">
        <f>ESTADISTICA!AH185</f>
        <v>APAGADO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 t="str">
        <f>ESTADISTICA!AG210</f>
        <v>APAGADO</v>
      </c>
      <c r="AH212" t="str">
        <f>ESTADISTICA!AH210</f>
        <v>APAGADO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 t="str">
        <f>ESTADISTICA!AG239</f>
        <v>APAGADO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 t="str">
        <f>ESTADISTICA!AG254</f>
        <v>APAGADO</v>
      </c>
      <c r="AH256" t="str">
        <f>ESTADISTICA!AH254</f>
        <v>APAGADO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 t="str">
        <f>ESTADISTICA!AG264</f>
        <v>APAGADO</v>
      </c>
      <c r="AH266" t="str">
        <f>ESTADISTICA!AH264</f>
        <v>APAGADO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 t="str">
        <f>ESTADISTICA!AG265</f>
        <v>APAGADO</v>
      </c>
      <c r="AH267" t="str">
        <f>ESTADISTICA!AH265</f>
        <v>APAGADO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 t="str">
        <f>ESTADISTICA!AH348</f>
        <v>APAGADO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 t="str">
        <f>ESTADISTICA!AH371</f>
        <v>APAGADO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 t="str">
        <f>ESTADISTICA!AH376</f>
        <v>APAGADO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 t="str">
        <f>ESTADISTICA!AH387</f>
        <v>APAGADO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 t="str">
        <f>ESTADISTICA!AH388</f>
        <v>APAGADO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 t="str">
        <f>ESTADISTICA!AH402</f>
        <v>APAGADO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 t="str">
        <f>ESTADISTICA!AH417</f>
        <v>APAGADO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 t="str">
        <f>ESTADISTICA!AH429</f>
        <v>APAGADO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I2" sqref="AI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COUNTIFS(AB4:AB500, "=APAGADO",E4:E500,"=radio")</f>
        <v>8</v>
      </c>
      <c r="AC2" s="19">
        <f>COUNTIFS(AC4:AC500, "=APAGADO",E4:E500,"=radio")</f>
        <v>4</v>
      </c>
      <c r="AD2" s="19">
        <f>COUNTIFS(AD4:AD500, "=APAGADO",E4:E500,"=radio")</f>
        <v>2</v>
      </c>
      <c r="AE2" s="19">
        <f>COUNTIFS(AE4:AE500, "=APAGADO",E4:E500,"=radio")</f>
        <v>5</v>
      </c>
      <c r="AF2" s="19">
        <f>COUNTIFS(AF4:AF500, "=APAGADO",E4:E500,"=radio")</f>
        <v>5</v>
      </c>
      <c r="AG2" s="19">
        <f>COUNTIFS(AG4:AG500, "=APAGADO",E4:E500,"=radio")</f>
        <v>4</v>
      </c>
      <c r="AH2" s="19">
        <f>COUNTIFS(AH4:AH500, "=APAGADO",E4:E500,"=radio")</f>
        <v>5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 t="str">
        <f>ESTADISTICA!AG13</f>
        <v>APAGADO</v>
      </c>
      <c r="AH15" t="str">
        <f>ESTADISTICA!AH13</f>
        <v>APAGADO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 t="str">
        <f>ESTADISTICA!AE25</f>
        <v>APAGADO</v>
      </c>
      <c r="AF27" t="str">
        <f>ESTADISTICA!AF25</f>
        <v>APAGADO</v>
      </c>
      <c r="AG27" t="str">
        <f>ESTADISTICA!AG25</f>
        <v>APAGADO</v>
      </c>
      <c r="AH27" t="str">
        <f>ESTADISTICA!AH25</f>
        <v>APAGADO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 t="str">
        <f>ESTADISTICA!AE32</f>
        <v>APAGADO</v>
      </c>
      <c r="AF34" t="str">
        <f>ESTADISTICA!AF32</f>
        <v>APAGADO</v>
      </c>
      <c r="AG34" t="str">
        <f>ESTADISTICA!AG32</f>
        <v>APAGADO</v>
      </c>
      <c r="AH34" t="str">
        <f>ESTADISTICA!AH32</f>
        <v>APAGADO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 t="str">
        <f>ESTADISTICA!AG38</f>
        <v>APAGADO</v>
      </c>
      <c r="AH40" t="str">
        <f>ESTADISTICA!AH38</f>
        <v>APAGADO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 t="str">
        <f>ESTADISTICA!AG46</f>
        <v>APAGADO</v>
      </c>
      <c r="AH48" t="str">
        <f>ESTADISTICA!AH46</f>
        <v>APAGADO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 t="str">
        <f>ESTADISTICA!AE47</f>
        <v>APAGADO</v>
      </c>
      <c r="AF49" t="str">
        <f>ESTADISTICA!AF47</f>
        <v>APAGADO</v>
      </c>
      <c r="AG49" t="str">
        <f>ESTADISTICA!AG47</f>
        <v>APAGADO</v>
      </c>
      <c r="AH49" t="str">
        <f>ESTADISTICA!AH47</f>
        <v>APAGADO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 t="str">
        <f>ESTADISTICA!AE49</f>
        <v>APAGADO</v>
      </c>
      <c r="AF51" t="str">
        <f>ESTADISTICA!AF49</f>
        <v>APAGADO</v>
      </c>
      <c r="AG51" t="str">
        <f>ESTADISTICA!AG49</f>
        <v>APAGADO</v>
      </c>
      <c r="AH51" t="str">
        <f>ESTADISTICA!AH49</f>
        <v>APAGADO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 t="str">
        <f>ESTADISTICA!AG52</f>
        <v>APAGADO</v>
      </c>
      <c r="AH54" t="str">
        <f>ESTADISTICA!AH52</f>
        <v>APAGADO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 t="str">
        <f>ESTADISTICA!AE54</f>
        <v>APAGADO</v>
      </c>
      <c r="AF56" t="str">
        <f>ESTADISTICA!AF54</f>
        <v>APAGADO</v>
      </c>
      <c r="AG56" t="str">
        <f>ESTADISTICA!AG54</f>
        <v>APAGADO</v>
      </c>
      <c r="AH56" t="str">
        <f>ESTADISTICA!AH54</f>
        <v>APAGADO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 t="str">
        <f>ESTADISTICA!AG55</f>
        <v xml:space="preserve"> 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str">
        <f>ESTADISTICA!AH70</f>
        <v>APAGADO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 t="str">
        <f>ESTADISTICA!AE73</f>
        <v>APAGADO</v>
      </c>
      <c r="AF75" t="str">
        <f>ESTADISTICA!AF73</f>
        <v>APAGADO</v>
      </c>
      <c r="AG75" t="str">
        <f>ESTADISTICA!AG73</f>
        <v>APAGADO</v>
      </c>
      <c r="AH75" t="str">
        <f>ESTADISTICA!AH73</f>
        <v>APAGADO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 t="str">
        <f>ESTADISTICA!AG74</f>
        <v>APAGADO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 t="str">
        <f>ESTADISTICA!AE75</f>
        <v>APAGADO</v>
      </c>
      <c r="AF77" t="str">
        <f>ESTADISTICA!AF75</f>
        <v>APAGADO</v>
      </c>
      <c r="AG77" t="str">
        <f>ESTADISTICA!AG75</f>
        <v>APAGADO</v>
      </c>
      <c r="AH77" t="str">
        <f>ESTADISTICA!AH75</f>
        <v>APAGADO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 t="str">
        <f>ESTADISTICA!AG85</f>
        <v>APAGADO</v>
      </c>
      <c r="AH87" t="str">
        <f>ESTADISTICA!AH85</f>
        <v>APAGADO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 t="str">
        <f>ESTADISTICA!AG86</f>
        <v>APAGADO</v>
      </c>
      <c r="AH88" t="str">
        <f>ESTADISTICA!AH86</f>
        <v>APAGADO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 t="str">
        <f>ESTADISTICA!AG92</f>
        <v>APAGADO</v>
      </c>
      <c r="AH94" t="str">
        <f>ESTADISTICA!AH92</f>
        <v>APAGADO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 t="str">
        <f>ESTADISTICA!AE96</f>
        <v>APAGADO</v>
      </c>
      <c r="AF98" t="str">
        <f>ESTADISTICA!AF96</f>
        <v>APAGADO</v>
      </c>
      <c r="AG98" t="str">
        <f>ESTADISTICA!AG96</f>
        <v>APAGADO</v>
      </c>
      <c r="AH98" t="str">
        <f>ESTADISTICA!AH96</f>
        <v>APAGADO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 t="str">
        <f>ESTADISTICA!AE99</f>
        <v>APAGADO</v>
      </c>
      <c r="AF101" t="str">
        <f>ESTADISTICA!AF99</f>
        <v>APAGADO</v>
      </c>
      <c r="AG101" t="str">
        <f>ESTADISTICA!AG99</f>
        <v>APAGADO</v>
      </c>
      <c r="AH101" t="str">
        <f>ESTADISTICA!AH99</f>
        <v>APAGADO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 t="str">
        <f>ESTADISTICA!AE100</f>
        <v>APAGADO</v>
      </c>
      <c r="AF102" t="str">
        <f>ESTADISTICA!AF100</f>
        <v>APAGADO</v>
      </c>
      <c r="AG102" t="str">
        <f>ESTADISTICA!AG100</f>
        <v>APAGADO</v>
      </c>
      <c r="AH102" t="str">
        <f>ESTADISTICA!AH100</f>
        <v>APAGADO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 t="str">
        <f>ESTADISTICA!AE121</f>
        <v>APAGADO</v>
      </c>
      <c r="AF123" t="str">
        <f>ESTADISTICA!AF121</f>
        <v>APAGADO</v>
      </c>
      <c r="AG123" t="str">
        <f>ESTADISTICA!AG121</f>
        <v>APAGADO</v>
      </c>
      <c r="AH123" t="str">
        <f>ESTADISTICA!AH121</f>
        <v>APAGADO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 t="str">
        <f>ESTADISTICA!AG173</f>
        <v>APAGADO</v>
      </c>
      <c r="AH175" t="str">
        <f>ESTADISTICA!AH173</f>
        <v>APAGADO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 t="str">
        <f>ESTADISTICA!AG174</f>
        <v>APAGADO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 t="str">
        <f>ESTADISTICA!AG175</f>
        <v>APAGADO</v>
      </c>
      <c r="AH177" t="str">
        <f>ESTADISTICA!AH175</f>
        <v>APAGADO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  <c r="AH182" t="str">
        <f>ESTADISTICA!AH180</f>
        <v>APAGADO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 t="str">
        <f>ESTADISTICA!AG183</f>
        <v>APAGADO</v>
      </c>
      <c r="AH185" t="str">
        <f>ESTADISTICA!AH183</f>
        <v>APAGADO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 t="str">
        <f>ESTADISTICA!AE185</f>
        <v>APAGADO</v>
      </c>
      <c r="AF187" t="str">
        <f>ESTADISTICA!AF185</f>
        <v>APAGADO</v>
      </c>
      <c r="AG187" t="str">
        <f>ESTADISTICA!AG185</f>
        <v>APAGADO</v>
      </c>
      <c r="AH187" t="str">
        <f>ESTADISTICA!AH185</f>
        <v>APAGADO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 t="str">
        <f>ESTADISTICA!AE196</f>
        <v>APAGADO</v>
      </c>
      <c r="AF198" t="str">
        <f>ESTADISTICA!AF196</f>
        <v>APAGADO</v>
      </c>
      <c r="AG198" t="str">
        <f>ESTADISTICA!AG196</f>
        <v>APAGADO</v>
      </c>
      <c r="AH198" t="str">
        <f>ESTADISTICA!AH196</f>
        <v>APAGADO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 t="str">
        <f>ESTADISTICA!AE210</f>
        <v>APAGADO</v>
      </c>
      <c r="AF212" t="str">
        <f>ESTADISTICA!AF210</f>
        <v>APAGADO</v>
      </c>
      <c r="AG212" t="str">
        <f>ESTADISTICA!AG210</f>
        <v>APAGADO</v>
      </c>
      <c r="AH212" t="str">
        <f>ESTADISTICA!AH210</f>
        <v>APAGADO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 t="str">
        <f>ESTADISTICA!AG227</f>
        <v>APAGADO</v>
      </c>
      <c r="AH229" t="str">
        <f>ESTADISTICA!AH227</f>
        <v>APAGADO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 t="str">
        <f>ESTADISTICA!AE234</f>
        <v>APAGADO</v>
      </c>
      <c r="AF236" t="str">
        <f>ESTADISTICA!AF234</f>
        <v>APAGADO</v>
      </c>
      <c r="AG236" t="str">
        <f>ESTADISTICA!AG234</f>
        <v>APAGADO</v>
      </c>
      <c r="AH236" t="str">
        <f>ESTADISTICA!AH234</f>
        <v>APAGADO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 t="str">
        <f>ESTADISTICA!AG239</f>
        <v>APAGADO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 t="str">
        <f>ESTADISTICA!AE254</f>
        <v>APAGADO</v>
      </c>
      <c r="AF256" t="str">
        <f>ESTADISTICA!AF254</f>
        <v>APAGADO</v>
      </c>
      <c r="AG256" t="str">
        <f>ESTADISTICA!AG254</f>
        <v>APAGADO</v>
      </c>
      <c r="AH256" t="str">
        <f>ESTADISTICA!AH254</f>
        <v>APAGADO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 t="str">
        <f>ESTADISTICA!AE264</f>
        <v>APAGADO</v>
      </c>
      <c r="AF266" t="str">
        <f>ESTADISTICA!AF264</f>
        <v>APAGADO</v>
      </c>
      <c r="AG266" t="str">
        <f>ESTADISTICA!AG264</f>
        <v>APAGADO</v>
      </c>
      <c r="AH266" t="str">
        <f>ESTADISTICA!AH264</f>
        <v>APAGADO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 t="str">
        <f>ESTADISTICA!AE265</f>
        <v>APAGADO</v>
      </c>
      <c r="AF267" t="str">
        <f>ESTADISTICA!AF265</f>
        <v>APAGADO</v>
      </c>
      <c r="AG267" t="str">
        <f>ESTADISTICA!AG265</f>
        <v>APAGADO</v>
      </c>
      <c r="AH267" t="str">
        <f>ESTADISTICA!AH265</f>
        <v>APAGADO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 t="str">
        <f>ESTADISTICA!AE272</f>
        <v>APAGADO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 t="str">
        <f>ESTADISTICA!AE299</f>
        <v>APAGADO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 t="str">
        <f>ESTADISTICA!AE342</f>
        <v>APAGADO</v>
      </c>
      <c r="AF344" t="str">
        <f>ESTADISTICA!AF342</f>
        <v>APAGADO</v>
      </c>
      <c r="AG344" t="str">
        <f>ESTADISTICA!AG342</f>
        <v>APAGADO</v>
      </c>
      <c r="AH344" t="str">
        <f>ESTADISTICA!AH342</f>
        <v>APAGADO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 t="str">
        <f>ESTADISTICA!AE344</f>
        <v>APAGADO</v>
      </c>
      <c r="AF346" t="str">
        <f>ESTADISTICA!AF344</f>
        <v>APAGADO</v>
      </c>
      <c r="AG346" t="str">
        <f>ESTADISTICA!AG344</f>
        <v>APAGADO</v>
      </c>
      <c r="AH346" t="str">
        <f>ESTADISTICA!AH344</f>
        <v>APAGADO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 t="str">
        <f>ESTADISTICA!AE345</f>
        <v>APAGADO</v>
      </c>
      <c r="AF347" t="str">
        <f>ESTADISTICA!AF345</f>
        <v>APAGADO</v>
      </c>
      <c r="AG347" t="str">
        <f>ESTADISTICA!AG345</f>
        <v>APAGADO</v>
      </c>
      <c r="AH347" t="str">
        <f>ESTADISTICA!AH345</f>
        <v>APAGADO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 t="str">
        <f>ESTADISTICA!AE346</f>
        <v>APAGADO</v>
      </c>
      <c r="AF348" t="str">
        <f>ESTADISTICA!AF346</f>
        <v>APAGADO</v>
      </c>
      <c r="AG348" t="str">
        <f>ESTADISTICA!AG346</f>
        <v>APAGADO</v>
      </c>
      <c r="AH348" t="str">
        <f>ESTADISTICA!AH346</f>
        <v>APAGADO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 t="str">
        <f>ESTADISTICA!AE347</f>
        <v>APAGADO</v>
      </c>
      <c r="AF349" t="str">
        <f>ESTADISTICA!AF347</f>
        <v>APAGADO</v>
      </c>
      <c r="AG349" t="str">
        <f>ESTADISTICA!AG347</f>
        <v>APAGADO</v>
      </c>
      <c r="AH349" t="str">
        <f>ESTADISTICA!AH347</f>
        <v>APAGADO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 t="str">
        <f>ESTADISTICA!AE348</f>
        <v>APAGADO</v>
      </c>
      <c r="AF350" t="str">
        <f>ESTADISTICA!AF348</f>
        <v>APAGADO</v>
      </c>
      <c r="AG350" t="str">
        <f>ESTADISTICA!AG348</f>
        <v>APAGADO</v>
      </c>
      <c r="AH350" t="str">
        <f>ESTADISTICA!AH348</f>
        <v>APAGADO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 t="str">
        <f>ESTADISTICA!AE371</f>
        <v>APAGADO</v>
      </c>
      <c r="AF373" s="40" t="str">
        <f>ESTADISTICA!AF371</f>
        <v>APAGADO</v>
      </c>
      <c r="AG373" s="40" t="str">
        <f>ESTADISTICA!AG371</f>
        <v>APAGADO</v>
      </c>
      <c r="AH373" s="40" t="str">
        <f>ESTADISTICA!AH371</f>
        <v>APAGADO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 t="str">
        <f>ESTADISTICA!AE376</f>
        <v>APAGADO</v>
      </c>
      <c r="AF378" s="40" t="str">
        <f>ESTADISTICA!AF376</f>
        <v>APAGADO</v>
      </c>
      <c r="AG378" s="40" t="str">
        <f>ESTADISTICA!AG376</f>
        <v>APAGADO</v>
      </c>
      <c r="AH378" s="40" t="str">
        <f>ESTADISTICA!AH376</f>
        <v>APAGADO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 t="str">
        <f>ESTADISTICA!AF387</f>
        <v>APAGADO</v>
      </c>
      <c r="AG389" s="40" t="str">
        <f>ESTADISTICA!AG387</f>
        <v>APAGADO</v>
      </c>
      <c r="AH389" s="40" t="str">
        <f>ESTADISTICA!AH387</f>
        <v>APAGADO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 t="str">
        <f>ESTADISTICA!AF388</f>
        <v>APAGADO</v>
      </c>
      <c r="AG390" s="40" t="str">
        <f>ESTADISTICA!AG388</f>
        <v>APAGADO</v>
      </c>
      <c r="AH390" s="40" t="str">
        <f>ESTADISTICA!AH388</f>
        <v>APAGADO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 t="str">
        <f>ESTADISTICA!AE402</f>
        <v>APAGADO</v>
      </c>
      <c r="AF404" s="40" t="str">
        <f>ESTADISTICA!AF402</f>
        <v>APAGADO</v>
      </c>
      <c r="AG404" s="40" t="str">
        <f>ESTADISTICA!AG402</f>
        <v>APAGADO</v>
      </c>
      <c r="AH404" s="40" t="str">
        <f>ESTADISTICA!AH402</f>
        <v>APAGADO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 t="str">
        <f>ESTADISTICA!AE417</f>
        <v>APAGADO</v>
      </c>
      <c r="AF419" s="40" t="str">
        <f>ESTADISTICA!AF417</f>
        <v>APAGADO</v>
      </c>
      <c r="AG419" s="40" t="str">
        <f>ESTADISTICA!AG417</f>
        <v>APAGADO</v>
      </c>
      <c r="AH419" s="40" t="str">
        <f>ESTADISTICA!AH417</f>
        <v>APAGADO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 t="str">
        <f>ESTADISTICA!AF429</f>
        <v>APAGADO</v>
      </c>
      <c r="AG431" s="40">
        <f>ESTADISTICA!AG429</f>
        <v>0</v>
      </c>
      <c r="AH431" s="40" t="str">
        <f>ESTADISTICA!AH429</f>
        <v>APAGADO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31" workbookViewId="0">
      <selection activeCell="A52" sqref="A52:E56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>
        <v>430</v>
      </c>
      <c r="C22" s="77"/>
      <c r="D22" s="78"/>
      <c r="E22" s="141">
        <v>44875</v>
      </c>
    </row>
    <row r="23" spans="1:14" ht="15" thickBot="1" x14ac:dyDescent="0.35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" thickTop="1" x14ac:dyDescent="0.3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5.6" thickTop="1" thickBot="1" x14ac:dyDescent="0.35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>
        <v>431</v>
      </c>
      <c r="C32" s="77"/>
      <c r="D32" s="78"/>
      <c r="E32" s="141">
        <v>44882</v>
      </c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42"/>
      <c r="G34" s="122"/>
      <c r="K34" s="123"/>
    </row>
    <row r="35" spans="1:14" x14ac:dyDescent="0.3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42"/>
      <c r="G35" s="122"/>
      <c r="K35" s="123"/>
    </row>
    <row r="36" spans="1:14" ht="15" thickBot="1" x14ac:dyDescent="0.35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43"/>
      <c r="G36" s="122"/>
      <c r="K36" s="123"/>
    </row>
    <row r="37" spans="1:14" ht="15" thickTop="1" x14ac:dyDescent="0.3">
      <c r="A37" s="75" t="s">
        <v>999</v>
      </c>
      <c r="B37" s="76">
        <v>433</v>
      </c>
      <c r="C37" s="77"/>
      <c r="D37" s="78"/>
      <c r="E37" s="141">
        <v>44610</v>
      </c>
      <c r="G37" s="122"/>
      <c r="K37" s="123"/>
    </row>
    <row r="38" spans="1:14" x14ac:dyDescent="0.3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42"/>
    </row>
    <row r="40" spans="1:14" ht="15" thickTop="1" x14ac:dyDescent="0.3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>
        <v>433</v>
      </c>
      <c r="C42" s="77"/>
      <c r="D42" s="78"/>
      <c r="E42" s="141">
        <v>44887</v>
      </c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43"/>
    </row>
    <row r="47" spans="1:14" ht="15" thickTop="1" x14ac:dyDescent="0.3">
      <c r="A47" s="75" t="s">
        <v>999</v>
      </c>
      <c r="B47" s="76">
        <v>433</v>
      </c>
      <c r="C47" s="77"/>
      <c r="D47" s="78"/>
      <c r="E47" s="141">
        <v>44893</v>
      </c>
      <c r="G47" s="122"/>
      <c r="K47" s="123"/>
    </row>
    <row r="48" spans="1:14" x14ac:dyDescent="0.3">
      <c r="A48" s="79" t="s">
        <v>6</v>
      </c>
      <c r="B48" s="80">
        <v>45</v>
      </c>
      <c r="C48" s="81">
        <v>45</v>
      </c>
      <c r="D48" s="82">
        <f>C48/B47</f>
        <v>0.10392609699769054</v>
      </c>
      <c r="E48" s="142"/>
      <c r="G48" s="122"/>
      <c r="K48" s="123"/>
    </row>
    <row r="49" spans="1:11" x14ac:dyDescent="0.3">
      <c r="A49" s="79" t="s">
        <v>1001</v>
      </c>
      <c r="B49" s="80">
        <v>0</v>
      </c>
      <c r="C49" s="81">
        <f>C48-B49</f>
        <v>45</v>
      </c>
      <c r="D49" s="82">
        <f>C49/B47</f>
        <v>0.10392609699769054</v>
      </c>
      <c r="E49" s="142"/>
      <c r="G49" s="122"/>
      <c r="K49" s="123"/>
    </row>
    <row r="50" spans="1:11" x14ac:dyDescent="0.3">
      <c r="A50" s="79" t="s">
        <v>1000</v>
      </c>
      <c r="B50" s="80">
        <v>2</v>
      </c>
      <c r="C50" s="81">
        <f>C49-B50</f>
        <v>43</v>
      </c>
      <c r="D50" s="82">
        <f>C50/B47</f>
        <v>9.9307159353348731E-2</v>
      </c>
      <c r="E50" s="142"/>
      <c r="G50" s="122"/>
      <c r="K50" s="123"/>
    </row>
    <row r="51" spans="1:11" ht="15" thickBot="1" x14ac:dyDescent="0.35">
      <c r="A51" s="91" t="s">
        <v>16</v>
      </c>
      <c r="B51" s="92">
        <v>4</v>
      </c>
      <c r="C51" s="93">
        <f>C50-B51</f>
        <v>39</v>
      </c>
      <c r="D51" s="82">
        <f>C51/B47</f>
        <v>9.0069284064665134E-2</v>
      </c>
      <c r="E51" s="143"/>
      <c r="G51" s="122"/>
      <c r="K51" s="123"/>
    </row>
    <row r="52" spans="1:11" ht="15" thickTop="1" x14ac:dyDescent="0.3">
      <c r="A52" s="75" t="s">
        <v>999</v>
      </c>
      <c r="B52" s="76">
        <v>433</v>
      </c>
      <c r="C52" s="77"/>
      <c r="D52" s="78"/>
      <c r="E52" s="141">
        <v>44894</v>
      </c>
      <c r="G52" s="122"/>
      <c r="K52" s="123"/>
    </row>
    <row r="53" spans="1:11" x14ac:dyDescent="0.3">
      <c r="A53" s="79" t="s">
        <v>6</v>
      </c>
      <c r="B53" s="80">
        <v>44</v>
      </c>
      <c r="C53" s="81">
        <v>44</v>
      </c>
      <c r="D53" s="82">
        <f>C53/B52</f>
        <v>0.10161662817551963</v>
      </c>
      <c r="E53" s="142"/>
      <c r="G53" s="122"/>
      <c r="K53" s="123"/>
    </row>
    <row r="54" spans="1:11" x14ac:dyDescent="0.3">
      <c r="A54" s="79" t="s">
        <v>1001</v>
      </c>
      <c r="B54" s="80">
        <v>2</v>
      </c>
      <c r="C54" s="81">
        <f>C53-B54</f>
        <v>42</v>
      </c>
      <c r="D54" s="82">
        <f>C54/B52</f>
        <v>9.6997690531177835E-2</v>
      </c>
      <c r="E54" s="142"/>
    </row>
    <row r="55" spans="1:11" x14ac:dyDescent="0.3">
      <c r="A55" s="79" t="s">
        <v>1000</v>
      </c>
      <c r="B55" s="80">
        <v>2</v>
      </c>
      <c r="C55" s="81">
        <f>C54-B55</f>
        <v>40</v>
      </c>
      <c r="D55" s="82">
        <f>C55/B52</f>
        <v>9.237875288683603E-2</v>
      </c>
      <c r="E55" s="142"/>
    </row>
    <row r="56" spans="1:11" ht="15" thickBot="1" x14ac:dyDescent="0.35">
      <c r="A56" s="91" t="s">
        <v>16</v>
      </c>
      <c r="B56" s="92">
        <v>5</v>
      </c>
      <c r="C56" s="93">
        <f>C55-B56</f>
        <v>35</v>
      </c>
      <c r="D56" s="82">
        <f>C56/B52</f>
        <v>8.0831408775981523E-2</v>
      </c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44894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36</v>
      </c>
    </row>
    <row r="5" spans="2:4" ht="15" thickBot="1" x14ac:dyDescent="0.35">
      <c r="B5" s="58"/>
      <c r="C5" s="59"/>
      <c r="D5" s="71">
        <v>0.16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7</v>
      </c>
    </row>
    <row r="7" spans="2:4" ht="15" thickBot="1" x14ac:dyDescent="0.35">
      <c r="B7" s="58"/>
      <c r="C7" s="59"/>
      <c r="D7" s="52">
        <v>3.4146341463414637E-2</v>
      </c>
    </row>
    <row r="8" spans="2:4" ht="15" thickTop="1" x14ac:dyDescent="0.3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3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3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3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3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3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3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3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3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3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3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3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3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3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3">
      <c r="A24" s="18">
        <f>'APAGADOS RADIO'!AB3</f>
        <v>44888</v>
      </c>
      <c r="B24" s="40">
        <f>'APAGADOS RADIO'!AB2+D24</f>
        <v>12</v>
      </c>
      <c r="C24" s="40">
        <f>'APAGADOS FIBRA'!AB2</f>
        <v>41</v>
      </c>
      <c r="D24" s="40">
        <f>'APAGADOS ANTENA'!AB2</f>
        <v>4</v>
      </c>
      <c r="E24" s="40">
        <f t="shared" ref="E24:E29" si="18">B24+C24</f>
        <v>53</v>
      </c>
      <c r="F24" s="40">
        <f>'RESUMEN TOTAL'!B1</f>
        <v>430</v>
      </c>
      <c r="G24" s="44">
        <f t="shared" ref="G24:G29" si="19">E24/F24</f>
        <v>0.12325581395348838</v>
      </c>
    </row>
    <row r="25" spans="1:7" x14ac:dyDescent="0.3">
      <c r="A25" s="18">
        <f>'APAGADOS RADIO'!AC3</f>
        <v>44889</v>
      </c>
      <c r="B25" s="40">
        <f>'APAGADOS RADIO'!AC2+D25</f>
        <v>8</v>
      </c>
      <c r="C25" s="40">
        <f>'APAGADOS FIBRA'!AC2</f>
        <v>33</v>
      </c>
      <c r="D25" s="40">
        <f>'APAGADOS ANTENA'!AC2</f>
        <v>4</v>
      </c>
      <c r="E25" s="40">
        <f t="shared" si="18"/>
        <v>41</v>
      </c>
      <c r="F25" s="40">
        <f>'RESUMEN TOTAL'!B1</f>
        <v>430</v>
      </c>
      <c r="G25" s="44">
        <f t="shared" si="19"/>
        <v>9.5348837209302331E-2</v>
      </c>
    </row>
    <row r="26" spans="1:7" x14ac:dyDescent="0.3">
      <c r="A26" s="18">
        <f>'APAGADOS RADIO'!AD3</f>
        <v>44890</v>
      </c>
      <c r="B26" s="40">
        <f>'APAGADOS RADIO'!AD2+D26</f>
        <v>6</v>
      </c>
      <c r="C26" s="40">
        <f>'APAGADOS FIBRA'!AC2</f>
        <v>33</v>
      </c>
      <c r="D26" s="40">
        <f>'APAGADOS ANTENA'!AD2</f>
        <v>4</v>
      </c>
      <c r="E26" s="40">
        <f t="shared" si="18"/>
        <v>39</v>
      </c>
      <c r="F26" s="40">
        <f>'RESUMEN TOTAL'!B1</f>
        <v>430</v>
      </c>
      <c r="G26" s="44">
        <f t="shared" si="19"/>
        <v>9.0697674418604657E-2</v>
      </c>
    </row>
    <row r="27" spans="1:7" x14ac:dyDescent="0.3">
      <c r="A27" s="18">
        <f>'APAGADOS RADIO'!AE3</f>
        <v>44891</v>
      </c>
      <c r="B27" s="40">
        <f>'APAGADOS RADIO'!AE2+D27</f>
        <v>9</v>
      </c>
      <c r="C27" s="40">
        <f>'APAGADOS FIBRA'!AD2</f>
        <v>50</v>
      </c>
      <c r="D27" s="40">
        <f>'APAGADOS ANTENA'!AE2</f>
        <v>4</v>
      </c>
      <c r="E27" s="40">
        <f t="shared" si="18"/>
        <v>59</v>
      </c>
      <c r="F27" s="40">
        <f>'RESUMEN TOTAL'!B1</f>
        <v>430</v>
      </c>
      <c r="G27" s="44">
        <f t="shared" si="19"/>
        <v>0.1372093023255814</v>
      </c>
    </row>
    <row r="28" spans="1:7" x14ac:dyDescent="0.3">
      <c r="A28" s="18">
        <f>'APAGADOS RADIO'!AF3</f>
        <v>44892</v>
      </c>
      <c r="B28" s="40">
        <f>'APAGADOS RADIO'!AF2+D28</f>
        <v>9</v>
      </c>
      <c r="C28" s="40">
        <f>'APAGADOS FIBRA'!AE2</f>
        <v>32</v>
      </c>
      <c r="D28" s="40">
        <f>'APAGADOS ANTENA'!AF2</f>
        <v>4</v>
      </c>
      <c r="E28" s="40">
        <f t="shared" si="18"/>
        <v>41</v>
      </c>
      <c r="F28" s="40">
        <f>'RESUMEN TOTAL'!B1</f>
        <v>430</v>
      </c>
      <c r="G28" s="44">
        <f t="shared" si="19"/>
        <v>9.5348837209302331E-2</v>
      </c>
    </row>
    <row r="29" spans="1:7" x14ac:dyDescent="0.3">
      <c r="A29" s="18">
        <f>'APAGADOS RADIO'!AG3</f>
        <v>44893</v>
      </c>
      <c r="B29" s="40">
        <f>'APAGADOS RADIO'!AG2+D29</f>
        <v>8</v>
      </c>
      <c r="C29" s="40">
        <f>'APAGADOS FIBRA'!AG2</f>
        <v>37</v>
      </c>
      <c r="D29" s="40">
        <f>'APAGADOS ANTENA'!AG2</f>
        <v>4</v>
      </c>
      <c r="E29" s="40">
        <f t="shared" si="18"/>
        <v>45</v>
      </c>
      <c r="F29" s="40">
        <f>'RESUMEN TOTAL'!B1</f>
        <v>430</v>
      </c>
      <c r="G29" s="44">
        <f t="shared" si="19"/>
        <v>0.10465116279069768</v>
      </c>
    </row>
    <row r="30" spans="1:7" x14ac:dyDescent="0.3">
      <c r="A30" s="18">
        <f>'APAGADOS RADIO'!AH3</f>
        <v>44894</v>
      </c>
      <c r="B30" s="40">
        <f>'APAGADOS RADIO'!AH2+D30</f>
        <v>9</v>
      </c>
      <c r="C30" s="40">
        <f>'APAGADOS FIBRA'!AH2</f>
        <v>35</v>
      </c>
      <c r="D30" s="40">
        <f>'APAGADOS ANTENA'!AH2</f>
        <v>4</v>
      </c>
      <c r="E30" s="40">
        <f t="shared" ref="E30" si="20">B30+C30</f>
        <v>44</v>
      </c>
      <c r="F30" s="40">
        <f>'RESUMEN TOTAL'!B1</f>
        <v>430</v>
      </c>
      <c r="G30" s="44">
        <f t="shared" ref="G30" si="21">E30/F30</f>
        <v>0.10232558139534884</v>
      </c>
    </row>
    <row r="31" spans="1:7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workbookViewId="0">
      <selection activeCell="AH2" sqref="AH2:AH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29</v>
      </c>
      <c r="AD3" s="64">
        <f>COUNTIFS('RESUMEN TOTAL'!C7:C501, "=BONOMO",'RESUMEN TOTAL'!AI7:AI501,"=APAGADO")</f>
        <v>34</v>
      </c>
      <c r="AE3" s="64">
        <f>COUNTIFS('RESUMEN TOTAL'!C7:C501, "=BONOMO",'RESUMEN TOTAL'!AJ7:AJ501,"=APAGADO")</f>
        <v>33</v>
      </c>
      <c r="AF3" s="64">
        <f>COUNTIFS('RESUMEN TOTAL'!C7:C501, "=BONOMO",'RESUMEN TOTAL'!AK7:AK501,"=APAGADO")</f>
        <v>34</v>
      </c>
      <c r="AG3" s="64">
        <f>COUNTIFS('RESUMEN TOTAL'!C7:C501, "=BONOMO",'RESUMEN TOTAL'!AL7:AL501,"=APAGADO")</f>
        <v>37</v>
      </c>
      <c r="AH3" s="64">
        <f>COUNTIFS('RESUMEN TOTAL'!C7:C501, "=BONOMO",'RESUMEN TOTAL'!AM7:AM501,"=APAGADO")</f>
        <v>36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0.12888888888888889</v>
      </c>
      <c r="AD4" s="71">
        <f t="shared" si="0"/>
        <v>0.15111111111111111</v>
      </c>
      <c r="AE4" s="71">
        <f t="shared" si="0"/>
        <v>0.14666666666666667</v>
      </c>
      <c r="AF4" s="71">
        <f t="shared" si="0"/>
        <v>0.15111111111111111</v>
      </c>
      <c r="AG4" s="71">
        <f t="shared" si="0"/>
        <v>0.16444444444444445</v>
      </c>
      <c r="AH4" s="71">
        <f t="shared" si="0"/>
        <v>0.16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12</v>
      </c>
      <c r="AD5" s="66">
        <f>COUNTIFS('RESUMEN TOTAL'!C10:C421, "=COSEIDI",'RESUMEN TOTAL'!AI10:AI421,"=APAGADO")</f>
        <v>22</v>
      </c>
      <c r="AE5" s="66">
        <f>COUNTIFS('RESUMEN TOTAL'!C10:C421, "=COSEIDI",'RESUMEN TOTAL'!AJ10:AJ421,"=APAGADO")</f>
        <v>8</v>
      </c>
      <c r="AF5" s="66">
        <f>COUNTIFS('RESUMEN TOTAL'!C10:C421, "=COSEIDI",'RESUMEN TOTAL'!AK10:AK421,"=APAGADO")</f>
        <v>7</v>
      </c>
      <c r="AG5" s="66">
        <f>COUNTIFS('RESUMEN TOTAL'!C10:C421, "=COSEIDI",'RESUMEN TOTAL'!AL10:AL421,"=APAGADO")</f>
        <v>8</v>
      </c>
      <c r="AH5" s="66">
        <f>COUNTIFS('RESUMEN TOTAL'!C10:C421, "=COSEIDI",'RESUMEN TOTAL'!AM10:AM421,"=APAGADO")</f>
        <v>7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5.8536585365853662E-2</v>
      </c>
      <c r="AD6" s="70">
        <f t="shared" si="5"/>
        <v>0.10731707317073171</v>
      </c>
      <c r="AE6" s="70">
        <f t="shared" si="5"/>
        <v>3.9024390243902439E-2</v>
      </c>
      <c r="AF6" s="52">
        <f t="shared" si="5"/>
        <v>3.4146341463414637E-2</v>
      </c>
      <c r="AG6" s="52">
        <f t="shared" si="5"/>
        <v>3.9024390243902439E-2</v>
      </c>
      <c r="AH6" s="52">
        <f t="shared" si="5"/>
        <v>3.4146341463414637E-2</v>
      </c>
      <c r="AI6" s="52">
        <f t="shared" si="5"/>
        <v>0</v>
      </c>
    </row>
    <row r="7" spans="1:35" ht="15" thickTop="1" x14ac:dyDescent="0.3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743E-B856-438B-B644-0570351F87AB}">
  <dimension ref="A1:H51"/>
  <sheetViews>
    <sheetView workbookViewId="0">
      <selection activeCell="A12" sqref="A12:H50"/>
    </sheetView>
  </sheetViews>
  <sheetFormatPr baseColWidth="10" defaultRowHeight="14.4" x14ac:dyDescent="0.3"/>
  <cols>
    <col min="1" max="1" width="26.77734375" bestFit="1" customWidth="1"/>
    <col min="2" max="2" width="37.33203125" bestFit="1" customWidth="1"/>
    <col min="4" max="4" width="31.109375" bestFit="1" customWidth="1"/>
    <col min="6" max="6" width="17.44140625" bestFit="1" customWidth="1"/>
    <col min="7" max="7" width="13.6640625" bestFit="1" customWidth="1"/>
    <col min="8" max="8" width="14.33203125" bestFit="1" customWidth="1"/>
  </cols>
  <sheetData>
    <row r="1" spans="1:8" s="40" customFormat="1" ht="15.6" thickTop="1" thickBot="1" x14ac:dyDescent="0.35">
      <c r="A1" s="162">
        <v>44894</v>
      </c>
    </row>
    <row r="2" spans="1:8" ht="43.8" thickTop="1" x14ac:dyDescent="0.3">
      <c r="A2" s="145" t="s">
        <v>7</v>
      </c>
      <c r="B2" s="146" t="s">
        <v>8</v>
      </c>
      <c r="C2" s="147" t="s">
        <v>1158</v>
      </c>
      <c r="D2" s="148" t="s">
        <v>9</v>
      </c>
      <c r="E2" s="146" t="s">
        <v>10</v>
      </c>
      <c r="F2" s="146" t="s">
        <v>11</v>
      </c>
      <c r="G2" s="156"/>
      <c r="H2" s="159" t="s">
        <v>1294</v>
      </c>
    </row>
    <row r="3" spans="1:8" x14ac:dyDescent="0.3">
      <c r="A3" s="149" t="s">
        <v>194</v>
      </c>
      <c r="B3" s="150" t="s">
        <v>197</v>
      </c>
      <c r="C3" s="150" t="s">
        <v>1160</v>
      </c>
      <c r="D3" s="150" t="s">
        <v>198</v>
      </c>
      <c r="E3" s="151" t="s">
        <v>19</v>
      </c>
      <c r="F3" s="151" t="s">
        <v>20</v>
      </c>
      <c r="G3" s="157" t="s">
        <v>726</v>
      </c>
      <c r="H3" s="160"/>
    </row>
    <row r="4" spans="1:8" x14ac:dyDescent="0.3">
      <c r="A4" s="149" t="s">
        <v>232</v>
      </c>
      <c r="B4" s="150" t="s">
        <v>288</v>
      </c>
      <c r="C4" s="150" t="s">
        <v>1160</v>
      </c>
      <c r="D4" s="150" t="s">
        <v>289</v>
      </c>
      <c r="E4" s="151" t="s">
        <v>15</v>
      </c>
      <c r="F4" s="151" t="s">
        <v>28</v>
      </c>
      <c r="G4" s="157" t="s">
        <v>1162</v>
      </c>
      <c r="H4" s="160"/>
    </row>
    <row r="5" spans="1:8" x14ac:dyDescent="0.3">
      <c r="A5" s="149" t="s">
        <v>12</v>
      </c>
      <c r="B5" s="152" t="s">
        <v>13</v>
      </c>
      <c r="C5" s="150" t="s">
        <v>1160</v>
      </c>
      <c r="D5" s="150" t="s">
        <v>14</v>
      </c>
      <c r="E5" s="151" t="s">
        <v>15</v>
      </c>
      <c r="F5" s="151" t="s">
        <v>1151</v>
      </c>
      <c r="G5" s="157" t="s">
        <v>781</v>
      </c>
      <c r="H5" s="160"/>
    </row>
    <row r="6" spans="1:8" x14ac:dyDescent="0.3">
      <c r="A6" s="149" t="s">
        <v>381</v>
      </c>
      <c r="B6" s="150" t="s">
        <v>1086</v>
      </c>
      <c r="C6" s="150" t="s">
        <v>1160</v>
      </c>
      <c r="D6" s="150" t="s">
        <v>387</v>
      </c>
      <c r="E6" s="151" t="s">
        <v>15</v>
      </c>
      <c r="F6" s="151" t="s">
        <v>28</v>
      </c>
      <c r="G6" s="157" t="s">
        <v>838</v>
      </c>
      <c r="H6" s="160"/>
    </row>
    <row r="7" spans="1:8" x14ac:dyDescent="0.3">
      <c r="A7" s="149" t="s">
        <v>526</v>
      </c>
      <c r="B7" s="150" t="s">
        <v>1135</v>
      </c>
      <c r="C7" s="150" t="s">
        <v>1160</v>
      </c>
      <c r="D7" s="150" t="s">
        <v>521</v>
      </c>
      <c r="E7" s="151" t="s">
        <v>15</v>
      </c>
      <c r="F7" s="151" t="s">
        <v>1152</v>
      </c>
      <c r="G7" s="157" t="s">
        <v>931</v>
      </c>
      <c r="H7" s="160"/>
    </row>
    <row r="8" spans="1:8" x14ac:dyDescent="0.3">
      <c r="A8" s="149" t="s">
        <v>178</v>
      </c>
      <c r="B8" s="150" t="s">
        <v>594</v>
      </c>
      <c r="C8" s="150" t="s">
        <v>1160</v>
      </c>
      <c r="D8" s="150" t="s">
        <v>1192</v>
      </c>
      <c r="E8" s="151" t="s">
        <v>15</v>
      </c>
      <c r="F8" s="151" t="s">
        <v>28</v>
      </c>
      <c r="G8" s="157"/>
      <c r="H8" s="160"/>
    </row>
    <row r="9" spans="1:8" ht="15" thickBot="1" x14ac:dyDescent="0.35">
      <c r="A9" s="153" t="s">
        <v>313</v>
      </c>
      <c r="B9" s="154" t="s">
        <v>614</v>
      </c>
      <c r="C9" s="154" t="s">
        <v>1160</v>
      </c>
      <c r="D9" s="154" t="s">
        <v>615</v>
      </c>
      <c r="E9" s="155" t="s">
        <v>19</v>
      </c>
      <c r="F9" s="155" t="s">
        <v>20</v>
      </c>
      <c r="G9" s="158" t="s">
        <v>978</v>
      </c>
      <c r="H9" s="161"/>
    </row>
    <row r="10" spans="1:8" ht="15" thickTop="1" x14ac:dyDescent="0.3"/>
    <row r="11" spans="1:8" ht="15" thickBot="1" x14ac:dyDescent="0.35"/>
    <row r="12" spans="1:8" ht="15.6" thickTop="1" thickBot="1" x14ac:dyDescent="0.35">
      <c r="A12" s="162">
        <v>44894</v>
      </c>
    </row>
    <row r="13" spans="1:8" ht="43.8" thickTop="1" x14ac:dyDescent="0.3">
      <c r="A13" s="145" t="s">
        <v>7</v>
      </c>
      <c r="B13" s="146" t="s">
        <v>8</v>
      </c>
      <c r="C13" s="147" t="s">
        <v>1158</v>
      </c>
      <c r="D13" s="148" t="s">
        <v>9</v>
      </c>
      <c r="E13" s="146" t="s">
        <v>10</v>
      </c>
      <c r="F13" s="146" t="s">
        <v>11</v>
      </c>
      <c r="G13" s="148"/>
      <c r="H13" s="163" t="s">
        <v>1294</v>
      </c>
    </row>
    <row r="14" spans="1:8" x14ac:dyDescent="0.3">
      <c r="A14" s="149" t="s">
        <v>1295</v>
      </c>
      <c r="B14" s="150" t="s">
        <v>1012</v>
      </c>
      <c r="C14" s="150" t="s">
        <v>1159</v>
      </c>
      <c r="D14" s="150" t="s">
        <v>44</v>
      </c>
      <c r="E14" s="151" t="s">
        <v>15</v>
      </c>
      <c r="F14" s="151" t="s">
        <v>1151</v>
      </c>
      <c r="G14" s="150" t="s">
        <v>636</v>
      </c>
      <c r="H14" s="164"/>
    </row>
    <row r="15" spans="1:8" x14ac:dyDescent="0.3">
      <c r="A15" s="149" t="s">
        <v>52</v>
      </c>
      <c r="B15" s="150" t="s">
        <v>1013</v>
      </c>
      <c r="C15" s="150" t="s">
        <v>1159</v>
      </c>
      <c r="D15" s="150" t="s">
        <v>1179</v>
      </c>
      <c r="E15" s="151" t="s">
        <v>15</v>
      </c>
      <c r="F15" s="151" t="s">
        <v>28</v>
      </c>
      <c r="G15" s="150" t="s">
        <v>640</v>
      </c>
      <c r="H15" s="164"/>
    </row>
    <row r="16" spans="1:8" x14ac:dyDescent="0.3">
      <c r="A16" s="149" t="s">
        <v>52</v>
      </c>
      <c r="B16" s="150" t="s">
        <v>1014</v>
      </c>
      <c r="C16" s="150" t="s">
        <v>1159</v>
      </c>
      <c r="D16" s="150" t="s">
        <v>89</v>
      </c>
      <c r="E16" s="151" t="s">
        <v>19</v>
      </c>
      <c r="F16" s="151" t="s">
        <v>28</v>
      </c>
      <c r="G16" s="150" t="s">
        <v>647</v>
      </c>
      <c r="H16" s="164"/>
    </row>
    <row r="17" spans="1:8" x14ac:dyDescent="0.3">
      <c r="A17" s="149" t="s">
        <v>52</v>
      </c>
      <c r="B17" s="150" t="s">
        <v>98</v>
      </c>
      <c r="C17" s="150" t="s">
        <v>1159</v>
      </c>
      <c r="D17" s="150" t="s">
        <v>99</v>
      </c>
      <c r="E17" s="151" t="s">
        <v>73</v>
      </c>
      <c r="F17" s="151" t="s">
        <v>28</v>
      </c>
      <c r="G17" s="150" t="s">
        <v>653</v>
      </c>
      <c r="H17" s="164"/>
    </row>
    <row r="18" spans="1:8" x14ac:dyDescent="0.3">
      <c r="A18" s="149" t="s">
        <v>52</v>
      </c>
      <c r="B18" s="150" t="s">
        <v>113</v>
      </c>
      <c r="C18" s="150" t="s">
        <v>1159</v>
      </c>
      <c r="D18" s="150" t="s">
        <v>1180</v>
      </c>
      <c r="E18" s="151" t="s">
        <v>19</v>
      </c>
      <c r="F18" s="151" t="s">
        <v>28</v>
      </c>
      <c r="G18" s="150" t="s">
        <v>661</v>
      </c>
      <c r="H18" s="164"/>
    </row>
    <row r="19" spans="1:8" x14ac:dyDescent="0.3">
      <c r="A19" s="149" t="s">
        <v>52</v>
      </c>
      <c r="B19" s="150" t="s">
        <v>114</v>
      </c>
      <c r="C19" s="150" t="s">
        <v>1159</v>
      </c>
      <c r="D19" s="150" t="s">
        <v>1181</v>
      </c>
      <c r="E19" s="151" t="s">
        <v>19</v>
      </c>
      <c r="F19" s="151" t="s">
        <v>28</v>
      </c>
      <c r="G19" s="150" t="s">
        <v>662</v>
      </c>
      <c r="H19" s="164"/>
    </row>
    <row r="20" spans="1:8" x14ac:dyDescent="0.3">
      <c r="A20" s="149" t="s">
        <v>52</v>
      </c>
      <c r="B20" s="150" t="s">
        <v>117</v>
      </c>
      <c r="C20" s="150" t="s">
        <v>1159</v>
      </c>
      <c r="D20" s="150" t="s">
        <v>118</v>
      </c>
      <c r="E20" s="151" t="s">
        <v>19</v>
      </c>
      <c r="F20" s="151" t="s">
        <v>28</v>
      </c>
      <c r="G20" s="150" t="s">
        <v>664</v>
      </c>
      <c r="H20" s="164"/>
    </row>
    <row r="21" spans="1:8" x14ac:dyDescent="0.3">
      <c r="A21" s="149" t="s">
        <v>52</v>
      </c>
      <c r="B21" s="150" t="s">
        <v>123</v>
      </c>
      <c r="C21" s="150" t="s">
        <v>1159</v>
      </c>
      <c r="D21" s="150" t="s">
        <v>1182</v>
      </c>
      <c r="E21" s="151" t="s">
        <v>19</v>
      </c>
      <c r="F21" s="151" t="s">
        <v>28</v>
      </c>
      <c r="G21" s="150" t="s">
        <v>667</v>
      </c>
      <c r="H21" s="164"/>
    </row>
    <row r="22" spans="1:8" x14ac:dyDescent="0.3">
      <c r="A22" s="149" t="s">
        <v>52</v>
      </c>
      <c r="B22" s="150" t="s">
        <v>126</v>
      </c>
      <c r="C22" s="150" t="s">
        <v>1159</v>
      </c>
      <c r="D22" s="150" t="s">
        <v>1163</v>
      </c>
      <c r="E22" s="151" t="s">
        <v>19</v>
      </c>
      <c r="F22" s="151" t="s">
        <v>28</v>
      </c>
      <c r="G22" s="150" t="s">
        <v>669</v>
      </c>
      <c r="H22" s="164"/>
    </row>
    <row r="23" spans="1:8" x14ac:dyDescent="0.3">
      <c r="A23" s="149" t="s">
        <v>52</v>
      </c>
      <c r="B23" s="150" t="s">
        <v>1017</v>
      </c>
      <c r="C23" s="150" t="s">
        <v>1159</v>
      </c>
      <c r="D23" s="150" t="s">
        <v>152</v>
      </c>
      <c r="E23" s="151" t="s">
        <v>19</v>
      </c>
      <c r="F23" s="151" t="s">
        <v>20</v>
      </c>
      <c r="G23" s="150" t="s">
        <v>685</v>
      </c>
      <c r="H23" s="164"/>
    </row>
    <row r="24" spans="1:8" x14ac:dyDescent="0.3">
      <c r="A24" s="149" t="s">
        <v>52</v>
      </c>
      <c r="B24" s="150" t="s">
        <v>1019</v>
      </c>
      <c r="C24" s="150" t="s">
        <v>1159</v>
      </c>
      <c r="D24" s="150" t="s">
        <v>47</v>
      </c>
      <c r="E24" s="151" t="s">
        <v>19</v>
      </c>
      <c r="F24" s="151" t="s">
        <v>20</v>
      </c>
      <c r="G24" s="150" t="s">
        <v>688</v>
      </c>
      <c r="H24" s="164"/>
    </row>
    <row r="25" spans="1:8" x14ac:dyDescent="0.3">
      <c r="A25" s="149" t="s">
        <v>52</v>
      </c>
      <c r="B25" s="150" t="s">
        <v>50</v>
      </c>
      <c r="C25" s="150" t="s">
        <v>1159</v>
      </c>
      <c r="D25" s="150" t="s">
        <v>51</v>
      </c>
      <c r="E25" s="151" t="s">
        <v>19</v>
      </c>
      <c r="F25" s="151" t="s">
        <v>20</v>
      </c>
      <c r="G25" s="150" t="s">
        <v>690</v>
      </c>
      <c r="H25" s="164"/>
    </row>
    <row r="26" spans="1:8" x14ac:dyDescent="0.3">
      <c r="A26" s="149" t="s">
        <v>52</v>
      </c>
      <c r="B26" s="150" t="s">
        <v>1020</v>
      </c>
      <c r="C26" s="150" t="s">
        <v>1159</v>
      </c>
      <c r="D26" s="150" t="s">
        <v>157</v>
      </c>
      <c r="E26" s="151" t="s">
        <v>46</v>
      </c>
      <c r="F26" s="151" t="s">
        <v>28</v>
      </c>
      <c r="G26" s="150" t="s">
        <v>1155</v>
      </c>
      <c r="H26" s="164"/>
    </row>
    <row r="27" spans="1:8" x14ac:dyDescent="0.3">
      <c r="A27" s="149" t="s">
        <v>52</v>
      </c>
      <c r="B27" s="150" t="s">
        <v>158</v>
      </c>
      <c r="C27" s="150" t="s">
        <v>1159</v>
      </c>
      <c r="D27" s="150" t="s">
        <v>157</v>
      </c>
      <c r="E27" s="151" t="s">
        <v>46</v>
      </c>
      <c r="F27" s="151" t="s">
        <v>28</v>
      </c>
      <c r="G27" s="150" t="s">
        <v>700</v>
      </c>
      <c r="H27" s="164"/>
    </row>
    <row r="28" spans="1:8" x14ac:dyDescent="0.3">
      <c r="A28" s="149" t="s">
        <v>52</v>
      </c>
      <c r="B28" s="150" t="s">
        <v>69</v>
      </c>
      <c r="C28" s="150" t="s">
        <v>1159</v>
      </c>
      <c r="D28" s="150" t="s">
        <v>70</v>
      </c>
      <c r="E28" s="151" t="s">
        <v>19</v>
      </c>
      <c r="F28" s="151" t="s">
        <v>28</v>
      </c>
      <c r="G28" s="150" t="s">
        <v>709</v>
      </c>
      <c r="H28" s="164"/>
    </row>
    <row r="29" spans="1:8" x14ac:dyDescent="0.3">
      <c r="A29" s="149" t="s">
        <v>52</v>
      </c>
      <c r="B29" s="150" t="s">
        <v>1023</v>
      </c>
      <c r="C29" s="150" t="s">
        <v>1159</v>
      </c>
      <c r="D29" s="150" t="s">
        <v>1176</v>
      </c>
      <c r="E29" s="151" t="s">
        <v>73</v>
      </c>
      <c r="F29" s="151" t="s">
        <v>28</v>
      </c>
      <c r="G29" s="150"/>
      <c r="H29" s="164"/>
    </row>
    <row r="30" spans="1:8" x14ac:dyDescent="0.3">
      <c r="A30" s="149" t="s">
        <v>52</v>
      </c>
      <c r="B30" s="151" t="s">
        <v>1209</v>
      </c>
      <c r="C30" s="151" t="s">
        <v>1159</v>
      </c>
      <c r="D30" s="150" t="s">
        <v>1211</v>
      </c>
      <c r="E30" s="151" t="s">
        <v>73</v>
      </c>
      <c r="F30" s="151" t="s">
        <v>28</v>
      </c>
      <c r="G30" s="150" t="s">
        <v>1218</v>
      </c>
      <c r="H30" s="164"/>
    </row>
    <row r="31" spans="1:8" x14ac:dyDescent="0.3">
      <c r="A31" s="149" t="s">
        <v>52</v>
      </c>
      <c r="B31" s="151" t="s">
        <v>1210</v>
      </c>
      <c r="C31" s="151" t="s">
        <v>1159</v>
      </c>
      <c r="D31" s="150" t="s">
        <v>1211</v>
      </c>
      <c r="E31" s="151" t="s">
        <v>73</v>
      </c>
      <c r="F31" s="151" t="s">
        <v>28</v>
      </c>
      <c r="G31" s="150" t="s">
        <v>1219</v>
      </c>
      <c r="H31" s="164"/>
    </row>
    <row r="32" spans="1:8" x14ac:dyDescent="0.3">
      <c r="A32" s="149" t="s">
        <v>270</v>
      </c>
      <c r="B32" s="150" t="s">
        <v>1055</v>
      </c>
      <c r="C32" s="150" t="s">
        <v>1159</v>
      </c>
      <c r="D32" s="150" t="s">
        <v>266</v>
      </c>
      <c r="E32" s="151" t="s">
        <v>46</v>
      </c>
      <c r="F32" s="151" t="s">
        <v>1151</v>
      </c>
      <c r="G32" s="150" t="s">
        <v>765</v>
      </c>
      <c r="H32" s="164"/>
    </row>
    <row r="33" spans="1:8" x14ac:dyDescent="0.3">
      <c r="A33" s="149" t="s">
        <v>270</v>
      </c>
      <c r="B33" s="150" t="s">
        <v>271</v>
      </c>
      <c r="C33" s="150" t="s">
        <v>1159</v>
      </c>
      <c r="D33" s="150" t="s">
        <v>272</v>
      </c>
      <c r="E33" s="151" t="s">
        <v>73</v>
      </c>
      <c r="F33" s="151" t="s">
        <v>28</v>
      </c>
      <c r="G33" s="150" t="s">
        <v>767</v>
      </c>
      <c r="H33" s="164"/>
    </row>
    <row r="34" spans="1:8" x14ac:dyDescent="0.3">
      <c r="A34" s="149" t="s">
        <v>270</v>
      </c>
      <c r="B34" s="150" t="s">
        <v>283</v>
      </c>
      <c r="C34" s="150" t="s">
        <v>1159</v>
      </c>
      <c r="D34" s="150" t="s">
        <v>284</v>
      </c>
      <c r="E34" s="151" t="s">
        <v>19</v>
      </c>
      <c r="F34" s="151" t="s">
        <v>1151</v>
      </c>
      <c r="G34" s="150" t="s">
        <v>775</v>
      </c>
      <c r="H34" s="164"/>
    </row>
    <row r="35" spans="1:8" x14ac:dyDescent="0.3">
      <c r="A35" s="149" t="s">
        <v>297</v>
      </c>
      <c r="B35" s="150" t="s">
        <v>1063</v>
      </c>
      <c r="C35" s="150" t="s">
        <v>1159</v>
      </c>
      <c r="D35" s="150" t="s">
        <v>301</v>
      </c>
      <c r="E35" s="151" t="s">
        <v>19</v>
      </c>
      <c r="F35" s="151" t="s">
        <v>1151</v>
      </c>
      <c r="G35" s="150" t="s">
        <v>788</v>
      </c>
      <c r="H35" s="164"/>
    </row>
    <row r="36" spans="1:8" x14ac:dyDescent="0.3">
      <c r="A36" s="149" t="s">
        <v>313</v>
      </c>
      <c r="B36" s="150" t="s">
        <v>330</v>
      </c>
      <c r="C36" s="150" t="s">
        <v>1159</v>
      </c>
      <c r="D36" s="150" t="s">
        <v>331</v>
      </c>
      <c r="E36" s="151" t="s">
        <v>15</v>
      </c>
      <c r="F36" s="151" t="s">
        <v>28</v>
      </c>
      <c r="G36" s="150" t="s">
        <v>801</v>
      </c>
      <c r="H36" s="164"/>
    </row>
    <row r="37" spans="1:8" x14ac:dyDescent="0.3">
      <c r="A37" s="149" t="s">
        <v>187</v>
      </c>
      <c r="B37" s="150" t="s">
        <v>1068</v>
      </c>
      <c r="C37" s="150" t="s">
        <v>1159</v>
      </c>
      <c r="D37" s="150" t="s">
        <v>1069</v>
      </c>
      <c r="E37" s="151" t="s">
        <v>73</v>
      </c>
      <c r="F37" s="151" t="s">
        <v>28</v>
      </c>
      <c r="G37" s="150"/>
      <c r="H37" s="164"/>
    </row>
    <row r="38" spans="1:8" x14ac:dyDescent="0.3">
      <c r="A38" s="149" t="s">
        <v>267</v>
      </c>
      <c r="B38" s="150" t="s">
        <v>1099</v>
      </c>
      <c r="C38" s="150" t="s">
        <v>1159</v>
      </c>
      <c r="D38" s="150" t="s">
        <v>341</v>
      </c>
      <c r="E38" s="151" t="s">
        <v>73</v>
      </c>
      <c r="F38" s="151" t="s">
        <v>28</v>
      </c>
      <c r="G38" s="150" t="s">
        <v>807</v>
      </c>
      <c r="H38" s="164"/>
    </row>
    <row r="39" spans="1:8" x14ac:dyDescent="0.3">
      <c r="A39" s="149" t="s">
        <v>267</v>
      </c>
      <c r="B39" s="150" t="s">
        <v>1100</v>
      </c>
      <c r="C39" s="150" t="s">
        <v>1159</v>
      </c>
      <c r="D39" s="150" t="s">
        <v>341</v>
      </c>
      <c r="E39" s="151" t="s">
        <v>73</v>
      </c>
      <c r="F39" s="151" t="s">
        <v>28</v>
      </c>
      <c r="G39" s="150" t="s">
        <v>808</v>
      </c>
      <c r="H39" s="164"/>
    </row>
    <row r="40" spans="1:8" x14ac:dyDescent="0.3">
      <c r="A40" s="149" t="s">
        <v>486</v>
      </c>
      <c r="B40" s="150" t="s">
        <v>489</v>
      </c>
      <c r="C40" s="150" t="s">
        <v>1159</v>
      </c>
      <c r="D40" s="150" t="s">
        <v>490</v>
      </c>
      <c r="E40" s="151" t="s">
        <v>19</v>
      </c>
      <c r="F40" s="151" t="s">
        <v>28</v>
      </c>
      <c r="G40" s="150" t="s">
        <v>901</v>
      </c>
      <c r="H40" s="164"/>
    </row>
    <row r="41" spans="1:8" x14ac:dyDescent="0.3">
      <c r="A41" s="149" t="s">
        <v>486</v>
      </c>
      <c r="B41" s="150" t="s">
        <v>494</v>
      </c>
      <c r="C41" s="150" t="s">
        <v>1159</v>
      </c>
      <c r="D41" s="150" t="s">
        <v>495</v>
      </c>
      <c r="E41" s="151" t="s">
        <v>15</v>
      </c>
      <c r="F41" s="151" t="s">
        <v>28</v>
      </c>
      <c r="G41" s="150" t="s">
        <v>903</v>
      </c>
      <c r="H41" s="164"/>
    </row>
    <row r="42" spans="1:8" x14ac:dyDescent="0.3">
      <c r="A42" s="149" t="s">
        <v>486</v>
      </c>
      <c r="B42" s="150" t="s">
        <v>496</v>
      </c>
      <c r="C42" s="150" t="s">
        <v>1159</v>
      </c>
      <c r="D42" s="150" t="s">
        <v>497</v>
      </c>
      <c r="E42" s="151" t="s">
        <v>19</v>
      </c>
      <c r="F42" s="151" t="s">
        <v>28</v>
      </c>
      <c r="G42" s="150" t="s">
        <v>904</v>
      </c>
      <c r="H42" s="164"/>
    </row>
    <row r="43" spans="1:8" x14ac:dyDescent="0.3">
      <c r="A43" s="149" t="s">
        <v>486</v>
      </c>
      <c r="B43" s="150" t="s">
        <v>498</v>
      </c>
      <c r="C43" s="150" t="s">
        <v>1159</v>
      </c>
      <c r="D43" s="150" t="s">
        <v>499</v>
      </c>
      <c r="E43" s="151" t="s">
        <v>15</v>
      </c>
      <c r="F43" s="151" t="s">
        <v>28</v>
      </c>
      <c r="G43" s="150" t="s">
        <v>905</v>
      </c>
      <c r="H43" s="164"/>
    </row>
    <row r="44" spans="1:8" x14ac:dyDescent="0.3">
      <c r="A44" s="149" t="s">
        <v>486</v>
      </c>
      <c r="B44" s="150" t="s">
        <v>500</v>
      </c>
      <c r="C44" s="150" t="s">
        <v>1159</v>
      </c>
      <c r="D44" s="150" t="s">
        <v>501</v>
      </c>
      <c r="E44" s="151" t="s">
        <v>19</v>
      </c>
      <c r="F44" s="151" t="s">
        <v>28</v>
      </c>
      <c r="G44" s="150" t="s">
        <v>906</v>
      </c>
      <c r="H44" s="164"/>
    </row>
    <row r="45" spans="1:8" x14ac:dyDescent="0.3">
      <c r="A45" s="149" t="s">
        <v>486</v>
      </c>
      <c r="B45" s="150" t="s">
        <v>502</v>
      </c>
      <c r="C45" s="150" t="s">
        <v>1159</v>
      </c>
      <c r="D45" s="150" t="s">
        <v>503</v>
      </c>
      <c r="E45" s="151" t="s">
        <v>19</v>
      </c>
      <c r="F45" s="151" t="s">
        <v>1152</v>
      </c>
      <c r="G45" s="150" t="s">
        <v>907</v>
      </c>
      <c r="H45" s="164"/>
    </row>
    <row r="46" spans="1:8" x14ac:dyDescent="0.3">
      <c r="A46" s="149" t="s">
        <v>522</v>
      </c>
      <c r="B46" s="150" t="s">
        <v>543</v>
      </c>
      <c r="C46" s="150" t="s">
        <v>1159</v>
      </c>
      <c r="D46" s="150" t="s">
        <v>1166</v>
      </c>
      <c r="E46" s="151"/>
      <c r="F46" s="151" t="s">
        <v>1152</v>
      </c>
      <c r="G46" s="150" t="s">
        <v>926</v>
      </c>
      <c r="H46" s="164"/>
    </row>
    <row r="47" spans="1:8" x14ac:dyDescent="0.3">
      <c r="A47" s="149" t="s">
        <v>522</v>
      </c>
      <c r="B47" s="150" t="s">
        <v>553</v>
      </c>
      <c r="C47" s="150" t="s">
        <v>1159</v>
      </c>
      <c r="D47" s="150" t="s">
        <v>554</v>
      </c>
      <c r="E47" s="151" t="s">
        <v>73</v>
      </c>
      <c r="F47" s="151" t="s">
        <v>28</v>
      </c>
      <c r="G47" s="150" t="s">
        <v>701</v>
      </c>
      <c r="H47" s="164"/>
    </row>
    <row r="48" spans="1:8" x14ac:dyDescent="0.3">
      <c r="A48" s="149" t="s">
        <v>522</v>
      </c>
      <c r="B48" s="150" t="s">
        <v>555</v>
      </c>
      <c r="C48" s="150" t="s">
        <v>1159</v>
      </c>
      <c r="D48" s="150" t="s">
        <v>554</v>
      </c>
      <c r="E48" s="151" t="s">
        <v>73</v>
      </c>
      <c r="F48" s="151" t="s">
        <v>28</v>
      </c>
      <c r="G48" s="150" t="s">
        <v>942</v>
      </c>
      <c r="H48" s="164"/>
    </row>
    <row r="49" spans="1:8" ht="15" thickBot="1" x14ac:dyDescent="0.35">
      <c r="A49" s="153" t="s">
        <v>491</v>
      </c>
      <c r="B49" s="154" t="s">
        <v>574</v>
      </c>
      <c r="C49" s="154" t="s">
        <v>1159</v>
      </c>
      <c r="D49" s="154" t="s">
        <v>575</v>
      </c>
      <c r="E49" s="155" t="s">
        <v>19</v>
      </c>
      <c r="F49" s="155" t="s">
        <v>1152</v>
      </c>
      <c r="G49" s="154" t="s">
        <v>954</v>
      </c>
      <c r="H49" s="165"/>
    </row>
    <row r="50" spans="1:8" ht="24.6" thickTop="1" thickBot="1" x14ac:dyDescent="0.5">
      <c r="A50" s="167" t="s">
        <v>1296</v>
      </c>
      <c r="G50" s="168" t="s">
        <v>1297</v>
      </c>
      <c r="H50" s="166"/>
    </row>
    <row r="51" spans="1:8" ht="15" thickTop="1" x14ac:dyDescent="0.3"/>
  </sheetData>
  <conditionalFormatting sqref="E9:G9 E2:G7">
    <cfRule type="containsText" dxfId="17" priority="18" operator="containsText" text="Radio">
      <formula>NOT(ISERROR(SEARCH("Radio",E2)))</formula>
    </cfRule>
  </conditionalFormatting>
  <conditionalFormatting sqref="E9 E2:E7">
    <cfRule type="containsText" dxfId="16" priority="16" operator="containsText" text="fija">
      <formula>NOT(ISERROR(SEARCH("fija",E2)))</formula>
    </cfRule>
    <cfRule type="containsText" dxfId="15" priority="17" operator="containsText" text="domo">
      <formula>NOT(ISERROR(SEARCH("domo",E2)))</formula>
    </cfRule>
  </conditionalFormatting>
  <conditionalFormatting sqref="F9 F2:F7">
    <cfRule type="cellIs" dxfId="14" priority="15" operator="equal">
      <formula>"PTP A FO"</formula>
    </cfRule>
  </conditionalFormatting>
  <conditionalFormatting sqref="F2:F9">
    <cfRule type="cellIs" dxfId="13" priority="588" operator="equal">
      <formula>$F$10</formula>
    </cfRule>
    <cfRule type="cellIs" dxfId="12" priority="589" operator="equal">
      <formula>"PTP A FO"</formula>
    </cfRule>
  </conditionalFormatting>
  <conditionalFormatting sqref="E2:E9">
    <cfRule type="cellIs" dxfId="11" priority="592" operator="equal">
      <formula>$E$7</formula>
    </cfRule>
  </conditionalFormatting>
  <conditionalFormatting sqref="C2:C9">
    <cfRule type="cellIs" dxfId="10" priority="594" operator="equal">
      <formula>$C$213</formula>
    </cfRule>
    <cfRule type="cellIs" dxfId="9" priority="595" operator="equal">
      <formula>$C$201</formula>
    </cfRule>
  </conditionalFormatting>
  <conditionalFormatting sqref="E13:G49 G50">
    <cfRule type="containsText" dxfId="8" priority="9" operator="containsText" text="Radio">
      <formula>NOT(ISERROR(SEARCH("Radio",E13)))</formula>
    </cfRule>
  </conditionalFormatting>
  <conditionalFormatting sqref="E13:E49">
    <cfRule type="containsText" dxfId="7" priority="7" operator="containsText" text="fija">
      <formula>NOT(ISERROR(SEARCH("fija",E13)))</formula>
    </cfRule>
    <cfRule type="containsText" dxfId="6" priority="8" operator="containsText" text="domo">
      <formula>NOT(ISERROR(SEARCH("domo",E13)))</formula>
    </cfRule>
  </conditionalFormatting>
  <conditionalFormatting sqref="F13:F49">
    <cfRule type="cellIs" dxfId="5" priority="6" operator="equal">
      <formula>"PTP A FO"</formula>
    </cfRule>
  </conditionalFormatting>
  <conditionalFormatting sqref="F13:F49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3:E49">
    <cfRule type="cellIs" dxfId="2" priority="3" operator="equal">
      <formula>$E$7</formula>
    </cfRule>
  </conditionalFormatting>
  <conditionalFormatting sqref="C13:C49">
    <cfRule type="cellIs" dxfId="1" priority="1" operator="equal">
      <formula>$C$213</formula>
    </cfRule>
    <cfRule type="cellIs" dxfId="0" priority="2" operator="equal">
      <formula>$C$201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2022-11-29T14:57:10Z</dcterms:modified>
</cp:coreProperties>
</file>