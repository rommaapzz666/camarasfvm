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JUNIO\"/>
    </mc:Choice>
  </mc:AlternateContent>
  <xr:revisionPtr revIDLastSave="0" documentId="8_{56EC7F8B-7FFB-430F-888F-FC184F48FFB8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PORCENTAJE" sheetId="15" r:id="rId9"/>
    <sheet name="AUXILIAR" sheetId="14" r:id="rId10"/>
    <sheet name="informe" sheetId="24" r:id="rId11"/>
  </sheets>
  <definedNames>
    <definedName name="_25_de_agosto" localSheetId="0">'RESUMEN TOTAL'!$A$4:$D$349</definedName>
    <definedName name="_xlnm._FilterDatabase" localSheetId="2" hidden="1">APAGADOS!$A$2:$AG$379</definedName>
    <definedName name="_xlnm._FilterDatabase" localSheetId="4" hidden="1">'APAGADOS ANTENA'!$A$3:$AI$369</definedName>
    <definedName name="_xlnm._FilterDatabase" localSheetId="3" hidden="1">'APAGADOS FIBRA'!$A$3:$AI$369</definedName>
    <definedName name="_xlnm._FilterDatabase" localSheetId="5" hidden="1">'APAGADOS RADIO'!$A$3:$AI$369</definedName>
    <definedName name="_xlnm._FilterDatabase" localSheetId="1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78" i="2" l="1"/>
  <c r="M379" i="2"/>
  <c r="L378" i="2"/>
  <c r="L379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R2" i="2"/>
  <c r="AM2" i="2"/>
  <c r="AN2" i="2"/>
  <c r="AO2" i="2"/>
  <c r="AP2" i="2"/>
  <c r="AQ2" i="2"/>
  <c r="AK2" i="2"/>
  <c r="AL2" i="2"/>
  <c r="AI2" i="2"/>
  <c r="AJ2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5" i="2"/>
  <c r="D23" i="24"/>
  <c r="C24" i="24"/>
  <c r="D24" i="24" s="1"/>
  <c r="D18" i="24"/>
  <c r="C19" i="24"/>
  <c r="C20" i="24" s="1"/>
  <c r="D13" i="24"/>
  <c r="C14" i="24"/>
  <c r="C15" i="24" s="1"/>
  <c r="D14" i="24"/>
  <c r="C9" i="24"/>
  <c r="C10" i="24" s="1"/>
  <c r="D8" i="24"/>
  <c r="D6" i="24"/>
  <c r="D5" i="24"/>
  <c r="D4" i="24"/>
  <c r="D3" i="24"/>
  <c r="C6" i="24"/>
  <c r="C5" i="24"/>
  <c r="C4" i="24"/>
  <c r="N379" i="2" l="1"/>
  <c r="N378" i="2"/>
  <c r="C25" i="24"/>
  <c r="D19" i="24"/>
  <c r="D20" i="24"/>
  <c r="C21" i="24"/>
  <c r="D21" i="24" s="1"/>
  <c r="D15" i="24"/>
  <c r="C16" i="24"/>
  <c r="D16" i="24" s="1"/>
  <c r="C11" i="24"/>
  <c r="D11" i="24" s="1"/>
  <c r="D10" i="24"/>
  <c r="D9" i="24"/>
  <c r="M377" i="2"/>
  <c r="M376" i="2"/>
  <c r="M375" i="2"/>
  <c r="M374" i="2"/>
  <c r="M373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N249" i="2"/>
  <c r="N259" i="2"/>
  <c r="N267" i="2"/>
  <c r="N299" i="2"/>
  <c r="N315" i="2"/>
  <c r="N331" i="2"/>
  <c r="N339" i="2"/>
  <c r="N371" i="2"/>
  <c r="M245" i="2"/>
  <c r="M246" i="2"/>
  <c r="AH2" i="8"/>
  <c r="AI2" i="8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H11" i="8"/>
  <c r="AI11" i="8"/>
  <c r="AI13" i="10" s="1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H19" i="8"/>
  <c r="AI19" i="8"/>
  <c r="AI21" i="10" s="1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21" s="1"/>
  <c r="AI27" i="8"/>
  <c r="AH28" i="8"/>
  <c r="AI28" i="8"/>
  <c r="AH29" i="8"/>
  <c r="AI29" i="8"/>
  <c r="AI31" i="11" s="1"/>
  <c r="AH30" i="8"/>
  <c r="AH32" i="21" s="1"/>
  <c r="AI30" i="8"/>
  <c r="AH31" i="8"/>
  <c r="AH33" i="10" s="1"/>
  <c r="AI31" i="8"/>
  <c r="AI33" i="10" s="1"/>
  <c r="AH32" i="8"/>
  <c r="AI32" i="8"/>
  <c r="AI34" i="10" s="1"/>
  <c r="AH33" i="8"/>
  <c r="AH35" i="10" s="1"/>
  <c r="AI33" i="8"/>
  <c r="AH34" i="8"/>
  <c r="AI34" i="8"/>
  <c r="AH35" i="8"/>
  <c r="AH37" i="10" s="1"/>
  <c r="AI35" i="8"/>
  <c r="AI37" i="10" s="1"/>
  <c r="AH36" i="8"/>
  <c r="AH38" i="10" s="1"/>
  <c r="AI36" i="8"/>
  <c r="AH37" i="8"/>
  <c r="AI37" i="8"/>
  <c r="AH38" i="8"/>
  <c r="AH40" i="10" s="1"/>
  <c r="AI38" i="8"/>
  <c r="AI40" i="10" s="1"/>
  <c r="AH39" i="8"/>
  <c r="AH41" i="10" s="1"/>
  <c r="AI39" i="8"/>
  <c r="AH40" i="8"/>
  <c r="AI40" i="8"/>
  <c r="AI42" i="10" s="1"/>
  <c r="AH41" i="8"/>
  <c r="AH43" i="10" s="1"/>
  <c r="AI41" i="8"/>
  <c r="AI43" i="10" s="1"/>
  <c r="AH42" i="8"/>
  <c r="AI42" i="8"/>
  <c r="AI44" i="10" s="1"/>
  <c r="AH43" i="8"/>
  <c r="AI43" i="8"/>
  <c r="AI45" i="10" s="1"/>
  <c r="AH44" i="8"/>
  <c r="AH46" i="10" s="1"/>
  <c r="AI44" i="8"/>
  <c r="AH45" i="8"/>
  <c r="AI45" i="8"/>
  <c r="AH46" i="8"/>
  <c r="AI46" i="8"/>
  <c r="AI48" i="10" s="1"/>
  <c r="AH47" i="8"/>
  <c r="AH49" i="10" s="1"/>
  <c r="AI47" i="8"/>
  <c r="AH48" i="8"/>
  <c r="AI48" i="8"/>
  <c r="AI50" i="10" s="1"/>
  <c r="AH49" i="8"/>
  <c r="AH51" i="10" s="1"/>
  <c r="AI49" i="8"/>
  <c r="AH50" i="8"/>
  <c r="AI50" i="8"/>
  <c r="AH51" i="8"/>
  <c r="AI51" i="8"/>
  <c r="AI53" i="10" s="1"/>
  <c r="AH52" i="8"/>
  <c r="AI52" i="8"/>
  <c r="AI54" i="10" s="1"/>
  <c r="AH53" i="8"/>
  <c r="AI53" i="8"/>
  <c r="AI55" i="10" s="1"/>
  <c r="AH54" i="8"/>
  <c r="AI54" i="8"/>
  <c r="AH55" i="8"/>
  <c r="AI55" i="8"/>
  <c r="AH56" i="8"/>
  <c r="AI56" i="8"/>
  <c r="AI58" i="10" s="1"/>
  <c r="AH57" i="8"/>
  <c r="AH59" i="10" s="1"/>
  <c r="AI57" i="8"/>
  <c r="AI59" i="10" s="1"/>
  <c r="AH58" i="8"/>
  <c r="AI58" i="8"/>
  <c r="AH59" i="8"/>
  <c r="AH61" i="21" s="1"/>
  <c r="AI59" i="8"/>
  <c r="AI61" i="10" s="1"/>
  <c r="AH60" i="8"/>
  <c r="AH62" i="10" s="1"/>
  <c r="AI60" i="8"/>
  <c r="AH61" i="8"/>
  <c r="AI61" i="8"/>
  <c r="AI63" i="11" s="1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H66" i="8"/>
  <c r="AH68" i="10" s="1"/>
  <c r="AI66" i="8"/>
  <c r="AH67" i="8"/>
  <c r="AI67" i="8"/>
  <c r="AI69" i="10" s="1"/>
  <c r="AH68" i="8"/>
  <c r="AH70" i="10" s="1"/>
  <c r="AI68" i="8"/>
  <c r="AH69" i="8"/>
  <c r="AI69" i="8"/>
  <c r="AI71" i="10" s="1"/>
  <c r="AH70" i="8"/>
  <c r="AI70" i="8"/>
  <c r="AI72" i="10" s="1"/>
  <c r="AH71" i="8"/>
  <c r="AI71" i="8"/>
  <c r="AH72" i="8"/>
  <c r="AI72" i="8"/>
  <c r="AH73" i="8"/>
  <c r="AH75" i="10" s="1"/>
  <c r="AI73" i="8"/>
  <c r="AI75" i="10" s="1"/>
  <c r="AH74" i="8"/>
  <c r="AI74" i="8"/>
  <c r="AH75" i="8"/>
  <c r="AI75" i="8"/>
  <c r="AI77" i="10" s="1"/>
  <c r="AH76" i="8"/>
  <c r="AH78" i="10" s="1"/>
  <c r="AI76" i="8"/>
  <c r="AH77" i="8"/>
  <c r="AH78" i="9" s="1"/>
  <c r="AI77" i="8"/>
  <c r="AI78" i="9" s="1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H86" i="8"/>
  <c r="AH87" i="9" s="1"/>
  <c r="AI86" i="8"/>
  <c r="AH87" i="8"/>
  <c r="AH88" i="9" s="1"/>
  <c r="AI87" i="8"/>
  <c r="AI88" i="9" s="1"/>
  <c r="AH88" i="8"/>
  <c r="AI88" i="8"/>
  <c r="AI89" i="9" s="1"/>
  <c r="AH89" i="8"/>
  <c r="AH90" i="9" s="1"/>
  <c r="AI89" i="8"/>
  <c r="AH90" i="8"/>
  <c r="AI90" i="8"/>
  <c r="AH91" i="8"/>
  <c r="AH93" i="21" s="1"/>
  <c r="AI91" i="8"/>
  <c r="AH92" i="8"/>
  <c r="AI92" i="8"/>
  <c r="AI94" i="10" s="1"/>
  <c r="AH93" i="8"/>
  <c r="AI93" i="8"/>
  <c r="AI95" i="11" s="1"/>
  <c r="AH94" i="8"/>
  <c r="AH96" i="21" s="1"/>
  <c r="AI94" i="8"/>
  <c r="AH95" i="8"/>
  <c r="AH97" i="10" s="1"/>
  <c r="AI95" i="8"/>
  <c r="AH96" i="8"/>
  <c r="AI96" i="8"/>
  <c r="AI98" i="10" s="1"/>
  <c r="AH97" i="8"/>
  <c r="AI97" i="8"/>
  <c r="AH98" i="8"/>
  <c r="AI98" i="8"/>
  <c r="AH99" i="8"/>
  <c r="AI99" i="8"/>
  <c r="AH100" i="8"/>
  <c r="AI100" i="8"/>
  <c r="AH101" i="8"/>
  <c r="AH102" i="9" s="1"/>
  <c r="AI101" i="8"/>
  <c r="AI102" i="9" s="1"/>
  <c r="AH102" i="8"/>
  <c r="AH103" i="9" s="1"/>
  <c r="AI102" i="8"/>
  <c r="AI103" i="9" s="1"/>
  <c r="AH103" i="8"/>
  <c r="AH105" i="10" s="1"/>
  <c r="AI103" i="8"/>
  <c r="AH104" i="8"/>
  <c r="AI104" i="8"/>
  <c r="AI106" i="10" s="1"/>
  <c r="AH105" i="8"/>
  <c r="AI105" i="8"/>
  <c r="AI107" i="10" s="1"/>
  <c r="AH106" i="8"/>
  <c r="AI106" i="8"/>
  <c r="AH107" i="8"/>
  <c r="AI107" i="8"/>
  <c r="AH108" i="8"/>
  <c r="AI108" i="8"/>
  <c r="AH109" i="8"/>
  <c r="AI109" i="8"/>
  <c r="AH110" i="8"/>
  <c r="AI110" i="8"/>
  <c r="AH111" i="8"/>
  <c r="AI111" i="8"/>
  <c r="AH112" i="8"/>
  <c r="AI112" i="8"/>
  <c r="AH113" i="8"/>
  <c r="AH114" i="9" s="1"/>
  <c r="AI113" i="8"/>
  <c r="AH114" i="8"/>
  <c r="AI114" i="8"/>
  <c r="AH115" i="8"/>
  <c r="AH117" i="10" s="1"/>
  <c r="AI115" i="8"/>
  <c r="AI117" i="10" s="1"/>
  <c r="AH116" i="8"/>
  <c r="AI116" i="8"/>
  <c r="AH117" i="8"/>
  <c r="AI117" i="8"/>
  <c r="AH118" i="8"/>
  <c r="AI118" i="8"/>
  <c r="AI120" i="10" s="1"/>
  <c r="AH119" i="8"/>
  <c r="AI119" i="8"/>
  <c r="AH120" i="8"/>
  <c r="AI120" i="8"/>
  <c r="AI122" i="10" s="1"/>
  <c r="AH121" i="8"/>
  <c r="AI121" i="8"/>
  <c r="AH122" i="8"/>
  <c r="AI122" i="8"/>
  <c r="AH123" i="8"/>
  <c r="AH125" i="21" s="1"/>
  <c r="AI123" i="8"/>
  <c r="AH124" i="8"/>
  <c r="AI124" i="8"/>
  <c r="AH125" i="8"/>
  <c r="AI125" i="8"/>
  <c r="AI127" i="11" s="1"/>
  <c r="AH126" i="8"/>
  <c r="AI126" i="8"/>
  <c r="AI127" i="9" s="1"/>
  <c r="AH127" i="8"/>
  <c r="AH128" i="9" s="1"/>
  <c r="AI127" i="8"/>
  <c r="AI128" i="9" s="1"/>
  <c r="AH128" i="8"/>
  <c r="AI128" i="8"/>
  <c r="AH129" i="8"/>
  <c r="AI129" i="8"/>
  <c r="AH130" i="8"/>
  <c r="AH131" i="9" s="1"/>
  <c r="AI130" i="8"/>
  <c r="AI131" i="9" s="1"/>
  <c r="AH131" i="8"/>
  <c r="AI131" i="8"/>
  <c r="AH132" i="8"/>
  <c r="AI132" i="8"/>
  <c r="AH133" i="8"/>
  <c r="AI133" i="8"/>
  <c r="AH134" i="8"/>
  <c r="AI134" i="8"/>
  <c r="AI136" i="10" s="1"/>
  <c r="AH135" i="8"/>
  <c r="AH136" i="9" s="1"/>
  <c r="AI135" i="8"/>
  <c r="AI136" i="9" s="1"/>
  <c r="AH136" i="8"/>
  <c r="AH137" i="9" s="1"/>
  <c r="AI136" i="8"/>
  <c r="AI137" i="9" s="1"/>
  <c r="AH137" i="8"/>
  <c r="AH138" i="9" s="1"/>
  <c r="AI137" i="8"/>
  <c r="AI138" i="9" s="1"/>
  <c r="AH138" i="8"/>
  <c r="AH139" i="9" s="1"/>
  <c r="AI138" i="8"/>
  <c r="AI139" i="9" s="1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H145" i="8"/>
  <c r="AI145" i="8"/>
  <c r="AH146" i="8"/>
  <c r="AH148" i="10" s="1"/>
  <c r="AI146" i="8"/>
  <c r="AH147" i="8"/>
  <c r="AI147" i="8"/>
  <c r="AI149" i="10" s="1"/>
  <c r="AH148" i="8"/>
  <c r="AI148" i="8"/>
  <c r="AH149" i="8"/>
  <c r="AI149" i="8"/>
  <c r="AI151" i="10" s="1"/>
  <c r="AH150" i="8"/>
  <c r="AH151" i="9" s="1"/>
  <c r="AI150" i="8"/>
  <c r="AI151" i="9" s="1"/>
  <c r="AH151" i="8"/>
  <c r="AI151" i="8"/>
  <c r="AI153" i="10" s="1"/>
  <c r="AH152" i="8"/>
  <c r="AH154" i="10" s="1"/>
  <c r="AI152" i="8"/>
  <c r="AI154" i="10" s="1"/>
  <c r="AH153" i="8"/>
  <c r="AH154" i="9" s="1"/>
  <c r="AI153" i="8"/>
  <c r="AI154" i="9" s="1"/>
  <c r="AH154" i="8"/>
  <c r="AI154" i="8"/>
  <c r="AH155" i="8"/>
  <c r="AH157" i="21" s="1"/>
  <c r="AI155" i="8"/>
  <c r="AI157" i="10" s="1"/>
  <c r="AH156" i="8"/>
  <c r="AH157" i="9" s="1"/>
  <c r="AI156" i="8"/>
  <c r="AI157" i="9" s="1"/>
  <c r="AH157" i="8"/>
  <c r="AI157" i="8"/>
  <c r="AI159" i="11" s="1"/>
  <c r="AH158" i="8"/>
  <c r="AH160" i="21" s="1"/>
  <c r="AI158" i="8"/>
  <c r="AH159" i="8"/>
  <c r="AI159" i="8"/>
  <c r="AI161" i="10" s="1"/>
  <c r="AH160" i="8"/>
  <c r="AI160" i="8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H189" i="9" s="1"/>
  <c r="AI188" i="8"/>
  <c r="AI189" i="9" s="1"/>
  <c r="AH189" i="8"/>
  <c r="AI189" i="8"/>
  <c r="AH190" i="8"/>
  <c r="AH191" i="9" s="1"/>
  <c r="AI190" i="8"/>
  <c r="AI191" i="9" s="1"/>
  <c r="AH191" i="8"/>
  <c r="AH192" i="9" s="1"/>
  <c r="AI191" i="8"/>
  <c r="AI192" i="9" s="1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H199" i="8"/>
  <c r="AI199" i="8"/>
  <c r="AH200" i="8"/>
  <c r="AI200" i="8"/>
  <c r="AH201" i="8"/>
  <c r="AI201" i="8"/>
  <c r="AH202" i="8"/>
  <c r="AI202" i="8"/>
  <c r="AH203" i="8"/>
  <c r="AH204" i="9" s="1"/>
  <c r="AI203" i="8"/>
  <c r="AI204" i="9" s="1"/>
  <c r="AH204" i="8"/>
  <c r="AI204" i="8"/>
  <c r="AH205" i="8"/>
  <c r="AI205" i="8"/>
  <c r="AH206" i="8"/>
  <c r="AI206" i="8"/>
  <c r="AH207" i="8"/>
  <c r="AI207" i="8"/>
  <c r="AH208" i="8"/>
  <c r="AH209" i="9" s="1"/>
  <c r="AI208" i="8"/>
  <c r="AI209" i="9" s="1"/>
  <c r="AH209" i="8"/>
  <c r="AH210" i="9" s="1"/>
  <c r="AI209" i="8"/>
  <c r="AI210" i="9" s="1"/>
  <c r="AH210" i="8"/>
  <c r="AI210" i="8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1" s="1"/>
  <c r="AI222" i="8"/>
  <c r="AH223" i="8"/>
  <c r="AH225" i="10" s="1"/>
  <c r="AI223" i="8"/>
  <c r="AH224" i="8"/>
  <c r="AI224" i="8"/>
  <c r="AH225" i="8"/>
  <c r="AI225" i="8"/>
  <c r="AH226" i="8"/>
  <c r="AI226" i="8"/>
  <c r="AH227" i="8"/>
  <c r="AI227" i="8"/>
  <c r="AH228" i="8"/>
  <c r="AI228" i="8"/>
  <c r="AH229" i="8"/>
  <c r="AH231" i="10" s="1"/>
  <c r="AI229" i="8"/>
  <c r="AH230" i="8"/>
  <c r="AI230" i="8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21" s="1"/>
  <c r="AI237" i="8"/>
  <c r="AH238" i="8"/>
  <c r="AI238" i="8"/>
  <c r="AH239" i="8"/>
  <c r="AI239" i="8"/>
  <c r="AH240" i="8"/>
  <c r="AH242" i="11" s="1"/>
  <c r="AI240" i="8"/>
  <c r="AH241" i="8"/>
  <c r="AI241" i="8"/>
  <c r="AH242" i="8"/>
  <c r="AH243" i="9" s="1"/>
  <c r="AI242" i="8"/>
  <c r="AI243" i="9" s="1"/>
  <c r="AH243" i="8"/>
  <c r="AH244" i="9" s="1"/>
  <c r="AI243" i="8"/>
  <c r="AI244" i="9" s="1"/>
  <c r="AH244" i="8"/>
  <c r="AI244" i="8"/>
  <c r="AH245" i="8"/>
  <c r="AI245" i="8"/>
  <c r="AH246" i="8"/>
  <c r="AH248" i="11" s="1"/>
  <c r="AI246" i="8"/>
  <c r="AH247" i="8"/>
  <c r="AI247" i="8"/>
  <c r="AH248" i="8"/>
  <c r="AH249" i="9" s="1"/>
  <c r="AI248" i="8"/>
  <c r="AH249" i="8"/>
  <c r="AI249" i="8"/>
  <c r="AI250" i="9" s="1"/>
  <c r="AH250" i="8"/>
  <c r="AI250" i="8"/>
  <c r="AI251" i="9" s="1"/>
  <c r="AH251" i="8"/>
  <c r="AH252" i="9" s="1"/>
  <c r="AI251" i="8"/>
  <c r="AI252" i="9" s="1"/>
  <c r="AH252" i="8"/>
  <c r="AI252" i="8"/>
  <c r="AH253" i="8"/>
  <c r="AI253" i="8"/>
  <c r="AH254" i="8"/>
  <c r="AH256" i="21" s="1"/>
  <c r="AI254" i="8"/>
  <c r="AH255" i="8"/>
  <c r="AI255" i="8"/>
  <c r="AH256" i="8"/>
  <c r="AI256" i="8"/>
  <c r="AH257" i="8"/>
  <c r="AI257" i="8"/>
  <c r="AH258" i="8"/>
  <c r="AI258" i="8"/>
  <c r="AH259" i="8"/>
  <c r="AH260" i="9" s="1"/>
  <c r="AI259" i="8"/>
  <c r="AI260" i="9" s="1"/>
  <c r="AH260" i="8"/>
  <c r="AH261" i="9" s="1"/>
  <c r="AI260" i="8"/>
  <c r="AI261" i="9" s="1"/>
  <c r="AH261" i="8"/>
  <c r="AI261" i="8"/>
  <c r="AI262" i="9" s="1"/>
  <c r="AH262" i="8"/>
  <c r="AH263" i="9" s="1"/>
  <c r="AI262" i="8"/>
  <c r="AI263" i="9" s="1"/>
  <c r="AH263" i="8"/>
  <c r="AH264" i="9" s="1"/>
  <c r="AI263" i="8"/>
  <c r="AI264" i="9" s="1"/>
  <c r="AH264" i="8"/>
  <c r="AH266" i="11" s="1"/>
  <c r="AI264" i="8"/>
  <c r="AH265" i="8"/>
  <c r="AH267" i="10" s="1"/>
  <c r="AI265" i="8"/>
  <c r="AH266" i="8"/>
  <c r="AI266" i="8"/>
  <c r="AH267" i="8"/>
  <c r="AH269" i="11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1" s="1"/>
  <c r="AI273" i="8"/>
  <c r="AH274" i="8"/>
  <c r="AI274" i="8"/>
  <c r="AH275" i="8"/>
  <c r="AI275" i="8"/>
  <c r="AH276" i="8"/>
  <c r="AI276" i="8"/>
  <c r="AH277" i="8"/>
  <c r="AI277" i="8"/>
  <c r="AH278" i="8"/>
  <c r="AH279" i="9" s="1"/>
  <c r="AI278" i="8"/>
  <c r="AI279" i="9" s="1"/>
  <c r="AH279" i="8"/>
  <c r="AH280" i="9" s="1"/>
  <c r="AI279" i="8"/>
  <c r="AI280" i="9" s="1"/>
  <c r="AH280" i="8"/>
  <c r="AH282" i="10" s="1"/>
  <c r="AI280" i="8"/>
  <c r="AH281" i="8"/>
  <c r="AH282" i="9" s="1"/>
  <c r="AI281" i="8"/>
  <c r="AH282" i="8"/>
  <c r="AH283" i="9" s="1"/>
  <c r="AI282" i="8"/>
  <c r="AI283" i="9" s="1"/>
  <c r="AH283" i="8"/>
  <c r="AH285" i="21" s="1"/>
  <c r="AI283" i="8"/>
  <c r="AH284" i="8"/>
  <c r="AI284" i="8"/>
  <c r="AH285" i="8"/>
  <c r="AI285" i="8"/>
  <c r="AH286" i="8"/>
  <c r="AH288" i="21" s="1"/>
  <c r="AI286" i="8"/>
  <c r="AI288" i="10" s="1"/>
  <c r="AH287" i="8"/>
  <c r="AI287" i="8"/>
  <c r="AH288" i="8"/>
  <c r="AI288" i="8"/>
  <c r="AH289" i="8"/>
  <c r="AH291" i="10" s="1"/>
  <c r="AI289" i="8"/>
  <c r="AH290" i="8"/>
  <c r="AI290" i="8"/>
  <c r="AH291" i="8"/>
  <c r="AI291" i="8"/>
  <c r="AH292" i="8"/>
  <c r="AI292" i="8"/>
  <c r="AH293" i="8"/>
  <c r="AI293" i="8"/>
  <c r="AH294" i="8"/>
  <c r="AI294" i="8"/>
  <c r="AH295" i="8"/>
  <c r="AI295" i="8"/>
  <c r="AH296" i="8"/>
  <c r="AI296" i="8"/>
  <c r="AH297" i="8"/>
  <c r="AH299" i="11" s="1"/>
  <c r="AI297" i="8"/>
  <c r="AH298" i="8"/>
  <c r="AI298" i="8"/>
  <c r="AH299" i="8"/>
  <c r="AI299" i="8"/>
  <c r="AH300" i="8"/>
  <c r="AH302" i="10" s="1"/>
  <c r="AI300" i="8"/>
  <c r="AH301" i="8"/>
  <c r="AH302" i="9" s="1"/>
  <c r="AI301" i="8"/>
  <c r="AI302" i="9" s="1"/>
  <c r="AH302" i="8"/>
  <c r="AH303" i="9" s="1"/>
  <c r="AI302" i="8"/>
  <c r="AH303" i="8"/>
  <c r="AI303" i="8"/>
  <c r="AI304" i="9" s="1"/>
  <c r="AH304" i="8"/>
  <c r="AH305" i="9" s="1"/>
  <c r="AI304" i="8"/>
  <c r="AI305" i="9" s="1"/>
  <c r="AH305" i="8"/>
  <c r="AI305" i="8"/>
  <c r="AH306" i="8"/>
  <c r="AI306" i="8"/>
  <c r="AH307" i="8"/>
  <c r="AI307" i="8"/>
  <c r="AH308" i="8"/>
  <c r="AH309" i="9" s="1"/>
  <c r="AI308" i="8"/>
  <c r="AI309" i="9" s="1"/>
  <c r="AH309" i="8"/>
  <c r="AI309" i="8"/>
  <c r="AI310" i="9" s="1"/>
  <c r="AH310" i="8"/>
  <c r="AH311" i="9" s="1"/>
  <c r="AI310" i="8"/>
  <c r="AI311" i="9" s="1"/>
  <c r="AH311" i="8"/>
  <c r="AI311" i="8"/>
  <c r="AH312" i="8"/>
  <c r="AH314" i="11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1" s="1"/>
  <c r="AI317" i="8"/>
  <c r="AH318" i="8"/>
  <c r="AH319" i="9" s="1"/>
  <c r="AI318" i="8"/>
  <c r="AI319" i="9" s="1"/>
  <c r="AH319" i="8"/>
  <c r="AI319" i="8"/>
  <c r="AH320" i="8"/>
  <c r="AH322" i="11" s="1"/>
  <c r="AI320" i="8"/>
  <c r="AI322" i="10" s="1"/>
  <c r="AH321" i="8"/>
  <c r="AH322" i="9" s="1"/>
  <c r="AI321" i="8"/>
  <c r="AI322" i="9" s="1"/>
  <c r="AH322" i="8"/>
  <c r="AI322" i="8"/>
  <c r="AH323" i="8"/>
  <c r="AI323" i="8"/>
  <c r="AH324" i="8"/>
  <c r="AI324" i="8"/>
  <c r="AH325" i="8"/>
  <c r="AH327" i="21" s="1"/>
  <c r="AI325" i="8"/>
  <c r="AH326" i="8"/>
  <c r="AI326" i="8"/>
  <c r="AH327" i="8"/>
  <c r="AI327" i="8"/>
  <c r="AH328" i="8"/>
  <c r="AH330" i="11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1" s="1"/>
  <c r="AI336" i="8"/>
  <c r="AI338" i="10" s="1"/>
  <c r="AH337" i="8"/>
  <c r="AI337" i="8"/>
  <c r="AH338" i="8"/>
  <c r="AI338" i="8"/>
  <c r="AH339" i="8"/>
  <c r="AI339" i="8"/>
  <c r="AH340" i="8"/>
  <c r="AI340" i="8"/>
  <c r="AH341" i="8"/>
  <c r="AH343" i="11" s="1"/>
  <c r="AI341" i="8"/>
  <c r="AH342" i="8"/>
  <c r="AI342" i="8"/>
  <c r="AH343" i="8"/>
  <c r="AI343" i="8"/>
  <c r="AH344" i="8"/>
  <c r="AI344" i="8"/>
  <c r="AI346" i="10" s="1"/>
  <c r="AH345" i="8"/>
  <c r="AI345" i="8"/>
  <c r="AH346" i="8"/>
  <c r="AH347" i="9" s="1"/>
  <c r="AI346" i="8"/>
  <c r="AI347" i="9" s="1"/>
  <c r="AH347" i="8"/>
  <c r="AH348" i="9" s="1"/>
  <c r="AI347" i="8"/>
  <c r="AI348" i="9" s="1"/>
  <c r="AH348" i="8"/>
  <c r="AH350" i="10" s="1"/>
  <c r="AI348" i="8"/>
  <c r="AH349" i="8"/>
  <c r="AI349" i="8"/>
  <c r="AH350" i="8"/>
  <c r="AI350" i="8"/>
  <c r="AH351" i="8"/>
  <c r="AI351" i="8"/>
  <c r="AH352" i="8"/>
  <c r="AH354" i="11" s="1"/>
  <c r="AI352" i="8"/>
  <c r="AH353" i="8"/>
  <c r="AI353" i="8"/>
  <c r="AH354" i="8"/>
  <c r="AI354" i="8"/>
  <c r="AH355" i="8"/>
  <c r="AI355" i="8"/>
  <c r="AH356" i="8"/>
  <c r="AI356" i="8"/>
  <c r="AH357" i="8"/>
  <c r="AH359" i="21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21" s="1"/>
  <c r="AH364" i="8"/>
  <c r="AI364" i="8"/>
  <c r="AH365" i="8"/>
  <c r="AH367" i="11" s="1"/>
  <c r="AI365" i="8"/>
  <c r="AH366" i="8"/>
  <c r="AI366" i="8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O366" i="8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E367" i="8"/>
  <c r="AE368" i="9" s="1"/>
  <c r="AF367" i="8"/>
  <c r="AF368" i="9" s="1"/>
  <c r="AG367" i="8"/>
  <c r="AG368" i="9" s="1"/>
  <c r="A368" i="8"/>
  <c r="A369" i="9" s="1"/>
  <c r="B368" i="8"/>
  <c r="B369" i="9" s="1"/>
  <c r="C368" i="8"/>
  <c r="C369" i="9" s="1"/>
  <c r="D368" i="8"/>
  <c r="E368" i="8"/>
  <c r="F368" i="8"/>
  <c r="G368" i="8"/>
  <c r="H368" i="8"/>
  <c r="H369" i="9" s="1"/>
  <c r="I368" i="8"/>
  <c r="I369" i="9" s="1"/>
  <c r="J368" i="8"/>
  <c r="J369" i="9" s="1"/>
  <c r="K368" i="8"/>
  <c r="K369" i="9" s="1"/>
  <c r="L368" i="8"/>
  <c r="M368" i="8"/>
  <c r="M369" i="9" s="1"/>
  <c r="N368" i="8"/>
  <c r="N369" i="9" s="1"/>
  <c r="O368" i="8"/>
  <c r="O369" i="9" s="1"/>
  <c r="P368" i="8"/>
  <c r="P369" i="9" s="1"/>
  <c r="Q368" i="8"/>
  <c r="Q369" i="9" s="1"/>
  <c r="R368" i="8"/>
  <c r="R369" i="9" s="1"/>
  <c r="S368" i="8"/>
  <c r="S369" i="9" s="1"/>
  <c r="T368" i="8"/>
  <c r="T369" i="9" s="1"/>
  <c r="U368" i="8"/>
  <c r="U369" i="9" s="1"/>
  <c r="V368" i="8"/>
  <c r="V369" i="9" s="1"/>
  <c r="W368" i="8"/>
  <c r="W369" i="9" s="1"/>
  <c r="X368" i="8"/>
  <c r="X369" i="9" s="1"/>
  <c r="Y368" i="8"/>
  <c r="Y369" i="9" s="1"/>
  <c r="Z368" i="8"/>
  <c r="Z369" i="9" s="1"/>
  <c r="AA368" i="8"/>
  <c r="AA369" i="9" s="1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B370" i="9" s="1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M370" i="9" s="1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S370" i="9" s="1"/>
  <c r="T369" i="8"/>
  <c r="T370" i="9" s="1"/>
  <c r="U369" i="8"/>
  <c r="U370" i="9" s="1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A371" i="9" s="1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I371" i="9" s="1"/>
  <c r="J370" i="8"/>
  <c r="K370" i="8"/>
  <c r="L370" i="8"/>
  <c r="M370" i="8"/>
  <c r="M371" i="9" s="1"/>
  <c r="N370" i="8"/>
  <c r="N371" i="9" s="1"/>
  <c r="O370" i="8"/>
  <c r="O371" i="9" s="1"/>
  <c r="P370" i="8"/>
  <c r="P371" i="9" s="1"/>
  <c r="Q370" i="8"/>
  <c r="Q371" i="9" s="1"/>
  <c r="R370" i="8"/>
  <c r="S370" i="8"/>
  <c r="S371" i="9" s="1"/>
  <c r="T370" i="8"/>
  <c r="T371" i="9" s="1"/>
  <c r="U370" i="8"/>
  <c r="U371" i="9" s="1"/>
  <c r="V370" i="8"/>
  <c r="V371" i="9" s="1"/>
  <c r="W370" i="8"/>
  <c r="W371" i="9" s="1"/>
  <c r="X370" i="8"/>
  <c r="X371" i="9" s="1"/>
  <c r="Y370" i="8"/>
  <c r="Y371" i="9" s="1"/>
  <c r="Z370" i="8"/>
  <c r="Z371" i="9" s="1"/>
  <c r="AA370" i="8"/>
  <c r="AA371" i="9" s="1"/>
  <c r="AB370" i="8"/>
  <c r="AB371" i="9" s="1"/>
  <c r="AC370" i="8"/>
  <c r="AC371" i="9" s="1"/>
  <c r="AD370" i="8"/>
  <c r="AD371" i="9" s="1"/>
  <c r="AE370" i="8"/>
  <c r="AE371" i="9" s="1"/>
  <c r="AF370" i="8"/>
  <c r="AF371" i="9" s="1"/>
  <c r="AG370" i="8"/>
  <c r="AG371" i="9" s="1"/>
  <c r="A371" i="8"/>
  <c r="B371" i="8"/>
  <c r="C371" i="8"/>
  <c r="D371" i="8"/>
  <c r="D372" i="9" s="1"/>
  <c r="E371" i="8"/>
  <c r="E372" i="9" s="1"/>
  <c r="F371" i="8"/>
  <c r="F372" i="9" s="1"/>
  <c r="G371" i="8"/>
  <c r="H371" i="8"/>
  <c r="H372" i="9" s="1"/>
  <c r="I371" i="8"/>
  <c r="J371" i="8"/>
  <c r="K371" i="8"/>
  <c r="K372" i="9" s="1"/>
  <c r="L371" i="8"/>
  <c r="L372" i="9" s="1"/>
  <c r="M371" i="8"/>
  <c r="M372" i="9" s="1"/>
  <c r="N371" i="8"/>
  <c r="N372" i="9" s="1"/>
  <c r="O371" i="8"/>
  <c r="O372" i="9" s="1"/>
  <c r="P371" i="8"/>
  <c r="P372" i="9" s="1"/>
  <c r="Q371" i="8"/>
  <c r="Q372" i="9" s="1"/>
  <c r="R371" i="8"/>
  <c r="R372" i="9" s="1"/>
  <c r="S371" i="8"/>
  <c r="S372" i="9" s="1"/>
  <c r="T371" i="8"/>
  <c r="T372" i="9" s="1"/>
  <c r="U371" i="8"/>
  <c r="U372" i="9" s="1"/>
  <c r="V371" i="8"/>
  <c r="V372" i="9" s="1"/>
  <c r="W371" i="8"/>
  <c r="W372" i="9" s="1"/>
  <c r="X371" i="8"/>
  <c r="X372" i="9" s="1"/>
  <c r="Y371" i="8"/>
  <c r="Y372" i="9" s="1"/>
  <c r="Z371" i="8"/>
  <c r="Z372" i="9" s="1"/>
  <c r="AA371" i="8"/>
  <c r="AA372" i="9" s="1"/>
  <c r="AB371" i="8"/>
  <c r="AB372" i="9" s="1"/>
  <c r="AC371" i="8"/>
  <c r="AC372" i="9" s="1"/>
  <c r="AD371" i="8"/>
  <c r="AD372" i="9" s="1"/>
  <c r="AE371" i="8"/>
  <c r="AE372" i="9" s="1"/>
  <c r="AF371" i="8"/>
  <c r="AF372" i="9" s="1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G373" i="9" s="1"/>
  <c r="H372" i="8"/>
  <c r="I372" i="8"/>
  <c r="I373" i="9" s="1"/>
  <c r="J372" i="8"/>
  <c r="J373" i="9" s="1"/>
  <c r="K372" i="8"/>
  <c r="K373" i="9" s="1"/>
  <c r="L372" i="8"/>
  <c r="L373" i="9" s="1"/>
  <c r="M372" i="8"/>
  <c r="M373" i="9" s="1"/>
  <c r="N372" i="8"/>
  <c r="N373" i="9" s="1"/>
  <c r="O372" i="8"/>
  <c r="O373" i="9" s="1"/>
  <c r="P372" i="8"/>
  <c r="P373" i="9" s="1"/>
  <c r="Q372" i="8"/>
  <c r="Q373" i="9" s="1"/>
  <c r="R372" i="8"/>
  <c r="R373" i="9" s="1"/>
  <c r="S372" i="8"/>
  <c r="S373" i="9" s="1"/>
  <c r="T372" i="8"/>
  <c r="T373" i="9" s="1"/>
  <c r="U372" i="8"/>
  <c r="U373" i="9" s="1"/>
  <c r="V372" i="8"/>
  <c r="V373" i="9" s="1"/>
  <c r="W372" i="8"/>
  <c r="W373" i="9" s="1"/>
  <c r="X372" i="8"/>
  <c r="X373" i="9" s="1"/>
  <c r="Y372" i="8"/>
  <c r="Y373" i="9" s="1"/>
  <c r="Z372" i="8"/>
  <c r="Z373" i="9" s="1"/>
  <c r="AA372" i="8"/>
  <c r="AA373" i="9" s="1"/>
  <c r="AB372" i="8"/>
  <c r="AB373" i="9" s="1"/>
  <c r="AC372" i="8"/>
  <c r="AC373" i="9" s="1"/>
  <c r="AD372" i="8"/>
  <c r="AE372" i="8"/>
  <c r="AE373" i="9" s="1"/>
  <c r="AF372" i="8"/>
  <c r="AF373" i="9" s="1"/>
  <c r="AG372" i="8"/>
  <c r="A373" i="8"/>
  <c r="B373" i="8"/>
  <c r="B374" i="9" s="1"/>
  <c r="C373" i="8"/>
  <c r="C374" i="9" s="1"/>
  <c r="D373" i="8"/>
  <c r="D374" i="9" s="1"/>
  <c r="E373" i="8"/>
  <c r="E374" i="9" s="1"/>
  <c r="F373" i="8"/>
  <c r="F374" i="9" s="1"/>
  <c r="G373" i="8"/>
  <c r="G374" i="9" s="1"/>
  <c r="H373" i="8"/>
  <c r="H374" i="9" s="1"/>
  <c r="I373" i="8"/>
  <c r="I374" i="9" s="1"/>
  <c r="J373" i="8"/>
  <c r="J374" i="9" s="1"/>
  <c r="K373" i="8"/>
  <c r="K374" i="9" s="1"/>
  <c r="L373" i="8"/>
  <c r="L374" i="9" s="1"/>
  <c r="M373" i="8"/>
  <c r="M374" i="9" s="1"/>
  <c r="N373" i="8"/>
  <c r="N374" i="9" s="1"/>
  <c r="O373" i="8"/>
  <c r="O374" i="9" s="1"/>
  <c r="P373" i="8"/>
  <c r="P374" i="9" s="1"/>
  <c r="Q373" i="8"/>
  <c r="Q374" i="9" s="1"/>
  <c r="R373" i="8"/>
  <c r="R374" i="9" s="1"/>
  <c r="S373" i="8"/>
  <c r="S374" i="9" s="1"/>
  <c r="T373" i="8"/>
  <c r="T374" i="9" s="1"/>
  <c r="U373" i="8"/>
  <c r="U374" i="9" s="1"/>
  <c r="V373" i="8"/>
  <c r="V374" i="9" s="1"/>
  <c r="W373" i="8"/>
  <c r="X373" i="8"/>
  <c r="X374" i="9" s="1"/>
  <c r="Y373" i="8"/>
  <c r="Z373" i="8"/>
  <c r="Z374" i="9" s="1"/>
  <c r="AA373" i="8"/>
  <c r="AA374" i="9" s="1"/>
  <c r="AB373" i="8"/>
  <c r="AB374" i="9" s="1"/>
  <c r="AC373" i="8"/>
  <c r="AC374" i="9" s="1"/>
  <c r="AD373" i="8"/>
  <c r="AD374" i="9" s="1"/>
  <c r="AE373" i="8"/>
  <c r="AF373" i="8"/>
  <c r="AF374" i="9" s="1"/>
  <c r="AG373" i="8"/>
  <c r="AG374" i="9" s="1"/>
  <c r="A374" i="8"/>
  <c r="A375" i="9" s="1"/>
  <c r="B374" i="8"/>
  <c r="B375" i="9" s="1"/>
  <c r="C374" i="8"/>
  <c r="C375" i="9" s="1"/>
  <c r="D374" i="8"/>
  <c r="D375" i="9" s="1"/>
  <c r="E374" i="8"/>
  <c r="E375" i="9" s="1"/>
  <c r="F374" i="8"/>
  <c r="F375" i="9" s="1"/>
  <c r="G374" i="8"/>
  <c r="G375" i="9" s="1"/>
  <c r="H374" i="8"/>
  <c r="H375" i="9" s="1"/>
  <c r="I374" i="8"/>
  <c r="I375" i="9" s="1"/>
  <c r="J374" i="8"/>
  <c r="J375" i="9" s="1"/>
  <c r="K374" i="8"/>
  <c r="K375" i="9" s="1"/>
  <c r="L374" i="8"/>
  <c r="L375" i="9" s="1"/>
  <c r="M374" i="8"/>
  <c r="M375" i="9" s="1"/>
  <c r="N374" i="8"/>
  <c r="O374" i="8"/>
  <c r="P374" i="8"/>
  <c r="P375" i="9" s="1"/>
  <c r="Q374" i="8"/>
  <c r="Q375" i="9" s="1"/>
  <c r="R374" i="8"/>
  <c r="R375" i="9" s="1"/>
  <c r="S374" i="8"/>
  <c r="S375" i="9" s="1"/>
  <c r="T374" i="8"/>
  <c r="T375" i="9" s="1"/>
  <c r="U374" i="8"/>
  <c r="U375" i="9" s="1"/>
  <c r="V374" i="8"/>
  <c r="V375" i="9" s="1"/>
  <c r="W374" i="8"/>
  <c r="W375" i="9" s="1"/>
  <c r="X374" i="8"/>
  <c r="X375" i="9" s="1"/>
  <c r="Y374" i="8"/>
  <c r="Y375" i="9" s="1"/>
  <c r="Z374" i="8"/>
  <c r="Z375" i="9" s="1"/>
  <c r="AA374" i="8"/>
  <c r="AA375" i="9" s="1"/>
  <c r="AB374" i="8"/>
  <c r="AB375" i="9" s="1"/>
  <c r="AC374" i="8"/>
  <c r="AC375" i="9" s="1"/>
  <c r="AD374" i="8"/>
  <c r="AD375" i="9" s="1"/>
  <c r="AE374" i="8"/>
  <c r="AE375" i="9" s="1"/>
  <c r="AF374" i="8"/>
  <c r="AF375" i="9" s="1"/>
  <c r="AG374" i="8"/>
  <c r="AG375" i="9" s="1"/>
  <c r="G369" i="9"/>
  <c r="N367" i="9"/>
  <c r="O367" i="9"/>
  <c r="P367" i="9"/>
  <c r="S367" i="9"/>
  <c r="M368" i="9"/>
  <c r="N368" i="9"/>
  <c r="U368" i="9"/>
  <c r="AD368" i="9"/>
  <c r="F369" i="9"/>
  <c r="L369" i="9"/>
  <c r="AB369" i="9"/>
  <c r="AD369" i="9"/>
  <c r="L370" i="9"/>
  <c r="J371" i="9"/>
  <c r="K371" i="9"/>
  <c r="L371" i="9"/>
  <c r="R371" i="9"/>
  <c r="G372" i="9"/>
  <c r="I372" i="9"/>
  <c r="J372" i="9"/>
  <c r="AG372" i="9"/>
  <c r="H373" i="9"/>
  <c r="AD373" i="9"/>
  <c r="AG373" i="9"/>
  <c r="W374" i="9"/>
  <c r="Y374" i="9"/>
  <c r="AE374" i="9"/>
  <c r="N375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D369" i="9"/>
  <c r="E369" i="9"/>
  <c r="C370" i="9"/>
  <c r="D370" i="9"/>
  <c r="E370" i="9"/>
  <c r="B371" i="9"/>
  <c r="C371" i="9"/>
  <c r="A372" i="9"/>
  <c r="B372" i="9"/>
  <c r="C372" i="9"/>
  <c r="A373" i="9"/>
  <c r="A374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D368" i="9"/>
  <c r="E368" i="9"/>
  <c r="AC369" i="11"/>
  <c r="AD369" i="21"/>
  <c r="AE369" i="21"/>
  <c r="O368" i="10"/>
  <c r="U369" i="11"/>
  <c r="V369" i="11"/>
  <c r="X369" i="11"/>
  <c r="N368" i="10"/>
  <c r="E369" i="11"/>
  <c r="F369" i="11"/>
  <c r="A368" i="10"/>
  <c r="AH1" i="8"/>
  <c r="AI1" i="8"/>
  <c r="AQ3" i="2"/>
  <c r="AR3" i="2"/>
  <c r="L369" i="11" l="1"/>
  <c r="E368" i="11"/>
  <c r="H368" i="11"/>
  <c r="G369" i="21"/>
  <c r="V367" i="9"/>
  <c r="W369" i="21"/>
  <c r="O368" i="9"/>
  <c r="N256" i="2"/>
  <c r="N248" i="2"/>
  <c r="G368" i="10"/>
  <c r="W368" i="10"/>
  <c r="AF368" i="10"/>
  <c r="F368" i="10"/>
  <c r="AD368" i="10"/>
  <c r="Q368" i="10"/>
  <c r="AH251" i="21"/>
  <c r="AH250" i="9"/>
  <c r="AI114" i="10"/>
  <c r="AI113" i="9"/>
  <c r="I368" i="11"/>
  <c r="AF369" i="11"/>
  <c r="AI250" i="10"/>
  <c r="AI249" i="9"/>
  <c r="AI191" i="21"/>
  <c r="AI190" i="9"/>
  <c r="AH114" i="10"/>
  <c r="AH113" i="9"/>
  <c r="N370" i="2"/>
  <c r="N346" i="2"/>
  <c r="N338" i="2"/>
  <c r="N314" i="2"/>
  <c r="N298" i="2"/>
  <c r="N290" i="2"/>
  <c r="N274" i="2"/>
  <c r="N258" i="2"/>
  <c r="N250" i="2"/>
  <c r="A368" i="9"/>
  <c r="AI283" i="10"/>
  <c r="AI282" i="9"/>
  <c r="AH191" i="10"/>
  <c r="AH190" i="9"/>
  <c r="AH128" i="21"/>
  <c r="AH127" i="9"/>
  <c r="AI88" i="10"/>
  <c r="AI87" i="9"/>
  <c r="N369" i="2"/>
  <c r="N353" i="2"/>
  <c r="H369" i="11"/>
  <c r="Y368" i="10"/>
  <c r="AH305" i="21"/>
  <c r="AH304" i="9"/>
  <c r="AH90" i="10"/>
  <c r="AH89" i="9"/>
  <c r="C367" i="9"/>
  <c r="AI304" i="10"/>
  <c r="AI303" i="9"/>
  <c r="AI91" i="10"/>
  <c r="AI90" i="9"/>
  <c r="J368" i="10"/>
  <c r="AG368" i="11"/>
  <c r="AH263" i="11"/>
  <c r="AH262" i="9"/>
  <c r="N372" i="2"/>
  <c r="N364" i="2"/>
  <c r="N348" i="2"/>
  <c r="N340" i="2"/>
  <c r="N332" i="2"/>
  <c r="N316" i="2"/>
  <c r="N308" i="2"/>
  <c r="B368" i="10"/>
  <c r="AH311" i="11"/>
  <c r="AH310" i="9"/>
  <c r="AH252" i="10"/>
  <c r="AH251" i="9"/>
  <c r="AI115" i="10"/>
  <c r="AI114" i="9"/>
  <c r="AI3" i="11"/>
  <c r="A31" i="14" s="1"/>
  <c r="AI2" i="9"/>
  <c r="AH3" i="11"/>
  <c r="A30" i="14" s="1"/>
  <c r="AH2" i="9"/>
  <c r="D25" i="24"/>
  <c r="C26" i="24"/>
  <c r="D26" i="24" s="1"/>
  <c r="N257" i="2"/>
  <c r="N356" i="2"/>
  <c r="N354" i="2"/>
  <c r="N330" i="2"/>
  <c r="N322" i="2"/>
  <c r="N361" i="2"/>
  <c r="N265" i="2"/>
  <c r="N362" i="2"/>
  <c r="N266" i="2"/>
  <c r="N264" i="2"/>
  <c r="N300" i="2"/>
  <c r="N276" i="2"/>
  <c r="N268" i="2"/>
  <c r="N260" i="2"/>
  <c r="P369" i="11"/>
  <c r="N360" i="2"/>
  <c r="N336" i="2"/>
  <c r="N312" i="2"/>
  <c r="N321" i="2"/>
  <c r="N368" i="2"/>
  <c r="N275" i="2"/>
  <c r="N347" i="2"/>
  <c r="N345" i="2"/>
  <c r="N323" i="2"/>
  <c r="N320" i="2"/>
  <c r="N305" i="2"/>
  <c r="N288" i="2"/>
  <c r="N273" i="2"/>
  <c r="N280" i="2"/>
  <c r="N251" i="2"/>
  <c r="N344" i="2"/>
  <c r="N337" i="2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10"/>
  <c r="AI359" i="21"/>
  <c r="AI351" i="11"/>
  <c r="AI351" i="21"/>
  <c r="AI351" i="10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I111" i="11"/>
  <c r="AI111" i="21"/>
  <c r="AI79" i="11"/>
  <c r="AI79" i="21"/>
  <c r="AI364" i="11"/>
  <c r="AI364" i="21"/>
  <c r="AI356" i="11"/>
  <c r="AI356" i="21"/>
  <c r="AI348" i="11"/>
  <c r="AI348" i="10"/>
  <c r="AI348" i="21"/>
  <c r="AI340" i="11"/>
  <c r="AI340" i="21"/>
  <c r="AI332" i="11"/>
  <c r="AI332" i="10"/>
  <c r="AI332" i="21"/>
  <c r="AI324" i="11"/>
  <c r="AI324" i="10"/>
  <c r="AI324" i="21"/>
  <c r="AI316" i="11"/>
  <c r="AI316" i="21"/>
  <c r="AI308" i="11"/>
  <c r="AI308" i="21"/>
  <c r="AI300" i="11"/>
  <c r="AI300" i="21"/>
  <c r="AI292" i="11"/>
  <c r="AI292" i="21"/>
  <c r="AI284" i="11"/>
  <c r="AI284" i="10"/>
  <c r="AI284" i="21"/>
  <c r="AI276" i="11"/>
  <c r="AI276" i="21"/>
  <c r="AI268" i="11"/>
  <c r="AI268" i="10"/>
  <c r="AI268" i="21"/>
  <c r="AI260" i="11"/>
  <c r="AI260" i="21"/>
  <c r="AI252" i="11"/>
  <c r="AI252" i="10"/>
  <c r="AI252" i="21"/>
  <c r="AI244" i="11"/>
  <c r="AI244" i="10"/>
  <c r="AI244" i="21"/>
  <c r="AI236" i="11"/>
  <c r="AI236" i="10"/>
  <c r="AI236" i="21"/>
  <c r="AI228" i="11"/>
  <c r="AI228" i="21"/>
  <c r="AI228" i="10"/>
  <c r="AI220" i="11"/>
  <c r="AI220" i="10"/>
  <c r="AI220" i="21"/>
  <c r="AI212" i="11"/>
  <c r="AI212" i="10"/>
  <c r="AI212" i="21"/>
  <c r="AI204" i="21"/>
  <c r="AI204" i="11"/>
  <c r="AI204" i="10"/>
  <c r="AI196" i="21"/>
  <c r="AI196" i="11"/>
  <c r="AI196" i="10"/>
  <c r="AI188" i="11"/>
  <c r="AI188" i="21"/>
  <c r="AI188" i="10"/>
  <c r="AI180" i="21"/>
  <c r="AI180" i="11"/>
  <c r="AI172" i="21"/>
  <c r="AI172" i="11"/>
  <c r="AI172" i="10"/>
  <c r="AI164" i="21"/>
  <c r="AI164" i="10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20" i="10"/>
  <c r="AI63" i="10"/>
  <c r="AI79" i="10"/>
  <c r="AI95" i="21"/>
  <c r="AI303" i="11"/>
  <c r="AI303" i="10"/>
  <c r="AI303" i="21"/>
  <c r="AI175" i="11"/>
  <c r="AI175" i="21"/>
  <c r="AI119" i="11"/>
  <c r="AI119" i="21"/>
  <c r="AI127" i="21"/>
  <c r="AA368" i="21"/>
  <c r="AI369" i="11"/>
  <c r="AI369" i="21"/>
  <c r="AI361" i="21"/>
  <c r="AI361" i="10"/>
  <c r="AI361" i="11"/>
  <c r="AI353" i="21"/>
  <c r="AI353" i="11"/>
  <c r="AI345" i="21"/>
  <c r="AI345" i="10"/>
  <c r="AI345" i="11"/>
  <c r="AI337" i="11"/>
  <c r="AI337" i="21"/>
  <c r="AI337" i="10"/>
  <c r="AI329" i="11"/>
  <c r="AI329" i="21"/>
  <c r="AI329" i="10"/>
  <c r="AI321" i="11"/>
  <c r="AI321" i="21"/>
  <c r="AI313" i="11"/>
  <c r="AI313" i="21"/>
  <c r="AI305" i="11"/>
  <c r="AI305" i="21"/>
  <c r="AI305" i="10"/>
  <c r="AI297" i="11"/>
  <c r="AI297" i="21"/>
  <c r="AI289" i="11"/>
  <c r="AI289" i="21"/>
  <c r="AI289" i="10"/>
  <c r="AI281" i="11"/>
  <c r="AI281" i="21"/>
  <c r="AI273" i="11"/>
  <c r="AI273" i="21"/>
  <c r="AI273" i="10"/>
  <c r="AI265" i="11"/>
  <c r="AI265" i="21"/>
  <c r="AI265" i="10"/>
  <c r="AI257" i="11"/>
  <c r="AI257" i="21"/>
  <c r="AI249" i="11"/>
  <c r="AI249" i="21"/>
  <c r="AI241" i="11"/>
  <c r="AI241" i="21"/>
  <c r="AI241" i="10"/>
  <c r="AI233" i="11"/>
  <c r="AI233" i="21"/>
  <c r="AI225" i="11"/>
  <c r="AI225" i="21"/>
  <c r="AI225" i="10"/>
  <c r="AI217" i="11"/>
  <c r="AI217" i="21"/>
  <c r="AI217" i="10"/>
  <c r="AI209" i="11"/>
  <c r="AI209" i="21"/>
  <c r="AI209" i="10"/>
  <c r="AI201" i="11"/>
  <c r="AI201" i="21"/>
  <c r="AI201" i="10"/>
  <c r="AI193" i="11"/>
  <c r="AI193" i="21"/>
  <c r="AI193" i="10"/>
  <c r="AI185" i="11"/>
  <c r="AI185" i="21"/>
  <c r="AI185" i="10"/>
  <c r="AI177" i="11"/>
  <c r="AI177" i="21"/>
  <c r="AI169" i="11"/>
  <c r="AI169" i="21"/>
  <c r="AI169" i="10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41" i="10"/>
  <c r="AI49" i="10"/>
  <c r="AI60" i="10"/>
  <c r="AI97" i="10"/>
  <c r="AI292" i="10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8" i="10"/>
  <c r="AI350" i="11"/>
  <c r="AI350" i="21"/>
  <c r="AI342" i="11"/>
  <c r="AI342" i="21"/>
  <c r="AI334" i="11"/>
  <c r="AI334" i="21"/>
  <c r="AI326" i="11"/>
  <c r="AI326" i="21"/>
  <c r="AI318" i="11"/>
  <c r="AI318" i="21"/>
  <c r="AI318" i="10"/>
  <c r="AI310" i="11"/>
  <c r="AI310" i="21"/>
  <c r="AI302" i="11"/>
  <c r="AI302" i="21"/>
  <c r="AI302" i="10"/>
  <c r="AI294" i="11"/>
  <c r="AI294" i="21"/>
  <c r="AI286" i="11"/>
  <c r="AI286" i="10"/>
  <c r="AI286" i="21"/>
  <c r="AI278" i="11"/>
  <c r="AI278" i="21"/>
  <c r="AI270" i="11"/>
  <c r="AI270" i="21"/>
  <c r="AI262" i="11"/>
  <c r="AI262" i="21"/>
  <c r="AI262" i="10"/>
  <c r="AI254" i="11"/>
  <c r="AI254" i="21"/>
  <c r="AI246" i="11"/>
  <c r="AI246" i="21"/>
  <c r="AI238" i="11"/>
  <c r="AI238" i="10"/>
  <c r="AI238" i="21"/>
  <c r="AI230" i="11"/>
  <c r="AI230" i="21"/>
  <c r="AI230" i="10"/>
  <c r="AI222" i="11"/>
  <c r="AI222" i="10"/>
  <c r="AI222" i="21"/>
  <c r="AI214" i="11"/>
  <c r="AI214" i="10"/>
  <c r="AI214" i="21"/>
  <c r="AI206" i="11"/>
  <c r="AI206" i="21"/>
  <c r="AI198" i="11"/>
  <c r="AI198" i="21"/>
  <c r="AI198" i="10"/>
  <c r="AI190" i="11"/>
  <c r="AI190" i="21"/>
  <c r="AI190" i="10"/>
  <c r="AI182" i="11"/>
  <c r="AI182" i="21"/>
  <c r="AI174" i="11"/>
  <c r="AI174" i="21"/>
  <c r="AI174" i="10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68" i="10"/>
  <c r="AI76" i="10"/>
  <c r="AI92" i="10"/>
  <c r="AI121" i="10"/>
  <c r="AI150" i="10"/>
  <c r="AI158" i="10"/>
  <c r="AI350" i="10"/>
  <c r="AI31" i="21"/>
  <c r="AI335" i="11"/>
  <c r="AI335" i="21"/>
  <c r="AI335" i="10"/>
  <c r="AI295" i="11"/>
  <c r="AI295" i="21"/>
  <c r="AI239" i="11"/>
  <c r="AI239" i="21"/>
  <c r="AI239" i="10"/>
  <c r="AI47" i="11"/>
  <c r="AI47" i="21"/>
  <c r="AI15" i="11"/>
  <c r="AI15" i="21"/>
  <c r="B368" i="9"/>
  <c r="R368" i="9"/>
  <c r="AI363" i="11"/>
  <c r="AI363" i="21"/>
  <c r="AI355" i="11"/>
  <c r="AI355" i="10"/>
  <c r="AI355" i="21"/>
  <c r="AI347" i="11"/>
  <c r="AI347" i="21"/>
  <c r="AI347" i="10"/>
  <c r="AI339" i="11"/>
  <c r="AI339" i="21"/>
  <c r="AI339" i="10"/>
  <c r="AI331" i="11"/>
  <c r="AI331" i="21"/>
  <c r="AI331" i="10"/>
  <c r="AI323" i="11"/>
  <c r="AI323" i="21"/>
  <c r="AI323" i="10"/>
  <c r="AI315" i="11"/>
  <c r="AI315" i="10"/>
  <c r="AI315" i="21"/>
  <c r="AI307" i="11"/>
  <c r="AI307" i="21"/>
  <c r="AI299" i="11"/>
  <c r="AI299" i="21"/>
  <c r="AI291" i="11"/>
  <c r="AI291" i="10"/>
  <c r="AI291" i="21"/>
  <c r="AI283" i="11"/>
  <c r="AI283" i="21"/>
  <c r="AI275" i="11"/>
  <c r="AI275" i="21"/>
  <c r="AI267" i="11"/>
  <c r="AI267" i="10"/>
  <c r="AI267" i="21"/>
  <c r="AI259" i="11"/>
  <c r="AI259" i="21"/>
  <c r="AI251" i="11"/>
  <c r="AI251" i="21"/>
  <c r="AI251" i="10"/>
  <c r="AI243" i="11"/>
  <c r="AI243" i="21"/>
  <c r="AI243" i="10"/>
  <c r="AI235" i="11"/>
  <c r="AI235" i="21"/>
  <c r="AI235" i="10"/>
  <c r="AI227" i="11"/>
  <c r="AI227" i="21"/>
  <c r="AI219" i="11"/>
  <c r="AI219" i="21"/>
  <c r="AI219" i="10"/>
  <c r="AI211" i="11"/>
  <c r="AI211" i="21"/>
  <c r="AI211" i="10"/>
  <c r="AI203" i="11"/>
  <c r="AI203" i="21"/>
  <c r="AI203" i="10"/>
  <c r="AI195" i="11"/>
  <c r="AI195" i="21"/>
  <c r="AI195" i="10"/>
  <c r="AI187" i="11"/>
  <c r="AI187" i="10"/>
  <c r="AI187" i="21"/>
  <c r="AI179" i="11"/>
  <c r="AI179" i="10"/>
  <c r="AI179" i="21"/>
  <c r="AI171" i="11"/>
  <c r="AI171" i="21"/>
  <c r="AI171" i="10"/>
  <c r="AI163" i="11"/>
  <c r="AI163" i="21"/>
  <c r="AI163" i="10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8" i="10"/>
  <c r="AI46" i="10"/>
  <c r="AH61" i="10"/>
  <c r="AI108" i="10"/>
  <c r="AI316" i="10"/>
  <c r="AI356" i="10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10"/>
  <c r="AI352" i="21"/>
  <c r="AI344" i="11"/>
  <c r="AI344" i="10"/>
  <c r="AI344" i="21"/>
  <c r="AI336" i="11"/>
  <c r="AI336" i="10"/>
  <c r="AI336" i="21"/>
  <c r="AI328" i="11"/>
  <c r="AI328" i="10"/>
  <c r="AI328" i="21"/>
  <c r="AI320" i="11"/>
  <c r="AI320" i="10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10"/>
  <c r="AI272" i="21"/>
  <c r="AI264" i="11"/>
  <c r="AI264" i="21"/>
  <c r="AI256" i="11"/>
  <c r="AI256" i="21"/>
  <c r="AI248" i="11"/>
  <c r="AI248" i="21"/>
  <c r="AI240" i="11"/>
  <c r="AI240" i="10"/>
  <c r="AI240" i="21"/>
  <c r="AI232" i="11"/>
  <c r="AI232" i="21"/>
  <c r="AI224" i="11"/>
  <c r="AI224" i="10"/>
  <c r="AI224" i="21"/>
  <c r="AI216" i="11"/>
  <c r="AI216" i="10"/>
  <c r="AI216" i="21"/>
  <c r="AI208" i="11"/>
  <c r="AI208" i="21"/>
  <c r="AI208" i="10"/>
  <c r="AI200" i="21"/>
  <c r="AI200" i="11"/>
  <c r="AI200" i="10"/>
  <c r="AI192" i="21"/>
  <c r="AI192" i="11"/>
  <c r="AI192" i="10"/>
  <c r="AI184" i="21"/>
  <c r="AI184" i="11"/>
  <c r="AI184" i="10"/>
  <c r="AI176" i="11"/>
  <c r="AI176" i="21"/>
  <c r="AI168" i="21"/>
  <c r="AI168" i="11"/>
  <c r="AI168" i="10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17" i="10"/>
  <c r="AI27" i="10"/>
  <c r="AI35" i="10"/>
  <c r="AI65" i="10"/>
  <c r="AI73" i="10"/>
  <c r="AI81" i="10"/>
  <c r="AI89" i="10"/>
  <c r="AH93" i="10"/>
  <c r="AI118" i="10"/>
  <c r="AI147" i="10"/>
  <c r="AI155" i="10"/>
  <c r="AI159" i="10"/>
  <c r="AI257" i="10"/>
  <c r="AI360" i="10"/>
  <c r="AI311" i="11"/>
  <c r="AI311" i="21"/>
  <c r="AI167" i="11"/>
  <c r="AI167" i="21"/>
  <c r="AI167" i="10"/>
  <c r="AI135" i="11"/>
  <c r="AI135" i="21"/>
  <c r="AI55" i="11"/>
  <c r="AI55" i="21"/>
  <c r="AI39" i="11"/>
  <c r="AI39" i="21"/>
  <c r="K368" i="21"/>
  <c r="AI357" i="21"/>
  <c r="AI357" i="11"/>
  <c r="AI357" i="10"/>
  <c r="AI349" i="21"/>
  <c r="AI349" i="10"/>
  <c r="AI349" i="11"/>
  <c r="AI341" i="11"/>
  <c r="AI341" i="21"/>
  <c r="AI333" i="11"/>
  <c r="AI333" i="21"/>
  <c r="AI333" i="10"/>
  <c r="AI325" i="11"/>
  <c r="AI325" i="21"/>
  <c r="AI325" i="10"/>
  <c r="AI317" i="11"/>
  <c r="AI317" i="21"/>
  <c r="AI317" i="10"/>
  <c r="AI309" i="11"/>
  <c r="AI309" i="21"/>
  <c r="AI301" i="11"/>
  <c r="AI301" i="21"/>
  <c r="AI293" i="11"/>
  <c r="AI293" i="21"/>
  <c r="AI293" i="10"/>
  <c r="AI285" i="11"/>
  <c r="AI285" i="21"/>
  <c r="AI285" i="10"/>
  <c r="AI277" i="11"/>
  <c r="AI277" i="21"/>
  <c r="AI269" i="11"/>
  <c r="AI269" i="21"/>
  <c r="AI261" i="11"/>
  <c r="AI261" i="21"/>
  <c r="AI253" i="11"/>
  <c r="AI253" i="21"/>
  <c r="AI253" i="10"/>
  <c r="AI245" i="11"/>
  <c r="AI245" i="21"/>
  <c r="AI245" i="10"/>
  <c r="AI237" i="11"/>
  <c r="AI237" i="21"/>
  <c r="AI229" i="11"/>
  <c r="AI229" i="21"/>
  <c r="AI229" i="10"/>
  <c r="AI221" i="11"/>
  <c r="AI221" i="21"/>
  <c r="AI221" i="10"/>
  <c r="AI213" i="11"/>
  <c r="AI213" i="21"/>
  <c r="AI213" i="10"/>
  <c r="AI205" i="11"/>
  <c r="AI205" i="21"/>
  <c r="AI205" i="10"/>
  <c r="AI197" i="11"/>
  <c r="AI197" i="21"/>
  <c r="AI197" i="10"/>
  <c r="AI189" i="11"/>
  <c r="AI189" i="21"/>
  <c r="AI189" i="10"/>
  <c r="AI181" i="11"/>
  <c r="AI181" i="21"/>
  <c r="AI173" i="11"/>
  <c r="AI173" i="21"/>
  <c r="AI173" i="10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39" i="10"/>
  <c r="AI47" i="10"/>
  <c r="AI51" i="10"/>
  <c r="AI93" i="10"/>
  <c r="AI105" i="10"/>
  <c r="AI264" i="10"/>
  <c r="AI326" i="10"/>
  <c r="AI223" i="11"/>
  <c r="AI223" i="21"/>
  <c r="AI223" i="10"/>
  <c r="AI199" i="11"/>
  <c r="AI199" i="21"/>
  <c r="AI199" i="10"/>
  <c r="AI191" i="11"/>
  <c r="AI191" i="10"/>
  <c r="AI151" i="11"/>
  <c r="AI151" i="21"/>
  <c r="AI87" i="11"/>
  <c r="AI87" i="21"/>
  <c r="AI71" i="11"/>
  <c r="AI71" i="21"/>
  <c r="AI362" i="11"/>
  <c r="AI362" i="21"/>
  <c r="AI362" i="10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306" i="10"/>
  <c r="AI298" i="11"/>
  <c r="AI298" i="21"/>
  <c r="AI290" i="11"/>
  <c r="AI290" i="21"/>
  <c r="AI290" i="10"/>
  <c r="AI282" i="11"/>
  <c r="AI282" i="10"/>
  <c r="AI282" i="21"/>
  <c r="AI274" i="11"/>
  <c r="AI274" i="21"/>
  <c r="AI266" i="11"/>
  <c r="AI266" i="21"/>
  <c r="AI258" i="11"/>
  <c r="AI258" i="21"/>
  <c r="AI258" i="10"/>
  <c r="AI250" i="11"/>
  <c r="AI250" i="21"/>
  <c r="AH245" i="11"/>
  <c r="AH245" i="10"/>
  <c r="AI242" i="11"/>
  <c r="AI242" i="10"/>
  <c r="AI242" i="21"/>
  <c r="AI234" i="11"/>
  <c r="AI234" i="21"/>
  <c r="AI234" i="10"/>
  <c r="AI226" i="11"/>
  <c r="AI226" i="10"/>
  <c r="AI226" i="21"/>
  <c r="AI218" i="11"/>
  <c r="AI218" i="10"/>
  <c r="AI218" i="21"/>
  <c r="AI210" i="11"/>
  <c r="AI210" i="21"/>
  <c r="AI210" i="10"/>
  <c r="AI202" i="11"/>
  <c r="AI202" i="21"/>
  <c r="AI202" i="10"/>
  <c r="AI194" i="11"/>
  <c r="AI194" i="21"/>
  <c r="AI194" i="10"/>
  <c r="AI186" i="11"/>
  <c r="AI186" i="21"/>
  <c r="AI186" i="10"/>
  <c r="AI178" i="11"/>
  <c r="AI178" i="21"/>
  <c r="AI170" i="11"/>
  <c r="AI170" i="21"/>
  <c r="AI170" i="10"/>
  <c r="AI162" i="11"/>
  <c r="AI162" i="21"/>
  <c r="AI162" i="10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2" i="10"/>
  <c r="AI18" i="10"/>
  <c r="AI32" i="10"/>
  <c r="AI36" i="10"/>
  <c r="AI62" i="10"/>
  <c r="AI66" i="10"/>
  <c r="AI70" i="10"/>
  <c r="AI74" i="10"/>
  <c r="AI78" i="10"/>
  <c r="AI82" i="10"/>
  <c r="AI90" i="10"/>
  <c r="AI119" i="10"/>
  <c r="AI123" i="10"/>
  <c r="AI148" i="10"/>
  <c r="AI152" i="10"/>
  <c r="AI156" i="10"/>
  <c r="AI160" i="10"/>
  <c r="AI269" i="10"/>
  <c r="AI330" i="10"/>
  <c r="AI159" i="2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I2" i="21" l="1"/>
  <c r="AB2" i="2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M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L2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K2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I2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X2" i="21"/>
  <c r="P2" i="21"/>
  <c r="H2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AF249" i="11"/>
  <c r="AF249" i="21"/>
  <c r="W2" i="21"/>
  <c r="O2" i="21"/>
  <c r="G2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N2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I2" i="10" l="1"/>
  <c r="AI2" i="11"/>
  <c r="AH2" i="11"/>
  <c r="AD2" i="10"/>
  <c r="AE2" i="10"/>
  <c r="AF2" i="10"/>
  <c r="AG2" i="10"/>
  <c r="AH2" i="10"/>
  <c r="W1" i="9"/>
  <c r="AG2" i="21"/>
  <c r="D1" i="11"/>
  <c r="F2" i="10"/>
  <c r="C2" i="14" s="1"/>
  <c r="O2" i="11"/>
  <c r="D1" i="10"/>
  <c r="AE2" i="21"/>
  <c r="AF2" i="21"/>
  <c r="AB2" i="10"/>
  <c r="AC2" i="10"/>
  <c r="AA2" i="10"/>
  <c r="K2" i="10"/>
  <c r="AG2" i="11"/>
  <c r="Z2" i="10"/>
  <c r="X2" i="10"/>
  <c r="Y2" i="10"/>
  <c r="W2" i="10"/>
  <c r="V2" i="10"/>
  <c r="U2" i="10"/>
  <c r="T2" i="10"/>
  <c r="R2" i="11"/>
  <c r="R2" i="10"/>
  <c r="Q2" i="10"/>
  <c r="S2" i="10"/>
  <c r="P2" i="10"/>
  <c r="J2" i="10"/>
  <c r="O2" i="10"/>
  <c r="N2" i="10"/>
  <c r="M2" i="10"/>
  <c r="L2" i="10"/>
  <c r="P2" i="11"/>
  <c r="AB2" i="11"/>
  <c r="V2" i="11"/>
  <c r="G2" i="11"/>
  <c r="Q2" i="11"/>
  <c r="K2" i="11"/>
  <c r="AA2" i="11"/>
  <c r="L2" i="11"/>
  <c r="AC2" i="11"/>
  <c r="F2" i="11"/>
  <c r="B2" i="14" s="1"/>
  <c r="U2" i="11"/>
  <c r="AE2" i="11"/>
  <c r="AF2" i="11"/>
  <c r="X2" i="11"/>
  <c r="AD2" i="11"/>
  <c r="Y2" i="11"/>
  <c r="Z2" i="11"/>
  <c r="S2" i="11"/>
  <c r="M2" i="11"/>
  <c r="H2" i="11"/>
  <c r="T2" i="11"/>
  <c r="N2" i="11"/>
  <c r="I2" i="11"/>
  <c r="J2" i="11"/>
  <c r="W2" i="11"/>
  <c r="I2" i="10"/>
  <c r="H2" i="10"/>
  <c r="G2" i="10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2" i="14" l="1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<sst xmlns="http://schemas.openxmlformats.org/spreadsheetml/2006/main" count="2840" uniqueCount="1364">
  <si>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</si>
  <si>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</si>
  <si>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</si>
  <si>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</si>
  <si>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</si>
  <si>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</si>
  <si>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</si>
  <si>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</si>
  <si>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</si>
  <si>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</si>
  <si>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</si>
  <si>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</si>
  <si>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</si>
  <si>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</si>
  <si>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</si>
  <si>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</si>
  <si>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</si>
  <si>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</si>
  <si>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</si>
  <si>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</si>
  <si>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</si>
  <si>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</si>
  <si>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</si>
  <si>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</si>
  <si>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</si>
  <si>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</si>
  <si>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</si>
  <si>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</si>
  <si>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</si>
  <si>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</si>
  <si>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</si>
  <si>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</si>
  <si>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</si>
  <si>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</si>
  <si>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</si>
  <si>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</si>
  <si>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</si>
  <si>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</si>
  <si>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</si>
  <si>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</si>
  <si>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</si>
  <si>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</si>
  <si>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</si>
  <si>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</si>
  <si>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</si>
  <si>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</si>
  <si>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</si>
  <si>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</si>
  <si>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</si>
  <si>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</si>
  <si>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</si>
  <si>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</si>
  <si>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</si>
  <si>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</si>
  <si>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</si>
  <si>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</si>
  <si>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</si>
  <si>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</si>
  <si>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</si>
  <si>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</si>
  <si>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</si>
  <si>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</si>
  <si>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</si>
  <si>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</si>
  <si>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</si>
  <si>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</si>
  <si>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</si>
  <si>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</si>
  <si>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</si>
  <si>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</si>
  <si>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</si>
  <si>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</si>
  <si>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</si>
  <si>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</si>
  <si>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</si>
  <si>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</si>
  <si>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</si>
  <si>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</si>
  <si>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</si>
  <si>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</si>
  <si>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</si>
  <si>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</si>
  <si>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</si>
  <si>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</si>
  <si>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</si>
  <si>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</si>
  <si>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</si>
  <si>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</si>
  <si>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</si>
  <si>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</si>
  <si>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</si>
  <si>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</si>
  <si>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</si>
  <si>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</si>
  <si>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</si>
  <si>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</si>
  <si>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</si>
  <si>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</si>
  <si>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</si>
  <si>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</si>
  <si>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</si>
  <si>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</si>
  <si>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</si>
  <si>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</si>
  <si>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</si>
  <si>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</si>
  <si>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</si>
  <si>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</si>
  <si>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</si>
  <si>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</si>
  <si>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</si>
  <si>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</si>
  <si>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</si>
  <si>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</si>
  <si>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</si>
  <si>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</si>
  <si>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</si>
  <si>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</si>
  <si>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</si>
  <si>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</si>
  <si>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</si>
  <si>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</si>
  <si>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</si>
  <si>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</si>
  <si>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</si>
  <si>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</si>
  <si>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</si>
  <si>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</si>
  <si>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</si>
  <si>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</si>
  <si>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</si>
  <si>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</si>
  <si>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</si>
  <si>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</si>
  <si>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</si>
  <si>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</si>
  <si>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</si>
  <si>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</si>
  <si>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</si>
  <si>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</si>
  <si>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</si>
  <si>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</si>
  <si>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</si>
  <si>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</si>
  <si>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</si>
  <si>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</si>
  <si>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</si>
  <si>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</si>
  <si>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</si>
  <si>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</si>
  <si>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</si>
  <si>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</si>
  <si>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</si>
  <si>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</si>
  <si>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</si>
  <si>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</si>
  <si>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</si>
  <si>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</si>
  <si>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</si>
  <si>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</si>
  <si>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</si>
  <si>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</si>
  <si>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</si>
  <si>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</si>
  <si>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</si>
  <si>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</si>
  <si>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</si>
  <si>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</si>
  <si>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</si>
  <si>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</si>
  <si>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</si>
  <si>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</si>
  <si>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</si>
  <si>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</si>
  <si>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</si>
  <si>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</si>
  <si>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</si>
  <si>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</si>
  <si>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</si>
  <si>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</si>
  <si>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</si>
  <si>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</si>
  <si>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</si>
  <si>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</si>
  <si>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</si>
  <si>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</si>
  <si>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</si>
  <si>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</si>
  <si>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</si>
  <si>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</si>
  <si>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</si>
  <si>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</si>
  <si>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</si>
  <si>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</si>
  <si>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</si>
  <si>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</si>
  <si>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</si>
  <si>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</si>
  <si>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</si>
  <si>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</si>
  <si>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</si>
  <si>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</si>
  <si>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</si>
  <si>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</si>
  <si>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</si>
  <si>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</si>
  <si>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</si>
  <si>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</si>
  <si>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</si>
  <si>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</si>
  <si>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</si>
  <si>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</si>
  <si>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</si>
  <si>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</si>
  <si>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</si>
  <si>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</si>
  <si>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</si>
  <si>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</si>
  <si>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</si>
  <si>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</si>
  <si>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</si>
  <si>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</si>
  <si>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</si>
  <si>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</si>
  <si>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</si>
  <si>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</si>
  <si>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</si>
  <si>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</si>
  <si>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</si>
  <si>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</si>
  <si>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</si>
  <si>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</si>
  <si>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</si>
  <si>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</si>
  <si>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</si>
  <si>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</si>
  <si>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</si>
  <si>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</si>
  <si>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</si>
  <si>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</si>
  <si>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</si>
  <si>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</si>
  <si>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</si>
  <si>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</si>
  <si>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</si>
  <si>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</si>
  <si>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</si>
  <si>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</si>
  <si>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</si>
  <si>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</si>
  <si>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</si>
  <si>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</si>
  <si>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</si>
  <si>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</si>
  <si>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</si>
  <si>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</si>
  <si>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</si>
  <si>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</si>
  <si>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</si>
  <si>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</si>
  <si>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</si>
  <si>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</si>
  <si>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</si>
  <si>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</si>
  <si>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</si>
  <si>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</si>
  <si>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</si>
  <si>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</si>
  <si>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</si>
  <si>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</si>
  <si>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</si>
  <si>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</si>
  <si>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</si>
  <si>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</si>
  <si>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</si>
  <si>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</si>
  <si>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</si>
  <si>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</si>
  <si>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</si>
  <si>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</si>
  <si>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</si>
  <si>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</si>
  <si>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</si>
  <si>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</si>
  <si>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</si>
  <si>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</si>
  <si>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</si>
  <si>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</si>
  <si>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</si>
  <si>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</si>
  <si>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</si>
  <si>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</si>
  <si>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</si>
  <si>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</si>
  <si>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</si>
  <si>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</si>
  <si>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</si>
  <si>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</si>
  <si>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</si>
  <si>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</si>
  <si>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</si>
  <si>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</si>
  <si>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</si>
  <si>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</si>
  <si>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</si>
  <si>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</si>
  <si>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</si>
  <si>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</si>
  <si>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</si>
  <si>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</si>
  <si>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</si>
  <si>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</si>
  <si>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</si>
  <si>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</si>
  <si>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</si>
  <si>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</si>
  <si>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</si>
  <si>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</si>
  <si>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</si>
  <si>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</si>
  <si>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</si>
  <si>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</si>
  <si>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</si>
  <si>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</si>
  <si>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</si>
  <si>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</si>
  <si>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</si>
  <si>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</si>
  <si>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</si>
  <si>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</si>
  <si>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</si>
  <si>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</si>
  <si>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</si>
  <si>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</si>
  <si>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</si>
  <si>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</si>
  <si>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</si>
  <si>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</si>
  <si>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</si>
  <si>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</si>
  <si>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</si>
  <si>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</si>
  <si>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</si>
  <si>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</si>
  <si>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</si>
  <si>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</si>
  <si>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</si>
  <si>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</si>
  <si>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</si>
  <si>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</si>
  <si>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</si>
  <si>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</si>
  <si>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</si>
  <si>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</si>
  <si>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</si>
  <si>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</si>
  <si>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</si>
  <si>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</si>
  <si>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</si>
  <si>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</si>
  <si>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</si>
  <si>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</si>
  <si>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</si>
  <si>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</si>
  <si>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</si>
  <si>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</si>
  <si>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</si>
  <si>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</si>
  <si>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</si>
  <si>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</si>
  <si>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</si>
  <si>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</si>
  <si>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</si>
  <si>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</si>
  <si>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</si>
  <si>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</si>
  <si>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</si>
  <si>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</si>
  <si>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</si>
  <si>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</si>
  <si>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</si>
  <si>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</si>
  <si>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</si>
  <si>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</si>
  <si>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</si>
  <si>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</si>
  <si>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</si>
  <si>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</si>
  <si>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</si>
  <si>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</si>
  <si>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</si>
  <si>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</si>
  <si>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</si>
  <si>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</si>
  <si>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</si>
  <si>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</si>
  <si>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</si>
  <si>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</si>
  <si>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</si>
  <si>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</si>
  <si>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</si>
  <si>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</si>
  <si>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</si>
  <si>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</si>
  <si>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</si>
  <si>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</si>
  <si>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</si>
  <si>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</si>
  <si>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</si>
  <si>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</si>
  <si>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</si>
  <si>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</si>
  <si>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</si>
  <si>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</si>
  <si>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</si>
  <si>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</si>
  <si>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</si>
  <si>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</si>
  <si>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</si>
  <si>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</si>
  <si>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</si>
  <si>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</si>
  <si>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</si>
  <si>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</si>
  <si>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</si>
  <si>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</si>
  <si>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</si>
  <si>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</si>
  <si>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</si>
  <si>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</si>
  <si>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</si>
  <si>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</si>
  <si>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</si>
  <si>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</si>
  <si>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</si>
  <si>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</si>
  <si>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</si>
  <si>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</si>
  <si>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</si>
  <si>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</si>
  <si>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</si>
  <si>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</si>
  <si>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</si>
  <si>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</si>
  <si>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</si>
  <si>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</si>
  <si>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</si>
  <si>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</si>
  <si>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</si>
  <si>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</si>
  <si>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</si>
  <si>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</si>
  <si>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</si>
  <si>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</si>
  <si>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</si>
  <si>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</si>
  <si>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</si>
  <si>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</si>
  <si>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</si>
  <si>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</si>
  <si>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</si>
  <si>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</si>
  <si>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</si>
  <si>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</si>
  <si>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</si>
  <si>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</si>
  <si>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</si>
  <si>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</si>
  <si>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</si>
  <si>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</si>
  <si>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</si>
  <si>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</si>
  <si>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</si>
  <si>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</si>
  <si>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</si>
  <si>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</si>
  <si>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</si>
  <si>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</si>
  <si>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</si>
  <si>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</si>
  <si>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</si>
  <si>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</si>
  <si>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</si>
  <si>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</si>
  <si>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</si>
  <si>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</si>
  <si>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</si>
  <si>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</si>
  <si>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</si>
  <si>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</si>
  <si>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</si>
  <si>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</si>
  <si>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</si>
  <si>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</si>
  <si>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</si>
  <si>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</si>
  <si>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</si>
  <si>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</si>
  <si>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</si>
  <si>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</si>
  <si>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</si>
  <si>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</si>
  <si>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</si>
  <si>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</si>
  <si>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</si>
  <si>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</si>
  <si>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</si>
  <si>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</si>
  <si>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</si>
  <si>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</si>
  <si>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</si>
  <si>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</si>
  <si>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</si>
  <si>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</si>
  <si>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</si>
  <si>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</si>
  <si>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</si>
  <si>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</si>
  <si>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</si>
  <si>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</si>
  <si>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</si>
  <si>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</si>
  <si>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</si>
  <si>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</si>
  <si>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</si>
  <si>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</si>
  <si>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</si>
  <si>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</si>
  <si>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</si>
  <si>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</si>
  <si>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</si>
  <si>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</si>
  <si>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</si>
  <si>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</si>
  <si>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</si>
  <si>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</si>
  <si>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</si>
  <si>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</si>
  <si>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</si>
  <si>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</si>
  <si>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</si>
  <si>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</si>
  <si>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</si>
  <si>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</si>
  <si>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</si>
  <si>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</si>
  <si>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</si>
  <si>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</si>
  <si>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</si>
  <si>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</si>
  <si>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</si>
  <si>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</si>
  <si>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</si>
  <si>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</si>
  <si>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</si>
  <si>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</si>
  <si>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</si>
  <si>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</si>
  <si>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</si>
  <si>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</si>
  <si>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</si>
  <si>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</si>
  <si>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</si>
  <si>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</si>
  <si>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</si>
  <si>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</si>
  <si>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</si>
  <si>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</si>
  <si>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</si>
  <si>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</si>
  <si>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</si>
  <si>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</si>
  <si>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</si>
  <si>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</si>
  <si>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</si>
  <si>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</si>
  <si>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</si>
  <si>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</si>
  <si>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</si>
  <si>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</si>
  <si>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</si>
  <si>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</si>
  <si>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</si>
  <si>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</si>
  <si>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</si>
  <si>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</si>
  <si>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</si>
  <si>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</si>
  <si>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</si>
  <si>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</si>
  <si>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</si>
  <si>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</si>
  <si>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</si>
  <si>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</si>
  <si>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</si>
  <si>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</si>
  <si>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</si>
  <si>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</si>
  <si>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</si>
  <si>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</si>
  <si>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</si>
  <si>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</si>
  <si>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</si>
  <si>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</si>
  <si>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</si>
  <si>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</si>
  <si>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</si>
  <si>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</si>
  <si>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</si>
  <si>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</si>
  <si>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</si>
  <si>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</si>
  <si>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</si>
  <si>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</si>
  <si>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</si>
  <si>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</si>
  <si>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</si>
  <si>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</si>
  <si>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</si>
  <si>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</si>
  <si>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</si>
  <si>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</si>
  <si>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</si>
  <si>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</si>
  <si>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</si>
  <si>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</si>
  <si>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</si>
  <si>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</si>
  <si>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</si>
  <si>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</si>
  <si>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</si>
  <si>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</si>
  <si>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</si>
  <si>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</si>
  <si>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</si>
  <si>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</si>
  <si>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</si>
  <si>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</si>
  <si>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</si>
  <si>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</si>
  <si>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</si>
  <si>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</si>
  <si>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</si>
  <si>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</si>
  <si>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</si>
  <si>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</si>
  <si>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</si>
  <si>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</si>
  <si>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</si>
  <si>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</si>
  <si>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</si>
  <si>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</si>
  <si>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</si>
  <si>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</si>
  <si>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</si>
  <si>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</si>
  <si>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</si>
  <si>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</si>
  <si>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</si>
  <si>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</si>
  <si>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</si>
  <si>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</si>
  <si>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</si>
  <si>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</si>
  <si>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</si>
  <si>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</si>
  <si>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</si>
  <si>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</si>
  <si>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</si>
  <si>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</si>
  <si>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</si>
  <si>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</si>
  <si>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</si>
  <si>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</si>
  <si>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</si>
  <si>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</si>
  <si>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</si>
  <si>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</si>
  <si>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</si>
  <si>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</si>
  <si>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</si>
  <si>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</si>
  <si>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</si>
  <si>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</si>
  <si>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</si>
  <si>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</si>
  <si>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</si>
  <si>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</si>
  <si>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</si>
  <si>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</si>
  <si>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</si>
  <si>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</si>
  <si>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</si>
  <si>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</si>
  <si>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</si>
  <si>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</si>
  <si>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</si>
  <si>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</si>
  <si>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</si>
  <si>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</si>
  <si>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</si>
  <si>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</si>
  <si>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</si>
  <si>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</si>
  <si>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</si>
  <si>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</si>
  <si>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</si>
  <si>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</si>
  <si>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</si>
  <si>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</si>
  <si>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</si>
  <si>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</si>
  <si>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</si>
  <si>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</si>
  <si>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</si>
  <si>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</si>
  <si>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</si>
  <si>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</si>
  <si>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</si>
  <si>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</si>
  <si>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</si>
  <si>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</si>
  <si>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</si>
  <si>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</si>
  <si>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</si>
  <si>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</si>
  <si>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</si>
  <si>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</si>
  <si>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</si>
  <si>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</si>
  <si>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</si>
  <si>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</si>
  <si>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</si>
  <si>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</si>
  <si>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</si>
  <si>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</si>
  <si>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</si>
  <si>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</si>
  <si>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</si>
  <si>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</si>
  <si>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</si>
  <si>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</si>
  <si>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</si>
  <si>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</si>
  <si>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</si>
  <si>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</si>
  <si>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</si>
  <si>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</si>
  <si>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</si>
  <si>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</si>
  <si>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</si>
  <si>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</si>
  <si>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</si>
  <si>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</si>
  <si>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</si>
  <si>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</si>
  <si>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</si>
  <si>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</si>
  <si>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</si>
  <si>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</si>
  <si>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</si>
  <si>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</si>
  <si>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</si>
  <si>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</si>
  <si>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</si>
  <si>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</si>
  <si>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</si>
  <si>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</si>
  <si>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</si>
  <si>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</si>
  <si>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</si>
  <si>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</si>
  <si>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</si>
  <si>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</si>
  <si>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</si>
  <si>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</si>
  <si>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</si>
  <si>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</si>
  <si>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</si>
  <si>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</si>
  <si>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</si>
  <si>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</si>
  <si>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</si>
  <si>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</si>
  <si>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</si>
  <si>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</si>
  <si>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</si>
  <si>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</si>
  <si>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</si>
  <si>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</si>
  <si>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</si>
  <si>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</si>
  <si>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</si>
  <si>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</si>
  <si>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</si>
  <si>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</si>
  <si>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</si>
  <si>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</si>
  <si>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</si>
  <si>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</si>
  <si>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</si>
  <si>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</si>
  <si>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</si>
  <si>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</si>
  <si>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</si>
  <si>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</si>
  <si>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</si>
  <si>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</si>
  <si>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</si>
  <si>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</si>
  <si>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</si>
  <si>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</si>
  <si>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</si>
  <si>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</si>
  <si>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</si>
  <si>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</si>
  <si>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</si>
  <si>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</si>
  <si>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</si>
  <si>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</si>
  <si>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</si>
  <si>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</si>
  <si>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</si>
  <si>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</si>
  <si>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</si>
  <si>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</si>
  <si>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</si>
  <si>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</si>
  <si>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</si>
  <si>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</si>
  <si>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</si>
  <si>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</si>
  <si>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</si>
  <si>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</si>
  <si>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</si>
  <si>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</si>
  <si>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</si>
  <si>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</si>
  <si>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</si>
  <si>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</si>
  <si>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</si>
  <si>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</si>
  <si>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</si>
  <si>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</si>
  <si>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</si>
  <si>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</si>
  <si>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</si>
  <si>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</si>
  <si>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</si>
  <si>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</si>
  <si>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</si>
  <si>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</si>
  <si>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</si>
  <si>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</si>
  <si>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</si>
  <si>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</si>
  <si>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</si>
  <si>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</si>
  <si>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</si>
  <si>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</si>
  <si>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</si>
  <si>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</si>
  <si>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</si>
  <si>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</si>
  <si>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</si>
  <si>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</si>
  <si>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</si>
  <si>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</si>
  <si>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</si>
  <si>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</si>
  <si>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</si>
  <si>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</si>
  <si>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</si>
  <si>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</si>
  <si>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</si>
  <si>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</si>
  <si>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</si>
  <si>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</si>
  <si>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</si>
  <si>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</si>
  <si>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</si>
  <si>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</si>
  <si>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</si>
  <si>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</si>
  <si>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</si>
  <si>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</si>
  <si>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</si>
  <si>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</si>
  <si>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</si>
  <si>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</si>
  <si>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</si>
  <si>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</si>
  <si>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</si>
  <si>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</si>
  <si>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</si>
  <si>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</si>
  <si>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</si>
  <si>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</si>
  <si>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</si>
  <si>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</si>
  <si>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</si>
  <si>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</si>
  <si>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</si>
  <si>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</si>
  <si>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</si>
  <si>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</si>
  <si>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</si>
  <si>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</si>
  <si>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</si>
  <si>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</si>
  <si>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</si>
  <si>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</si>
  <si>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</si>
  <si>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</si>
  <si>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</si>
  <si>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</si>
  <si>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</si>
  <si>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</si>
  <si>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</si>
  <si>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</si>
  <si>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</si>
  <si>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</si>
  <si>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</si>
  <si>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</si>
  <si>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</si>
  <si>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</si>
  <si>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</si>
  <si>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</si>
  <si>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</si>
  <si>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</si>
  <si>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</si>
  <si>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</si>
  <si>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</si>
  <si>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</si>
  <si>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</si>
  <si>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</si>
  <si>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</si>
  <si>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</si>
  <si>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</si>
  <si>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</si>
  <si>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</si>
  <si>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</si>
  <si>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</si>
  <si>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</si>
  <si>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</si>
  <si>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</si>
  <si>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</si>
  <si>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</si>
  <si>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</si>
  <si>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</si>
  <si>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</si>
  <si>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</si>
  <si>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</si>
  <si>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</si>
  <si>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</si>
  <si>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</si>
  <si>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</si>
  <si>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</si>
  <si>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</si>
  <si>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</si>
  <si>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</si>
  <si>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</si>
  <si>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</si>
  <si>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</si>
  <si>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</si>
  <si>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</si>
  <si>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</si>
  <si>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</si>
  <si>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</si>
  <si>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</si>
  <si>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</si>
  <si>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</si>
  <si>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</si>
  <si>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</si>
  <si>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</si>
  <si>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</si>
  <si>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</si>
  <si>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</si>
  <si>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</si>
  <si>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</si>
  <si>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</si>
  <si>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</si>
  <si>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</si>
  <si>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</si>
  <si>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</si>
  <si>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</si>
  <si>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</si>
  <si>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</si>
  <si>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</si>
  <si>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</si>
  <si>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</si>
  <si>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</si>
  <si>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</si>
  <si>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</si>
  <si>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</si>
  <si>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</si>
  <si>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</si>
  <si>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</si>
  <si>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</si>
  <si>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</si>
  <si>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</si>
  <si>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</si>
  <si>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</si>
  <si>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</si>
  <si>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</si>
  <si>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</si>
  <si>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</si>
  <si>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</si>
  <si>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</si>
  <si>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</si>
  <si>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</si>
  <si>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</si>
  <si>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</si>
  <si>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</si>
  <si>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</si>
  <si>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</si>
  <si>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</si>
  <si>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</si>
  <si>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</si>
  <si>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</si>
  <si>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</si>
  <si>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</si>
  <si>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</si>
  <si>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</si>
  <si>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</si>
  <si>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</si>
  <si>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</si>
  <si>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</si>
  <si>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</si>
  <si>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</si>
  <si>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</si>
  <si>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</si>
  <si>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</si>
  <si>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</si>
  <si>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</si>
  <si>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</si>
  <si>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</si>
  <si>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</si>
  <si>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</si>
  <si>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</si>
  <si>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</si>
  <si>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</si>
  <si>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</si>
  <si>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</si>
  <si>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</si>
  <si>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</si>
  <si>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</si>
  <si>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</si>
  <si>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</si>
  <si>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</si>
  <si>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</si>
  <si>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</si>
  <si>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</si>
  <si>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</si>
  <si>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</si>
  <si>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</si>
  <si>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</si>
  <si>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</si>
  <si>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</si>
  <si>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</si>
  <si>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</si>
  <si>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</si>
  <si>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</si>
  <si>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</si>
  <si>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</si>
  <si>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</si>
  <si>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</si>
  <si>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</si>
  <si>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</si>
  <si>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</si>
  <si>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</si>
  <si>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</si>
  <si>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</si>
  <si>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</si>
  <si>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</si>
  <si>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</si>
  <si>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</si>
  <si>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</si>
  <si>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</si>
  <si>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</si>
  <si>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</si>
  <si>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</si>
  <si>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</si>
  <si>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</si>
  <si>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</si>
  <si>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</si>
  <si>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</si>
  <si>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</si>
  <si>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</si>
  <si>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</si>
  <si>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</si>
  <si>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</si>
  <si>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</si>
  <si>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</si>
  <si>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</si>
  <si>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</si>
  <si>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</si>
  <si>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</si>
  <si>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</si>
  <si>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</si>
  <si>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</si>
  <si>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</si>
  <si>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</si>
  <si>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</si>
  <si>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</si>
  <si>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</si>
  <si>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</si>
  <si>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</si>
  <si>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</si>
  <si>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</si>
  <si>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</si>
  <si>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</si>
  <si>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</si>
  <si>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</si>
  <si>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</si>
  <si>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</si>
  <si>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</si>
  <si>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</si>
  <si>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</si>
  <si>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</si>
  <si>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</si>
  <si>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</si>
  <si>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</si>
  <si>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</si>
  <si>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</si>
  <si>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</si>
  <si>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</si>
  <si>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</si>
  <si>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</si>
  <si>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</si>
  <si>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</si>
  <si>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</si>
  <si>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</si>
  <si>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</si>
  <si>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</si>
  <si>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</si>
  <si>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</si>
  <si>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</si>
  <si>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</si>
  <si>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</si>
  <si>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</si>
  <si>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</si>
  <si>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</si>
  <si>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</si>
  <si>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</si>
  <si>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</si>
  <si>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</si>
  <si>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</si>
  <si>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</si>
  <si>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</si>
  <si>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</si>
  <si>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</si>
  <si>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</si>
  <si>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</si>
  <si>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</si>
  <si>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</si>
  <si>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</si>
  <si>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</si>
  <si>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</si>
  <si>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</si>
  <si>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</si>
  <si>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</si>
  <si>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</si>
  <si>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</si>
  <si>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</si>
  <si>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</si>
  <si>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</si>
  <si>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</si>
  <si>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</si>
  <si>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</si>
  <si>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</si>
  <si>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</si>
  <si>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</si>
  <si>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</si>
  <si>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</si>
  <si>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</si>
  <si>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</si>
  <si>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</si>
  <si>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</si>
  <si>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</si>
  <si>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</si>
  <si>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</si>
  <si>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</si>
  <si>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</si>
  <si>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</si>
  <si>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</si>
  <si>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</si>
  <si>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</si>
  <si>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</si>
  <si>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</si>
  <si>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</si>
  <si>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</si>
  <si>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</si>
  <si>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</si>
  <si>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</si>
  <si>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</si>
  <si>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</si>
  <si>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</si>
  <si>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</si>
  <si>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</si>
  <si>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</si>
  <si>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</si>
  <si>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</si>
  <si>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</si>
  <si>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</si>
  <si>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</si>
  <si>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</si>
  <si>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</si>
  <si>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</si>
  <si>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</si>
  <si>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</si>
  <si>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</si>
  <si>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</si>
  <si>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</si>
  <si>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</si>
  <si>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</si>
  <si>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</si>
  <si>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</si>
  <si>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</si>
  <si>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</si>
  <si>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</si>
  <si>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</si>
  <si>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</si>
  <si>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</si>
  <si>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</si>
  <si>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</si>
  <si>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</si>
  <si>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</si>
  <si>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</si>
  <si>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</si>
  <si>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</si>
  <si>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</si>
  <si>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</si>
  <si>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</si>
  <si>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</si>
  <si>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</si>
  <si>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</si>
  <si>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</si>
  <si>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</si>
  <si>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</si>
  <si>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</si>
  <si>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</si>
  <si>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</si>
  <si>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</si>
  <si>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</si>
  <si>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</si>
  <si>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</si>
  <si>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</si>
  <si>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</si>
  <si>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</si>
  <si>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</si>
  <si>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</si>
  <si>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</si>
  <si>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</si>
  <si>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</si>
  <si>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</si>
  <si>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</si>
  <si>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</si>
  <si>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</si>
  <si>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</si>
  <si>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</si>
  <si>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</si>
  <si>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</si>
  <si>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</si>
  <si>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</si>
  <si>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</si>
  <si>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</si>
  <si>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</si>
  <si>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</si>
  <si>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</si>
  <si>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</si>
  <si>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</si>
  <si>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</si>
  <si>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</si>
  <si>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</si>
  <si>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</si>
  <si>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</si>
  <si>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</si>
  <si>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</si>
  <si>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</si>
  <si>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</si>
  <si>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</si>
  <si>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</si>
  <si>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</si>
  <si>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</si>
  <si>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</si>
  <si>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</si>
  <si>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</si>
  <si>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</si>
  <si>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</si>
  <si>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</si>
  <si>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</si>
  <si>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</si>
  <si>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</si>
  <si>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</si>
  <si>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</si>
  <si>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</si>
  <si>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</si>
  <si>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</si>
  <si>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</si>
  <si>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</si>
  <si>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</si>
  <si>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</si>
  <si>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</si>
  <si>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</si>
  <si>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</si>
  <si>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</si>
  <si>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</si>
  <si>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</si>
  <si>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</si>
  <si>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</si>
  <si>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</si>
  <si>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</si>
  <si>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</si>
  <si>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</si>
  <si>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</si>
  <si>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</si>
  <si>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</si>
  <si>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</si>
  <si>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</si>
  <si>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</si>
  <si>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</si>
  <si>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</si>
  <si>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</si>
  <si>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</si>
  <si>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</si>
  <si>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</si>
  <si>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</si>
  <si>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</si>
  <si>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</si>
  <si>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</si>
  <si>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</si>
  <si>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</si>
  <si>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</si>
  <si>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</si>
  <si>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</si>
  <si>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</si>
  <si>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</si>
  <si>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</si>
  <si>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</si>
  <si>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</si>
  <si>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172.20.11.87</t>
  </si>
  <si>
    <t>172.20.11.100</t>
  </si>
  <si>
    <t>CASTELLI Y 25 DE MAYO</t>
  </si>
  <si>
    <t>172.20.11.114</t>
  </si>
  <si>
    <t>CEN75</t>
  </si>
  <si>
    <t>% APAGADOS</t>
  </si>
  <si>
    <t>SANTA SOFIA Y ALVAR NUÑEZ</t>
  </si>
  <si>
    <t>TOTAL</t>
  </si>
  <si>
    <t>NO ESTA LA CAMARA</t>
  </si>
  <si>
    <t>LLEGAMOS NOSOTROS</t>
  </si>
  <si>
    <t>CANTIDAD</t>
  </si>
  <si>
    <t>%</t>
  </si>
  <si>
    <t>llega ping y web</t>
  </si>
  <si>
    <t>MAR02 (fija1)</t>
  </si>
  <si>
    <t>MAR03 (fija2)</t>
  </si>
  <si>
    <t>Lujan y Patagones</t>
  </si>
  <si>
    <t>Se llega por ping y no por web</t>
  </si>
  <si>
    <t>se llega por ping y por web pide contraseña</t>
  </si>
  <si>
    <t>se llega por ping y por web ide contraseña</t>
  </si>
  <si>
    <t>Se llega por ping y por web (Dahua)</t>
  </si>
  <si>
    <t xml:space="preserve">Se llega por ping y por web ( pide usuario y pass) </t>
  </si>
  <si>
    <t xml:space="preserve">se llega por ping y por web 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</si>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</sst>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3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Fill="1"/>
    <xf numFmtId="49" fontId="0" fillId="0" borderId="0" xfId="0" applyNumberFormat="1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5" xfId="0" applyBorder="1"/>
    <xf numFmtId="0" fontId="0" fillId="0" borderId="18" xfId="0" applyBorder="1"/>
    <xf numFmtId="0" fontId="0" fillId="0" borderId="21" xfId="0" applyBorder="1"/>
    <xf numFmtId="10" fontId="0" fillId="0" borderId="0" xfId="1" applyNumberFormat="1" applyFont="1" applyAlignment="1">
      <alignment horizontal="center"/>
    </xf>
    <xf numFmtId="10" fontId="0" fillId="0" borderId="16" xfId="1" applyNumberFormat="1" applyFon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10" fontId="0" fillId="0" borderId="22" xfId="1" applyNumberFormat="1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6" xfId="0" applyBorder="1" applyAlignment="1">
      <alignment horizontal="left" indent="3"/>
    </xf>
    <xf numFmtId="0" fontId="0" fillId="0" borderId="19" xfId="0" applyBorder="1" applyAlignment="1">
      <alignment horizontal="left" indent="3"/>
    </xf>
    <xf numFmtId="0" fontId="0" fillId="0" borderId="22" xfId="0" applyBorder="1" applyAlignment="1">
      <alignment horizontal="left" indent="3"/>
    </xf>
    <xf numFmtId="0" fontId="0" fillId="0" borderId="25" xfId="0" applyBorder="1" applyAlignment="1">
      <alignment horizontal="left"/>
    </xf>
    <xf numFmtId="0" fontId="0" fillId="0" borderId="26" xfId="0" applyBorder="1"/>
    <xf numFmtId="3" fontId="0" fillId="0" borderId="26" xfId="0" applyNumberFormat="1" applyBorder="1"/>
    <xf numFmtId="0" fontId="0" fillId="0" borderId="27" xfId="0" applyBorder="1"/>
    <xf numFmtId="0" fontId="0" fillId="0" borderId="28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9" xfId="0" applyBorder="1"/>
    <xf numFmtId="0" fontId="0" fillId="0" borderId="30" xfId="0" applyBorder="1" applyAlignment="1">
      <alignment horizontal="left"/>
    </xf>
    <xf numFmtId="0" fontId="0" fillId="0" borderId="31" xfId="0" applyBorder="1"/>
    <xf numFmtId="3" fontId="0" fillId="0" borderId="31" xfId="0" applyNumberFormat="1" applyBorder="1"/>
    <xf numFmtId="0" fontId="0" fillId="0" borderId="32" xfId="0" applyBorder="1"/>
    <xf numFmtId="16" fontId="0" fillId="0" borderId="17" xfId="0" applyNumberFormat="1" applyBorder="1" applyAlignment="1">
      <alignment horizontal="center" vertical="center" textRotation="90"/>
    </xf>
    <xf numFmtId="0" fontId="0" fillId="0" borderId="20" xfId="0" applyBorder="1" applyAlignment="1">
      <alignment horizontal="center" vertical="center" textRotation="90"/>
    </xf>
    <xf numFmtId="0" fontId="0" fillId="0" borderId="23" xfId="0" applyBorder="1" applyAlignment="1">
      <alignment horizontal="center" vertical="center" textRotation="90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27"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0.18933333333333333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0.18933333333333333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R676"/>
  <sheetViews>
    <sheetView tabSelected="1" zoomScale="84" zoomScaleNormal="84" workbookViewId="0">
      <pane xSplit="14" ySplit="4" topLeftCell="O347" activePane="bottomRight" state="frozen"/>
      <selection pane="topRight" activeCell="M1" sqref="M1"/>
      <selection pane="bottomLeft" activeCell="A5" sqref="A5"/>
      <selection pane="bottomRight" activeCell="O363" sqref="O363"/>
    </sheetView>
  </sheetViews>
  <sheetFormatPr baseColWidth="10" defaultRowHeight="15" x14ac:dyDescent="0.25"/>
  <cols>
    <col min="1" max="1" width="26.7109375" bestFit="1" customWidth="1"/>
    <col min="2" max="2" width="8.140625" bestFit="1" customWidth="1"/>
    <col min="3" max="3" width="38.140625" style="45" bestFit="1" customWidth="1"/>
    <col min="4" max="4" width="42.5703125" customWidth="1"/>
    <col min="5" max="5" width="15.7109375" style="23" customWidth="1"/>
    <col min="6" max="6" width="17.42578125" style="24" customWidth="1"/>
    <col min="7" max="10" width="6.28515625" style="24" hidden="1" customWidth="1"/>
    <col min="11" max="11" width="13.7109375" style="24" customWidth="1"/>
    <col min="12" max="12" width="14.7109375" customWidth="1"/>
    <col min="13" max="13" width="6.7109375" customWidth="1"/>
    <col min="14" max="14" width="11.5703125" style="5"/>
    <col min="15" max="23" width="8.7109375" style="22" customWidth="1"/>
    <col min="24" max="44" width="9.42578125" style="22" bestFit="1" customWidth="1"/>
  </cols>
  <sheetData>
    <row r="1" spans="1:44" s="5" customFormat="1" ht="27.75" customHeight="1" thickTop="1" x14ac:dyDescent="0.25">
      <c r="A1" s="1" t="s">
        <v>0</v>
      </c>
      <c r="B1" s="51"/>
      <c r="C1" s="42">
        <f>COUNTA(C5:C527)</f>
        <v>375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0.18933333333333333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>(AC3)/(AC2+AC3)</f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</row>
    <row r="2" spans="1:44" s="11" customFormat="1" x14ac:dyDescent="0.25">
      <c r="A2" s="6"/>
      <c r="B2" s="52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46"/>
      <c r="O2" s="10">
        <f t="shared" ref="O2:AH2" si="2">COUNTIF(O5:O379, "")</f>
        <v>304</v>
      </c>
      <c r="P2" s="10">
        <f t="shared" si="2"/>
        <v>375</v>
      </c>
      <c r="Q2" s="10">
        <f t="shared" si="2"/>
        <v>375</v>
      </c>
      <c r="R2" s="10">
        <f t="shared" si="2"/>
        <v>375</v>
      </c>
      <c r="S2" s="10">
        <f t="shared" si="2"/>
        <v>375</v>
      </c>
      <c r="T2" s="10">
        <f t="shared" si="2"/>
        <v>375</v>
      </c>
      <c r="U2" s="10">
        <f t="shared" si="2"/>
        <v>375</v>
      </c>
      <c r="V2" s="10">
        <f t="shared" si="2"/>
        <v>375</v>
      </c>
      <c r="W2" s="10">
        <f t="shared" si="2"/>
        <v>375</v>
      </c>
      <c r="X2" s="10">
        <f t="shared" si="2"/>
        <v>375</v>
      </c>
      <c r="Y2" s="10">
        <f t="shared" si="2"/>
        <v>375</v>
      </c>
      <c r="Z2" s="10">
        <f t="shared" si="2"/>
        <v>375</v>
      </c>
      <c r="AA2" s="10">
        <f t="shared" si="2"/>
        <v>375</v>
      </c>
      <c r="AB2" s="10">
        <f t="shared" si="2"/>
        <v>375</v>
      </c>
      <c r="AC2" s="10">
        <f t="shared" si="2"/>
        <v>375</v>
      </c>
      <c r="AD2" s="10">
        <f t="shared" si="2"/>
        <v>375</v>
      </c>
      <c r="AE2" s="10">
        <f t="shared" si="2"/>
        <v>375</v>
      </c>
      <c r="AF2" s="10">
        <f t="shared" si="2"/>
        <v>375</v>
      </c>
      <c r="AG2" s="10">
        <f t="shared" si="2"/>
        <v>375</v>
      </c>
      <c r="AH2" s="10">
        <f t="shared" si="2"/>
        <v>375</v>
      </c>
      <c r="AI2" s="10">
        <f>COUNTIF(AI5:AI379, "")</f>
        <v>375</v>
      </c>
      <c r="AJ2" s="10">
        <f>COUNTIF(AJ5:AJ379, "")</f>
        <v>375</v>
      </c>
      <c r="AK2" s="10">
        <f>COUNTIF(AK5:AK379, "")</f>
        <v>375</v>
      </c>
      <c r="AL2" s="10">
        <f>COUNTIF(AL5:AL379, "")</f>
        <v>375</v>
      </c>
      <c r="AM2" s="10">
        <f t="shared" ref="AM2:AQ2" si="3">COUNTIF(AM5:AM379, "")</f>
        <v>375</v>
      </c>
      <c r="AN2" s="10">
        <f t="shared" si="3"/>
        <v>375</v>
      </c>
      <c r="AO2" s="10">
        <f t="shared" si="3"/>
        <v>375</v>
      </c>
      <c r="AP2" s="10">
        <f t="shared" si="3"/>
        <v>375</v>
      </c>
      <c r="AQ2" s="10">
        <f t="shared" si="3"/>
        <v>375</v>
      </c>
      <c r="AR2" s="10">
        <f>COUNTIF(AR5:AR379, "")</f>
        <v>375</v>
      </c>
    </row>
    <row r="3" spans="1:44" s="11" customFormat="1" ht="15.75" thickBot="1" x14ac:dyDescent="0.3">
      <c r="A3" s="12"/>
      <c r="B3" s="53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47"/>
      <c r="O3" s="14">
        <f>COUNTIF(O4:O447, "apagado")</f>
        <v>71</v>
      </c>
      <c r="P3" s="14">
        <f t="shared" ref="P3:AP3" si="4">COUNTIF(P4:P447, "apagado")</f>
        <v>0</v>
      </c>
      <c r="Q3" s="14">
        <f t="shared" si="4"/>
        <v>0</v>
      </c>
      <c r="R3" s="14">
        <f t="shared" si="4"/>
        <v>0</v>
      </c>
      <c r="S3" s="14">
        <f t="shared" si="4"/>
        <v>0</v>
      </c>
      <c r="T3" s="14">
        <f t="shared" si="4"/>
        <v>0</v>
      </c>
      <c r="U3" s="14">
        <f t="shared" si="4"/>
        <v>0</v>
      </c>
      <c r="V3" s="14">
        <f t="shared" si="4"/>
        <v>0</v>
      </c>
      <c r="W3" s="14">
        <f t="shared" si="4"/>
        <v>0</v>
      </c>
      <c r="X3" s="14">
        <f t="shared" si="4"/>
        <v>0</v>
      </c>
      <c r="Y3" s="14">
        <f t="shared" si="4"/>
        <v>0</v>
      </c>
      <c r="Z3" s="14">
        <f t="shared" si="4"/>
        <v>0</v>
      </c>
      <c r="AA3" s="14">
        <f t="shared" si="4"/>
        <v>0</v>
      </c>
      <c r="AB3" s="14">
        <f t="shared" si="4"/>
        <v>0</v>
      </c>
      <c r="AC3" s="14">
        <f t="shared" si="4"/>
        <v>0</v>
      </c>
      <c r="AD3" s="14">
        <f t="shared" si="4"/>
        <v>0</v>
      </c>
      <c r="AE3" s="14">
        <f t="shared" si="4"/>
        <v>0</v>
      </c>
      <c r="AF3" s="14">
        <f t="shared" si="4"/>
        <v>0</v>
      </c>
      <c r="AG3" s="14">
        <f t="shared" si="4"/>
        <v>0</v>
      </c>
      <c r="AH3" s="14">
        <f t="shared" si="4"/>
        <v>0</v>
      </c>
      <c r="AI3" s="14">
        <f t="shared" si="4"/>
        <v>0</v>
      </c>
      <c r="AJ3" s="14">
        <f t="shared" si="4"/>
        <v>0</v>
      </c>
      <c r="AK3" s="14">
        <f t="shared" si="4"/>
        <v>0</v>
      </c>
      <c r="AL3" s="14">
        <f t="shared" si="4"/>
        <v>0</v>
      </c>
      <c r="AM3" s="14">
        <f t="shared" si="4"/>
        <v>0</v>
      </c>
      <c r="AN3" s="14">
        <f t="shared" si="4"/>
        <v>0</v>
      </c>
      <c r="AO3" s="14">
        <f t="shared" si="4"/>
        <v>0</v>
      </c>
      <c r="AP3" s="14">
        <f t="shared" si="4"/>
        <v>0</v>
      </c>
      <c r="AQ3" s="14">
        <f t="shared" ref="AQ3:AR3" si="5">COUNTIF(AQ4:AQ447, "apagado")</f>
        <v>0</v>
      </c>
      <c r="AR3" s="14">
        <f t="shared" si="5"/>
        <v>0</v>
      </c>
    </row>
    <row r="4" spans="1:44" s="11" customFormat="1" ht="31.5" thickTop="1" thickBot="1" x14ac:dyDescent="0.35">
      <c r="A4" t="s">
        <v>7</v>
      </c>
      <c r="B4" t="s">
        <v>1322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44713</v>
      </c>
      <c r="P4" s="15">
        <v>44714</v>
      </c>
      <c r="Q4" s="15">
        <v>44715</v>
      </c>
      <c r="R4" s="15">
        <v>44716</v>
      </c>
      <c r="S4" s="15">
        <v>44717</v>
      </c>
      <c r="T4" s="15">
        <v>44718</v>
      </c>
      <c r="U4" s="15">
        <v>44719</v>
      </c>
      <c r="V4" s="15">
        <v>44720</v>
      </c>
      <c r="W4" s="15">
        <v>44721</v>
      </c>
      <c r="X4" s="15">
        <v>44722</v>
      </c>
      <c r="Y4" s="15">
        <v>44723</v>
      </c>
      <c r="Z4" s="15">
        <v>44724</v>
      </c>
      <c r="AA4" s="15">
        <v>44725</v>
      </c>
      <c r="AB4" s="15">
        <v>44726</v>
      </c>
      <c r="AC4" s="15">
        <v>44727</v>
      </c>
      <c r="AD4" s="15">
        <v>44728</v>
      </c>
      <c r="AE4" s="15">
        <v>44729</v>
      </c>
      <c r="AF4" s="15">
        <v>44730</v>
      </c>
      <c r="AG4" s="15">
        <v>44731</v>
      </c>
      <c r="AH4" s="15">
        <v>44732</v>
      </c>
      <c r="AI4" s="15">
        <v>44733</v>
      </c>
      <c r="AJ4" s="15">
        <v>44734</v>
      </c>
      <c r="AK4" s="15">
        <v>44735</v>
      </c>
      <c r="AL4" s="15">
        <v>44736</v>
      </c>
      <c r="AM4" s="15">
        <v>44737</v>
      </c>
      <c r="AN4" s="15">
        <v>44738</v>
      </c>
      <c r="AO4" s="15">
        <v>44739</v>
      </c>
      <c r="AP4" s="15">
        <v>44740</v>
      </c>
      <c r="AQ4" s="15">
        <v>44741</v>
      </c>
      <c r="AR4" s="15">
        <v>44742</v>
      </c>
    </row>
    <row r="5" spans="1:44" ht="16.5" thickTop="1" thickBot="1" x14ac:dyDescent="0.3">
      <c r="A5" t="s">
        <v>16</v>
      </c>
      <c r="B5" s="60">
        <v>44629</v>
      </c>
      <c r="C5" s="61" t="s">
        <v>17</v>
      </c>
      <c r="D5" s="62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1106</v>
      </c>
      <c r="L5" s="17">
        <f>COUNTIF(O5:AR5,"")</f>
        <v>29</v>
      </c>
      <c r="M5" s="17">
        <f t="shared" ref="M5:M68" si="6">COUNTIF(O5:AP5,"APAGADO")</f>
        <v>1</v>
      </c>
      <c r="N5" s="18">
        <f t="shared" ref="N5:N68" si="7">(L5)/(M5+L5)</f>
        <v>0.96666666666666667</v>
      </c>
      <c r="O5" s="29" t="s">
        <v>1363</v>
      </c>
      <c r="P5" s="19"/>
      <c r="Q5" s="19"/>
      <c r="R5" s="19"/>
      <c r="S5" s="29"/>
      <c r="T5" s="29"/>
      <c r="U5" s="19"/>
      <c r="V5" s="19"/>
      <c r="W5" s="1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</row>
    <row r="6" spans="1:44" ht="15.75" thickBot="1" x14ac:dyDescent="0.3">
      <c r="A6" t="s">
        <v>22</v>
      </c>
      <c r="B6" s="62"/>
      <c r="C6" s="61" t="s">
        <v>23</v>
      </c>
      <c r="D6" s="62" t="s">
        <v>921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1107</v>
      </c>
      <c r="L6" s="57">
        <f t="shared" ref="L6:L69" si="8">COUNTIF(O6:AR6,"")</f>
        <v>30</v>
      </c>
      <c r="M6" s="17">
        <f t="shared" si="6"/>
        <v>0</v>
      </c>
      <c r="N6" s="18">
        <f t="shared" si="7"/>
        <v>1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</row>
    <row r="7" spans="1:44" ht="15.75" thickBot="1" x14ac:dyDescent="0.3">
      <c r="B7" s="62"/>
      <c r="C7" s="61" t="s">
        <v>27</v>
      </c>
      <c r="D7" s="62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1054</v>
      </c>
      <c r="L7" s="57">
        <f t="shared" si="8"/>
        <v>29</v>
      </c>
      <c r="M7" s="17">
        <f t="shared" si="6"/>
        <v>1</v>
      </c>
      <c r="N7" s="18">
        <f t="shared" si="7"/>
        <v>0.96666666666666667</v>
      </c>
      <c r="O7" s="27" t="s">
        <v>1363</v>
      </c>
      <c r="P7" s="8"/>
      <c r="Q7" s="8"/>
      <c r="R7" s="8"/>
      <c r="S7" s="27"/>
      <c r="T7" s="27"/>
      <c r="U7" s="8"/>
      <c r="V7" s="8"/>
      <c r="W7" s="8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8"/>
      <c r="AL7" s="8"/>
      <c r="AM7" s="8"/>
      <c r="AN7" s="27"/>
      <c r="AO7" s="8"/>
      <c r="AP7" s="8"/>
      <c r="AQ7" s="27"/>
      <c r="AR7" s="27"/>
    </row>
    <row r="8" spans="1:44" ht="15.75" thickBot="1" x14ac:dyDescent="0.3">
      <c r="A8" t="s">
        <v>22</v>
      </c>
      <c r="B8" s="62"/>
      <c r="C8" s="61" t="s">
        <v>29</v>
      </c>
      <c r="D8" s="62" t="s">
        <v>912</v>
      </c>
      <c r="E8" t="s">
        <v>19</v>
      </c>
      <c r="F8" t="s">
        <v>943</v>
      </c>
      <c r="G8"/>
      <c r="H8" t="s">
        <v>30</v>
      </c>
      <c r="I8" s="16">
        <v>-348230700000</v>
      </c>
      <c r="J8" s="16">
        <v>-582702540000</v>
      </c>
      <c r="K8" s="16" t="s">
        <v>1108</v>
      </c>
      <c r="L8" s="57">
        <f t="shared" si="8"/>
        <v>30</v>
      </c>
      <c r="M8" s="17">
        <f t="shared" si="6"/>
        <v>0</v>
      </c>
      <c r="N8" s="18">
        <f t="shared" si="7"/>
        <v>1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</row>
    <row r="9" spans="1:44" ht="15.75" thickBot="1" x14ac:dyDescent="0.3">
      <c r="B9" s="62"/>
      <c r="C9" s="61" t="s">
        <v>31</v>
      </c>
      <c r="D9" s="62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1109</v>
      </c>
      <c r="L9" s="57">
        <f t="shared" si="8"/>
        <v>30</v>
      </c>
      <c r="M9" s="17">
        <f t="shared" si="6"/>
        <v>0</v>
      </c>
      <c r="N9" s="18">
        <f t="shared" si="7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</row>
    <row r="10" spans="1:44" ht="15.75" thickBot="1" x14ac:dyDescent="0.3">
      <c r="A10" t="s">
        <v>34</v>
      </c>
      <c r="B10" s="62"/>
      <c r="C10" s="63" t="s">
        <v>948</v>
      </c>
      <c r="D10" s="62" t="s">
        <v>35</v>
      </c>
      <c r="E10" t="s">
        <v>24</v>
      </c>
      <c r="F10" t="s">
        <v>943</v>
      </c>
      <c r="G10"/>
      <c r="H10" t="s">
        <v>37</v>
      </c>
      <c r="I10" s="16">
        <v>-347738090000</v>
      </c>
      <c r="J10" s="16">
        <v>-582721410000</v>
      </c>
      <c r="K10" s="16" t="s">
        <v>949</v>
      </c>
      <c r="L10" s="57">
        <f t="shared" si="8"/>
        <v>30</v>
      </c>
      <c r="M10" s="17">
        <f t="shared" si="6"/>
        <v>0</v>
      </c>
      <c r="N10" s="18">
        <f t="shared" si="7"/>
        <v>1</v>
      </c>
      <c r="O10" s="27"/>
      <c r="P10" s="8"/>
      <c r="Q10" s="8"/>
      <c r="R10" s="8"/>
      <c r="S10" s="27"/>
      <c r="T10" s="27"/>
      <c r="U10" s="8"/>
      <c r="V10" s="8"/>
      <c r="W10" s="8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</row>
    <row r="11" spans="1:44" ht="15.75" thickBot="1" x14ac:dyDescent="0.3">
      <c r="A11" t="s">
        <v>34</v>
      </c>
      <c r="B11" s="62"/>
      <c r="C11" s="63" t="s">
        <v>38</v>
      </c>
      <c r="D11" s="62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942</v>
      </c>
      <c r="L11" s="57">
        <f t="shared" si="8"/>
        <v>29</v>
      </c>
      <c r="M11" s="17">
        <f t="shared" si="6"/>
        <v>1</v>
      </c>
      <c r="N11" s="18">
        <f t="shared" si="7"/>
        <v>0.96666666666666667</v>
      </c>
      <c r="O11" s="27" t="s">
        <v>1363</v>
      </c>
      <c r="P11" s="8"/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</row>
    <row r="12" spans="1:44" ht="15.75" thickBot="1" x14ac:dyDescent="0.3">
      <c r="A12" t="s">
        <v>34</v>
      </c>
      <c r="B12" s="62"/>
      <c r="C12" s="63" t="s">
        <v>41</v>
      </c>
      <c r="D12" s="62" t="s">
        <v>42</v>
      </c>
      <c r="E12" t="s">
        <v>24</v>
      </c>
      <c r="F12" t="s">
        <v>943</v>
      </c>
      <c r="G12" t="s">
        <v>43</v>
      </c>
      <c r="H12"/>
      <c r="I12" s="16">
        <v>-347718470000</v>
      </c>
      <c r="J12" s="16">
        <v>-582688560000</v>
      </c>
      <c r="K12" s="16" t="s">
        <v>944</v>
      </c>
      <c r="L12" s="57">
        <f t="shared" si="8"/>
        <v>30</v>
      </c>
      <c r="M12" s="17">
        <f t="shared" si="6"/>
        <v>0</v>
      </c>
      <c r="N12" s="18">
        <f t="shared" si="7"/>
        <v>1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</row>
    <row r="13" spans="1:44" ht="15.75" thickBot="1" x14ac:dyDescent="0.3">
      <c r="A13" t="s">
        <v>34</v>
      </c>
      <c r="B13" s="60">
        <v>44642</v>
      </c>
      <c r="C13" s="63" t="s">
        <v>44</v>
      </c>
      <c r="D13" s="62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945</v>
      </c>
      <c r="L13" s="57">
        <f t="shared" si="8"/>
        <v>30</v>
      </c>
      <c r="M13" s="17">
        <f t="shared" si="6"/>
        <v>0</v>
      </c>
      <c r="N13" s="18">
        <f t="shared" si="7"/>
        <v>1</v>
      </c>
      <c r="O13" s="27"/>
      <c r="P13" s="8"/>
      <c r="Q13" s="8"/>
      <c r="R13" s="8"/>
      <c r="S13" s="27"/>
      <c r="T13" s="27"/>
      <c r="U13" s="8"/>
      <c r="V13" s="8"/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</row>
    <row r="14" spans="1:44" ht="15.75" thickBot="1" x14ac:dyDescent="0.3">
      <c r="B14" s="60">
        <v>44642</v>
      </c>
      <c r="C14" s="63" t="s">
        <v>47</v>
      </c>
      <c r="D14" s="62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946</v>
      </c>
      <c r="L14" s="57">
        <f t="shared" si="8"/>
        <v>29</v>
      </c>
      <c r="M14" s="17">
        <f t="shared" si="6"/>
        <v>1</v>
      </c>
      <c r="N14" s="18">
        <f t="shared" si="7"/>
        <v>0.96666666666666667</v>
      </c>
      <c r="O14" s="27" t="s">
        <v>1363</v>
      </c>
      <c r="P14" s="8"/>
      <c r="Q14" s="8"/>
      <c r="R14" s="8"/>
      <c r="S14" s="27"/>
      <c r="T14" s="27"/>
      <c r="U14" s="8"/>
      <c r="V14" s="8"/>
      <c r="W14" s="8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</row>
    <row r="15" spans="1:44" ht="15.75" thickBot="1" x14ac:dyDescent="0.3">
      <c r="A15" t="s">
        <v>34</v>
      </c>
      <c r="B15" s="62"/>
      <c r="C15" s="63" t="s">
        <v>50</v>
      </c>
      <c r="D15" s="62" t="s">
        <v>51</v>
      </c>
      <c r="E15" t="s">
        <v>24</v>
      </c>
      <c r="F15" t="s">
        <v>943</v>
      </c>
      <c r="G15" t="s">
        <v>52</v>
      </c>
      <c r="H15"/>
      <c r="I15" s="16">
        <v>-347708370000</v>
      </c>
      <c r="J15" s="16">
        <v>-582698000000</v>
      </c>
      <c r="K15" s="16" t="s">
        <v>947</v>
      </c>
      <c r="L15" s="57">
        <f t="shared" si="8"/>
        <v>30</v>
      </c>
      <c r="M15" s="17">
        <f t="shared" si="6"/>
        <v>0</v>
      </c>
      <c r="N15" s="18">
        <f t="shared" si="7"/>
        <v>1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</row>
    <row r="16" spans="1:44" ht="15.75" thickBot="1" x14ac:dyDescent="0.3">
      <c r="A16" t="s">
        <v>34</v>
      </c>
      <c r="B16" s="62"/>
      <c r="C16" s="63" t="s">
        <v>53</v>
      </c>
      <c r="D16" s="62" t="s">
        <v>54</v>
      </c>
      <c r="E16" t="s">
        <v>19</v>
      </c>
      <c r="F16" t="s">
        <v>943</v>
      </c>
      <c r="G16"/>
      <c r="H16" t="s">
        <v>55</v>
      </c>
      <c r="I16" s="16">
        <v>-347737570000</v>
      </c>
      <c r="J16" s="16">
        <v>-582676650000</v>
      </c>
      <c r="K16" s="16" t="s">
        <v>951</v>
      </c>
      <c r="L16" s="57">
        <f t="shared" si="8"/>
        <v>30</v>
      </c>
      <c r="M16" s="17">
        <f t="shared" si="6"/>
        <v>0</v>
      </c>
      <c r="N16" s="18">
        <f t="shared" si="7"/>
        <v>1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</row>
    <row r="17" spans="1:44" ht="15.75" thickBot="1" x14ac:dyDescent="0.3">
      <c r="A17" t="s">
        <v>34</v>
      </c>
      <c r="B17" s="60">
        <v>44642</v>
      </c>
      <c r="C17" s="63" t="s">
        <v>56</v>
      </c>
      <c r="D17" s="62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952</v>
      </c>
      <c r="L17" s="57">
        <f t="shared" si="8"/>
        <v>30</v>
      </c>
      <c r="M17" s="17">
        <f t="shared" si="6"/>
        <v>0</v>
      </c>
      <c r="N17" s="18">
        <f t="shared" si="7"/>
        <v>1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</row>
    <row r="18" spans="1:44" ht="15.75" thickBot="1" x14ac:dyDescent="0.3">
      <c r="A18" t="s">
        <v>34</v>
      </c>
      <c r="B18" s="60">
        <v>44642</v>
      </c>
      <c r="C18" s="63" t="s">
        <v>59</v>
      </c>
      <c r="D18" s="62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953</v>
      </c>
      <c r="L18" s="57">
        <f t="shared" si="8"/>
        <v>30</v>
      </c>
      <c r="M18" s="17">
        <f t="shared" si="6"/>
        <v>0</v>
      </c>
      <c r="N18" s="18">
        <f t="shared" si="7"/>
        <v>1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</row>
    <row r="19" spans="1:44" ht="15.75" thickBot="1" x14ac:dyDescent="0.3">
      <c r="A19" t="s">
        <v>62</v>
      </c>
      <c r="B19" s="62"/>
      <c r="C19" s="63" t="s">
        <v>63</v>
      </c>
      <c r="D19" s="62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956</v>
      </c>
      <c r="L19" s="57">
        <f t="shared" si="8"/>
        <v>30</v>
      </c>
      <c r="M19" s="17">
        <f t="shared" si="6"/>
        <v>0</v>
      </c>
      <c r="N19" s="18">
        <f t="shared" si="7"/>
        <v>1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</row>
    <row r="20" spans="1:44" ht="15.75" thickBot="1" x14ac:dyDescent="0.3">
      <c r="A20" t="s">
        <v>34</v>
      </c>
      <c r="B20" s="62"/>
      <c r="C20" s="63" t="s">
        <v>954</v>
      </c>
      <c r="D20" s="62" t="s">
        <v>66</v>
      </c>
      <c r="E20" t="s">
        <v>19</v>
      </c>
      <c r="F20" t="s">
        <v>943</v>
      </c>
      <c r="G20"/>
      <c r="H20" t="s">
        <v>67</v>
      </c>
      <c r="I20" s="16">
        <v>-347689160000</v>
      </c>
      <c r="J20" s="16">
        <v>-582717100000</v>
      </c>
      <c r="K20" s="16" t="s">
        <v>955</v>
      </c>
      <c r="L20" s="57">
        <f t="shared" si="8"/>
        <v>30</v>
      </c>
      <c r="M20" s="17">
        <f t="shared" si="6"/>
        <v>0</v>
      </c>
      <c r="N20" s="18">
        <f t="shared" si="7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</row>
    <row r="21" spans="1:44" ht="15.75" thickBot="1" x14ac:dyDescent="0.3">
      <c r="A21" t="s">
        <v>68</v>
      </c>
      <c r="B21" s="62"/>
      <c r="C21" s="63" t="s">
        <v>69</v>
      </c>
      <c r="D21" s="62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957</v>
      </c>
      <c r="L21" s="57">
        <f t="shared" si="8"/>
        <v>30</v>
      </c>
      <c r="M21" s="17">
        <f t="shared" si="6"/>
        <v>0</v>
      </c>
      <c r="N21" s="18">
        <f t="shared" si="7"/>
        <v>1</v>
      </c>
      <c r="O21" s="27"/>
      <c r="P21" s="8"/>
      <c r="Q21" s="8"/>
      <c r="R21" s="8"/>
      <c r="S21" s="27"/>
      <c r="T21" s="27"/>
      <c r="U21" s="8"/>
      <c r="V21" s="8"/>
      <c r="W21" s="8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</row>
    <row r="22" spans="1:44" ht="15.75" thickBot="1" x14ac:dyDescent="0.3">
      <c r="B22" s="62"/>
      <c r="C22" s="63" t="s">
        <v>1007</v>
      </c>
      <c r="D22" s="62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1008</v>
      </c>
      <c r="L22" s="57">
        <f t="shared" si="8"/>
        <v>29</v>
      </c>
      <c r="M22" s="17">
        <f t="shared" si="6"/>
        <v>1</v>
      </c>
      <c r="N22" s="18">
        <f t="shared" si="7"/>
        <v>0.96666666666666667</v>
      </c>
      <c r="O22" s="27" t="s">
        <v>1363</v>
      </c>
      <c r="P22" s="8"/>
      <c r="Q22" s="8"/>
      <c r="R22" s="8"/>
      <c r="S22" s="27"/>
      <c r="T22" s="27"/>
      <c r="U22" s="8"/>
      <c r="V22" s="8"/>
      <c r="W22" s="8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</row>
    <row r="23" spans="1:44" ht="15.75" thickBot="1" x14ac:dyDescent="0.3">
      <c r="B23" s="62"/>
      <c r="C23" s="63" t="s">
        <v>1010</v>
      </c>
      <c r="D23" s="62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1011</v>
      </c>
      <c r="L23" s="57">
        <f t="shared" si="8"/>
        <v>30</v>
      </c>
      <c r="M23" s="17">
        <f t="shared" si="6"/>
        <v>0</v>
      </c>
      <c r="N23" s="18">
        <f t="shared" si="7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</row>
    <row r="24" spans="1:44" ht="15.75" thickBot="1" x14ac:dyDescent="0.3">
      <c r="B24" s="62"/>
      <c r="C24" s="63" t="s">
        <v>76</v>
      </c>
      <c r="D24" s="62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1012</v>
      </c>
      <c r="L24" s="57">
        <f t="shared" si="8"/>
        <v>30</v>
      </c>
      <c r="M24" s="17">
        <f t="shared" si="6"/>
        <v>0</v>
      </c>
      <c r="N24" s="18">
        <f t="shared" si="7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</row>
    <row r="25" spans="1:44" ht="15.75" thickBot="1" x14ac:dyDescent="0.3">
      <c r="B25" s="62"/>
      <c r="C25" s="63" t="s">
        <v>78</v>
      </c>
      <c r="D25" s="62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1013</v>
      </c>
      <c r="L25" s="57">
        <f t="shared" si="8"/>
        <v>30</v>
      </c>
      <c r="M25" s="17">
        <f t="shared" si="6"/>
        <v>0</v>
      </c>
      <c r="N25" s="18">
        <f t="shared" si="7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</row>
    <row r="26" spans="1:44" ht="15.75" thickBot="1" x14ac:dyDescent="0.3">
      <c r="A26" t="s">
        <v>80</v>
      </c>
      <c r="B26" s="62"/>
      <c r="C26" s="63" t="s">
        <v>81</v>
      </c>
      <c r="D26" s="62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1014</v>
      </c>
      <c r="L26" s="57">
        <f t="shared" si="8"/>
        <v>30</v>
      </c>
      <c r="M26" s="17">
        <f t="shared" si="6"/>
        <v>0</v>
      </c>
      <c r="N26" s="18">
        <f t="shared" si="7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</row>
    <row r="27" spans="1:44" ht="15.75" thickBot="1" x14ac:dyDescent="0.3">
      <c r="B27" s="62"/>
      <c r="C27" s="63" t="s">
        <v>84</v>
      </c>
      <c r="D27" s="62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1015</v>
      </c>
      <c r="L27" s="57">
        <f t="shared" si="8"/>
        <v>30</v>
      </c>
      <c r="M27" s="17">
        <f t="shared" si="6"/>
        <v>0</v>
      </c>
      <c r="N27" s="18">
        <f t="shared" si="7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</row>
    <row r="28" spans="1:44" ht="15.75" thickBot="1" x14ac:dyDescent="0.3">
      <c r="B28" s="62"/>
      <c r="C28" s="63" t="s">
        <v>86</v>
      </c>
      <c r="D28" s="62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1016</v>
      </c>
      <c r="L28" s="57">
        <f t="shared" si="8"/>
        <v>30</v>
      </c>
      <c r="M28" s="17">
        <f t="shared" si="6"/>
        <v>0</v>
      </c>
      <c r="N28" s="18">
        <f t="shared" si="7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</row>
    <row r="29" spans="1:44" ht="15.75" thickBot="1" x14ac:dyDescent="0.3">
      <c r="B29" s="62"/>
      <c r="C29" s="63" t="s">
        <v>89</v>
      </c>
      <c r="D29" s="62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1017</v>
      </c>
      <c r="L29" s="57">
        <f t="shared" si="8"/>
        <v>30</v>
      </c>
      <c r="M29" s="17">
        <f t="shared" si="6"/>
        <v>0</v>
      </c>
      <c r="N29" s="18">
        <f t="shared" si="7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</row>
    <row r="30" spans="1:44" ht="15.75" thickBot="1" x14ac:dyDescent="0.3">
      <c r="A30" t="s">
        <v>80</v>
      </c>
      <c r="B30" s="62"/>
      <c r="C30" s="63" t="s">
        <v>92</v>
      </c>
      <c r="D30" s="62" t="s">
        <v>93</v>
      </c>
      <c r="E30" t="s">
        <v>19</v>
      </c>
      <c r="F30" t="s">
        <v>943</v>
      </c>
      <c r="G30"/>
      <c r="H30" t="s">
        <v>94</v>
      </c>
      <c r="I30" s="16">
        <v>-347999170000</v>
      </c>
      <c r="J30" s="16">
        <v>-582863530000</v>
      </c>
      <c r="K30" s="16" t="s">
        <v>1018</v>
      </c>
      <c r="L30" s="57">
        <f t="shared" si="8"/>
        <v>29</v>
      </c>
      <c r="M30" s="17">
        <f t="shared" si="6"/>
        <v>1</v>
      </c>
      <c r="N30" s="18">
        <f t="shared" si="7"/>
        <v>0.96666666666666667</v>
      </c>
      <c r="O30" s="27" t="s">
        <v>1363</v>
      </c>
      <c r="P30" s="8"/>
      <c r="Q30" s="8"/>
      <c r="R30" s="8"/>
      <c r="S30" s="27"/>
      <c r="T30" s="27"/>
      <c r="U30" s="8"/>
      <c r="V30" s="8"/>
      <c r="W30" s="8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</row>
    <row r="31" spans="1:44" ht="15.75" thickBot="1" x14ac:dyDescent="0.3">
      <c r="A31" t="s">
        <v>80</v>
      </c>
      <c r="B31" s="62"/>
      <c r="C31" s="63" t="s">
        <v>95</v>
      </c>
      <c r="D31" s="62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1019</v>
      </c>
      <c r="L31" s="57">
        <f t="shared" si="8"/>
        <v>30</v>
      </c>
      <c r="M31" s="17">
        <f t="shared" si="6"/>
        <v>0</v>
      </c>
      <c r="N31" s="18">
        <f t="shared" si="7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</row>
    <row r="32" spans="1:44" ht="15.75" thickBot="1" x14ac:dyDescent="0.3">
      <c r="A32" t="s">
        <v>80</v>
      </c>
      <c r="B32" s="62"/>
      <c r="C32" s="63" t="s">
        <v>98</v>
      </c>
      <c r="D32" s="62" t="s">
        <v>920</v>
      </c>
      <c r="E32" t="s">
        <v>19</v>
      </c>
      <c r="F32" t="s">
        <v>943</v>
      </c>
      <c r="G32"/>
      <c r="H32" t="s">
        <v>99</v>
      </c>
      <c r="I32" s="16">
        <v>-348038200000</v>
      </c>
      <c r="J32" s="16">
        <v>-582766160000</v>
      </c>
      <c r="K32" s="16" t="s">
        <v>1020</v>
      </c>
      <c r="L32" s="57">
        <f t="shared" si="8"/>
        <v>30</v>
      </c>
      <c r="M32" s="17">
        <f t="shared" si="6"/>
        <v>0</v>
      </c>
      <c r="N32" s="18">
        <f t="shared" si="7"/>
        <v>1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</row>
    <row r="33" spans="1:44" ht="15.75" thickBot="1" x14ac:dyDescent="0.3">
      <c r="A33" t="s">
        <v>80</v>
      </c>
      <c r="B33" s="62"/>
      <c r="C33" s="63" t="s">
        <v>100</v>
      </c>
      <c r="D33" s="62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1021</v>
      </c>
      <c r="L33" s="57">
        <f t="shared" si="8"/>
        <v>30</v>
      </c>
      <c r="M33" s="17">
        <f t="shared" si="6"/>
        <v>0</v>
      </c>
      <c r="N33" s="18">
        <f t="shared" si="7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</row>
    <row r="34" spans="1:44" ht="15.75" thickBot="1" x14ac:dyDescent="0.3">
      <c r="A34" t="s">
        <v>80</v>
      </c>
      <c r="B34" s="62"/>
      <c r="C34" s="63" t="s">
        <v>103</v>
      </c>
      <c r="D34" s="62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1030</v>
      </c>
      <c r="L34" s="57">
        <f t="shared" si="8"/>
        <v>30</v>
      </c>
      <c r="M34" s="17">
        <f t="shared" si="6"/>
        <v>0</v>
      </c>
      <c r="N34" s="18">
        <f t="shared" si="7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</row>
    <row r="35" spans="1:44" ht="15.75" thickBot="1" x14ac:dyDescent="0.3">
      <c r="A35" t="s">
        <v>80</v>
      </c>
      <c r="B35" s="62"/>
      <c r="C35" s="63" t="s">
        <v>106</v>
      </c>
      <c r="D35" s="62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1031</v>
      </c>
      <c r="L35" s="57">
        <f t="shared" si="8"/>
        <v>30</v>
      </c>
      <c r="M35" s="17">
        <f t="shared" si="6"/>
        <v>0</v>
      </c>
      <c r="N35" s="18">
        <f t="shared" si="7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</row>
    <row r="36" spans="1:44" ht="15.75" thickBot="1" x14ac:dyDescent="0.3">
      <c r="A36" t="s">
        <v>80</v>
      </c>
      <c r="B36" s="62"/>
      <c r="C36" s="63" t="s">
        <v>108</v>
      </c>
      <c r="D36" s="62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1032</v>
      </c>
      <c r="L36" s="57">
        <f t="shared" si="8"/>
        <v>30</v>
      </c>
      <c r="M36" s="17">
        <f t="shared" si="6"/>
        <v>0</v>
      </c>
      <c r="N36" s="18">
        <f t="shared" si="7"/>
        <v>1</v>
      </c>
      <c r="O36" s="27"/>
      <c r="P36" s="8"/>
      <c r="Q36" s="8"/>
      <c r="R36" s="8"/>
      <c r="S36" s="27"/>
      <c r="T36" s="27"/>
      <c r="U36" s="8"/>
      <c r="V36" s="8"/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</row>
    <row r="37" spans="1:44" ht="15.75" thickBot="1" x14ac:dyDescent="0.3">
      <c r="A37" t="s">
        <v>80</v>
      </c>
      <c r="B37" s="62"/>
      <c r="C37" s="63" t="s">
        <v>111</v>
      </c>
      <c r="D37" s="62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958</v>
      </c>
      <c r="L37" s="57">
        <f t="shared" si="8"/>
        <v>30</v>
      </c>
      <c r="M37" s="17">
        <f t="shared" si="6"/>
        <v>0</v>
      </c>
      <c r="N37" s="18">
        <f t="shared" si="7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</row>
    <row r="38" spans="1:44" ht="15.75" thickBot="1" x14ac:dyDescent="0.3">
      <c r="A38" t="s">
        <v>80</v>
      </c>
      <c r="B38" s="62"/>
      <c r="C38" s="63" t="s">
        <v>115</v>
      </c>
      <c r="D38" s="62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950</v>
      </c>
      <c r="L38" s="57">
        <f t="shared" si="8"/>
        <v>30</v>
      </c>
      <c r="M38" s="17">
        <f t="shared" si="6"/>
        <v>0</v>
      </c>
      <c r="N38" s="18">
        <f t="shared" si="7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</row>
    <row r="39" spans="1:44" ht="15.75" thickBot="1" x14ac:dyDescent="0.3">
      <c r="A39" t="s">
        <v>80</v>
      </c>
      <c r="B39" s="62"/>
      <c r="C39" s="63" t="s">
        <v>118</v>
      </c>
      <c r="D39" s="62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959</v>
      </c>
      <c r="L39" s="57">
        <f t="shared" si="8"/>
        <v>30</v>
      </c>
      <c r="M39" s="17">
        <f t="shared" si="6"/>
        <v>0</v>
      </c>
      <c r="N39" s="18">
        <f t="shared" si="7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</row>
    <row r="40" spans="1:44" ht="15.75" thickBot="1" x14ac:dyDescent="0.3">
      <c r="A40" t="s">
        <v>80</v>
      </c>
      <c r="B40" s="62"/>
      <c r="C40" s="63" t="s">
        <v>121</v>
      </c>
      <c r="D40" s="62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960</v>
      </c>
      <c r="L40" s="57">
        <f t="shared" si="8"/>
        <v>30</v>
      </c>
      <c r="M40" s="17">
        <f t="shared" si="6"/>
        <v>0</v>
      </c>
      <c r="N40" s="18">
        <f t="shared" si="7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</row>
    <row r="41" spans="1:44" ht="15.75" thickBot="1" x14ac:dyDescent="0.3">
      <c r="A41" t="s">
        <v>80</v>
      </c>
      <c r="B41" s="62"/>
      <c r="C41" s="63" t="s">
        <v>124</v>
      </c>
      <c r="D41" s="62" t="s">
        <v>941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961</v>
      </c>
      <c r="L41" s="57">
        <f t="shared" si="8"/>
        <v>30</v>
      </c>
      <c r="M41" s="17">
        <f t="shared" si="6"/>
        <v>0</v>
      </c>
      <c r="N41" s="18">
        <f t="shared" si="7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</row>
    <row r="42" spans="1:44" ht="15.75" thickBot="1" x14ac:dyDescent="0.3">
      <c r="A42" t="s">
        <v>80</v>
      </c>
      <c r="B42" s="62"/>
      <c r="C42" s="63" t="s">
        <v>127</v>
      </c>
      <c r="D42" s="62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962</v>
      </c>
      <c r="L42" s="57">
        <f t="shared" si="8"/>
        <v>30</v>
      </c>
      <c r="M42" s="17">
        <f t="shared" si="6"/>
        <v>0</v>
      </c>
      <c r="N42" s="18">
        <f t="shared" si="7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</row>
    <row r="43" spans="1:44" ht="15.75" thickBot="1" x14ac:dyDescent="0.3">
      <c r="A43" t="s">
        <v>80</v>
      </c>
      <c r="B43" s="62"/>
      <c r="C43" s="63" t="s">
        <v>130</v>
      </c>
      <c r="D43" s="62" t="s">
        <v>940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963</v>
      </c>
      <c r="L43" s="57">
        <f t="shared" si="8"/>
        <v>30</v>
      </c>
      <c r="M43" s="17">
        <f t="shared" si="6"/>
        <v>0</v>
      </c>
      <c r="N43" s="18">
        <f t="shared" si="7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</row>
    <row r="44" spans="1:44" ht="15.75" thickBot="1" x14ac:dyDescent="0.3">
      <c r="A44" t="s">
        <v>80</v>
      </c>
      <c r="B44" s="62"/>
      <c r="C44" s="63" t="s">
        <v>133</v>
      </c>
      <c r="D44" s="62" t="s">
        <v>939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964</v>
      </c>
      <c r="L44" s="57">
        <f t="shared" si="8"/>
        <v>30</v>
      </c>
      <c r="M44" s="17">
        <f t="shared" si="6"/>
        <v>0</v>
      </c>
      <c r="N44" s="18">
        <f t="shared" si="7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</row>
    <row r="45" spans="1:44" ht="15.75" thickBot="1" x14ac:dyDescent="0.3">
      <c r="A45" t="s">
        <v>80</v>
      </c>
      <c r="B45" s="62"/>
      <c r="C45" s="63" t="s">
        <v>135</v>
      </c>
      <c r="D45" s="62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965</v>
      </c>
      <c r="L45" s="57">
        <f t="shared" si="8"/>
        <v>30</v>
      </c>
      <c r="M45" s="17">
        <f t="shared" si="6"/>
        <v>0</v>
      </c>
      <c r="N45" s="18">
        <f t="shared" si="7"/>
        <v>1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</row>
    <row r="46" spans="1:44" ht="15.75" thickBot="1" x14ac:dyDescent="0.3">
      <c r="A46" t="s">
        <v>80</v>
      </c>
      <c r="B46" s="62"/>
      <c r="C46" s="63" t="s">
        <v>138</v>
      </c>
      <c r="D46" s="62" t="s">
        <v>139</v>
      </c>
      <c r="E46" t="s">
        <v>24</v>
      </c>
      <c r="F46" t="s">
        <v>36</v>
      </c>
      <c r="G46" t="s">
        <v>140</v>
      </c>
      <c r="H46"/>
      <c r="I46" s="16">
        <v>-348107030000</v>
      </c>
      <c r="J46" s="16">
        <v>-582745850000</v>
      </c>
      <c r="K46" s="16" t="s">
        <v>966</v>
      </c>
      <c r="L46" s="57">
        <f t="shared" si="8"/>
        <v>30</v>
      </c>
      <c r="M46" s="17">
        <f t="shared" si="6"/>
        <v>0</v>
      </c>
      <c r="N46" s="18">
        <f t="shared" si="7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</row>
    <row r="47" spans="1:44" ht="15.75" thickBot="1" x14ac:dyDescent="0.3">
      <c r="A47" t="s">
        <v>80</v>
      </c>
      <c r="B47" s="62"/>
      <c r="C47" s="63" t="s">
        <v>141</v>
      </c>
      <c r="D47" s="62" t="s">
        <v>142</v>
      </c>
      <c r="E47" t="s">
        <v>24</v>
      </c>
      <c r="F47" t="s">
        <v>36</v>
      </c>
      <c r="G47" t="s">
        <v>143</v>
      </c>
      <c r="H47" t="s">
        <v>144</v>
      </c>
      <c r="I47" s="16">
        <v>-348099320000</v>
      </c>
      <c r="J47" s="16">
        <v>-582745900000</v>
      </c>
      <c r="K47" s="16" t="s">
        <v>967</v>
      </c>
      <c r="L47" s="57">
        <f t="shared" si="8"/>
        <v>30</v>
      </c>
      <c r="M47" s="17">
        <f t="shared" si="6"/>
        <v>0</v>
      </c>
      <c r="N47" s="18">
        <f t="shared" si="7"/>
        <v>1</v>
      </c>
      <c r="O47" s="27"/>
      <c r="P47" s="8"/>
      <c r="Q47" s="8"/>
      <c r="R47" s="8"/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</row>
    <row r="48" spans="1:44" ht="15.75" thickBot="1" x14ac:dyDescent="0.3">
      <c r="A48" t="s">
        <v>80</v>
      </c>
      <c r="B48" s="62"/>
      <c r="C48" s="63" t="s">
        <v>145</v>
      </c>
      <c r="D48" s="62" t="s">
        <v>146</v>
      </c>
      <c r="E48" t="s">
        <v>24</v>
      </c>
      <c r="F48" t="s">
        <v>36</v>
      </c>
      <c r="G48" t="s">
        <v>147</v>
      </c>
      <c r="H48"/>
      <c r="I48" s="16">
        <v>-348088700000</v>
      </c>
      <c r="J48" s="16">
        <v>-582747030000</v>
      </c>
      <c r="K48" s="16" t="s">
        <v>968</v>
      </c>
      <c r="L48" s="57">
        <f t="shared" si="8"/>
        <v>29</v>
      </c>
      <c r="M48" s="17">
        <f t="shared" si="6"/>
        <v>1</v>
      </c>
      <c r="N48" s="18">
        <f t="shared" si="7"/>
        <v>0.96666666666666667</v>
      </c>
      <c r="O48" s="27" t="s">
        <v>1363</v>
      </c>
      <c r="P48" s="8"/>
      <c r="Q48" s="8"/>
      <c r="R48" s="8"/>
      <c r="S48" s="27"/>
      <c r="T48" s="27"/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</row>
    <row r="49" spans="1:44" ht="15.75" thickBot="1" x14ac:dyDescent="0.3">
      <c r="A49" t="s">
        <v>80</v>
      </c>
      <c r="B49" s="62"/>
      <c r="C49" s="63" t="s">
        <v>148</v>
      </c>
      <c r="D49" s="62" t="s">
        <v>149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969</v>
      </c>
      <c r="L49" s="57">
        <f t="shared" si="8"/>
        <v>30</v>
      </c>
      <c r="M49" s="17">
        <f t="shared" si="6"/>
        <v>0</v>
      </c>
      <c r="N49" s="18">
        <f t="shared" si="7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</row>
    <row r="50" spans="1:44" ht="15.75" thickBot="1" x14ac:dyDescent="0.3">
      <c r="A50" t="s">
        <v>80</v>
      </c>
      <c r="B50" s="62"/>
      <c r="C50" s="63" t="s">
        <v>150</v>
      </c>
      <c r="D50" s="62" t="s">
        <v>1324</v>
      </c>
      <c r="E50" t="s">
        <v>24</v>
      </c>
      <c r="F50" t="s">
        <v>36</v>
      </c>
      <c r="G50" t="s">
        <v>151</v>
      </c>
      <c r="H50"/>
      <c r="I50" s="16">
        <v>-348105840000</v>
      </c>
      <c r="J50" s="16">
        <v>-582705460000</v>
      </c>
      <c r="K50" s="16" t="s">
        <v>970</v>
      </c>
      <c r="L50" s="57">
        <f t="shared" si="8"/>
        <v>30</v>
      </c>
      <c r="M50" s="17">
        <f t="shared" si="6"/>
        <v>0</v>
      </c>
      <c r="N50" s="18">
        <f t="shared" si="7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</row>
    <row r="51" spans="1:44" ht="15.75" thickBot="1" x14ac:dyDescent="0.3">
      <c r="A51" t="s">
        <v>80</v>
      </c>
      <c r="B51" s="62"/>
      <c r="C51" s="63" t="s">
        <v>152</v>
      </c>
      <c r="D51" s="62" t="s">
        <v>153</v>
      </c>
      <c r="E51" t="s">
        <v>24</v>
      </c>
      <c r="F51" t="s">
        <v>36</v>
      </c>
      <c r="G51" t="s">
        <v>154</v>
      </c>
      <c r="H51"/>
      <c r="I51" s="16">
        <v>-348056730000</v>
      </c>
      <c r="J51" s="16">
        <v>-582731900000</v>
      </c>
      <c r="K51" s="16" t="s">
        <v>971</v>
      </c>
      <c r="L51" s="57">
        <f t="shared" si="8"/>
        <v>29</v>
      </c>
      <c r="M51" s="17">
        <f t="shared" si="6"/>
        <v>1</v>
      </c>
      <c r="N51" s="18">
        <f t="shared" si="7"/>
        <v>0.96666666666666667</v>
      </c>
      <c r="O51" s="27" t="s">
        <v>1363</v>
      </c>
      <c r="P51" s="8"/>
      <c r="Q51" s="8"/>
      <c r="R51" s="8"/>
      <c r="S51" s="27"/>
      <c r="T51" s="27"/>
      <c r="U51" s="8"/>
      <c r="V51" s="8"/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</row>
    <row r="52" spans="1:44" ht="15.75" thickBot="1" x14ac:dyDescent="0.3">
      <c r="A52" t="s">
        <v>80</v>
      </c>
      <c r="B52" s="62"/>
      <c r="C52" s="63" t="s">
        <v>155</v>
      </c>
      <c r="D52" s="62" t="s">
        <v>156</v>
      </c>
      <c r="E52" t="s">
        <v>113</v>
      </c>
      <c r="F52" t="s">
        <v>36</v>
      </c>
      <c r="G52" t="s">
        <v>157</v>
      </c>
      <c r="H52" t="s">
        <v>158</v>
      </c>
      <c r="I52" s="16">
        <v>-348100860000</v>
      </c>
      <c r="J52" s="16">
        <v>-582782440000</v>
      </c>
      <c r="K52" s="16" t="s">
        <v>972</v>
      </c>
      <c r="L52" s="57">
        <f t="shared" si="8"/>
        <v>30</v>
      </c>
      <c r="M52" s="17">
        <f t="shared" si="6"/>
        <v>0</v>
      </c>
      <c r="N52" s="18">
        <f t="shared" si="7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</row>
    <row r="53" spans="1:44" ht="15.75" thickBot="1" x14ac:dyDescent="0.3">
      <c r="B53" s="62"/>
      <c r="C53" s="63" t="s">
        <v>159</v>
      </c>
      <c r="D53" s="62" t="s">
        <v>160</v>
      </c>
      <c r="E53" t="s">
        <v>24</v>
      </c>
      <c r="F53" t="s">
        <v>943</v>
      </c>
      <c r="G53" t="s">
        <v>161</v>
      </c>
      <c r="H53" t="s">
        <v>162</v>
      </c>
      <c r="I53" s="16">
        <v>-348090820000</v>
      </c>
      <c r="J53" s="16">
        <v>-582779860000</v>
      </c>
      <c r="K53" s="16" t="s">
        <v>973</v>
      </c>
      <c r="L53" s="57">
        <f t="shared" si="8"/>
        <v>30</v>
      </c>
      <c r="M53" s="17">
        <f t="shared" si="6"/>
        <v>0</v>
      </c>
      <c r="N53" s="18">
        <f t="shared" si="7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</row>
    <row r="54" spans="1:44" ht="15.75" thickBot="1" x14ac:dyDescent="0.3">
      <c r="A54" t="s">
        <v>80</v>
      </c>
      <c r="B54" s="62"/>
      <c r="C54" s="63" t="s">
        <v>163</v>
      </c>
      <c r="D54" s="62" t="s">
        <v>164</v>
      </c>
      <c r="E54" t="s">
        <v>113</v>
      </c>
      <c r="F54" t="s">
        <v>36</v>
      </c>
      <c r="G54" t="s">
        <v>165</v>
      </c>
      <c r="H54" t="s">
        <v>162</v>
      </c>
      <c r="I54" s="16">
        <v>-348083950000</v>
      </c>
      <c r="J54" s="16">
        <v>-582747030000</v>
      </c>
      <c r="K54" s="16" t="s">
        <v>974</v>
      </c>
      <c r="L54" s="57">
        <f t="shared" si="8"/>
        <v>29</v>
      </c>
      <c r="M54" s="17">
        <f t="shared" si="6"/>
        <v>1</v>
      </c>
      <c r="N54" s="18">
        <f t="shared" si="7"/>
        <v>0.96666666666666667</v>
      </c>
      <c r="O54" s="27" t="s">
        <v>1363</v>
      </c>
      <c r="P54" s="8"/>
      <c r="Q54" s="8"/>
      <c r="R54" s="8"/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</row>
    <row r="55" spans="1:44" ht="15.75" thickBot="1" x14ac:dyDescent="0.3">
      <c r="A55" t="s">
        <v>80</v>
      </c>
      <c r="B55" s="62"/>
      <c r="C55" s="63" t="s">
        <v>166</v>
      </c>
      <c r="D55" s="62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975</v>
      </c>
      <c r="L55" s="57">
        <f t="shared" si="8"/>
        <v>30</v>
      </c>
      <c r="M55" s="17">
        <f t="shared" si="6"/>
        <v>0</v>
      </c>
      <c r="N55" s="18">
        <f t="shared" si="7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</row>
    <row r="56" spans="1:44" ht="15.75" thickBot="1" x14ac:dyDescent="0.3">
      <c r="A56" t="s">
        <v>167</v>
      </c>
      <c r="B56" s="62"/>
      <c r="C56" s="63" t="s">
        <v>168</v>
      </c>
      <c r="D56" s="62" t="s">
        <v>169</v>
      </c>
      <c r="E56" t="s">
        <v>24</v>
      </c>
      <c r="F56" t="s">
        <v>36</v>
      </c>
      <c r="G56" t="s">
        <v>170</v>
      </c>
      <c r="H56"/>
      <c r="I56" s="16">
        <v>-347986060000</v>
      </c>
      <c r="J56" s="16">
        <v>-582839810000</v>
      </c>
      <c r="K56" s="16" t="s">
        <v>976</v>
      </c>
      <c r="L56" s="57">
        <f t="shared" si="8"/>
        <v>29</v>
      </c>
      <c r="M56" s="17">
        <f t="shared" si="6"/>
        <v>1</v>
      </c>
      <c r="N56" s="18">
        <f t="shared" si="7"/>
        <v>0.96666666666666667</v>
      </c>
      <c r="O56" s="27" t="s">
        <v>1363</v>
      </c>
      <c r="P56" s="8"/>
      <c r="Q56" s="8"/>
      <c r="R56" s="8"/>
      <c r="S56" s="27"/>
      <c r="T56" s="27"/>
      <c r="U56" s="8"/>
      <c r="V56" s="8"/>
      <c r="W56" s="8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</row>
    <row r="57" spans="1:44" ht="15.75" thickBot="1" x14ac:dyDescent="0.3">
      <c r="A57" t="s">
        <v>80</v>
      </c>
      <c r="B57" s="62"/>
      <c r="C57" s="63" t="s">
        <v>171</v>
      </c>
      <c r="D57" s="62" t="s">
        <v>172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977</v>
      </c>
      <c r="L57" s="57">
        <f t="shared" si="8"/>
        <v>30</v>
      </c>
      <c r="M57" s="17">
        <f t="shared" si="6"/>
        <v>0</v>
      </c>
      <c r="N57" s="18">
        <f t="shared" si="7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</row>
    <row r="58" spans="1:44" ht="15.75" thickBot="1" x14ac:dyDescent="0.3">
      <c r="A58" t="s">
        <v>80</v>
      </c>
      <c r="B58" s="62"/>
      <c r="C58" s="63" t="s">
        <v>173</v>
      </c>
      <c r="D58" s="62" t="s">
        <v>174</v>
      </c>
      <c r="E58" t="s">
        <v>24</v>
      </c>
      <c r="F58" t="s">
        <v>25</v>
      </c>
      <c r="G58" t="s">
        <v>175</v>
      </c>
      <c r="H58"/>
      <c r="I58" s="16">
        <v>-348040780000</v>
      </c>
      <c r="J58" s="16">
        <v>-582835220000</v>
      </c>
      <c r="K58" s="16" t="s">
        <v>978</v>
      </c>
      <c r="L58" s="57">
        <f t="shared" si="8"/>
        <v>30</v>
      </c>
      <c r="M58" s="17">
        <f t="shared" si="6"/>
        <v>0</v>
      </c>
      <c r="N58" s="18">
        <f t="shared" si="7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</row>
    <row r="59" spans="1:44" ht="15.75" thickBot="1" x14ac:dyDescent="0.3">
      <c r="A59" t="s">
        <v>80</v>
      </c>
      <c r="B59" s="62"/>
      <c r="C59" s="63" t="s">
        <v>176</v>
      </c>
      <c r="D59" s="62" t="s">
        <v>177</v>
      </c>
      <c r="E59" t="s">
        <v>24</v>
      </c>
      <c r="F59" t="s">
        <v>36</v>
      </c>
      <c r="G59" t="s">
        <v>178</v>
      </c>
      <c r="H59"/>
      <c r="I59" s="16">
        <v>-348078180000</v>
      </c>
      <c r="J59" s="16">
        <v>-582747270000</v>
      </c>
      <c r="K59" s="16" t="s">
        <v>979</v>
      </c>
      <c r="L59" s="57">
        <f t="shared" si="8"/>
        <v>30</v>
      </c>
      <c r="M59" s="17">
        <f t="shared" si="6"/>
        <v>0</v>
      </c>
      <c r="N59" s="18">
        <f t="shared" si="7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</row>
    <row r="60" spans="1:44" ht="15.75" thickBot="1" x14ac:dyDescent="0.3">
      <c r="A60" t="s">
        <v>80</v>
      </c>
      <c r="B60" s="62"/>
      <c r="C60" s="63" t="s">
        <v>179</v>
      </c>
      <c r="D60" s="62" t="s">
        <v>916</v>
      </c>
      <c r="E60" t="s">
        <v>24</v>
      </c>
      <c r="F60" t="s">
        <v>36</v>
      </c>
      <c r="G60" t="s">
        <v>180</v>
      </c>
      <c r="H60"/>
      <c r="I60" s="16">
        <v>-348079190000</v>
      </c>
      <c r="J60" s="16">
        <v>-582764410000</v>
      </c>
      <c r="K60" s="16" t="s">
        <v>980</v>
      </c>
      <c r="L60" s="57">
        <f t="shared" si="8"/>
        <v>30</v>
      </c>
      <c r="M60" s="17">
        <f t="shared" si="6"/>
        <v>0</v>
      </c>
      <c r="N60" s="18">
        <f t="shared" si="7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</row>
    <row r="61" spans="1:44" ht="15.75" thickBot="1" x14ac:dyDescent="0.3">
      <c r="A61" t="s">
        <v>80</v>
      </c>
      <c r="B61" s="62"/>
      <c r="C61" s="63" t="s">
        <v>181</v>
      </c>
      <c r="D61" s="62" t="s">
        <v>182</v>
      </c>
      <c r="E61" t="s">
        <v>24</v>
      </c>
      <c r="F61" t="s">
        <v>36</v>
      </c>
      <c r="G61" t="s">
        <v>65</v>
      </c>
      <c r="H61" t="s">
        <v>183</v>
      </c>
      <c r="I61" s="16">
        <v>-348027470000</v>
      </c>
      <c r="J61" s="16">
        <v>-582782920000</v>
      </c>
      <c r="K61" s="16" t="s">
        <v>981</v>
      </c>
      <c r="L61" s="57">
        <f t="shared" si="8"/>
        <v>30</v>
      </c>
      <c r="M61" s="17">
        <f t="shared" si="6"/>
        <v>0</v>
      </c>
      <c r="N61" s="18">
        <f t="shared" si="7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</row>
    <row r="62" spans="1:44" ht="15.75" thickBot="1" x14ac:dyDescent="0.3">
      <c r="A62" t="s">
        <v>80</v>
      </c>
      <c r="B62" s="62"/>
      <c r="C62" s="63" t="s">
        <v>184</v>
      </c>
      <c r="D62" s="62" t="s">
        <v>914</v>
      </c>
      <c r="E62" t="s">
        <v>24</v>
      </c>
      <c r="F62" t="s">
        <v>36</v>
      </c>
      <c r="G62" t="s">
        <v>185</v>
      </c>
      <c r="H62"/>
      <c r="I62" s="16">
        <v>-348089580000</v>
      </c>
      <c r="J62" s="16">
        <v>-582763340000</v>
      </c>
      <c r="K62" s="16" t="s">
        <v>982</v>
      </c>
      <c r="L62" s="57">
        <f t="shared" si="8"/>
        <v>30</v>
      </c>
      <c r="M62" s="17">
        <f t="shared" si="6"/>
        <v>0</v>
      </c>
      <c r="N62" s="18">
        <f t="shared" si="7"/>
        <v>1</v>
      </c>
      <c r="O62" s="27"/>
      <c r="P62" s="8"/>
      <c r="Q62" s="8"/>
      <c r="R62" s="8"/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</row>
    <row r="63" spans="1:44" ht="15.75" thickBot="1" x14ac:dyDescent="0.3">
      <c r="A63" t="s">
        <v>80</v>
      </c>
      <c r="B63" s="62"/>
      <c r="C63" s="63" t="s">
        <v>186</v>
      </c>
      <c r="D63" s="62" t="s">
        <v>913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983</v>
      </c>
      <c r="L63" s="57">
        <f t="shared" si="8"/>
        <v>30</v>
      </c>
      <c r="M63" s="17">
        <f t="shared" si="6"/>
        <v>0</v>
      </c>
      <c r="N63" s="18">
        <f t="shared" si="7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</row>
    <row r="64" spans="1:44" ht="15.75" thickBot="1" x14ac:dyDescent="0.3">
      <c r="A64" t="s">
        <v>80</v>
      </c>
      <c r="B64" s="62"/>
      <c r="C64" s="63" t="s">
        <v>187</v>
      </c>
      <c r="D64" s="62" t="s">
        <v>188</v>
      </c>
      <c r="E64" t="s">
        <v>24</v>
      </c>
      <c r="F64" t="s">
        <v>36</v>
      </c>
      <c r="G64" t="s">
        <v>185</v>
      </c>
      <c r="H64"/>
      <c r="I64" s="16">
        <v>-348087820000</v>
      </c>
      <c r="J64" s="16">
        <v>-582729860000</v>
      </c>
      <c r="K64" s="16" t="s">
        <v>984</v>
      </c>
      <c r="L64" s="57">
        <f t="shared" si="8"/>
        <v>30</v>
      </c>
      <c r="M64" s="17">
        <f t="shared" si="6"/>
        <v>0</v>
      </c>
      <c r="N64" s="18">
        <f t="shared" si="7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</row>
    <row r="65" spans="1:44" ht="15.75" thickBot="1" x14ac:dyDescent="0.3">
      <c r="A65" t="s">
        <v>80</v>
      </c>
      <c r="B65" s="62"/>
      <c r="C65" s="63" t="s">
        <v>189</v>
      </c>
      <c r="D65" s="62" t="s">
        <v>190</v>
      </c>
      <c r="E65" t="s">
        <v>24</v>
      </c>
      <c r="F65" t="s">
        <v>36</v>
      </c>
      <c r="G65" t="s">
        <v>185</v>
      </c>
      <c r="H65"/>
      <c r="I65" s="16">
        <v>-348066860000</v>
      </c>
      <c r="J65" s="16">
        <v>-582731470000</v>
      </c>
      <c r="K65" s="16" t="s">
        <v>985</v>
      </c>
      <c r="L65" s="57">
        <f t="shared" si="8"/>
        <v>30</v>
      </c>
      <c r="M65" s="17">
        <f t="shared" si="6"/>
        <v>0</v>
      </c>
      <c r="N65" s="18">
        <f t="shared" si="7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</row>
    <row r="66" spans="1:44" ht="15.75" thickBot="1" x14ac:dyDescent="0.3">
      <c r="A66" t="s">
        <v>80</v>
      </c>
      <c r="B66" s="62"/>
      <c r="C66" s="63" t="s">
        <v>191</v>
      </c>
      <c r="D66" s="62" t="s">
        <v>192</v>
      </c>
      <c r="E66" t="s">
        <v>24</v>
      </c>
      <c r="F66" t="s">
        <v>36</v>
      </c>
      <c r="G66" t="s">
        <v>193</v>
      </c>
      <c r="H66"/>
      <c r="I66" s="16">
        <v>-348086060000</v>
      </c>
      <c r="J66" s="16">
        <v>-582700470000</v>
      </c>
      <c r="K66" s="16" t="s">
        <v>986</v>
      </c>
      <c r="L66" s="57">
        <f t="shared" si="8"/>
        <v>30</v>
      </c>
      <c r="M66" s="17">
        <f t="shared" si="6"/>
        <v>0</v>
      </c>
      <c r="N66" s="18">
        <f t="shared" si="7"/>
        <v>1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</row>
    <row r="67" spans="1:44" ht="15.75" thickBot="1" x14ac:dyDescent="0.3">
      <c r="A67" t="s">
        <v>80</v>
      </c>
      <c r="B67" s="62"/>
      <c r="C67" s="63" t="s">
        <v>194</v>
      </c>
      <c r="D67" s="62" t="s">
        <v>195</v>
      </c>
      <c r="E67" t="s">
        <v>24</v>
      </c>
      <c r="F67" t="s">
        <v>36</v>
      </c>
      <c r="G67" t="s">
        <v>196</v>
      </c>
      <c r="H67"/>
      <c r="I67" s="16">
        <v>-348088130000</v>
      </c>
      <c r="J67" s="16">
        <v>-582738390000</v>
      </c>
      <c r="K67" s="16" t="s">
        <v>987</v>
      </c>
      <c r="L67" s="57">
        <f t="shared" si="8"/>
        <v>30</v>
      </c>
      <c r="M67" s="17">
        <f t="shared" si="6"/>
        <v>0</v>
      </c>
      <c r="N67" s="18">
        <f t="shared" si="7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</row>
    <row r="68" spans="1:44" ht="15.75" thickBot="1" x14ac:dyDescent="0.3">
      <c r="A68" t="s">
        <v>80</v>
      </c>
      <c r="B68" s="62"/>
      <c r="C68" s="63" t="s">
        <v>197</v>
      </c>
      <c r="D68" s="62" t="s">
        <v>915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988</v>
      </c>
      <c r="L68" s="57">
        <f t="shared" si="8"/>
        <v>30</v>
      </c>
      <c r="M68" s="17">
        <f t="shared" si="6"/>
        <v>0</v>
      </c>
      <c r="N68" s="18">
        <f t="shared" si="7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</row>
    <row r="69" spans="1:44" ht="15.75" thickBot="1" x14ac:dyDescent="0.3">
      <c r="A69" t="s">
        <v>80</v>
      </c>
      <c r="B69" s="62"/>
      <c r="C69" s="63" t="s">
        <v>198</v>
      </c>
      <c r="D69" s="62" t="s">
        <v>199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989</v>
      </c>
      <c r="L69" s="57">
        <f t="shared" si="8"/>
        <v>30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</row>
    <row r="70" spans="1:44" ht="15.75" thickBot="1" x14ac:dyDescent="0.3">
      <c r="A70" t="s">
        <v>80</v>
      </c>
      <c r="B70" s="62"/>
      <c r="C70" s="63" t="s">
        <v>200</v>
      </c>
      <c r="D70" s="62" t="s">
        <v>917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990</v>
      </c>
      <c r="L70" s="57">
        <f t="shared" ref="L70:L133" si="11">COUNTIF(O70:AR70,"")</f>
        <v>30</v>
      </c>
      <c r="M70" s="17">
        <f t="shared" si="9"/>
        <v>0</v>
      </c>
      <c r="N70" s="18">
        <f t="shared" si="10"/>
        <v>1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</row>
    <row r="71" spans="1:44" ht="15.75" thickBot="1" x14ac:dyDescent="0.3">
      <c r="A71" t="s">
        <v>80</v>
      </c>
      <c r="B71" s="62"/>
      <c r="C71" s="63" t="s">
        <v>201</v>
      </c>
      <c r="D71" s="62" t="s">
        <v>918</v>
      </c>
      <c r="E71" t="s">
        <v>24</v>
      </c>
      <c r="F71" t="s">
        <v>36</v>
      </c>
      <c r="G71" t="s">
        <v>161</v>
      </c>
      <c r="H71"/>
      <c r="I71" s="16">
        <v>-347995320000</v>
      </c>
      <c r="J71" s="16">
        <v>-582767420000</v>
      </c>
      <c r="K71" s="16" t="s">
        <v>991</v>
      </c>
      <c r="L71" s="57">
        <f t="shared" si="11"/>
        <v>30</v>
      </c>
      <c r="M71" s="17">
        <f t="shared" si="9"/>
        <v>0</v>
      </c>
      <c r="N71" s="18">
        <f t="shared" si="10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</row>
    <row r="72" spans="1:44" ht="15.75" thickBot="1" x14ac:dyDescent="0.3">
      <c r="A72" t="s">
        <v>80</v>
      </c>
      <c r="B72" s="62"/>
      <c r="C72" s="63" t="s">
        <v>202</v>
      </c>
      <c r="D72" s="62" t="s">
        <v>919</v>
      </c>
      <c r="E72" t="s">
        <v>24</v>
      </c>
      <c r="F72" t="s">
        <v>36</v>
      </c>
      <c r="G72" t="s">
        <v>161</v>
      </c>
      <c r="H72"/>
      <c r="I72" s="16">
        <v>-348027390000</v>
      </c>
      <c r="J72" s="16">
        <v>-582766340000</v>
      </c>
      <c r="K72" s="16" t="s">
        <v>992</v>
      </c>
      <c r="L72" s="57">
        <f t="shared" si="11"/>
        <v>30</v>
      </c>
      <c r="M72" s="17">
        <f t="shared" si="9"/>
        <v>0</v>
      </c>
      <c r="N72" s="18">
        <f t="shared" si="10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</row>
    <row r="73" spans="1:44" ht="15.75" thickBot="1" x14ac:dyDescent="0.3">
      <c r="A73" t="s">
        <v>80</v>
      </c>
      <c r="B73" s="62"/>
      <c r="C73" s="63" t="s">
        <v>203</v>
      </c>
      <c r="D73" s="62" t="s">
        <v>204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993</v>
      </c>
      <c r="L73" s="57">
        <f t="shared" si="11"/>
        <v>30</v>
      </c>
      <c r="M73" s="17">
        <f t="shared" si="9"/>
        <v>0</v>
      </c>
      <c r="N73" s="18">
        <f t="shared" si="10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</row>
    <row r="74" spans="1:44" ht="15.75" thickBot="1" x14ac:dyDescent="0.3">
      <c r="A74" t="s">
        <v>80</v>
      </c>
      <c r="B74" s="62"/>
      <c r="C74" s="63" t="s">
        <v>205</v>
      </c>
      <c r="D74" s="62" t="s">
        <v>206</v>
      </c>
      <c r="E74" t="s">
        <v>24</v>
      </c>
      <c r="F74" t="s">
        <v>36</v>
      </c>
      <c r="G74" t="s">
        <v>161</v>
      </c>
      <c r="H74"/>
      <c r="I74" s="16">
        <v>-348004490000</v>
      </c>
      <c r="J74" s="16">
        <v>-582742520000</v>
      </c>
      <c r="K74" s="16" t="s">
        <v>994</v>
      </c>
      <c r="L74" s="57">
        <f t="shared" si="11"/>
        <v>30</v>
      </c>
      <c r="M74" s="17">
        <f t="shared" si="9"/>
        <v>0</v>
      </c>
      <c r="N74" s="18">
        <f t="shared" si="10"/>
        <v>1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</row>
    <row r="75" spans="1:44" ht="15.75" thickBot="1" x14ac:dyDescent="0.3">
      <c r="A75" t="s">
        <v>80</v>
      </c>
      <c r="B75" s="62"/>
      <c r="C75" s="63" t="s">
        <v>207</v>
      </c>
      <c r="D75" s="62" t="s">
        <v>208</v>
      </c>
      <c r="E75" t="s">
        <v>24</v>
      </c>
      <c r="F75" t="s">
        <v>36</v>
      </c>
      <c r="G75" t="s">
        <v>209</v>
      </c>
      <c r="H75"/>
      <c r="I75" s="16">
        <v>-348038310000</v>
      </c>
      <c r="J75" s="16">
        <v>-582781900000</v>
      </c>
      <c r="K75" s="16" t="s">
        <v>995</v>
      </c>
      <c r="L75" s="57">
        <f t="shared" si="11"/>
        <v>30</v>
      </c>
      <c r="M75" s="17">
        <f t="shared" si="9"/>
        <v>0</v>
      </c>
      <c r="N75" s="18">
        <f t="shared" si="10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</row>
    <row r="76" spans="1:44" ht="15.75" thickBot="1" x14ac:dyDescent="0.3">
      <c r="A76" t="s">
        <v>80</v>
      </c>
      <c r="B76" s="62"/>
      <c r="C76" s="63" t="s">
        <v>210</v>
      </c>
      <c r="D76" s="62" t="s">
        <v>211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996</v>
      </c>
      <c r="L76" s="57">
        <f t="shared" si="11"/>
        <v>30</v>
      </c>
      <c r="M76" s="17">
        <f t="shared" si="9"/>
        <v>0</v>
      </c>
      <c r="N76" s="18">
        <f t="shared" si="10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</row>
    <row r="77" spans="1:44" ht="15.75" thickBot="1" x14ac:dyDescent="0.3">
      <c r="A77" t="s">
        <v>80</v>
      </c>
      <c r="B77" s="62"/>
      <c r="C77" s="63" t="s">
        <v>212</v>
      </c>
      <c r="D77" s="62" t="s">
        <v>213</v>
      </c>
      <c r="E77" t="s">
        <v>24</v>
      </c>
      <c r="F77" t="s">
        <v>36</v>
      </c>
      <c r="G77" t="s">
        <v>214</v>
      </c>
      <c r="H77"/>
      <c r="I77" s="16">
        <v>-348045710000</v>
      </c>
      <c r="J77" s="16">
        <v>-582732760000</v>
      </c>
      <c r="K77" s="16" t="s">
        <v>997</v>
      </c>
      <c r="L77" s="57">
        <f t="shared" si="11"/>
        <v>30</v>
      </c>
      <c r="M77" s="17">
        <f t="shared" si="9"/>
        <v>0</v>
      </c>
      <c r="N77" s="18">
        <f t="shared" si="10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</row>
    <row r="78" spans="1:44" ht="15.75" thickBot="1" x14ac:dyDescent="0.3">
      <c r="A78" t="s">
        <v>80</v>
      </c>
      <c r="B78" s="62"/>
      <c r="C78" s="63" t="s">
        <v>215</v>
      </c>
      <c r="D78" s="62" t="s">
        <v>216</v>
      </c>
      <c r="E78" t="s">
        <v>24</v>
      </c>
      <c r="F78" t="s">
        <v>36</v>
      </c>
      <c r="G78" t="s">
        <v>161</v>
      </c>
      <c r="H78"/>
      <c r="I78" s="16">
        <v>-348034610000</v>
      </c>
      <c r="J78" s="16">
        <v>-582706900000</v>
      </c>
      <c r="K78" s="16" t="s">
        <v>998</v>
      </c>
      <c r="L78" s="57">
        <f t="shared" si="11"/>
        <v>29</v>
      </c>
      <c r="M78" s="17">
        <f t="shared" si="9"/>
        <v>1</v>
      </c>
      <c r="N78" s="18">
        <f t="shared" si="10"/>
        <v>0.96666666666666667</v>
      </c>
      <c r="O78" s="27" t="s">
        <v>1363</v>
      </c>
      <c r="P78" s="8"/>
      <c r="Q78" s="8"/>
      <c r="R78" s="8"/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</row>
    <row r="79" spans="1:44" ht="15.75" thickBot="1" x14ac:dyDescent="0.3">
      <c r="A79" t="s">
        <v>80</v>
      </c>
      <c r="B79" s="62"/>
      <c r="C79" s="63" t="s">
        <v>217</v>
      </c>
      <c r="D79" s="62" t="s">
        <v>218</v>
      </c>
      <c r="E79" t="s">
        <v>24</v>
      </c>
      <c r="F79" t="s">
        <v>36</v>
      </c>
      <c r="G79" t="s">
        <v>185</v>
      </c>
      <c r="H79" t="s">
        <v>219</v>
      </c>
      <c r="I79" s="16">
        <v>-348076770000</v>
      </c>
      <c r="J79" s="16">
        <v>-582730080000</v>
      </c>
      <c r="K79" s="16" t="s">
        <v>999</v>
      </c>
      <c r="L79" s="57">
        <f t="shared" si="11"/>
        <v>30</v>
      </c>
      <c r="M79" s="17">
        <f t="shared" si="9"/>
        <v>0</v>
      </c>
      <c r="N79" s="18">
        <f t="shared" si="10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</row>
    <row r="80" spans="1:44" ht="15.75" thickBot="1" x14ac:dyDescent="0.3">
      <c r="A80" t="s">
        <v>80</v>
      </c>
      <c r="B80" s="62"/>
      <c r="C80" s="63" t="s">
        <v>220</v>
      </c>
      <c r="D80" s="62" t="s">
        <v>221</v>
      </c>
      <c r="E80" t="s">
        <v>24</v>
      </c>
      <c r="F80" t="s">
        <v>36</v>
      </c>
      <c r="G80" t="s">
        <v>185</v>
      </c>
      <c r="H80"/>
      <c r="I80" s="16">
        <v>-348087290000</v>
      </c>
      <c r="J80" s="16">
        <v>-582714950000</v>
      </c>
      <c r="K80" s="16" t="s">
        <v>1000</v>
      </c>
      <c r="L80" s="57">
        <f t="shared" si="11"/>
        <v>30</v>
      </c>
      <c r="M80" s="17">
        <f t="shared" si="9"/>
        <v>0</v>
      </c>
      <c r="N80" s="18">
        <f t="shared" si="10"/>
        <v>1</v>
      </c>
      <c r="O80" s="27"/>
      <c r="P80" s="8"/>
      <c r="Q80" s="8"/>
      <c r="R80" s="8"/>
      <c r="S80" s="27"/>
      <c r="T80" s="27"/>
      <c r="U80" s="8"/>
      <c r="V80" s="8"/>
      <c r="W80" s="8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8"/>
      <c r="AL80" s="8"/>
      <c r="AM80" s="8"/>
      <c r="AN80" s="27"/>
      <c r="AO80" s="8"/>
      <c r="AP80" s="8"/>
      <c r="AQ80" s="27"/>
      <c r="AR80" s="27"/>
    </row>
    <row r="81" spans="1:44" ht="15.75" thickBot="1" x14ac:dyDescent="0.3">
      <c r="A81" t="s">
        <v>80</v>
      </c>
      <c r="B81" s="62"/>
      <c r="C81" s="63" t="s">
        <v>222</v>
      </c>
      <c r="D81" s="62" t="s">
        <v>87</v>
      </c>
      <c r="E81" t="s">
        <v>113</v>
      </c>
      <c r="F81" t="s">
        <v>36</v>
      </c>
      <c r="G81"/>
      <c r="H81" t="s">
        <v>223</v>
      </c>
      <c r="I81" s="16">
        <v>-348102990000</v>
      </c>
      <c r="J81" s="16">
        <v>-582835440000</v>
      </c>
      <c r="K81" s="16" t="s">
        <v>1001</v>
      </c>
      <c r="L81" s="57">
        <f t="shared" si="11"/>
        <v>30</v>
      </c>
      <c r="M81" s="17">
        <f t="shared" si="9"/>
        <v>0</v>
      </c>
      <c r="N81" s="18">
        <f t="shared" si="10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</row>
    <row r="82" spans="1:44" ht="15.75" thickBot="1" x14ac:dyDescent="0.3">
      <c r="A82" t="s">
        <v>80</v>
      </c>
      <c r="B82" s="62"/>
      <c r="C82" s="63" t="s">
        <v>224</v>
      </c>
      <c r="D82" s="62" t="s">
        <v>87</v>
      </c>
      <c r="E82" t="s">
        <v>113</v>
      </c>
      <c r="F82" t="s">
        <v>36</v>
      </c>
      <c r="G82"/>
      <c r="H82" t="s">
        <v>223</v>
      </c>
      <c r="I82" s="16">
        <v>-348102840000</v>
      </c>
      <c r="J82" s="16">
        <v>-582835020000</v>
      </c>
      <c r="K82" s="16" t="s">
        <v>1002</v>
      </c>
      <c r="L82" s="57">
        <f t="shared" si="11"/>
        <v>30</v>
      </c>
      <c r="M82" s="17">
        <f t="shared" si="9"/>
        <v>0</v>
      </c>
      <c r="N82" s="18">
        <f t="shared" si="10"/>
        <v>1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</row>
    <row r="83" spans="1:44" ht="15.75" thickBot="1" x14ac:dyDescent="0.3">
      <c r="A83" t="s">
        <v>80</v>
      </c>
      <c r="B83" s="62"/>
      <c r="C83" s="63" t="s">
        <v>225</v>
      </c>
      <c r="D83" s="62" t="s">
        <v>226</v>
      </c>
      <c r="E83" t="s">
        <v>24</v>
      </c>
      <c r="F83" t="s">
        <v>36</v>
      </c>
      <c r="G83" t="s">
        <v>161</v>
      </c>
      <c r="H83"/>
      <c r="I83" s="16">
        <v>-348076280000</v>
      </c>
      <c r="J83" s="16">
        <v>-582715700000</v>
      </c>
      <c r="K83" s="16" t="s">
        <v>1003</v>
      </c>
      <c r="L83" s="57">
        <f t="shared" si="11"/>
        <v>29</v>
      </c>
      <c r="M83" s="17">
        <f t="shared" si="9"/>
        <v>1</v>
      </c>
      <c r="N83" s="18">
        <f t="shared" si="10"/>
        <v>0.96666666666666667</v>
      </c>
      <c r="O83" s="27" t="s">
        <v>1363</v>
      </c>
      <c r="P83" s="8"/>
      <c r="Q83" s="8"/>
      <c r="R83" s="8"/>
      <c r="S83" s="27"/>
      <c r="T83" s="27"/>
      <c r="U83" s="8"/>
      <c r="V83" s="8"/>
      <c r="W83" s="8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</row>
    <row r="84" spans="1:44" ht="15.75" thickBot="1" x14ac:dyDescent="0.3">
      <c r="A84" t="s">
        <v>80</v>
      </c>
      <c r="B84" s="62"/>
      <c r="C84" s="63" t="s">
        <v>227</v>
      </c>
      <c r="D84" s="62" t="s">
        <v>228</v>
      </c>
      <c r="E84" t="s">
        <v>24</v>
      </c>
      <c r="F84" t="s">
        <v>25</v>
      </c>
      <c r="G84" t="s">
        <v>229</v>
      </c>
      <c r="H84" t="s">
        <v>230</v>
      </c>
      <c r="I84" s="16">
        <v>-348082910000</v>
      </c>
      <c r="J84" s="16">
        <v>-582832080000</v>
      </c>
      <c r="K84" s="16" t="s">
        <v>1004</v>
      </c>
      <c r="L84" s="57">
        <f t="shared" si="11"/>
        <v>29</v>
      </c>
      <c r="M84" s="17">
        <f t="shared" si="9"/>
        <v>1</v>
      </c>
      <c r="N84" s="18">
        <f t="shared" si="10"/>
        <v>0.96666666666666667</v>
      </c>
      <c r="O84" s="27" t="s">
        <v>1363</v>
      </c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</row>
    <row r="85" spans="1:44" ht="15.75" thickBot="1" x14ac:dyDescent="0.3">
      <c r="A85" t="s">
        <v>80</v>
      </c>
      <c r="B85" s="62"/>
      <c r="C85" s="63" t="s">
        <v>231</v>
      </c>
      <c r="D85" s="62" t="s">
        <v>232</v>
      </c>
      <c r="E85" t="s">
        <v>24</v>
      </c>
      <c r="F85" t="s">
        <v>25</v>
      </c>
      <c r="G85" t="s">
        <v>233</v>
      </c>
      <c r="H85"/>
      <c r="I85" s="16">
        <v>-347975480000</v>
      </c>
      <c r="J85" s="16">
        <v>-582789940000</v>
      </c>
      <c r="K85" s="16" t="s">
        <v>1005</v>
      </c>
      <c r="L85" s="57">
        <f t="shared" si="11"/>
        <v>30</v>
      </c>
      <c r="M85" s="17">
        <f t="shared" si="9"/>
        <v>0</v>
      </c>
      <c r="N85" s="18">
        <f t="shared" si="10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</row>
    <row r="86" spans="1:44" ht="15.75" thickBot="1" x14ac:dyDescent="0.3">
      <c r="A86" t="s">
        <v>80</v>
      </c>
      <c r="B86" s="62"/>
      <c r="C86" s="63" t="s">
        <v>234</v>
      </c>
      <c r="D86" s="62" t="s">
        <v>235</v>
      </c>
      <c r="E86" t="s">
        <v>24</v>
      </c>
      <c r="F86" t="s">
        <v>25</v>
      </c>
      <c r="G86" t="s">
        <v>236</v>
      </c>
      <c r="H86" t="s">
        <v>237</v>
      </c>
      <c r="I86" s="16">
        <v>-348070120000</v>
      </c>
      <c r="J86" s="16">
        <v>-582783830000</v>
      </c>
      <c r="K86" s="16" t="s">
        <v>1006</v>
      </c>
      <c r="L86" s="57">
        <f t="shared" si="11"/>
        <v>30</v>
      </c>
      <c r="M86" s="17">
        <f t="shared" si="9"/>
        <v>0</v>
      </c>
      <c r="N86" s="18">
        <f t="shared" si="10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</row>
    <row r="87" spans="1:44" ht="15.75" thickBot="1" x14ac:dyDescent="0.3">
      <c r="B87" s="62"/>
      <c r="C87" s="63" t="s">
        <v>238</v>
      </c>
      <c r="D87" s="62" t="s">
        <v>239</v>
      </c>
      <c r="E87" t="s">
        <v>19</v>
      </c>
      <c r="F87" t="s">
        <v>25</v>
      </c>
      <c r="G87"/>
      <c r="H87" t="s">
        <v>240</v>
      </c>
      <c r="I87" s="16">
        <v>-348006380000</v>
      </c>
      <c r="J87" s="16">
        <v>-582785240000</v>
      </c>
      <c r="K87" s="16" t="s">
        <v>1009</v>
      </c>
      <c r="L87" s="57">
        <f t="shared" si="11"/>
        <v>30</v>
      </c>
      <c r="M87" s="17">
        <f t="shared" si="9"/>
        <v>0</v>
      </c>
      <c r="N87" s="18">
        <f t="shared" si="10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</row>
    <row r="88" spans="1:44" ht="15.75" thickBot="1" x14ac:dyDescent="0.3">
      <c r="A88" t="s">
        <v>80</v>
      </c>
      <c r="B88" s="62"/>
      <c r="C88" s="63" t="s">
        <v>241</v>
      </c>
      <c r="D88" s="62" t="s">
        <v>242</v>
      </c>
      <c r="E88" t="s">
        <v>73</v>
      </c>
      <c r="F88" t="s">
        <v>36</v>
      </c>
      <c r="G88"/>
      <c r="H88" t="s">
        <v>223</v>
      </c>
      <c r="I88" s="16">
        <v>-348100370000</v>
      </c>
      <c r="J88" s="16">
        <v>-582778830000</v>
      </c>
      <c r="K88" s="16" t="s">
        <v>1022</v>
      </c>
      <c r="L88" s="57">
        <f t="shared" si="11"/>
        <v>30</v>
      </c>
      <c r="M88" s="17">
        <f t="shared" si="9"/>
        <v>0</v>
      </c>
      <c r="N88" s="18">
        <f t="shared" si="10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</row>
    <row r="89" spans="1:44" ht="15.75" thickBot="1" x14ac:dyDescent="0.3">
      <c r="A89" t="s">
        <v>80</v>
      </c>
      <c r="B89" s="62"/>
      <c r="C89" s="63" t="s">
        <v>243</v>
      </c>
      <c r="D89" s="62" t="s">
        <v>244</v>
      </c>
      <c r="E89" t="s">
        <v>73</v>
      </c>
      <c r="F89" t="s">
        <v>36</v>
      </c>
      <c r="G89"/>
      <c r="H89" t="s">
        <v>223</v>
      </c>
      <c r="I89" s="16">
        <v>-348107920000</v>
      </c>
      <c r="J89" s="16">
        <v>-582777490000</v>
      </c>
      <c r="K89" s="16" t="s">
        <v>1341</v>
      </c>
      <c r="L89" s="57">
        <f t="shared" si="11"/>
        <v>30</v>
      </c>
      <c r="M89" s="17">
        <f t="shared" si="9"/>
        <v>0</v>
      </c>
      <c r="N89" s="18">
        <f t="shared" si="10"/>
        <v>1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</row>
    <row r="90" spans="1:44" ht="15.75" thickBot="1" x14ac:dyDescent="0.3">
      <c r="A90" t="s">
        <v>80</v>
      </c>
      <c r="B90" s="62"/>
      <c r="C90" s="63" t="s">
        <v>245</v>
      </c>
      <c r="D90" s="62" t="s">
        <v>244</v>
      </c>
      <c r="E90" t="s">
        <v>73</v>
      </c>
      <c r="F90" t="s">
        <v>36</v>
      </c>
      <c r="G90"/>
      <c r="H90" t="s">
        <v>223</v>
      </c>
      <c r="I90" s="16">
        <v>-348109620000</v>
      </c>
      <c r="J90" s="16">
        <v>-582777260000</v>
      </c>
      <c r="K90" s="16" t="s">
        <v>1023</v>
      </c>
      <c r="L90" s="57">
        <f t="shared" si="11"/>
        <v>29</v>
      </c>
      <c r="M90" s="17">
        <f t="shared" si="9"/>
        <v>1</v>
      </c>
      <c r="N90" s="18">
        <f t="shared" si="10"/>
        <v>0.96666666666666667</v>
      </c>
      <c r="O90" s="27" t="s">
        <v>1363</v>
      </c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</row>
    <row r="91" spans="1:44" ht="13.9" customHeight="1" thickBot="1" x14ac:dyDescent="0.3">
      <c r="A91" t="s">
        <v>80</v>
      </c>
      <c r="B91" s="62"/>
      <c r="C91" s="63" t="s">
        <v>246</v>
      </c>
      <c r="D91" s="62" t="s">
        <v>247</v>
      </c>
      <c r="E91" t="s">
        <v>113</v>
      </c>
      <c r="F91" t="s">
        <v>36</v>
      </c>
      <c r="G91"/>
      <c r="H91" t="s">
        <v>248</v>
      </c>
      <c r="I91" s="16">
        <v>-348024610000</v>
      </c>
      <c r="J91" s="16">
        <v>-582715570000</v>
      </c>
      <c r="K91" s="16" t="s">
        <v>1027</v>
      </c>
      <c r="L91" s="57">
        <f t="shared" si="11"/>
        <v>30</v>
      </c>
      <c r="M91" s="17">
        <f t="shared" si="9"/>
        <v>0</v>
      </c>
      <c r="N91" s="18">
        <f t="shared" si="10"/>
        <v>1</v>
      </c>
      <c r="O91" s="27"/>
      <c r="P91" s="8"/>
      <c r="Q91" s="8"/>
      <c r="R91" s="8"/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</row>
    <row r="92" spans="1:44" ht="15.75" thickBot="1" x14ac:dyDescent="0.3">
      <c r="A92" t="s">
        <v>80</v>
      </c>
      <c r="B92" s="62"/>
      <c r="C92" s="63" t="s">
        <v>249</v>
      </c>
      <c r="D92" s="62" t="s">
        <v>247</v>
      </c>
      <c r="E92" t="s">
        <v>113</v>
      </c>
      <c r="F92" t="s">
        <v>36</v>
      </c>
      <c r="G92"/>
      <c r="H92" t="s">
        <v>248</v>
      </c>
      <c r="I92" s="16">
        <v>-348024610000</v>
      </c>
      <c r="J92" s="16">
        <v>-582715570000</v>
      </c>
      <c r="K92" s="16" t="s">
        <v>1028</v>
      </c>
      <c r="L92" s="57">
        <f t="shared" si="11"/>
        <v>30</v>
      </c>
      <c r="M92" s="17">
        <f t="shared" si="9"/>
        <v>0</v>
      </c>
      <c r="N92" s="18">
        <f t="shared" si="10"/>
        <v>1</v>
      </c>
      <c r="O92" s="27"/>
      <c r="P92" s="8"/>
      <c r="Q92" s="8"/>
      <c r="R92" s="8"/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</row>
    <row r="93" spans="1:44" ht="15.75" thickBot="1" x14ac:dyDescent="0.3">
      <c r="A93" t="s">
        <v>80</v>
      </c>
      <c r="B93" s="62"/>
      <c r="C93" s="63" t="s">
        <v>250</v>
      </c>
      <c r="D93" s="62" t="s">
        <v>251</v>
      </c>
      <c r="E93" t="s">
        <v>19</v>
      </c>
      <c r="F93" t="s">
        <v>36</v>
      </c>
      <c r="G93"/>
      <c r="H93" t="s">
        <v>252</v>
      </c>
      <c r="I93" s="16">
        <v>-348093230000</v>
      </c>
      <c r="J93" s="16">
        <v>-582817790000</v>
      </c>
      <c r="K93" s="16" t="s">
        <v>1029</v>
      </c>
      <c r="L93" s="57">
        <f t="shared" si="11"/>
        <v>30</v>
      </c>
      <c r="M93" s="17">
        <f t="shared" si="9"/>
        <v>0</v>
      </c>
      <c r="N93" s="18">
        <f t="shared" si="10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</row>
    <row r="94" spans="1:44" ht="15.75" thickBot="1" x14ac:dyDescent="0.3">
      <c r="A94" t="s">
        <v>80</v>
      </c>
      <c r="B94" s="62"/>
      <c r="C94" s="63" t="s">
        <v>253</v>
      </c>
      <c r="D94" s="62" t="s">
        <v>254</v>
      </c>
      <c r="E94" t="s">
        <v>19</v>
      </c>
      <c r="F94" t="s">
        <v>36</v>
      </c>
      <c r="G94"/>
      <c r="H94" t="s">
        <v>255</v>
      </c>
      <c r="I94" s="16">
        <v>-347987330000</v>
      </c>
      <c r="J94" s="16">
        <v>-582822490000</v>
      </c>
      <c r="K94" s="16" t="s">
        <v>1033</v>
      </c>
      <c r="L94" s="57">
        <f t="shared" si="11"/>
        <v>29</v>
      </c>
      <c r="M94" s="17">
        <f t="shared" si="9"/>
        <v>1</v>
      </c>
      <c r="N94" s="18">
        <f t="shared" si="10"/>
        <v>0.96666666666666667</v>
      </c>
      <c r="O94" s="27" t="s">
        <v>1363</v>
      </c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</row>
    <row r="95" spans="1:44" ht="15.75" thickBot="1" x14ac:dyDescent="0.3">
      <c r="A95" t="s">
        <v>80</v>
      </c>
      <c r="B95" s="62"/>
      <c r="C95" s="63" t="s">
        <v>256</v>
      </c>
      <c r="D95" s="62" t="s">
        <v>257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1034</v>
      </c>
      <c r="L95" s="57">
        <f t="shared" si="11"/>
        <v>30</v>
      </c>
      <c r="M95" s="17">
        <f t="shared" si="9"/>
        <v>0</v>
      </c>
      <c r="N95" s="18">
        <f t="shared" si="10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</row>
    <row r="96" spans="1:44" ht="15.75" thickBot="1" x14ac:dyDescent="0.3">
      <c r="A96" t="s">
        <v>258</v>
      </c>
      <c r="B96" s="62"/>
      <c r="C96" s="63" t="s">
        <v>259</v>
      </c>
      <c r="D96" s="62" t="s">
        <v>260</v>
      </c>
      <c r="E96" t="s">
        <v>24</v>
      </c>
      <c r="F96" t="s">
        <v>25</v>
      </c>
      <c r="G96" t="s">
        <v>161</v>
      </c>
      <c r="H96"/>
      <c r="I96" s="16">
        <v>-348055400000</v>
      </c>
      <c r="J96" s="16">
        <v>-582972760000</v>
      </c>
      <c r="K96" s="16" t="s">
        <v>1035</v>
      </c>
      <c r="L96" s="57">
        <f t="shared" si="11"/>
        <v>30</v>
      </c>
      <c r="M96" s="17">
        <f t="shared" si="9"/>
        <v>0</v>
      </c>
      <c r="N96" s="18">
        <f t="shared" si="10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</row>
    <row r="97" spans="1:44" ht="15.75" thickBot="1" x14ac:dyDescent="0.3">
      <c r="A97" t="s">
        <v>261</v>
      </c>
      <c r="B97" s="62"/>
      <c r="C97" s="63" t="s">
        <v>262</v>
      </c>
      <c r="D97" s="62" t="s">
        <v>263</v>
      </c>
      <c r="E97" t="s">
        <v>24</v>
      </c>
      <c r="F97" t="s">
        <v>25</v>
      </c>
      <c r="G97" t="s">
        <v>185</v>
      </c>
      <c r="H97" t="s">
        <v>264</v>
      </c>
      <c r="I97" s="16">
        <v>-348032560000</v>
      </c>
      <c r="J97" s="16">
        <v>-582926760000</v>
      </c>
      <c r="K97" s="16" t="s">
        <v>1036</v>
      </c>
      <c r="L97" s="57">
        <f t="shared" si="11"/>
        <v>30</v>
      </c>
      <c r="M97" s="17">
        <f t="shared" si="9"/>
        <v>0</v>
      </c>
      <c r="N97" s="18">
        <f t="shared" si="10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</row>
    <row r="98" spans="1:44" ht="15.75" thickBot="1" x14ac:dyDescent="0.3">
      <c r="A98" t="s">
        <v>261</v>
      </c>
      <c r="B98" s="62"/>
      <c r="C98" s="63" t="s">
        <v>265</v>
      </c>
      <c r="D98" s="62" t="s">
        <v>266</v>
      </c>
      <c r="E98" t="s">
        <v>19</v>
      </c>
      <c r="F98" t="s">
        <v>36</v>
      </c>
      <c r="G98"/>
      <c r="H98" t="s">
        <v>267</v>
      </c>
      <c r="I98" s="16">
        <v>-348083930000</v>
      </c>
      <c r="J98" s="16">
        <v>-582918310000</v>
      </c>
      <c r="K98" s="16" t="s">
        <v>1037</v>
      </c>
      <c r="L98" s="57">
        <f t="shared" si="11"/>
        <v>30</v>
      </c>
      <c r="M98" s="17">
        <f t="shared" si="9"/>
        <v>0</v>
      </c>
      <c r="N98" s="18">
        <f t="shared" si="10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</row>
    <row r="99" spans="1:44" ht="15.75" thickBot="1" x14ac:dyDescent="0.3">
      <c r="A99" t="s">
        <v>261</v>
      </c>
      <c r="B99" s="62"/>
      <c r="C99" s="63" t="s">
        <v>268</v>
      </c>
      <c r="D99" s="62" t="s">
        <v>269</v>
      </c>
      <c r="E99" t="s">
        <v>19</v>
      </c>
      <c r="F99" t="s">
        <v>36</v>
      </c>
      <c r="G99"/>
      <c r="H99" t="s">
        <v>270</v>
      </c>
      <c r="I99" s="16">
        <v>-348019100000</v>
      </c>
      <c r="J99" s="16">
        <v>-582901420000</v>
      </c>
      <c r="K99" s="16" t="s">
        <v>1038</v>
      </c>
      <c r="L99" s="57">
        <f t="shared" si="11"/>
        <v>29</v>
      </c>
      <c r="M99" s="17">
        <f t="shared" si="9"/>
        <v>1</v>
      </c>
      <c r="N99" s="18">
        <f t="shared" si="10"/>
        <v>0.96666666666666667</v>
      </c>
      <c r="O99" s="27" t="s">
        <v>1363</v>
      </c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</row>
    <row r="100" spans="1:44" ht="15.75" thickBot="1" x14ac:dyDescent="0.3">
      <c r="A100" t="s">
        <v>271</v>
      </c>
      <c r="B100" s="62"/>
      <c r="C100" s="63" t="s">
        <v>272</v>
      </c>
      <c r="D100" s="62" t="s">
        <v>273</v>
      </c>
      <c r="E100" t="s">
        <v>24</v>
      </c>
      <c r="F100" t="s">
        <v>25</v>
      </c>
      <c r="G100" t="s">
        <v>161</v>
      </c>
      <c r="H100"/>
      <c r="I100" s="16">
        <v>-348419680000</v>
      </c>
      <c r="J100" s="16">
        <v>-582787590000</v>
      </c>
      <c r="K100" s="16" t="s">
        <v>1039</v>
      </c>
      <c r="L100" s="57">
        <f t="shared" si="11"/>
        <v>30</v>
      </c>
      <c r="M100" s="17">
        <f t="shared" si="9"/>
        <v>0</v>
      </c>
      <c r="N100" s="18">
        <f t="shared" si="10"/>
        <v>1</v>
      </c>
      <c r="O100" s="27"/>
      <c r="P100" s="8"/>
      <c r="Q100" s="8"/>
      <c r="R100" s="8"/>
      <c r="S100" s="27"/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</row>
    <row r="101" spans="1:44" ht="15.75" thickBot="1" x14ac:dyDescent="0.3">
      <c r="A101" t="s">
        <v>274</v>
      </c>
      <c r="B101" s="62"/>
      <c r="C101" s="63" t="s">
        <v>275</v>
      </c>
      <c r="D101" s="62" t="s">
        <v>276</v>
      </c>
      <c r="E101" t="s">
        <v>24</v>
      </c>
      <c r="F101" t="s">
        <v>25</v>
      </c>
      <c r="G101" t="s">
        <v>277</v>
      </c>
      <c r="H101"/>
      <c r="I101" s="16">
        <v>-348439980000</v>
      </c>
      <c r="J101" s="16">
        <v>-582786670000</v>
      </c>
      <c r="K101" s="16" t="s">
        <v>1040</v>
      </c>
      <c r="L101" s="57">
        <f t="shared" si="11"/>
        <v>30</v>
      </c>
      <c r="M101" s="17">
        <f t="shared" si="9"/>
        <v>0</v>
      </c>
      <c r="N101" s="18">
        <f t="shared" si="10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</row>
    <row r="102" spans="1:44" ht="15.75" thickBot="1" x14ac:dyDescent="0.3">
      <c r="A102" t="s">
        <v>274</v>
      </c>
      <c r="B102" s="62"/>
      <c r="C102" s="63" t="s">
        <v>278</v>
      </c>
      <c r="D102" s="62" t="s">
        <v>279</v>
      </c>
      <c r="E102" t="s">
        <v>19</v>
      </c>
      <c r="F102" t="s">
        <v>25</v>
      </c>
      <c r="G102"/>
      <c r="H102" t="s">
        <v>280</v>
      </c>
      <c r="I102" s="16">
        <v>-348376190000</v>
      </c>
      <c r="J102" s="16">
        <v>-582703080000</v>
      </c>
      <c r="K102" s="16" t="s">
        <v>1041</v>
      </c>
      <c r="L102" s="57">
        <f t="shared" si="11"/>
        <v>30</v>
      </c>
      <c r="M102" s="17">
        <f t="shared" si="9"/>
        <v>0</v>
      </c>
      <c r="N102" s="18">
        <f t="shared" si="10"/>
        <v>1</v>
      </c>
      <c r="O102" s="27"/>
      <c r="P102" s="8"/>
      <c r="Q102" s="8"/>
      <c r="R102" s="8"/>
      <c r="S102" s="27"/>
      <c r="T102" s="27"/>
      <c r="U102" s="8"/>
      <c r="V102" s="8"/>
      <c r="W102" s="8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</row>
    <row r="103" spans="1:44" ht="15.75" thickBot="1" x14ac:dyDescent="0.3">
      <c r="B103" s="62"/>
      <c r="C103" s="63" t="s">
        <v>281</v>
      </c>
      <c r="D103" s="62" t="s">
        <v>282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1042</v>
      </c>
      <c r="L103" s="57">
        <f t="shared" si="11"/>
        <v>30</v>
      </c>
      <c r="M103" s="17">
        <f t="shared" si="9"/>
        <v>0</v>
      </c>
      <c r="N103" s="18">
        <f t="shared" si="10"/>
        <v>1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</row>
    <row r="104" spans="1:44" ht="15.75" thickBot="1" x14ac:dyDescent="0.3">
      <c r="A104" t="s">
        <v>283</v>
      </c>
      <c r="B104" s="62"/>
      <c r="C104" s="63" t="s">
        <v>284</v>
      </c>
      <c r="D104" s="62" t="s">
        <v>285</v>
      </c>
      <c r="E104" t="s">
        <v>113</v>
      </c>
      <c r="F104" t="s">
        <v>943</v>
      </c>
      <c r="G104"/>
      <c r="H104" t="s">
        <v>286</v>
      </c>
      <c r="I104" s="16">
        <v>-347971580000</v>
      </c>
      <c r="J104" s="16">
        <v>-583070820000</v>
      </c>
      <c r="K104" s="16" t="s">
        <v>1043</v>
      </c>
      <c r="L104" s="57">
        <f t="shared" si="11"/>
        <v>29</v>
      </c>
      <c r="M104" s="17">
        <f t="shared" si="9"/>
        <v>1</v>
      </c>
      <c r="N104" s="18">
        <f t="shared" si="10"/>
        <v>0.96666666666666667</v>
      </c>
      <c r="O104" s="27" t="s">
        <v>1363</v>
      </c>
      <c r="P104" s="8"/>
      <c r="Q104" s="8"/>
      <c r="R104" s="8"/>
      <c r="S104" s="27"/>
      <c r="T104" s="27"/>
      <c r="U104" s="8"/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</row>
    <row r="105" spans="1:44" ht="16.149999999999999" customHeight="1" thickBot="1" x14ac:dyDescent="0.3">
      <c r="A105" t="s">
        <v>283</v>
      </c>
      <c r="B105" s="62"/>
      <c r="C105" s="63" t="s">
        <v>287</v>
      </c>
      <c r="D105" s="62" t="s">
        <v>285</v>
      </c>
      <c r="E105" t="s">
        <v>113</v>
      </c>
      <c r="F105" t="s">
        <v>943</v>
      </c>
      <c r="G105"/>
      <c r="H105" t="s">
        <v>288</v>
      </c>
      <c r="I105" s="16">
        <v>-347971580000</v>
      </c>
      <c r="J105" s="16">
        <v>-583070820000</v>
      </c>
      <c r="K105" s="16" t="s">
        <v>1044</v>
      </c>
      <c r="L105" s="57">
        <f t="shared" si="11"/>
        <v>29</v>
      </c>
      <c r="M105" s="17">
        <f t="shared" si="9"/>
        <v>1</v>
      </c>
      <c r="N105" s="18">
        <f t="shared" si="10"/>
        <v>0.96666666666666667</v>
      </c>
      <c r="O105" s="27" t="s">
        <v>1363</v>
      </c>
      <c r="P105" s="8"/>
      <c r="Q105" s="8"/>
      <c r="R105" s="8"/>
      <c r="S105" s="27"/>
      <c r="T105" s="27"/>
      <c r="U105" s="8"/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</row>
    <row r="106" spans="1:44" ht="15.75" thickBot="1" x14ac:dyDescent="0.3">
      <c r="A106" t="s">
        <v>289</v>
      </c>
      <c r="B106" s="62"/>
      <c r="C106" s="63" t="s">
        <v>290</v>
      </c>
      <c r="D106" s="62" t="s">
        <v>291</v>
      </c>
      <c r="E106" t="s">
        <v>19</v>
      </c>
      <c r="F106" t="s">
        <v>36</v>
      </c>
      <c r="G106"/>
      <c r="H106" t="s">
        <v>292</v>
      </c>
      <c r="I106" s="16">
        <v>-348640160000</v>
      </c>
      <c r="J106" s="16">
        <v>-581864200000</v>
      </c>
      <c r="K106" s="16" t="s">
        <v>1045</v>
      </c>
      <c r="L106" s="57">
        <f t="shared" si="11"/>
        <v>29</v>
      </c>
      <c r="M106" s="17">
        <f t="shared" si="9"/>
        <v>1</v>
      </c>
      <c r="N106" s="18">
        <f t="shared" si="10"/>
        <v>0.96666666666666667</v>
      </c>
      <c r="O106" s="27" t="s">
        <v>1363</v>
      </c>
      <c r="P106" s="8"/>
      <c r="Q106" s="8"/>
      <c r="R106" s="8"/>
      <c r="S106" s="27"/>
      <c r="T106" s="27"/>
      <c r="U106" s="8"/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</row>
    <row r="107" spans="1:44" ht="15.75" thickBot="1" x14ac:dyDescent="0.3">
      <c r="A107" t="s">
        <v>289</v>
      </c>
      <c r="B107" s="62"/>
      <c r="C107" s="63" t="s">
        <v>293</v>
      </c>
      <c r="D107" s="62" t="s">
        <v>294</v>
      </c>
      <c r="E107" t="s">
        <v>19</v>
      </c>
      <c r="F107" t="s">
        <v>36</v>
      </c>
      <c r="G107"/>
      <c r="H107" t="s">
        <v>292</v>
      </c>
      <c r="I107" s="16">
        <v>-348649110000</v>
      </c>
      <c r="J107" s="16">
        <v>-581897790000</v>
      </c>
      <c r="K107" s="16" t="s">
        <v>1046</v>
      </c>
      <c r="L107" s="57">
        <f t="shared" si="11"/>
        <v>29</v>
      </c>
      <c r="M107" s="17">
        <f t="shared" si="9"/>
        <v>1</v>
      </c>
      <c r="N107" s="18">
        <f t="shared" si="10"/>
        <v>0.96666666666666667</v>
      </c>
      <c r="O107" s="27" t="s">
        <v>1363</v>
      </c>
      <c r="P107" s="8"/>
      <c r="Q107" s="8"/>
      <c r="R107" s="8"/>
      <c r="S107" s="27"/>
      <c r="T107" s="27"/>
      <c r="U107" s="8"/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</row>
    <row r="108" spans="1:44" ht="15.75" thickBot="1" x14ac:dyDescent="0.3">
      <c r="A108" t="s">
        <v>289</v>
      </c>
      <c r="B108" s="62"/>
      <c r="C108" s="63" t="s">
        <v>295</v>
      </c>
      <c r="D108" s="62" t="s">
        <v>296</v>
      </c>
      <c r="E108" t="s">
        <v>24</v>
      </c>
      <c r="F108" t="s">
        <v>36</v>
      </c>
      <c r="G108"/>
      <c r="H108" t="s">
        <v>297</v>
      </c>
      <c r="I108" s="16">
        <v>-348627750000</v>
      </c>
      <c r="J108" s="16">
        <v>-581816550000</v>
      </c>
      <c r="K108" s="16" t="s">
        <v>1047</v>
      </c>
      <c r="L108" s="57">
        <f t="shared" si="11"/>
        <v>29</v>
      </c>
      <c r="M108" s="17">
        <f t="shared" si="9"/>
        <v>1</v>
      </c>
      <c r="N108" s="18">
        <f t="shared" si="10"/>
        <v>0.96666666666666667</v>
      </c>
      <c r="O108" s="27" t="s">
        <v>1363</v>
      </c>
      <c r="P108" s="8"/>
      <c r="Q108" s="8"/>
      <c r="R108" s="8"/>
      <c r="S108" s="27"/>
      <c r="T108" s="27"/>
      <c r="U108" s="8"/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</row>
    <row r="109" spans="1:44" ht="15.75" thickBot="1" x14ac:dyDescent="0.3">
      <c r="A109" t="s">
        <v>289</v>
      </c>
      <c r="B109" s="62"/>
      <c r="C109" s="63" t="s">
        <v>298</v>
      </c>
      <c r="D109" s="62" t="s">
        <v>299</v>
      </c>
      <c r="E109" t="s">
        <v>19</v>
      </c>
      <c r="F109" t="s">
        <v>36</v>
      </c>
      <c r="G109"/>
      <c r="H109" t="s">
        <v>300</v>
      </c>
      <c r="I109" s="16">
        <v>-348644840000</v>
      </c>
      <c r="J109" s="16">
        <v>-581880940000</v>
      </c>
      <c r="K109" s="16" t="s">
        <v>1048</v>
      </c>
      <c r="L109" s="57">
        <f t="shared" si="11"/>
        <v>29</v>
      </c>
      <c r="M109" s="17">
        <f t="shared" si="9"/>
        <v>1</v>
      </c>
      <c r="N109" s="18">
        <f t="shared" si="10"/>
        <v>0.96666666666666667</v>
      </c>
      <c r="O109" s="27" t="s">
        <v>1363</v>
      </c>
      <c r="P109" s="8"/>
      <c r="Q109" s="8"/>
      <c r="R109" s="8"/>
      <c r="S109" s="27"/>
      <c r="T109" s="27"/>
      <c r="U109" s="8"/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</row>
    <row r="110" spans="1:44" ht="15.75" thickBot="1" x14ac:dyDescent="0.3">
      <c r="A110" t="s">
        <v>301</v>
      </c>
      <c r="B110" s="62"/>
      <c r="C110" s="63" t="s">
        <v>302</v>
      </c>
      <c r="D110" s="62" t="s">
        <v>303</v>
      </c>
      <c r="E110" t="s">
        <v>19</v>
      </c>
      <c r="F110" t="s">
        <v>943</v>
      </c>
      <c r="G110"/>
      <c r="H110" t="s">
        <v>304</v>
      </c>
      <c r="I110" s="16">
        <v>-348185740000</v>
      </c>
      <c r="J110" s="16">
        <v>-582866380000</v>
      </c>
      <c r="K110" s="16" t="s">
        <v>1055</v>
      </c>
      <c r="L110" s="57">
        <f t="shared" si="11"/>
        <v>30</v>
      </c>
      <c r="M110" s="17">
        <f t="shared" si="9"/>
        <v>0</v>
      </c>
      <c r="N110" s="18">
        <f t="shared" si="10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</row>
    <row r="111" spans="1:44" ht="15.75" thickBot="1" x14ac:dyDescent="0.3">
      <c r="A111" t="s">
        <v>301</v>
      </c>
      <c r="B111" s="62"/>
      <c r="C111" s="63" t="s">
        <v>305</v>
      </c>
      <c r="D111" s="62" t="s">
        <v>306</v>
      </c>
      <c r="E111" t="s">
        <v>73</v>
      </c>
      <c r="F111" t="s">
        <v>25</v>
      </c>
      <c r="G111"/>
      <c r="H111" t="s">
        <v>307</v>
      </c>
      <c r="I111" s="16">
        <v>-348166000000</v>
      </c>
      <c r="J111" s="16">
        <v>-582800440000</v>
      </c>
      <c r="K111" s="16" t="s">
        <v>1056</v>
      </c>
      <c r="L111" s="57">
        <f t="shared" si="11"/>
        <v>30</v>
      </c>
      <c r="M111" s="17">
        <f t="shared" si="9"/>
        <v>0</v>
      </c>
      <c r="N111" s="18">
        <f t="shared" si="10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</row>
    <row r="112" spans="1:44" ht="15.75" thickBot="1" x14ac:dyDescent="0.3">
      <c r="A112" t="s">
        <v>301</v>
      </c>
      <c r="B112" s="62"/>
      <c r="C112" s="63" t="s">
        <v>308</v>
      </c>
      <c r="D112" s="62" t="s">
        <v>309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1049</v>
      </c>
      <c r="L112" s="57">
        <f t="shared" si="11"/>
        <v>30</v>
      </c>
      <c r="M112" s="17">
        <f t="shared" si="9"/>
        <v>0</v>
      </c>
      <c r="N112" s="18">
        <f t="shared" si="10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</row>
    <row r="113" spans="1:44" ht="15.75" thickBot="1" x14ac:dyDescent="0.3">
      <c r="A113" t="s">
        <v>310</v>
      </c>
      <c r="B113" s="62"/>
      <c r="C113" s="63" t="s">
        <v>311</v>
      </c>
      <c r="D113" s="62" t="s">
        <v>312</v>
      </c>
      <c r="E113" t="s">
        <v>24</v>
      </c>
      <c r="F113" t="s">
        <v>943</v>
      </c>
      <c r="G113" t="s">
        <v>151</v>
      </c>
      <c r="H113"/>
      <c r="I113" s="16">
        <v>-348125000000</v>
      </c>
      <c r="J113" s="16">
        <v>-582916650000</v>
      </c>
      <c r="K113" s="16" t="s">
        <v>1050</v>
      </c>
      <c r="L113" s="57">
        <f t="shared" si="11"/>
        <v>30</v>
      </c>
      <c r="M113" s="17">
        <f t="shared" si="9"/>
        <v>0</v>
      </c>
      <c r="N113" s="18">
        <f t="shared" si="10"/>
        <v>1</v>
      </c>
      <c r="O113" s="27"/>
      <c r="P113" s="8"/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</row>
    <row r="114" spans="1:44" ht="15.75" thickBot="1" x14ac:dyDescent="0.3">
      <c r="A114" t="s">
        <v>313</v>
      </c>
      <c r="B114" s="62"/>
      <c r="C114" s="63" t="s">
        <v>314</v>
      </c>
      <c r="D114" s="62" t="s">
        <v>315</v>
      </c>
      <c r="E114" t="s">
        <v>19</v>
      </c>
      <c r="F114" t="s">
        <v>943</v>
      </c>
      <c r="G114" t="s">
        <v>316</v>
      </c>
      <c r="H114"/>
      <c r="I114" s="16">
        <v>-348215020000</v>
      </c>
      <c r="J114" s="16">
        <v>-582844880000</v>
      </c>
      <c r="K114" s="16" t="s">
        <v>1051</v>
      </c>
      <c r="L114" s="57">
        <f t="shared" si="11"/>
        <v>30</v>
      </c>
      <c r="M114" s="17">
        <f t="shared" si="9"/>
        <v>0</v>
      </c>
      <c r="N114" s="18">
        <f t="shared" si="10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</row>
    <row r="115" spans="1:44" ht="15.75" thickBot="1" x14ac:dyDescent="0.3">
      <c r="A115" t="s">
        <v>301</v>
      </c>
      <c r="B115" s="62"/>
      <c r="C115" s="63" t="s">
        <v>317</v>
      </c>
      <c r="D115" s="62" t="s">
        <v>318</v>
      </c>
      <c r="E115" t="s">
        <v>24</v>
      </c>
      <c r="F115" t="s">
        <v>36</v>
      </c>
      <c r="G115" t="s">
        <v>161</v>
      </c>
      <c r="H115"/>
      <c r="I115" s="16">
        <v>-348128700000</v>
      </c>
      <c r="J115" s="16">
        <v>-582840370000</v>
      </c>
      <c r="K115" s="16" t="s">
        <v>1052</v>
      </c>
      <c r="L115" s="57">
        <f t="shared" si="11"/>
        <v>29</v>
      </c>
      <c r="M115" s="17">
        <f t="shared" si="9"/>
        <v>1</v>
      </c>
      <c r="N115" s="18">
        <f t="shared" si="10"/>
        <v>0.96666666666666667</v>
      </c>
      <c r="O115" s="27" t="s">
        <v>1363</v>
      </c>
      <c r="P115" s="8"/>
      <c r="Q115" s="8"/>
      <c r="R115" s="8"/>
      <c r="S115" s="27"/>
      <c r="T115" s="27"/>
      <c r="U115" s="8"/>
      <c r="V115" s="8"/>
      <c r="W115" s="8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</row>
    <row r="116" spans="1:44" ht="15.75" thickBot="1" x14ac:dyDescent="0.3">
      <c r="A116" t="s">
        <v>301</v>
      </c>
      <c r="B116" s="62"/>
      <c r="C116" s="63" t="s">
        <v>319</v>
      </c>
      <c r="D116" s="62" t="s">
        <v>320</v>
      </c>
      <c r="E116" t="s">
        <v>24</v>
      </c>
      <c r="F116" t="s">
        <v>36</v>
      </c>
      <c r="G116" t="s">
        <v>321</v>
      </c>
      <c r="H116"/>
      <c r="I116" s="16">
        <v>-348143510000</v>
      </c>
      <c r="J116" s="16">
        <v>-582840870000</v>
      </c>
      <c r="K116" s="16" t="s">
        <v>1053</v>
      </c>
      <c r="L116" s="57">
        <f t="shared" si="11"/>
        <v>29</v>
      </c>
      <c r="M116" s="17">
        <f t="shared" si="9"/>
        <v>1</v>
      </c>
      <c r="N116" s="18">
        <f t="shared" si="10"/>
        <v>0.96666666666666667</v>
      </c>
      <c r="O116" s="27" t="s">
        <v>1363</v>
      </c>
      <c r="P116" s="8"/>
      <c r="Q116" s="8"/>
      <c r="R116" s="8"/>
      <c r="S116" s="27"/>
      <c r="T116" s="27"/>
      <c r="U116" s="8"/>
      <c r="V116" s="8"/>
      <c r="W116" s="8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</row>
    <row r="117" spans="1:44" ht="15.75" thickBot="1" x14ac:dyDescent="0.3">
      <c r="A117" t="s">
        <v>301</v>
      </c>
      <c r="B117" s="62"/>
      <c r="C117" s="63" t="s">
        <v>322</v>
      </c>
      <c r="D117" s="62" t="s">
        <v>323</v>
      </c>
      <c r="E117" t="s">
        <v>24</v>
      </c>
      <c r="F117" t="s">
        <v>25</v>
      </c>
      <c r="G117" t="s">
        <v>324</v>
      </c>
      <c r="H117"/>
      <c r="I117" s="16">
        <v>-348122180000</v>
      </c>
      <c r="J117" s="16">
        <v>-582880340000</v>
      </c>
      <c r="K117" s="16" t="s">
        <v>1054</v>
      </c>
      <c r="L117" s="57">
        <f t="shared" si="11"/>
        <v>30</v>
      </c>
      <c r="M117" s="17">
        <f t="shared" si="9"/>
        <v>0</v>
      </c>
      <c r="N117" s="18">
        <f t="shared" si="10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</row>
    <row r="118" spans="1:44" ht="15.75" thickBot="1" x14ac:dyDescent="0.3">
      <c r="A118" t="s">
        <v>301</v>
      </c>
      <c r="B118" s="62"/>
      <c r="C118" s="63" t="s">
        <v>325</v>
      </c>
      <c r="D118" s="62" t="s">
        <v>326</v>
      </c>
      <c r="E118" t="s">
        <v>113</v>
      </c>
      <c r="F118" t="s">
        <v>36</v>
      </c>
      <c r="G118"/>
      <c r="H118" t="s">
        <v>327</v>
      </c>
      <c r="I118" s="16">
        <v>-348119540000</v>
      </c>
      <c r="J118" s="16">
        <v>-582824360000</v>
      </c>
      <c r="K118" s="16" t="s">
        <v>1057</v>
      </c>
      <c r="L118" s="57">
        <f t="shared" si="11"/>
        <v>30</v>
      </c>
      <c r="M118" s="17">
        <f t="shared" si="9"/>
        <v>0</v>
      </c>
      <c r="N118" s="18">
        <f t="shared" si="10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</row>
    <row r="119" spans="1:44" ht="15.75" thickBot="1" x14ac:dyDescent="0.3">
      <c r="A119" t="s">
        <v>301</v>
      </c>
      <c r="B119" s="62"/>
      <c r="C119" s="63" t="s">
        <v>328</v>
      </c>
      <c r="D119" s="62" t="s">
        <v>326</v>
      </c>
      <c r="E119" t="s">
        <v>113</v>
      </c>
      <c r="F119" t="s">
        <v>36</v>
      </c>
      <c r="G119"/>
      <c r="H119" t="s">
        <v>329</v>
      </c>
      <c r="I119" s="16">
        <v>-348119550000</v>
      </c>
      <c r="J119" s="16">
        <v>-582824410000</v>
      </c>
      <c r="K119" s="16" t="s">
        <v>1058</v>
      </c>
      <c r="L119" s="57">
        <f t="shared" si="11"/>
        <v>30</v>
      </c>
      <c r="M119" s="17">
        <f t="shared" si="9"/>
        <v>0</v>
      </c>
      <c r="N119" s="18">
        <f t="shared" si="10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</row>
    <row r="120" spans="1:44" ht="15.75" thickBot="1" x14ac:dyDescent="0.3">
      <c r="A120" t="s">
        <v>301</v>
      </c>
      <c r="B120" s="62"/>
      <c r="C120" s="63" t="s">
        <v>330</v>
      </c>
      <c r="D120" s="62" t="s">
        <v>331</v>
      </c>
      <c r="E120" t="s">
        <v>113</v>
      </c>
      <c r="F120" t="s">
        <v>36</v>
      </c>
      <c r="G120"/>
      <c r="H120" t="s">
        <v>248</v>
      </c>
      <c r="I120" s="16">
        <v>-348203540000</v>
      </c>
      <c r="J120" s="16">
        <v>-582852520000</v>
      </c>
      <c r="K120" s="16" t="s">
        <v>1025</v>
      </c>
      <c r="L120" s="57">
        <f t="shared" si="11"/>
        <v>29</v>
      </c>
      <c r="M120" s="17">
        <f t="shared" si="9"/>
        <v>1</v>
      </c>
      <c r="N120" s="18">
        <f t="shared" si="10"/>
        <v>0.96666666666666667</v>
      </c>
      <c r="O120" s="27" t="s">
        <v>1363</v>
      </c>
      <c r="P120" s="8"/>
      <c r="Q120" s="8"/>
      <c r="R120" s="8"/>
      <c r="S120" s="27"/>
      <c r="T120" s="27"/>
      <c r="U120" s="8"/>
      <c r="V120" s="8"/>
      <c r="W120" s="8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</row>
    <row r="121" spans="1:44" ht="15.75" thickBot="1" x14ac:dyDescent="0.3">
      <c r="A121" t="s">
        <v>301</v>
      </c>
      <c r="B121" s="62"/>
      <c r="C121" s="63" t="s">
        <v>332</v>
      </c>
      <c r="D121" s="62" t="s">
        <v>331</v>
      </c>
      <c r="E121" t="s">
        <v>113</v>
      </c>
      <c r="F121" t="s">
        <v>36</v>
      </c>
      <c r="G121"/>
      <c r="H121" t="s">
        <v>248</v>
      </c>
      <c r="I121" s="16">
        <v>-348203540000</v>
      </c>
      <c r="J121" s="16">
        <v>-582852520000</v>
      </c>
      <c r="K121" s="16" t="s">
        <v>1026</v>
      </c>
      <c r="L121" s="57">
        <f t="shared" si="11"/>
        <v>29</v>
      </c>
      <c r="M121" s="17">
        <f t="shared" si="9"/>
        <v>1</v>
      </c>
      <c r="N121" s="18">
        <f t="shared" si="10"/>
        <v>0.96666666666666667</v>
      </c>
      <c r="O121" s="27" t="s">
        <v>1363</v>
      </c>
      <c r="P121" s="8"/>
      <c r="Q121" s="8"/>
      <c r="R121" s="8"/>
      <c r="S121" s="27"/>
      <c r="T121" s="27"/>
      <c r="U121" s="8"/>
      <c r="V121" s="8"/>
      <c r="W121" s="8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</row>
    <row r="122" spans="1:44" ht="15.75" thickBot="1" x14ac:dyDescent="0.3">
      <c r="A122" t="s">
        <v>333</v>
      </c>
      <c r="B122" s="62"/>
      <c r="C122" s="63" t="s">
        <v>334</v>
      </c>
      <c r="D122" s="62" t="s">
        <v>335</v>
      </c>
      <c r="E122" t="s">
        <v>19</v>
      </c>
      <c r="F122" t="s">
        <v>36</v>
      </c>
      <c r="G122"/>
      <c r="H122" t="s">
        <v>292</v>
      </c>
      <c r="I122" s="16">
        <v>-348663680000</v>
      </c>
      <c r="J122" s="16">
        <v>-581917520000</v>
      </c>
      <c r="K122" s="16" t="s">
        <v>1060</v>
      </c>
      <c r="L122" s="57">
        <f t="shared" si="11"/>
        <v>29</v>
      </c>
      <c r="M122" s="17">
        <f t="shared" si="9"/>
        <v>1</v>
      </c>
      <c r="N122" s="18">
        <f t="shared" si="10"/>
        <v>0.96666666666666667</v>
      </c>
      <c r="O122" s="27" t="s">
        <v>1363</v>
      </c>
      <c r="P122" s="8"/>
      <c r="Q122" s="8"/>
      <c r="R122" s="8"/>
      <c r="S122" s="27"/>
      <c r="T122" s="27"/>
      <c r="U122" s="8"/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</row>
    <row r="123" spans="1:44" ht="15.75" thickBot="1" x14ac:dyDescent="0.3">
      <c r="A123" t="s">
        <v>333</v>
      </c>
      <c r="B123" s="62"/>
      <c r="C123" s="63" t="s">
        <v>336</v>
      </c>
      <c r="D123" s="62" t="s">
        <v>337</v>
      </c>
      <c r="E123" t="s">
        <v>19</v>
      </c>
      <c r="F123" t="s">
        <v>36</v>
      </c>
      <c r="G123"/>
      <c r="H123" t="s">
        <v>292</v>
      </c>
      <c r="I123" s="16">
        <v>-348677360000</v>
      </c>
      <c r="J123" s="16">
        <v>-581899690000</v>
      </c>
      <c r="K123" s="16" t="s">
        <v>1061</v>
      </c>
      <c r="L123" s="57">
        <f t="shared" si="11"/>
        <v>29</v>
      </c>
      <c r="M123" s="17">
        <f t="shared" si="9"/>
        <v>1</v>
      </c>
      <c r="N123" s="18">
        <f t="shared" si="10"/>
        <v>0.96666666666666667</v>
      </c>
      <c r="O123" s="27" t="s">
        <v>1363</v>
      </c>
      <c r="P123" s="8"/>
      <c r="Q123" s="8"/>
      <c r="R123" s="8"/>
      <c r="S123" s="27"/>
      <c r="T123" s="27"/>
      <c r="U123" s="8"/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</row>
    <row r="124" spans="1:44" ht="15.75" thickBot="1" x14ac:dyDescent="0.3">
      <c r="A124" t="s">
        <v>338</v>
      </c>
      <c r="B124" s="62"/>
      <c r="C124" s="63" t="s">
        <v>339</v>
      </c>
      <c r="D124" s="62" t="s">
        <v>340</v>
      </c>
      <c r="E124" t="s">
        <v>19</v>
      </c>
      <c r="F124" t="s">
        <v>36</v>
      </c>
      <c r="G124"/>
      <c r="H124" t="s">
        <v>341</v>
      </c>
      <c r="I124" s="16">
        <v>-348252070000</v>
      </c>
      <c r="J124" s="16">
        <v>-582467880000</v>
      </c>
      <c r="K124" s="16" t="s">
        <v>1062</v>
      </c>
      <c r="L124" s="57">
        <f t="shared" si="11"/>
        <v>30</v>
      </c>
      <c r="M124" s="17">
        <f t="shared" si="9"/>
        <v>0</v>
      </c>
      <c r="N124" s="18">
        <f t="shared" si="10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</row>
    <row r="125" spans="1:44" ht="15.75" thickBot="1" x14ac:dyDescent="0.3">
      <c r="A125" t="s">
        <v>342</v>
      </c>
      <c r="B125" s="62"/>
      <c r="C125" s="63" t="s">
        <v>343</v>
      </c>
      <c r="D125" s="62" t="s">
        <v>344</v>
      </c>
      <c r="E125" t="s">
        <v>19</v>
      </c>
      <c r="F125" t="s">
        <v>25</v>
      </c>
      <c r="G125"/>
      <c r="H125" t="s">
        <v>345</v>
      </c>
      <c r="I125" s="16">
        <v>-348066790000</v>
      </c>
      <c r="J125" s="16">
        <v>-583015690000</v>
      </c>
      <c r="K125" s="16" t="s">
        <v>1069</v>
      </c>
      <c r="L125" s="57">
        <f t="shared" si="11"/>
        <v>30</v>
      </c>
      <c r="M125" s="17">
        <f t="shared" si="9"/>
        <v>0</v>
      </c>
      <c r="N125" s="18">
        <f t="shared" si="10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</row>
    <row r="126" spans="1:44" ht="15.75" thickBot="1" x14ac:dyDescent="0.3">
      <c r="A126" t="s">
        <v>342</v>
      </c>
      <c r="B126" s="62"/>
      <c r="C126" s="63" t="s">
        <v>346</v>
      </c>
      <c r="D126" s="62" t="s">
        <v>347</v>
      </c>
      <c r="E126" t="s">
        <v>19</v>
      </c>
      <c r="F126" t="s">
        <v>25</v>
      </c>
      <c r="G126"/>
      <c r="H126" t="s">
        <v>348</v>
      </c>
      <c r="I126" s="16">
        <v>-348074220000</v>
      </c>
      <c r="J126" s="16">
        <v>-582975280000</v>
      </c>
      <c r="K126" s="16" t="s">
        <v>1070</v>
      </c>
      <c r="L126" s="57">
        <f t="shared" si="11"/>
        <v>30</v>
      </c>
      <c r="M126" s="17">
        <f t="shared" si="9"/>
        <v>0</v>
      </c>
      <c r="N126" s="18">
        <f t="shared" si="10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</row>
    <row r="127" spans="1:44" ht="15.75" thickBot="1" x14ac:dyDescent="0.3">
      <c r="A127" t="s">
        <v>342</v>
      </c>
      <c r="B127" s="62"/>
      <c r="C127" s="63" t="s">
        <v>349</v>
      </c>
      <c r="D127" s="62" t="s">
        <v>350</v>
      </c>
      <c r="E127" t="s">
        <v>19</v>
      </c>
      <c r="F127" t="s">
        <v>25</v>
      </c>
      <c r="G127"/>
      <c r="H127" t="s">
        <v>351</v>
      </c>
      <c r="I127" s="16">
        <v>-348076100000</v>
      </c>
      <c r="J127" s="16">
        <v>-582957320000</v>
      </c>
      <c r="K127" s="16" t="s">
        <v>1071</v>
      </c>
      <c r="L127" s="57">
        <f t="shared" si="11"/>
        <v>30</v>
      </c>
      <c r="M127" s="17">
        <f t="shared" si="9"/>
        <v>0</v>
      </c>
      <c r="N127" s="18">
        <f t="shared" si="10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</row>
    <row r="128" spans="1:44" ht="15.75" thickBot="1" x14ac:dyDescent="0.3">
      <c r="A128" t="s">
        <v>342</v>
      </c>
      <c r="B128" s="62"/>
      <c r="C128" s="63" t="s">
        <v>352</v>
      </c>
      <c r="D128" s="62" t="s">
        <v>353</v>
      </c>
      <c r="E128" t="s">
        <v>19</v>
      </c>
      <c r="F128" t="s">
        <v>25</v>
      </c>
      <c r="G128"/>
      <c r="H128" t="s">
        <v>354</v>
      </c>
      <c r="I128" s="16">
        <v>-348075900000</v>
      </c>
      <c r="J128" s="16">
        <v>-582968630000</v>
      </c>
      <c r="K128" s="16" t="s">
        <v>1072</v>
      </c>
      <c r="L128" s="57">
        <f t="shared" si="11"/>
        <v>30</v>
      </c>
      <c r="M128" s="17">
        <f t="shared" si="9"/>
        <v>0</v>
      </c>
      <c r="N128" s="18">
        <f t="shared" si="10"/>
        <v>1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</row>
    <row r="129" spans="1:44" ht="15.75" thickBot="1" x14ac:dyDescent="0.3">
      <c r="A129" t="s">
        <v>342</v>
      </c>
      <c r="B129" s="62"/>
      <c r="C129" s="63" t="s">
        <v>355</v>
      </c>
      <c r="D129" s="62" t="s">
        <v>356</v>
      </c>
      <c r="E129" t="s">
        <v>113</v>
      </c>
      <c r="F129" t="s">
        <v>943</v>
      </c>
      <c r="G129"/>
      <c r="H129" t="s">
        <v>297</v>
      </c>
      <c r="I129" s="16">
        <v>-348034360000</v>
      </c>
      <c r="J129" s="16">
        <v>-583009630000</v>
      </c>
      <c r="K129" s="16" t="s">
        <v>1074</v>
      </c>
      <c r="L129" s="57">
        <f t="shared" si="11"/>
        <v>30</v>
      </c>
      <c r="M129" s="17">
        <f t="shared" si="9"/>
        <v>0</v>
      </c>
      <c r="N129" s="18">
        <f t="shared" si="10"/>
        <v>1</v>
      </c>
      <c r="O129" s="27"/>
      <c r="P129" s="8"/>
      <c r="Q129" s="8"/>
      <c r="R129" s="8"/>
      <c r="S129" s="27"/>
      <c r="T129" s="27"/>
      <c r="U129" s="8"/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</row>
    <row r="130" spans="1:44" ht="15.75" thickBot="1" x14ac:dyDescent="0.3">
      <c r="A130" t="s">
        <v>342</v>
      </c>
      <c r="B130" s="62"/>
      <c r="C130" s="63" t="s">
        <v>357</v>
      </c>
      <c r="D130" s="62" t="s">
        <v>356</v>
      </c>
      <c r="E130" t="s">
        <v>113</v>
      </c>
      <c r="F130" t="s">
        <v>943</v>
      </c>
      <c r="G130"/>
      <c r="H130" t="s">
        <v>297</v>
      </c>
      <c r="I130" s="16">
        <v>-348034540000</v>
      </c>
      <c r="J130" s="16">
        <v>-583010170000</v>
      </c>
      <c r="K130" s="16" t="s">
        <v>1075</v>
      </c>
      <c r="L130" s="57">
        <f t="shared" si="11"/>
        <v>30</v>
      </c>
      <c r="M130" s="17">
        <f t="shared" si="9"/>
        <v>0</v>
      </c>
      <c r="N130" s="18">
        <f t="shared" si="10"/>
        <v>1</v>
      </c>
      <c r="O130" s="27"/>
      <c r="P130" s="8"/>
      <c r="Q130" s="8"/>
      <c r="R130" s="8"/>
      <c r="S130" s="27"/>
      <c r="T130" s="27"/>
      <c r="U130" s="8"/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</row>
    <row r="131" spans="1:44" ht="15.75" thickBot="1" x14ac:dyDescent="0.3">
      <c r="A131" t="s">
        <v>358</v>
      </c>
      <c r="B131" s="62"/>
      <c r="C131" s="63" t="s">
        <v>359</v>
      </c>
      <c r="D131" s="62" t="s">
        <v>360</v>
      </c>
      <c r="E131" t="s">
        <v>19</v>
      </c>
      <c r="F131" t="s">
        <v>25</v>
      </c>
      <c r="G131" t="s">
        <v>361</v>
      </c>
      <c r="H131"/>
      <c r="I131" s="16">
        <v>-348074000000</v>
      </c>
      <c r="J131" s="16">
        <v>-583095340000</v>
      </c>
      <c r="K131" s="16" t="s">
        <v>1063</v>
      </c>
      <c r="L131" s="57">
        <f t="shared" si="11"/>
        <v>30</v>
      </c>
      <c r="M131" s="17">
        <f t="shared" si="9"/>
        <v>0</v>
      </c>
      <c r="N131" s="18">
        <f t="shared" si="10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</row>
    <row r="132" spans="1:44" ht="15.75" thickBot="1" x14ac:dyDescent="0.3">
      <c r="A132" t="s">
        <v>261</v>
      </c>
      <c r="B132" s="62"/>
      <c r="C132" s="63" t="s">
        <v>362</v>
      </c>
      <c r="D132" s="62" t="s">
        <v>363</v>
      </c>
      <c r="E132" t="s">
        <v>24</v>
      </c>
      <c r="F132" t="s">
        <v>25</v>
      </c>
      <c r="G132" t="s">
        <v>364</v>
      </c>
      <c r="H132"/>
      <c r="I132" s="16">
        <v>-348084650000</v>
      </c>
      <c r="J132" s="16">
        <v>-582948520000</v>
      </c>
      <c r="K132" s="16" t="s">
        <v>1064</v>
      </c>
      <c r="L132" s="57">
        <f t="shared" si="11"/>
        <v>30</v>
      </c>
      <c r="M132" s="17">
        <f t="shared" si="9"/>
        <v>0</v>
      </c>
      <c r="N132" s="18">
        <f t="shared" si="10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</row>
    <row r="133" spans="1:44" ht="15.75" thickBot="1" x14ac:dyDescent="0.3">
      <c r="A133" t="s">
        <v>342</v>
      </c>
      <c r="B133" s="62"/>
      <c r="C133" s="63" t="s">
        <v>365</v>
      </c>
      <c r="D133" s="62" t="s">
        <v>366</v>
      </c>
      <c r="E133" t="s">
        <v>24</v>
      </c>
      <c r="F133" t="s">
        <v>25</v>
      </c>
      <c r="G133" t="s">
        <v>367</v>
      </c>
      <c r="H133"/>
      <c r="I133" s="16">
        <v>-348022280000</v>
      </c>
      <c r="J133" s="16">
        <v>-583005700000</v>
      </c>
      <c r="K133" s="16" t="s">
        <v>1065</v>
      </c>
      <c r="L133" s="57">
        <f t="shared" si="11"/>
        <v>29</v>
      </c>
      <c r="M133" s="17">
        <f t="shared" ref="M133:M196" si="12">COUNTIF(O133:AP133,"APAGADO")</f>
        <v>1</v>
      </c>
      <c r="N133" s="18">
        <f t="shared" ref="N133:N196" si="13">(L133)/(M133+L133)</f>
        <v>0.96666666666666667</v>
      </c>
      <c r="O133" s="27" t="s">
        <v>1363</v>
      </c>
      <c r="P133" s="8"/>
      <c r="Q133" s="8"/>
      <c r="R133" s="8"/>
      <c r="S133" s="27"/>
      <c r="T133" s="27"/>
      <c r="U133" s="8"/>
      <c r="V133" s="8"/>
      <c r="W133" s="8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</row>
    <row r="134" spans="1:44" ht="15.75" thickBot="1" x14ac:dyDescent="0.3">
      <c r="A134" t="s">
        <v>342</v>
      </c>
      <c r="B134" s="62"/>
      <c r="C134" s="63" t="s">
        <v>368</v>
      </c>
      <c r="D134" s="62" t="s">
        <v>369</v>
      </c>
      <c r="E134" t="s">
        <v>24</v>
      </c>
      <c r="F134" t="s">
        <v>25</v>
      </c>
      <c r="G134" t="s">
        <v>370</v>
      </c>
      <c r="H134"/>
      <c r="I134" s="16">
        <v>-348079900000</v>
      </c>
      <c r="J134" s="16">
        <v>-583023830000</v>
      </c>
      <c r="K134" s="16" t="s">
        <v>1066</v>
      </c>
      <c r="L134" s="57">
        <f t="shared" ref="L134:L197" si="14">COUNTIF(O134:AR134,"")</f>
        <v>30</v>
      </c>
      <c r="M134" s="17">
        <f t="shared" si="12"/>
        <v>0</v>
      </c>
      <c r="N134" s="18">
        <f t="shared" si="13"/>
        <v>1</v>
      </c>
      <c r="O134" s="27"/>
      <c r="P134" s="8"/>
      <c r="Q134" s="8"/>
      <c r="R134" s="8"/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</row>
    <row r="135" spans="1:44" ht="15.75" thickBot="1" x14ac:dyDescent="0.3">
      <c r="A135" t="s">
        <v>342</v>
      </c>
      <c r="B135" s="62"/>
      <c r="C135" s="63" t="s">
        <v>371</v>
      </c>
      <c r="D135" s="62" t="s">
        <v>372</v>
      </c>
      <c r="E135" t="s">
        <v>24</v>
      </c>
      <c r="F135" t="s">
        <v>25</v>
      </c>
      <c r="G135" t="s">
        <v>361</v>
      </c>
      <c r="H135"/>
      <c r="I135" s="16">
        <v>-348085620000</v>
      </c>
      <c r="J135" s="16">
        <v>-582997660000</v>
      </c>
      <c r="K135" s="16" t="s">
        <v>1067</v>
      </c>
      <c r="L135" s="57">
        <f t="shared" si="14"/>
        <v>29</v>
      </c>
      <c r="M135" s="17">
        <f t="shared" si="12"/>
        <v>1</v>
      </c>
      <c r="N135" s="18">
        <f t="shared" si="13"/>
        <v>0.96666666666666667</v>
      </c>
      <c r="O135" s="27" t="s">
        <v>1363</v>
      </c>
      <c r="P135" s="8"/>
      <c r="Q135" s="8"/>
      <c r="R135" s="8"/>
      <c r="S135" s="27"/>
      <c r="T135" s="27"/>
      <c r="U135" s="8"/>
      <c r="V135" s="8"/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</row>
    <row r="136" spans="1:44" ht="15.75" thickBot="1" x14ac:dyDescent="0.3">
      <c r="A136" t="s">
        <v>342</v>
      </c>
      <c r="B136" s="62"/>
      <c r="C136" s="63" t="s">
        <v>373</v>
      </c>
      <c r="D136" s="62" t="s">
        <v>374</v>
      </c>
      <c r="E136" t="s">
        <v>19</v>
      </c>
      <c r="F136" t="s">
        <v>25</v>
      </c>
      <c r="G136" t="s">
        <v>375</v>
      </c>
      <c r="H136"/>
      <c r="I136" s="16">
        <v>-348070910000</v>
      </c>
      <c r="J136" s="16">
        <v>-583063750000</v>
      </c>
      <c r="K136" s="16" t="s">
        <v>1068</v>
      </c>
      <c r="L136" s="57">
        <f t="shared" si="14"/>
        <v>30</v>
      </c>
      <c r="M136" s="17">
        <f t="shared" si="12"/>
        <v>0</v>
      </c>
      <c r="N136" s="18">
        <f t="shared" si="13"/>
        <v>1</v>
      </c>
      <c r="O136" s="27"/>
      <c r="P136" s="8"/>
      <c r="Q136" s="8"/>
      <c r="R136" s="8"/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</row>
    <row r="137" spans="1:44" ht="15.75" thickBot="1" x14ac:dyDescent="0.3">
      <c r="A137" t="s">
        <v>342</v>
      </c>
      <c r="B137" s="62"/>
      <c r="C137" s="63" t="s">
        <v>376</v>
      </c>
      <c r="D137" s="62" t="s">
        <v>377</v>
      </c>
      <c r="E137" t="s">
        <v>19</v>
      </c>
      <c r="F137" t="s">
        <v>36</v>
      </c>
      <c r="G137"/>
      <c r="H137" t="s">
        <v>267</v>
      </c>
      <c r="I137" s="16">
        <v>-348083080000</v>
      </c>
      <c r="J137" s="16">
        <v>-582951030000</v>
      </c>
      <c r="K137" s="16" t="s">
        <v>1073</v>
      </c>
      <c r="L137" s="57">
        <f t="shared" si="14"/>
        <v>30</v>
      </c>
      <c r="M137" s="17">
        <f t="shared" si="12"/>
        <v>0</v>
      </c>
      <c r="N137" s="18">
        <f t="shared" si="13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</row>
    <row r="138" spans="1:44" ht="15.75" thickBot="1" x14ac:dyDescent="0.3">
      <c r="A138" t="s">
        <v>342</v>
      </c>
      <c r="B138" s="62"/>
      <c r="C138" s="63" t="s">
        <v>378</v>
      </c>
      <c r="D138" s="62" t="s">
        <v>379</v>
      </c>
      <c r="E138" t="s">
        <v>113</v>
      </c>
      <c r="F138" t="s">
        <v>943</v>
      </c>
      <c r="G138"/>
      <c r="H138" t="s">
        <v>380</v>
      </c>
      <c r="I138" s="16">
        <v>-348053300000</v>
      </c>
      <c r="J138" s="16">
        <v>-583014930000</v>
      </c>
      <c r="K138" s="16" t="s">
        <v>1076</v>
      </c>
      <c r="L138" s="57">
        <f t="shared" si="14"/>
        <v>30</v>
      </c>
      <c r="M138" s="17">
        <f t="shared" si="12"/>
        <v>0</v>
      </c>
      <c r="N138" s="18">
        <f t="shared" si="13"/>
        <v>1</v>
      </c>
      <c r="O138" s="27"/>
      <c r="P138" s="8"/>
      <c r="Q138" s="8"/>
      <c r="R138" s="8"/>
      <c r="S138" s="27"/>
      <c r="T138" s="27"/>
      <c r="U138" s="8"/>
      <c r="V138" s="8"/>
      <c r="W138" s="8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</row>
    <row r="139" spans="1:44" ht="15.75" thickBot="1" x14ac:dyDescent="0.3">
      <c r="A139" t="s">
        <v>342</v>
      </c>
      <c r="B139" s="62"/>
      <c r="C139" s="63" t="s">
        <v>381</v>
      </c>
      <c r="D139" s="62" t="s">
        <v>379</v>
      </c>
      <c r="E139" t="s">
        <v>113</v>
      </c>
      <c r="F139" t="s">
        <v>943</v>
      </c>
      <c r="G139"/>
      <c r="H139" t="s">
        <v>382</v>
      </c>
      <c r="I139" s="16">
        <v>-348053300000</v>
      </c>
      <c r="J139" s="16">
        <v>-583014930000</v>
      </c>
      <c r="K139" s="16" t="s">
        <v>1077</v>
      </c>
      <c r="L139" s="57">
        <f t="shared" si="14"/>
        <v>30</v>
      </c>
      <c r="M139" s="17">
        <f t="shared" si="12"/>
        <v>0</v>
      </c>
      <c r="N139" s="18">
        <f t="shared" si="13"/>
        <v>1</v>
      </c>
      <c r="O139" s="27"/>
      <c r="P139" s="8"/>
      <c r="Q139" s="8"/>
      <c r="R139" s="8"/>
      <c r="S139" s="27"/>
      <c r="T139" s="27"/>
      <c r="U139" s="8"/>
      <c r="V139" s="8"/>
      <c r="W139" s="8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</row>
    <row r="140" spans="1:44" ht="15.75" thickBot="1" x14ac:dyDescent="0.3">
      <c r="A140" t="s">
        <v>342</v>
      </c>
      <c r="B140" s="62"/>
      <c r="C140" s="63" t="s">
        <v>383</v>
      </c>
      <c r="D140" s="62" t="s">
        <v>384</v>
      </c>
      <c r="E140" t="s">
        <v>113</v>
      </c>
      <c r="F140" t="s">
        <v>943</v>
      </c>
      <c r="G140"/>
      <c r="H140" t="s">
        <v>385</v>
      </c>
      <c r="I140" s="16">
        <v>-348051560000</v>
      </c>
      <c r="J140" s="16">
        <v>-583023560000</v>
      </c>
      <c r="K140" s="16" t="s">
        <v>1078</v>
      </c>
      <c r="L140" s="57">
        <f t="shared" si="14"/>
        <v>30</v>
      </c>
      <c r="M140" s="17">
        <f t="shared" si="12"/>
        <v>0</v>
      </c>
      <c r="N140" s="18">
        <f t="shared" si="13"/>
        <v>1</v>
      </c>
      <c r="O140" s="27"/>
      <c r="P140" s="8"/>
      <c r="Q140" s="8"/>
      <c r="R140" s="8"/>
      <c r="S140" s="27"/>
      <c r="T140" s="27"/>
      <c r="U140" s="8"/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</row>
    <row r="141" spans="1:44" ht="15.75" thickBot="1" x14ac:dyDescent="0.3">
      <c r="A141" t="s">
        <v>342</v>
      </c>
      <c r="B141" s="62"/>
      <c r="C141" s="63" t="s">
        <v>386</v>
      </c>
      <c r="D141" s="62" t="s">
        <v>384</v>
      </c>
      <c r="E141" t="s">
        <v>113</v>
      </c>
      <c r="F141" t="s">
        <v>943</v>
      </c>
      <c r="G141"/>
      <c r="H141" t="s">
        <v>385</v>
      </c>
      <c r="I141" s="16">
        <v>-348051560000</v>
      </c>
      <c r="J141" s="16">
        <v>-583023560000</v>
      </c>
      <c r="K141" s="16" t="s">
        <v>1079</v>
      </c>
      <c r="L141" s="57">
        <f t="shared" si="14"/>
        <v>30</v>
      </c>
      <c r="M141" s="17">
        <f t="shared" si="12"/>
        <v>0</v>
      </c>
      <c r="N141" s="18">
        <f t="shared" si="13"/>
        <v>1</v>
      </c>
      <c r="O141" s="27"/>
      <c r="P141" s="8"/>
      <c r="Q141" s="8"/>
      <c r="R141" s="8"/>
      <c r="S141" s="27"/>
      <c r="T141" s="27"/>
      <c r="U141" s="8"/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</row>
    <row r="142" spans="1:44" ht="15.75" thickBot="1" x14ac:dyDescent="0.3">
      <c r="A142" t="s">
        <v>167</v>
      </c>
      <c r="B142" s="62"/>
      <c r="C142" s="63" t="s">
        <v>387</v>
      </c>
      <c r="D142" s="62" t="s">
        <v>388</v>
      </c>
      <c r="E142" t="s">
        <v>19</v>
      </c>
      <c r="F142" t="s">
        <v>943</v>
      </c>
      <c r="G142"/>
      <c r="H142" t="s">
        <v>389</v>
      </c>
      <c r="I142" s="16">
        <v>-347976230000</v>
      </c>
      <c r="J142" s="16">
        <v>-582821290000</v>
      </c>
      <c r="K142" s="16" t="s">
        <v>1080</v>
      </c>
      <c r="L142" s="57">
        <f t="shared" si="14"/>
        <v>29</v>
      </c>
      <c r="M142" s="17">
        <f t="shared" si="12"/>
        <v>1</v>
      </c>
      <c r="N142" s="18">
        <f t="shared" si="13"/>
        <v>0.96666666666666667</v>
      </c>
      <c r="O142" s="27" t="s">
        <v>1363</v>
      </c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</row>
    <row r="143" spans="1:44" ht="15.75" thickBot="1" x14ac:dyDescent="0.3">
      <c r="A143" t="s">
        <v>167</v>
      </c>
      <c r="B143" s="62"/>
      <c r="C143" s="63" t="s">
        <v>390</v>
      </c>
      <c r="D143" s="62" t="s">
        <v>391</v>
      </c>
      <c r="E143" t="s">
        <v>19</v>
      </c>
      <c r="F143" t="s">
        <v>943</v>
      </c>
      <c r="G143"/>
      <c r="H143" t="s">
        <v>389</v>
      </c>
      <c r="I143" s="16">
        <v>-347960180000</v>
      </c>
      <c r="J143" s="16">
        <v>-582861620000</v>
      </c>
      <c r="K143" s="16" t="s">
        <v>1081</v>
      </c>
      <c r="L143" s="57">
        <f t="shared" si="14"/>
        <v>29</v>
      </c>
      <c r="M143" s="17">
        <f t="shared" si="12"/>
        <v>1</v>
      </c>
      <c r="N143" s="18">
        <f t="shared" si="13"/>
        <v>0.96666666666666667</v>
      </c>
      <c r="O143" s="27" t="s">
        <v>1363</v>
      </c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</row>
    <row r="144" spans="1:44" ht="15.75" thickBot="1" x14ac:dyDescent="0.3">
      <c r="A144" t="s">
        <v>167</v>
      </c>
      <c r="B144" s="60">
        <v>44629</v>
      </c>
      <c r="C144" s="63" t="s">
        <v>392</v>
      </c>
      <c r="D144" s="62" t="s">
        <v>393</v>
      </c>
      <c r="E144" t="s">
        <v>19</v>
      </c>
      <c r="F144" t="s">
        <v>943</v>
      </c>
      <c r="G144"/>
      <c r="H144" t="s">
        <v>389</v>
      </c>
      <c r="I144" s="16">
        <v>-347947670000</v>
      </c>
      <c r="J144" s="16">
        <v>-582871810000</v>
      </c>
      <c r="K144" s="16" t="s">
        <v>1082</v>
      </c>
      <c r="L144" s="57">
        <f t="shared" si="14"/>
        <v>29</v>
      </c>
      <c r="M144" s="17">
        <f t="shared" si="12"/>
        <v>1</v>
      </c>
      <c r="N144" s="18">
        <f t="shared" si="13"/>
        <v>0.96666666666666667</v>
      </c>
      <c r="O144" s="27" t="s">
        <v>1363</v>
      </c>
      <c r="P144" s="8"/>
      <c r="Q144" s="8"/>
      <c r="R144" s="8"/>
      <c r="S144" s="27"/>
      <c r="T144" s="27"/>
      <c r="U144" s="8"/>
      <c r="V144" s="8"/>
      <c r="W144" s="8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</row>
    <row r="145" spans="1:44" ht="15.75" thickBot="1" x14ac:dyDescent="0.3">
      <c r="A145" t="s">
        <v>261</v>
      </c>
      <c r="B145" s="62"/>
      <c r="C145" s="63" t="s">
        <v>394</v>
      </c>
      <c r="D145" s="62" t="s">
        <v>1318</v>
      </c>
      <c r="E145" t="s">
        <v>24</v>
      </c>
      <c r="F145" t="s">
        <v>25</v>
      </c>
      <c r="G145" t="s">
        <v>364</v>
      </c>
      <c r="H145"/>
      <c r="I145" s="16">
        <v>-348070980000</v>
      </c>
      <c r="J145" s="16">
        <v>-582892260000</v>
      </c>
      <c r="K145" s="16" t="s">
        <v>1083</v>
      </c>
      <c r="L145" s="57">
        <f t="shared" si="14"/>
        <v>30</v>
      </c>
      <c r="M145" s="17">
        <f t="shared" si="12"/>
        <v>0</v>
      </c>
      <c r="N145" s="18">
        <f t="shared" si="13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</row>
    <row r="146" spans="1:44" ht="15.75" thickBot="1" x14ac:dyDescent="0.3">
      <c r="B146" s="62"/>
      <c r="C146" s="63" t="s">
        <v>395</v>
      </c>
      <c r="D146" s="62" t="s">
        <v>396</v>
      </c>
      <c r="E146" t="s">
        <v>24</v>
      </c>
      <c r="F146" t="s">
        <v>25</v>
      </c>
      <c r="G146" t="s">
        <v>397</v>
      </c>
      <c r="H146" t="s">
        <v>398</v>
      </c>
      <c r="I146" s="16">
        <v>-348065100000</v>
      </c>
      <c r="J146" s="16">
        <v>-582865850000</v>
      </c>
      <c r="K146" s="16" t="s">
        <v>1084</v>
      </c>
      <c r="L146" s="57">
        <f t="shared" si="14"/>
        <v>30</v>
      </c>
      <c r="M146" s="17">
        <f t="shared" si="12"/>
        <v>0</v>
      </c>
      <c r="N146" s="18">
        <f t="shared" si="13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</row>
    <row r="147" spans="1:44" ht="15.75" thickBot="1" x14ac:dyDescent="0.3">
      <c r="A147" t="s">
        <v>399</v>
      </c>
      <c r="B147" s="62"/>
      <c r="C147" s="63" t="s">
        <v>400</v>
      </c>
      <c r="D147" s="62" t="s">
        <v>401</v>
      </c>
      <c r="E147" t="s">
        <v>113</v>
      </c>
      <c r="F147" t="s">
        <v>36</v>
      </c>
      <c r="G147"/>
      <c r="H147" t="s">
        <v>248</v>
      </c>
      <c r="I147" s="16">
        <v>-348071440000</v>
      </c>
      <c r="J147" s="16">
        <v>-582892140000</v>
      </c>
      <c r="K147" s="16" t="s">
        <v>1085</v>
      </c>
      <c r="L147" s="57">
        <f t="shared" si="14"/>
        <v>30</v>
      </c>
      <c r="M147" s="17">
        <f t="shared" si="12"/>
        <v>0</v>
      </c>
      <c r="N147" s="18">
        <f t="shared" si="13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</row>
    <row r="148" spans="1:44" ht="15.75" thickBot="1" x14ac:dyDescent="0.3">
      <c r="A148" t="s">
        <v>399</v>
      </c>
      <c r="B148" s="62"/>
      <c r="C148" s="63" t="s">
        <v>402</v>
      </c>
      <c r="D148" s="62" t="s">
        <v>401</v>
      </c>
      <c r="E148" t="s">
        <v>73</v>
      </c>
      <c r="F148" t="s">
        <v>36</v>
      </c>
      <c r="G148"/>
      <c r="H148" t="s">
        <v>223</v>
      </c>
      <c r="I148" s="16">
        <v>-348070260000</v>
      </c>
      <c r="J148" s="16">
        <v>-582887990000</v>
      </c>
      <c r="K148" s="16" t="s">
        <v>1059</v>
      </c>
      <c r="L148" s="57">
        <f t="shared" si="14"/>
        <v>30</v>
      </c>
      <c r="M148" s="17">
        <f t="shared" si="12"/>
        <v>0</v>
      </c>
      <c r="N148" s="18">
        <f t="shared" si="13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</row>
    <row r="149" spans="1:44" ht="15.75" thickBot="1" x14ac:dyDescent="0.3">
      <c r="A149" t="s">
        <v>403</v>
      </c>
      <c r="B149" s="62"/>
      <c r="C149" s="63" t="s">
        <v>404</v>
      </c>
      <c r="D149" s="62" t="s">
        <v>405</v>
      </c>
      <c r="E149" t="s">
        <v>19</v>
      </c>
      <c r="F149" t="s">
        <v>36</v>
      </c>
      <c r="G149"/>
      <c r="H149" t="s">
        <v>248</v>
      </c>
      <c r="I149" s="16">
        <v>-348519500000</v>
      </c>
      <c r="J149" s="16">
        <v>-582783830000</v>
      </c>
      <c r="K149" s="16" t="s">
        <v>1086</v>
      </c>
      <c r="L149" s="57">
        <f t="shared" si="14"/>
        <v>30</v>
      </c>
      <c r="M149" s="17">
        <f t="shared" si="12"/>
        <v>0</v>
      </c>
      <c r="N149" s="18">
        <f t="shared" si="13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</row>
    <row r="150" spans="1:44" ht="15.75" thickBot="1" x14ac:dyDescent="0.3">
      <c r="A150" t="s">
        <v>403</v>
      </c>
      <c r="B150" s="62"/>
      <c r="C150" s="63" t="s">
        <v>406</v>
      </c>
      <c r="D150" s="62" t="s">
        <v>407</v>
      </c>
      <c r="E150" t="s">
        <v>113</v>
      </c>
      <c r="F150" t="s">
        <v>36</v>
      </c>
      <c r="G150"/>
      <c r="H150" t="s">
        <v>329</v>
      </c>
      <c r="I150" s="16">
        <v>-348525210000</v>
      </c>
      <c r="J150" s="16">
        <v>-582783180000</v>
      </c>
      <c r="K150" s="16" t="s">
        <v>1087</v>
      </c>
      <c r="L150" s="57">
        <f t="shared" si="14"/>
        <v>30</v>
      </c>
      <c r="M150" s="17">
        <f t="shared" si="12"/>
        <v>0</v>
      </c>
      <c r="N150" s="18">
        <f t="shared" si="13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</row>
    <row r="151" spans="1:44" ht="15.75" thickBot="1" x14ac:dyDescent="0.3">
      <c r="A151" t="s">
        <v>403</v>
      </c>
      <c r="B151" s="62"/>
      <c r="C151" s="63" t="s">
        <v>408</v>
      </c>
      <c r="D151" s="62" t="s">
        <v>407</v>
      </c>
      <c r="E151" t="s">
        <v>113</v>
      </c>
      <c r="F151" t="s">
        <v>36</v>
      </c>
      <c r="G151"/>
      <c r="H151" t="s">
        <v>329</v>
      </c>
      <c r="I151" s="16">
        <v>-348525370000</v>
      </c>
      <c r="J151" s="16">
        <v>-582783380000</v>
      </c>
      <c r="K151" s="16" t="s">
        <v>1088</v>
      </c>
      <c r="L151" s="57">
        <f t="shared" si="14"/>
        <v>30</v>
      </c>
      <c r="M151" s="17">
        <f t="shared" si="12"/>
        <v>0</v>
      </c>
      <c r="N151" s="18">
        <f t="shared" si="13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</row>
    <row r="152" spans="1:44" ht="15.75" thickBot="1" x14ac:dyDescent="0.3">
      <c r="B152" s="62"/>
      <c r="C152" s="63" t="s">
        <v>409</v>
      </c>
      <c r="D152" s="62" t="s">
        <v>410</v>
      </c>
      <c r="E152" t="s">
        <v>73</v>
      </c>
      <c r="F152" t="s">
        <v>36</v>
      </c>
      <c r="G152" t="s">
        <v>185</v>
      </c>
      <c r="H152" t="s">
        <v>411</v>
      </c>
      <c r="I152" s="16">
        <v>-347838400000</v>
      </c>
      <c r="J152" s="16">
        <v>-582682780000</v>
      </c>
      <c r="K152" s="16" t="s">
        <v>1089</v>
      </c>
      <c r="L152" s="57">
        <f t="shared" si="14"/>
        <v>30</v>
      </c>
      <c r="M152" s="17">
        <f t="shared" si="12"/>
        <v>0</v>
      </c>
      <c r="N152" s="18">
        <f t="shared" si="13"/>
        <v>1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</row>
    <row r="153" spans="1:44" ht="15.75" thickBot="1" x14ac:dyDescent="0.3">
      <c r="A153" t="s">
        <v>412</v>
      </c>
      <c r="B153" s="60">
        <v>44642</v>
      </c>
      <c r="C153" s="63" t="s">
        <v>413</v>
      </c>
      <c r="D153" s="62" t="s">
        <v>414</v>
      </c>
      <c r="E153" t="s">
        <v>24</v>
      </c>
      <c r="F153" t="s">
        <v>36</v>
      </c>
      <c r="G153" t="s">
        <v>185</v>
      </c>
      <c r="H153"/>
      <c r="I153" s="16">
        <v>-347869330000</v>
      </c>
      <c r="J153" s="16">
        <v>-582738880000</v>
      </c>
      <c r="K153" s="16" t="s">
        <v>1090</v>
      </c>
      <c r="L153" s="57">
        <f t="shared" si="14"/>
        <v>30</v>
      </c>
      <c r="M153" s="17">
        <f t="shared" si="12"/>
        <v>0</v>
      </c>
      <c r="N153" s="18">
        <f t="shared" si="13"/>
        <v>1</v>
      </c>
      <c r="O153" s="27"/>
      <c r="P153" s="8"/>
      <c r="Q153" s="8"/>
      <c r="R153" s="8"/>
      <c r="S153" s="27"/>
      <c r="T153" s="27"/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</row>
    <row r="154" spans="1:44" ht="15.75" thickBot="1" x14ac:dyDescent="0.3">
      <c r="A154" t="s">
        <v>415</v>
      </c>
      <c r="B154" s="62"/>
      <c r="C154" s="63" t="s">
        <v>416</v>
      </c>
      <c r="D154" s="62" t="s">
        <v>417</v>
      </c>
      <c r="E154" t="s">
        <v>113</v>
      </c>
      <c r="F154" t="s">
        <v>36</v>
      </c>
      <c r="G154" t="s">
        <v>185</v>
      </c>
      <c r="H154"/>
      <c r="I154" s="16">
        <v>-347836020000</v>
      </c>
      <c r="J154" s="16">
        <v>-582678150000</v>
      </c>
      <c r="K154" s="16" t="s">
        <v>1091</v>
      </c>
      <c r="L154" s="57">
        <f t="shared" si="14"/>
        <v>30</v>
      </c>
      <c r="M154" s="17">
        <f t="shared" si="12"/>
        <v>0</v>
      </c>
      <c r="N154" s="18">
        <f t="shared" si="13"/>
        <v>1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</row>
    <row r="155" spans="1:44" ht="15.75" thickBot="1" x14ac:dyDescent="0.3">
      <c r="A155" t="s">
        <v>415</v>
      </c>
      <c r="B155" s="62"/>
      <c r="C155" s="63" t="s">
        <v>418</v>
      </c>
      <c r="D155" s="62" t="s">
        <v>419</v>
      </c>
      <c r="E155" t="s">
        <v>73</v>
      </c>
      <c r="F155" t="s">
        <v>36</v>
      </c>
      <c r="G155" t="s">
        <v>185</v>
      </c>
      <c r="H155" t="s">
        <v>420</v>
      </c>
      <c r="I155" s="16">
        <v>-347831840000</v>
      </c>
      <c r="J155" s="16">
        <v>-582670320000</v>
      </c>
      <c r="K155" s="16" t="s">
        <v>1092</v>
      </c>
      <c r="L155" s="57">
        <f t="shared" si="14"/>
        <v>30</v>
      </c>
      <c r="M155" s="17">
        <f t="shared" si="12"/>
        <v>0</v>
      </c>
      <c r="N155" s="18">
        <f t="shared" si="13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</row>
    <row r="156" spans="1:44" ht="15.75" thickBot="1" x14ac:dyDescent="0.3">
      <c r="A156" t="s">
        <v>415</v>
      </c>
      <c r="B156" s="60">
        <v>44642</v>
      </c>
      <c r="C156" s="63" t="s">
        <v>421</v>
      </c>
      <c r="D156" s="62" t="s">
        <v>422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1093</v>
      </c>
      <c r="L156" s="57">
        <f t="shared" si="14"/>
        <v>29</v>
      </c>
      <c r="M156" s="17">
        <f t="shared" si="12"/>
        <v>1</v>
      </c>
      <c r="N156" s="18">
        <f t="shared" si="13"/>
        <v>0.96666666666666667</v>
      </c>
      <c r="O156" s="27" t="s">
        <v>1363</v>
      </c>
      <c r="P156" s="8"/>
      <c r="Q156" s="8"/>
      <c r="R156" s="8"/>
      <c r="S156" s="27"/>
      <c r="T156" s="27"/>
      <c r="U156" s="8"/>
      <c r="V156" s="8"/>
      <c r="W156" s="8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</row>
    <row r="157" spans="1:44" ht="15.75" thickBot="1" x14ac:dyDescent="0.3">
      <c r="A157" t="s">
        <v>412</v>
      </c>
      <c r="B157" s="62"/>
      <c r="C157" s="63" t="s">
        <v>423</v>
      </c>
      <c r="D157" s="62" t="s">
        <v>424</v>
      </c>
      <c r="E157" t="s">
        <v>24</v>
      </c>
      <c r="F157" t="s">
        <v>36</v>
      </c>
      <c r="G157" t="s">
        <v>425</v>
      </c>
      <c r="H157"/>
      <c r="I157" s="16">
        <v>-347807820000</v>
      </c>
      <c r="J157" s="16">
        <v>-582625370000</v>
      </c>
      <c r="K157" s="16" t="s">
        <v>1094</v>
      </c>
      <c r="L157" s="57">
        <f t="shared" si="14"/>
        <v>30</v>
      </c>
      <c r="M157" s="17">
        <f t="shared" si="12"/>
        <v>0</v>
      </c>
      <c r="N157" s="18">
        <f t="shared" si="13"/>
        <v>1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</row>
    <row r="158" spans="1:44" ht="15.75" thickBot="1" x14ac:dyDescent="0.3">
      <c r="A158" t="s">
        <v>415</v>
      </c>
      <c r="B158" s="62"/>
      <c r="C158" s="63" t="s">
        <v>426</v>
      </c>
      <c r="D158" s="62" t="s">
        <v>427</v>
      </c>
      <c r="E158" t="s">
        <v>24</v>
      </c>
      <c r="F158" t="s">
        <v>36</v>
      </c>
      <c r="G158" t="s">
        <v>185</v>
      </c>
      <c r="H158"/>
      <c r="I158" s="16">
        <v>-347816280000</v>
      </c>
      <c r="J158" s="16">
        <v>-582641460000</v>
      </c>
      <c r="K158" s="16" t="s">
        <v>1095</v>
      </c>
      <c r="L158" s="57">
        <f t="shared" si="14"/>
        <v>30</v>
      </c>
      <c r="M158" s="17">
        <f t="shared" si="12"/>
        <v>0</v>
      </c>
      <c r="N158" s="18">
        <f t="shared" si="13"/>
        <v>1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</row>
    <row r="159" spans="1:44" ht="15.75" thickBot="1" x14ac:dyDescent="0.3">
      <c r="A159" t="s">
        <v>415</v>
      </c>
      <c r="B159" s="60">
        <v>44642</v>
      </c>
      <c r="C159" s="63" t="s">
        <v>428</v>
      </c>
      <c r="D159" s="62" t="s">
        <v>429</v>
      </c>
      <c r="E159" t="s">
        <v>24</v>
      </c>
      <c r="F159" t="s">
        <v>36</v>
      </c>
      <c r="G159" t="s">
        <v>185</v>
      </c>
      <c r="H159"/>
      <c r="I159" s="16">
        <v>-347799500000</v>
      </c>
      <c r="J159" s="16">
        <v>-582656480000</v>
      </c>
      <c r="K159" s="16" t="s">
        <v>1096</v>
      </c>
      <c r="L159" s="57">
        <f t="shared" si="14"/>
        <v>30</v>
      </c>
      <c r="M159" s="17">
        <f t="shared" si="12"/>
        <v>0</v>
      </c>
      <c r="N159" s="18">
        <f t="shared" si="13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</row>
    <row r="160" spans="1:44" ht="15.75" thickBot="1" x14ac:dyDescent="0.3">
      <c r="A160" t="s">
        <v>415</v>
      </c>
      <c r="B160" s="62"/>
      <c r="C160" s="63" t="s">
        <v>430</v>
      </c>
      <c r="D160" s="62" t="s">
        <v>1323</v>
      </c>
      <c r="E160" t="s">
        <v>24</v>
      </c>
      <c r="F160" t="s">
        <v>36</v>
      </c>
      <c r="G160" t="s">
        <v>185</v>
      </c>
      <c r="H160"/>
      <c r="I160" s="16">
        <v>-347811260000</v>
      </c>
      <c r="J160" s="16">
        <v>-582702510000</v>
      </c>
      <c r="K160" s="16" t="s">
        <v>1097</v>
      </c>
      <c r="L160" s="57">
        <f t="shared" si="14"/>
        <v>30</v>
      </c>
      <c r="M160" s="17">
        <f t="shared" si="12"/>
        <v>0</v>
      </c>
      <c r="N160" s="18">
        <f t="shared" si="13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</row>
    <row r="161" spans="1:44" ht="15.75" thickBot="1" x14ac:dyDescent="0.3">
      <c r="A161" t="s">
        <v>415</v>
      </c>
      <c r="B161" s="62"/>
      <c r="C161" s="63" t="s">
        <v>431</v>
      </c>
      <c r="D161" s="62" t="s">
        <v>432</v>
      </c>
      <c r="E161" t="s">
        <v>24</v>
      </c>
      <c r="F161" t="s">
        <v>36</v>
      </c>
      <c r="G161" t="s">
        <v>185</v>
      </c>
      <c r="H161"/>
      <c r="I161" s="16">
        <v>-347801920000</v>
      </c>
      <c r="J161" s="16">
        <v>-582637810000</v>
      </c>
      <c r="K161" s="16" t="s">
        <v>1098</v>
      </c>
      <c r="L161" s="57">
        <f t="shared" si="14"/>
        <v>30</v>
      </c>
      <c r="M161" s="17">
        <f t="shared" si="12"/>
        <v>0</v>
      </c>
      <c r="N161" s="18">
        <f t="shared" si="13"/>
        <v>1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</row>
    <row r="162" spans="1:44" ht="15.75" thickBot="1" x14ac:dyDescent="0.3">
      <c r="A162" t="s">
        <v>415</v>
      </c>
      <c r="B162" s="62"/>
      <c r="C162" s="63" t="s">
        <v>433</v>
      </c>
      <c r="D162" s="62" t="s">
        <v>434</v>
      </c>
      <c r="E162" t="s">
        <v>24</v>
      </c>
      <c r="F162" t="s">
        <v>36</v>
      </c>
      <c r="G162" t="s">
        <v>435</v>
      </c>
      <c r="H162"/>
      <c r="I162" s="16">
        <v>-347837870000</v>
      </c>
      <c r="J162" s="16">
        <v>-582681690000</v>
      </c>
      <c r="K162" s="16" t="s">
        <v>1099</v>
      </c>
      <c r="L162" s="57">
        <f t="shared" si="14"/>
        <v>30</v>
      </c>
      <c r="M162" s="17">
        <f t="shared" si="12"/>
        <v>0</v>
      </c>
      <c r="N162" s="18">
        <f t="shared" si="13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</row>
    <row r="163" spans="1:44" ht="15.75" thickBot="1" x14ac:dyDescent="0.3">
      <c r="A163" t="s">
        <v>415</v>
      </c>
      <c r="B163" s="62"/>
      <c r="C163" s="63" t="s">
        <v>436</v>
      </c>
      <c r="D163" s="62" t="s">
        <v>437</v>
      </c>
      <c r="E163" t="s">
        <v>113</v>
      </c>
      <c r="F163" t="s">
        <v>36</v>
      </c>
      <c r="G163"/>
      <c r="H163" t="s">
        <v>438</v>
      </c>
      <c r="I163" s="16">
        <v>-347808370000</v>
      </c>
      <c r="J163" s="16">
        <v>-582696060000</v>
      </c>
      <c r="K163" s="16" t="s">
        <v>1100</v>
      </c>
      <c r="L163" s="57">
        <f t="shared" si="14"/>
        <v>30</v>
      </c>
      <c r="M163" s="17">
        <f t="shared" si="12"/>
        <v>0</v>
      </c>
      <c r="N163" s="18">
        <f t="shared" si="13"/>
        <v>1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</row>
    <row r="164" spans="1:44" ht="15.75" thickBot="1" x14ac:dyDescent="0.3">
      <c r="A164" t="s">
        <v>415</v>
      </c>
      <c r="B164" s="62"/>
      <c r="C164" s="63" t="s">
        <v>439</v>
      </c>
      <c r="D164" s="62" t="s">
        <v>437</v>
      </c>
      <c r="E164" t="s">
        <v>113</v>
      </c>
      <c r="F164" t="s">
        <v>36</v>
      </c>
      <c r="G164"/>
      <c r="H164" t="s">
        <v>438</v>
      </c>
      <c r="I164" s="16">
        <v>-347808450000</v>
      </c>
      <c r="J164" s="16">
        <v>-582696230000</v>
      </c>
      <c r="K164" s="16" t="s">
        <v>1101</v>
      </c>
      <c r="L164" s="57">
        <f t="shared" si="14"/>
        <v>30</v>
      </c>
      <c r="M164" s="17">
        <f t="shared" si="12"/>
        <v>0</v>
      </c>
      <c r="N164" s="18">
        <f t="shared" si="13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</row>
    <row r="165" spans="1:44" ht="15.75" thickBot="1" x14ac:dyDescent="0.3">
      <c r="A165" t="s">
        <v>415</v>
      </c>
      <c r="B165" s="62"/>
      <c r="C165" s="63" t="s">
        <v>440</v>
      </c>
      <c r="D165" s="62" t="s">
        <v>441</v>
      </c>
      <c r="E165" t="s">
        <v>19</v>
      </c>
      <c r="F165" t="s">
        <v>36</v>
      </c>
      <c r="G165"/>
      <c r="H165" t="s">
        <v>248</v>
      </c>
      <c r="I165" s="16">
        <v>-347812080000</v>
      </c>
      <c r="J165" s="16">
        <v>-582633880000</v>
      </c>
      <c r="K165" s="16" t="s">
        <v>1102</v>
      </c>
      <c r="L165" s="57">
        <f t="shared" si="14"/>
        <v>30</v>
      </c>
      <c r="M165" s="17">
        <f t="shared" si="12"/>
        <v>0</v>
      </c>
      <c r="N165" s="18">
        <f t="shared" si="13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</row>
    <row r="166" spans="1:44" ht="15.75" thickBot="1" x14ac:dyDescent="0.3">
      <c r="A166" t="s">
        <v>358</v>
      </c>
      <c r="B166" s="62"/>
      <c r="C166" s="63" t="s">
        <v>442</v>
      </c>
      <c r="D166" s="62" t="s">
        <v>443</v>
      </c>
      <c r="E166" t="s">
        <v>19</v>
      </c>
      <c r="F166" t="s">
        <v>25</v>
      </c>
      <c r="G166"/>
      <c r="H166" t="s">
        <v>444</v>
      </c>
      <c r="I166" s="16">
        <v>-348079950000</v>
      </c>
      <c r="J166" s="16">
        <v>-583078510000</v>
      </c>
      <c r="K166" s="16" t="s">
        <v>1104</v>
      </c>
      <c r="L166" s="57">
        <f t="shared" si="14"/>
        <v>29</v>
      </c>
      <c r="M166" s="17">
        <f t="shared" si="12"/>
        <v>1</v>
      </c>
      <c r="N166" s="18">
        <f t="shared" si="13"/>
        <v>0.96666666666666667</v>
      </c>
      <c r="O166" s="27" t="s">
        <v>1363</v>
      </c>
      <c r="P166" s="8"/>
      <c r="Q166" s="8"/>
      <c r="R166" s="8"/>
      <c r="S166" s="27"/>
      <c r="T166" s="27"/>
      <c r="U166" s="8"/>
      <c r="V166" s="8"/>
      <c r="W166" s="8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</row>
    <row r="167" spans="1:44" ht="15.75" thickBot="1" x14ac:dyDescent="0.3">
      <c r="A167" t="s">
        <v>445</v>
      </c>
      <c r="B167" s="62"/>
      <c r="C167" s="63" t="s">
        <v>446</v>
      </c>
      <c r="D167" s="62" t="s">
        <v>932</v>
      </c>
      <c r="E167" t="s">
        <v>24</v>
      </c>
      <c r="F167" t="s">
        <v>25</v>
      </c>
      <c r="G167" t="s">
        <v>161</v>
      </c>
      <c r="H167"/>
      <c r="I167" s="16">
        <v>-348097650000</v>
      </c>
      <c r="J167" s="16">
        <v>-583197750000</v>
      </c>
      <c r="K167" s="16" t="s">
        <v>1103</v>
      </c>
      <c r="L167" s="57">
        <f t="shared" si="14"/>
        <v>30</v>
      </c>
      <c r="M167" s="17">
        <f t="shared" si="12"/>
        <v>0</v>
      </c>
      <c r="N167" s="18">
        <f t="shared" si="13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</row>
    <row r="168" spans="1:44" ht="15.75" thickBot="1" x14ac:dyDescent="0.3">
      <c r="A168" t="s">
        <v>445</v>
      </c>
      <c r="B168" s="62"/>
      <c r="C168" s="63" t="s">
        <v>447</v>
      </c>
      <c r="D168" s="62" t="s">
        <v>448</v>
      </c>
      <c r="E168" t="s">
        <v>19</v>
      </c>
      <c r="F168" t="s">
        <v>36</v>
      </c>
      <c r="G168"/>
      <c r="H168" t="s">
        <v>449</v>
      </c>
      <c r="I168" s="16">
        <v>-348065880000</v>
      </c>
      <c r="J168" s="16">
        <v>-583140610000</v>
      </c>
      <c r="K168" s="16" t="s">
        <v>1105</v>
      </c>
      <c r="L168" s="57">
        <f t="shared" si="14"/>
        <v>30</v>
      </c>
      <c r="M168" s="17">
        <f t="shared" si="12"/>
        <v>0</v>
      </c>
      <c r="N168" s="18">
        <f t="shared" si="13"/>
        <v>1</v>
      </c>
      <c r="O168" s="27"/>
      <c r="P168" s="8"/>
      <c r="Q168" s="8"/>
      <c r="R168" s="8"/>
      <c r="S168" s="27"/>
      <c r="T168" s="27"/>
      <c r="U168" s="8"/>
      <c r="V168" s="8"/>
      <c r="W168" s="8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</row>
    <row r="169" spans="1:44" ht="15.75" thickBot="1" x14ac:dyDescent="0.3">
      <c r="A169" t="s">
        <v>450</v>
      </c>
      <c r="B169" s="62"/>
      <c r="C169" s="63" t="s">
        <v>451</v>
      </c>
      <c r="D169" s="62" t="s">
        <v>452</v>
      </c>
      <c r="E169" t="s">
        <v>113</v>
      </c>
      <c r="F169" t="s">
        <v>36</v>
      </c>
      <c r="G169" t="s">
        <v>185</v>
      </c>
      <c r="H169" t="s">
        <v>453</v>
      </c>
      <c r="I169" s="16">
        <v>-347782860000</v>
      </c>
      <c r="J169" s="16">
        <v>-582672650000</v>
      </c>
      <c r="K169" s="16" t="s">
        <v>1110</v>
      </c>
      <c r="L169" s="57">
        <f t="shared" si="14"/>
        <v>30</v>
      </c>
      <c r="M169" s="17">
        <f t="shared" si="12"/>
        <v>0</v>
      </c>
      <c r="N169" s="18">
        <f t="shared" si="13"/>
        <v>1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</row>
    <row r="170" spans="1:44" ht="15.75" thickBot="1" x14ac:dyDescent="0.3">
      <c r="A170" t="s">
        <v>415</v>
      </c>
      <c r="B170" s="62"/>
      <c r="C170" s="63" t="s">
        <v>454</v>
      </c>
      <c r="D170" s="62" t="s">
        <v>455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1111</v>
      </c>
      <c r="L170" s="57">
        <f t="shared" si="14"/>
        <v>30</v>
      </c>
      <c r="M170" s="17">
        <f t="shared" si="12"/>
        <v>0</v>
      </c>
      <c r="N170" s="18">
        <f t="shared" si="13"/>
        <v>1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</row>
    <row r="171" spans="1:44" ht="15.75" thickBot="1" x14ac:dyDescent="0.3">
      <c r="A171" t="s">
        <v>456</v>
      </c>
      <c r="B171" s="62"/>
      <c r="C171" s="63" t="s">
        <v>457</v>
      </c>
      <c r="D171" s="62" t="s">
        <v>458</v>
      </c>
      <c r="E171" t="s">
        <v>24</v>
      </c>
      <c r="F171" t="s">
        <v>36</v>
      </c>
      <c r="G171" t="s">
        <v>459</v>
      </c>
      <c r="H171"/>
      <c r="I171" s="16">
        <v>-347760150000</v>
      </c>
      <c r="J171" s="16">
        <v>-582715170000</v>
      </c>
      <c r="K171" s="16" t="s">
        <v>1112</v>
      </c>
      <c r="L171" s="57">
        <f t="shared" si="14"/>
        <v>30</v>
      </c>
      <c r="M171" s="17">
        <f t="shared" si="12"/>
        <v>0</v>
      </c>
      <c r="N171" s="18">
        <f t="shared" si="13"/>
        <v>1</v>
      </c>
      <c r="O171" s="27"/>
      <c r="P171" s="8"/>
      <c r="Q171" s="8"/>
      <c r="R171" s="8"/>
      <c r="S171" s="27"/>
      <c r="T171" s="27"/>
      <c r="U171" s="8"/>
      <c r="V171" s="8"/>
      <c r="W171" s="8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</row>
    <row r="172" spans="1:44" ht="15.75" thickBot="1" x14ac:dyDescent="0.3">
      <c r="A172" t="s">
        <v>450</v>
      </c>
      <c r="B172" s="62"/>
      <c r="C172" s="63" t="s">
        <v>460</v>
      </c>
      <c r="D172" s="62" t="s">
        <v>461</v>
      </c>
      <c r="E172" t="s">
        <v>24</v>
      </c>
      <c r="F172" t="s">
        <v>36</v>
      </c>
      <c r="G172" t="s">
        <v>462</v>
      </c>
      <c r="H172"/>
      <c r="I172" s="16">
        <v>-347796570000</v>
      </c>
      <c r="J172" s="16">
        <v>-582627950000</v>
      </c>
      <c r="K172" s="16" t="s">
        <v>1113</v>
      </c>
      <c r="L172" s="57">
        <f t="shared" si="14"/>
        <v>30</v>
      </c>
      <c r="M172" s="17">
        <f t="shared" si="12"/>
        <v>0</v>
      </c>
      <c r="N172" s="18">
        <f t="shared" si="13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</row>
    <row r="173" spans="1:44" ht="15.75" thickBot="1" x14ac:dyDescent="0.3">
      <c r="B173" s="62"/>
      <c r="C173" s="63" t="s">
        <v>463</v>
      </c>
      <c r="D173" s="62" t="s">
        <v>464</v>
      </c>
      <c r="E173" t="s">
        <v>24</v>
      </c>
      <c r="F173" t="s">
        <v>36</v>
      </c>
      <c r="G173" t="s">
        <v>465</v>
      </c>
      <c r="H173"/>
      <c r="I173" s="16">
        <v>-347771820000</v>
      </c>
      <c r="J173" s="16">
        <v>-582693640000</v>
      </c>
      <c r="K173" s="16" t="s">
        <v>1114</v>
      </c>
      <c r="L173" s="57">
        <f t="shared" si="14"/>
        <v>30</v>
      </c>
      <c r="M173" s="17">
        <f t="shared" si="12"/>
        <v>0</v>
      </c>
      <c r="N173" s="18">
        <f t="shared" si="13"/>
        <v>1</v>
      </c>
      <c r="O173" s="27"/>
      <c r="P173" s="8"/>
      <c r="Q173" s="8"/>
      <c r="R173" s="8"/>
      <c r="S173" s="27"/>
      <c r="T173" s="27"/>
      <c r="U173" s="8"/>
      <c r="V173" s="8"/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</row>
    <row r="174" spans="1:44" ht="15.75" thickBot="1" x14ac:dyDescent="0.3">
      <c r="A174" t="s">
        <v>456</v>
      </c>
      <c r="B174" s="62"/>
      <c r="C174" s="63" t="s">
        <v>466</v>
      </c>
      <c r="D174" s="62" t="s">
        <v>467</v>
      </c>
      <c r="E174" t="s">
        <v>19</v>
      </c>
      <c r="F174" t="s">
        <v>36</v>
      </c>
      <c r="G174" t="s">
        <v>468</v>
      </c>
      <c r="H174"/>
      <c r="I174" s="16">
        <v>-347739010000</v>
      </c>
      <c r="J174" s="16">
        <v>-582753360000</v>
      </c>
      <c r="K174" s="16" t="s">
        <v>1115</v>
      </c>
      <c r="L174" s="57">
        <f t="shared" si="14"/>
        <v>30</v>
      </c>
      <c r="M174" s="17">
        <f t="shared" si="12"/>
        <v>0</v>
      </c>
      <c r="N174" s="18">
        <f t="shared" si="13"/>
        <v>1</v>
      </c>
      <c r="O174" s="27"/>
      <c r="P174" s="8"/>
      <c r="Q174" s="8"/>
      <c r="R174" s="8"/>
      <c r="S174" s="27"/>
      <c r="T174" s="27"/>
      <c r="U174" s="8"/>
      <c r="V174" s="8"/>
      <c r="W174" s="8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</row>
    <row r="175" spans="1:44" ht="15.75" thickBot="1" x14ac:dyDescent="0.3">
      <c r="A175" t="s">
        <v>469</v>
      </c>
      <c r="B175" s="62"/>
      <c r="C175" s="63" t="s">
        <v>470</v>
      </c>
      <c r="D175" s="62" t="s">
        <v>471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1116</v>
      </c>
      <c r="L175" s="57">
        <f t="shared" si="14"/>
        <v>30</v>
      </c>
      <c r="M175" s="17">
        <f t="shared" si="12"/>
        <v>0</v>
      </c>
      <c r="N175" s="18">
        <f t="shared" si="13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</row>
    <row r="176" spans="1:44" ht="15.75" thickBot="1" x14ac:dyDescent="0.3">
      <c r="A176" t="s">
        <v>469</v>
      </c>
      <c r="B176" s="62"/>
      <c r="C176" s="63" t="s">
        <v>472</v>
      </c>
      <c r="D176" s="62" t="s">
        <v>473</v>
      </c>
      <c r="E176" t="s">
        <v>24</v>
      </c>
      <c r="F176" t="s">
        <v>25</v>
      </c>
      <c r="G176" t="s">
        <v>474</v>
      </c>
      <c r="H176"/>
      <c r="I176" s="16">
        <v>-347941910000</v>
      </c>
      <c r="J176" s="16">
        <v>-582702320000</v>
      </c>
      <c r="K176" s="16" t="s">
        <v>1117</v>
      </c>
      <c r="L176" s="57">
        <f t="shared" si="14"/>
        <v>30</v>
      </c>
      <c r="M176" s="17">
        <f t="shared" si="12"/>
        <v>0</v>
      </c>
      <c r="N176" s="18">
        <f t="shared" si="13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</row>
    <row r="177" spans="1:44" ht="15.75" thickBot="1" x14ac:dyDescent="0.3">
      <c r="A177" t="s">
        <v>469</v>
      </c>
      <c r="B177" s="62"/>
      <c r="C177" s="63" t="s">
        <v>475</v>
      </c>
      <c r="D177" s="62" t="s">
        <v>476</v>
      </c>
      <c r="E177" t="s">
        <v>24</v>
      </c>
      <c r="F177" t="s">
        <v>25</v>
      </c>
      <c r="G177" t="s">
        <v>367</v>
      </c>
      <c r="H177"/>
      <c r="I177" s="16">
        <v>-347965760000</v>
      </c>
      <c r="J177" s="16">
        <v>-582746550000</v>
      </c>
      <c r="K177" s="16" t="s">
        <v>1118</v>
      </c>
      <c r="L177" s="57">
        <f t="shared" si="14"/>
        <v>29</v>
      </c>
      <c r="M177" s="17">
        <f t="shared" si="12"/>
        <v>1</v>
      </c>
      <c r="N177" s="18">
        <f t="shared" si="13"/>
        <v>0.96666666666666667</v>
      </c>
      <c r="O177" s="27" t="s">
        <v>1363</v>
      </c>
      <c r="P177" s="8"/>
      <c r="Q177" s="8"/>
      <c r="R177" s="8"/>
      <c r="S177" s="27"/>
      <c r="T177" s="27"/>
      <c r="U177" s="8"/>
      <c r="V177" s="8"/>
      <c r="W177" s="8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</row>
    <row r="178" spans="1:44" ht="15.75" thickBot="1" x14ac:dyDescent="0.3">
      <c r="A178" t="s">
        <v>469</v>
      </c>
      <c r="B178" s="62"/>
      <c r="C178" s="63" t="s">
        <v>477</v>
      </c>
      <c r="D178" s="62" t="s">
        <v>478</v>
      </c>
      <c r="E178" t="s">
        <v>24</v>
      </c>
      <c r="F178" t="s">
        <v>25</v>
      </c>
      <c r="G178" t="s">
        <v>479</v>
      </c>
      <c r="H178"/>
      <c r="I178" s="16">
        <v>-347889160000</v>
      </c>
      <c r="J178" s="16">
        <v>-582775030000</v>
      </c>
      <c r="K178" s="16" t="s">
        <v>1119</v>
      </c>
      <c r="L178" s="57">
        <f t="shared" si="14"/>
        <v>30</v>
      </c>
      <c r="M178" s="17">
        <f t="shared" si="12"/>
        <v>0</v>
      </c>
      <c r="N178" s="18">
        <f t="shared" si="13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</row>
    <row r="179" spans="1:44" ht="15.75" thickBot="1" x14ac:dyDescent="0.3">
      <c r="A179" t="s">
        <v>480</v>
      </c>
      <c r="B179" s="62"/>
      <c r="C179" s="63" t="s">
        <v>481</v>
      </c>
      <c r="D179" s="62" t="s">
        <v>482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1127</v>
      </c>
      <c r="L179" s="57">
        <f t="shared" si="14"/>
        <v>29</v>
      </c>
      <c r="M179" s="17">
        <f t="shared" si="12"/>
        <v>1</v>
      </c>
      <c r="N179" s="18">
        <f t="shared" si="13"/>
        <v>0.96666666666666667</v>
      </c>
      <c r="O179" s="27" t="s">
        <v>1363</v>
      </c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</row>
    <row r="180" spans="1:44" ht="15.75" thickBot="1" x14ac:dyDescent="0.3">
      <c r="A180" t="s">
        <v>480</v>
      </c>
      <c r="B180" s="62"/>
      <c r="C180" s="63" t="s">
        <v>483</v>
      </c>
      <c r="D180" s="62" t="s">
        <v>484</v>
      </c>
      <c r="E180" t="s">
        <v>24</v>
      </c>
      <c r="F180" t="s">
        <v>36</v>
      </c>
      <c r="G180" t="s">
        <v>485</v>
      </c>
      <c r="H180"/>
      <c r="I180" s="16">
        <v>-348072540000</v>
      </c>
      <c r="J180" s="16">
        <v>-582665870000</v>
      </c>
      <c r="K180" s="16" t="s">
        <v>1120</v>
      </c>
      <c r="L180" s="57">
        <f t="shared" si="14"/>
        <v>30</v>
      </c>
      <c r="M180" s="17">
        <f t="shared" si="12"/>
        <v>0</v>
      </c>
      <c r="N180" s="18">
        <f t="shared" si="13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</row>
    <row r="181" spans="1:44" ht="15.75" thickBot="1" x14ac:dyDescent="0.3">
      <c r="B181" s="62"/>
      <c r="C181" s="63" t="s">
        <v>486</v>
      </c>
      <c r="D181" s="62" t="s">
        <v>487</v>
      </c>
      <c r="E181" t="s">
        <v>24</v>
      </c>
      <c r="F181" t="s">
        <v>25</v>
      </c>
      <c r="G181" t="s">
        <v>161</v>
      </c>
      <c r="H181" t="s">
        <v>488</v>
      </c>
      <c r="I181" s="16">
        <v>-348093100000</v>
      </c>
      <c r="J181" s="16">
        <v>-582605600000</v>
      </c>
      <c r="K181" s="16" t="s">
        <v>1121</v>
      </c>
      <c r="L181" s="57">
        <f t="shared" si="14"/>
        <v>30</v>
      </c>
      <c r="M181" s="17">
        <f t="shared" si="12"/>
        <v>0</v>
      </c>
      <c r="N181" s="18">
        <f t="shared" si="13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</row>
    <row r="182" spans="1:44" ht="15.75" thickBot="1" x14ac:dyDescent="0.3">
      <c r="A182" t="s">
        <v>480</v>
      </c>
      <c r="B182" s="62"/>
      <c r="C182" s="63" t="s">
        <v>489</v>
      </c>
      <c r="D182" s="62" t="s">
        <v>490</v>
      </c>
      <c r="E182" t="s">
        <v>24</v>
      </c>
      <c r="F182" t="s">
        <v>943</v>
      </c>
      <c r="G182" t="s">
        <v>491</v>
      </c>
      <c r="H182" t="s">
        <v>492</v>
      </c>
      <c r="I182" s="16">
        <v>-348062580000</v>
      </c>
      <c r="J182" s="16">
        <v>-582667320000</v>
      </c>
      <c r="K182" s="16" t="s">
        <v>1122</v>
      </c>
      <c r="L182" s="57">
        <f t="shared" si="14"/>
        <v>30</v>
      </c>
      <c r="M182" s="17">
        <f t="shared" si="12"/>
        <v>0</v>
      </c>
      <c r="N182" s="18">
        <f t="shared" si="13"/>
        <v>1</v>
      </c>
      <c r="O182" s="27"/>
      <c r="P182" s="8"/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</row>
    <row r="183" spans="1:44" ht="15.75" thickBot="1" x14ac:dyDescent="0.3">
      <c r="A183" t="s">
        <v>480</v>
      </c>
      <c r="B183" s="62"/>
      <c r="C183" s="63" t="s">
        <v>493</v>
      </c>
      <c r="D183" s="62" t="s">
        <v>494</v>
      </c>
      <c r="E183" t="s">
        <v>24</v>
      </c>
      <c r="F183" t="s">
        <v>25</v>
      </c>
      <c r="G183" t="s">
        <v>161</v>
      </c>
      <c r="H183"/>
      <c r="I183" s="16">
        <v>-348035500000</v>
      </c>
      <c r="J183" s="16">
        <v>-582648750000</v>
      </c>
      <c r="K183" s="16" t="s">
        <v>1123</v>
      </c>
      <c r="L183" s="57">
        <f t="shared" si="14"/>
        <v>30</v>
      </c>
      <c r="M183" s="17">
        <f t="shared" si="12"/>
        <v>0</v>
      </c>
      <c r="N183" s="18">
        <f t="shared" si="13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</row>
    <row r="184" spans="1:44" ht="15.75" thickBot="1" x14ac:dyDescent="0.3">
      <c r="A184" t="s">
        <v>495</v>
      </c>
      <c r="B184" s="62"/>
      <c r="C184" s="63" t="s">
        <v>496</v>
      </c>
      <c r="D184" s="62" t="s">
        <v>497</v>
      </c>
      <c r="E184" t="s">
        <v>24</v>
      </c>
      <c r="F184" t="s">
        <v>25</v>
      </c>
      <c r="G184" t="s">
        <v>491</v>
      </c>
      <c r="H184"/>
      <c r="I184" s="16">
        <v>-348026160000</v>
      </c>
      <c r="J184" s="16">
        <v>-582654650000</v>
      </c>
      <c r="K184" s="16" t="s">
        <v>1124</v>
      </c>
      <c r="L184" s="57">
        <f t="shared" si="14"/>
        <v>30</v>
      </c>
      <c r="M184" s="17">
        <f t="shared" si="12"/>
        <v>0</v>
      </c>
      <c r="N184" s="18">
        <f t="shared" si="13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</row>
    <row r="185" spans="1:44" ht="15.75" thickBot="1" x14ac:dyDescent="0.3">
      <c r="A185" t="s">
        <v>80</v>
      </c>
      <c r="B185" s="62"/>
      <c r="C185" s="63" t="s">
        <v>498</v>
      </c>
      <c r="D185" s="62" t="s">
        <v>499</v>
      </c>
      <c r="E185" t="s">
        <v>24</v>
      </c>
      <c r="F185" t="s">
        <v>36</v>
      </c>
      <c r="G185" t="s">
        <v>185</v>
      </c>
      <c r="H185"/>
      <c r="I185" s="16">
        <v>-348074170000</v>
      </c>
      <c r="J185" s="16">
        <v>-582683730000</v>
      </c>
      <c r="K185" s="16" t="s">
        <v>1125</v>
      </c>
      <c r="L185" s="57">
        <f t="shared" si="14"/>
        <v>29</v>
      </c>
      <c r="M185" s="17">
        <f t="shared" si="12"/>
        <v>1</v>
      </c>
      <c r="N185" s="18">
        <f t="shared" si="13"/>
        <v>0.96666666666666667</v>
      </c>
      <c r="O185" s="27" t="s">
        <v>1363</v>
      </c>
      <c r="P185" s="8"/>
      <c r="Q185" s="8"/>
      <c r="R185" s="8"/>
      <c r="S185" s="27"/>
      <c r="T185" s="27"/>
      <c r="U185" s="8"/>
      <c r="V185" s="8"/>
      <c r="W185" s="8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</row>
    <row r="186" spans="1:44" ht="15.75" thickBot="1" x14ac:dyDescent="0.3">
      <c r="A186" t="s">
        <v>480</v>
      </c>
      <c r="B186" s="62"/>
      <c r="C186" s="63" t="s">
        <v>500</v>
      </c>
      <c r="D186" s="62" t="s">
        <v>501</v>
      </c>
      <c r="E186" t="s">
        <v>24</v>
      </c>
      <c r="F186" t="s">
        <v>36</v>
      </c>
      <c r="G186" t="s">
        <v>502</v>
      </c>
      <c r="H186"/>
      <c r="I186" s="16">
        <v>-348107680000</v>
      </c>
      <c r="J186" s="16">
        <v>-582663690000</v>
      </c>
      <c r="K186" s="16" t="s">
        <v>1126</v>
      </c>
      <c r="L186" s="57">
        <f t="shared" si="14"/>
        <v>30</v>
      </c>
      <c r="M186" s="17">
        <f t="shared" si="12"/>
        <v>0</v>
      </c>
      <c r="N186" s="18">
        <f t="shared" si="13"/>
        <v>1</v>
      </c>
      <c r="O186" s="27"/>
      <c r="P186" s="8"/>
      <c r="Q186" s="8"/>
      <c r="R186" s="8"/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</row>
    <row r="187" spans="1:44" ht="15.75" thickBot="1" x14ac:dyDescent="0.3">
      <c r="B187" s="62"/>
      <c r="C187" s="63" t="s">
        <v>503</v>
      </c>
      <c r="D187" s="62" t="s">
        <v>504</v>
      </c>
      <c r="E187" t="s">
        <v>19</v>
      </c>
      <c r="F187" t="s">
        <v>36</v>
      </c>
      <c r="G187"/>
      <c r="H187" t="s">
        <v>505</v>
      </c>
      <c r="I187" s="16">
        <v>-348042930000</v>
      </c>
      <c r="J187" s="16">
        <v>-582667740000</v>
      </c>
      <c r="K187" s="16" t="s">
        <v>1128</v>
      </c>
      <c r="L187" s="57">
        <f t="shared" si="14"/>
        <v>30</v>
      </c>
      <c r="M187" s="17">
        <f t="shared" si="12"/>
        <v>0</v>
      </c>
      <c r="N187" s="18">
        <f t="shared" si="13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</row>
    <row r="188" spans="1:44" ht="15.75" thickBot="1" x14ac:dyDescent="0.3">
      <c r="B188" s="62"/>
      <c r="C188" s="63" t="s">
        <v>506</v>
      </c>
      <c r="D188" s="62" t="s">
        <v>507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1129</v>
      </c>
      <c r="L188" s="57">
        <f t="shared" si="14"/>
        <v>29</v>
      </c>
      <c r="M188" s="17">
        <f t="shared" si="12"/>
        <v>1</v>
      </c>
      <c r="N188" s="18">
        <f t="shared" si="13"/>
        <v>0.96666666666666667</v>
      </c>
      <c r="O188" s="27" t="s">
        <v>1363</v>
      </c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</row>
    <row r="189" spans="1:44" ht="15.75" thickBot="1" x14ac:dyDescent="0.3">
      <c r="A189" t="s">
        <v>508</v>
      </c>
      <c r="B189" s="62"/>
      <c r="C189" s="63" t="s">
        <v>509</v>
      </c>
      <c r="D189" s="62" t="s">
        <v>510</v>
      </c>
      <c r="E189" t="s">
        <v>113</v>
      </c>
      <c r="F189" t="s">
        <v>36</v>
      </c>
      <c r="G189"/>
      <c r="H189" t="s">
        <v>511</v>
      </c>
      <c r="I189" s="16">
        <v>-348434280000</v>
      </c>
      <c r="J189" s="16">
        <v>-582840340000</v>
      </c>
      <c r="K189" s="16" t="s">
        <v>1130</v>
      </c>
      <c r="L189" s="57">
        <f t="shared" si="14"/>
        <v>30</v>
      </c>
      <c r="M189" s="17">
        <f t="shared" si="12"/>
        <v>0</v>
      </c>
      <c r="N189" s="18">
        <f t="shared" si="13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</row>
    <row r="190" spans="1:44" ht="15.75" thickBot="1" x14ac:dyDescent="0.3">
      <c r="A190" t="s">
        <v>508</v>
      </c>
      <c r="B190" s="62"/>
      <c r="C190" s="63" t="s">
        <v>512</v>
      </c>
      <c r="D190" s="62" t="s">
        <v>510</v>
      </c>
      <c r="E190" t="s">
        <v>113</v>
      </c>
      <c r="F190" t="s">
        <v>36</v>
      </c>
      <c r="G190"/>
      <c r="H190" t="s">
        <v>511</v>
      </c>
      <c r="I190" s="16">
        <v>-348434120000</v>
      </c>
      <c r="J190" s="16">
        <v>-582840350000</v>
      </c>
      <c r="K190" s="16" t="s">
        <v>1131</v>
      </c>
      <c r="L190" s="57">
        <f t="shared" si="14"/>
        <v>30</v>
      </c>
      <c r="M190" s="17">
        <f t="shared" si="12"/>
        <v>0</v>
      </c>
      <c r="N190" s="18">
        <f t="shared" si="13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</row>
    <row r="191" spans="1:44" ht="15.75" thickBot="1" x14ac:dyDescent="0.3">
      <c r="A191" t="s">
        <v>508</v>
      </c>
      <c r="B191" s="62"/>
      <c r="C191" s="63" t="s">
        <v>513</v>
      </c>
      <c r="D191" s="62" t="s">
        <v>514</v>
      </c>
      <c r="E191" t="s">
        <v>113</v>
      </c>
      <c r="F191" t="s">
        <v>36</v>
      </c>
      <c r="G191"/>
      <c r="H191" t="s">
        <v>515</v>
      </c>
      <c r="I191" s="16">
        <v>-348403890000</v>
      </c>
      <c r="J191" s="16">
        <v>-582866050000</v>
      </c>
      <c r="K191" s="16" t="s">
        <v>1132</v>
      </c>
      <c r="L191" s="57">
        <f t="shared" si="14"/>
        <v>30</v>
      </c>
      <c r="M191" s="17">
        <f t="shared" si="12"/>
        <v>0</v>
      </c>
      <c r="N191" s="18">
        <f t="shared" si="13"/>
        <v>1</v>
      </c>
      <c r="O191" s="27"/>
      <c r="P191" s="8"/>
      <c r="Q191" s="8"/>
      <c r="R191" s="8"/>
      <c r="S191" s="27"/>
      <c r="T191" s="27"/>
      <c r="U191" s="8"/>
      <c r="V191" s="8"/>
      <c r="W191" s="8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8"/>
      <c r="AL191" s="8"/>
      <c r="AM191" s="8"/>
      <c r="AN191" s="27"/>
      <c r="AO191" s="8"/>
      <c r="AP191" s="8"/>
      <c r="AQ191" s="27"/>
      <c r="AR191" s="27"/>
    </row>
    <row r="192" spans="1:44" ht="15.75" thickBot="1" x14ac:dyDescent="0.3">
      <c r="A192" t="s">
        <v>508</v>
      </c>
      <c r="B192" s="62"/>
      <c r="C192" s="63" t="s">
        <v>516</v>
      </c>
      <c r="D192" s="62" t="s">
        <v>514</v>
      </c>
      <c r="E192" t="s">
        <v>113</v>
      </c>
      <c r="F192" t="s">
        <v>36</v>
      </c>
      <c r="G192"/>
      <c r="H192" t="s">
        <v>515</v>
      </c>
      <c r="I192" s="16">
        <v>-348403890000</v>
      </c>
      <c r="J192" s="16">
        <v>-582866050000</v>
      </c>
      <c r="K192" s="16" t="s">
        <v>1133</v>
      </c>
      <c r="L192" s="57">
        <f t="shared" si="14"/>
        <v>30</v>
      </c>
      <c r="M192" s="17">
        <f t="shared" si="12"/>
        <v>0</v>
      </c>
      <c r="N192" s="18">
        <f t="shared" si="13"/>
        <v>1</v>
      </c>
      <c r="O192" s="27"/>
      <c r="P192" s="8"/>
      <c r="Q192" s="8"/>
      <c r="R192" s="8"/>
      <c r="S192" s="27"/>
      <c r="T192" s="27"/>
      <c r="U192" s="8"/>
      <c r="V192" s="8"/>
      <c r="W192" s="8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</row>
    <row r="193" spans="1:44" ht="15.75" thickBot="1" x14ac:dyDescent="0.3">
      <c r="A193" t="s">
        <v>412</v>
      </c>
      <c r="B193" s="62"/>
      <c r="C193" s="63" t="s">
        <v>517</v>
      </c>
      <c r="D193" s="62" t="s">
        <v>518</v>
      </c>
      <c r="E193" t="s">
        <v>113</v>
      </c>
      <c r="F193" t="s">
        <v>36</v>
      </c>
      <c r="G193"/>
      <c r="H193" t="s">
        <v>248</v>
      </c>
      <c r="I193" s="16">
        <v>-347887260000</v>
      </c>
      <c r="J193" s="16">
        <v>-582696950000</v>
      </c>
      <c r="K193" s="16" t="s">
        <v>1134</v>
      </c>
      <c r="L193" s="57">
        <f t="shared" si="14"/>
        <v>30</v>
      </c>
      <c r="M193" s="17">
        <f t="shared" si="12"/>
        <v>0</v>
      </c>
      <c r="N193" s="18">
        <f t="shared" si="13"/>
        <v>1</v>
      </c>
      <c r="O193" s="27"/>
      <c r="P193" s="8"/>
      <c r="Q193" s="8"/>
      <c r="R193" s="8"/>
      <c r="S193" s="27"/>
      <c r="T193" s="27"/>
      <c r="U193" s="8"/>
      <c r="V193" s="8"/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</row>
    <row r="194" spans="1:44" ht="15.75" thickBot="1" x14ac:dyDescent="0.3">
      <c r="A194" t="s">
        <v>412</v>
      </c>
      <c r="B194" s="60">
        <v>44642</v>
      </c>
      <c r="C194" s="63" t="s">
        <v>519</v>
      </c>
      <c r="D194" s="62" t="s">
        <v>518</v>
      </c>
      <c r="E194" t="s">
        <v>113</v>
      </c>
      <c r="F194" t="s">
        <v>36</v>
      </c>
      <c r="G194"/>
      <c r="H194" t="s">
        <v>248</v>
      </c>
      <c r="I194" s="16">
        <v>-347887260000</v>
      </c>
      <c r="J194" s="16">
        <v>-582696950000</v>
      </c>
      <c r="K194" s="16" t="s">
        <v>1135</v>
      </c>
      <c r="L194" s="57">
        <f t="shared" si="14"/>
        <v>29</v>
      </c>
      <c r="M194" s="17">
        <f t="shared" si="12"/>
        <v>1</v>
      </c>
      <c r="N194" s="18">
        <f t="shared" si="13"/>
        <v>0.96666666666666667</v>
      </c>
      <c r="O194" s="27" t="s">
        <v>1363</v>
      </c>
      <c r="P194" s="8"/>
      <c r="Q194" s="8"/>
      <c r="R194" s="8"/>
      <c r="S194" s="27"/>
      <c r="T194" s="27"/>
      <c r="U194" s="8"/>
      <c r="V194" s="8"/>
      <c r="W194" s="8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</row>
    <row r="195" spans="1:44" ht="15.75" thickBot="1" x14ac:dyDescent="0.3">
      <c r="A195" t="s">
        <v>62</v>
      </c>
      <c r="B195" s="62"/>
      <c r="C195" s="63" t="s">
        <v>520</v>
      </c>
      <c r="D195" s="62" t="s">
        <v>521</v>
      </c>
      <c r="E195" t="s">
        <v>19</v>
      </c>
      <c r="F195" t="s">
        <v>36</v>
      </c>
      <c r="G195"/>
      <c r="H195" t="s">
        <v>522</v>
      </c>
      <c r="I195" s="16">
        <v>-347980180000</v>
      </c>
      <c r="J195" s="16">
        <v>-583162160000</v>
      </c>
      <c r="K195" s="16" t="s">
        <v>1136</v>
      </c>
      <c r="L195" s="57">
        <f t="shared" si="14"/>
        <v>30</v>
      </c>
      <c r="M195" s="17">
        <f t="shared" si="12"/>
        <v>0</v>
      </c>
      <c r="N195" s="18">
        <f t="shared" si="13"/>
        <v>1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65"/>
      <c r="Z195" s="65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</row>
    <row r="196" spans="1:44" ht="15.75" thickBot="1" x14ac:dyDescent="0.3">
      <c r="A196" t="s">
        <v>62</v>
      </c>
      <c r="B196" s="62"/>
      <c r="C196" s="63" t="s">
        <v>523</v>
      </c>
      <c r="D196" s="62" t="s">
        <v>521</v>
      </c>
      <c r="E196" t="s">
        <v>113</v>
      </c>
      <c r="F196" t="s">
        <v>36</v>
      </c>
      <c r="G196"/>
      <c r="H196" t="s">
        <v>522</v>
      </c>
      <c r="I196" s="16">
        <v>-347980200000</v>
      </c>
      <c r="J196" s="16">
        <v>-583162180000</v>
      </c>
      <c r="K196" s="16" t="s">
        <v>1137</v>
      </c>
      <c r="L196" s="57">
        <f t="shared" si="14"/>
        <v>30</v>
      </c>
      <c r="M196" s="17">
        <f t="shared" si="12"/>
        <v>0</v>
      </c>
      <c r="N196" s="18">
        <f t="shared" si="13"/>
        <v>1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</row>
    <row r="197" spans="1:44" ht="15.75" thickBot="1" x14ac:dyDescent="0.3">
      <c r="A197" t="s">
        <v>289</v>
      </c>
      <c r="B197" s="62"/>
      <c r="C197" s="63" t="s">
        <v>524</v>
      </c>
      <c r="D197" s="62" t="s">
        <v>525</v>
      </c>
      <c r="E197" t="s">
        <v>19</v>
      </c>
      <c r="F197" t="s">
        <v>36</v>
      </c>
      <c r="G197"/>
      <c r="H197" t="s">
        <v>526</v>
      </c>
      <c r="I197" s="16">
        <v>-348657160000</v>
      </c>
      <c r="J197" s="16">
        <v>-581910020000</v>
      </c>
      <c r="K197" s="16" t="s">
        <v>1138</v>
      </c>
      <c r="L197" s="57">
        <f t="shared" si="14"/>
        <v>29</v>
      </c>
      <c r="M197" s="17">
        <f t="shared" ref="M197:M262" si="15">COUNTIF(O197:AP197,"APAGADO")</f>
        <v>1</v>
      </c>
      <c r="N197" s="18">
        <f t="shared" ref="N197:N262" si="16">(L197)/(M197+L197)</f>
        <v>0.96666666666666667</v>
      </c>
      <c r="O197" s="27" t="s">
        <v>1363</v>
      </c>
      <c r="P197" s="8"/>
      <c r="Q197" s="8"/>
      <c r="R197" s="8"/>
      <c r="S197" s="27"/>
      <c r="T197" s="27"/>
      <c r="U197" s="8"/>
      <c r="V197" s="8"/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</row>
    <row r="198" spans="1:44" ht="15.75" thickBot="1" x14ac:dyDescent="0.3">
      <c r="A198" t="s">
        <v>289</v>
      </c>
      <c r="B198" s="62"/>
      <c r="C198" s="63" t="s">
        <v>527</v>
      </c>
      <c r="D198" s="62" t="s">
        <v>525</v>
      </c>
      <c r="E198" t="s">
        <v>113</v>
      </c>
      <c r="F198" t="s">
        <v>36</v>
      </c>
      <c r="G198"/>
      <c r="H198" t="s">
        <v>528</v>
      </c>
      <c r="I198" s="16">
        <v>-348657160000</v>
      </c>
      <c r="J198" s="16">
        <v>-581910020000</v>
      </c>
      <c r="K198" s="16" t="s">
        <v>1139</v>
      </c>
      <c r="L198" s="57">
        <f t="shared" ref="L198:L261" si="17">COUNTIF(O198:AR198,"")</f>
        <v>29</v>
      </c>
      <c r="M198" s="17">
        <f t="shared" si="15"/>
        <v>1</v>
      </c>
      <c r="N198" s="18">
        <f t="shared" si="16"/>
        <v>0.96666666666666667</v>
      </c>
      <c r="O198" s="27" t="s">
        <v>1363</v>
      </c>
      <c r="P198" s="8"/>
      <c r="Q198" s="8"/>
      <c r="R198" s="8"/>
      <c r="S198" s="27"/>
      <c r="T198" s="27"/>
      <c r="U198" s="8"/>
      <c r="V198" s="8"/>
      <c r="W198" s="8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</row>
    <row r="199" spans="1:44" ht="15.75" thickBot="1" x14ac:dyDescent="0.3">
      <c r="A199" t="s">
        <v>333</v>
      </c>
      <c r="B199" s="62"/>
      <c r="C199" s="63" t="s">
        <v>529</v>
      </c>
      <c r="D199" s="62" t="s">
        <v>530</v>
      </c>
      <c r="E199" t="s">
        <v>19</v>
      </c>
      <c r="F199" t="s">
        <v>36</v>
      </c>
      <c r="G199"/>
      <c r="H199" t="s">
        <v>526</v>
      </c>
      <c r="I199" s="16">
        <v>-348711900000</v>
      </c>
      <c r="J199" s="16">
        <v>-581914850000</v>
      </c>
      <c r="K199" s="16" t="s">
        <v>1140</v>
      </c>
      <c r="L199" s="57">
        <f t="shared" si="17"/>
        <v>29</v>
      </c>
      <c r="M199" s="17">
        <f t="shared" si="15"/>
        <v>1</v>
      </c>
      <c r="N199" s="18">
        <f t="shared" si="16"/>
        <v>0.96666666666666667</v>
      </c>
      <c r="O199" s="27" t="s">
        <v>1363</v>
      </c>
      <c r="P199" s="8"/>
      <c r="Q199" s="8"/>
      <c r="R199" s="8"/>
      <c r="S199" s="27"/>
      <c r="T199" s="27"/>
      <c r="U199" s="8"/>
      <c r="V199" s="8"/>
      <c r="W199" s="8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</row>
    <row r="200" spans="1:44" ht="15.75" thickBot="1" x14ac:dyDescent="0.3">
      <c r="A200" t="s">
        <v>333</v>
      </c>
      <c r="B200" s="62"/>
      <c r="C200" s="63" t="s">
        <v>531</v>
      </c>
      <c r="D200" s="62" t="s">
        <v>530</v>
      </c>
      <c r="E200" t="s">
        <v>113</v>
      </c>
      <c r="F200" t="s">
        <v>36</v>
      </c>
      <c r="G200"/>
      <c r="H200" t="s">
        <v>528</v>
      </c>
      <c r="I200" s="16">
        <v>-348711900000</v>
      </c>
      <c r="J200" s="16">
        <v>-581914850000</v>
      </c>
      <c r="K200" s="16" t="s">
        <v>1141</v>
      </c>
      <c r="L200" s="57">
        <f t="shared" si="17"/>
        <v>29</v>
      </c>
      <c r="M200" s="17">
        <f t="shared" si="15"/>
        <v>1</v>
      </c>
      <c r="N200" s="18">
        <f t="shared" si="16"/>
        <v>0.96666666666666667</v>
      </c>
      <c r="O200" s="27" t="s">
        <v>1363</v>
      </c>
      <c r="P200" s="8"/>
      <c r="Q200" s="8"/>
      <c r="R200" s="8"/>
      <c r="S200" s="27"/>
      <c r="T200" s="27"/>
      <c r="U200" s="8"/>
      <c r="V200" s="8"/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</row>
    <row r="201" spans="1:44" ht="15.75" thickBot="1" x14ac:dyDescent="0.3">
      <c r="A201" t="s">
        <v>358</v>
      </c>
      <c r="B201" s="62"/>
      <c r="C201" s="63" t="s">
        <v>1151</v>
      </c>
      <c r="D201" s="62" t="s">
        <v>532</v>
      </c>
      <c r="E201" t="s">
        <v>24</v>
      </c>
      <c r="F201" t="s">
        <v>36</v>
      </c>
      <c r="G201"/>
      <c r="H201" t="s">
        <v>297</v>
      </c>
      <c r="I201" s="16">
        <v>-348096600000</v>
      </c>
      <c r="J201" s="16">
        <v>-583016800000</v>
      </c>
      <c r="K201" s="16" t="s">
        <v>1152</v>
      </c>
      <c r="L201" s="57">
        <f t="shared" si="17"/>
        <v>30</v>
      </c>
      <c r="M201" s="17">
        <f t="shared" si="15"/>
        <v>0</v>
      </c>
      <c r="N201" s="18">
        <f t="shared" si="16"/>
        <v>1</v>
      </c>
      <c r="O201" s="27"/>
      <c r="P201" s="8"/>
      <c r="Q201" s="8"/>
      <c r="R201" s="8"/>
      <c r="S201" s="27"/>
      <c r="T201" s="27"/>
      <c r="U201" s="8"/>
      <c r="V201" s="8"/>
      <c r="W201" s="8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</row>
    <row r="202" spans="1:44" ht="15.75" thickBot="1" x14ac:dyDescent="0.3">
      <c r="A202" t="s">
        <v>358</v>
      </c>
      <c r="B202" s="62"/>
      <c r="C202" s="63" t="s">
        <v>533</v>
      </c>
      <c r="D202" s="62" t="s">
        <v>532</v>
      </c>
      <c r="E202" t="s">
        <v>113</v>
      </c>
      <c r="F202" t="s">
        <v>36</v>
      </c>
      <c r="G202"/>
      <c r="H202" t="s">
        <v>534</v>
      </c>
      <c r="I202" s="16">
        <v>-348095830000</v>
      </c>
      <c r="J202" s="16">
        <v>-583017120000</v>
      </c>
      <c r="K202" s="16" t="s">
        <v>1142</v>
      </c>
      <c r="L202" s="57">
        <f t="shared" si="17"/>
        <v>30</v>
      </c>
      <c r="M202" s="17">
        <f t="shared" si="15"/>
        <v>0</v>
      </c>
      <c r="N202" s="18">
        <f t="shared" si="16"/>
        <v>1</v>
      </c>
      <c r="O202" s="27"/>
      <c r="P202" s="8"/>
      <c r="Q202" s="8"/>
      <c r="R202" s="8"/>
      <c r="S202" s="27"/>
      <c r="T202" s="27"/>
      <c r="U202" s="8"/>
      <c r="V202" s="8"/>
      <c r="W202" s="8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</row>
    <row r="203" spans="1:44" ht="15.75" thickBot="1" x14ac:dyDescent="0.3">
      <c r="A203" t="s">
        <v>445</v>
      </c>
      <c r="B203" s="62"/>
      <c r="C203" s="63" t="s">
        <v>535</v>
      </c>
      <c r="D203" s="62" t="s">
        <v>536</v>
      </c>
      <c r="E203" t="s">
        <v>113</v>
      </c>
      <c r="F203" t="s">
        <v>36</v>
      </c>
      <c r="G203"/>
      <c r="H203" t="s">
        <v>537</v>
      </c>
      <c r="I203" s="16">
        <v>-348071780000</v>
      </c>
      <c r="J203" s="16">
        <v>-583115710000</v>
      </c>
      <c r="K203" s="16" t="s">
        <v>1143</v>
      </c>
      <c r="L203" s="57">
        <f t="shared" si="17"/>
        <v>30</v>
      </c>
      <c r="M203" s="17">
        <f t="shared" si="15"/>
        <v>0</v>
      </c>
      <c r="N203" s="18">
        <f t="shared" si="16"/>
        <v>1</v>
      </c>
      <c r="O203" s="27"/>
      <c r="P203" s="8"/>
      <c r="Q203" s="8"/>
      <c r="R203" s="8"/>
      <c r="S203" s="27"/>
      <c r="T203" s="27"/>
      <c r="U203" s="8"/>
      <c r="V203" s="8"/>
      <c r="W203" s="8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</row>
    <row r="204" spans="1:44" ht="15.75" thickBot="1" x14ac:dyDescent="0.3">
      <c r="A204" t="s">
        <v>538</v>
      </c>
      <c r="B204" s="62"/>
      <c r="C204" s="63" t="s">
        <v>539</v>
      </c>
      <c r="D204" s="62" t="s">
        <v>540</v>
      </c>
      <c r="E204" t="s">
        <v>19</v>
      </c>
      <c r="F204" t="s">
        <v>36</v>
      </c>
      <c r="G204"/>
      <c r="H204" t="s">
        <v>534</v>
      </c>
      <c r="I204" s="16">
        <v>-348476780000</v>
      </c>
      <c r="J204" s="16">
        <v>-582894530000</v>
      </c>
      <c r="K204" s="16" t="s">
        <v>1145</v>
      </c>
      <c r="L204" s="57">
        <f t="shared" si="17"/>
        <v>29</v>
      </c>
      <c r="M204" s="17">
        <f t="shared" si="15"/>
        <v>1</v>
      </c>
      <c r="N204" s="18">
        <f t="shared" si="16"/>
        <v>0.96666666666666667</v>
      </c>
      <c r="O204" s="27" t="s">
        <v>1363</v>
      </c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</row>
    <row r="205" spans="1:44" ht="15.75" thickBot="1" x14ac:dyDescent="0.3">
      <c r="A205" t="s">
        <v>538</v>
      </c>
      <c r="B205" s="62"/>
      <c r="C205" s="63" t="s">
        <v>541</v>
      </c>
      <c r="D205" s="62" t="s">
        <v>540</v>
      </c>
      <c r="E205" t="s">
        <v>113</v>
      </c>
      <c r="F205" t="s">
        <v>36</v>
      </c>
      <c r="G205"/>
      <c r="H205" t="s">
        <v>534</v>
      </c>
      <c r="I205" s="16">
        <v>-348477280000</v>
      </c>
      <c r="J205" s="16">
        <v>-582894670000</v>
      </c>
      <c r="K205" s="16" t="s">
        <v>1146</v>
      </c>
      <c r="L205" s="57">
        <f t="shared" si="17"/>
        <v>29</v>
      </c>
      <c r="M205" s="17">
        <f t="shared" si="15"/>
        <v>1</v>
      </c>
      <c r="N205" s="18">
        <f t="shared" si="16"/>
        <v>0.96666666666666667</v>
      </c>
      <c r="O205" s="27" t="s">
        <v>1363</v>
      </c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</row>
    <row r="206" spans="1:44" ht="15.75" thickBot="1" x14ac:dyDescent="0.3">
      <c r="A206" t="s">
        <v>542</v>
      </c>
      <c r="B206" s="62"/>
      <c r="C206" s="63" t="s">
        <v>543</v>
      </c>
      <c r="D206" s="62" t="s">
        <v>544</v>
      </c>
      <c r="E206" t="s">
        <v>19</v>
      </c>
      <c r="F206" t="s">
        <v>36</v>
      </c>
      <c r="G206"/>
      <c r="H206" t="s">
        <v>534</v>
      </c>
      <c r="I206" s="16">
        <v>-348676700000</v>
      </c>
      <c r="J206" s="16">
        <v>-582754020000</v>
      </c>
      <c r="K206" s="16" t="s">
        <v>1153</v>
      </c>
      <c r="L206" s="57">
        <f t="shared" si="17"/>
        <v>29</v>
      </c>
      <c r="M206" s="17">
        <f t="shared" si="15"/>
        <v>1</v>
      </c>
      <c r="N206" s="18">
        <f t="shared" si="16"/>
        <v>0.96666666666666667</v>
      </c>
      <c r="O206" s="27" t="s">
        <v>1363</v>
      </c>
      <c r="P206" s="8"/>
      <c r="Q206" s="8"/>
      <c r="R206" s="8"/>
      <c r="S206" s="27"/>
      <c r="T206" s="27"/>
      <c r="U206" s="8"/>
      <c r="V206" s="8"/>
      <c r="W206" s="8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</row>
    <row r="207" spans="1:44" ht="15.75" thickBot="1" x14ac:dyDescent="0.3">
      <c r="A207" t="s">
        <v>310</v>
      </c>
      <c r="B207" s="62"/>
      <c r="C207" s="63" t="s">
        <v>545</v>
      </c>
      <c r="D207" s="62" t="s">
        <v>546</v>
      </c>
      <c r="E207" t="s">
        <v>19</v>
      </c>
      <c r="F207" t="s">
        <v>943</v>
      </c>
      <c r="G207"/>
      <c r="H207" t="s">
        <v>547</v>
      </c>
      <c r="I207" s="16">
        <v>-348181990000</v>
      </c>
      <c r="J207" s="16">
        <v>-583002490000</v>
      </c>
      <c r="K207" s="16" t="s">
        <v>1147</v>
      </c>
      <c r="L207" s="57">
        <f t="shared" si="17"/>
        <v>29</v>
      </c>
      <c r="M207" s="17">
        <f t="shared" si="15"/>
        <v>1</v>
      </c>
      <c r="N207" s="18">
        <f t="shared" si="16"/>
        <v>0.96666666666666667</v>
      </c>
      <c r="O207" s="27" t="s">
        <v>1363</v>
      </c>
      <c r="P207" s="8"/>
      <c r="Q207" s="8"/>
      <c r="R207" s="8"/>
      <c r="S207" s="27"/>
      <c r="T207" s="27"/>
      <c r="U207" s="8"/>
      <c r="V207" s="8"/>
      <c r="W207" s="8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</row>
    <row r="208" spans="1:44" ht="15.75" thickBot="1" x14ac:dyDescent="0.3">
      <c r="A208" t="s">
        <v>310</v>
      </c>
      <c r="B208" s="62"/>
      <c r="C208" s="63" t="s">
        <v>548</v>
      </c>
      <c r="D208" s="62" t="s">
        <v>546</v>
      </c>
      <c r="E208" t="s">
        <v>113</v>
      </c>
      <c r="F208" t="s">
        <v>943</v>
      </c>
      <c r="G208"/>
      <c r="H208" t="s">
        <v>547</v>
      </c>
      <c r="I208" s="16">
        <v>-348181940000</v>
      </c>
      <c r="J208" s="16">
        <v>-583002740000</v>
      </c>
      <c r="K208" s="16" t="s">
        <v>1148</v>
      </c>
      <c r="L208" s="57">
        <f t="shared" si="17"/>
        <v>29</v>
      </c>
      <c r="M208" s="17">
        <f t="shared" si="15"/>
        <v>1</v>
      </c>
      <c r="N208" s="18">
        <f t="shared" si="16"/>
        <v>0.96666666666666667</v>
      </c>
      <c r="O208" s="27" t="s">
        <v>1363</v>
      </c>
      <c r="P208" s="8"/>
      <c r="Q208" s="8"/>
      <c r="R208" s="8"/>
      <c r="S208" s="27"/>
      <c r="T208" s="27"/>
      <c r="U208" s="8"/>
      <c r="V208" s="8"/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</row>
    <row r="209" spans="1:44" ht="15.75" thickBot="1" x14ac:dyDescent="0.3">
      <c r="A209" t="s">
        <v>549</v>
      </c>
      <c r="B209" s="62"/>
      <c r="C209" s="63" t="s">
        <v>550</v>
      </c>
      <c r="D209" s="62" t="s">
        <v>1347</v>
      </c>
      <c r="E209" t="s">
        <v>19</v>
      </c>
      <c r="F209" t="s">
        <v>36</v>
      </c>
      <c r="G209"/>
      <c r="H209" t="s">
        <v>341</v>
      </c>
      <c r="I209" s="16">
        <v>-348181790000</v>
      </c>
      <c r="J209" s="16">
        <v>-582067620000</v>
      </c>
      <c r="K209" s="16" t="s">
        <v>1154</v>
      </c>
      <c r="L209" s="57">
        <f t="shared" si="17"/>
        <v>30</v>
      </c>
      <c r="M209" s="17">
        <f t="shared" si="15"/>
        <v>0</v>
      </c>
      <c r="N209" s="18">
        <f t="shared" si="16"/>
        <v>1</v>
      </c>
      <c r="O209" s="27"/>
      <c r="P209" s="8"/>
      <c r="Q209" s="8"/>
      <c r="R209" s="8"/>
      <c r="S209" s="27"/>
      <c r="T209" s="27"/>
      <c r="U209" s="8"/>
      <c r="V209" s="8"/>
      <c r="W209" s="8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</row>
    <row r="210" spans="1:44" ht="15.75" thickBot="1" x14ac:dyDescent="0.3">
      <c r="A210" t="s">
        <v>549</v>
      </c>
      <c r="B210" s="62"/>
      <c r="C210" s="63" t="s">
        <v>551</v>
      </c>
      <c r="D210" s="62" t="s">
        <v>1347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1155</v>
      </c>
      <c r="L210" s="57">
        <f t="shared" si="17"/>
        <v>30</v>
      </c>
      <c r="M210" s="17">
        <f t="shared" si="15"/>
        <v>0</v>
      </c>
      <c r="N210" s="18">
        <f t="shared" si="16"/>
        <v>1</v>
      </c>
      <c r="O210" s="27"/>
      <c r="P210" s="8"/>
      <c r="Q210" s="8"/>
      <c r="R210" s="8"/>
      <c r="S210" s="27"/>
      <c r="T210" s="27"/>
      <c r="U210" s="8"/>
      <c r="V210" s="8"/>
      <c r="W210" s="8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</row>
    <row r="211" spans="1:44" ht="15.75" thickBot="1" x14ac:dyDescent="0.3">
      <c r="A211" t="s">
        <v>538</v>
      </c>
      <c r="B211" s="62"/>
      <c r="C211" s="63" t="s">
        <v>552</v>
      </c>
      <c r="D211" s="62" t="s">
        <v>553</v>
      </c>
      <c r="E211" t="s">
        <v>19</v>
      </c>
      <c r="F211" t="s">
        <v>36</v>
      </c>
      <c r="G211"/>
      <c r="H211" t="s">
        <v>534</v>
      </c>
      <c r="I211" s="16">
        <v>-348315930000</v>
      </c>
      <c r="J211" s="16">
        <v>-582907280000</v>
      </c>
      <c r="K211" s="16" t="s">
        <v>1150</v>
      </c>
      <c r="L211" s="57">
        <f t="shared" si="17"/>
        <v>29</v>
      </c>
      <c r="M211" s="17">
        <f t="shared" si="15"/>
        <v>1</v>
      </c>
      <c r="N211" s="18">
        <f t="shared" si="16"/>
        <v>0.96666666666666667</v>
      </c>
      <c r="O211" s="27" t="s">
        <v>1363</v>
      </c>
      <c r="P211" s="8"/>
      <c r="Q211" s="8"/>
      <c r="R211" s="8"/>
      <c r="S211" s="27"/>
      <c r="T211" s="27"/>
      <c r="U211" s="8"/>
      <c r="V211" s="8"/>
      <c r="W211" s="8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</row>
    <row r="212" spans="1:44" ht="15.75" thickBot="1" x14ac:dyDescent="0.3">
      <c r="A212" t="s">
        <v>538</v>
      </c>
      <c r="B212" s="62"/>
      <c r="C212" s="63" t="s">
        <v>554</v>
      </c>
      <c r="D212" s="62" t="s">
        <v>553</v>
      </c>
      <c r="E212" t="s">
        <v>113</v>
      </c>
      <c r="F212" t="s">
        <v>36</v>
      </c>
      <c r="G212"/>
      <c r="H212" t="s">
        <v>534</v>
      </c>
      <c r="I212" s="16">
        <v>-348315930000</v>
      </c>
      <c r="J212" s="16">
        <v>-582907280000</v>
      </c>
      <c r="K212" s="16" t="s">
        <v>1149</v>
      </c>
      <c r="L212" s="57">
        <f t="shared" si="17"/>
        <v>29</v>
      </c>
      <c r="M212" s="17">
        <f t="shared" si="15"/>
        <v>1</v>
      </c>
      <c r="N212" s="18">
        <f t="shared" si="16"/>
        <v>0.96666666666666667</v>
      </c>
      <c r="O212" s="27" t="s">
        <v>1363</v>
      </c>
      <c r="P212" s="8"/>
      <c r="Q212" s="8"/>
      <c r="R212" s="8"/>
      <c r="S212" s="27"/>
      <c r="T212" s="27"/>
      <c r="U212" s="8"/>
      <c r="V212" s="8"/>
      <c r="W212" s="8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</row>
    <row r="213" spans="1:44" ht="15.75" thickBot="1" x14ac:dyDescent="0.3">
      <c r="A213" t="s">
        <v>445</v>
      </c>
      <c r="B213" s="62"/>
      <c r="C213" s="63" t="s">
        <v>555</v>
      </c>
      <c r="D213" s="62" t="s">
        <v>536</v>
      </c>
      <c r="E213" t="s">
        <v>19</v>
      </c>
      <c r="F213" t="s">
        <v>36</v>
      </c>
      <c r="G213"/>
      <c r="H213" t="s">
        <v>534</v>
      </c>
      <c r="I213" s="16">
        <v>-348071730000</v>
      </c>
      <c r="J213" s="16">
        <v>-583116710000</v>
      </c>
      <c r="K213" s="16" t="s">
        <v>1144</v>
      </c>
      <c r="L213" s="57">
        <f t="shared" si="17"/>
        <v>29</v>
      </c>
      <c r="M213" s="17">
        <f t="shared" si="15"/>
        <v>1</v>
      </c>
      <c r="N213" s="18">
        <f t="shared" si="16"/>
        <v>0.96666666666666667</v>
      </c>
      <c r="O213" s="27" t="s">
        <v>1363</v>
      </c>
      <c r="P213" s="8"/>
      <c r="Q213" s="8"/>
      <c r="R213" s="8"/>
      <c r="S213" s="27"/>
      <c r="T213" s="27"/>
      <c r="U213" s="8"/>
      <c r="V213" s="8"/>
      <c r="W213" s="8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</row>
    <row r="214" spans="1:44" ht="15.75" thickBot="1" x14ac:dyDescent="0.3">
      <c r="A214" t="s">
        <v>556</v>
      </c>
      <c r="B214" s="62"/>
      <c r="C214" s="63" t="s">
        <v>557</v>
      </c>
      <c r="D214" s="62" t="s">
        <v>558</v>
      </c>
      <c r="E214" t="s">
        <v>19</v>
      </c>
      <c r="F214" t="s">
        <v>36</v>
      </c>
      <c r="G214"/>
      <c r="H214" t="s">
        <v>559</v>
      </c>
      <c r="I214" s="16">
        <v>-348307510000</v>
      </c>
      <c r="J214" s="16">
        <v>-582304880000</v>
      </c>
      <c r="K214" s="16" t="s">
        <v>1156</v>
      </c>
      <c r="L214" s="57">
        <f t="shared" si="17"/>
        <v>30</v>
      </c>
      <c r="M214" s="17">
        <f t="shared" si="15"/>
        <v>0</v>
      </c>
      <c r="N214" s="18">
        <f t="shared" si="16"/>
        <v>1</v>
      </c>
      <c r="O214" s="27"/>
      <c r="P214" s="8"/>
      <c r="Q214" s="8"/>
      <c r="R214" s="8"/>
      <c r="S214" s="27"/>
      <c r="T214" s="27"/>
      <c r="U214" s="8"/>
      <c r="V214" s="8"/>
      <c r="W214" s="8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</row>
    <row r="215" spans="1:44" ht="15.75" thickBot="1" x14ac:dyDescent="0.3">
      <c r="A215" t="s">
        <v>556</v>
      </c>
      <c r="B215" s="62"/>
      <c r="C215" s="63" t="s">
        <v>560</v>
      </c>
      <c r="D215" s="62" t="s">
        <v>561</v>
      </c>
      <c r="E215" t="s">
        <v>19</v>
      </c>
      <c r="F215" t="s">
        <v>36</v>
      </c>
      <c r="G215"/>
      <c r="H215" t="s">
        <v>341</v>
      </c>
      <c r="I215" s="16">
        <v>-348296530000</v>
      </c>
      <c r="J215" s="16">
        <v>-582293330000</v>
      </c>
      <c r="K215" s="16" t="s">
        <v>1157</v>
      </c>
      <c r="L215" s="57">
        <f t="shared" si="17"/>
        <v>30</v>
      </c>
      <c r="M215" s="17">
        <f t="shared" si="15"/>
        <v>0</v>
      </c>
      <c r="N215" s="18">
        <f t="shared" si="16"/>
        <v>1</v>
      </c>
      <c r="O215" s="27"/>
      <c r="P215" s="8"/>
      <c r="Q215" s="8"/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</row>
    <row r="216" spans="1:44" ht="15.75" thickBot="1" x14ac:dyDescent="0.3">
      <c r="A216" t="s">
        <v>556</v>
      </c>
      <c r="B216" s="62"/>
      <c r="C216" s="63" t="s">
        <v>562</v>
      </c>
      <c r="D216" s="62" t="s">
        <v>563</v>
      </c>
      <c r="E216" t="s">
        <v>113</v>
      </c>
      <c r="F216" t="s">
        <v>36</v>
      </c>
      <c r="G216"/>
      <c r="H216" t="s">
        <v>564</v>
      </c>
      <c r="I216" s="16">
        <v>-348304210000</v>
      </c>
      <c r="J216" s="16">
        <v>-582269250000</v>
      </c>
      <c r="K216" s="16" t="s">
        <v>1158</v>
      </c>
      <c r="L216" s="57">
        <f t="shared" si="17"/>
        <v>30</v>
      </c>
      <c r="M216" s="17">
        <f t="shared" si="15"/>
        <v>0</v>
      </c>
      <c r="N216" s="18">
        <f t="shared" si="16"/>
        <v>1</v>
      </c>
      <c r="O216" s="27"/>
      <c r="P216" s="8"/>
      <c r="Q216" s="8"/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</row>
    <row r="217" spans="1:44" ht="15.75" thickBot="1" x14ac:dyDescent="0.3">
      <c r="A217" t="s">
        <v>556</v>
      </c>
      <c r="B217" s="62"/>
      <c r="C217" s="63" t="s">
        <v>565</v>
      </c>
      <c r="D217" s="62" t="s">
        <v>563</v>
      </c>
      <c r="E217" t="s">
        <v>113</v>
      </c>
      <c r="F217" t="s">
        <v>36</v>
      </c>
      <c r="G217"/>
      <c r="H217" t="s">
        <v>564</v>
      </c>
      <c r="I217" s="16">
        <v>-348304120000</v>
      </c>
      <c r="J217" s="16">
        <v>-582269240000</v>
      </c>
      <c r="K217" s="16" t="s">
        <v>1159</v>
      </c>
      <c r="L217" s="57">
        <f t="shared" si="17"/>
        <v>30</v>
      </c>
      <c r="M217" s="17">
        <f t="shared" si="15"/>
        <v>0</v>
      </c>
      <c r="N217" s="18">
        <f t="shared" si="16"/>
        <v>1</v>
      </c>
      <c r="O217" s="27"/>
      <c r="P217" s="8"/>
      <c r="Q217" s="8"/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</row>
    <row r="218" spans="1:44" ht="15.75" thickBot="1" x14ac:dyDescent="0.3">
      <c r="A218" t="s">
        <v>556</v>
      </c>
      <c r="B218" s="62"/>
      <c r="C218" s="63" t="s">
        <v>566</v>
      </c>
      <c r="D218" s="62" t="s">
        <v>567</v>
      </c>
      <c r="E218" t="s">
        <v>113</v>
      </c>
      <c r="F218" t="s">
        <v>36</v>
      </c>
      <c r="G218"/>
      <c r="H218" t="s">
        <v>248</v>
      </c>
      <c r="I218" s="16">
        <v>-348327470000</v>
      </c>
      <c r="J218" s="16">
        <v>-582277380000</v>
      </c>
      <c r="K218" s="16" t="s">
        <v>1160</v>
      </c>
      <c r="L218" s="57">
        <f t="shared" si="17"/>
        <v>29</v>
      </c>
      <c r="M218" s="17">
        <f t="shared" si="15"/>
        <v>1</v>
      </c>
      <c r="N218" s="18">
        <f t="shared" si="16"/>
        <v>0.96666666666666667</v>
      </c>
      <c r="O218" s="27" t="s">
        <v>1363</v>
      </c>
      <c r="P218" s="8"/>
      <c r="Q218" s="8"/>
      <c r="R218" s="8"/>
      <c r="S218" s="27"/>
      <c r="T218" s="27"/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</row>
    <row r="219" spans="1:44" ht="15.75" thickBot="1" x14ac:dyDescent="0.3">
      <c r="A219" t="s">
        <v>556</v>
      </c>
      <c r="B219" s="62"/>
      <c r="C219" s="63" t="s">
        <v>568</v>
      </c>
      <c r="D219" s="62" t="s">
        <v>567</v>
      </c>
      <c r="E219" t="s">
        <v>73</v>
      </c>
      <c r="F219" t="s">
        <v>36</v>
      </c>
      <c r="G219"/>
      <c r="H219" t="s">
        <v>569</v>
      </c>
      <c r="I219" s="16">
        <v>-348327560000</v>
      </c>
      <c r="J219" s="16">
        <v>-582277570000</v>
      </c>
      <c r="K219" s="16" t="s">
        <v>1161</v>
      </c>
      <c r="L219" s="57">
        <f t="shared" si="17"/>
        <v>29</v>
      </c>
      <c r="M219" s="17">
        <f t="shared" si="15"/>
        <v>1</v>
      </c>
      <c r="N219" s="18">
        <f t="shared" si="16"/>
        <v>0.96666666666666667</v>
      </c>
      <c r="O219" s="27" t="s">
        <v>1363</v>
      </c>
      <c r="P219" s="8"/>
      <c r="Q219" s="8"/>
      <c r="R219" s="8"/>
      <c r="S219" s="27"/>
      <c r="T219" s="27"/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</row>
    <row r="220" spans="1:44" ht="15.75" thickBot="1" x14ac:dyDescent="0.3">
      <c r="A220" t="s">
        <v>570</v>
      </c>
      <c r="B220" s="62"/>
      <c r="C220" s="63" t="s">
        <v>571</v>
      </c>
      <c r="D220" s="62" t="s">
        <v>572</v>
      </c>
      <c r="E220" t="s">
        <v>19</v>
      </c>
      <c r="F220" t="s">
        <v>36</v>
      </c>
      <c r="G220"/>
      <c r="H220" t="s">
        <v>341</v>
      </c>
      <c r="I220" s="16">
        <v>-348284690000</v>
      </c>
      <c r="J220" s="16">
        <v>-582281770000</v>
      </c>
      <c r="K220" s="16" t="s">
        <v>1162</v>
      </c>
      <c r="L220" s="57">
        <f t="shared" si="17"/>
        <v>30</v>
      </c>
      <c r="M220" s="17">
        <f t="shared" si="15"/>
        <v>0</v>
      </c>
      <c r="N220" s="18">
        <f t="shared" si="16"/>
        <v>1</v>
      </c>
      <c r="O220" s="27"/>
      <c r="P220" s="8"/>
      <c r="Q220" s="8"/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</row>
    <row r="221" spans="1:44" ht="15.75" thickBot="1" x14ac:dyDescent="0.3">
      <c r="A221" t="s">
        <v>570</v>
      </c>
      <c r="B221" s="62"/>
      <c r="C221" s="63" t="s">
        <v>573</v>
      </c>
      <c r="D221" s="62" t="s">
        <v>574</v>
      </c>
      <c r="E221" t="s">
        <v>19</v>
      </c>
      <c r="F221" t="s">
        <v>36</v>
      </c>
      <c r="G221"/>
      <c r="H221" t="s">
        <v>341</v>
      </c>
      <c r="I221" s="16">
        <v>-348266150000</v>
      </c>
      <c r="J221" s="16">
        <v>-582261560000</v>
      </c>
      <c r="K221" s="16" t="s">
        <v>1165</v>
      </c>
      <c r="L221" s="57">
        <f t="shared" si="17"/>
        <v>30</v>
      </c>
      <c r="M221" s="17">
        <f t="shared" si="15"/>
        <v>0</v>
      </c>
      <c r="N221" s="18">
        <f t="shared" si="16"/>
        <v>1</v>
      </c>
      <c r="O221" s="27"/>
      <c r="P221" s="8"/>
      <c r="Q221" s="8"/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</row>
    <row r="222" spans="1:44" ht="15.75" thickBot="1" x14ac:dyDescent="0.3">
      <c r="A222" t="s">
        <v>570</v>
      </c>
      <c r="B222" s="62"/>
      <c r="C222" s="63" t="s">
        <v>575</v>
      </c>
      <c r="D222" s="62" t="s">
        <v>576</v>
      </c>
      <c r="E222" t="s">
        <v>113</v>
      </c>
      <c r="F222" t="s">
        <v>36</v>
      </c>
      <c r="G222"/>
      <c r="H222" t="s">
        <v>564</v>
      </c>
      <c r="I222" s="16">
        <v>-348268070000</v>
      </c>
      <c r="J222" s="16">
        <v>-582275680000</v>
      </c>
      <c r="K222" s="16" t="s">
        <v>1163</v>
      </c>
      <c r="L222" s="57">
        <f t="shared" si="17"/>
        <v>30</v>
      </c>
      <c r="M222" s="17">
        <f t="shared" si="15"/>
        <v>0</v>
      </c>
      <c r="N222" s="18">
        <f t="shared" si="16"/>
        <v>1</v>
      </c>
      <c r="O222" s="27"/>
      <c r="P222" s="8"/>
      <c r="Q222" s="8"/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</row>
    <row r="223" spans="1:44" ht="15.75" thickBot="1" x14ac:dyDescent="0.3">
      <c r="A223" t="s">
        <v>570</v>
      </c>
      <c r="B223" s="62"/>
      <c r="C223" s="63" t="s">
        <v>577</v>
      </c>
      <c r="D223" s="62" t="s">
        <v>576</v>
      </c>
      <c r="E223" t="s">
        <v>113</v>
      </c>
      <c r="F223" t="s">
        <v>36</v>
      </c>
      <c r="G223"/>
      <c r="H223" t="s">
        <v>578</v>
      </c>
      <c r="I223" s="16">
        <v>-348268070000</v>
      </c>
      <c r="J223" s="16">
        <v>-582275680000</v>
      </c>
      <c r="K223" s="16" t="s">
        <v>1164</v>
      </c>
      <c r="L223" s="57">
        <f t="shared" si="17"/>
        <v>30</v>
      </c>
      <c r="M223" s="17">
        <f t="shared" si="15"/>
        <v>0</v>
      </c>
      <c r="N223" s="18">
        <f t="shared" si="16"/>
        <v>1</v>
      </c>
      <c r="O223" s="27"/>
      <c r="P223" s="8"/>
      <c r="Q223" s="8"/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</row>
    <row r="224" spans="1:44" ht="15.75" thickBot="1" x14ac:dyDescent="0.3">
      <c r="A224" t="s">
        <v>570</v>
      </c>
      <c r="B224" s="60">
        <v>44629</v>
      </c>
      <c r="C224" s="63" t="s">
        <v>579</v>
      </c>
      <c r="D224" s="62" t="s">
        <v>580</v>
      </c>
      <c r="E224" t="s">
        <v>19</v>
      </c>
      <c r="F224" t="s">
        <v>36</v>
      </c>
      <c r="G224"/>
      <c r="H224" t="s">
        <v>581</v>
      </c>
      <c r="I224" s="16">
        <v>-348255670000</v>
      </c>
      <c r="J224" s="16">
        <v>-582250020000</v>
      </c>
      <c r="K224" s="16" t="s">
        <v>1166</v>
      </c>
      <c r="L224" s="57">
        <f t="shared" si="17"/>
        <v>30</v>
      </c>
      <c r="M224" s="17">
        <f t="shared" si="15"/>
        <v>0</v>
      </c>
      <c r="N224" s="18">
        <f t="shared" si="16"/>
        <v>1</v>
      </c>
      <c r="O224" s="27"/>
      <c r="P224" s="8"/>
      <c r="Q224" s="8"/>
      <c r="R224" s="8"/>
      <c r="S224" s="27"/>
      <c r="T224" s="27"/>
      <c r="U224" s="8"/>
      <c r="V224" s="8"/>
      <c r="W224" s="8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</row>
    <row r="225" spans="1:44" ht="15.75" thickBot="1" x14ac:dyDescent="0.3">
      <c r="A225" t="s">
        <v>412</v>
      </c>
      <c r="B225" s="62"/>
      <c r="C225" s="63" t="s">
        <v>582</v>
      </c>
      <c r="D225" s="62" t="s">
        <v>583</v>
      </c>
      <c r="E225" t="s">
        <v>24</v>
      </c>
      <c r="F225" t="s">
        <v>36</v>
      </c>
      <c r="G225" t="s">
        <v>584</v>
      </c>
      <c r="H225"/>
      <c r="I225" s="16">
        <v>-347820290000</v>
      </c>
      <c r="J225" s="16">
        <v>-582627140000</v>
      </c>
      <c r="K225" s="16" t="s">
        <v>1167</v>
      </c>
      <c r="L225" s="57">
        <f t="shared" si="17"/>
        <v>30</v>
      </c>
      <c r="M225" s="17">
        <f t="shared" si="15"/>
        <v>0</v>
      </c>
      <c r="N225" s="18">
        <f t="shared" si="16"/>
        <v>1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</row>
    <row r="226" spans="1:44" ht="15.75" thickBot="1" x14ac:dyDescent="0.3">
      <c r="A226" t="s">
        <v>585</v>
      </c>
      <c r="B226" s="62"/>
      <c r="C226" s="63" t="s">
        <v>586</v>
      </c>
      <c r="D226" s="62" t="s">
        <v>587</v>
      </c>
      <c r="E226" t="s">
        <v>24</v>
      </c>
      <c r="F226" t="s">
        <v>36</v>
      </c>
      <c r="G226" t="s">
        <v>588</v>
      </c>
      <c r="H226"/>
      <c r="I226" s="16">
        <v>-347820510000</v>
      </c>
      <c r="J226" s="16">
        <v>-582792740000</v>
      </c>
      <c r="K226" s="16" t="s">
        <v>1168</v>
      </c>
      <c r="L226" s="57">
        <f t="shared" si="17"/>
        <v>30</v>
      </c>
      <c r="M226" s="17">
        <f t="shared" si="15"/>
        <v>0</v>
      </c>
      <c r="N226" s="18">
        <f t="shared" si="16"/>
        <v>1</v>
      </c>
      <c r="O226" s="27"/>
      <c r="P226" s="8"/>
      <c r="Q226" s="8"/>
      <c r="R226" s="8"/>
      <c r="S226" s="27"/>
      <c r="T226" s="27"/>
      <c r="U226" s="8"/>
      <c r="V226" s="8"/>
      <c r="W226" s="8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</row>
    <row r="227" spans="1:44" ht="15.75" thickBot="1" x14ac:dyDescent="0.3">
      <c r="A227" t="s">
        <v>585</v>
      </c>
      <c r="B227" s="62"/>
      <c r="C227" s="63" t="s">
        <v>589</v>
      </c>
      <c r="D227" s="62" t="s">
        <v>590</v>
      </c>
      <c r="E227" t="s">
        <v>24</v>
      </c>
      <c r="F227" t="s">
        <v>36</v>
      </c>
      <c r="G227" t="s">
        <v>591</v>
      </c>
      <c r="H227"/>
      <c r="I227" s="16">
        <v>-347891490000</v>
      </c>
      <c r="J227" s="16">
        <v>-582788520000</v>
      </c>
      <c r="K227" s="16" t="s">
        <v>1169</v>
      </c>
      <c r="L227" s="57">
        <f t="shared" si="17"/>
        <v>30</v>
      </c>
      <c r="M227" s="17">
        <f t="shared" si="15"/>
        <v>0</v>
      </c>
      <c r="N227" s="18">
        <f t="shared" si="16"/>
        <v>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</row>
    <row r="228" spans="1:44" ht="15.75" thickBot="1" x14ac:dyDescent="0.3">
      <c r="A228" t="s">
        <v>592</v>
      </c>
      <c r="B228" s="62"/>
      <c r="C228" s="63" t="s">
        <v>593</v>
      </c>
      <c r="D228" s="62" t="s">
        <v>594</v>
      </c>
      <c r="E228" t="s">
        <v>24</v>
      </c>
      <c r="F228" t="s">
        <v>25</v>
      </c>
      <c r="G228" t="s">
        <v>277</v>
      </c>
      <c r="H228"/>
      <c r="I228" s="16">
        <v>-347858230000</v>
      </c>
      <c r="J228" s="16">
        <v>-582788230000</v>
      </c>
      <c r="K228" s="16" t="s">
        <v>1170</v>
      </c>
      <c r="L228" s="57">
        <f t="shared" si="17"/>
        <v>30</v>
      </c>
      <c r="M228" s="17">
        <f t="shared" si="15"/>
        <v>0</v>
      </c>
      <c r="N228" s="18">
        <f t="shared" si="16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</row>
    <row r="229" spans="1:44" ht="15.75" thickBot="1" x14ac:dyDescent="0.3">
      <c r="A229" t="s">
        <v>456</v>
      </c>
      <c r="B229" s="62"/>
      <c r="C229" s="63" t="s">
        <v>595</v>
      </c>
      <c r="D229" s="62" t="s">
        <v>596</v>
      </c>
      <c r="E229" t="s">
        <v>24</v>
      </c>
      <c r="F229" t="s">
        <v>36</v>
      </c>
      <c r="G229" t="s">
        <v>597</v>
      </c>
      <c r="H229"/>
      <c r="I229" s="16">
        <v>-347803150000</v>
      </c>
      <c r="J229" s="16">
        <v>-582792150000</v>
      </c>
      <c r="K229" s="16" t="s">
        <v>1173</v>
      </c>
      <c r="L229" s="57">
        <f t="shared" si="17"/>
        <v>30</v>
      </c>
      <c r="M229" s="17">
        <f t="shared" si="15"/>
        <v>0</v>
      </c>
      <c r="N229" s="18">
        <f t="shared" si="16"/>
        <v>1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</row>
    <row r="230" spans="1:44" ht="15.75" thickBot="1" x14ac:dyDescent="0.3">
      <c r="A230" t="s">
        <v>456</v>
      </c>
      <c r="B230" s="60">
        <v>44642</v>
      </c>
      <c r="C230" s="63" t="s">
        <v>598</v>
      </c>
      <c r="D230" s="62" t="s">
        <v>599</v>
      </c>
      <c r="E230" t="s">
        <v>24</v>
      </c>
      <c r="F230" t="s">
        <v>36</v>
      </c>
      <c r="G230" t="s">
        <v>600</v>
      </c>
      <c r="H230"/>
      <c r="I230" s="16">
        <v>-347724810000</v>
      </c>
      <c r="J230" s="16">
        <v>-582779860000</v>
      </c>
      <c r="K230" s="16" t="s">
        <v>1174</v>
      </c>
      <c r="L230" s="57">
        <f t="shared" si="17"/>
        <v>29</v>
      </c>
      <c r="M230" s="17">
        <f t="shared" si="15"/>
        <v>1</v>
      </c>
      <c r="N230" s="18">
        <f t="shared" si="16"/>
        <v>0.96666666666666667</v>
      </c>
      <c r="O230" s="27" t="s">
        <v>1363</v>
      </c>
      <c r="P230" s="8"/>
      <c r="Q230" s="8"/>
      <c r="R230" s="8"/>
      <c r="S230" s="27"/>
      <c r="T230" s="27"/>
      <c r="U230" s="8"/>
      <c r="V230" s="8"/>
      <c r="W230" s="8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</row>
    <row r="231" spans="1:44" ht="15.75" thickBot="1" x14ac:dyDescent="0.3">
      <c r="A231" t="s">
        <v>456</v>
      </c>
      <c r="B231" s="62"/>
      <c r="C231" s="63" t="s">
        <v>601</v>
      </c>
      <c r="D231" s="62" t="s">
        <v>602</v>
      </c>
      <c r="E231" t="s">
        <v>113</v>
      </c>
      <c r="F231" t="s">
        <v>36</v>
      </c>
      <c r="G231"/>
      <c r="H231" t="s">
        <v>248</v>
      </c>
      <c r="I231" s="16">
        <v>-347758420000</v>
      </c>
      <c r="J231" s="16">
        <v>-582787380000</v>
      </c>
      <c r="K231" s="16" t="s">
        <v>1171</v>
      </c>
      <c r="L231" s="57">
        <f t="shared" si="17"/>
        <v>29</v>
      </c>
      <c r="M231" s="17">
        <f t="shared" si="15"/>
        <v>1</v>
      </c>
      <c r="N231" s="18">
        <f t="shared" si="16"/>
        <v>0.96666666666666667</v>
      </c>
      <c r="O231" s="27" t="s">
        <v>1363</v>
      </c>
      <c r="P231" s="8"/>
      <c r="Q231" s="8"/>
      <c r="R231" s="8"/>
      <c r="S231" s="27"/>
      <c r="T231" s="27"/>
      <c r="U231" s="8"/>
      <c r="V231" s="8"/>
      <c r="W231" s="8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</row>
    <row r="232" spans="1:44" ht="15.75" thickBot="1" x14ac:dyDescent="0.3">
      <c r="A232" t="s">
        <v>456</v>
      </c>
      <c r="B232" s="62"/>
      <c r="C232" s="63" t="s">
        <v>603</v>
      </c>
      <c r="D232" s="62" t="s">
        <v>602</v>
      </c>
      <c r="E232" t="s">
        <v>113</v>
      </c>
      <c r="F232" t="s">
        <v>36</v>
      </c>
      <c r="G232"/>
      <c r="H232" t="s">
        <v>248</v>
      </c>
      <c r="I232" s="16">
        <v>-347758300000</v>
      </c>
      <c r="J232" s="16">
        <v>-582787420000</v>
      </c>
      <c r="K232" s="16" t="s">
        <v>1172</v>
      </c>
      <c r="L232" s="57">
        <f t="shared" si="17"/>
        <v>29</v>
      </c>
      <c r="M232" s="17">
        <f t="shared" si="15"/>
        <v>1</v>
      </c>
      <c r="N232" s="18">
        <f t="shared" si="16"/>
        <v>0.96666666666666667</v>
      </c>
      <c r="O232" s="27" t="s">
        <v>1363</v>
      </c>
      <c r="P232" s="8"/>
      <c r="Q232" s="8"/>
      <c r="R232" s="8"/>
      <c r="S232" s="27"/>
      <c r="T232" s="27"/>
      <c r="U232" s="8"/>
      <c r="V232" s="8"/>
      <c r="W232" s="8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</row>
    <row r="233" spans="1:44" ht="15.75" thickBot="1" x14ac:dyDescent="0.3">
      <c r="A233" t="s">
        <v>585</v>
      </c>
      <c r="B233" s="62"/>
      <c r="C233" s="63" t="s">
        <v>604</v>
      </c>
      <c r="D233" s="62" t="s">
        <v>605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1176</v>
      </c>
      <c r="L233" s="57">
        <f t="shared" si="17"/>
        <v>30</v>
      </c>
      <c r="M233" s="17">
        <f t="shared" si="15"/>
        <v>0</v>
      </c>
      <c r="N233" s="18">
        <f t="shared" si="16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</row>
    <row r="234" spans="1:44" ht="15.75" thickBot="1" x14ac:dyDescent="0.3">
      <c r="B234" s="62"/>
      <c r="C234" s="63" t="s">
        <v>606</v>
      </c>
      <c r="D234" s="62" t="s">
        <v>607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1177</v>
      </c>
      <c r="L234" s="57">
        <f t="shared" si="17"/>
        <v>30</v>
      </c>
      <c r="M234" s="17">
        <f t="shared" si="15"/>
        <v>0</v>
      </c>
      <c r="N234" s="18">
        <f t="shared" si="16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</row>
    <row r="235" spans="1:44" ht="15.75" thickBot="1" x14ac:dyDescent="0.3">
      <c r="A235" t="s">
        <v>608</v>
      </c>
      <c r="B235" s="62"/>
      <c r="C235" s="63" t="s">
        <v>609</v>
      </c>
      <c r="D235" s="62" t="s">
        <v>610</v>
      </c>
      <c r="E235" t="s">
        <v>24</v>
      </c>
      <c r="F235" t="s">
        <v>36</v>
      </c>
      <c r="G235"/>
      <c r="H235" t="s">
        <v>611</v>
      </c>
      <c r="I235" s="16">
        <v>-347813810000</v>
      </c>
      <c r="J235" s="16">
        <v>-582945970000</v>
      </c>
      <c r="K235" s="16" t="s">
        <v>1178</v>
      </c>
      <c r="L235" s="57">
        <f t="shared" si="17"/>
        <v>30</v>
      </c>
      <c r="M235" s="17">
        <f t="shared" si="15"/>
        <v>0</v>
      </c>
      <c r="N235" s="18">
        <f t="shared" si="16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</row>
    <row r="236" spans="1:44" ht="15.75" thickBot="1" x14ac:dyDescent="0.3">
      <c r="A236" t="s">
        <v>608</v>
      </c>
      <c r="B236" s="62"/>
      <c r="C236" s="63" t="s">
        <v>612</v>
      </c>
      <c r="D236" s="62" t="s">
        <v>610</v>
      </c>
      <c r="E236" t="s">
        <v>113</v>
      </c>
      <c r="F236" t="s">
        <v>36</v>
      </c>
      <c r="G236"/>
      <c r="H236" t="s">
        <v>613</v>
      </c>
      <c r="I236" s="16">
        <v>-347813820000</v>
      </c>
      <c r="J236" s="16">
        <v>-582946080000</v>
      </c>
      <c r="K236" s="16" t="s">
        <v>1179</v>
      </c>
      <c r="L236" s="57">
        <f t="shared" si="17"/>
        <v>30</v>
      </c>
      <c r="M236" s="17">
        <f t="shared" si="15"/>
        <v>0</v>
      </c>
      <c r="N236" s="18">
        <f t="shared" si="16"/>
        <v>1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</row>
    <row r="237" spans="1:44" ht="15.75" thickBot="1" x14ac:dyDescent="0.3">
      <c r="A237" t="s">
        <v>608</v>
      </c>
      <c r="B237" s="62"/>
      <c r="C237" s="63" t="s">
        <v>614</v>
      </c>
      <c r="D237" s="62" t="s">
        <v>610</v>
      </c>
      <c r="E237" t="s">
        <v>113</v>
      </c>
      <c r="F237" t="s">
        <v>36</v>
      </c>
      <c r="G237"/>
      <c r="H237" t="s">
        <v>613</v>
      </c>
      <c r="I237" s="16">
        <v>-347813760000</v>
      </c>
      <c r="J237" s="16">
        <v>-582945930000</v>
      </c>
      <c r="K237" s="16" t="s">
        <v>1180</v>
      </c>
      <c r="L237" s="57">
        <f t="shared" si="17"/>
        <v>30</v>
      </c>
      <c r="M237" s="17">
        <f t="shared" si="15"/>
        <v>0</v>
      </c>
      <c r="N237" s="18">
        <f t="shared" si="16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</row>
    <row r="238" spans="1:44" ht="15.75" thickBot="1" x14ac:dyDescent="0.3">
      <c r="A238" t="s">
        <v>608</v>
      </c>
      <c r="B238" s="62"/>
      <c r="C238" s="63" t="s">
        <v>615</v>
      </c>
      <c r="D238" s="62" t="s">
        <v>616</v>
      </c>
      <c r="E238" t="s">
        <v>19</v>
      </c>
      <c r="F238" t="s">
        <v>25</v>
      </c>
      <c r="G238" t="s">
        <v>185</v>
      </c>
      <c r="H238" t="s">
        <v>617</v>
      </c>
      <c r="I238" s="16">
        <v>-347871630000</v>
      </c>
      <c r="J238" s="16">
        <v>-582901360000</v>
      </c>
      <c r="K238" s="16" t="s">
        <v>1175</v>
      </c>
      <c r="L238" s="57">
        <f t="shared" si="17"/>
        <v>30</v>
      </c>
      <c r="M238" s="17">
        <f t="shared" si="15"/>
        <v>0</v>
      </c>
      <c r="N238" s="18">
        <f t="shared" si="16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</row>
    <row r="239" spans="1:44" ht="15.75" thickBot="1" x14ac:dyDescent="0.3">
      <c r="A239" t="s">
        <v>618</v>
      </c>
      <c r="B239" s="62"/>
      <c r="C239" s="63" t="s">
        <v>619</v>
      </c>
      <c r="D239" s="62" t="s">
        <v>620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1181</v>
      </c>
      <c r="L239" s="57">
        <f t="shared" si="17"/>
        <v>30</v>
      </c>
      <c r="M239" s="17">
        <f t="shared" si="15"/>
        <v>0</v>
      </c>
      <c r="N239" s="18">
        <f t="shared" si="16"/>
        <v>1</v>
      </c>
      <c r="O239" s="27"/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</row>
    <row r="240" spans="1:44" ht="15.75" thickBot="1" x14ac:dyDescent="0.3">
      <c r="A240" t="s">
        <v>618</v>
      </c>
      <c r="B240" s="62"/>
      <c r="C240" s="63" t="s">
        <v>621</v>
      </c>
      <c r="D240" s="62" t="s">
        <v>620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1182</v>
      </c>
      <c r="L240" s="57">
        <f t="shared" si="17"/>
        <v>30</v>
      </c>
      <c r="M240" s="17">
        <f t="shared" si="15"/>
        <v>0</v>
      </c>
      <c r="N240" s="18">
        <f t="shared" si="16"/>
        <v>1</v>
      </c>
      <c r="O240" s="27"/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</row>
    <row r="241" spans="1:44" ht="15.75" thickBot="1" x14ac:dyDescent="0.3">
      <c r="A241" t="s">
        <v>608</v>
      </c>
      <c r="B241" s="62"/>
      <c r="C241" s="63" t="s">
        <v>622</v>
      </c>
      <c r="D241" s="62" t="s">
        <v>623</v>
      </c>
      <c r="E241" t="s">
        <v>113</v>
      </c>
      <c r="F241" t="s">
        <v>36</v>
      </c>
      <c r="G241" t="s">
        <v>624</v>
      </c>
      <c r="H241"/>
      <c r="I241" s="16">
        <v>-347831700000</v>
      </c>
      <c r="J241" s="16">
        <v>-582932590000</v>
      </c>
      <c r="K241" s="16" t="s">
        <v>1183</v>
      </c>
      <c r="L241" s="57">
        <f t="shared" si="17"/>
        <v>30</v>
      </c>
      <c r="M241" s="17">
        <f t="shared" si="15"/>
        <v>0</v>
      </c>
      <c r="N241" s="18">
        <f t="shared" si="16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</row>
    <row r="242" spans="1:44" ht="15.75" thickBot="1" x14ac:dyDescent="0.3">
      <c r="A242" t="s">
        <v>608</v>
      </c>
      <c r="B242" s="62"/>
      <c r="C242" s="63" t="s">
        <v>625</v>
      </c>
      <c r="D242" s="62" t="s">
        <v>623</v>
      </c>
      <c r="E242" t="s">
        <v>113</v>
      </c>
      <c r="F242" t="s">
        <v>36</v>
      </c>
      <c r="G242" t="s">
        <v>624</v>
      </c>
      <c r="H242"/>
      <c r="I242" s="16">
        <v>-347832580000</v>
      </c>
      <c r="J242" s="16">
        <v>-582932170000</v>
      </c>
      <c r="K242" s="16" t="s">
        <v>1184</v>
      </c>
      <c r="L242" s="57">
        <f t="shared" si="17"/>
        <v>30</v>
      </c>
      <c r="M242" s="17">
        <f t="shared" si="15"/>
        <v>0</v>
      </c>
      <c r="N242" s="18">
        <f t="shared" si="16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</row>
    <row r="243" spans="1:44" ht="15.75" thickBot="1" x14ac:dyDescent="0.3">
      <c r="A243" t="s">
        <v>608</v>
      </c>
      <c r="B243" s="62"/>
      <c r="C243" s="63" t="s">
        <v>626</v>
      </c>
      <c r="D243" s="62" t="s">
        <v>627</v>
      </c>
      <c r="E243" t="s">
        <v>113</v>
      </c>
      <c r="F243" t="s">
        <v>36</v>
      </c>
      <c r="G243" t="s">
        <v>628</v>
      </c>
      <c r="H243"/>
      <c r="I243" s="16">
        <v>-347819280000</v>
      </c>
      <c r="J243" s="16">
        <v>-582932800000</v>
      </c>
      <c r="K243" s="16" t="s">
        <v>1185</v>
      </c>
      <c r="L243" s="57">
        <f t="shared" si="17"/>
        <v>30</v>
      </c>
      <c r="M243" s="17">
        <f t="shared" si="15"/>
        <v>0</v>
      </c>
      <c r="N243" s="18">
        <f t="shared" si="16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</row>
    <row r="244" spans="1:44" ht="15.75" thickBot="1" x14ac:dyDescent="0.3">
      <c r="A244" t="s">
        <v>608</v>
      </c>
      <c r="B244" s="62"/>
      <c r="C244" s="63" t="s">
        <v>629</v>
      </c>
      <c r="D244" s="62" t="s">
        <v>627</v>
      </c>
      <c r="E244" t="s">
        <v>113</v>
      </c>
      <c r="F244" t="s">
        <v>36</v>
      </c>
      <c r="G244" t="s">
        <v>628</v>
      </c>
      <c r="H244"/>
      <c r="I244" s="16">
        <v>-347819190000</v>
      </c>
      <c r="J244" s="16">
        <v>-582932910000</v>
      </c>
      <c r="K244" s="16" t="s">
        <v>1186</v>
      </c>
      <c r="L244" s="57">
        <f t="shared" si="17"/>
        <v>30</v>
      </c>
      <c r="M244" s="17">
        <f t="shared" si="15"/>
        <v>0</v>
      </c>
      <c r="N244" s="18">
        <f t="shared" si="16"/>
        <v>1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</row>
    <row r="245" spans="1:44" ht="15.75" thickBot="1" x14ac:dyDescent="0.3">
      <c r="A245" t="s">
        <v>618</v>
      </c>
      <c r="B245" s="62"/>
      <c r="C245" s="63" t="s">
        <v>1325</v>
      </c>
      <c r="D245" s="62" t="s">
        <v>1326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1341</v>
      </c>
      <c r="L245" s="57">
        <f t="shared" si="17"/>
        <v>30</v>
      </c>
      <c r="M245" s="17">
        <f t="shared" si="15"/>
        <v>0</v>
      </c>
      <c r="N245" s="18">
        <f t="shared" si="16"/>
        <v>1</v>
      </c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</row>
    <row r="246" spans="1:44" ht="15.75" thickBot="1" x14ac:dyDescent="0.3">
      <c r="A246" t="s">
        <v>608</v>
      </c>
      <c r="B246" s="62"/>
      <c r="C246" s="63" t="s">
        <v>1327</v>
      </c>
      <c r="D246" s="62" t="s">
        <v>1328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1342</v>
      </c>
      <c r="L246" s="57">
        <f t="shared" si="17"/>
        <v>30</v>
      </c>
      <c r="M246" s="17">
        <f t="shared" si="15"/>
        <v>0</v>
      </c>
      <c r="N246" s="18">
        <f t="shared" si="16"/>
        <v>1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</row>
    <row r="247" spans="1:44" ht="15.75" thickBot="1" x14ac:dyDescent="0.3">
      <c r="A247" t="s">
        <v>310</v>
      </c>
      <c r="B247" s="62"/>
      <c r="C247" s="63" t="s">
        <v>630</v>
      </c>
      <c r="D247" s="62" t="s">
        <v>631</v>
      </c>
      <c r="E247" t="s">
        <v>19</v>
      </c>
      <c r="F247" t="s">
        <v>25</v>
      </c>
      <c r="G247"/>
      <c r="H247" t="s">
        <v>632</v>
      </c>
      <c r="I247" s="16">
        <v>-348247270000</v>
      </c>
      <c r="J247" s="16">
        <v>-582923280000</v>
      </c>
      <c r="K247" s="16" t="s">
        <v>1189</v>
      </c>
      <c r="L247" s="57">
        <f t="shared" si="17"/>
        <v>30</v>
      </c>
      <c r="M247" s="17">
        <f t="shared" si="15"/>
        <v>0</v>
      </c>
      <c r="N247" s="18">
        <f t="shared" si="16"/>
        <v>1</v>
      </c>
      <c r="O247" s="27"/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</row>
    <row r="248" spans="1:44" ht="15.75" thickBot="1" x14ac:dyDescent="0.3">
      <c r="A248" t="s">
        <v>310</v>
      </c>
      <c r="B248" s="62"/>
      <c r="C248" s="63" t="s">
        <v>633</v>
      </c>
      <c r="D248" s="62" t="s">
        <v>634</v>
      </c>
      <c r="E248" t="s">
        <v>19</v>
      </c>
      <c r="F248" t="s">
        <v>25</v>
      </c>
      <c r="G248"/>
      <c r="H248" t="s">
        <v>632</v>
      </c>
      <c r="I248" s="16">
        <v>-348165060000</v>
      </c>
      <c r="J248" s="16">
        <v>-582994990000</v>
      </c>
      <c r="K248" s="16" t="s">
        <v>1191</v>
      </c>
      <c r="L248" s="57">
        <f t="shared" si="17"/>
        <v>30</v>
      </c>
      <c r="M248" s="17">
        <f t="shared" si="15"/>
        <v>0</v>
      </c>
      <c r="N248" s="18">
        <f t="shared" si="16"/>
        <v>1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</row>
    <row r="249" spans="1:44" ht="15.75" thickBot="1" x14ac:dyDescent="0.3">
      <c r="A249" t="s">
        <v>310</v>
      </c>
      <c r="B249" s="62"/>
      <c r="C249" s="63" t="s">
        <v>635</v>
      </c>
      <c r="D249" s="62" t="s">
        <v>636</v>
      </c>
      <c r="E249" t="s">
        <v>24</v>
      </c>
      <c r="F249" t="s">
        <v>25</v>
      </c>
      <c r="G249" t="s">
        <v>165</v>
      </c>
      <c r="H249"/>
      <c r="I249" s="16">
        <v>-348184850000</v>
      </c>
      <c r="J249" s="16">
        <v>-583019920000</v>
      </c>
      <c r="K249" s="16" t="s">
        <v>1187</v>
      </c>
      <c r="L249" s="57">
        <f t="shared" si="17"/>
        <v>30</v>
      </c>
      <c r="M249" s="17">
        <f t="shared" si="15"/>
        <v>0</v>
      </c>
      <c r="N249" s="18">
        <f t="shared" si="16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</row>
    <row r="250" spans="1:44" ht="15.75" thickBot="1" x14ac:dyDescent="0.3">
      <c r="A250" t="s">
        <v>310</v>
      </c>
      <c r="B250" s="62"/>
      <c r="C250" s="63" t="s">
        <v>637</v>
      </c>
      <c r="D250" s="62" t="s">
        <v>638</v>
      </c>
      <c r="E250" t="s">
        <v>24</v>
      </c>
      <c r="F250" t="s">
        <v>25</v>
      </c>
      <c r="G250" t="s">
        <v>185</v>
      </c>
      <c r="H250" t="s">
        <v>639</v>
      </c>
      <c r="I250" s="16">
        <v>-348155560000</v>
      </c>
      <c r="J250" s="16">
        <v>-582959460000</v>
      </c>
      <c r="K250" s="16" t="s">
        <v>1188</v>
      </c>
      <c r="L250" s="57">
        <f t="shared" si="17"/>
        <v>30</v>
      </c>
      <c r="M250" s="17">
        <f t="shared" si="15"/>
        <v>0</v>
      </c>
      <c r="N250" s="18">
        <f t="shared" si="16"/>
        <v>1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</row>
    <row r="251" spans="1:44" ht="15.75" thickBot="1" x14ac:dyDescent="0.3">
      <c r="A251" t="s">
        <v>310</v>
      </c>
      <c r="B251" s="60">
        <v>44634</v>
      </c>
      <c r="C251" s="63" t="s">
        <v>640</v>
      </c>
      <c r="D251" s="62" t="s">
        <v>641</v>
      </c>
      <c r="E251" t="s">
        <v>113</v>
      </c>
      <c r="F251" t="s">
        <v>36</v>
      </c>
      <c r="G251"/>
      <c r="H251" t="s">
        <v>522</v>
      </c>
      <c r="I251" s="16">
        <v>-348174220000</v>
      </c>
      <c r="J251" s="16">
        <v>-582945170000</v>
      </c>
      <c r="K251" s="16" t="s">
        <v>1192</v>
      </c>
      <c r="L251" s="57">
        <f t="shared" si="17"/>
        <v>29</v>
      </c>
      <c r="M251" s="17">
        <f t="shared" si="15"/>
        <v>1</v>
      </c>
      <c r="N251" s="18">
        <f t="shared" si="16"/>
        <v>0.96666666666666667</v>
      </c>
      <c r="O251" s="27" t="s">
        <v>1363</v>
      </c>
      <c r="P251" s="8"/>
      <c r="Q251" s="8"/>
      <c r="R251" s="8"/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</row>
    <row r="252" spans="1:44" ht="15.75" thickBot="1" x14ac:dyDescent="0.3">
      <c r="A252" t="s">
        <v>310</v>
      </c>
      <c r="B252" s="60">
        <v>44634</v>
      </c>
      <c r="C252" s="63" t="s">
        <v>642</v>
      </c>
      <c r="D252" s="62" t="s">
        <v>641</v>
      </c>
      <c r="E252" t="s">
        <v>113</v>
      </c>
      <c r="F252" t="s">
        <v>36</v>
      </c>
      <c r="G252"/>
      <c r="H252" t="s">
        <v>522</v>
      </c>
      <c r="I252" s="16">
        <v>-348174220000</v>
      </c>
      <c r="J252" s="16">
        <v>-582945170000</v>
      </c>
      <c r="K252" s="16" t="s">
        <v>1193</v>
      </c>
      <c r="L252" s="57">
        <f t="shared" si="17"/>
        <v>29</v>
      </c>
      <c r="M252" s="17">
        <f t="shared" si="15"/>
        <v>1</v>
      </c>
      <c r="N252" s="18">
        <f t="shared" si="16"/>
        <v>0.96666666666666667</v>
      </c>
      <c r="O252" s="27" t="s">
        <v>1363</v>
      </c>
      <c r="P252" s="8"/>
      <c r="Q252" s="8"/>
      <c r="R252" s="8"/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</row>
    <row r="253" spans="1:44" ht="15.75" thickBot="1" x14ac:dyDescent="0.3">
      <c r="A253" t="s">
        <v>310</v>
      </c>
      <c r="B253" s="60">
        <v>44634</v>
      </c>
      <c r="C253" s="63" t="s">
        <v>643</v>
      </c>
      <c r="D253" s="62" t="s">
        <v>644</v>
      </c>
      <c r="E253" t="s">
        <v>113</v>
      </c>
      <c r="F253" t="s">
        <v>36</v>
      </c>
      <c r="G253"/>
      <c r="H253" t="s">
        <v>286</v>
      </c>
      <c r="I253" s="16">
        <v>-348145600000</v>
      </c>
      <c r="J253" s="16">
        <v>-582924490000</v>
      </c>
      <c r="K253" s="16" t="s">
        <v>1194</v>
      </c>
      <c r="L253" s="57">
        <f t="shared" si="17"/>
        <v>29</v>
      </c>
      <c r="M253" s="17">
        <f t="shared" si="15"/>
        <v>1</v>
      </c>
      <c r="N253" s="18">
        <f t="shared" si="16"/>
        <v>0.96666666666666667</v>
      </c>
      <c r="O253" s="27" t="s">
        <v>1363</v>
      </c>
      <c r="P253" s="8"/>
      <c r="Q253" s="8"/>
      <c r="R253" s="8"/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</row>
    <row r="254" spans="1:44" ht="15.75" thickBot="1" x14ac:dyDescent="0.3">
      <c r="A254" t="s">
        <v>310</v>
      </c>
      <c r="B254" s="60">
        <v>44634</v>
      </c>
      <c r="C254" s="63" t="s">
        <v>645</v>
      </c>
      <c r="D254" s="62" t="s">
        <v>644</v>
      </c>
      <c r="E254" t="s">
        <v>113</v>
      </c>
      <c r="F254" t="s">
        <v>36</v>
      </c>
      <c r="G254"/>
      <c r="H254" t="s">
        <v>286</v>
      </c>
      <c r="I254" s="16">
        <v>-348145600000</v>
      </c>
      <c r="J254" s="16">
        <v>-582924490000</v>
      </c>
      <c r="K254" s="16" t="s">
        <v>1195</v>
      </c>
      <c r="L254" s="57">
        <f t="shared" si="17"/>
        <v>29</v>
      </c>
      <c r="M254" s="17">
        <f t="shared" si="15"/>
        <v>1</v>
      </c>
      <c r="N254" s="18">
        <f t="shared" si="16"/>
        <v>0.96666666666666667</v>
      </c>
      <c r="O254" s="27" t="s">
        <v>1363</v>
      </c>
      <c r="P254" s="8"/>
      <c r="Q254" s="8"/>
      <c r="R254" s="8"/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</row>
    <row r="255" spans="1:44" ht="15.75" thickBot="1" x14ac:dyDescent="0.3">
      <c r="A255" t="s">
        <v>646</v>
      </c>
      <c r="B255" s="62"/>
      <c r="C255" s="63" t="s">
        <v>647</v>
      </c>
      <c r="D255" s="62" t="s">
        <v>648</v>
      </c>
      <c r="E255" t="s">
        <v>24</v>
      </c>
      <c r="F255" t="s">
        <v>25</v>
      </c>
      <c r="G255" t="s">
        <v>649</v>
      </c>
      <c r="H255" t="s">
        <v>650</v>
      </c>
      <c r="I255" s="16">
        <v>-348007570000</v>
      </c>
      <c r="J255" s="16">
        <v>-582391960000</v>
      </c>
      <c r="K255" s="16" t="s">
        <v>1196</v>
      </c>
      <c r="L255" s="57">
        <f t="shared" si="17"/>
        <v>30</v>
      </c>
      <c r="M255" s="17">
        <f t="shared" si="15"/>
        <v>0</v>
      </c>
      <c r="N255" s="18">
        <f t="shared" si="16"/>
        <v>1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</row>
    <row r="256" spans="1:44" ht="15.75" thickBot="1" x14ac:dyDescent="0.3">
      <c r="B256" s="62"/>
      <c r="C256" s="63" t="s">
        <v>651</v>
      </c>
      <c r="D256" s="62" t="s">
        <v>652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1199</v>
      </c>
      <c r="L256" s="57">
        <f t="shared" si="17"/>
        <v>30</v>
      </c>
      <c r="M256" s="17">
        <f t="shared" si="15"/>
        <v>0</v>
      </c>
      <c r="N256" s="18">
        <f t="shared" si="16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</row>
    <row r="257" spans="1:44" ht="15.75" thickBot="1" x14ac:dyDescent="0.3">
      <c r="A257" t="s">
        <v>653</v>
      </c>
      <c r="B257" s="62"/>
      <c r="C257" s="63" t="s">
        <v>654</v>
      </c>
      <c r="D257" s="62" t="s">
        <v>655</v>
      </c>
      <c r="E257" t="s">
        <v>73</v>
      </c>
      <c r="F257" t="s">
        <v>25</v>
      </c>
      <c r="G257" t="s">
        <v>656</v>
      </c>
      <c r="H257" t="s">
        <v>657</v>
      </c>
      <c r="I257" s="16">
        <v>-348119330000</v>
      </c>
      <c r="J257" s="16">
        <v>-582583640000</v>
      </c>
      <c r="K257" s="16" t="s">
        <v>1200</v>
      </c>
      <c r="L257" s="57">
        <f t="shared" si="17"/>
        <v>30</v>
      </c>
      <c r="M257" s="17">
        <f t="shared" si="15"/>
        <v>0</v>
      </c>
      <c r="N257" s="18">
        <f t="shared" si="16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</row>
    <row r="258" spans="1:44" ht="15.75" thickBot="1" x14ac:dyDescent="0.3">
      <c r="A258" t="s">
        <v>653</v>
      </c>
      <c r="B258" s="62"/>
      <c r="C258" s="63" t="s">
        <v>658</v>
      </c>
      <c r="D258" s="62" t="s">
        <v>659</v>
      </c>
      <c r="E258" t="s">
        <v>19</v>
      </c>
      <c r="F258" t="s">
        <v>36</v>
      </c>
      <c r="G258"/>
      <c r="H258" t="s">
        <v>341</v>
      </c>
      <c r="I258" s="16">
        <v>-348167840000</v>
      </c>
      <c r="J258" s="16">
        <v>-582534370000</v>
      </c>
      <c r="K258" s="16" t="s">
        <v>1202</v>
      </c>
      <c r="L258" s="57">
        <f t="shared" si="17"/>
        <v>30</v>
      </c>
      <c r="M258" s="17">
        <f t="shared" si="15"/>
        <v>0</v>
      </c>
      <c r="N258" s="18">
        <f t="shared" si="16"/>
        <v>1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</row>
    <row r="259" spans="1:44" ht="15.75" thickBot="1" x14ac:dyDescent="0.3">
      <c r="A259" t="s">
        <v>653</v>
      </c>
      <c r="B259" s="62"/>
      <c r="C259" s="63" t="s">
        <v>660</v>
      </c>
      <c r="D259" s="62" t="s">
        <v>661</v>
      </c>
      <c r="E259" t="s">
        <v>19</v>
      </c>
      <c r="F259" t="s">
        <v>36</v>
      </c>
      <c r="G259"/>
      <c r="H259" t="s">
        <v>341</v>
      </c>
      <c r="I259" s="16">
        <v>-348194100000</v>
      </c>
      <c r="J259" s="16">
        <v>-582514340000</v>
      </c>
      <c r="K259" s="16" t="s">
        <v>1203</v>
      </c>
      <c r="L259" s="57">
        <f t="shared" si="17"/>
        <v>30</v>
      </c>
      <c r="M259" s="17">
        <f t="shared" si="15"/>
        <v>0</v>
      </c>
      <c r="N259" s="18">
        <f t="shared" si="16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</row>
    <row r="260" spans="1:44" ht="15.75" thickBot="1" x14ac:dyDescent="0.3">
      <c r="A260" t="s">
        <v>653</v>
      </c>
      <c r="B260" s="62"/>
      <c r="C260" s="63" t="s">
        <v>662</v>
      </c>
      <c r="D260" s="62" t="s">
        <v>663</v>
      </c>
      <c r="E260" t="s">
        <v>19</v>
      </c>
      <c r="F260" t="s">
        <v>25</v>
      </c>
      <c r="G260" t="s">
        <v>185</v>
      </c>
      <c r="H260"/>
      <c r="I260" s="16">
        <v>-348119410000</v>
      </c>
      <c r="J260" s="16">
        <v>-582582760000</v>
      </c>
      <c r="K260" s="16" t="s">
        <v>1197</v>
      </c>
      <c r="L260" s="57">
        <f t="shared" si="17"/>
        <v>30</v>
      </c>
      <c r="M260" s="17">
        <f t="shared" si="15"/>
        <v>0</v>
      </c>
      <c r="N260" s="18">
        <f t="shared" si="16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</row>
    <row r="261" spans="1:44" ht="15.75" thickBot="1" x14ac:dyDescent="0.3">
      <c r="A261" t="s">
        <v>653</v>
      </c>
      <c r="B261" s="60">
        <v>44629</v>
      </c>
      <c r="C261" s="63" t="s">
        <v>664</v>
      </c>
      <c r="D261" s="62" t="s">
        <v>665</v>
      </c>
      <c r="E261" t="s">
        <v>24</v>
      </c>
      <c r="F261" t="s">
        <v>25</v>
      </c>
      <c r="G261" t="s">
        <v>185</v>
      </c>
      <c r="H261"/>
      <c r="I261" s="16">
        <v>-348150360000</v>
      </c>
      <c r="J261" s="16">
        <v>-582549730000</v>
      </c>
      <c r="K261" s="16" t="s">
        <v>1198</v>
      </c>
      <c r="L261" s="57">
        <f t="shared" si="17"/>
        <v>30</v>
      </c>
      <c r="M261" s="17">
        <f t="shared" si="15"/>
        <v>0</v>
      </c>
      <c r="N261" s="18">
        <f t="shared" si="16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</row>
    <row r="262" spans="1:44" ht="15.75" thickBot="1" x14ac:dyDescent="0.3">
      <c r="A262" t="s">
        <v>653</v>
      </c>
      <c r="B262" s="62"/>
      <c r="C262" s="63" t="s">
        <v>666</v>
      </c>
      <c r="D262" s="62" t="s">
        <v>667</v>
      </c>
      <c r="E262" t="s">
        <v>19</v>
      </c>
      <c r="F262" t="s">
        <v>943</v>
      </c>
      <c r="G262"/>
      <c r="H262" t="s">
        <v>668</v>
      </c>
      <c r="I262" s="16">
        <v>-348150250000</v>
      </c>
      <c r="J262" s="16">
        <v>-582640890000</v>
      </c>
      <c r="K262" s="16" t="s">
        <v>1201</v>
      </c>
      <c r="L262" s="57">
        <f t="shared" ref="L262:L325" si="18">COUNTIF(O262:AR262,"")</f>
        <v>30</v>
      </c>
      <c r="M262" s="17">
        <f t="shared" si="15"/>
        <v>0</v>
      </c>
      <c r="N262" s="18">
        <f t="shared" si="16"/>
        <v>1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</row>
    <row r="263" spans="1:44" ht="15.75" thickBot="1" x14ac:dyDescent="0.3">
      <c r="A263" t="s">
        <v>258</v>
      </c>
      <c r="B263" s="62"/>
      <c r="C263" s="63" t="s">
        <v>669</v>
      </c>
      <c r="D263" s="62" t="s">
        <v>670</v>
      </c>
      <c r="E263" t="s">
        <v>113</v>
      </c>
      <c r="F263" t="s">
        <v>36</v>
      </c>
      <c r="G263"/>
      <c r="H263" t="s">
        <v>671</v>
      </c>
      <c r="I263" s="16">
        <v>-348003780000</v>
      </c>
      <c r="J263" s="16">
        <v>-582918660000</v>
      </c>
      <c r="K263" s="16" t="s">
        <v>1204</v>
      </c>
      <c r="L263" s="57">
        <f t="shared" si="18"/>
        <v>29</v>
      </c>
      <c r="M263" s="17">
        <f t="shared" ref="M263:M326" si="19">COUNTIF(O263:AP263,"APAGADO")</f>
        <v>1</v>
      </c>
      <c r="N263" s="18">
        <f t="shared" ref="N263:N326" si="20">(L263)/(M263+L263)</f>
        <v>0.96666666666666667</v>
      </c>
      <c r="O263" s="27" t="s">
        <v>1363</v>
      </c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</row>
    <row r="264" spans="1:44" ht="15.75" thickBot="1" x14ac:dyDescent="0.3">
      <c r="A264" t="s">
        <v>258</v>
      </c>
      <c r="B264" s="62"/>
      <c r="C264" s="63" t="s">
        <v>672</v>
      </c>
      <c r="D264" s="62" t="s">
        <v>670</v>
      </c>
      <c r="E264" t="s">
        <v>113</v>
      </c>
      <c r="F264" t="s">
        <v>36</v>
      </c>
      <c r="G264"/>
      <c r="H264" t="s">
        <v>671</v>
      </c>
      <c r="I264" s="16">
        <v>-348003590000</v>
      </c>
      <c r="J264" s="16">
        <v>-582918370000</v>
      </c>
      <c r="K264" s="16" t="s">
        <v>1205</v>
      </c>
      <c r="L264" s="57">
        <f t="shared" si="18"/>
        <v>29</v>
      </c>
      <c r="M264" s="17">
        <f t="shared" si="19"/>
        <v>1</v>
      </c>
      <c r="N264" s="18">
        <f t="shared" si="20"/>
        <v>0.96666666666666667</v>
      </c>
      <c r="O264" s="27" t="s">
        <v>1363</v>
      </c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</row>
    <row r="265" spans="1:44" ht="15.75" thickBot="1" x14ac:dyDescent="0.3">
      <c r="A265" t="s">
        <v>258</v>
      </c>
      <c r="B265" s="62"/>
      <c r="C265" s="63" t="s">
        <v>673</v>
      </c>
      <c r="D265" s="62" t="s">
        <v>674</v>
      </c>
      <c r="E265" t="s">
        <v>113</v>
      </c>
      <c r="F265" t="s">
        <v>36</v>
      </c>
      <c r="G265"/>
      <c r="H265" t="s">
        <v>270</v>
      </c>
      <c r="I265" s="16">
        <v>-348013110000</v>
      </c>
      <c r="J265" s="16">
        <v>-582936040000</v>
      </c>
      <c r="K265" s="16" t="s">
        <v>1206</v>
      </c>
      <c r="L265" s="57">
        <f t="shared" si="18"/>
        <v>29</v>
      </c>
      <c r="M265" s="17">
        <f t="shared" si="19"/>
        <v>1</v>
      </c>
      <c r="N265" s="18">
        <f t="shared" si="20"/>
        <v>0.96666666666666667</v>
      </c>
      <c r="O265" s="27" t="s">
        <v>1363</v>
      </c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</row>
    <row r="266" spans="1:44" ht="15.75" thickBot="1" x14ac:dyDescent="0.3">
      <c r="A266" t="s">
        <v>258</v>
      </c>
      <c r="B266" s="62"/>
      <c r="C266" s="63" t="s">
        <v>675</v>
      </c>
      <c r="D266" s="62" t="s">
        <v>674</v>
      </c>
      <c r="E266" t="s">
        <v>113</v>
      </c>
      <c r="F266" t="s">
        <v>36</v>
      </c>
      <c r="G266"/>
      <c r="H266" t="s">
        <v>671</v>
      </c>
      <c r="I266" s="16">
        <v>-348013110000</v>
      </c>
      <c r="J266" s="16">
        <v>-582936040000</v>
      </c>
      <c r="K266" s="16" t="s">
        <v>1207</v>
      </c>
      <c r="L266" s="57">
        <f t="shared" si="18"/>
        <v>29</v>
      </c>
      <c r="M266" s="17">
        <f t="shared" si="19"/>
        <v>1</v>
      </c>
      <c r="N266" s="18">
        <f t="shared" si="20"/>
        <v>0.96666666666666667</v>
      </c>
      <c r="O266" s="27" t="s">
        <v>1363</v>
      </c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</row>
    <row r="267" spans="1:44" ht="15.75" thickBot="1" x14ac:dyDescent="0.3">
      <c r="A267" t="s">
        <v>676</v>
      </c>
      <c r="B267" s="62"/>
      <c r="C267" s="63" t="s">
        <v>677</v>
      </c>
      <c r="D267" s="62" t="s">
        <v>678</v>
      </c>
      <c r="E267" t="s">
        <v>19</v>
      </c>
      <c r="F267" t="s">
        <v>25</v>
      </c>
      <c r="G267"/>
      <c r="H267" t="s">
        <v>632</v>
      </c>
      <c r="I267" s="16">
        <v>-348253350000</v>
      </c>
      <c r="J267" s="16">
        <v>-582845700000</v>
      </c>
      <c r="K267" s="16" t="s">
        <v>1214</v>
      </c>
      <c r="L267" s="57">
        <f t="shared" si="18"/>
        <v>30</v>
      </c>
      <c r="M267" s="17">
        <f t="shared" si="19"/>
        <v>0</v>
      </c>
      <c r="N267" s="18">
        <f t="shared" si="20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</row>
    <row r="268" spans="1:44" ht="15.75" thickBot="1" x14ac:dyDescent="0.3">
      <c r="A268" t="s">
        <v>676</v>
      </c>
      <c r="B268" s="62"/>
      <c r="C268" s="63" t="s">
        <v>679</v>
      </c>
      <c r="D268" s="62" t="s">
        <v>680</v>
      </c>
      <c r="E268" t="s">
        <v>24</v>
      </c>
      <c r="F268" t="s">
        <v>36</v>
      </c>
      <c r="G268" t="s">
        <v>681</v>
      </c>
      <c r="H268"/>
      <c r="I268" s="16">
        <v>-348241790000</v>
      </c>
      <c r="J268" s="16">
        <v>-582823410000</v>
      </c>
      <c r="K268" s="16" t="s">
        <v>1215</v>
      </c>
      <c r="L268" s="57">
        <f t="shared" si="18"/>
        <v>30</v>
      </c>
      <c r="M268" s="17">
        <f t="shared" si="19"/>
        <v>0</v>
      </c>
      <c r="N268" s="18">
        <f t="shared" si="20"/>
        <v>1</v>
      </c>
      <c r="O268" s="27"/>
      <c r="P268" s="8"/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</row>
    <row r="269" spans="1:44" ht="15.75" thickBot="1" x14ac:dyDescent="0.3">
      <c r="A269" t="s">
        <v>676</v>
      </c>
      <c r="B269" s="62"/>
      <c r="C269" s="63" t="s">
        <v>682</v>
      </c>
      <c r="D269" s="62" t="s">
        <v>683</v>
      </c>
      <c r="E269" t="s">
        <v>24</v>
      </c>
      <c r="F269" t="s">
        <v>36</v>
      </c>
      <c r="G269" t="s">
        <v>681</v>
      </c>
      <c r="H269"/>
      <c r="I269" s="16">
        <v>-348222800000</v>
      </c>
      <c r="J269" s="16">
        <v>-582835650000</v>
      </c>
      <c r="K269" s="16" t="s">
        <v>1216</v>
      </c>
      <c r="L269" s="57">
        <f t="shared" si="18"/>
        <v>30</v>
      </c>
      <c r="M269" s="17">
        <f t="shared" si="19"/>
        <v>0</v>
      </c>
      <c r="N269" s="18">
        <f t="shared" si="20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</row>
    <row r="270" spans="1:44" ht="15.75" thickBot="1" x14ac:dyDescent="0.3">
      <c r="A270" t="s">
        <v>676</v>
      </c>
      <c r="B270" s="62"/>
      <c r="C270" s="63" t="s">
        <v>684</v>
      </c>
      <c r="D270" s="62" t="s">
        <v>685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1217</v>
      </c>
      <c r="L270" s="57">
        <f t="shared" si="18"/>
        <v>30</v>
      </c>
      <c r="M270" s="17">
        <f t="shared" si="19"/>
        <v>0</v>
      </c>
      <c r="N270" s="18">
        <f t="shared" si="20"/>
        <v>1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</row>
    <row r="271" spans="1:44" ht="15.75" thickBot="1" x14ac:dyDescent="0.3">
      <c r="A271" t="s">
        <v>676</v>
      </c>
      <c r="B271" s="62"/>
      <c r="C271" s="63" t="s">
        <v>686</v>
      </c>
      <c r="D271" s="62" t="s">
        <v>687</v>
      </c>
      <c r="E271" t="s">
        <v>19</v>
      </c>
      <c r="F271" t="s">
        <v>25</v>
      </c>
      <c r="G271"/>
      <c r="H271" t="s">
        <v>688</v>
      </c>
      <c r="I271" s="16">
        <v>-348290430000</v>
      </c>
      <c r="J271" s="16">
        <v>-582797810000</v>
      </c>
      <c r="K271" s="16" t="s">
        <v>1190</v>
      </c>
      <c r="L271" s="57">
        <f t="shared" si="18"/>
        <v>30</v>
      </c>
      <c r="M271" s="17">
        <f t="shared" si="19"/>
        <v>0</v>
      </c>
      <c r="N271" s="18">
        <f t="shared" si="20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</row>
    <row r="272" spans="1:44" ht="15.75" thickBot="1" x14ac:dyDescent="0.3">
      <c r="A272" t="s">
        <v>676</v>
      </c>
      <c r="B272" s="60">
        <v>44629</v>
      </c>
      <c r="C272" s="63" t="s">
        <v>689</v>
      </c>
      <c r="D272" s="62" t="s">
        <v>690</v>
      </c>
      <c r="E272" t="s">
        <v>19</v>
      </c>
      <c r="F272" t="s">
        <v>25</v>
      </c>
      <c r="G272"/>
      <c r="H272" t="s">
        <v>691</v>
      </c>
      <c r="I272" s="16">
        <v>-348289520000</v>
      </c>
      <c r="J272" s="16">
        <v>-582878780000</v>
      </c>
      <c r="K272" s="16" t="s">
        <v>1218</v>
      </c>
      <c r="L272" s="57">
        <f t="shared" si="18"/>
        <v>30</v>
      </c>
      <c r="M272" s="17">
        <f t="shared" si="19"/>
        <v>0</v>
      </c>
      <c r="N272" s="18">
        <f t="shared" si="20"/>
        <v>1</v>
      </c>
      <c r="O272" s="27"/>
      <c r="P272" s="8"/>
      <c r="Q272" s="8"/>
      <c r="R272" s="8"/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</row>
    <row r="273" spans="1:44" ht="15.75" thickBot="1" x14ac:dyDescent="0.3">
      <c r="A273" t="s">
        <v>676</v>
      </c>
      <c r="B273" s="60">
        <v>44634</v>
      </c>
      <c r="C273" s="63" t="s">
        <v>692</v>
      </c>
      <c r="D273" s="62" t="s">
        <v>693</v>
      </c>
      <c r="E273" t="s">
        <v>113</v>
      </c>
      <c r="F273" t="s">
        <v>36</v>
      </c>
      <c r="G273"/>
      <c r="H273" t="s">
        <v>694</v>
      </c>
      <c r="I273" s="16">
        <v>-348214110000</v>
      </c>
      <c r="J273" s="16">
        <v>-582806410000</v>
      </c>
      <c r="K273" s="16" t="s">
        <v>1222</v>
      </c>
      <c r="L273" s="57">
        <f t="shared" si="18"/>
        <v>30</v>
      </c>
      <c r="M273" s="17">
        <f t="shared" si="19"/>
        <v>0</v>
      </c>
      <c r="N273" s="18">
        <f t="shared" si="20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</row>
    <row r="274" spans="1:44" ht="15.75" thickBot="1" x14ac:dyDescent="0.3">
      <c r="A274" t="s">
        <v>676</v>
      </c>
      <c r="B274" s="60">
        <v>44634</v>
      </c>
      <c r="C274" s="63" t="s">
        <v>695</v>
      </c>
      <c r="D274" s="62" t="s">
        <v>693</v>
      </c>
      <c r="E274" t="s">
        <v>113</v>
      </c>
      <c r="F274" t="s">
        <v>36</v>
      </c>
      <c r="G274"/>
      <c r="H274" t="s">
        <v>694</v>
      </c>
      <c r="I274" s="16">
        <v>-348214480000</v>
      </c>
      <c r="J274" s="16">
        <v>-582806290000</v>
      </c>
      <c r="K274" s="16" t="s">
        <v>1223</v>
      </c>
      <c r="L274" s="57">
        <f t="shared" si="18"/>
        <v>30</v>
      </c>
      <c r="M274" s="17">
        <f t="shared" si="19"/>
        <v>0</v>
      </c>
      <c r="N274" s="18">
        <f t="shared" si="20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</row>
    <row r="275" spans="1:44" ht="15.75" thickBot="1" x14ac:dyDescent="0.3">
      <c r="A275" t="s">
        <v>676</v>
      </c>
      <c r="B275" s="62"/>
      <c r="C275" s="63" t="s">
        <v>696</v>
      </c>
      <c r="D275" s="62" t="s">
        <v>922</v>
      </c>
      <c r="E275" t="s">
        <v>24</v>
      </c>
      <c r="F275" t="s">
        <v>25</v>
      </c>
      <c r="G275" t="s">
        <v>364</v>
      </c>
      <c r="H275"/>
      <c r="I275" s="16">
        <v>-348304140000</v>
      </c>
      <c r="J275" s="16">
        <v>-582906680000</v>
      </c>
      <c r="K275" s="16" t="s">
        <v>1210</v>
      </c>
      <c r="L275" s="57">
        <f t="shared" si="18"/>
        <v>30</v>
      </c>
      <c r="M275" s="17">
        <f t="shared" si="19"/>
        <v>0</v>
      </c>
      <c r="N275" s="18">
        <f t="shared" si="20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</row>
    <row r="276" spans="1:44" ht="15.75" thickBot="1" x14ac:dyDescent="0.3">
      <c r="A276" t="s">
        <v>538</v>
      </c>
      <c r="B276" s="62"/>
      <c r="C276" s="63" t="s">
        <v>697</v>
      </c>
      <c r="D276" s="62" t="s">
        <v>698</v>
      </c>
      <c r="E276" t="s">
        <v>24</v>
      </c>
      <c r="F276" t="s">
        <v>25</v>
      </c>
      <c r="G276" t="s">
        <v>161</v>
      </c>
      <c r="H276"/>
      <c r="I276" s="16">
        <v>-348364740000</v>
      </c>
      <c r="J276" s="16">
        <v>-583002200000</v>
      </c>
      <c r="K276" s="16" t="s">
        <v>1211</v>
      </c>
      <c r="L276" s="57">
        <f t="shared" si="18"/>
        <v>30</v>
      </c>
      <c r="M276" s="17">
        <f t="shared" si="19"/>
        <v>0</v>
      </c>
      <c r="N276" s="18">
        <f t="shared" si="20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</row>
    <row r="277" spans="1:44" ht="15.75" thickBot="1" x14ac:dyDescent="0.3">
      <c r="A277" t="s">
        <v>676</v>
      </c>
      <c r="B277" s="62"/>
      <c r="C277" s="63" t="s">
        <v>699</v>
      </c>
      <c r="D277" s="62" t="s">
        <v>700</v>
      </c>
      <c r="E277" t="s">
        <v>24</v>
      </c>
      <c r="F277" t="s">
        <v>25</v>
      </c>
      <c r="G277" t="s">
        <v>701</v>
      </c>
      <c r="H277"/>
      <c r="I277" s="16">
        <v>-348289220000</v>
      </c>
      <c r="J277" s="16">
        <v>-582776430000</v>
      </c>
      <c r="K277" s="16" t="s">
        <v>1212</v>
      </c>
      <c r="L277" s="57">
        <f t="shared" si="18"/>
        <v>30</v>
      </c>
      <c r="M277" s="17">
        <f t="shared" si="19"/>
        <v>0</v>
      </c>
      <c r="N277" s="18">
        <f t="shared" si="20"/>
        <v>1</v>
      </c>
      <c r="O277" s="27"/>
      <c r="P277" s="8"/>
      <c r="Q277" s="8"/>
      <c r="R277" s="8"/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</row>
    <row r="278" spans="1:44" ht="15.75" thickBot="1" x14ac:dyDescent="0.3">
      <c r="A278" t="s">
        <v>676</v>
      </c>
      <c r="B278" s="62"/>
      <c r="C278" s="63" t="s">
        <v>702</v>
      </c>
      <c r="D278" s="62" t="s">
        <v>703</v>
      </c>
      <c r="E278" t="s">
        <v>24</v>
      </c>
      <c r="F278" t="s">
        <v>25</v>
      </c>
      <c r="G278" t="s">
        <v>704</v>
      </c>
      <c r="H278"/>
      <c r="I278" s="16">
        <v>-348208590000</v>
      </c>
      <c r="J278" s="16">
        <v>-582810870000</v>
      </c>
      <c r="K278" s="16" t="s">
        <v>1213</v>
      </c>
      <c r="L278" s="57">
        <f t="shared" si="18"/>
        <v>30</v>
      </c>
      <c r="M278" s="17">
        <f t="shared" si="19"/>
        <v>0</v>
      </c>
      <c r="N278" s="18">
        <f t="shared" si="20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</row>
    <row r="279" spans="1:44" ht="15.75" thickBot="1" x14ac:dyDescent="0.3">
      <c r="A279" t="s">
        <v>676</v>
      </c>
      <c r="B279" s="62"/>
      <c r="C279" s="63" t="s">
        <v>705</v>
      </c>
      <c r="D279" s="62" t="s">
        <v>706</v>
      </c>
      <c r="E279" t="s">
        <v>19</v>
      </c>
      <c r="F279" t="s">
        <v>25</v>
      </c>
      <c r="G279"/>
      <c r="H279" t="s">
        <v>707</v>
      </c>
      <c r="I279" s="16">
        <v>-348280830000</v>
      </c>
      <c r="J279" s="16">
        <v>-582861650000</v>
      </c>
      <c r="K279" s="16" t="s">
        <v>1208</v>
      </c>
      <c r="L279" s="57">
        <f t="shared" si="18"/>
        <v>30</v>
      </c>
      <c r="M279" s="17">
        <f t="shared" si="19"/>
        <v>0</v>
      </c>
      <c r="N279" s="18">
        <f t="shared" si="20"/>
        <v>1</v>
      </c>
      <c r="O279" s="27"/>
      <c r="P279" s="8"/>
      <c r="Q279" s="8"/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</row>
    <row r="280" spans="1:44" ht="15.75" thickBot="1" x14ac:dyDescent="0.3">
      <c r="A280" t="s">
        <v>676</v>
      </c>
      <c r="B280" s="62"/>
      <c r="C280" s="63" t="s">
        <v>708</v>
      </c>
      <c r="D280" s="62" t="s">
        <v>709</v>
      </c>
      <c r="E280" t="s">
        <v>19</v>
      </c>
      <c r="F280" t="s">
        <v>25</v>
      </c>
      <c r="G280"/>
      <c r="H280" t="s">
        <v>707</v>
      </c>
      <c r="I280" s="16">
        <v>-348340000000</v>
      </c>
      <c r="J280" s="16">
        <v>-582878750000</v>
      </c>
      <c r="K280" s="16" t="s">
        <v>1209</v>
      </c>
      <c r="L280" s="57">
        <f t="shared" si="18"/>
        <v>30</v>
      </c>
      <c r="M280" s="17">
        <f t="shared" si="19"/>
        <v>0</v>
      </c>
      <c r="N280" s="18">
        <f t="shared" si="20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</row>
    <row r="281" spans="1:44" ht="15.75" thickBot="1" x14ac:dyDescent="0.3">
      <c r="A281" t="s">
        <v>538</v>
      </c>
      <c r="B281" s="60">
        <v>44634</v>
      </c>
      <c r="C281" s="63" t="s">
        <v>710</v>
      </c>
      <c r="D281" s="62" t="s">
        <v>711</v>
      </c>
      <c r="E281" t="s">
        <v>113</v>
      </c>
      <c r="F281" t="s">
        <v>20</v>
      </c>
      <c r="G281"/>
      <c r="H281" t="s">
        <v>270</v>
      </c>
      <c r="I281" s="16">
        <v>-348335600000</v>
      </c>
      <c r="J281" s="16">
        <v>-582946050000</v>
      </c>
      <c r="K281" s="16" t="s">
        <v>1219</v>
      </c>
      <c r="L281" s="57">
        <f t="shared" si="18"/>
        <v>30</v>
      </c>
      <c r="M281" s="17">
        <f t="shared" si="19"/>
        <v>0</v>
      </c>
      <c r="N281" s="18">
        <f t="shared" si="20"/>
        <v>1</v>
      </c>
      <c r="O281" s="27"/>
      <c r="P281" s="8"/>
      <c r="Q281" s="8"/>
      <c r="R281" s="8"/>
      <c r="S281" s="27"/>
      <c r="T281" s="27"/>
      <c r="U281" s="8"/>
      <c r="V281" s="8"/>
      <c r="W281" s="8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</row>
    <row r="282" spans="1:44" ht="15.75" thickBot="1" x14ac:dyDescent="0.3">
      <c r="A282" t="s">
        <v>538</v>
      </c>
      <c r="B282" s="60">
        <v>44634</v>
      </c>
      <c r="C282" s="63" t="s">
        <v>712</v>
      </c>
      <c r="D282" s="62" t="s">
        <v>711</v>
      </c>
      <c r="E282" t="s">
        <v>113</v>
      </c>
      <c r="F282" t="s">
        <v>20</v>
      </c>
      <c r="G282"/>
      <c r="H282" t="s">
        <v>270</v>
      </c>
      <c r="I282" s="16">
        <v>-348335740000</v>
      </c>
      <c r="J282" s="16">
        <v>-582946270000</v>
      </c>
      <c r="K282" s="16" t="s">
        <v>1220</v>
      </c>
      <c r="L282" s="57">
        <f t="shared" si="18"/>
        <v>30</v>
      </c>
      <c r="M282" s="17">
        <f t="shared" si="19"/>
        <v>0</v>
      </c>
      <c r="N282" s="18">
        <f t="shared" si="20"/>
        <v>1</v>
      </c>
      <c r="O282" s="27"/>
      <c r="P282" s="8"/>
      <c r="Q282" s="8"/>
      <c r="R282" s="8"/>
      <c r="S282" s="27"/>
      <c r="T282" s="27"/>
      <c r="U282" s="8"/>
      <c r="V282" s="8"/>
      <c r="W282" s="8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</row>
    <row r="283" spans="1:44" ht="15.75" thickBot="1" x14ac:dyDescent="0.3">
      <c r="A283" t="s">
        <v>676</v>
      </c>
      <c r="B283" s="62"/>
      <c r="C283" s="63" t="s">
        <v>713</v>
      </c>
      <c r="D283" s="62" t="s">
        <v>714</v>
      </c>
      <c r="E283" t="s">
        <v>19</v>
      </c>
      <c r="F283" t="s">
        <v>36</v>
      </c>
      <c r="G283"/>
      <c r="H283" t="s">
        <v>715</v>
      </c>
      <c r="I283" s="16">
        <v>-348275750000</v>
      </c>
      <c r="J283" s="16">
        <v>-582788330000</v>
      </c>
      <c r="K283" s="16" t="s">
        <v>1221</v>
      </c>
      <c r="L283" s="57">
        <f t="shared" si="18"/>
        <v>30</v>
      </c>
      <c r="M283" s="17">
        <f t="shared" si="19"/>
        <v>0</v>
      </c>
      <c r="N283" s="18">
        <f t="shared" si="20"/>
        <v>1</v>
      </c>
      <c r="O283" s="27"/>
      <c r="P283" s="8"/>
      <c r="Q283" s="8"/>
      <c r="R283" s="8"/>
      <c r="S283" s="27"/>
      <c r="T283" s="27"/>
      <c r="U283" s="8"/>
      <c r="V283" s="8"/>
      <c r="W283" s="8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</row>
    <row r="284" spans="1:44" ht="15.75" thickBot="1" x14ac:dyDescent="0.3">
      <c r="A284" t="s">
        <v>676</v>
      </c>
      <c r="B284" s="62"/>
      <c r="C284" s="63" t="s">
        <v>716</v>
      </c>
      <c r="D284" s="62" t="s">
        <v>717</v>
      </c>
      <c r="E284" t="s">
        <v>113</v>
      </c>
      <c r="F284" t="s">
        <v>36</v>
      </c>
      <c r="G284" t="s">
        <v>628</v>
      </c>
      <c r="H284" t="s">
        <v>718</v>
      </c>
      <c r="I284" s="16">
        <v>-348258430000</v>
      </c>
      <c r="J284" s="16">
        <v>-582890260000</v>
      </c>
      <c r="K284" s="16" t="s">
        <v>1224</v>
      </c>
      <c r="L284" s="57">
        <f t="shared" si="18"/>
        <v>30</v>
      </c>
      <c r="M284" s="17">
        <f t="shared" si="19"/>
        <v>0</v>
      </c>
      <c r="N284" s="18">
        <f t="shared" si="20"/>
        <v>1</v>
      </c>
      <c r="O284" s="27"/>
      <c r="P284" s="8"/>
      <c r="Q284" s="8"/>
      <c r="R284" s="8"/>
      <c r="S284" s="27"/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</row>
    <row r="285" spans="1:44" ht="15.75" thickBot="1" x14ac:dyDescent="0.3">
      <c r="A285" t="s">
        <v>676</v>
      </c>
      <c r="B285" s="62"/>
      <c r="C285" s="63" t="s">
        <v>719</v>
      </c>
      <c r="D285" s="62" t="s">
        <v>717</v>
      </c>
      <c r="E285" t="s">
        <v>113</v>
      </c>
      <c r="F285" t="s">
        <v>36</v>
      </c>
      <c r="G285" t="s">
        <v>628</v>
      </c>
      <c r="H285" t="s">
        <v>718</v>
      </c>
      <c r="I285" s="16">
        <v>-348258430000</v>
      </c>
      <c r="J285" s="16">
        <v>-582889510000</v>
      </c>
      <c r="K285" s="16" t="s">
        <v>1225</v>
      </c>
      <c r="L285" s="57">
        <f t="shared" si="18"/>
        <v>30</v>
      </c>
      <c r="M285" s="17">
        <f t="shared" si="19"/>
        <v>0</v>
      </c>
      <c r="N285" s="18">
        <f t="shared" si="20"/>
        <v>1</v>
      </c>
      <c r="O285" s="27"/>
      <c r="P285" s="8"/>
      <c r="Q285" s="8"/>
      <c r="R285" s="8"/>
      <c r="S285" s="27"/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</row>
    <row r="286" spans="1:44" ht="15.75" thickBot="1" x14ac:dyDescent="0.3">
      <c r="A286" t="s">
        <v>549</v>
      </c>
      <c r="B286" s="62"/>
      <c r="C286" s="63" t="s">
        <v>720</v>
      </c>
      <c r="D286" s="62" t="s">
        <v>721</v>
      </c>
      <c r="E286" t="s">
        <v>113</v>
      </c>
      <c r="F286" t="s">
        <v>36</v>
      </c>
      <c r="G286"/>
      <c r="H286" t="s">
        <v>671</v>
      </c>
      <c r="I286" s="16">
        <v>-348182670000</v>
      </c>
      <c r="J286" s="16">
        <v>-582049970000</v>
      </c>
      <c r="K286" s="16" t="s">
        <v>1226</v>
      </c>
      <c r="L286" s="57">
        <f t="shared" si="18"/>
        <v>30</v>
      </c>
      <c r="M286" s="17">
        <f t="shared" si="19"/>
        <v>0</v>
      </c>
      <c r="N286" s="18">
        <f t="shared" si="20"/>
        <v>1</v>
      </c>
      <c r="O286" s="27"/>
      <c r="P286" s="8"/>
      <c r="Q286" s="8"/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</row>
    <row r="287" spans="1:44" ht="15.75" thickBot="1" x14ac:dyDescent="0.3">
      <c r="A287" t="s">
        <v>549</v>
      </c>
      <c r="B287" s="62"/>
      <c r="C287" s="63" t="s">
        <v>722</v>
      </c>
      <c r="D287" s="62" t="s">
        <v>721</v>
      </c>
      <c r="E287" t="s">
        <v>113</v>
      </c>
      <c r="F287" t="s">
        <v>36</v>
      </c>
      <c r="G287"/>
      <c r="H287" t="s">
        <v>671</v>
      </c>
      <c r="I287" s="16">
        <v>-348182670000</v>
      </c>
      <c r="J287" s="16">
        <v>-582049970000</v>
      </c>
      <c r="K287" s="16" t="s">
        <v>1227</v>
      </c>
      <c r="L287" s="57">
        <f t="shared" si="18"/>
        <v>30</v>
      </c>
      <c r="M287" s="17">
        <f t="shared" si="19"/>
        <v>0</v>
      </c>
      <c r="N287" s="18">
        <f t="shared" si="20"/>
        <v>1</v>
      </c>
      <c r="O287" s="27"/>
      <c r="P287" s="8"/>
      <c r="Q287" s="8"/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</row>
    <row r="288" spans="1:44" ht="15.75" thickBot="1" x14ac:dyDescent="0.3">
      <c r="A288" t="s">
        <v>723</v>
      </c>
      <c r="B288" s="62"/>
      <c r="C288" s="63" t="s">
        <v>724</v>
      </c>
      <c r="D288" s="62" t="s">
        <v>725</v>
      </c>
      <c r="E288" t="s">
        <v>24</v>
      </c>
      <c r="F288" t="s">
        <v>943</v>
      </c>
      <c r="G288" t="s">
        <v>726</v>
      </c>
      <c r="H288"/>
      <c r="I288" s="16">
        <v>-347888010000</v>
      </c>
      <c r="J288" s="16">
        <v>-582597900000</v>
      </c>
      <c r="K288" s="16" t="s">
        <v>1228</v>
      </c>
      <c r="L288" s="57">
        <f t="shared" si="18"/>
        <v>30</v>
      </c>
      <c r="M288" s="17">
        <f t="shared" si="19"/>
        <v>0</v>
      </c>
      <c r="N288" s="18">
        <f t="shared" si="20"/>
        <v>1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</row>
    <row r="289" spans="1:44" ht="16.899999999999999" customHeight="1" thickBot="1" x14ac:dyDescent="0.3">
      <c r="A289" t="s">
        <v>723</v>
      </c>
      <c r="B289" s="62"/>
      <c r="C289" s="63" t="s">
        <v>727</v>
      </c>
      <c r="D289" s="62" t="s">
        <v>728</v>
      </c>
      <c r="E289" t="s">
        <v>24</v>
      </c>
      <c r="F289" t="s">
        <v>36</v>
      </c>
      <c r="G289" t="s">
        <v>367</v>
      </c>
      <c r="H289"/>
      <c r="I289" s="16">
        <v>-347926510000</v>
      </c>
      <c r="J289" s="16">
        <v>-582499030000</v>
      </c>
      <c r="K289" s="16" t="s">
        <v>1229</v>
      </c>
      <c r="L289" s="57">
        <f t="shared" si="18"/>
        <v>30</v>
      </c>
      <c r="M289" s="17">
        <f t="shared" si="19"/>
        <v>0</v>
      </c>
      <c r="N289" s="18">
        <f t="shared" si="20"/>
        <v>1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</row>
    <row r="290" spans="1:44" ht="15.75" thickBot="1" x14ac:dyDescent="0.3">
      <c r="A290" t="s">
        <v>729</v>
      </c>
      <c r="B290" s="62"/>
      <c r="C290" s="63" t="s">
        <v>730</v>
      </c>
      <c r="D290" s="62" t="s">
        <v>731</v>
      </c>
      <c r="E290" t="s">
        <v>24</v>
      </c>
      <c r="F290" t="s">
        <v>36</v>
      </c>
      <c r="G290" t="s">
        <v>367</v>
      </c>
      <c r="H290"/>
      <c r="I290" s="16">
        <v>-347955320000</v>
      </c>
      <c r="J290" s="16">
        <v>-582553260000</v>
      </c>
      <c r="K290" s="16" t="s">
        <v>1230</v>
      </c>
      <c r="L290" s="57">
        <f t="shared" si="18"/>
        <v>30</v>
      </c>
      <c r="M290" s="17">
        <f t="shared" si="19"/>
        <v>0</v>
      </c>
      <c r="N290" s="18">
        <f t="shared" si="20"/>
        <v>1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</row>
    <row r="291" spans="1:44" ht="15.75" thickBot="1" x14ac:dyDescent="0.3">
      <c r="A291" t="s">
        <v>723</v>
      </c>
      <c r="B291" s="62"/>
      <c r="C291" s="63" t="s">
        <v>732</v>
      </c>
      <c r="D291" s="62" t="s">
        <v>733</v>
      </c>
      <c r="E291" t="s">
        <v>19</v>
      </c>
      <c r="F291" t="s">
        <v>36</v>
      </c>
      <c r="G291" t="s">
        <v>734</v>
      </c>
      <c r="H291" t="s">
        <v>735</v>
      </c>
      <c r="I291" s="16">
        <v>-347933300000</v>
      </c>
      <c r="J291" s="16">
        <v>-582534600000</v>
      </c>
      <c r="K291" s="16" t="s">
        <v>1231</v>
      </c>
      <c r="L291" s="57">
        <f t="shared" si="18"/>
        <v>30</v>
      </c>
      <c r="M291" s="17">
        <f t="shared" si="19"/>
        <v>0</v>
      </c>
      <c r="N291" s="18">
        <f t="shared" si="20"/>
        <v>1</v>
      </c>
      <c r="O291" s="27"/>
      <c r="P291" s="8"/>
      <c r="Q291" s="8"/>
      <c r="R291" s="8"/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</row>
    <row r="292" spans="1:44" ht="15.75" thickBot="1" x14ac:dyDescent="0.3">
      <c r="A292" t="s">
        <v>723</v>
      </c>
      <c r="B292" s="62"/>
      <c r="C292" s="63" t="s">
        <v>736</v>
      </c>
      <c r="D292" s="62" t="s">
        <v>737</v>
      </c>
      <c r="E292" t="s">
        <v>24</v>
      </c>
      <c r="F292" t="s">
        <v>36</v>
      </c>
      <c r="G292" t="s">
        <v>367</v>
      </c>
      <c r="H292"/>
      <c r="I292" s="16">
        <v>-347941580000</v>
      </c>
      <c r="J292" s="16">
        <v>-582528380000</v>
      </c>
      <c r="K292" s="16" t="s">
        <v>1232</v>
      </c>
      <c r="L292" s="57">
        <f t="shared" si="18"/>
        <v>30</v>
      </c>
      <c r="M292" s="17">
        <f t="shared" si="19"/>
        <v>0</v>
      </c>
      <c r="N292" s="18">
        <f t="shared" si="20"/>
        <v>1</v>
      </c>
      <c r="O292" s="27"/>
      <c r="P292" s="8"/>
      <c r="Q292" s="8"/>
      <c r="R292" s="8"/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</row>
    <row r="293" spans="1:44" ht="15.75" thickBot="1" x14ac:dyDescent="0.3">
      <c r="A293" t="s">
        <v>723</v>
      </c>
      <c r="B293" s="62"/>
      <c r="C293" s="63" t="s">
        <v>738</v>
      </c>
      <c r="D293" s="62" t="s">
        <v>739</v>
      </c>
      <c r="E293" t="s">
        <v>19</v>
      </c>
      <c r="F293" t="s">
        <v>36</v>
      </c>
      <c r="G293" t="s">
        <v>734</v>
      </c>
      <c r="H293" t="s">
        <v>740</v>
      </c>
      <c r="I293" s="16">
        <v>-347928980000</v>
      </c>
      <c r="J293" s="16">
        <v>-582523980000</v>
      </c>
      <c r="K293" s="16" t="s">
        <v>1233</v>
      </c>
      <c r="L293" s="57">
        <f t="shared" si="18"/>
        <v>30</v>
      </c>
      <c r="M293" s="17">
        <f t="shared" si="19"/>
        <v>0</v>
      </c>
      <c r="N293" s="18">
        <f t="shared" si="20"/>
        <v>1</v>
      </c>
      <c r="O293" s="27"/>
      <c r="P293" s="8"/>
      <c r="Q293" s="8"/>
      <c r="R293" s="8"/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</row>
    <row r="294" spans="1:44" ht="15.75" thickBot="1" x14ac:dyDescent="0.3">
      <c r="A294" t="s">
        <v>723</v>
      </c>
      <c r="B294" s="62"/>
      <c r="C294" s="63" t="s">
        <v>741</v>
      </c>
      <c r="D294" s="62" t="s">
        <v>742</v>
      </c>
      <c r="E294" t="s">
        <v>24</v>
      </c>
      <c r="F294" t="s">
        <v>36</v>
      </c>
      <c r="G294" t="s">
        <v>367</v>
      </c>
      <c r="H294"/>
      <c r="I294" s="16">
        <v>-347936470000</v>
      </c>
      <c r="J294" s="16">
        <v>-582518290000</v>
      </c>
      <c r="K294" s="16" t="s">
        <v>1234</v>
      </c>
      <c r="L294" s="57">
        <f t="shared" si="18"/>
        <v>30</v>
      </c>
      <c r="M294" s="17">
        <f t="shared" si="19"/>
        <v>0</v>
      </c>
      <c r="N294" s="18">
        <f t="shared" si="20"/>
        <v>1</v>
      </c>
      <c r="O294" s="27"/>
      <c r="P294" s="8"/>
      <c r="Q294" s="8"/>
      <c r="R294" s="8"/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</row>
    <row r="295" spans="1:44" ht="15.75" thickBot="1" x14ac:dyDescent="0.3">
      <c r="A295" t="s">
        <v>723</v>
      </c>
      <c r="B295" s="62"/>
      <c r="C295" s="63" t="s">
        <v>743</v>
      </c>
      <c r="D295" s="62" t="s">
        <v>744</v>
      </c>
      <c r="E295" t="s">
        <v>24</v>
      </c>
      <c r="F295" t="s">
        <v>943</v>
      </c>
      <c r="G295" t="s">
        <v>734</v>
      </c>
      <c r="H295"/>
      <c r="I295" s="16">
        <v>-347917260000</v>
      </c>
      <c r="J295" s="16">
        <v>-582524730000</v>
      </c>
      <c r="K295" s="16" t="s">
        <v>1235</v>
      </c>
      <c r="L295" s="57">
        <f t="shared" si="18"/>
        <v>30</v>
      </c>
      <c r="M295" s="17">
        <f t="shared" si="19"/>
        <v>0</v>
      </c>
      <c r="N295" s="18">
        <f t="shared" si="20"/>
        <v>1</v>
      </c>
      <c r="O295" s="27"/>
      <c r="P295" s="8"/>
      <c r="Q295" s="8"/>
      <c r="R295" s="8"/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</row>
    <row r="296" spans="1:44" ht="15.75" thickBot="1" x14ac:dyDescent="0.3">
      <c r="A296" t="s">
        <v>412</v>
      </c>
      <c r="B296" s="62"/>
      <c r="C296" s="63" t="s">
        <v>745</v>
      </c>
      <c r="D296" s="62" t="s">
        <v>746</v>
      </c>
      <c r="E296" t="s">
        <v>24</v>
      </c>
      <c r="F296" t="s">
        <v>943</v>
      </c>
      <c r="G296" t="s">
        <v>161</v>
      </c>
      <c r="H296"/>
      <c r="I296" s="16">
        <v>-347867610000</v>
      </c>
      <c r="J296" s="16">
        <v>-582563190000</v>
      </c>
      <c r="K296" s="16" t="s">
        <v>1236</v>
      </c>
      <c r="L296" s="57">
        <f t="shared" si="18"/>
        <v>30</v>
      </c>
      <c r="M296" s="17">
        <f t="shared" si="19"/>
        <v>0</v>
      </c>
      <c r="N296" s="18">
        <f t="shared" si="20"/>
        <v>1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</row>
    <row r="297" spans="1:44" ht="15.75" thickBot="1" x14ac:dyDescent="0.3">
      <c r="A297" t="s">
        <v>358</v>
      </c>
      <c r="B297" s="62"/>
      <c r="C297" s="63" t="s">
        <v>747</v>
      </c>
      <c r="D297" s="62" t="s">
        <v>748</v>
      </c>
      <c r="E297" t="s">
        <v>24</v>
      </c>
      <c r="F297" t="s">
        <v>25</v>
      </c>
      <c r="G297" t="s">
        <v>749</v>
      </c>
      <c r="H297"/>
      <c r="I297" s="16">
        <v>-348145260000</v>
      </c>
      <c r="J297" s="16">
        <v>-583009670000</v>
      </c>
      <c r="K297" s="16" t="s">
        <v>1237</v>
      </c>
      <c r="L297" s="57">
        <f t="shared" si="18"/>
        <v>30</v>
      </c>
      <c r="M297" s="17">
        <f t="shared" si="19"/>
        <v>0</v>
      </c>
      <c r="N297" s="18">
        <f t="shared" si="20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</row>
    <row r="298" spans="1:44" ht="15.75" thickBot="1" x14ac:dyDescent="0.3">
      <c r="A298" t="s">
        <v>358</v>
      </c>
      <c r="B298" s="62"/>
      <c r="C298" s="63" t="s">
        <v>750</v>
      </c>
      <c r="D298" s="62" t="s">
        <v>751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1238</v>
      </c>
      <c r="L298" s="57">
        <f t="shared" si="18"/>
        <v>30</v>
      </c>
      <c r="M298" s="17">
        <f t="shared" si="19"/>
        <v>0</v>
      </c>
      <c r="N298" s="18">
        <f t="shared" si="20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</row>
    <row r="299" spans="1:44" ht="15.75" thickBot="1" x14ac:dyDescent="0.3">
      <c r="A299" t="s">
        <v>358</v>
      </c>
      <c r="B299" s="62"/>
      <c r="C299" s="63" t="s">
        <v>752</v>
      </c>
      <c r="D299" s="62" t="s">
        <v>753</v>
      </c>
      <c r="E299" t="s">
        <v>113</v>
      </c>
      <c r="F299" t="s">
        <v>20</v>
      </c>
      <c r="G299"/>
      <c r="H299" t="s">
        <v>270</v>
      </c>
      <c r="I299" s="16">
        <v>-348125630000</v>
      </c>
      <c r="J299" s="16">
        <v>-582971310000</v>
      </c>
      <c r="K299" s="16" t="s">
        <v>1239</v>
      </c>
      <c r="L299" s="57">
        <f t="shared" si="18"/>
        <v>30</v>
      </c>
      <c r="M299" s="17">
        <f t="shared" si="19"/>
        <v>0</v>
      </c>
      <c r="N299" s="18">
        <f t="shared" si="20"/>
        <v>1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</row>
    <row r="300" spans="1:44" ht="15.75" thickBot="1" x14ac:dyDescent="0.3">
      <c r="A300" t="s">
        <v>358</v>
      </c>
      <c r="B300" s="62"/>
      <c r="C300" s="63" t="s">
        <v>754</v>
      </c>
      <c r="D300" s="62" t="s">
        <v>753</v>
      </c>
      <c r="E300" t="s">
        <v>113</v>
      </c>
      <c r="F300" t="s">
        <v>20</v>
      </c>
      <c r="G300"/>
      <c r="H300" t="s">
        <v>270</v>
      </c>
      <c r="I300" s="16">
        <v>-348125630000</v>
      </c>
      <c r="J300" s="16">
        <v>-582971310000</v>
      </c>
      <c r="K300" s="16" t="s">
        <v>1240</v>
      </c>
      <c r="L300" s="57">
        <f t="shared" si="18"/>
        <v>30</v>
      </c>
      <c r="M300" s="17">
        <f t="shared" si="19"/>
        <v>0</v>
      </c>
      <c r="N300" s="18">
        <f t="shared" si="20"/>
        <v>1</v>
      </c>
      <c r="O300" s="27"/>
      <c r="P300" s="8"/>
      <c r="Q300" s="8"/>
      <c r="R300" s="8"/>
      <c r="S300" s="27"/>
      <c r="T300" s="27"/>
      <c r="U300" s="8"/>
      <c r="V300" s="8"/>
      <c r="W300" s="8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</row>
    <row r="301" spans="1:44" ht="15.75" thickBot="1" x14ac:dyDescent="0.3">
      <c r="A301" t="s">
        <v>358</v>
      </c>
      <c r="B301" s="62"/>
      <c r="C301" s="63" t="s">
        <v>755</v>
      </c>
      <c r="D301" s="62" t="s">
        <v>756</v>
      </c>
      <c r="E301" t="s">
        <v>113</v>
      </c>
      <c r="F301" t="s">
        <v>20</v>
      </c>
      <c r="G301"/>
      <c r="H301" t="s">
        <v>270</v>
      </c>
      <c r="I301" s="16">
        <v>-348125690000</v>
      </c>
      <c r="J301" s="16">
        <v>-582982090000</v>
      </c>
      <c r="K301" s="16" t="s">
        <v>1241</v>
      </c>
      <c r="L301" s="57">
        <f t="shared" si="18"/>
        <v>30</v>
      </c>
      <c r="M301" s="17">
        <f t="shared" si="19"/>
        <v>0</v>
      </c>
      <c r="N301" s="18">
        <f t="shared" si="20"/>
        <v>1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</row>
    <row r="302" spans="1:44" ht="15.75" thickBot="1" x14ac:dyDescent="0.3">
      <c r="A302" t="s">
        <v>358</v>
      </c>
      <c r="B302" s="62"/>
      <c r="C302" s="63" t="s">
        <v>757</v>
      </c>
      <c r="D302" s="62" t="s">
        <v>756</v>
      </c>
      <c r="E302" t="s">
        <v>113</v>
      </c>
      <c r="F302" t="s">
        <v>20</v>
      </c>
      <c r="G302"/>
      <c r="H302" t="s">
        <v>270</v>
      </c>
      <c r="I302" s="16">
        <v>-348126020000</v>
      </c>
      <c r="J302" s="16">
        <v>-582981720000</v>
      </c>
      <c r="K302" s="16" t="s">
        <v>1242</v>
      </c>
      <c r="L302" s="57">
        <f t="shared" si="18"/>
        <v>30</v>
      </c>
      <c r="M302" s="17">
        <f t="shared" si="19"/>
        <v>0</v>
      </c>
      <c r="N302" s="18">
        <f t="shared" si="20"/>
        <v>1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</row>
    <row r="303" spans="1:44" ht="15.75" thickBot="1" x14ac:dyDescent="0.3">
      <c r="A303" t="s">
        <v>358</v>
      </c>
      <c r="B303" s="62"/>
      <c r="C303" s="63" t="s">
        <v>758</v>
      </c>
      <c r="D303" s="62" t="s">
        <v>759</v>
      </c>
      <c r="E303" t="s">
        <v>19</v>
      </c>
      <c r="F303" t="s">
        <v>36</v>
      </c>
      <c r="G303"/>
      <c r="H303" t="s">
        <v>248</v>
      </c>
      <c r="I303" s="16">
        <v>-348088620000</v>
      </c>
      <c r="J303" s="16">
        <v>-583035370000</v>
      </c>
      <c r="K303" s="16" t="s">
        <v>1243</v>
      </c>
      <c r="L303" s="57">
        <f t="shared" si="18"/>
        <v>29</v>
      </c>
      <c r="M303" s="17">
        <f t="shared" si="19"/>
        <v>1</v>
      </c>
      <c r="N303" s="18">
        <f t="shared" si="20"/>
        <v>0.96666666666666667</v>
      </c>
      <c r="O303" s="27" t="s">
        <v>1363</v>
      </c>
      <c r="P303" s="8"/>
      <c r="Q303" s="8"/>
      <c r="R303" s="8"/>
      <c r="S303" s="27"/>
      <c r="T303" s="27"/>
      <c r="U303" s="8"/>
      <c r="V303" s="8"/>
      <c r="W303" s="8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8"/>
      <c r="AL303" s="8"/>
      <c r="AM303" s="8"/>
      <c r="AN303" s="27"/>
      <c r="AO303" s="8"/>
      <c r="AP303" s="8"/>
      <c r="AQ303" s="27"/>
      <c r="AR303" s="27"/>
    </row>
    <row r="304" spans="1:44" ht="15.75" thickBot="1" x14ac:dyDescent="0.3">
      <c r="A304" t="s">
        <v>358</v>
      </c>
      <c r="B304" s="60">
        <v>44634</v>
      </c>
      <c r="C304" s="63" t="s">
        <v>760</v>
      </c>
      <c r="D304" s="62" t="s">
        <v>761</v>
      </c>
      <c r="E304" t="s">
        <v>113</v>
      </c>
      <c r="F304" t="s">
        <v>36</v>
      </c>
      <c r="G304"/>
      <c r="H304" t="s">
        <v>762</v>
      </c>
      <c r="I304" s="16">
        <v>-348105760000</v>
      </c>
      <c r="J304" s="16">
        <v>-583061370000</v>
      </c>
      <c r="K304" s="16" t="s">
        <v>1244</v>
      </c>
      <c r="L304" s="57">
        <f t="shared" si="18"/>
        <v>30</v>
      </c>
      <c r="M304" s="17">
        <f t="shared" si="19"/>
        <v>0</v>
      </c>
      <c r="N304" s="18">
        <f t="shared" si="20"/>
        <v>1</v>
      </c>
      <c r="O304" s="27"/>
      <c r="P304" s="8"/>
      <c r="Q304" s="8"/>
      <c r="R304" s="8"/>
      <c r="S304" s="27"/>
      <c r="T304" s="27"/>
      <c r="U304" s="8"/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</row>
    <row r="305" spans="1:44" ht="15.75" thickBot="1" x14ac:dyDescent="0.3">
      <c r="A305" t="s">
        <v>358</v>
      </c>
      <c r="B305" s="60">
        <v>44634</v>
      </c>
      <c r="C305" s="63" t="s">
        <v>763</v>
      </c>
      <c r="D305" s="62" t="s">
        <v>761</v>
      </c>
      <c r="E305" t="s">
        <v>113</v>
      </c>
      <c r="F305" t="s">
        <v>36</v>
      </c>
      <c r="G305"/>
      <c r="H305" t="s">
        <v>762</v>
      </c>
      <c r="I305" s="16">
        <v>-348105760000</v>
      </c>
      <c r="J305" s="16">
        <v>-583061370000</v>
      </c>
      <c r="K305" s="16" t="s">
        <v>1245</v>
      </c>
      <c r="L305" s="57">
        <f t="shared" si="18"/>
        <v>30</v>
      </c>
      <c r="M305" s="17">
        <f t="shared" si="19"/>
        <v>0</v>
      </c>
      <c r="N305" s="18">
        <f t="shared" si="20"/>
        <v>1</v>
      </c>
      <c r="O305" s="27"/>
      <c r="P305" s="8"/>
      <c r="Q305" s="8"/>
      <c r="R305" s="8"/>
      <c r="S305" s="27"/>
      <c r="T305" s="27"/>
      <c r="U305" s="8"/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</row>
    <row r="306" spans="1:44" ht="15.75" thickBot="1" x14ac:dyDescent="0.3">
      <c r="A306" t="s">
        <v>358</v>
      </c>
      <c r="B306" s="60">
        <v>44634</v>
      </c>
      <c r="C306" s="63" t="s">
        <v>764</v>
      </c>
      <c r="D306" s="62" t="s">
        <v>765</v>
      </c>
      <c r="E306" t="s">
        <v>113</v>
      </c>
      <c r="F306" t="s">
        <v>36</v>
      </c>
      <c r="G306"/>
      <c r="H306" t="s">
        <v>766</v>
      </c>
      <c r="I306" s="16">
        <v>-348100750000</v>
      </c>
      <c r="J306" s="16">
        <v>-583065270000</v>
      </c>
      <c r="K306" s="16" t="s">
        <v>1246</v>
      </c>
      <c r="L306" s="57">
        <f t="shared" si="18"/>
        <v>30</v>
      </c>
      <c r="M306" s="17">
        <f t="shared" si="19"/>
        <v>0</v>
      </c>
      <c r="N306" s="18">
        <f t="shared" si="20"/>
        <v>1</v>
      </c>
      <c r="O306" s="27"/>
      <c r="P306" s="8"/>
      <c r="Q306" s="8"/>
      <c r="R306" s="8"/>
      <c r="S306" s="27"/>
      <c r="T306" s="27"/>
      <c r="U306" s="8"/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</row>
    <row r="307" spans="1:44" ht="15.75" thickBot="1" x14ac:dyDescent="0.3">
      <c r="A307" t="s">
        <v>358</v>
      </c>
      <c r="B307" s="60">
        <v>44634</v>
      </c>
      <c r="C307" s="63" t="s">
        <v>767</v>
      </c>
      <c r="D307" s="62" t="s">
        <v>765</v>
      </c>
      <c r="E307" t="s">
        <v>113</v>
      </c>
      <c r="F307" t="s">
        <v>36</v>
      </c>
      <c r="G307"/>
      <c r="H307" t="s">
        <v>766</v>
      </c>
      <c r="I307" s="16">
        <v>-348100750000</v>
      </c>
      <c r="J307" s="16">
        <v>-583065270000</v>
      </c>
      <c r="K307" s="16" t="s">
        <v>1247</v>
      </c>
      <c r="L307" s="57">
        <f t="shared" si="18"/>
        <v>30</v>
      </c>
      <c r="M307" s="17">
        <f t="shared" si="19"/>
        <v>0</v>
      </c>
      <c r="N307" s="18">
        <f t="shared" si="20"/>
        <v>1</v>
      </c>
      <c r="O307" s="27"/>
      <c r="P307" s="8"/>
      <c r="Q307" s="8"/>
      <c r="R307" s="8"/>
      <c r="S307" s="27"/>
      <c r="T307" s="27"/>
      <c r="U307" s="8"/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</row>
    <row r="308" spans="1:44" ht="15.75" thickBot="1" x14ac:dyDescent="0.3">
      <c r="B308" s="62"/>
      <c r="C308" s="63" t="s">
        <v>768</v>
      </c>
      <c r="D308" s="62" t="s">
        <v>769</v>
      </c>
      <c r="E308" t="s">
        <v>19</v>
      </c>
      <c r="F308" t="s">
        <v>943</v>
      </c>
      <c r="G308" t="s">
        <v>185</v>
      </c>
      <c r="H308" t="s">
        <v>770</v>
      </c>
      <c r="I308" s="16">
        <v>-348153800000</v>
      </c>
      <c r="J308" s="16">
        <v>-582706170000</v>
      </c>
      <c r="K308" s="16" t="s">
        <v>1259</v>
      </c>
      <c r="L308" s="57">
        <f t="shared" si="18"/>
        <v>30</v>
      </c>
      <c r="M308" s="17">
        <f t="shared" si="19"/>
        <v>0</v>
      </c>
      <c r="N308" s="18">
        <f t="shared" si="20"/>
        <v>1</v>
      </c>
      <c r="O308" s="27"/>
      <c r="P308" s="8"/>
      <c r="Q308" s="8"/>
      <c r="R308" s="8"/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</row>
    <row r="309" spans="1:44" ht="15.75" thickBot="1" x14ac:dyDescent="0.3">
      <c r="A309" t="s">
        <v>771</v>
      </c>
      <c r="B309" s="62"/>
      <c r="C309" s="63" t="s">
        <v>772</v>
      </c>
      <c r="D309" s="62" t="s">
        <v>773</v>
      </c>
      <c r="E309" t="s">
        <v>24</v>
      </c>
      <c r="F309" t="s">
        <v>943</v>
      </c>
      <c r="G309" t="s">
        <v>185</v>
      </c>
      <c r="H309" t="s">
        <v>774</v>
      </c>
      <c r="I309" s="16">
        <v>-348171860000</v>
      </c>
      <c r="J309" s="16">
        <v>-582741990000</v>
      </c>
      <c r="K309" s="16" t="s">
        <v>1260</v>
      </c>
      <c r="L309" s="57">
        <f t="shared" si="18"/>
        <v>30</v>
      </c>
      <c r="M309" s="17">
        <f t="shared" si="19"/>
        <v>0</v>
      </c>
      <c r="N309" s="18">
        <f t="shared" si="20"/>
        <v>1</v>
      </c>
      <c r="O309" s="27"/>
      <c r="P309" s="8"/>
      <c r="Q309" s="8"/>
      <c r="R309" s="8"/>
      <c r="S309" s="27"/>
      <c r="T309" s="27"/>
      <c r="U309" s="8"/>
      <c r="V309" s="8"/>
      <c r="W309" s="8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</row>
    <row r="310" spans="1:44" ht="15.75" thickBot="1" x14ac:dyDescent="0.3">
      <c r="B310" s="62"/>
      <c r="C310" s="63" t="s">
        <v>775</v>
      </c>
      <c r="D310" s="62" t="s">
        <v>776</v>
      </c>
      <c r="E310" t="s">
        <v>19</v>
      </c>
      <c r="F310" t="s">
        <v>943</v>
      </c>
      <c r="G310" t="s">
        <v>777</v>
      </c>
      <c r="H310"/>
      <c r="I310" s="16">
        <v>-348129440000</v>
      </c>
      <c r="J310" s="16">
        <v>-582759900000</v>
      </c>
      <c r="K310" s="16" t="s">
        <v>1262</v>
      </c>
      <c r="L310" s="57">
        <f t="shared" si="18"/>
        <v>30</v>
      </c>
      <c r="M310" s="17">
        <f t="shared" si="19"/>
        <v>0</v>
      </c>
      <c r="N310" s="18">
        <f t="shared" si="20"/>
        <v>1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</row>
    <row r="311" spans="1:44" ht="15.75" thickBot="1" x14ac:dyDescent="0.3">
      <c r="A311" t="s">
        <v>778</v>
      </c>
      <c r="B311" s="62"/>
      <c r="C311" s="63" t="s">
        <v>779</v>
      </c>
      <c r="D311" s="62" t="s">
        <v>780</v>
      </c>
      <c r="E311" t="s">
        <v>19</v>
      </c>
      <c r="F311" t="s">
        <v>943</v>
      </c>
      <c r="G311"/>
      <c r="H311" t="s">
        <v>781</v>
      </c>
      <c r="I311" s="16">
        <v>-348174960000</v>
      </c>
      <c r="J311" s="16">
        <v>-582687670000</v>
      </c>
      <c r="K311" s="16" t="s">
        <v>1263</v>
      </c>
      <c r="L311" s="57">
        <f t="shared" si="18"/>
        <v>30</v>
      </c>
      <c r="M311" s="17">
        <f t="shared" si="19"/>
        <v>0</v>
      </c>
      <c r="N311" s="18">
        <f t="shared" si="20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</row>
    <row r="312" spans="1:44" ht="15.75" thickBot="1" x14ac:dyDescent="0.3">
      <c r="A312" t="s">
        <v>778</v>
      </c>
      <c r="B312" s="62"/>
      <c r="C312" s="63" t="s">
        <v>782</v>
      </c>
      <c r="D312" s="62" t="s">
        <v>927</v>
      </c>
      <c r="E312" t="s">
        <v>19</v>
      </c>
      <c r="F312" t="s">
        <v>943</v>
      </c>
      <c r="G312"/>
      <c r="H312" t="s">
        <v>30</v>
      </c>
      <c r="I312" s="16">
        <v>-348206040000</v>
      </c>
      <c r="J312" s="16">
        <v>-582725050000</v>
      </c>
      <c r="K312" s="16" t="s">
        <v>1264</v>
      </c>
      <c r="L312" s="57">
        <f t="shared" si="18"/>
        <v>30</v>
      </c>
      <c r="M312" s="17">
        <f t="shared" si="19"/>
        <v>0</v>
      </c>
      <c r="N312" s="18">
        <f t="shared" si="20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</row>
    <row r="313" spans="1:44" ht="15.75" thickBot="1" x14ac:dyDescent="0.3">
      <c r="A313" t="s">
        <v>771</v>
      </c>
      <c r="B313" s="62"/>
      <c r="C313" s="63" t="s">
        <v>783</v>
      </c>
      <c r="D313" s="62" t="s">
        <v>784</v>
      </c>
      <c r="E313" t="s">
        <v>19</v>
      </c>
      <c r="F313" t="s">
        <v>943</v>
      </c>
      <c r="G313"/>
      <c r="H313" t="s">
        <v>691</v>
      </c>
      <c r="I313" s="16">
        <v>-348117590000</v>
      </c>
      <c r="J313" s="16">
        <v>-582727020000</v>
      </c>
      <c r="K313" s="16" t="s">
        <v>1265</v>
      </c>
      <c r="L313" s="57">
        <f t="shared" si="18"/>
        <v>30</v>
      </c>
      <c r="M313" s="17">
        <f t="shared" si="19"/>
        <v>0</v>
      </c>
      <c r="N313" s="18">
        <f t="shared" si="20"/>
        <v>1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</row>
    <row r="314" spans="1:44" ht="15.75" thickBot="1" x14ac:dyDescent="0.3">
      <c r="A314" t="s">
        <v>771</v>
      </c>
      <c r="B314" s="62"/>
      <c r="C314" s="63" t="s">
        <v>785</v>
      </c>
      <c r="D314" s="62" t="s">
        <v>786</v>
      </c>
      <c r="E314" t="s">
        <v>19</v>
      </c>
      <c r="F314" t="s">
        <v>25</v>
      </c>
      <c r="G314"/>
      <c r="H314" t="s">
        <v>691</v>
      </c>
      <c r="I314" s="16">
        <v>-348137760000</v>
      </c>
      <c r="J314" s="16">
        <v>-582704960000</v>
      </c>
      <c r="K314" s="16" t="s">
        <v>1266</v>
      </c>
      <c r="L314" s="57">
        <f t="shared" si="18"/>
        <v>30</v>
      </c>
      <c r="M314" s="17">
        <f t="shared" si="19"/>
        <v>0</v>
      </c>
      <c r="N314" s="18">
        <f t="shared" si="20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</row>
    <row r="315" spans="1:44" ht="15.75" thickBot="1" x14ac:dyDescent="0.3">
      <c r="A315" t="s">
        <v>778</v>
      </c>
      <c r="B315" s="62"/>
      <c r="C315" s="63" t="s">
        <v>787</v>
      </c>
      <c r="D315" s="62" t="s">
        <v>788</v>
      </c>
      <c r="E315" t="s">
        <v>73</v>
      </c>
      <c r="F315" t="s">
        <v>25</v>
      </c>
      <c r="G315"/>
      <c r="H315" t="s">
        <v>307</v>
      </c>
      <c r="I315" s="16">
        <v>-348227100000</v>
      </c>
      <c r="J315" s="16">
        <v>-582764200000</v>
      </c>
      <c r="K315" s="16" t="s">
        <v>1267</v>
      </c>
      <c r="L315" s="57">
        <f t="shared" si="18"/>
        <v>30</v>
      </c>
      <c r="M315" s="17">
        <f t="shared" si="19"/>
        <v>0</v>
      </c>
      <c r="N315" s="18">
        <f t="shared" si="20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</row>
    <row r="316" spans="1:44" ht="15.75" thickBot="1" x14ac:dyDescent="0.3">
      <c r="A316" t="s">
        <v>778</v>
      </c>
      <c r="B316" s="62"/>
      <c r="C316" s="63" t="s">
        <v>789</v>
      </c>
      <c r="D316" s="62" t="s">
        <v>926</v>
      </c>
      <c r="E316" t="s">
        <v>24</v>
      </c>
      <c r="F316" t="s">
        <v>36</v>
      </c>
      <c r="G316" t="s">
        <v>790</v>
      </c>
      <c r="H316"/>
      <c r="I316" s="16">
        <v>-348197840000</v>
      </c>
      <c r="J316" s="16">
        <v>-582731040000</v>
      </c>
      <c r="K316" s="16" t="s">
        <v>1248</v>
      </c>
      <c r="L316" s="57">
        <f t="shared" si="18"/>
        <v>30</v>
      </c>
      <c r="M316" s="17">
        <f t="shared" si="19"/>
        <v>0</v>
      </c>
      <c r="N316" s="18">
        <f t="shared" si="20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</row>
    <row r="317" spans="1:44" ht="15.75" thickBot="1" x14ac:dyDescent="0.3">
      <c r="A317" t="s">
        <v>771</v>
      </c>
      <c r="B317" s="62"/>
      <c r="C317" s="63" t="s">
        <v>791</v>
      </c>
      <c r="D317" s="62" t="s">
        <v>925</v>
      </c>
      <c r="E317" t="s">
        <v>24</v>
      </c>
      <c r="F317" t="s">
        <v>36</v>
      </c>
      <c r="G317" t="s">
        <v>185</v>
      </c>
      <c r="H317"/>
      <c r="I317" s="16">
        <v>-348187010000</v>
      </c>
      <c r="J317" s="16">
        <v>-582769880000</v>
      </c>
      <c r="K317" s="16" t="s">
        <v>1249</v>
      </c>
      <c r="L317" s="57">
        <f t="shared" si="18"/>
        <v>30</v>
      </c>
      <c r="M317" s="17">
        <f t="shared" si="19"/>
        <v>0</v>
      </c>
      <c r="N317" s="18">
        <f t="shared" si="20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</row>
    <row r="318" spans="1:44" ht="15.75" thickBot="1" x14ac:dyDescent="0.3">
      <c r="A318" t="s">
        <v>771</v>
      </c>
      <c r="B318" s="62"/>
      <c r="C318" s="63" t="s">
        <v>792</v>
      </c>
      <c r="D318" s="62" t="s">
        <v>793</v>
      </c>
      <c r="E318" t="s">
        <v>24</v>
      </c>
      <c r="F318" t="s">
        <v>36</v>
      </c>
      <c r="G318" t="s">
        <v>794</v>
      </c>
      <c r="H318"/>
      <c r="I318" s="16">
        <v>-348117420000</v>
      </c>
      <c r="J318" s="16">
        <v>-582744990000</v>
      </c>
      <c r="K318" s="16" t="s">
        <v>1250</v>
      </c>
      <c r="L318" s="57">
        <f t="shared" si="18"/>
        <v>30</v>
      </c>
      <c r="M318" s="17">
        <f t="shared" si="19"/>
        <v>0</v>
      </c>
      <c r="N318" s="18">
        <f t="shared" si="20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</row>
    <row r="319" spans="1:44" ht="15.75" thickBot="1" x14ac:dyDescent="0.3">
      <c r="A319" t="s">
        <v>771</v>
      </c>
      <c r="B319" s="62"/>
      <c r="C319" s="63" t="s">
        <v>795</v>
      </c>
      <c r="D319" s="62" t="s">
        <v>796</v>
      </c>
      <c r="E319" t="s">
        <v>24</v>
      </c>
      <c r="F319" t="s">
        <v>36</v>
      </c>
      <c r="G319" t="s">
        <v>797</v>
      </c>
      <c r="H319"/>
      <c r="I319" s="16">
        <v>-348115920000</v>
      </c>
      <c r="J319" s="16">
        <v>-582697890000</v>
      </c>
      <c r="K319" s="16" t="s">
        <v>1251</v>
      </c>
      <c r="L319" s="57">
        <f t="shared" si="18"/>
        <v>30</v>
      </c>
      <c r="M319" s="17">
        <f t="shared" si="19"/>
        <v>0</v>
      </c>
      <c r="N319" s="18">
        <f t="shared" si="20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</row>
    <row r="320" spans="1:44" ht="15.75" thickBot="1" x14ac:dyDescent="0.3">
      <c r="A320" t="s">
        <v>771</v>
      </c>
      <c r="B320" s="62"/>
      <c r="C320" s="63" t="s">
        <v>798</v>
      </c>
      <c r="D320" s="62" t="s">
        <v>799</v>
      </c>
      <c r="E320" t="s">
        <v>24</v>
      </c>
      <c r="F320" t="s">
        <v>25</v>
      </c>
      <c r="G320" t="s">
        <v>800</v>
      </c>
      <c r="H320"/>
      <c r="I320" s="16">
        <v>-348115310000</v>
      </c>
      <c r="J320" s="16">
        <v>-582685340000</v>
      </c>
      <c r="K320" s="16" t="s">
        <v>1252</v>
      </c>
      <c r="L320" s="57">
        <f t="shared" si="18"/>
        <v>30</v>
      </c>
      <c r="M320" s="17">
        <f t="shared" si="19"/>
        <v>0</v>
      </c>
      <c r="N320" s="18">
        <f t="shared" si="20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</row>
    <row r="321" spans="1:44" ht="15.75" thickBot="1" x14ac:dyDescent="0.3">
      <c r="A321" t="s">
        <v>771</v>
      </c>
      <c r="B321" s="62"/>
      <c r="C321" s="63" t="s">
        <v>801</v>
      </c>
      <c r="D321" s="62" t="s">
        <v>923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1253</v>
      </c>
      <c r="L321" s="57">
        <f t="shared" si="18"/>
        <v>30</v>
      </c>
      <c r="M321" s="17">
        <f t="shared" si="19"/>
        <v>0</v>
      </c>
      <c r="N321" s="18">
        <f t="shared" si="20"/>
        <v>1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</row>
    <row r="322" spans="1:44" ht="15.75" thickBot="1" x14ac:dyDescent="0.3">
      <c r="A322" t="s">
        <v>771</v>
      </c>
      <c r="B322" s="62"/>
      <c r="C322" s="63" t="s">
        <v>802</v>
      </c>
      <c r="D322" s="62" t="s">
        <v>924</v>
      </c>
      <c r="E322" t="s">
        <v>19</v>
      </c>
      <c r="F322" t="s">
        <v>943</v>
      </c>
      <c r="G322" t="s">
        <v>803</v>
      </c>
      <c r="H322"/>
      <c r="I322" s="16">
        <v>-348119360000</v>
      </c>
      <c r="J322" s="16">
        <v>-582777500000</v>
      </c>
      <c r="K322" s="16" t="s">
        <v>1254</v>
      </c>
      <c r="L322" s="57">
        <f t="shared" si="18"/>
        <v>30</v>
      </c>
      <c r="M322" s="17">
        <f t="shared" si="19"/>
        <v>0</v>
      </c>
      <c r="N322" s="18">
        <f t="shared" si="20"/>
        <v>1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</row>
    <row r="323" spans="1:44" ht="15.75" thickBot="1" x14ac:dyDescent="0.3">
      <c r="A323" t="s">
        <v>778</v>
      </c>
      <c r="B323" s="62"/>
      <c r="C323" s="63" t="s">
        <v>804</v>
      </c>
      <c r="D323" s="62" t="s">
        <v>805</v>
      </c>
      <c r="E323" t="s">
        <v>24</v>
      </c>
      <c r="F323" t="s">
        <v>36</v>
      </c>
      <c r="G323" t="s">
        <v>161</v>
      </c>
      <c r="H323"/>
      <c r="I323" s="16">
        <v>-348165160000</v>
      </c>
      <c r="J323" s="16">
        <v>-582725140000</v>
      </c>
      <c r="K323" s="16" t="s">
        <v>1255</v>
      </c>
      <c r="L323" s="57">
        <f t="shared" si="18"/>
        <v>30</v>
      </c>
      <c r="M323" s="17">
        <f t="shared" si="19"/>
        <v>0</v>
      </c>
      <c r="N323" s="18">
        <f t="shared" si="20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</row>
    <row r="324" spans="1:44" ht="15.75" thickBot="1" x14ac:dyDescent="0.3">
      <c r="A324" t="s">
        <v>778</v>
      </c>
      <c r="B324" s="62"/>
      <c r="C324" s="63" t="s">
        <v>806</v>
      </c>
      <c r="D324" s="62" t="s">
        <v>807</v>
      </c>
      <c r="E324" t="s">
        <v>24</v>
      </c>
      <c r="F324" t="s">
        <v>36</v>
      </c>
      <c r="G324" t="s">
        <v>161</v>
      </c>
      <c r="H324" t="s">
        <v>808</v>
      </c>
      <c r="I324" s="16">
        <v>-348159830000</v>
      </c>
      <c r="J324" s="16">
        <v>-582660100000</v>
      </c>
      <c r="K324" s="16" t="s">
        <v>1256</v>
      </c>
      <c r="L324" s="57">
        <f t="shared" si="18"/>
        <v>30</v>
      </c>
      <c r="M324" s="17">
        <f t="shared" si="19"/>
        <v>0</v>
      </c>
      <c r="N324" s="18">
        <f t="shared" si="20"/>
        <v>1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</row>
    <row r="325" spans="1:44" ht="15.75" thickBot="1" x14ac:dyDescent="0.3">
      <c r="A325" t="s">
        <v>771</v>
      </c>
      <c r="B325" s="62"/>
      <c r="C325" s="63" t="s">
        <v>809</v>
      </c>
      <c r="D325" s="62" t="s">
        <v>810</v>
      </c>
      <c r="E325" t="s">
        <v>24</v>
      </c>
      <c r="F325" t="s">
        <v>36</v>
      </c>
      <c r="G325" t="s">
        <v>161</v>
      </c>
      <c r="H325"/>
      <c r="I325" s="16">
        <v>-348139270000</v>
      </c>
      <c r="J325" s="16">
        <v>-582743600000</v>
      </c>
      <c r="K325" s="16" t="s">
        <v>1257</v>
      </c>
      <c r="L325" s="57">
        <f t="shared" si="18"/>
        <v>30</v>
      </c>
      <c r="M325" s="17">
        <f t="shared" si="19"/>
        <v>0</v>
      </c>
      <c r="N325" s="18">
        <f t="shared" si="20"/>
        <v>1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</row>
    <row r="326" spans="1:44" ht="15.75" thickBot="1" x14ac:dyDescent="0.3">
      <c r="A326" t="s">
        <v>778</v>
      </c>
      <c r="B326" s="62"/>
      <c r="C326" s="63" t="s">
        <v>811</v>
      </c>
      <c r="D326" s="62" t="s">
        <v>812</v>
      </c>
      <c r="E326" t="s">
        <v>24</v>
      </c>
      <c r="F326" t="s">
        <v>36</v>
      </c>
      <c r="G326" t="s">
        <v>790</v>
      </c>
      <c r="H326"/>
      <c r="I326" s="16">
        <v>-348191940000</v>
      </c>
      <c r="J326" s="16">
        <v>-582720740000</v>
      </c>
      <c r="K326" s="16" t="s">
        <v>1258</v>
      </c>
      <c r="L326" s="57">
        <f t="shared" ref="L326:L379" si="21">COUNTIF(O326:AR326,"")</f>
        <v>30</v>
      </c>
      <c r="M326" s="17">
        <f t="shared" si="19"/>
        <v>0</v>
      </c>
      <c r="N326" s="18">
        <f t="shared" si="20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</row>
    <row r="327" spans="1:44" ht="15.75" thickBot="1" x14ac:dyDescent="0.3">
      <c r="B327" s="62"/>
      <c r="C327" s="63" t="s">
        <v>813</v>
      </c>
      <c r="D327" s="62" t="s">
        <v>814</v>
      </c>
      <c r="E327" t="s">
        <v>19</v>
      </c>
      <c r="F327" t="s">
        <v>36</v>
      </c>
      <c r="G327" t="s">
        <v>815</v>
      </c>
      <c r="H327" t="s">
        <v>816</v>
      </c>
      <c r="I327" s="16">
        <v>-348187470000</v>
      </c>
      <c r="J327" s="16">
        <v>-582709000000</v>
      </c>
      <c r="K327" s="16" t="s">
        <v>1261</v>
      </c>
      <c r="L327" s="57">
        <f t="shared" si="21"/>
        <v>30</v>
      </c>
      <c r="M327" s="17">
        <f t="shared" ref="M327:M372" si="22">COUNTIF(O327:AP327,"APAGADO")</f>
        <v>0</v>
      </c>
      <c r="N327" s="18">
        <f t="shared" ref="N327:N372" si="23">(L327)/(M327+L327)</f>
        <v>1</v>
      </c>
      <c r="O327" s="27"/>
      <c r="P327" s="8"/>
      <c r="Q327" s="8"/>
      <c r="R327" s="8"/>
      <c r="S327" s="27"/>
      <c r="T327" s="27"/>
      <c r="U327" s="8"/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</row>
    <row r="328" spans="1:44" ht="15.75" thickBot="1" x14ac:dyDescent="0.3">
      <c r="A328" t="s">
        <v>771</v>
      </c>
      <c r="B328" s="62"/>
      <c r="C328" s="63" t="s">
        <v>817</v>
      </c>
      <c r="D328" s="62" t="s">
        <v>818</v>
      </c>
      <c r="E328" t="s">
        <v>113</v>
      </c>
      <c r="F328" t="s">
        <v>36</v>
      </c>
      <c r="G328"/>
      <c r="H328" t="s">
        <v>248</v>
      </c>
      <c r="I328" s="16">
        <v>-348138590000</v>
      </c>
      <c r="J328" s="16">
        <v>-582734640000</v>
      </c>
      <c r="K328" s="16" t="s">
        <v>1268</v>
      </c>
      <c r="L328" s="57">
        <f t="shared" si="21"/>
        <v>30</v>
      </c>
      <c r="M328" s="17">
        <f t="shared" si="22"/>
        <v>0</v>
      </c>
      <c r="N328" s="18">
        <f t="shared" si="23"/>
        <v>1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</row>
    <row r="329" spans="1:44" ht="15.75" thickBot="1" x14ac:dyDescent="0.3">
      <c r="A329" t="s">
        <v>771</v>
      </c>
      <c r="B329" s="62"/>
      <c r="C329" s="63" t="s">
        <v>819</v>
      </c>
      <c r="D329" s="62" t="s">
        <v>818</v>
      </c>
      <c r="E329" t="s">
        <v>113</v>
      </c>
      <c r="F329" t="s">
        <v>36</v>
      </c>
      <c r="G329"/>
      <c r="H329" t="s">
        <v>248</v>
      </c>
      <c r="I329" s="16">
        <v>-348138540000</v>
      </c>
      <c r="J329" s="16">
        <v>-582734290000</v>
      </c>
      <c r="K329" s="16" t="s">
        <v>1269</v>
      </c>
      <c r="L329" s="57">
        <f t="shared" si="21"/>
        <v>30</v>
      </c>
      <c r="M329" s="17">
        <f t="shared" si="22"/>
        <v>0</v>
      </c>
      <c r="N329" s="18">
        <f t="shared" si="23"/>
        <v>1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</row>
    <row r="330" spans="1:44" ht="15.75" thickBot="1" x14ac:dyDescent="0.3">
      <c r="A330" t="s">
        <v>771</v>
      </c>
      <c r="B330" s="62"/>
      <c r="C330" s="63" t="s">
        <v>820</v>
      </c>
      <c r="D330" s="62" t="s">
        <v>821</v>
      </c>
      <c r="E330" t="s">
        <v>113</v>
      </c>
      <c r="F330" t="s">
        <v>36</v>
      </c>
      <c r="G330"/>
      <c r="H330" t="s">
        <v>300</v>
      </c>
      <c r="I330" s="16">
        <v>-348114320000</v>
      </c>
      <c r="J330" s="16">
        <v>-582778570000</v>
      </c>
      <c r="K330" s="16" t="s">
        <v>1024</v>
      </c>
      <c r="L330" s="57">
        <f t="shared" si="21"/>
        <v>30</v>
      </c>
      <c r="M330" s="17">
        <f t="shared" si="22"/>
        <v>0</v>
      </c>
      <c r="N330" s="18">
        <f t="shared" si="23"/>
        <v>1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</row>
    <row r="331" spans="1:44" ht="15.75" thickBot="1" x14ac:dyDescent="0.3">
      <c r="A331" t="s">
        <v>771</v>
      </c>
      <c r="B331" s="62"/>
      <c r="C331" s="63" t="s">
        <v>822</v>
      </c>
      <c r="D331" s="62" t="s">
        <v>821</v>
      </c>
      <c r="E331" t="s">
        <v>113</v>
      </c>
      <c r="F331" t="s">
        <v>36</v>
      </c>
      <c r="G331"/>
      <c r="H331" t="s">
        <v>300</v>
      </c>
      <c r="I331" s="16">
        <v>-348114300000</v>
      </c>
      <c r="J331" s="16">
        <v>-582778730000</v>
      </c>
      <c r="K331" s="16" t="s">
        <v>1270</v>
      </c>
      <c r="L331" s="57">
        <f t="shared" si="21"/>
        <v>30</v>
      </c>
      <c r="M331" s="17">
        <f t="shared" si="22"/>
        <v>0</v>
      </c>
      <c r="N331" s="18">
        <f t="shared" si="23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</row>
    <row r="332" spans="1:44" ht="15.75" thickBot="1" x14ac:dyDescent="0.3">
      <c r="A332" t="s">
        <v>618</v>
      </c>
      <c r="B332" s="62"/>
      <c r="C332" s="63" t="s">
        <v>823</v>
      </c>
      <c r="D332" s="62" t="s">
        <v>824</v>
      </c>
      <c r="E332" t="s">
        <v>24</v>
      </c>
      <c r="F332" t="s">
        <v>36</v>
      </c>
      <c r="G332" t="s">
        <v>825</v>
      </c>
      <c r="H332" t="s">
        <v>826</v>
      </c>
      <c r="I332" s="16">
        <v>-347781830000</v>
      </c>
      <c r="J332" s="16">
        <v>-582883670000</v>
      </c>
      <c r="K332" s="16" t="s">
        <v>1277</v>
      </c>
      <c r="L332" s="57">
        <f t="shared" si="21"/>
        <v>30</v>
      </c>
      <c r="M332" s="17">
        <f t="shared" si="22"/>
        <v>0</v>
      </c>
      <c r="N332" s="18">
        <f t="shared" si="23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</row>
    <row r="333" spans="1:44" ht="15.75" thickBot="1" x14ac:dyDescent="0.3">
      <c r="A333" t="s">
        <v>618</v>
      </c>
      <c r="B333" s="62"/>
      <c r="C333" s="63" t="s">
        <v>827</v>
      </c>
      <c r="D333" s="62" t="s">
        <v>828</v>
      </c>
      <c r="E333" t="s">
        <v>24</v>
      </c>
      <c r="F333" t="s">
        <v>36</v>
      </c>
      <c r="G333" t="s">
        <v>600</v>
      </c>
      <c r="H333"/>
      <c r="I333" s="16">
        <v>-347743850000</v>
      </c>
      <c r="J333" s="16">
        <v>-582816550000</v>
      </c>
      <c r="K333" s="16" t="s">
        <v>1273</v>
      </c>
      <c r="L333" s="57">
        <f t="shared" si="21"/>
        <v>30</v>
      </c>
      <c r="M333" s="17">
        <f t="shared" si="22"/>
        <v>0</v>
      </c>
      <c r="N333" s="18">
        <f t="shared" si="23"/>
        <v>1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</row>
    <row r="334" spans="1:44" ht="15.75" thickBot="1" x14ac:dyDescent="0.3">
      <c r="A334" t="s">
        <v>456</v>
      </c>
      <c r="B334" s="62"/>
      <c r="C334" s="63" t="s">
        <v>829</v>
      </c>
      <c r="D334" s="62" t="s">
        <v>830</v>
      </c>
      <c r="E334" t="s">
        <v>24</v>
      </c>
      <c r="F334" t="s">
        <v>36</v>
      </c>
      <c r="G334" t="s">
        <v>185</v>
      </c>
      <c r="H334"/>
      <c r="I334" s="16">
        <v>-347773100000</v>
      </c>
      <c r="J334" s="16">
        <v>-582804110000</v>
      </c>
      <c r="K334" s="16" t="s">
        <v>1274</v>
      </c>
      <c r="L334" s="57">
        <f t="shared" si="21"/>
        <v>30</v>
      </c>
      <c r="M334" s="17">
        <f t="shared" si="22"/>
        <v>0</v>
      </c>
      <c r="N334" s="18">
        <f t="shared" si="23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</row>
    <row r="335" spans="1:44" ht="15.75" thickBot="1" x14ac:dyDescent="0.3">
      <c r="A335" t="s">
        <v>618</v>
      </c>
      <c r="B335" s="62"/>
      <c r="C335" s="63" t="s">
        <v>831</v>
      </c>
      <c r="D335" s="62" t="s">
        <v>832</v>
      </c>
      <c r="E335" t="s">
        <v>113</v>
      </c>
      <c r="F335" t="s">
        <v>36</v>
      </c>
      <c r="G335"/>
      <c r="H335" t="s">
        <v>248</v>
      </c>
      <c r="I335" s="16">
        <v>-347807260000</v>
      </c>
      <c r="J335" s="16">
        <v>-582820830000</v>
      </c>
      <c r="K335" s="16" t="s">
        <v>1271</v>
      </c>
      <c r="L335" s="57">
        <f t="shared" si="21"/>
        <v>30</v>
      </c>
      <c r="M335" s="17">
        <f t="shared" si="22"/>
        <v>0</v>
      </c>
      <c r="N335" s="18">
        <f t="shared" si="23"/>
        <v>1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</row>
    <row r="336" spans="1:44" ht="15.75" thickBot="1" x14ac:dyDescent="0.3">
      <c r="A336" t="s">
        <v>618</v>
      </c>
      <c r="B336" s="62"/>
      <c r="C336" s="63" t="s">
        <v>833</v>
      </c>
      <c r="D336" s="62" t="s">
        <v>832</v>
      </c>
      <c r="E336" t="s">
        <v>113</v>
      </c>
      <c r="F336" t="s">
        <v>36</v>
      </c>
      <c r="G336"/>
      <c r="H336" t="s">
        <v>248</v>
      </c>
      <c r="I336" s="16">
        <v>-347807260000</v>
      </c>
      <c r="J336" s="16">
        <v>-582820830000</v>
      </c>
      <c r="K336" s="16" t="s">
        <v>1272</v>
      </c>
      <c r="L336" s="57">
        <f t="shared" si="21"/>
        <v>30</v>
      </c>
      <c r="M336" s="17">
        <f t="shared" si="22"/>
        <v>0</v>
      </c>
      <c r="N336" s="18">
        <f t="shared" si="23"/>
        <v>1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</row>
    <row r="337" spans="1:44" ht="15.75" thickBot="1" x14ac:dyDescent="0.3">
      <c r="A337" t="s">
        <v>618</v>
      </c>
      <c r="B337" s="62"/>
      <c r="C337" s="63" t="s">
        <v>834</v>
      </c>
      <c r="D337" s="62" t="s">
        <v>835</v>
      </c>
      <c r="E337" t="s">
        <v>113</v>
      </c>
      <c r="F337" t="s">
        <v>36</v>
      </c>
      <c r="G337" t="s">
        <v>836</v>
      </c>
      <c r="H337" t="s">
        <v>826</v>
      </c>
      <c r="I337" s="16">
        <v>-347798010000</v>
      </c>
      <c r="J337" s="16">
        <v>-582870530000</v>
      </c>
      <c r="K337" s="16" t="s">
        <v>1275</v>
      </c>
      <c r="L337" s="57">
        <f t="shared" si="21"/>
        <v>30</v>
      </c>
      <c r="M337" s="17">
        <f t="shared" si="22"/>
        <v>0</v>
      </c>
      <c r="N337" s="18">
        <f t="shared" si="23"/>
        <v>1</v>
      </c>
      <c r="O337" s="27"/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</row>
    <row r="338" spans="1:44" ht="15.75" thickBot="1" x14ac:dyDescent="0.3">
      <c r="A338" t="s">
        <v>618</v>
      </c>
      <c r="B338" s="62"/>
      <c r="C338" s="63" t="s">
        <v>837</v>
      </c>
      <c r="D338" s="62" t="s">
        <v>835</v>
      </c>
      <c r="E338" t="s">
        <v>113</v>
      </c>
      <c r="F338" t="s">
        <v>36</v>
      </c>
      <c r="G338" t="s">
        <v>836</v>
      </c>
      <c r="H338" t="s">
        <v>826</v>
      </c>
      <c r="I338" s="16">
        <v>-347797690000</v>
      </c>
      <c r="J338" s="16">
        <v>-582869910000</v>
      </c>
      <c r="K338" s="16" t="s">
        <v>1276</v>
      </c>
      <c r="L338" s="57">
        <f t="shared" si="21"/>
        <v>30</v>
      </c>
      <c r="M338" s="17">
        <f t="shared" si="22"/>
        <v>0</v>
      </c>
      <c r="N338" s="18">
        <f t="shared" si="23"/>
        <v>1</v>
      </c>
      <c r="O338" s="27"/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</row>
    <row r="339" spans="1:44" ht="15.75" thickBot="1" x14ac:dyDescent="0.3">
      <c r="A339" t="s">
        <v>618</v>
      </c>
      <c r="B339" s="62"/>
      <c r="C339" s="63" t="s">
        <v>838</v>
      </c>
      <c r="D339" s="62" t="s">
        <v>839</v>
      </c>
      <c r="E339" t="s">
        <v>19</v>
      </c>
      <c r="F339" t="s">
        <v>36</v>
      </c>
      <c r="G339"/>
      <c r="H339" t="s">
        <v>255</v>
      </c>
      <c r="I339" s="16">
        <v>-347753360000</v>
      </c>
      <c r="J339" s="16">
        <v>-582834130000</v>
      </c>
      <c r="K339" s="16" t="s">
        <v>1278</v>
      </c>
      <c r="L339" s="57">
        <f t="shared" si="21"/>
        <v>30</v>
      </c>
      <c r="M339" s="17">
        <f t="shared" si="22"/>
        <v>0</v>
      </c>
      <c r="N339" s="18">
        <f t="shared" si="23"/>
        <v>1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</row>
    <row r="340" spans="1:44" ht="15.75" thickBot="1" x14ac:dyDescent="0.3">
      <c r="A340" t="s">
        <v>729</v>
      </c>
      <c r="B340" s="62"/>
      <c r="C340" s="63" t="s">
        <v>840</v>
      </c>
      <c r="D340" s="62" t="s">
        <v>841</v>
      </c>
      <c r="E340" t="s">
        <v>24</v>
      </c>
      <c r="F340" t="s">
        <v>36</v>
      </c>
      <c r="G340" t="s">
        <v>367</v>
      </c>
      <c r="H340"/>
      <c r="I340" s="16">
        <v>-347957790000</v>
      </c>
      <c r="J340" s="16">
        <v>-582557990000</v>
      </c>
      <c r="K340" s="16" t="s">
        <v>1279</v>
      </c>
      <c r="L340" s="57">
        <f t="shared" si="21"/>
        <v>30</v>
      </c>
      <c r="M340" s="17">
        <f t="shared" si="22"/>
        <v>0</v>
      </c>
      <c r="N340" s="18">
        <f t="shared" si="23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</row>
    <row r="341" spans="1:44" ht="15.75" thickBot="1" x14ac:dyDescent="0.3">
      <c r="A341" t="s">
        <v>729</v>
      </c>
      <c r="B341" s="62"/>
      <c r="C341" s="63" t="s">
        <v>842</v>
      </c>
      <c r="D341" s="62" t="s">
        <v>843</v>
      </c>
      <c r="E341" t="s">
        <v>24</v>
      </c>
      <c r="F341" t="s">
        <v>25</v>
      </c>
      <c r="G341" t="s">
        <v>65</v>
      </c>
      <c r="H341" t="s">
        <v>844</v>
      </c>
      <c r="I341" s="16">
        <v>-347986250000</v>
      </c>
      <c r="J341" s="16">
        <v>-582551820000</v>
      </c>
      <c r="K341" s="16" t="s">
        <v>1280</v>
      </c>
      <c r="L341" s="57">
        <f t="shared" si="21"/>
        <v>30</v>
      </c>
      <c r="M341" s="17">
        <f t="shared" si="22"/>
        <v>0</v>
      </c>
      <c r="N341" s="18">
        <f t="shared" si="23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</row>
    <row r="342" spans="1:44" ht="15.75" thickBot="1" x14ac:dyDescent="0.3">
      <c r="A342" t="s">
        <v>729</v>
      </c>
      <c r="B342" s="62"/>
      <c r="C342" s="63" t="s">
        <v>845</v>
      </c>
      <c r="D342" s="62" t="s">
        <v>846</v>
      </c>
      <c r="E342" t="s">
        <v>24</v>
      </c>
      <c r="F342" t="s">
        <v>25</v>
      </c>
      <c r="G342" t="s">
        <v>161</v>
      </c>
      <c r="H342"/>
      <c r="I342" s="16">
        <v>-348016910000</v>
      </c>
      <c r="J342" s="16">
        <v>-582610020000</v>
      </c>
      <c r="K342" s="16" t="s">
        <v>1281</v>
      </c>
      <c r="L342" s="57">
        <f t="shared" si="21"/>
        <v>30</v>
      </c>
      <c r="M342" s="17">
        <f t="shared" si="22"/>
        <v>0</v>
      </c>
      <c r="N342" s="18">
        <f t="shared" si="23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</row>
    <row r="343" spans="1:44" ht="15.75" thickBot="1" x14ac:dyDescent="0.3">
      <c r="A343" t="s">
        <v>729</v>
      </c>
      <c r="B343" s="62"/>
      <c r="C343" s="63" t="s">
        <v>847</v>
      </c>
      <c r="D343" s="62" t="s">
        <v>848</v>
      </c>
      <c r="E343" t="s">
        <v>24</v>
      </c>
      <c r="F343" t="s">
        <v>943</v>
      </c>
      <c r="G343" t="s">
        <v>65</v>
      </c>
      <c r="H343"/>
      <c r="I343" s="16">
        <v>-347937530000</v>
      </c>
      <c r="J343" s="16">
        <v>-582478490000</v>
      </c>
      <c r="K343" s="16" t="s">
        <v>1282</v>
      </c>
      <c r="L343" s="57">
        <f t="shared" si="21"/>
        <v>30</v>
      </c>
      <c r="M343" s="17">
        <f t="shared" si="22"/>
        <v>0</v>
      </c>
      <c r="N343" s="18">
        <f t="shared" si="23"/>
        <v>1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</row>
    <row r="344" spans="1:44" ht="15.75" thickBot="1" x14ac:dyDescent="0.3">
      <c r="A344" t="s">
        <v>723</v>
      </c>
      <c r="B344" s="62"/>
      <c r="C344" s="63" t="s">
        <v>849</v>
      </c>
      <c r="D344" s="62" t="s">
        <v>850</v>
      </c>
      <c r="E344" t="s">
        <v>24</v>
      </c>
      <c r="F344" t="s">
        <v>25</v>
      </c>
      <c r="G344" t="s">
        <v>851</v>
      </c>
      <c r="H344"/>
      <c r="I344" s="16">
        <v>-347994440000</v>
      </c>
      <c r="J344" s="16">
        <v>-582627080000</v>
      </c>
      <c r="K344" s="16" t="s">
        <v>1283</v>
      </c>
      <c r="L344" s="57">
        <f t="shared" si="21"/>
        <v>30</v>
      </c>
      <c r="M344" s="17">
        <f t="shared" si="22"/>
        <v>0</v>
      </c>
      <c r="N344" s="18">
        <f t="shared" si="23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</row>
    <row r="345" spans="1:44" ht="15.75" thickBot="1" x14ac:dyDescent="0.3">
      <c r="A345" t="s">
        <v>852</v>
      </c>
      <c r="B345" s="62"/>
      <c r="C345" s="63" t="s">
        <v>853</v>
      </c>
      <c r="D345" s="62" t="s">
        <v>854</v>
      </c>
      <c r="E345" t="s">
        <v>19</v>
      </c>
      <c r="F345" t="s">
        <v>36</v>
      </c>
      <c r="G345"/>
      <c r="H345" t="s">
        <v>341</v>
      </c>
      <c r="I345" s="16">
        <v>-348374820000</v>
      </c>
      <c r="J345" s="16">
        <v>-582378510000</v>
      </c>
      <c r="K345" s="16" t="s">
        <v>1284</v>
      </c>
      <c r="L345" s="57">
        <f t="shared" si="21"/>
        <v>30</v>
      </c>
      <c r="M345" s="17">
        <f t="shared" si="22"/>
        <v>0</v>
      </c>
      <c r="N345" s="18">
        <f t="shared" si="23"/>
        <v>1</v>
      </c>
      <c r="O345" s="27"/>
      <c r="P345" s="8"/>
      <c r="Q345" s="8"/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</row>
    <row r="346" spans="1:44" ht="15.75" thickBot="1" x14ac:dyDescent="0.3">
      <c r="A346" t="s">
        <v>852</v>
      </c>
      <c r="B346" s="62"/>
      <c r="C346" s="63" t="s">
        <v>855</v>
      </c>
      <c r="D346" s="62" t="s">
        <v>856</v>
      </c>
      <c r="E346" t="s">
        <v>19</v>
      </c>
      <c r="F346" t="s">
        <v>36</v>
      </c>
      <c r="G346"/>
      <c r="H346" t="s">
        <v>341</v>
      </c>
      <c r="I346" s="16">
        <v>-348349880000</v>
      </c>
      <c r="J346" s="16">
        <v>-582351700000</v>
      </c>
      <c r="K346" s="16" t="s">
        <v>1285</v>
      </c>
      <c r="L346" s="57">
        <f t="shared" si="21"/>
        <v>30</v>
      </c>
      <c r="M346" s="17">
        <f t="shared" si="22"/>
        <v>0</v>
      </c>
      <c r="N346" s="18">
        <f t="shared" si="23"/>
        <v>1</v>
      </c>
      <c r="O346" s="27"/>
      <c r="P346" s="8"/>
      <c r="Q346" s="8"/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</row>
    <row r="347" spans="1:44" ht="15.75" thickBot="1" x14ac:dyDescent="0.3">
      <c r="A347" t="s">
        <v>852</v>
      </c>
      <c r="B347" s="60">
        <v>44629</v>
      </c>
      <c r="C347" s="63" t="s">
        <v>857</v>
      </c>
      <c r="D347" s="62" t="s">
        <v>858</v>
      </c>
      <c r="E347" t="s">
        <v>113</v>
      </c>
      <c r="F347" t="s">
        <v>36</v>
      </c>
      <c r="G347"/>
      <c r="H347" t="s">
        <v>248</v>
      </c>
      <c r="I347" s="16">
        <v>-348382350000</v>
      </c>
      <c r="J347" s="16">
        <v>-582372950000</v>
      </c>
      <c r="K347" s="16" t="s">
        <v>1286</v>
      </c>
      <c r="L347" s="57">
        <f t="shared" si="21"/>
        <v>30</v>
      </c>
      <c r="M347" s="17">
        <f t="shared" si="22"/>
        <v>0</v>
      </c>
      <c r="N347" s="18">
        <f t="shared" si="23"/>
        <v>1</v>
      </c>
      <c r="O347" s="27"/>
      <c r="P347" s="8"/>
      <c r="Q347" s="8"/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</row>
    <row r="348" spans="1:44" ht="15.75" thickBot="1" x14ac:dyDescent="0.3">
      <c r="A348" t="s">
        <v>852</v>
      </c>
      <c r="B348" s="60">
        <v>44629</v>
      </c>
      <c r="C348" s="63" t="s">
        <v>859</v>
      </c>
      <c r="D348" s="62" t="s">
        <v>858</v>
      </c>
      <c r="E348" t="s">
        <v>113</v>
      </c>
      <c r="F348" t="s">
        <v>36</v>
      </c>
      <c r="G348"/>
      <c r="H348" t="s">
        <v>248</v>
      </c>
      <c r="I348" s="16">
        <v>-348382440000</v>
      </c>
      <c r="J348" s="16">
        <v>-582373030000</v>
      </c>
      <c r="K348" s="16" t="s">
        <v>1287</v>
      </c>
      <c r="L348" s="57">
        <f t="shared" si="21"/>
        <v>30</v>
      </c>
      <c r="M348" s="17">
        <f t="shared" si="22"/>
        <v>0</v>
      </c>
      <c r="N348" s="18">
        <f t="shared" si="23"/>
        <v>1</v>
      </c>
      <c r="O348" s="27"/>
      <c r="P348" s="8"/>
      <c r="Q348" s="8"/>
      <c r="R348" s="8"/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</row>
    <row r="349" spans="1:44" ht="15.75" thickBot="1" x14ac:dyDescent="0.3">
      <c r="A349" t="s">
        <v>860</v>
      </c>
      <c r="B349" s="60">
        <v>44629</v>
      </c>
      <c r="C349" s="63" t="s">
        <v>861</v>
      </c>
      <c r="D349" s="62" t="s">
        <v>862</v>
      </c>
      <c r="E349" t="s">
        <v>113</v>
      </c>
      <c r="F349" t="s">
        <v>36</v>
      </c>
      <c r="G349"/>
      <c r="H349" t="s">
        <v>863</v>
      </c>
      <c r="I349" s="16">
        <v>-348173980000</v>
      </c>
      <c r="J349" s="16">
        <v>-582515460000</v>
      </c>
      <c r="K349" s="16" t="s">
        <v>1288</v>
      </c>
      <c r="L349" s="57">
        <f t="shared" si="21"/>
        <v>30</v>
      </c>
      <c r="M349" s="17">
        <f t="shared" si="22"/>
        <v>0</v>
      </c>
      <c r="N349" s="18">
        <f t="shared" si="23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</row>
    <row r="350" spans="1:44" ht="15.75" thickBot="1" x14ac:dyDescent="0.3">
      <c r="A350" t="s">
        <v>860</v>
      </c>
      <c r="B350" s="62"/>
      <c r="C350" s="63" t="s">
        <v>864</v>
      </c>
      <c r="D350" s="62" t="s">
        <v>865</v>
      </c>
      <c r="E350" t="s">
        <v>19</v>
      </c>
      <c r="F350" t="s">
        <v>36</v>
      </c>
      <c r="G350"/>
      <c r="H350" t="s">
        <v>248</v>
      </c>
      <c r="I350" s="16">
        <v>-348108560000</v>
      </c>
      <c r="J350" s="16">
        <v>-582592810000</v>
      </c>
      <c r="K350" s="16" t="s">
        <v>1289</v>
      </c>
      <c r="L350" s="57">
        <f t="shared" si="21"/>
        <v>30</v>
      </c>
      <c r="M350" s="17">
        <f t="shared" si="22"/>
        <v>0</v>
      </c>
      <c r="N350" s="18">
        <f t="shared" si="23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</row>
    <row r="351" spans="1:44" ht="15.75" thickBot="1" x14ac:dyDescent="0.3">
      <c r="A351" t="s">
        <v>860</v>
      </c>
      <c r="B351" s="60">
        <v>44629</v>
      </c>
      <c r="C351" s="63" t="s">
        <v>866</v>
      </c>
      <c r="D351" s="62" t="s">
        <v>867</v>
      </c>
      <c r="E351" t="s">
        <v>113</v>
      </c>
      <c r="F351" t="s">
        <v>36</v>
      </c>
      <c r="G351"/>
      <c r="H351" t="s">
        <v>868</v>
      </c>
      <c r="I351" s="16">
        <v>-348173990000</v>
      </c>
      <c r="J351" s="16">
        <v>-582515250000</v>
      </c>
      <c r="K351" s="16" t="s">
        <v>1290</v>
      </c>
      <c r="L351" s="57">
        <f t="shared" si="21"/>
        <v>30</v>
      </c>
      <c r="M351" s="17">
        <f t="shared" si="22"/>
        <v>0</v>
      </c>
      <c r="N351" s="18">
        <f t="shared" si="23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</row>
    <row r="352" spans="1:44" ht="15.75" thickBot="1" x14ac:dyDescent="0.3">
      <c r="A352" t="s">
        <v>860</v>
      </c>
      <c r="B352" s="62"/>
      <c r="C352" s="63" t="s">
        <v>869</v>
      </c>
      <c r="D352" s="62" t="s">
        <v>870</v>
      </c>
      <c r="E352" t="s">
        <v>19</v>
      </c>
      <c r="F352" t="s">
        <v>36</v>
      </c>
      <c r="G352"/>
      <c r="H352" t="s">
        <v>868</v>
      </c>
      <c r="I352" s="16">
        <v>-348116860000</v>
      </c>
      <c r="J352" s="16">
        <v>-582556310000</v>
      </c>
      <c r="K352" s="16" t="s">
        <v>1291</v>
      </c>
      <c r="L352" s="57">
        <f t="shared" si="21"/>
        <v>29</v>
      </c>
      <c r="M352" s="17">
        <f t="shared" si="22"/>
        <v>1</v>
      </c>
      <c r="N352" s="18">
        <f t="shared" si="23"/>
        <v>0.96666666666666667</v>
      </c>
      <c r="O352" s="27" t="s">
        <v>1363</v>
      </c>
      <c r="P352" s="8"/>
      <c r="Q352" s="8"/>
      <c r="R352" s="8"/>
      <c r="S352" s="27"/>
      <c r="T352" s="27"/>
      <c r="U352" s="8"/>
      <c r="V352" s="8"/>
      <c r="W352" s="8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8"/>
      <c r="AL352" s="8"/>
      <c r="AM352" s="8"/>
      <c r="AN352" s="27"/>
      <c r="AO352" s="8"/>
      <c r="AP352" s="8"/>
      <c r="AQ352" s="27"/>
      <c r="AR352" s="27"/>
    </row>
    <row r="353" spans="1:44" ht="15.75" thickBot="1" x14ac:dyDescent="0.3">
      <c r="A353" t="s">
        <v>860</v>
      </c>
      <c r="B353" s="62"/>
      <c r="C353" s="63" t="s">
        <v>871</v>
      </c>
      <c r="D353" s="62" t="s">
        <v>872</v>
      </c>
      <c r="E353" t="s">
        <v>19</v>
      </c>
      <c r="F353" t="s">
        <v>36</v>
      </c>
      <c r="G353"/>
      <c r="H353" t="s">
        <v>868</v>
      </c>
      <c r="I353" s="16">
        <v>-348113810000</v>
      </c>
      <c r="J353" s="16">
        <v>-582573240000</v>
      </c>
      <c r="K353" s="16" t="s">
        <v>1292</v>
      </c>
      <c r="L353" s="57">
        <f t="shared" si="21"/>
        <v>30</v>
      </c>
      <c r="M353" s="17">
        <f t="shared" si="22"/>
        <v>0</v>
      </c>
      <c r="N353" s="18">
        <f t="shared" si="23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</row>
    <row r="354" spans="1:44" ht="15.75" thickBot="1" x14ac:dyDescent="0.3">
      <c r="A354" t="s">
        <v>271</v>
      </c>
      <c r="B354" s="62"/>
      <c r="C354" s="63" t="s">
        <v>873</v>
      </c>
      <c r="D354" s="62" t="s">
        <v>928</v>
      </c>
      <c r="E354" t="s">
        <v>24</v>
      </c>
      <c r="F354" t="s">
        <v>25</v>
      </c>
      <c r="G354" t="s">
        <v>704</v>
      </c>
      <c r="H354"/>
      <c r="I354" s="16">
        <v>-348336200000</v>
      </c>
      <c r="J354" s="16">
        <v>-582709260000</v>
      </c>
      <c r="K354" s="16" t="s">
        <v>1293</v>
      </c>
      <c r="L354" s="57">
        <f t="shared" si="21"/>
        <v>30</v>
      </c>
      <c r="M354" s="17">
        <f t="shared" si="22"/>
        <v>0</v>
      </c>
      <c r="N354" s="18">
        <f t="shared" si="23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</row>
    <row r="355" spans="1:44" ht="15.75" thickBot="1" x14ac:dyDescent="0.3">
      <c r="B355" s="62"/>
      <c r="C355" s="63" t="s">
        <v>874</v>
      </c>
      <c r="D355" s="62" t="s">
        <v>929</v>
      </c>
      <c r="E355" t="s">
        <v>19</v>
      </c>
      <c r="F355"/>
      <c r="G355" t="s">
        <v>875</v>
      </c>
      <c r="H355" t="s">
        <v>876</v>
      </c>
      <c r="I355" s="16">
        <v>-348339360000</v>
      </c>
      <c r="J355" s="16">
        <v>-582778770000</v>
      </c>
      <c r="K355" s="16"/>
      <c r="L355" s="57">
        <f t="shared" si="21"/>
        <v>30</v>
      </c>
      <c r="M355" s="17">
        <f t="shared" si="22"/>
        <v>0</v>
      </c>
      <c r="N355" s="18">
        <f t="shared" si="23"/>
        <v>1</v>
      </c>
      <c r="O355" s="27"/>
      <c r="P355" s="8"/>
      <c r="Q355" s="8"/>
      <c r="R355" s="8"/>
      <c r="S355" s="27"/>
      <c r="T355" s="27"/>
      <c r="U355" s="8"/>
      <c r="V355" s="8"/>
      <c r="W355" s="8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</row>
    <row r="356" spans="1:44" ht="15.75" thickBot="1" x14ac:dyDescent="0.3">
      <c r="A356" t="s">
        <v>271</v>
      </c>
      <c r="B356" s="62"/>
      <c r="C356" s="63" t="s">
        <v>877</v>
      </c>
      <c r="D356" s="62" t="s">
        <v>930</v>
      </c>
      <c r="E356" t="s">
        <v>113</v>
      </c>
      <c r="F356" t="s">
        <v>36</v>
      </c>
      <c r="G356"/>
      <c r="H356" t="s">
        <v>878</v>
      </c>
      <c r="I356" s="16">
        <v>-348368690000</v>
      </c>
      <c r="J356" s="16">
        <v>-582780410000</v>
      </c>
      <c r="K356" s="16" t="s">
        <v>1294</v>
      </c>
      <c r="L356" s="57">
        <f t="shared" si="21"/>
        <v>30</v>
      </c>
      <c r="M356" s="17">
        <f t="shared" si="22"/>
        <v>0</v>
      </c>
      <c r="N356" s="18">
        <f t="shared" si="23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</row>
    <row r="357" spans="1:44" ht="15.75" thickBot="1" x14ac:dyDescent="0.3">
      <c r="A357" t="s">
        <v>271</v>
      </c>
      <c r="B357" s="62"/>
      <c r="C357" s="63" t="s">
        <v>879</v>
      </c>
      <c r="D357" s="62" t="s">
        <v>930</v>
      </c>
      <c r="E357" t="s">
        <v>113</v>
      </c>
      <c r="F357" t="s">
        <v>36</v>
      </c>
      <c r="G357"/>
      <c r="H357" t="s">
        <v>880</v>
      </c>
      <c r="I357" s="16">
        <v>-348367000000</v>
      </c>
      <c r="J357" s="16">
        <v>-582781300000</v>
      </c>
      <c r="K357" s="16" t="s">
        <v>1295</v>
      </c>
      <c r="L357" s="57">
        <f t="shared" si="21"/>
        <v>30</v>
      </c>
      <c r="M357" s="17">
        <f t="shared" si="22"/>
        <v>0</v>
      </c>
      <c r="N357" s="18">
        <f t="shared" si="23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</row>
    <row r="358" spans="1:44" ht="15.75" thickBot="1" x14ac:dyDescent="0.3">
      <c r="A358" t="s">
        <v>271</v>
      </c>
      <c r="B358" s="62"/>
      <c r="C358" s="63" t="s">
        <v>881</v>
      </c>
      <c r="D358" s="62" t="s">
        <v>931</v>
      </c>
      <c r="E358" t="s">
        <v>19</v>
      </c>
      <c r="F358" t="s">
        <v>36</v>
      </c>
      <c r="G358"/>
      <c r="H358" t="s">
        <v>882</v>
      </c>
      <c r="I358" s="16">
        <v>-348375310000</v>
      </c>
      <c r="J358" s="16">
        <v>-582782110000</v>
      </c>
      <c r="K358" s="16" t="s">
        <v>1296</v>
      </c>
      <c r="L358" s="57">
        <f t="shared" si="21"/>
        <v>30</v>
      </c>
      <c r="M358" s="17">
        <f t="shared" si="22"/>
        <v>0</v>
      </c>
      <c r="N358" s="18">
        <f t="shared" si="23"/>
        <v>1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</row>
    <row r="359" spans="1:44" ht="15.75" thickBot="1" x14ac:dyDescent="0.3">
      <c r="A359" t="s">
        <v>883</v>
      </c>
      <c r="B359" s="62"/>
      <c r="C359" s="63" t="s">
        <v>884</v>
      </c>
      <c r="D359" s="62" t="s">
        <v>885</v>
      </c>
      <c r="E359" t="s">
        <v>113</v>
      </c>
      <c r="F359" t="s">
        <v>36</v>
      </c>
      <c r="G359"/>
      <c r="H359" t="s">
        <v>886</v>
      </c>
      <c r="I359" s="16">
        <v>-348344030000</v>
      </c>
      <c r="J359" s="16">
        <v>-582802100000</v>
      </c>
      <c r="K359" s="16" t="s">
        <v>1297</v>
      </c>
      <c r="L359" s="57">
        <f t="shared" si="21"/>
        <v>29</v>
      </c>
      <c r="M359" s="17">
        <f t="shared" si="22"/>
        <v>1</v>
      </c>
      <c r="N359" s="18">
        <f t="shared" si="23"/>
        <v>0.96666666666666667</v>
      </c>
      <c r="O359" s="27" t="s">
        <v>1363</v>
      </c>
      <c r="P359" s="8"/>
      <c r="Q359" s="8"/>
      <c r="R359" s="8"/>
      <c r="S359" s="27"/>
      <c r="T359" s="27"/>
      <c r="U359" s="8"/>
      <c r="V359" s="8"/>
      <c r="W359" s="8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</row>
    <row r="360" spans="1:44" ht="15.75" thickBot="1" x14ac:dyDescent="0.3">
      <c r="A360" t="s">
        <v>883</v>
      </c>
      <c r="B360" s="62"/>
      <c r="C360" s="63" t="s">
        <v>887</v>
      </c>
      <c r="D360" s="62" t="s">
        <v>885</v>
      </c>
      <c r="E360" t="s">
        <v>113</v>
      </c>
      <c r="F360" t="s">
        <v>36</v>
      </c>
      <c r="G360"/>
      <c r="H360" t="s">
        <v>886</v>
      </c>
      <c r="I360" s="16">
        <v>-348343990000</v>
      </c>
      <c r="J360" s="16">
        <v>-582802050000</v>
      </c>
      <c r="K360" s="16" t="s">
        <v>1298</v>
      </c>
      <c r="L360" s="57">
        <f t="shared" si="21"/>
        <v>29</v>
      </c>
      <c r="M360" s="17">
        <f t="shared" si="22"/>
        <v>1</v>
      </c>
      <c r="N360" s="18">
        <f t="shared" si="23"/>
        <v>0.96666666666666667</v>
      </c>
      <c r="O360" s="27" t="s">
        <v>1363</v>
      </c>
      <c r="P360" s="8"/>
      <c r="Q360" s="8"/>
      <c r="R360" s="8"/>
      <c r="S360" s="27"/>
      <c r="T360" s="27"/>
      <c r="U360" s="8"/>
      <c r="V360" s="8"/>
      <c r="W360" s="8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</row>
    <row r="361" spans="1:44" ht="15.75" thickBot="1" x14ac:dyDescent="0.3">
      <c r="A361" t="s">
        <v>883</v>
      </c>
      <c r="B361" s="62"/>
      <c r="C361" s="63" t="s">
        <v>888</v>
      </c>
      <c r="D361" s="62" t="s">
        <v>889</v>
      </c>
      <c r="E361" t="s">
        <v>113</v>
      </c>
      <c r="F361" t="s">
        <v>36</v>
      </c>
      <c r="G361"/>
      <c r="H361" t="s">
        <v>886</v>
      </c>
      <c r="I361" s="16">
        <v>-348350290000</v>
      </c>
      <c r="J361" s="16">
        <v>-582814190000</v>
      </c>
      <c r="K361" s="16" t="s">
        <v>1299</v>
      </c>
      <c r="L361" s="57">
        <f t="shared" si="21"/>
        <v>29</v>
      </c>
      <c r="M361" s="17">
        <f t="shared" si="22"/>
        <v>1</v>
      </c>
      <c r="N361" s="18">
        <f t="shared" si="23"/>
        <v>0.96666666666666667</v>
      </c>
      <c r="O361" s="27" t="s">
        <v>1363</v>
      </c>
      <c r="P361" s="8"/>
      <c r="Q361" s="8"/>
      <c r="R361" s="8"/>
      <c r="S361" s="27"/>
      <c r="T361" s="27"/>
      <c r="U361" s="8"/>
      <c r="V361" s="8"/>
      <c r="W361" s="8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</row>
    <row r="362" spans="1:44" ht="15.75" thickBot="1" x14ac:dyDescent="0.3">
      <c r="A362" t="s">
        <v>883</v>
      </c>
      <c r="B362" s="62"/>
      <c r="C362" s="63" t="s">
        <v>890</v>
      </c>
      <c r="D362" s="62" t="s">
        <v>889</v>
      </c>
      <c r="E362" t="s">
        <v>113</v>
      </c>
      <c r="F362" t="s">
        <v>36</v>
      </c>
      <c r="G362"/>
      <c r="H362" t="s">
        <v>886</v>
      </c>
      <c r="I362" s="16">
        <v>-348350240000</v>
      </c>
      <c r="J362" s="16">
        <v>-582814080000</v>
      </c>
      <c r="K362" s="16" t="s">
        <v>1300</v>
      </c>
      <c r="L362" s="57">
        <f t="shared" si="21"/>
        <v>29</v>
      </c>
      <c r="M362" s="17">
        <f t="shared" si="22"/>
        <v>1</v>
      </c>
      <c r="N362" s="18">
        <f t="shared" si="23"/>
        <v>0.96666666666666667</v>
      </c>
      <c r="O362" s="27" t="s">
        <v>1363</v>
      </c>
      <c r="P362" s="8"/>
      <c r="Q362" s="8"/>
      <c r="R362" s="8"/>
      <c r="S362" s="27"/>
      <c r="T362" s="27"/>
      <c r="U362" s="8"/>
      <c r="V362" s="8"/>
      <c r="W362" s="8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</row>
    <row r="363" spans="1:44" ht="15.75" thickBot="1" x14ac:dyDescent="0.3">
      <c r="A363" t="s">
        <v>891</v>
      </c>
      <c r="B363" s="62"/>
      <c r="C363" s="63" t="s">
        <v>892</v>
      </c>
      <c r="D363" s="62" t="s">
        <v>893</v>
      </c>
      <c r="E363" t="s">
        <v>19</v>
      </c>
      <c r="F363" t="s">
        <v>36</v>
      </c>
      <c r="G363"/>
      <c r="H363" t="s">
        <v>341</v>
      </c>
      <c r="I363" s="16">
        <v>-348331020000</v>
      </c>
      <c r="J363" s="16">
        <v>-582411500000</v>
      </c>
      <c r="K363" s="16" t="s">
        <v>1301</v>
      </c>
      <c r="L363" s="57">
        <f t="shared" si="21"/>
        <v>30</v>
      </c>
      <c r="M363" s="17">
        <f t="shared" si="22"/>
        <v>0</v>
      </c>
      <c r="N363" s="18">
        <f t="shared" si="23"/>
        <v>1</v>
      </c>
      <c r="O363" s="27"/>
      <c r="P363" s="8"/>
      <c r="Q363" s="8"/>
      <c r="R363" s="8"/>
      <c r="S363" s="27"/>
      <c r="T363" s="27"/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</row>
    <row r="364" spans="1:44" ht="15.75" thickBot="1" x14ac:dyDescent="0.3">
      <c r="A364" t="s">
        <v>894</v>
      </c>
      <c r="B364" s="62"/>
      <c r="C364" s="63" t="s">
        <v>895</v>
      </c>
      <c r="D364" s="62" t="s">
        <v>896</v>
      </c>
      <c r="E364" t="s">
        <v>19</v>
      </c>
      <c r="F364" t="s">
        <v>25</v>
      </c>
      <c r="G364"/>
      <c r="H364" t="s">
        <v>688</v>
      </c>
      <c r="I364" s="16">
        <v>-348140350000</v>
      </c>
      <c r="J364" s="16">
        <v>-582788310000</v>
      </c>
      <c r="K364" s="16" t="s">
        <v>1302</v>
      </c>
      <c r="L364" s="57">
        <f t="shared" si="21"/>
        <v>30</v>
      </c>
      <c r="M364" s="17">
        <f t="shared" si="22"/>
        <v>0</v>
      </c>
      <c r="N364" s="18">
        <f t="shared" si="23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</row>
    <row r="365" spans="1:44" ht="15.75" thickBot="1" x14ac:dyDescent="0.3">
      <c r="A365" t="s">
        <v>894</v>
      </c>
      <c r="B365" s="62"/>
      <c r="C365" s="63" t="s">
        <v>897</v>
      </c>
      <c r="D365" s="62" t="s">
        <v>898</v>
      </c>
      <c r="E365" t="s">
        <v>19</v>
      </c>
      <c r="F365" t="s">
        <v>25</v>
      </c>
      <c r="G365"/>
      <c r="H365" t="s">
        <v>899</v>
      </c>
      <c r="I365" s="16">
        <v>-348118850000</v>
      </c>
      <c r="J365" s="16">
        <v>-582790580000</v>
      </c>
      <c r="K365" s="16" t="s">
        <v>1303</v>
      </c>
      <c r="L365" s="57">
        <f t="shared" si="21"/>
        <v>30</v>
      </c>
      <c r="M365" s="17">
        <f t="shared" si="22"/>
        <v>0</v>
      </c>
      <c r="N365" s="18">
        <f t="shared" si="23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</row>
    <row r="366" spans="1:44" ht="15.75" thickBot="1" x14ac:dyDescent="0.3">
      <c r="A366" t="s">
        <v>894</v>
      </c>
      <c r="B366" s="62"/>
      <c r="C366" s="63" t="s">
        <v>900</v>
      </c>
      <c r="D366" s="62" t="s">
        <v>901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1304</v>
      </c>
      <c r="L366" s="57">
        <f t="shared" si="21"/>
        <v>30</v>
      </c>
      <c r="M366" s="17">
        <f t="shared" si="22"/>
        <v>0</v>
      </c>
      <c r="N366" s="18">
        <f t="shared" si="23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</row>
    <row r="367" spans="1:44" ht="15.75" thickBot="1" x14ac:dyDescent="0.3">
      <c r="B367" s="62"/>
      <c r="C367" s="63" t="s">
        <v>902</v>
      </c>
      <c r="D367" s="62" t="s">
        <v>903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1308</v>
      </c>
      <c r="L367" s="57">
        <f t="shared" si="21"/>
        <v>30</v>
      </c>
      <c r="M367" s="17">
        <f t="shared" si="22"/>
        <v>0</v>
      </c>
      <c r="N367" s="18">
        <f t="shared" si="23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</row>
    <row r="368" spans="1:44" ht="15.75" thickBot="1" x14ac:dyDescent="0.3">
      <c r="A368" t="s">
        <v>904</v>
      </c>
      <c r="B368" s="62"/>
      <c r="C368" s="63" t="s">
        <v>905</v>
      </c>
      <c r="D368" s="62" t="s">
        <v>906</v>
      </c>
      <c r="E368" t="s">
        <v>24</v>
      </c>
      <c r="F368" t="s">
        <v>25</v>
      </c>
      <c r="G368" t="s">
        <v>794</v>
      </c>
      <c r="H368"/>
      <c r="I368" s="16">
        <v>-348108520000</v>
      </c>
      <c r="J368" s="16">
        <v>-582564000000</v>
      </c>
      <c r="K368" s="16" t="s">
        <v>1305</v>
      </c>
      <c r="L368" s="57">
        <f t="shared" si="21"/>
        <v>30</v>
      </c>
      <c r="M368" s="17">
        <f t="shared" si="22"/>
        <v>0</v>
      </c>
      <c r="N368" s="18">
        <f t="shared" si="23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</row>
    <row r="369" spans="1:44" ht="15.75" thickBot="1" x14ac:dyDescent="0.3">
      <c r="A369" t="s">
        <v>480</v>
      </c>
      <c r="B369" s="60">
        <v>44629</v>
      </c>
      <c r="C369" s="63" t="s">
        <v>907</v>
      </c>
      <c r="D369" s="62" t="s">
        <v>908</v>
      </c>
      <c r="E369" t="s">
        <v>24</v>
      </c>
      <c r="F369" t="s">
        <v>25</v>
      </c>
      <c r="G369" t="s">
        <v>794</v>
      </c>
      <c r="H369"/>
      <c r="I369" s="16">
        <v>-348105440000</v>
      </c>
      <c r="J369" s="16">
        <v>-582580200000</v>
      </c>
      <c r="K369" s="16" t="s">
        <v>1306</v>
      </c>
      <c r="L369" s="57">
        <f t="shared" si="21"/>
        <v>30</v>
      </c>
      <c r="M369" s="17">
        <f t="shared" si="22"/>
        <v>0</v>
      </c>
      <c r="N369" s="18">
        <f t="shared" si="23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</row>
    <row r="370" spans="1:44" ht="15.75" thickBot="1" x14ac:dyDescent="0.3">
      <c r="B370" s="62"/>
      <c r="C370" s="63" t="s">
        <v>909</v>
      </c>
      <c r="D370" s="62" t="s">
        <v>910</v>
      </c>
      <c r="E370" t="s">
        <v>19</v>
      </c>
      <c r="F370" t="s">
        <v>25</v>
      </c>
      <c r="G370"/>
      <c r="H370" t="s">
        <v>911</v>
      </c>
      <c r="I370" s="16">
        <v>-348006770000</v>
      </c>
      <c r="J370" s="16">
        <v>-582652130000</v>
      </c>
      <c r="K370" s="16" t="s">
        <v>1307</v>
      </c>
      <c r="L370" s="57">
        <f t="shared" si="21"/>
        <v>30</v>
      </c>
      <c r="M370" s="17">
        <f t="shared" si="22"/>
        <v>0</v>
      </c>
      <c r="N370" s="18">
        <f t="shared" si="23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</row>
    <row r="371" spans="1:44" ht="15.75" thickBot="1" x14ac:dyDescent="0.3">
      <c r="A371" t="s">
        <v>1314</v>
      </c>
      <c r="B371" s="62"/>
      <c r="C371" s="63" t="s">
        <v>1310</v>
      </c>
      <c r="D371" s="62" t="s">
        <v>1312</v>
      </c>
      <c r="E371" s="45" t="s">
        <v>113</v>
      </c>
      <c r="F371" s="45" t="s">
        <v>36</v>
      </c>
      <c r="G371" s="9"/>
      <c r="H371" s="9" t="s">
        <v>1317</v>
      </c>
      <c r="I371" s="9"/>
      <c r="J371" s="9"/>
      <c r="K371" s="28" t="s">
        <v>1315</v>
      </c>
      <c r="L371" s="57">
        <f t="shared" si="21"/>
        <v>30</v>
      </c>
      <c r="M371" s="17">
        <f t="shared" si="22"/>
        <v>0</v>
      </c>
      <c r="N371" s="18">
        <f t="shared" si="23"/>
        <v>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</row>
    <row r="372" spans="1:44" ht="15.75" thickBot="1" x14ac:dyDescent="0.3">
      <c r="A372" t="s">
        <v>1314</v>
      </c>
      <c r="B372" s="62"/>
      <c r="C372" s="63" t="s">
        <v>1311</v>
      </c>
      <c r="D372" s="62" t="s">
        <v>1313</v>
      </c>
      <c r="E372" s="45" t="s">
        <v>113</v>
      </c>
      <c r="F372" s="45" t="s">
        <v>36</v>
      </c>
      <c r="G372" s="9" t="s">
        <v>1317</v>
      </c>
      <c r="H372" s="9"/>
      <c r="I372" s="9"/>
      <c r="J372" s="9"/>
      <c r="K372" s="28" t="s">
        <v>1316</v>
      </c>
      <c r="L372" s="57">
        <f t="shared" si="21"/>
        <v>30</v>
      </c>
      <c r="M372" s="17">
        <f t="shared" si="22"/>
        <v>0</v>
      </c>
      <c r="N372" s="18">
        <f t="shared" si="23"/>
        <v>1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</row>
    <row r="373" spans="1:44" s="54" customFormat="1" ht="15.75" thickBot="1" x14ac:dyDescent="0.3">
      <c r="A373" s="54" t="s">
        <v>570</v>
      </c>
      <c r="B373" s="62"/>
      <c r="C373" s="63" t="s">
        <v>1329</v>
      </c>
      <c r="D373" s="62" t="s">
        <v>1333</v>
      </c>
      <c r="E373" s="55" t="s">
        <v>19</v>
      </c>
      <c r="F373" s="55" t="s">
        <v>36</v>
      </c>
      <c r="G373" s="56"/>
      <c r="H373" s="56"/>
      <c r="I373" s="56"/>
      <c r="J373" s="56"/>
      <c r="K373" s="56" t="s">
        <v>1337</v>
      </c>
      <c r="L373" s="57">
        <f t="shared" si="21"/>
        <v>30</v>
      </c>
      <c r="M373" s="57">
        <f t="shared" ref="M373:M379" si="24">COUNTIF(O373:AP373,"APAGADO")</f>
        <v>0</v>
      </c>
      <c r="N373" s="58">
        <f t="shared" ref="N373:N379" si="25">(L373)/(M373+L373)</f>
        <v>1</v>
      </c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</row>
    <row r="374" spans="1:44" s="54" customFormat="1" ht="15.75" thickBot="1" x14ac:dyDescent="0.3">
      <c r="A374" s="54" t="s">
        <v>570</v>
      </c>
      <c r="B374" s="62"/>
      <c r="C374" s="63" t="s">
        <v>1330</v>
      </c>
      <c r="D374" s="62" t="s">
        <v>1334</v>
      </c>
      <c r="E374" s="55" t="s">
        <v>19</v>
      </c>
      <c r="F374" s="55" t="s">
        <v>36</v>
      </c>
      <c r="G374" s="56"/>
      <c r="H374" s="56"/>
      <c r="I374" s="56"/>
      <c r="J374" s="56"/>
      <c r="K374" s="56" t="s">
        <v>1338</v>
      </c>
      <c r="L374" s="57">
        <f t="shared" si="21"/>
        <v>30</v>
      </c>
      <c r="M374" s="57">
        <f t="shared" si="24"/>
        <v>0</v>
      </c>
      <c r="N374" s="58">
        <f t="shared" si="25"/>
        <v>1</v>
      </c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</row>
    <row r="375" spans="1:44" s="54" customFormat="1" ht="15.75" thickBot="1" x14ac:dyDescent="0.3">
      <c r="A375" s="54" t="s">
        <v>570</v>
      </c>
      <c r="B375" s="62"/>
      <c r="C375" s="63" t="s">
        <v>1331</v>
      </c>
      <c r="D375" s="62" t="s">
        <v>1335</v>
      </c>
      <c r="E375" s="55" t="s">
        <v>19</v>
      </c>
      <c r="F375" s="55" t="s">
        <v>36</v>
      </c>
      <c r="G375" s="56"/>
      <c r="H375" s="56"/>
      <c r="I375" s="56"/>
      <c r="J375" s="56"/>
      <c r="K375" s="56" t="s">
        <v>1339</v>
      </c>
      <c r="L375" s="57">
        <f t="shared" si="21"/>
        <v>30</v>
      </c>
      <c r="M375" s="57">
        <f t="shared" si="24"/>
        <v>0</v>
      </c>
      <c r="N375" s="58">
        <f t="shared" si="25"/>
        <v>1</v>
      </c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</row>
    <row r="376" spans="1:44" s="54" customFormat="1" ht="15.75" thickBot="1" x14ac:dyDescent="0.3">
      <c r="A376" s="54" t="s">
        <v>570</v>
      </c>
      <c r="B376" s="62"/>
      <c r="C376" s="63" t="s">
        <v>1332</v>
      </c>
      <c r="D376" s="62" t="s">
        <v>1336</v>
      </c>
      <c r="E376" s="55" t="s">
        <v>19</v>
      </c>
      <c r="F376" s="55" t="s">
        <v>36</v>
      </c>
      <c r="G376" s="56"/>
      <c r="H376" s="56"/>
      <c r="I376" s="56"/>
      <c r="J376" s="56"/>
      <c r="K376" s="56" t="s">
        <v>1340</v>
      </c>
      <c r="L376" s="57">
        <f t="shared" si="21"/>
        <v>30</v>
      </c>
      <c r="M376" s="57">
        <f t="shared" si="24"/>
        <v>0</v>
      </c>
      <c r="N376" s="58">
        <f t="shared" si="25"/>
        <v>1</v>
      </c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</row>
    <row r="377" spans="1:44" s="54" customFormat="1" ht="15.75" thickBot="1" x14ac:dyDescent="0.3">
      <c r="A377" s="54" t="s">
        <v>80</v>
      </c>
      <c r="B377" s="62"/>
      <c r="C377" s="63" t="s">
        <v>1345</v>
      </c>
      <c r="D377" s="62" t="s">
        <v>1343</v>
      </c>
      <c r="E377" s="55" t="s">
        <v>19</v>
      </c>
      <c r="F377" s="55" t="s">
        <v>36</v>
      </c>
      <c r="G377" s="56"/>
      <c r="H377" s="56"/>
      <c r="I377" s="56"/>
      <c r="J377" s="56"/>
      <c r="K377" s="56" t="s">
        <v>1344</v>
      </c>
      <c r="L377" s="57">
        <f t="shared" si="21"/>
        <v>30</v>
      </c>
      <c r="M377" s="57">
        <f t="shared" si="24"/>
        <v>0</v>
      </c>
      <c r="N377" s="58">
        <f t="shared" si="25"/>
        <v>1</v>
      </c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</row>
    <row r="378" spans="1:44" s="54" customFormat="1" ht="15.75" thickBot="1" x14ac:dyDescent="0.3">
      <c r="B378" s="62"/>
      <c r="C378" s="63" t="s">
        <v>1354</v>
      </c>
      <c r="D378" s="62" t="s">
        <v>1356</v>
      </c>
      <c r="E378" s="55" t="s">
        <v>113</v>
      </c>
      <c r="F378" s="55"/>
      <c r="G378" s="56"/>
      <c r="H378" s="56"/>
      <c r="I378" s="56"/>
      <c r="J378" s="56"/>
      <c r="K378" s="56"/>
      <c r="L378" s="57">
        <f t="shared" si="21"/>
        <v>30</v>
      </c>
      <c r="M378" s="57">
        <f t="shared" si="24"/>
        <v>0</v>
      </c>
      <c r="N378" s="58">
        <f t="shared" si="25"/>
        <v>1</v>
      </c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</row>
    <row r="379" spans="1:44" s="54" customFormat="1" ht="15.75" thickBot="1" x14ac:dyDescent="0.3">
      <c r="B379" s="62"/>
      <c r="C379" s="63" t="s">
        <v>1355</v>
      </c>
      <c r="D379" s="62" t="s">
        <v>1356</v>
      </c>
      <c r="E379" s="55" t="s">
        <v>113</v>
      </c>
      <c r="F379" s="55"/>
      <c r="G379" s="56"/>
      <c r="H379" s="56"/>
      <c r="I379" s="56"/>
      <c r="J379" s="56"/>
      <c r="K379" s="56"/>
      <c r="L379" s="57">
        <f t="shared" si="21"/>
        <v>30</v>
      </c>
      <c r="M379" s="57">
        <f t="shared" si="24"/>
        <v>0</v>
      </c>
      <c r="N379" s="58">
        <f t="shared" si="25"/>
        <v>1</v>
      </c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</row>
    <row r="380" spans="1:44" x14ac:dyDescent="0.25">
      <c r="B380" s="62"/>
      <c r="C380" s="63"/>
      <c r="D380" s="62"/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</row>
    <row r="381" spans="1:44" x14ac:dyDescent="0.25">
      <c r="B381" s="62"/>
      <c r="C381" s="63"/>
      <c r="D381" s="62"/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</row>
    <row r="382" spans="1:44" x14ac:dyDescent="0.25">
      <c r="B382" s="62"/>
      <c r="C382" s="63"/>
      <c r="D382" s="62"/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</row>
    <row r="383" spans="1:44" x14ac:dyDescent="0.25">
      <c r="B383" s="62"/>
      <c r="C383" s="63"/>
      <c r="D383" s="62"/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</row>
    <row r="384" spans="1:44" x14ac:dyDescent="0.25">
      <c r="B384" s="62"/>
      <c r="C384" s="63"/>
      <c r="D384" s="62"/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</row>
    <row r="385" spans="2:44" x14ac:dyDescent="0.25">
      <c r="B385" s="62"/>
      <c r="C385" s="63"/>
      <c r="D385" s="62"/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</row>
    <row r="386" spans="2:44" x14ac:dyDescent="0.25">
      <c r="B386" s="62"/>
      <c r="C386" s="63"/>
      <c r="D386" s="62"/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</row>
    <row r="387" spans="2:44" x14ac:dyDescent="0.25">
      <c r="B387" s="62"/>
      <c r="C387" s="63"/>
      <c r="D387" s="62"/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</row>
    <row r="388" spans="2:44" x14ac:dyDescent="0.25">
      <c r="B388" s="62"/>
      <c r="C388" s="63"/>
      <c r="D388" s="62"/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</row>
    <row r="389" spans="2:44" x14ac:dyDescent="0.25">
      <c r="B389" s="62"/>
      <c r="C389" s="63"/>
      <c r="D389" s="62"/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</row>
    <row r="390" spans="2:44" x14ac:dyDescent="0.25">
      <c r="B390" s="62"/>
      <c r="C390" s="63"/>
      <c r="D390" s="62"/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</row>
    <row r="391" spans="2:44" x14ac:dyDescent="0.25">
      <c r="B391" s="62"/>
      <c r="C391" s="63"/>
      <c r="D391" s="62"/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</row>
    <row r="392" spans="2:44" x14ac:dyDescent="0.25">
      <c r="B392" s="62"/>
      <c r="C392" s="63"/>
      <c r="D392" s="62"/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</row>
    <row r="393" spans="2:44" x14ac:dyDescent="0.25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</row>
    <row r="394" spans="2:44" x14ac:dyDescent="0.25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</row>
    <row r="395" spans="2:44" x14ac:dyDescent="0.25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</row>
    <row r="396" spans="2:44" x14ac:dyDescent="0.25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</row>
    <row r="397" spans="2:44" x14ac:dyDescent="0.25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2:44" x14ac:dyDescent="0.25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2:44" x14ac:dyDescent="0.25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2:44" x14ac:dyDescent="0.25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25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25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25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25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25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25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25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25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25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25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25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25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25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25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25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25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25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25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25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25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25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25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25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25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25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25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25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25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25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25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25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25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25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25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25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25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25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25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25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25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25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25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25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25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25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25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25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25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25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25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25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25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25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25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25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25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25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25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25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25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25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25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25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25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25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25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25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25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25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25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25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25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25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25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25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25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25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25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25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25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25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25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25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25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25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25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25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25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25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25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25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25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25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25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25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25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25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25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25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25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25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25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25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25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25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25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25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25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25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25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25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25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25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25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25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25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25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25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25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25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25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25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25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25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25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25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25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25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25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25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25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25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25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25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25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25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25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25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25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25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25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25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25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25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25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25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25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25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25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25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25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25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25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25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25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25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25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25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25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25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25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25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25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25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25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25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25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25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25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25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25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25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25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25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25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25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25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25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25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25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25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25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25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25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25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25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25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25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25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25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25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25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25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25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25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25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25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25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25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25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25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25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25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25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25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25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25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25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25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25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25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25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25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25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25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25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25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25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25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25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25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25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25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25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25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25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25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25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25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25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25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25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25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25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25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25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25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25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25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25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25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25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25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25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25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25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25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25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25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25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25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25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25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25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25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25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25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25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25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25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25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25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25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25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25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25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25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25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25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25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25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25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25">
      <c r="E673" s="9"/>
      <c r="F673" s="9"/>
      <c r="G673" s="9"/>
      <c r="H673" s="9"/>
      <c r="I673" s="9"/>
      <c r="J673" s="9"/>
      <c r="K673" s="28"/>
      <c r="N673" s="21"/>
    </row>
    <row r="674" spans="5:14" x14ac:dyDescent="0.25">
      <c r="E674" s="9"/>
      <c r="F674" s="9"/>
      <c r="G674" s="9"/>
      <c r="H674" s="9"/>
      <c r="I674" s="9"/>
      <c r="J674" s="9"/>
      <c r="K674" s="28"/>
      <c r="N674" s="21"/>
    </row>
    <row r="675" spans="5:14" x14ac:dyDescent="0.25">
      <c r="E675" s="9"/>
      <c r="F675" s="9"/>
      <c r="G675" s="9"/>
      <c r="H675" s="9"/>
      <c r="I675" s="9"/>
      <c r="J675" s="9"/>
      <c r="K675" s="28"/>
      <c r="N675" s="21"/>
    </row>
    <row r="676" spans="5:14" x14ac:dyDescent="0.25">
      <c r="N676" s="21"/>
    </row>
  </sheetData>
  <conditionalFormatting sqref="N4:N244 P236:U244 P247:U281 O95:O244 O247:O369 V96:X244 V247:X372 AK95:AP369 AR95:AR369 N245:X246 N247:N372 AA96:AJ372">
    <cfRule type="cellIs" dxfId="726" priority="2136" operator="lessThan">
      <formula>0.8</formula>
    </cfRule>
    <cfRule type="cellIs" dxfId="725" priority="2137" operator="greaterThan">
      <formula>0.8</formula>
    </cfRule>
  </conditionalFormatting>
  <conditionalFormatting sqref="E1:K3 E284:K334 E236:K236 E5:K32 E36:K91 E94:K230 E337:K364 E369:K372 E243:K281 E391:K1048576">
    <cfRule type="containsText" dxfId="724" priority="2135" operator="containsText" text="Radio">
      <formula>NOT(ISERROR(SEARCH("Radio",E1)))</formula>
    </cfRule>
  </conditionalFormatting>
  <conditionalFormatting sqref="P236:U244 P247:U281 O95:O244 O247:O372 V96:X244 V247:X372 O245:X246 AK95:AP372 V391:AP1048576 AR391:AR1048576 AR95:AR372 AA96:AJ372">
    <cfRule type="notContainsText" dxfId="723" priority="2131" operator="notContains" text="Caida">
      <formula>ISERROR(SEARCH("Caida",O95))</formula>
    </cfRule>
    <cfRule type="containsText" dxfId="722" priority="2132" operator="containsText" text="Caida">
      <formula>NOT(ISERROR(SEARCH("Caida",O95)))</formula>
    </cfRule>
  </conditionalFormatting>
  <conditionalFormatting sqref="E282:K282">
    <cfRule type="containsText" dxfId="721" priority="2104" operator="containsText" text="Radio">
      <formula>NOT(ISERROR(SEARCH("Radio",E282)))</formula>
    </cfRule>
  </conditionalFormatting>
  <conditionalFormatting sqref="E283:K283">
    <cfRule type="containsText" dxfId="720" priority="2079" operator="containsText" text="Radio">
      <formula>NOT(ISERROR(SEARCH("Radio",E283)))</formula>
    </cfRule>
  </conditionalFormatting>
  <conditionalFormatting sqref="E4:K4">
    <cfRule type="containsText" dxfId="719" priority="2054" operator="containsText" text="Radio">
      <formula>NOT(ISERROR(SEARCH("Radio",E4)))</formula>
    </cfRule>
  </conditionalFormatting>
  <conditionalFormatting sqref="E231:K231">
    <cfRule type="containsText" dxfId="718" priority="2053" operator="containsText" text="Radio">
      <formula>NOT(ISERROR(SEARCH("Radio",E231)))</formula>
    </cfRule>
  </conditionalFormatting>
  <conditionalFormatting sqref="E232:K232">
    <cfRule type="containsText" dxfId="717" priority="2028" operator="containsText" text="Radio">
      <formula>NOT(ISERROR(SEARCH("Radio",E232)))</formula>
    </cfRule>
  </conditionalFormatting>
  <conditionalFormatting sqref="E233:K233">
    <cfRule type="containsText" dxfId="716" priority="2003" operator="containsText" text="Radio">
      <formula>NOT(ISERROR(SEARCH("Radio",E233)))</formula>
    </cfRule>
  </conditionalFormatting>
  <conditionalFormatting sqref="E234:K234">
    <cfRule type="containsText" dxfId="715" priority="1978" operator="containsText" text="Radio">
      <formula>NOT(ISERROR(SEARCH("Radio",E234)))</formula>
    </cfRule>
  </conditionalFormatting>
  <conditionalFormatting sqref="E235:K235">
    <cfRule type="containsText" dxfId="714" priority="1953" operator="containsText" text="Radio">
      <formula>NOT(ISERROR(SEARCH("Radio",E235)))</formula>
    </cfRule>
  </conditionalFormatting>
  <conditionalFormatting sqref="E335:K335">
    <cfRule type="containsText" dxfId="713" priority="1904" operator="containsText" text="Radio">
      <formula>NOT(ISERROR(SEARCH("Radio",E335)))</formula>
    </cfRule>
  </conditionalFormatting>
  <conditionalFormatting sqref="E336:K336">
    <cfRule type="containsText" dxfId="712" priority="1879" operator="containsText" text="Radio">
      <formula>NOT(ISERROR(SEARCH("Radio",E336)))</formula>
    </cfRule>
  </conditionalFormatting>
  <conditionalFormatting sqref="E237:K237">
    <cfRule type="containsText" dxfId="711" priority="1854" operator="containsText" text="Radio">
      <formula>NOT(ISERROR(SEARCH("Radio",E237)))</formula>
    </cfRule>
  </conditionalFormatting>
  <conditionalFormatting sqref="E238:K238">
    <cfRule type="containsText" dxfId="710" priority="1829" operator="containsText" text="Radio">
      <formula>NOT(ISERROR(SEARCH("Radio",E238)))</formula>
    </cfRule>
  </conditionalFormatting>
  <conditionalFormatting sqref="E33:K35">
    <cfRule type="containsText" dxfId="709" priority="1804" operator="containsText" text="Radio">
      <formula>NOT(ISERROR(SEARCH("Radio",E33)))</formula>
    </cfRule>
  </conditionalFormatting>
  <conditionalFormatting sqref="E239:K239">
    <cfRule type="containsText" dxfId="708" priority="1779" operator="containsText" text="Radio">
      <formula>NOT(ISERROR(SEARCH("Radio",E239)))</formula>
    </cfRule>
  </conditionalFormatting>
  <conditionalFormatting sqref="E240:K240">
    <cfRule type="containsText" dxfId="707" priority="1754" operator="containsText" text="Radio">
      <formula>NOT(ISERROR(SEARCH("Radio",E240)))</formula>
    </cfRule>
  </conditionalFormatting>
  <conditionalFormatting sqref="E241:K241">
    <cfRule type="containsText" dxfId="706" priority="1729" operator="containsText" text="Radio">
      <formula>NOT(ISERROR(SEARCH("Radio",E241)))</formula>
    </cfRule>
  </conditionalFormatting>
  <conditionalFormatting sqref="E242:K242">
    <cfRule type="containsText" dxfId="705" priority="1704" operator="containsText" text="Radio">
      <formula>NOT(ISERROR(SEARCH("Radio",E242)))</formula>
    </cfRule>
  </conditionalFormatting>
  <conditionalFormatting sqref="P6:P92 P96:P230">
    <cfRule type="cellIs" dxfId="704" priority="1629" operator="lessThan">
      <formula>0.8</formula>
    </cfRule>
    <cfRule type="cellIs" dxfId="703" priority="1630" operator="greaterThan">
      <formula>0.8</formula>
    </cfRule>
  </conditionalFormatting>
  <conditionalFormatting sqref="P6:P92 P96:P230">
    <cfRule type="notContainsText" dxfId="702" priority="1627" operator="notContains" text="Caida">
      <formula>ISERROR(SEARCH("Caida",P6))</formula>
    </cfRule>
    <cfRule type="containsText" dxfId="701" priority="1628" operator="containsText" text="Caida">
      <formula>NOT(ISERROR(SEARCH("Caida",P6)))</formula>
    </cfRule>
  </conditionalFormatting>
  <conditionalFormatting sqref="P337:P366 P284:P334">
    <cfRule type="cellIs" dxfId="700" priority="1625" operator="lessThan">
      <formula>0.8</formula>
    </cfRule>
    <cfRule type="cellIs" dxfId="699" priority="1626" operator="greaterThan">
      <formula>0.8</formula>
    </cfRule>
  </conditionalFormatting>
  <conditionalFormatting sqref="P337:P366 P284:P334 P391:P1048576">
    <cfRule type="notContainsText" dxfId="698" priority="1623" operator="notContains" text="Caida">
      <formula>ISERROR(SEARCH("Caida",P284))</formula>
    </cfRule>
    <cfRule type="containsText" dxfId="697" priority="1624" operator="containsText" text="Caida">
      <formula>NOT(ISERROR(SEARCH("Caida",P284)))</formula>
    </cfRule>
  </conditionalFormatting>
  <conditionalFormatting sqref="O391:O1048576">
    <cfRule type="notContainsText" dxfId="696" priority="1672" operator="notContains" text="Caida">
      <formula>ISERROR(SEARCH("Caida",O391))</formula>
    </cfRule>
    <cfRule type="containsText" dxfId="695" priority="1673" operator="containsText" text="Caida">
      <formula>NOT(ISERROR(SEARCH("Caida",O391)))</formula>
    </cfRule>
  </conditionalFormatting>
  <conditionalFormatting sqref="P336">
    <cfRule type="cellIs" dxfId="694" priority="1584" operator="lessThan">
      <formula>0.8</formula>
    </cfRule>
    <cfRule type="cellIs" dxfId="693" priority="1585" operator="greaterThan">
      <formula>0.8</formula>
    </cfRule>
  </conditionalFormatting>
  <conditionalFormatting sqref="P336">
    <cfRule type="notContainsText" dxfId="692" priority="1582" operator="notContains" text="Caida">
      <formula>ISERROR(SEARCH("Caida",P336))</formula>
    </cfRule>
    <cfRule type="containsText" dxfId="691" priority="1583" operator="containsText" text="Caida">
      <formula>NOT(ISERROR(SEARCH("Caida",P336)))</formula>
    </cfRule>
  </conditionalFormatting>
  <conditionalFormatting sqref="P22">
    <cfRule type="containsText" dxfId="690" priority="1622" operator="containsText" text="Instaladas en Funcionamiento Caida">
      <formula>NOT(ISERROR(SEARCH("Instaladas en Funcionamiento Caida",P22)))</formula>
    </cfRule>
  </conditionalFormatting>
  <conditionalFormatting sqref="P282">
    <cfRule type="cellIs" dxfId="689" priority="1620" operator="lessThan">
      <formula>0.8</formula>
    </cfRule>
    <cfRule type="cellIs" dxfId="688" priority="1621" operator="greaterThan">
      <formula>0.8</formula>
    </cfRule>
  </conditionalFormatting>
  <conditionalFormatting sqref="P282">
    <cfRule type="notContainsText" dxfId="687" priority="1618" operator="notContains" text="Caida">
      <formula>ISERROR(SEARCH("Caida",P282))</formula>
    </cfRule>
    <cfRule type="containsText" dxfId="686" priority="1619" operator="containsText" text="Caida">
      <formula>NOT(ISERROR(SEARCH("Caida",P282)))</formula>
    </cfRule>
  </conditionalFormatting>
  <conditionalFormatting sqref="P283">
    <cfRule type="cellIs" dxfId="685" priority="1616" operator="lessThan">
      <formula>0.8</formula>
    </cfRule>
    <cfRule type="cellIs" dxfId="684" priority="1617" operator="greaterThan">
      <formula>0.8</formula>
    </cfRule>
  </conditionalFormatting>
  <conditionalFormatting sqref="P283">
    <cfRule type="notContainsText" dxfId="683" priority="1614" operator="notContains" text="Caida">
      <formula>ISERROR(SEARCH("Caida",P283))</formula>
    </cfRule>
    <cfRule type="containsText" dxfId="682" priority="1615" operator="containsText" text="Caida">
      <formula>NOT(ISERROR(SEARCH("Caida",P283)))</formula>
    </cfRule>
  </conditionalFormatting>
  <conditionalFormatting sqref="P5">
    <cfRule type="cellIs" dxfId="681" priority="1612" operator="lessThan">
      <formula>0.8</formula>
    </cfRule>
    <cfRule type="cellIs" dxfId="680" priority="1613" operator="greaterThan">
      <formula>0.8</formula>
    </cfRule>
  </conditionalFormatting>
  <conditionalFormatting sqref="P5">
    <cfRule type="notContainsText" dxfId="679" priority="1610" operator="notContains" text="Caida">
      <formula>ISERROR(SEARCH("Caida",P5))</formula>
    </cfRule>
    <cfRule type="containsText" dxfId="678" priority="1611" operator="containsText" text="Caida">
      <formula>NOT(ISERROR(SEARCH("Caida",P5)))</formula>
    </cfRule>
  </conditionalFormatting>
  <conditionalFormatting sqref="P231">
    <cfRule type="cellIs" dxfId="677" priority="1608" operator="lessThan">
      <formula>0.8</formula>
    </cfRule>
    <cfRule type="cellIs" dxfId="676" priority="1609" operator="greaterThan">
      <formula>0.8</formula>
    </cfRule>
  </conditionalFormatting>
  <conditionalFormatting sqref="P231">
    <cfRule type="notContainsText" dxfId="675" priority="1606" operator="notContains" text="Caida">
      <formula>ISERROR(SEARCH("Caida",P231))</formula>
    </cfRule>
    <cfRule type="containsText" dxfId="674" priority="1607" operator="containsText" text="Caida">
      <formula>NOT(ISERROR(SEARCH("Caida",P231)))</formula>
    </cfRule>
  </conditionalFormatting>
  <conditionalFormatting sqref="P232">
    <cfRule type="cellIs" dxfId="673" priority="1604" operator="lessThan">
      <formula>0.8</formula>
    </cfRule>
    <cfRule type="cellIs" dxfId="672" priority="1605" operator="greaterThan">
      <formula>0.8</formula>
    </cfRule>
  </conditionalFormatting>
  <conditionalFormatting sqref="P232">
    <cfRule type="notContainsText" dxfId="671" priority="1602" operator="notContains" text="Caida">
      <formula>ISERROR(SEARCH("Caida",P232))</formula>
    </cfRule>
    <cfRule type="containsText" dxfId="670" priority="1603" operator="containsText" text="Caida">
      <formula>NOT(ISERROR(SEARCH("Caida",P232)))</formula>
    </cfRule>
  </conditionalFormatting>
  <conditionalFormatting sqref="P233">
    <cfRule type="cellIs" dxfId="669" priority="1600" operator="lessThan">
      <formula>0.8</formula>
    </cfRule>
    <cfRule type="cellIs" dxfId="668" priority="1601" operator="greaterThan">
      <formula>0.8</formula>
    </cfRule>
  </conditionalFormatting>
  <conditionalFormatting sqref="P233">
    <cfRule type="notContainsText" dxfId="667" priority="1598" operator="notContains" text="Caida">
      <formula>ISERROR(SEARCH("Caida",P233))</formula>
    </cfRule>
    <cfRule type="containsText" dxfId="666" priority="1599" operator="containsText" text="Caida">
      <formula>NOT(ISERROR(SEARCH("Caida",P233)))</formula>
    </cfRule>
  </conditionalFormatting>
  <conditionalFormatting sqref="P234">
    <cfRule type="cellIs" dxfId="665" priority="1596" operator="lessThan">
      <formula>0.8</formula>
    </cfRule>
    <cfRule type="cellIs" dxfId="664" priority="1597" operator="greaterThan">
      <formula>0.8</formula>
    </cfRule>
  </conditionalFormatting>
  <conditionalFormatting sqref="P234">
    <cfRule type="notContainsText" dxfId="663" priority="1594" operator="notContains" text="Caida">
      <formula>ISERROR(SEARCH("Caida",P234))</formula>
    </cfRule>
    <cfRule type="containsText" dxfId="662" priority="1595" operator="containsText" text="Caida">
      <formula>NOT(ISERROR(SEARCH("Caida",P234)))</formula>
    </cfRule>
  </conditionalFormatting>
  <conditionalFormatting sqref="P235">
    <cfRule type="cellIs" dxfId="661" priority="1592" operator="lessThan">
      <formula>0.8</formula>
    </cfRule>
    <cfRule type="cellIs" dxfId="660" priority="1593" operator="greaterThan">
      <formula>0.8</formula>
    </cfRule>
  </conditionalFormatting>
  <conditionalFormatting sqref="P235">
    <cfRule type="notContainsText" dxfId="659" priority="1590" operator="notContains" text="Caida">
      <formula>ISERROR(SEARCH("Caida",P235))</formula>
    </cfRule>
    <cfRule type="containsText" dxfId="658" priority="1591" operator="containsText" text="Caida">
      <formula>NOT(ISERROR(SEARCH("Caida",P235)))</formula>
    </cfRule>
  </conditionalFormatting>
  <conditionalFormatting sqref="P335">
    <cfRule type="cellIs" dxfId="657" priority="1588" operator="lessThan">
      <formula>0.8</formula>
    </cfRule>
    <cfRule type="cellIs" dxfId="656" priority="1589" operator="greaterThan">
      <formula>0.8</formula>
    </cfRule>
  </conditionalFormatting>
  <conditionalFormatting sqref="P335">
    <cfRule type="notContainsText" dxfId="655" priority="1586" operator="notContains" text="Caida">
      <formula>ISERROR(SEARCH("Caida",P335))</formula>
    </cfRule>
    <cfRule type="containsText" dxfId="654" priority="1587" operator="containsText" text="Caida">
      <formula>NOT(ISERROR(SEARCH("Caida",P335)))</formula>
    </cfRule>
  </conditionalFormatting>
  <conditionalFormatting sqref="Q6:Q92 Q96:Q230">
    <cfRule type="cellIs" dxfId="653" priority="1580" operator="lessThan">
      <formula>0.8</formula>
    </cfRule>
    <cfRule type="cellIs" dxfId="652" priority="1581" operator="greaterThan">
      <formula>0.8</formula>
    </cfRule>
  </conditionalFormatting>
  <conditionalFormatting sqref="Q6:Q92 Q96:Q230">
    <cfRule type="notContainsText" dxfId="651" priority="1578" operator="notContains" text="Caida">
      <formula>ISERROR(SEARCH("Caida",Q6))</formula>
    </cfRule>
    <cfRule type="containsText" dxfId="650" priority="1579" operator="containsText" text="Caida">
      <formula>NOT(ISERROR(SEARCH("Caida",Q6)))</formula>
    </cfRule>
  </conditionalFormatting>
  <conditionalFormatting sqref="Q336">
    <cfRule type="cellIs" dxfId="649" priority="1535" operator="lessThan">
      <formula>0.8</formula>
    </cfRule>
    <cfRule type="cellIs" dxfId="648" priority="1536" operator="greaterThan">
      <formula>0.8</formula>
    </cfRule>
  </conditionalFormatting>
  <conditionalFormatting sqref="Q336">
    <cfRule type="notContainsText" dxfId="647" priority="1533" operator="notContains" text="Caida">
      <formula>ISERROR(SEARCH("Caida",Q336))</formula>
    </cfRule>
    <cfRule type="containsText" dxfId="646" priority="1534" operator="containsText" text="Caida">
      <formula>NOT(ISERROR(SEARCH("Caida",Q336)))</formula>
    </cfRule>
  </conditionalFormatting>
  <conditionalFormatting sqref="Q337:Q366 Q284:Q334">
    <cfRule type="cellIs" dxfId="645" priority="1576" operator="lessThan">
      <formula>0.8</formula>
    </cfRule>
    <cfRule type="cellIs" dxfId="644" priority="1577" operator="greaterThan">
      <formula>0.8</formula>
    </cfRule>
  </conditionalFormatting>
  <conditionalFormatting sqref="Q337:Q366 Q284:Q334 Q391:Q1048576">
    <cfRule type="notContainsText" dxfId="643" priority="1574" operator="notContains" text="Caida">
      <formula>ISERROR(SEARCH("Caida",Q284))</formula>
    </cfRule>
    <cfRule type="containsText" dxfId="642" priority="1575" operator="containsText" text="Caida">
      <formula>NOT(ISERROR(SEARCH("Caida",Q284)))</formula>
    </cfRule>
  </conditionalFormatting>
  <conditionalFormatting sqref="Q22">
    <cfRule type="containsText" dxfId="641" priority="1573" operator="containsText" text="Instaladas en Funcionamiento Caida">
      <formula>NOT(ISERROR(SEARCH("Instaladas en Funcionamiento Caida",Q22)))</formula>
    </cfRule>
  </conditionalFormatting>
  <conditionalFormatting sqref="Q282">
    <cfRule type="cellIs" dxfId="640" priority="1571" operator="lessThan">
      <formula>0.8</formula>
    </cfRule>
    <cfRule type="cellIs" dxfId="639" priority="1572" operator="greaterThan">
      <formula>0.8</formula>
    </cfRule>
  </conditionalFormatting>
  <conditionalFormatting sqref="Q282">
    <cfRule type="notContainsText" dxfId="638" priority="1569" operator="notContains" text="Caida">
      <formula>ISERROR(SEARCH("Caida",Q282))</formula>
    </cfRule>
    <cfRule type="containsText" dxfId="637" priority="1570" operator="containsText" text="Caida">
      <formula>NOT(ISERROR(SEARCH("Caida",Q282)))</formula>
    </cfRule>
  </conditionalFormatting>
  <conditionalFormatting sqref="Q283">
    <cfRule type="cellIs" dxfId="636" priority="1567" operator="lessThan">
      <formula>0.8</formula>
    </cfRule>
    <cfRule type="cellIs" dxfId="635" priority="1568" operator="greaterThan">
      <formula>0.8</formula>
    </cfRule>
  </conditionalFormatting>
  <conditionalFormatting sqref="Q283">
    <cfRule type="notContainsText" dxfId="634" priority="1565" operator="notContains" text="Caida">
      <formula>ISERROR(SEARCH("Caida",Q283))</formula>
    </cfRule>
    <cfRule type="containsText" dxfId="633" priority="1566" operator="containsText" text="Caida">
      <formula>NOT(ISERROR(SEARCH("Caida",Q283)))</formula>
    </cfRule>
  </conditionalFormatting>
  <conditionalFormatting sqref="Q5">
    <cfRule type="cellIs" dxfId="632" priority="1563" operator="lessThan">
      <formula>0.8</formula>
    </cfRule>
    <cfRule type="cellIs" dxfId="631" priority="1564" operator="greaterThan">
      <formula>0.8</formula>
    </cfRule>
  </conditionalFormatting>
  <conditionalFormatting sqref="Q5">
    <cfRule type="notContainsText" dxfId="630" priority="1561" operator="notContains" text="Caida">
      <formula>ISERROR(SEARCH("Caida",Q5))</formula>
    </cfRule>
    <cfRule type="containsText" dxfId="629" priority="1562" operator="containsText" text="Caida">
      <formula>NOT(ISERROR(SEARCH("Caida",Q5)))</formula>
    </cfRule>
  </conditionalFormatting>
  <conditionalFormatting sqref="Q231">
    <cfRule type="cellIs" dxfId="628" priority="1559" operator="lessThan">
      <formula>0.8</formula>
    </cfRule>
    <cfRule type="cellIs" dxfId="627" priority="1560" operator="greaterThan">
      <formula>0.8</formula>
    </cfRule>
  </conditionalFormatting>
  <conditionalFormatting sqref="Q231">
    <cfRule type="notContainsText" dxfId="626" priority="1557" operator="notContains" text="Caida">
      <formula>ISERROR(SEARCH("Caida",Q231))</formula>
    </cfRule>
    <cfRule type="containsText" dxfId="625" priority="1558" operator="containsText" text="Caida">
      <formula>NOT(ISERROR(SEARCH("Caida",Q231)))</formula>
    </cfRule>
  </conditionalFormatting>
  <conditionalFormatting sqref="Q232">
    <cfRule type="cellIs" dxfId="624" priority="1555" operator="lessThan">
      <formula>0.8</formula>
    </cfRule>
    <cfRule type="cellIs" dxfId="623" priority="1556" operator="greaterThan">
      <formula>0.8</formula>
    </cfRule>
  </conditionalFormatting>
  <conditionalFormatting sqref="Q232">
    <cfRule type="notContainsText" dxfId="622" priority="1553" operator="notContains" text="Caida">
      <formula>ISERROR(SEARCH("Caida",Q232))</formula>
    </cfRule>
    <cfRule type="containsText" dxfId="621" priority="1554" operator="containsText" text="Caida">
      <formula>NOT(ISERROR(SEARCH("Caida",Q232)))</formula>
    </cfRule>
  </conditionalFormatting>
  <conditionalFormatting sqref="Q233">
    <cfRule type="cellIs" dxfId="620" priority="1551" operator="lessThan">
      <formula>0.8</formula>
    </cfRule>
    <cfRule type="cellIs" dxfId="619" priority="1552" operator="greaterThan">
      <formula>0.8</formula>
    </cfRule>
  </conditionalFormatting>
  <conditionalFormatting sqref="Q233">
    <cfRule type="notContainsText" dxfId="618" priority="1549" operator="notContains" text="Caida">
      <formula>ISERROR(SEARCH("Caida",Q233))</formula>
    </cfRule>
    <cfRule type="containsText" dxfId="617" priority="1550" operator="containsText" text="Caida">
      <formula>NOT(ISERROR(SEARCH("Caida",Q233)))</formula>
    </cfRule>
  </conditionalFormatting>
  <conditionalFormatting sqref="Q234">
    <cfRule type="cellIs" dxfId="616" priority="1547" operator="lessThan">
      <formula>0.8</formula>
    </cfRule>
    <cfRule type="cellIs" dxfId="615" priority="1548" operator="greaterThan">
      <formula>0.8</formula>
    </cfRule>
  </conditionalFormatting>
  <conditionalFormatting sqref="Q234">
    <cfRule type="notContainsText" dxfId="614" priority="1545" operator="notContains" text="Caida">
      <formula>ISERROR(SEARCH("Caida",Q234))</formula>
    </cfRule>
    <cfRule type="containsText" dxfId="613" priority="1546" operator="containsText" text="Caida">
      <formula>NOT(ISERROR(SEARCH("Caida",Q234)))</formula>
    </cfRule>
  </conditionalFormatting>
  <conditionalFormatting sqref="Q235">
    <cfRule type="cellIs" dxfId="612" priority="1543" operator="lessThan">
      <formula>0.8</formula>
    </cfRule>
    <cfRule type="cellIs" dxfId="611" priority="1544" operator="greaterThan">
      <formula>0.8</formula>
    </cfRule>
  </conditionalFormatting>
  <conditionalFormatting sqref="Q235">
    <cfRule type="notContainsText" dxfId="610" priority="1541" operator="notContains" text="Caida">
      <formula>ISERROR(SEARCH("Caida",Q235))</formula>
    </cfRule>
    <cfRule type="containsText" dxfId="609" priority="1542" operator="containsText" text="Caida">
      <formula>NOT(ISERROR(SEARCH("Caida",Q235)))</formula>
    </cfRule>
  </conditionalFormatting>
  <conditionalFormatting sqref="Q335">
    <cfRule type="cellIs" dxfId="608" priority="1539" operator="lessThan">
      <formula>0.8</formula>
    </cfRule>
    <cfRule type="cellIs" dxfId="607" priority="1540" operator="greaterThan">
      <formula>0.8</formula>
    </cfRule>
  </conditionalFormatting>
  <conditionalFormatting sqref="Q335">
    <cfRule type="notContainsText" dxfId="606" priority="1537" operator="notContains" text="Caida">
      <formula>ISERROR(SEARCH("Caida",Q335))</formula>
    </cfRule>
    <cfRule type="containsText" dxfId="605" priority="1538" operator="containsText" text="Caida">
      <formula>NOT(ISERROR(SEARCH("Caida",Q335)))</formula>
    </cfRule>
  </conditionalFormatting>
  <conditionalFormatting sqref="R6:R92 R96:R230">
    <cfRule type="cellIs" dxfId="604" priority="1531" operator="lessThan">
      <formula>0.8</formula>
    </cfRule>
    <cfRule type="cellIs" dxfId="603" priority="1532" operator="greaterThan">
      <formula>0.8</formula>
    </cfRule>
  </conditionalFormatting>
  <conditionalFormatting sqref="R6:R92 R96:R230">
    <cfRule type="notContainsText" dxfId="602" priority="1529" operator="notContains" text="Caida">
      <formula>ISERROR(SEARCH("Caida",R6))</formula>
    </cfRule>
    <cfRule type="containsText" dxfId="601" priority="1530" operator="containsText" text="Caida">
      <formula>NOT(ISERROR(SEARCH("Caida",R6)))</formula>
    </cfRule>
  </conditionalFormatting>
  <conditionalFormatting sqref="R336:T336">
    <cfRule type="cellIs" dxfId="600" priority="1486" operator="lessThan">
      <formula>0.8</formula>
    </cfRule>
    <cfRule type="cellIs" dxfId="599" priority="1487" operator="greaterThan">
      <formula>0.8</formula>
    </cfRule>
  </conditionalFormatting>
  <conditionalFormatting sqref="R336:T336">
    <cfRule type="notContainsText" dxfId="598" priority="1484" operator="notContains" text="Caida">
      <formula>ISERROR(SEARCH("Caida",R336))</formula>
    </cfRule>
    <cfRule type="containsText" dxfId="597" priority="1485" operator="containsText" text="Caida">
      <formula>NOT(ISERROR(SEARCH("Caida",R336)))</formula>
    </cfRule>
  </conditionalFormatting>
  <conditionalFormatting sqref="R337:R366 R284:R334">
    <cfRule type="cellIs" dxfId="596" priority="1527" operator="lessThan">
      <formula>0.8</formula>
    </cfRule>
    <cfRule type="cellIs" dxfId="595" priority="1528" operator="greaterThan">
      <formula>0.8</formula>
    </cfRule>
  </conditionalFormatting>
  <conditionalFormatting sqref="R337:R366 R284:R334 R391:R1048576">
    <cfRule type="notContainsText" dxfId="594" priority="1525" operator="notContains" text="Caida">
      <formula>ISERROR(SEARCH("Caida",R284))</formula>
    </cfRule>
    <cfRule type="containsText" dxfId="593" priority="1526" operator="containsText" text="Caida">
      <formula>NOT(ISERROR(SEARCH("Caida",R284)))</formula>
    </cfRule>
  </conditionalFormatting>
  <conditionalFormatting sqref="R22:T22">
    <cfRule type="containsText" dxfId="592" priority="1524" operator="containsText" text="Instaladas en Funcionamiento Caida">
      <formula>NOT(ISERROR(SEARCH("Instaladas en Funcionamiento Caida",R22)))</formula>
    </cfRule>
  </conditionalFormatting>
  <conditionalFormatting sqref="R282:T282">
    <cfRule type="cellIs" dxfId="591" priority="1522" operator="lessThan">
      <formula>0.8</formula>
    </cfRule>
    <cfRule type="cellIs" dxfId="590" priority="1523" operator="greaterThan">
      <formula>0.8</formula>
    </cfRule>
  </conditionalFormatting>
  <conditionalFormatting sqref="R282:T282">
    <cfRule type="notContainsText" dxfId="589" priority="1520" operator="notContains" text="Caida">
      <formula>ISERROR(SEARCH("Caida",R282))</formula>
    </cfRule>
    <cfRule type="containsText" dxfId="588" priority="1521" operator="containsText" text="Caida">
      <formula>NOT(ISERROR(SEARCH("Caida",R282)))</formula>
    </cfRule>
  </conditionalFormatting>
  <conditionalFormatting sqref="R283:T283">
    <cfRule type="cellIs" dxfId="587" priority="1518" operator="lessThan">
      <formula>0.8</formula>
    </cfRule>
    <cfRule type="cellIs" dxfId="586" priority="1519" operator="greaterThan">
      <formula>0.8</formula>
    </cfRule>
  </conditionalFormatting>
  <conditionalFormatting sqref="R283:T283">
    <cfRule type="notContainsText" dxfId="585" priority="1516" operator="notContains" text="Caida">
      <formula>ISERROR(SEARCH("Caida",R283))</formula>
    </cfRule>
    <cfRule type="containsText" dxfId="584" priority="1517" operator="containsText" text="Caida">
      <formula>NOT(ISERROR(SEARCH("Caida",R283)))</formula>
    </cfRule>
  </conditionalFormatting>
  <conditionalFormatting sqref="R5:T5">
    <cfRule type="cellIs" dxfId="583" priority="1514" operator="lessThan">
      <formula>0.8</formula>
    </cfRule>
    <cfRule type="cellIs" dxfId="582" priority="1515" operator="greaterThan">
      <formula>0.8</formula>
    </cfRule>
  </conditionalFormatting>
  <conditionalFormatting sqref="R5:T5">
    <cfRule type="notContainsText" dxfId="581" priority="1512" operator="notContains" text="Caida">
      <formula>ISERROR(SEARCH("Caida",R5))</formula>
    </cfRule>
    <cfRule type="containsText" dxfId="580" priority="1513" operator="containsText" text="Caida">
      <formula>NOT(ISERROR(SEARCH("Caida",R5)))</formula>
    </cfRule>
  </conditionalFormatting>
  <conditionalFormatting sqref="R231:T231">
    <cfRule type="cellIs" dxfId="579" priority="1510" operator="lessThan">
      <formula>0.8</formula>
    </cfRule>
    <cfRule type="cellIs" dxfId="578" priority="1511" operator="greaterThan">
      <formula>0.8</formula>
    </cfRule>
  </conditionalFormatting>
  <conditionalFormatting sqref="R231:T231">
    <cfRule type="notContainsText" dxfId="577" priority="1508" operator="notContains" text="Caida">
      <formula>ISERROR(SEARCH("Caida",R231))</formula>
    </cfRule>
    <cfRule type="containsText" dxfId="576" priority="1509" operator="containsText" text="Caida">
      <formula>NOT(ISERROR(SEARCH("Caida",R231)))</formula>
    </cfRule>
  </conditionalFormatting>
  <conditionalFormatting sqref="R232:T232">
    <cfRule type="cellIs" dxfId="575" priority="1506" operator="lessThan">
      <formula>0.8</formula>
    </cfRule>
    <cfRule type="cellIs" dxfId="574" priority="1507" operator="greaterThan">
      <formula>0.8</formula>
    </cfRule>
  </conditionalFormatting>
  <conditionalFormatting sqref="R232:T232">
    <cfRule type="notContainsText" dxfId="573" priority="1504" operator="notContains" text="Caida">
      <formula>ISERROR(SEARCH("Caida",R232))</formula>
    </cfRule>
    <cfRule type="containsText" dxfId="572" priority="1505" operator="containsText" text="Caida">
      <formula>NOT(ISERROR(SEARCH("Caida",R232)))</formula>
    </cfRule>
  </conditionalFormatting>
  <conditionalFormatting sqref="R233:T233">
    <cfRule type="cellIs" dxfId="571" priority="1502" operator="lessThan">
      <formula>0.8</formula>
    </cfRule>
    <cfRule type="cellIs" dxfId="570" priority="1503" operator="greaterThan">
      <formula>0.8</formula>
    </cfRule>
  </conditionalFormatting>
  <conditionalFormatting sqref="R233:T233">
    <cfRule type="notContainsText" dxfId="569" priority="1500" operator="notContains" text="Caida">
      <formula>ISERROR(SEARCH("Caida",R233))</formula>
    </cfRule>
    <cfRule type="containsText" dxfId="568" priority="1501" operator="containsText" text="Caida">
      <formula>NOT(ISERROR(SEARCH("Caida",R233)))</formula>
    </cfRule>
  </conditionalFormatting>
  <conditionalFormatting sqref="R234:T234">
    <cfRule type="cellIs" dxfId="567" priority="1498" operator="lessThan">
      <formula>0.8</formula>
    </cfRule>
    <cfRule type="cellIs" dxfId="566" priority="1499" operator="greaterThan">
      <formula>0.8</formula>
    </cfRule>
  </conditionalFormatting>
  <conditionalFormatting sqref="R234:T234">
    <cfRule type="notContainsText" dxfId="565" priority="1496" operator="notContains" text="Caida">
      <formula>ISERROR(SEARCH("Caida",R234))</formula>
    </cfRule>
    <cfRule type="containsText" dxfId="564" priority="1497" operator="containsText" text="Caida">
      <formula>NOT(ISERROR(SEARCH("Caida",R234)))</formula>
    </cfRule>
  </conditionalFormatting>
  <conditionalFormatting sqref="R235:T235">
    <cfRule type="cellIs" dxfId="563" priority="1494" operator="lessThan">
      <formula>0.8</formula>
    </cfRule>
    <cfRule type="cellIs" dxfId="562" priority="1495" operator="greaterThan">
      <formula>0.8</formula>
    </cfRule>
  </conditionalFormatting>
  <conditionalFormatting sqref="R235:T235">
    <cfRule type="notContainsText" dxfId="561" priority="1492" operator="notContains" text="Caida">
      <formula>ISERROR(SEARCH("Caida",R235))</formula>
    </cfRule>
    <cfRule type="containsText" dxfId="560" priority="1493" operator="containsText" text="Caida">
      <formula>NOT(ISERROR(SEARCH("Caida",R235)))</formula>
    </cfRule>
  </conditionalFormatting>
  <conditionalFormatting sqref="R335:T335">
    <cfRule type="cellIs" dxfId="559" priority="1490" operator="lessThan">
      <formula>0.8</formula>
    </cfRule>
    <cfRule type="cellIs" dxfId="558" priority="1491" operator="greaterThan">
      <formula>0.8</formula>
    </cfRule>
  </conditionalFormatting>
  <conditionalFormatting sqref="R335:T335">
    <cfRule type="notContainsText" dxfId="557" priority="1488" operator="notContains" text="Caida">
      <formula>ISERROR(SEARCH("Caida",R335))</formula>
    </cfRule>
    <cfRule type="containsText" dxfId="556" priority="1489" operator="containsText" text="Caida">
      <formula>NOT(ISERROR(SEARCH("Caida",R335)))</formula>
    </cfRule>
  </conditionalFormatting>
  <conditionalFormatting sqref="S391:S1048576">
    <cfRule type="notContainsText" dxfId="555" priority="1476" operator="notContains" text="Caida">
      <formula>ISERROR(SEARCH("Caida",S391))</formula>
    </cfRule>
    <cfRule type="containsText" dxfId="554" priority="1477" operator="containsText" text="Caida">
      <formula>NOT(ISERROR(SEARCH("Caida",S391)))</formula>
    </cfRule>
  </conditionalFormatting>
  <conditionalFormatting sqref="T391:T1048576">
    <cfRule type="notContainsText" dxfId="553" priority="1427" operator="notContains" text="Caida">
      <formula>ISERROR(SEARCH("Caida",T391))</formula>
    </cfRule>
    <cfRule type="containsText" dxfId="552" priority="1428" operator="containsText" text="Caida">
      <formula>NOT(ISERROR(SEARCH("Caida",T391)))</formula>
    </cfRule>
  </conditionalFormatting>
  <conditionalFormatting sqref="E92:K93">
    <cfRule type="containsText" dxfId="551" priority="1383" operator="containsText" text="Radio">
      <formula>NOT(ISERROR(SEARCH("Radio",E92)))</formula>
    </cfRule>
  </conditionalFormatting>
  <conditionalFormatting sqref="P93:P95">
    <cfRule type="cellIs" dxfId="550" priority="1353" operator="lessThan">
      <formula>0.8</formula>
    </cfRule>
    <cfRule type="cellIs" dxfId="549" priority="1354" operator="greaterThan">
      <formula>0.8</formula>
    </cfRule>
  </conditionalFormatting>
  <conditionalFormatting sqref="P93:P95">
    <cfRule type="notContainsText" dxfId="548" priority="1351" operator="notContains" text="Caida">
      <formula>ISERROR(SEARCH("Caida",P93))</formula>
    </cfRule>
    <cfRule type="containsText" dxfId="547" priority="1352" operator="containsText" text="Caida">
      <formula>NOT(ISERROR(SEARCH("Caida",P93)))</formula>
    </cfRule>
  </conditionalFormatting>
  <conditionalFormatting sqref="Q93:Q95">
    <cfRule type="cellIs" dxfId="546" priority="1349" operator="lessThan">
      <formula>0.8</formula>
    </cfRule>
    <cfRule type="cellIs" dxfId="545" priority="1350" operator="greaterThan">
      <formula>0.8</formula>
    </cfRule>
  </conditionalFormatting>
  <conditionalFormatting sqref="Q93:Q95">
    <cfRule type="notContainsText" dxfId="544" priority="1347" operator="notContains" text="Caida">
      <formula>ISERROR(SEARCH("Caida",Q93))</formula>
    </cfRule>
    <cfRule type="containsText" dxfId="543" priority="1348" operator="containsText" text="Caida">
      <formula>NOT(ISERROR(SEARCH("Caida",Q93)))</formula>
    </cfRule>
  </conditionalFormatting>
  <conditionalFormatting sqref="R93:R95">
    <cfRule type="cellIs" dxfId="542" priority="1345" operator="lessThan">
      <formula>0.8</formula>
    </cfRule>
    <cfRule type="cellIs" dxfId="541" priority="1346" operator="greaterThan">
      <formula>0.8</formula>
    </cfRule>
  </conditionalFormatting>
  <conditionalFormatting sqref="R93:R95">
    <cfRule type="notContainsText" dxfId="540" priority="1343" operator="notContains" text="Caida">
      <formula>ISERROR(SEARCH("Caida",R93))</formula>
    </cfRule>
    <cfRule type="containsText" dxfId="539" priority="1344" operator="containsText" text="Caida">
      <formula>NOT(ISERROR(SEARCH("Caida",R93)))</formula>
    </cfRule>
  </conditionalFormatting>
  <conditionalFormatting sqref="E365:K365">
    <cfRule type="containsText" dxfId="538" priority="1332" operator="containsText" text="Radio">
      <formula>NOT(ISERROR(SEARCH("Radio",E365)))</formula>
    </cfRule>
  </conditionalFormatting>
  <conditionalFormatting sqref="P367">
    <cfRule type="cellIs" dxfId="537" priority="1314" operator="lessThan">
      <formula>0.8</formula>
    </cfRule>
    <cfRule type="cellIs" dxfId="536" priority="1315" operator="greaterThan">
      <formula>0.8</formula>
    </cfRule>
  </conditionalFormatting>
  <conditionalFormatting sqref="P367">
    <cfRule type="notContainsText" dxfId="535" priority="1312" operator="notContains" text="Caida">
      <formula>ISERROR(SEARCH("Caida",P367))</formula>
    </cfRule>
    <cfRule type="containsText" dxfId="534" priority="1313" operator="containsText" text="Caida">
      <formula>NOT(ISERROR(SEARCH("Caida",P367)))</formula>
    </cfRule>
  </conditionalFormatting>
  <conditionalFormatting sqref="Q367">
    <cfRule type="cellIs" dxfId="533" priority="1310" operator="lessThan">
      <formula>0.8</formula>
    </cfRule>
    <cfRule type="cellIs" dxfId="532" priority="1311" operator="greaterThan">
      <formula>0.8</formula>
    </cfRule>
  </conditionalFormatting>
  <conditionalFormatting sqref="Q367">
    <cfRule type="notContainsText" dxfId="531" priority="1308" operator="notContains" text="Caida">
      <formula>ISERROR(SEARCH("Caida",Q367))</formula>
    </cfRule>
    <cfRule type="containsText" dxfId="530" priority="1309" operator="containsText" text="Caida">
      <formula>NOT(ISERROR(SEARCH("Caida",Q367)))</formula>
    </cfRule>
  </conditionalFormatting>
  <conditionalFormatting sqref="R367:T367">
    <cfRule type="cellIs" dxfId="529" priority="1306" operator="lessThan">
      <formula>0.8</formula>
    </cfRule>
    <cfRule type="cellIs" dxfId="528" priority="1307" operator="greaterThan">
      <formula>0.8</formula>
    </cfRule>
  </conditionalFormatting>
  <conditionalFormatting sqref="R367:T367">
    <cfRule type="notContainsText" dxfId="527" priority="1304" operator="notContains" text="Caida">
      <formula>ISERROR(SEARCH("Caida",R367))</formula>
    </cfRule>
    <cfRule type="containsText" dxfId="526" priority="1305" operator="containsText" text="Caida">
      <formula>NOT(ISERROR(SEARCH("Caida",R367)))</formula>
    </cfRule>
  </conditionalFormatting>
  <conditionalFormatting sqref="E366:K366">
    <cfRule type="containsText" dxfId="525" priority="1293" operator="containsText" text="Radio">
      <formula>NOT(ISERROR(SEARCH("Radio",E366)))</formula>
    </cfRule>
  </conditionalFormatting>
  <conditionalFormatting sqref="P368">
    <cfRule type="cellIs" dxfId="524" priority="1275" operator="lessThan">
      <formula>0.8</formula>
    </cfRule>
    <cfRule type="cellIs" dxfId="523" priority="1276" operator="greaterThan">
      <formula>0.8</formula>
    </cfRule>
  </conditionalFormatting>
  <conditionalFormatting sqref="P368">
    <cfRule type="notContainsText" dxfId="522" priority="1273" operator="notContains" text="Caida">
      <formula>ISERROR(SEARCH("Caida",P368))</formula>
    </cfRule>
    <cfRule type="containsText" dxfId="521" priority="1274" operator="containsText" text="Caida">
      <formula>NOT(ISERROR(SEARCH("Caida",P368)))</formula>
    </cfRule>
  </conditionalFormatting>
  <conditionalFormatting sqref="Q368">
    <cfRule type="cellIs" dxfId="520" priority="1271" operator="lessThan">
      <formula>0.8</formula>
    </cfRule>
    <cfRule type="cellIs" dxfId="519" priority="1272" operator="greaterThan">
      <formula>0.8</formula>
    </cfRule>
  </conditionalFormatting>
  <conditionalFormatting sqref="Q368">
    <cfRule type="notContainsText" dxfId="518" priority="1269" operator="notContains" text="Caida">
      <formula>ISERROR(SEARCH("Caida",Q368))</formula>
    </cfRule>
    <cfRule type="containsText" dxfId="517" priority="1270" operator="containsText" text="Caida">
      <formula>NOT(ISERROR(SEARCH("Caida",Q368)))</formula>
    </cfRule>
  </conditionalFormatting>
  <conditionalFormatting sqref="R368:T368">
    <cfRule type="cellIs" dxfId="516" priority="1267" operator="lessThan">
      <formula>0.8</formula>
    </cfRule>
    <cfRule type="cellIs" dxfId="515" priority="1268" operator="greaterThan">
      <formula>0.8</formula>
    </cfRule>
  </conditionalFormatting>
  <conditionalFormatting sqref="R368:T368">
    <cfRule type="notContainsText" dxfId="514" priority="1265" operator="notContains" text="Caida">
      <formula>ISERROR(SEARCH("Caida",R368))</formula>
    </cfRule>
    <cfRule type="containsText" dxfId="513" priority="1266" operator="containsText" text="Caida">
      <formula>NOT(ISERROR(SEARCH("Caida",R368)))</formula>
    </cfRule>
  </conditionalFormatting>
  <conditionalFormatting sqref="E367:K367">
    <cfRule type="containsText" dxfId="512" priority="1254" operator="containsText" text="Radio">
      <formula>NOT(ISERROR(SEARCH("Radio",E367)))</formula>
    </cfRule>
  </conditionalFormatting>
  <conditionalFormatting sqref="P369">
    <cfRule type="cellIs" dxfId="511" priority="1236" operator="lessThan">
      <formula>0.8</formula>
    </cfRule>
    <cfRule type="cellIs" dxfId="510" priority="1237" operator="greaterThan">
      <formula>0.8</formula>
    </cfRule>
  </conditionalFormatting>
  <conditionalFormatting sqref="P369">
    <cfRule type="notContainsText" dxfId="509" priority="1234" operator="notContains" text="Caida">
      <formula>ISERROR(SEARCH("Caida",P369))</formula>
    </cfRule>
    <cfRule type="containsText" dxfId="508" priority="1235" operator="containsText" text="Caida">
      <formula>NOT(ISERROR(SEARCH("Caida",P369)))</formula>
    </cfRule>
  </conditionalFormatting>
  <conditionalFormatting sqref="Q369">
    <cfRule type="cellIs" dxfId="507" priority="1232" operator="lessThan">
      <formula>0.8</formula>
    </cfRule>
    <cfRule type="cellIs" dxfId="506" priority="1233" operator="greaterThan">
      <formula>0.8</formula>
    </cfRule>
  </conditionalFormatting>
  <conditionalFormatting sqref="Q369">
    <cfRule type="notContainsText" dxfId="505" priority="1230" operator="notContains" text="Caida">
      <formula>ISERROR(SEARCH("Caida",Q369))</formula>
    </cfRule>
    <cfRule type="containsText" dxfId="504" priority="1231" operator="containsText" text="Caida">
      <formula>NOT(ISERROR(SEARCH("Caida",Q369)))</formula>
    </cfRule>
  </conditionalFormatting>
  <conditionalFormatting sqref="R369:T369">
    <cfRule type="cellIs" dxfId="503" priority="1228" operator="lessThan">
      <formula>0.8</formula>
    </cfRule>
    <cfRule type="cellIs" dxfId="502" priority="1229" operator="greaterThan">
      <formula>0.8</formula>
    </cfRule>
  </conditionalFormatting>
  <conditionalFormatting sqref="R369:T369">
    <cfRule type="notContainsText" dxfId="501" priority="1226" operator="notContains" text="Caida">
      <formula>ISERROR(SEARCH("Caida",R369))</formula>
    </cfRule>
    <cfRule type="containsText" dxfId="500" priority="1227" operator="containsText" text="Caida">
      <formula>NOT(ISERROR(SEARCH("Caida",R369)))</formula>
    </cfRule>
  </conditionalFormatting>
  <conditionalFormatting sqref="E368:K368">
    <cfRule type="containsText" dxfId="499" priority="1215" operator="containsText" text="Radio">
      <formula>NOT(ISERROR(SEARCH("Radio",E368)))</formula>
    </cfRule>
  </conditionalFormatting>
  <conditionalFormatting sqref="U231">
    <cfRule type="cellIs" dxfId="498" priority="1156" operator="lessThan">
      <formula>0.8</formula>
    </cfRule>
    <cfRule type="cellIs" dxfId="497" priority="1157" operator="greaterThan">
      <formula>0.8</formula>
    </cfRule>
  </conditionalFormatting>
  <conditionalFormatting sqref="U231">
    <cfRule type="notContainsText" dxfId="496" priority="1154" operator="notContains" text="Caida">
      <formula>ISERROR(SEARCH("Caida",U231))</formula>
    </cfRule>
    <cfRule type="containsText" dxfId="495" priority="1155" operator="containsText" text="Caida">
      <formula>NOT(ISERROR(SEARCH("Caida",U231)))</formula>
    </cfRule>
  </conditionalFormatting>
  <conditionalFormatting sqref="U232">
    <cfRule type="cellIs" dxfId="494" priority="1152" operator="lessThan">
      <formula>0.8</formula>
    </cfRule>
    <cfRule type="cellIs" dxfId="493" priority="1153" operator="greaterThan">
      <formula>0.8</formula>
    </cfRule>
  </conditionalFormatting>
  <conditionalFormatting sqref="U232">
    <cfRule type="notContainsText" dxfId="492" priority="1150" operator="notContains" text="Caida">
      <formula>ISERROR(SEARCH("Caida",U232))</formula>
    </cfRule>
    <cfRule type="containsText" dxfId="491" priority="1151" operator="containsText" text="Caida">
      <formula>NOT(ISERROR(SEARCH("Caida",U232)))</formula>
    </cfRule>
  </conditionalFormatting>
  <conditionalFormatting sqref="P370:P372">
    <cfRule type="cellIs" dxfId="490" priority="1197" operator="lessThan">
      <formula>0.8</formula>
    </cfRule>
    <cfRule type="cellIs" dxfId="489" priority="1198" operator="greaterThan">
      <formula>0.8</formula>
    </cfRule>
  </conditionalFormatting>
  <conditionalFormatting sqref="P370:P372">
    <cfRule type="notContainsText" dxfId="488" priority="1195" operator="notContains" text="Caida">
      <formula>ISERROR(SEARCH("Caida",P370))</formula>
    </cfRule>
    <cfRule type="containsText" dxfId="487" priority="1196" operator="containsText" text="Caida">
      <formula>NOT(ISERROR(SEARCH("Caida",P370)))</formula>
    </cfRule>
  </conditionalFormatting>
  <conditionalFormatting sqref="Q370:Q372">
    <cfRule type="cellIs" dxfId="486" priority="1193" operator="lessThan">
      <formula>0.8</formula>
    </cfRule>
    <cfRule type="cellIs" dxfId="485" priority="1194" operator="greaterThan">
      <formula>0.8</formula>
    </cfRule>
  </conditionalFormatting>
  <conditionalFormatting sqref="Q370:Q372">
    <cfRule type="notContainsText" dxfId="484" priority="1191" operator="notContains" text="Caida">
      <formula>ISERROR(SEARCH("Caida",Q370))</formula>
    </cfRule>
    <cfRule type="containsText" dxfId="483" priority="1192" operator="containsText" text="Caida">
      <formula>NOT(ISERROR(SEARCH("Caida",Q370)))</formula>
    </cfRule>
  </conditionalFormatting>
  <conditionalFormatting sqref="R370:T370">
    <cfRule type="cellIs" dxfId="482" priority="1189" operator="lessThan">
      <formula>0.8</formula>
    </cfRule>
    <cfRule type="cellIs" dxfId="481" priority="1190" operator="greaterThan">
      <formula>0.8</formula>
    </cfRule>
  </conditionalFormatting>
  <conditionalFormatting sqref="R370:T370">
    <cfRule type="notContainsText" dxfId="480" priority="1187" operator="notContains" text="Caida">
      <formula>ISERROR(SEARCH("Caida",R370))</formula>
    </cfRule>
    <cfRule type="containsText" dxfId="479" priority="1188" operator="containsText" text="Caida">
      <formula>NOT(ISERROR(SEARCH("Caida",R370)))</formula>
    </cfRule>
  </conditionalFormatting>
  <conditionalFormatting sqref="U368">
    <cfRule type="cellIs" dxfId="478" priority="1120" operator="lessThan">
      <formula>0.8</formula>
    </cfRule>
    <cfRule type="cellIs" dxfId="477" priority="1121" operator="greaterThan">
      <formula>0.8</formula>
    </cfRule>
  </conditionalFormatting>
  <conditionalFormatting sqref="U368">
    <cfRule type="notContainsText" dxfId="476" priority="1118" operator="notContains" text="Caida">
      <formula>ISERROR(SEARCH("Caida",U368))</formula>
    </cfRule>
    <cfRule type="containsText" dxfId="475" priority="1119" operator="containsText" text="Caida">
      <formula>NOT(ISERROR(SEARCH("Caida",U368)))</formula>
    </cfRule>
  </conditionalFormatting>
  <conditionalFormatting sqref="U369">
    <cfRule type="cellIs" dxfId="474" priority="1116" operator="lessThan">
      <formula>0.8</formula>
    </cfRule>
    <cfRule type="cellIs" dxfId="473" priority="1117" operator="greaterThan">
      <formula>0.8</formula>
    </cfRule>
  </conditionalFormatting>
  <conditionalFormatting sqref="U369">
    <cfRule type="notContainsText" dxfId="472" priority="1114" operator="notContains" text="Caida">
      <formula>ISERROR(SEARCH("Caida",U369))</formula>
    </cfRule>
    <cfRule type="containsText" dxfId="471" priority="1115" operator="containsText" text="Caida">
      <formula>NOT(ISERROR(SEARCH("Caida",U369)))</formula>
    </cfRule>
  </conditionalFormatting>
  <conditionalFormatting sqref="U370:U372">
    <cfRule type="cellIs" dxfId="470" priority="1112" operator="lessThan">
      <formula>0.8</formula>
    </cfRule>
    <cfRule type="cellIs" dxfId="469" priority="1113" operator="greaterThan">
      <formula>0.8</formula>
    </cfRule>
  </conditionalFormatting>
  <conditionalFormatting sqref="U370:U372">
    <cfRule type="notContainsText" dxfId="468" priority="1110" operator="notContains" text="Caida">
      <formula>ISERROR(SEARCH("Caida",U370))</formula>
    </cfRule>
    <cfRule type="containsText" dxfId="467" priority="1111" operator="containsText" text="Caida">
      <formula>NOT(ISERROR(SEARCH("Caida",U370)))</formula>
    </cfRule>
  </conditionalFormatting>
  <conditionalFormatting sqref="U6:U92 U96:U230">
    <cfRule type="cellIs" dxfId="466" priority="1177" operator="lessThan">
      <formula>0.8</formula>
    </cfRule>
    <cfRule type="cellIs" dxfId="465" priority="1178" operator="greaterThan">
      <formula>0.8</formula>
    </cfRule>
  </conditionalFormatting>
  <conditionalFormatting sqref="U6:U92 U96:U230">
    <cfRule type="notContainsText" dxfId="464" priority="1175" operator="notContains" text="Caida">
      <formula>ISERROR(SEARCH("Caida",U6))</formula>
    </cfRule>
    <cfRule type="containsText" dxfId="463" priority="1176" operator="containsText" text="Caida">
      <formula>NOT(ISERROR(SEARCH("Caida",U6)))</formula>
    </cfRule>
  </conditionalFormatting>
  <conditionalFormatting sqref="U336">
    <cfRule type="cellIs" dxfId="462" priority="1132" operator="lessThan">
      <formula>0.8</formula>
    </cfRule>
    <cfRule type="cellIs" dxfId="461" priority="1133" operator="greaterThan">
      <formula>0.8</formula>
    </cfRule>
  </conditionalFormatting>
  <conditionalFormatting sqref="U336">
    <cfRule type="notContainsText" dxfId="460" priority="1130" operator="notContains" text="Caida">
      <formula>ISERROR(SEARCH("Caida",U336))</formula>
    </cfRule>
    <cfRule type="containsText" dxfId="459" priority="1131" operator="containsText" text="Caida">
      <formula>NOT(ISERROR(SEARCH("Caida",U336)))</formula>
    </cfRule>
  </conditionalFormatting>
  <conditionalFormatting sqref="U337:U366 U284:U334">
    <cfRule type="cellIs" dxfId="458" priority="1173" operator="lessThan">
      <formula>0.8</formula>
    </cfRule>
    <cfRule type="cellIs" dxfId="457" priority="1174" operator="greaterThan">
      <formula>0.8</formula>
    </cfRule>
  </conditionalFormatting>
  <conditionalFormatting sqref="U337:U366 U284:U334 U391:U1048576">
    <cfRule type="notContainsText" dxfId="456" priority="1171" operator="notContains" text="Caida">
      <formula>ISERROR(SEARCH("Caida",U284))</formula>
    </cfRule>
    <cfRule type="containsText" dxfId="455" priority="1172" operator="containsText" text="Caida">
      <formula>NOT(ISERROR(SEARCH("Caida",U284)))</formula>
    </cfRule>
  </conditionalFormatting>
  <conditionalFormatting sqref="U22">
    <cfRule type="containsText" dxfId="454" priority="1170" operator="containsText" text="Instaladas en Funcionamiento Caida">
      <formula>NOT(ISERROR(SEARCH("Instaladas en Funcionamiento Caida",U22)))</formula>
    </cfRule>
  </conditionalFormatting>
  <conditionalFormatting sqref="U282">
    <cfRule type="cellIs" dxfId="453" priority="1168" operator="lessThan">
      <formula>0.8</formula>
    </cfRule>
    <cfRule type="cellIs" dxfId="452" priority="1169" operator="greaterThan">
      <formula>0.8</formula>
    </cfRule>
  </conditionalFormatting>
  <conditionalFormatting sqref="U282">
    <cfRule type="notContainsText" dxfId="451" priority="1166" operator="notContains" text="Caida">
      <formula>ISERROR(SEARCH("Caida",U282))</formula>
    </cfRule>
    <cfRule type="containsText" dxfId="450" priority="1167" operator="containsText" text="Caida">
      <formula>NOT(ISERROR(SEARCH("Caida",U282)))</formula>
    </cfRule>
  </conditionalFormatting>
  <conditionalFormatting sqref="U283">
    <cfRule type="cellIs" dxfId="449" priority="1164" operator="lessThan">
      <formula>0.8</formula>
    </cfRule>
    <cfRule type="cellIs" dxfId="448" priority="1165" operator="greaterThan">
      <formula>0.8</formula>
    </cfRule>
  </conditionalFormatting>
  <conditionalFormatting sqref="U283">
    <cfRule type="notContainsText" dxfId="447" priority="1162" operator="notContains" text="Caida">
      <formula>ISERROR(SEARCH("Caida",U283))</formula>
    </cfRule>
    <cfRule type="containsText" dxfId="446" priority="1163" operator="containsText" text="Caida">
      <formula>NOT(ISERROR(SEARCH("Caida",U283)))</formula>
    </cfRule>
  </conditionalFormatting>
  <conditionalFormatting sqref="U5">
    <cfRule type="cellIs" dxfId="445" priority="1160" operator="lessThan">
      <formula>0.8</formula>
    </cfRule>
    <cfRule type="cellIs" dxfId="444" priority="1161" operator="greaterThan">
      <formula>0.8</formula>
    </cfRule>
  </conditionalFormatting>
  <conditionalFormatting sqref="U5">
    <cfRule type="notContainsText" dxfId="443" priority="1158" operator="notContains" text="Caida">
      <formula>ISERROR(SEARCH("Caida",U5))</formula>
    </cfRule>
    <cfRule type="containsText" dxfId="442" priority="1159" operator="containsText" text="Caida">
      <formula>NOT(ISERROR(SEARCH("Caida",U5)))</formula>
    </cfRule>
  </conditionalFormatting>
  <conditionalFormatting sqref="U233">
    <cfRule type="cellIs" dxfId="441" priority="1148" operator="lessThan">
      <formula>0.8</formula>
    </cfRule>
    <cfRule type="cellIs" dxfId="440" priority="1149" operator="greaterThan">
      <formula>0.8</formula>
    </cfRule>
  </conditionalFormatting>
  <conditionalFormatting sqref="U233">
    <cfRule type="notContainsText" dxfId="439" priority="1146" operator="notContains" text="Caida">
      <formula>ISERROR(SEARCH("Caida",U233))</formula>
    </cfRule>
    <cfRule type="containsText" dxfId="438" priority="1147" operator="containsText" text="Caida">
      <formula>NOT(ISERROR(SEARCH("Caida",U233)))</formula>
    </cfRule>
  </conditionalFormatting>
  <conditionalFormatting sqref="U234">
    <cfRule type="cellIs" dxfId="437" priority="1144" operator="lessThan">
      <formula>0.8</formula>
    </cfRule>
    <cfRule type="cellIs" dxfId="436" priority="1145" operator="greaterThan">
      <formula>0.8</formula>
    </cfRule>
  </conditionalFormatting>
  <conditionalFormatting sqref="U234">
    <cfRule type="notContainsText" dxfId="435" priority="1142" operator="notContains" text="Caida">
      <formula>ISERROR(SEARCH("Caida",U234))</formula>
    </cfRule>
    <cfRule type="containsText" dxfId="434" priority="1143" operator="containsText" text="Caida">
      <formula>NOT(ISERROR(SEARCH("Caida",U234)))</formula>
    </cfRule>
  </conditionalFormatting>
  <conditionalFormatting sqref="U235">
    <cfRule type="cellIs" dxfId="433" priority="1140" operator="lessThan">
      <formula>0.8</formula>
    </cfRule>
    <cfRule type="cellIs" dxfId="432" priority="1141" operator="greaterThan">
      <formula>0.8</formula>
    </cfRule>
  </conditionalFormatting>
  <conditionalFormatting sqref="U235">
    <cfRule type="notContainsText" dxfId="431" priority="1138" operator="notContains" text="Caida">
      <formula>ISERROR(SEARCH("Caida",U235))</formula>
    </cfRule>
    <cfRule type="containsText" dxfId="430" priority="1139" operator="containsText" text="Caida">
      <formula>NOT(ISERROR(SEARCH("Caida",U235)))</formula>
    </cfRule>
  </conditionalFormatting>
  <conditionalFormatting sqref="U335">
    <cfRule type="cellIs" dxfId="429" priority="1136" operator="lessThan">
      <formula>0.8</formula>
    </cfRule>
    <cfRule type="cellIs" dxfId="428" priority="1137" operator="greaterThan">
      <formula>0.8</formula>
    </cfRule>
  </conditionalFormatting>
  <conditionalFormatting sqref="U335">
    <cfRule type="notContainsText" dxfId="427" priority="1134" operator="notContains" text="Caida">
      <formula>ISERROR(SEARCH("Caida",U335))</formula>
    </cfRule>
    <cfRule type="containsText" dxfId="426" priority="1135" operator="containsText" text="Caida">
      <formula>NOT(ISERROR(SEARCH("Caida",U335)))</formula>
    </cfRule>
  </conditionalFormatting>
  <conditionalFormatting sqref="U93:U95">
    <cfRule type="cellIs" dxfId="425" priority="1128" operator="lessThan">
      <formula>0.8</formula>
    </cfRule>
    <cfRule type="cellIs" dxfId="424" priority="1129" operator="greaterThan">
      <formula>0.8</formula>
    </cfRule>
  </conditionalFormatting>
  <conditionalFormatting sqref="U93:U95">
    <cfRule type="notContainsText" dxfId="423" priority="1126" operator="notContains" text="Caida">
      <formula>ISERROR(SEARCH("Caida",U93))</formula>
    </cfRule>
    <cfRule type="containsText" dxfId="422" priority="1127" operator="containsText" text="Caida">
      <formula>NOT(ISERROR(SEARCH("Caida",U93)))</formula>
    </cfRule>
  </conditionalFormatting>
  <conditionalFormatting sqref="U367">
    <cfRule type="cellIs" dxfId="421" priority="1124" operator="lessThan">
      <formula>0.8</formula>
    </cfRule>
    <cfRule type="cellIs" dxfId="420" priority="1125" operator="greaterThan">
      <formula>0.8</formula>
    </cfRule>
  </conditionalFormatting>
  <conditionalFormatting sqref="U367">
    <cfRule type="notContainsText" dxfId="419" priority="1122" operator="notContains" text="Caida">
      <formula>ISERROR(SEARCH("Caida",U367))</formula>
    </cfRule>
    <cfRule type="containsText" dxfId="418" priority="1123" operator="containsText" text="Caida">
      <formula>NOT(ISERROR(SEARCH("Caida",U367)))</formula>
    </cfRule>
  </conditionalFormatting>
  <conditionalFormatting sqref="V6:X92">
    <cfRule type="cellIs" dxfId="417" priority="1108" operator="lessThan">
      <formula>0.8</formula>
    </cfRule>
    <cfRule type="cellIs" dxfId="416" priority="1109" operator="greaterThan">
      <formula>0.8</formula>
    </cfRule>
  </conditionalFormatting>
  <conditionalFormatting sqref="V6:X92">
    <cfRule type="notContainsText" dxfId="415" priority="1106" operator="notContains" text="Caida">
      <formula>ISERROR(SEARCH("Caida",V6))</formula>
    </cfRule>
    <cfRule type="containsText" dxfId="414" priority="1107" operator="containsText" text="Caida">
      <formula>NOT(ISERROR(SEARCH("Caida",V6)))</formula>
    </cfRule>
  </conditionalFormatting>
  <conditionalFormatting sqref="V22:X22 AA22:AJ22">
    <cfRule type="containsText" dxfId="413" priority="1105" operator="containsText" text="Instaladas en Funcionamiento Caida">
      <formula>NOT(ISERROR(SEARCH("Instaladas en Funcionamiento Caida",V22)))</formula>
    </cfRule>
  </conditionalFormatting>
  <conditionalFormatting sqref="V5:X5 AA5:AJ5">
    <cfRule type="cellIs" dxfId="412" priority="1103" operator="lessThan">
      <formula>0.8</formula>
    </cfRule>
    <cfRule type="cellIs" dxfId="411" priority="1104" operator="greaterThan">
      <formula>0.8</formula>
    </cfRule>
  </conditionalFormatting>
  <conditionalFormatting sqref="V5:X5 AA5:AJ5">
    <cfRule type="notContainsText" dxfId="410" priority="1101" operator="notContains" text="Caida">
      <formula>ISERROR(SEARCH("Caida",V5))</formula>
    </cfRule>
    <cfRule type="containsText" dxfId="409" priority="1102" operator="containsText" text="Caida">
      <formula>NOT(ISERROR(SEARCH("Caida",V5)))</formula>
    </cfRule>
  </conditionalFormatting>
  <conditionalFormatting sqref="V93:X95">
    <cfRule type="cellIs" dxfId="408" priority="1099" operator="lessThan">
      <formula>0.8</formula>
    </cfRule>
    <cfRule type="cellIs" dxfId="407" priority="1100" operator="greaterThan">
      <formula>0.8</formula>
    </cfRule>
  </conditionalFormatting>
  <conditionalFormatting sqref="V93:X95">
    <cfRule type="notContainsText" dxfId="406" priority="1097" operator="notContains" text="Caida">
      <formula>ISERROR(SEARCH("Caida",V93))</formula>
    </cfRule>
    <cfRule type="containsText" dxfId="405" priority="1098" operator="containsText" text="Caida">
      <formula>NOT(ISERROR(SEARCH("Caida",V93)))</formula>
    </cfRule>
  </conditionalFormatting>
  <conditionalFormatting sqref="E1:E372 E391:E1048576">
    <cfRule type="containsText" dxfId="404" priority="957" operator="containsText" text="fija">
      <formula>NOT(ISERROR(SEARCH("fija",E1)))</formula>
    </cfRule>
    <cfRule type="containsText" dxfId="403" priority="958" operator="containsText" text="domo">
      <formula>NOT(ISERROR(SEARCH("domo",E1)))</formula>
    </cfRule>
  </conditionalFormatting>
  <conditionalFormatting sqref="AK6:AP92">
    <cfRule type="cellIs" dxfId="402" priority="933" operator="lessThan">
      <formula>0.8</formula>
    </cfRule>
    <cfRule type="cellIs" dxfId="401" priority="934" operator="greaterThan">
      <formula>0.8</formula>
    </cfRule>
  </conditionalFormatting>
  <conditionalFormatting sqref="AK6:AP92">
    <cfRule type="notContainsText" dxfId="400" priority="931" operator="notContains" text="Caida">
      <formula>ISERROR(SEARCH("Caida",AK6))</formula>
    </cfRule>
    <cfRule type="containsText" dxfId="399" priority="932" operator="containsText" text="Caida">
      <formula>NOT(ISERROR(SEARCH("Caida",AK6)))</formula>
    </cfRule>
  </conditionalFormatting>
  <conditionalFormatting sqref="AK22:AR22">
    <cfRule type="containsText" dxfId="398" priority="930" operator="containsText" text="Instaladas en Funcionamiento Caida">
      <formula>NOT(ISERROR(SEARCH("Instaladas en Funcionamiento Caida",AK22)))</formula>
    </cfRule>
  </conditionalFormatting>
  <conditionalFormatting sqref="AK5:AR5">
    <cfRule type="cellIs" dxfId="397" priority="928" operator="lessThan">
      <formula>0.8</formula>
    </cfRule>
    <cfRule type="cellIs" dxfId="396" priority="929" operator="greaterThan">
      <formula>0.8</formula>
    </cfRule>
  </conditionalFormatting>
  <conditionalFormatting sqref="AK5:AR5">
    <cfRule type="notContainsText" dxfId="395" priority="926" operator="notContains" text="Caida">
      <formula>ISERROR(SEARCH("Caida",AK5))</formula>
    </cfRule>
    <cfRule type="containsText" dxfId="394" priority="927" operator="containsText" text="Caida">
      <formula>NOT(ISERROR(SEARCH("Caida",AK5)))</formula>
    </cfRule>
  </conditionalFormatting>
  <conditionalFormatting sqref="AK93:AP94">
    <cfRule type="cellIs" dxfId="393" priority="924" operator="lessThan">
      <formula>0.8</formula>
    </cfRule>
    <cfRule type="cellIs" dxfId="392" priority="925" operator="greaterThan">
      <formula>0.8</formula>
    </cfRule>
  </conditionalFormatting>
  <conditionalFormatting sqref="AK93:AP94">
    <cfRule type="notContainsText" dxfId="391" priority="922" operator="notContains" text="Caida">
      <formula>ISERROR(SEARCH("Caida",AK93))</formula>
    </cfRule>
    <cfRule type="containsText" dxfId="390" priority="923" operator="containsText" text="Caida">
      <formula>NOT(ISERROR(SEARCH("Caida",AK93)))</formula>
    </cfRule>
  </conditionalFormatting>
  <conditionalFormatting sqref="O247:O372 O5:X369 AK1:AR1 AK391:AR1048576 AK5:AR372 AA5:AJ369">
    <cfRule type="cellIs" dxfId="389" priority="921" operator="equal">
      <formula>"APAGADO"</formula>
    </cfRule>
  </conditionalFormatting>
  <conditionalFormatting sqref="S6:S92 S96:S230">
    <cfRule type="cellIs" dxfId="388" priority="905" operator="lessThan">
      <formula>0.8</formula>
    </cfRule>
    <cfRule type="cellIs" dxfId="387" priority="906" operator="greaterThan">
      <formula>0.8</formula>
    </cfRule>
  </conditionalFormatting>
  <conditionalFormatting sqref="S6:S92 S96:S230">
    <cfRule type="notContainsText" dxfId="386" priority="903" operator="notContains" text="Caida">
      <formula>ISERROR(SEARCH("Caida",S6))</formula>
    </cfRule>
    <cfRule type="containsText" dxfId="385" priority="904" operator="containsText" text="Caida">
      <formula>NOT(ISERROR(SEARCH("Caida",S6)))</formula>
    </cfRule>
  </conditionalFormatting>
  <conditionalFormatting sqref="S337:S366 S284:S334">
    <cfRule type="cellIs" dxfId="384" priority="901" operator="lessThan">
      <formula>0.8</formula>
    </cfRule>
    <cfRule type="cellIs" dxfId="383" priority="902" operator="greaterThan">
      <formula>0.8</formula>
    </cfRule>
  </conditionalFormatting>
  <conditionalFormatting sqref="S337:S366 S284:S334">
    <cfRule type="notContainsText" dxfId="382" priority="899" operator="notContains" text="Caida">
      <formula>ISERROR(SEARCH("Caida",S284))</formula>
    </cfRule>
    <cfRule type="containsText" dxfId="381" priority="900" operator="containsText" text="Caida">
      <formula>NOT(ISERROR(SEARCH("Caida",S284)))</formula>
    </cfRule>
  </conditionalFormatting>
  <conditionalFormatting sqref="S93:S95">
    <cfRule type="cellIs" dxfId="380" priority="897" operator="lessThan">
      <formula>0.8</formula>
    </cfRule>
    <cfRule type="cellIs" dxfId="379" priority="898" operator="greaterThan">
      <formula>0.8</formula>
    </cfRule>
  </conditionalFormatting>
  <conditionalFormatting sqref="S93:S95">
    <cfRule type="notContainsText" dxfId="378" priority="895" operator="notContains" text="Caida">
      <formula>ISERROR(SEARCH("Caida",S93))</formula>
    </cfRule>
    <cfRule type="containsText" dxfId="377" priority="896" operator="containsText" text="Caida">
      <formula>NOT(ISERROR(SEARCH("Caida",S93)))</formula>
    </cfRule>
  </conditionalFormatting>
  <conditionalFormatting sqref="T6:T92 T96:T230">
    <cfRule type="cellIs" dxfId="376" priority="893" operator="lessThan">
      <formula>0.8</formula>
    </cfRule>
    <cfRule type="cellIs" dxfId="375" priority="894" operator="greaterThan">
      <formula>0.8</formula>
    </cfRule>
  </conditionalFormatting>
  <conditionalFormatting sqref="T6:T92 T96:T230">
    <cfRule type="notContainsText" dxfId="374" priority="891" operator="notContains" text="Caida">
      <formula>ISERROR(SEARCH("Caida",T6))</formula>
    </cfRule>
    <cfRule type="containsText" dxfId="373" priority="892" operator="containsText" text="Caida">
      <formula>NOT(ISERROR(SEARCH("Caida",T6)))</formula>
    </cfRule>
  </conditionalFormatting>
  <conditionalFormatting sqref="T337:T366 T284:T334">
    <cfRule type="cellIs" dxfId="372" priority="889" operator="lessThan">
      <formula>0.8</formula>
    </cfRule>
    <cfRule type="cellIs" dxfId="371" priority="890" operator="greaterThan">
      <formula>0.8</formula>
    </cfRule>
  </conditionalFormatting>
  <conditionalFormatting sqref="T337:T366 T284:T334">
    <cfRule type="notContainsText" dxfId="370" priority="887" operator="notContains" text="Caida">
      <formula>ISERROR(SEARCH("Caida",T284))</formula>
    </cfRule>
    <cfRule type="containsText" dxfId="369" priority="888" operator="containsText" text="Caida">
      <formula>NOT(ISERROR(SEARCH("Caida",T284)))</formula>
    </cfRule>
  </conditionalFormatting>
  <conditionalFormatting sqref="T93:T95">
    <cfRule type="cellIs" dxfId="368" priority="885" operator="lessThan">
      <formula>0.8</formula>
    </cfRule>
    <cfRule type="cellIs" dxfId="367" priority="886" operator="greaterThan">
      <formula>0.8</formula>
    </cfRule>
  </conditionalFormatting>
  <conditionalFormatting sqref="T93:T95">
    <cfRule type="notContainsText" dxfId="366" priority="883" operator="notContains" text="Caida">
      <formula>ISERROR(SEARCH("Caida",T93))</formula>
    </cfRule>
    <cfRule type="containsText" dxfId="365" priority="884" operator="containsText" text="Caida">
      <formula>NOT(ISERROR(SEARCH("Caida",T93)))</formula>
    </cfRule>
  </conditionalFormatting>
  <conditionalFormatting sqref="F1:F372 F391:F1048576">
    <cfRule type="cellIs" dxfId="364" priority="812" operator="equal">
      <formula>"PTP A FO"</formula>
    </cfRule>
  </conditionalFormatting>
  <conditionalFormatting sqref="R371:T372">
    <cfRule type="cellIs" dxfId="363" priority="441" operator="lessThan">
      <formula>0.8</formula>
    </cfRule>
    <cfRule type="cellIs" dxfId="362" priority="442" operator="greaterThan">
      <formula>0.8</formula>
    </cfRule>
  </conditionalFormatting>
  <conditionalFormatting sqref="R371:T372">
    <cfRule type="notContainsText" dxfId="361" priority="439" operator="notContains" text="Caida">
      <formula>ISERROR(SEARCH("Caida",R371))</formula>
    </cfRule>
    <cfRule type="containsText" dxfId="360" priority="440" operator="containsText" text="Caida">
      <formula>NOT(ISERROR(SEARCH("Caida",R371)))</formula>
    </cfRule>
  </conditionalFormatting>
  <conditionalFormatting sqref="O6:O92">
    <cfRule type="cellIs" dxfId="359" priority="429" operator="lessThan">
      <formula>0.8</formula>
    </cfRule>
    <cfRule type="cellIs" dxfId="358" priority="430" operator="greaterThan">
      <formula>0.8</formula>
    </cfRule>
  </conditionalFormatting>
  <conditionalFormatting sqref="O6:O92">
    <cfRule type="notContainsText" dxfId="357" priority="427" operator="notContains" text="Caida">
      <formula>ISERROR(SEARCH("Caida",O6))</formula>
    </cfRule>
    <cfRule type="containsText" dxfId="356" priority="428" operator="containsText" text="Caida">
      <formula>NOT(ISERROR(SEARCH("Caida",O6)))</formula>
    </cfRule>
  </conditionalFormatting>
  <conditionalFormatting sqref="O22">
    <cfRule type="containsText" dxfId="355" priority="426" operator="containsText" text="Instaladas en Funcionamiento Caida">
      <formula>NOT(ISERROR(SEARCH("Instaladas en Funcionamiento Caida",O22)))</formula>
    </cfRule>
  </conditionalFormatting>
  <conditionalFormatting sqref="O5">
    <cfRule type="cellIs" dxfId="354" priority="424" operator="lessThan">
      <formula>0.8</formula>
    </cfRule>
    <cfRule type="cellIs" dxfId="353" priority="425" operator="greaterThan">
      <formula>0.8</formula>
    </cfRule>
  </conditionalFormatting>
  <conditionalFormatting sqref="O5">
    <cfRule type="notContainsText" dxfId="352" priority="422" operator="notContains" text="Caida">
      <formula>ISERROR(SEARCH("Caida",O5))</formula>
    </cfRule>
    <cfRule type="containsText" dxfId="351" priority="423" operator="containsText" text="Caida">
      <formula>NOT(ISERROR(SEARCH("Caida",O5)))</formula>
    </cfRule>
  </conditionalFormatting>
  <conditionalFormatting sqref="O93:O94">
    <cfRule type="cellIs" dxfId="350" priority="420" operator="lessThan">
      <formula>0.8</formula>
    </cfRule>
    <cfRule type="cellIs" dxfId="349" priority="421" operator="greaterThan">
      <formula>0.8</formula>
    </cfRule>
  </conditionalFormatting>
  <conditionalFormatting sqref="O93:O94">
    <cfRule type="notContainsText" dxfId="348" priority="418" operator="notContains" text="Caida">
      <formula>ISERROR(SEARCH("Caida",O93))</formula>
    </cfRule>
    <cfRule type="containsText" dxfId="347" priority="419" operator="containsText" text="Caida">
      <formula>NOT(ISERROR(SEARCH("Caida",O93)))</formula>
    </cfRule>
  </conditionalFormatting>
  <conditionalFormatting sqref="AR6:AR92">
    <cfRule type="cellIs" dxfId="346" priority="411" operator="lessThan">
      <formula>0.8</formula>
    </cfRule>
    <cfRule type="cellIs" dxfId="345" priority="412" operator="greaterThan">
      <formula>0.8</formula>
    </cfRule>
  </conditionalFormatting>
  <conditionalFormatting sqref="AR6:AR92">
    <cfRule type="notContainsText" dxfId="344" priority="409" operator="notContains" text="Caida">
      <formula>ISERROR(SEARCH("Caida",AR6))</formula>
    </cfRule>
    <cfRule type="containsText" dxfId="343" priority="410" operator="containsText" text="Caida">
      <formula>NOT(ISERROR(SEARCH("Caida",AR6)))</formula>
    </cfRule>
  </conditionalFormatting>
  <conditionalFormatting sqref="AR93:AR94">
    <cfRule type="cellIs" dxfId="342" priority="407" operator="lessThan">
      <formula>0.8</formula>
    </cfRule>
    <cfRule type="cellIs" dxfId="341" priority="408" operator="greaterThan">
      <formula>0.8</formula>
    </cfRule>
  </conditionalFormatting>
  <conditionalFormatting sqref="AR93:AR94">
    <cfRule type="notContainsText" dxfId="340" priority="405" operator="notContains" text="Caida">
      <formula>ISERROR(SEARCH("Caida",AR93))</formula>
    </cfRule>
    <cfRule type="containsText" dxfId="339" priority="406" operator="containsText" text="Caida">
      <formula>NOT(ISERROR(SEARCH("Caida",AR93)))</formula>
    </cfRule>
  </conditionalFormatting>
  <conditionalFormatting sqref="AA6:AF92">
    <cfRule type="cellIs" dxfId="338" priority="346" operator="lessThan">
      <formula>0.8</formula>
    </cfRule>
    <cfRule type="cellIs" dxfId="337" priority="347" operator="greaterThan">
      <formula>0.8</formula>
    </cfRule>
  </conditionalFormatting>
  <conditionalFormatting sqref="AA6:AF92">
    <cfRule type="notContainsText" dxfId="336" priority="344" operator="notContains" text="Caida">
      <formula>ISERROR(SEARCH("Caida",AA6))</formula>
    </cfRule>
    <cfRule type="containsText" dxfId="335" priority="345" operator="containsText" text="Caida">
      <formula>NOT(ISERROR(SEARCH("Caida",AA6)))</formula>
    </cfRule>
  </conditionalFormatting>
  <conditionalFormatting sqref="AA93:AF95">
    <cfRule type="cellIs" dxfId="334" priority="342" operator="lessThan">
      <formula>0.8</formula>
    </cfRule>
    <cfRule type="cellIs" dxfId="333" priority="343" operator="greaterThan">
      <formula>0.8</formula>
    </cfRule>
  </conditionalFormatting>
  <conditionalFormatting sqref="AA93:AF95">
    <cfRule type="notContainsText" dxfId="332" priority="340" operator="notContains" text="Caida">
      <formula>ISERROR(SEARCH("Caida",AA93))</formula>
    </cfRule>
    <cfRule type="containsText" dxfId="331" priority="341" operator="containsText" text="Caida">
      <formula>NOT(ISERROR(SEARCH("Caida",AA93)))</formula>
    </cfRule>
  </conditionalFormatting>
  <conditionalFormatting sqref="AF1 AF5:AF372 AF380:AF1048576 AF3">
    <cfRule type="cellIs" dxfId="330" priority="339" operator="equal">
      <formula>"apagado"</formula>
    </cfRule>
  </conditionalFormatting>
  <conditionalFormatting sqref="AE1 AE5:AE372 AE380:AE1048576 AE3">
    <cfRule type="cellIs" dxfId="329" priority="338" operator="equal">
      <formula>"apagado"</formula>
    </cfRule>
  </conditionalFormatting>
  <conditionalFormatting sqref="AD1 AD5:AD372 AD380:AD1048576 AD3">
    <cfRule type="cellIs" dxfId="328" priority="337" operator="equal">
      <formula>"apagado"</formula>
    </cfRule>
  </conditionalFormatting>
  <conditionalFormatting sqref="AC1 AC5:AC372 AC380:AC1048576 AC3">
    <cfRule type="cellIs" dxfId="327" priority="336" operator="equal">
      <formula>"apagado"</formula>
    </cfRule>
  </conditionalFormatting>
  <conditionalFormatting sqref="AB1 AB5:AB372 AB380:AB1048576 AB3">
    <cfRule type="cellIs" dxfId="326" priority="335" operator="equal">
      <formula>"apagado"</formula>
    </cfRule>
  </conditionalFormatting>
  <conditionalFormatting sqref="AA1 AA5:AA372 AA380:AA1048576 AA3">
    <cfRule type="cellIs" dxfId="325" priority="334" operator="equal">
      <formula>"apagado"</formula>
    </cfRule>
  </conditionalFormatting>
  <conditionalFormatting sqref="Z1 Z380:Z1048576 Z3">
    <cfRule type="cellIs" dxfId="324" priority="333" operator="equal">
      <formula>"apagado"</formula>
    </cfRule>
  </conditionalFormatting>
  <conditionalFormatting sqref="Y1 Y380:Y1048576 Y3">
    <cfRule type="cellIs" dxfId="323" priority="332" operator="equal">
      <formula>"apagado"</formula>
    </cfRule>
  </conditionalFormatting>
  <conditionalFormatting sqref="AG6:AG92">
    <cfRule type="cellIs" dxfId="322" priority="330" operator="lessThan">
      <formula>0.8</formula>
    </cfRule>
    <cfRule type="cellIs" dxfId="321" priority="331" operator="greaterThan">
      <formula>0.8</formula>
    </cfRule>
  </conditionalFormatting>
  <conditionalFormatting sqref="AG6:AG92">
    <cfRule type="notContainsText" dxfId="320" priority="328" operator="notContains" text="Caida">
      <formula>ISERROR(SEARCH("Caida",AG6))</formula>
    </cfRule>
    <cfRule type="containsText" dxfId="319" priority="329" operator="containsText" text="Caida">
      <formula>NOT(ISERROR(SEARCH("Caida",AG6)))</formula>
    </cfRule>
  </conditionalFormatting>
  <conditionalFormatting sqref="AG93:AG95">
    <cfRule type="cellIs" dxfId="318" priority="326" operator="lessThan">
      <formula>0.8</formula>
    </cfRule>
    <cfRule type="cellIs" dxfId="317" priority="327" operator="greaterThan">
      <formula>0.8</formula>
    </cfRule>
  </conditionalFormatting>
  <conditionalFormatting sqref="AG93:AG95">
    <cfRule type="notContainsText" dxfId="316" priority="324" operator="notContains" text="Caida">
      <formula>ISERROR(SEARCH("Caida",AG93))</formula>
    </cfRule>
    <cfRule type="containsText" dxfId="315" priority="325" operator="containsText" text="Caida">
      <formula>NOT(ISERROR(SEARCH("Caida",AG93)))</formula>
    </cfRule>
  </conditionalFormatting>
  <conditionalFormatting sqref="AG1 AG5:AG372 AG380:AG1048576 AG3">
    <cfRule type="cellIs" dxfId="314" priority="323" operator="equal">
      <formula>"apagado"</formula>
    </cfRule>
  </conditionalFormatting>
  <conditionalFormatting sqref="AH6:AH92">
    <cfRule type="cellIs" dxfId="313" priority="321" operator="lessThan">
      <formula>0.8</formula>
    </cfRule>
    <cfRule type="cellIs" dxfId="312" priority="322" operator="greaterThan">
      <formula>0.8</formula>
    </cfRule>
  </conditionalFormatting>
  <conditionalFormatting sqref="AH6:AH92">
    <cfRule type="notContainsText" dxfId="311" priority="319" operator="notContains" text="Caida">
      <formula>ISERROR(SEARCH("Caida",AH6))</formula>
    </cfRule>
    <cfRule type="containsText" dxfId="310" priority="320" operator="containsText" text="Caida">
      <formula>NOT(ISERROR(SEARCH("Caida",AH6)))</formula>
    </cfRule>
  </conditionalFormatting>
  <conditionalFormatting sqref="AH93:AH95">
    <cfRule type="cellIs" dxfId="309" priority="317" operator="lessThan">
      <formula>0.8</formula>
    </cfRule>
    <cfRule type="cellIs" dxfId="308" priority="318" operator="greaterThan">
      <formula>0.8</formula>
    </cfRule>
  </conditionalFormatting>
  <conditionalFormatting sqref="AH93:AH95">
    <cfRule type="notContainsText" dxfId="307" priority="315" operator="notContains" text="Caida">
      <formula>ISERROR(SEARCH("Caida",AH93))</formula>
    </cfRule>
    <cfRule type="containsText" dxfId="306" priority="316" operator="containsText" text="Caida">
      <formula>NOT(ISERROR(SEARCH("Caida",AH93)))</formula>
    </cfRule>
  </conditionalFormatting>
  <conditionalFormatting sqref="AH1 AH380:AH1048576 AH3 AH5:AH372">
    <cfRule type="cellIs" dxfId="305" priority="314" operator="equal">
      <formula>"apagado"</formula>
    </cfRule>
  </conditionalFormatting>
  <conditionalFormatting sqref="AI6:AI92">
    <cfRule type="cellIs" dxfId="304" priority="312" operator="lessThan">
      <formula>0.8</formula>
    </cfRule>
    <cfRule type="cellIs" dxfId="303" priority="313" operator="greaterThan">
      <formula>0.8</formula>
    </cfRule>
  </conditionalFormatting>
  <conditionalFormatting sqref="AI6:AI92">
    <cfRule type="notContainsText" dxfId="302" priority="310" operator="notContains" text="Caida">
      <formula>ISERROR(SEARCH("Caida",AI6))</formula>
    </cfRule>
    <cfRule type="containsText" dxfId="301" priority="311" operator="containsText" text="Caida">
      <formula>NOT(ISERROR(SEARCH("Caida",AI6)))</formula>
    </cfRule>
  </conditionalFormatting>
  <conditionalFormatting sqref="AI93:AI95">
    <cfRule type="cellIs" dxfId="300" priority="308" operator="lessThan">
      <formula>0.8</formula>
    </cfRule>
    <cfRule type="cellIs" dxfId="299" priority="309" operator="greaterThan">
      <formula>0.8</formula>
    </cfRule>
  </conditionalFormatting>
  <conditionalFormatting sqref="AI93:AI95">
    <cfRule type="notContainsText" dxfId="298" priority="306" operator="notContains" text="Caida">
      <formula>ISERROR(SEARCH("Caida",AI93))</formula>
    </cfRule>
    <cfRule type="containsText" dxfId="297" priority="307" operator="containsText" text="Caida">
      <formula>NOT(ISERROR(SEARCH("Caida",AI93)))</formula>
    </cfRule>
  </conditionalFormatting>
  <conditionalFormatting sqref="AI1 AI5:AI372 AI380:AI1048576 AI3">
    <cfRule type="cellIs" dxfId="296" priority="305" operator="equal">
      <formula>"apagado"</formula>
    </cfRule>
  </conditionalFormatting>
  <conditionalFormatting sqref="AJ6:AJ92">
    <cfRule type="cellIs" dxfId="295" priority="303" operator="lessThan">
      <formula>0.8</formula>
    </cfRule>
    <cfRule type="cellIs" dxfId="294" priority="304" operator="greaterThan">
      <formula>0.8</formula>
    </cfRule>
  </conditionalFormatting>
  <conditionalFormatting sqref="AJ6:AJ92">
    <cfRule type="notContainsText" dxfId="293" priority="301" operator="notContains" text="Caida">
      <formula>ISERROR(SEARCH("Caida",AJ6))</formula>
    </cfRule>
    <cfRule type="containsText" dxfId="292" priority="302" operator="containsText" text="Caida">
      <formula>NOT(ISERROR(SEARCH("Caida",AJ6)))</formula>
    </cfRule>
  </conditionalFormatting>
  <conditionalFormatting sqref="AJ93:AJ95">
    <cfRule type="cellIs" dxfId="291" priority="299" operator="lessThan">
      <formula>0.8</formula>
    </cfRule>
    <cfRule type="cellIs" dxfId="290" priority="300" operator="greaterThan">
      <formula>0.8</formula>
    </cfRule>
  </conditionalFormatting>
  <conditionalFormatting sqref="AJ93:AJ95">
    <cfRule type="notContainsText" dxfId="289" priority="297" operator="notContains" text="Caida">
      <formula>ISERROR(SEARCH("Caida",AJ93))</formula>
    </cfRule>
    <cfRule type="containsText" dxfId="288" priority="298" operator="containsText" text="Caida">
      <formula>NOT(ISERROR(SEARCH("Caida",AJ93)))</formula>
    </cfRule>
  </conditionalFormatting>
  <conditionalFormatting sqref="AJ1 AJ5:AJ372 AJ380:AJ1048576 AJ3">
    <cfRule type="cellIs" dxfId="287" priority="296" operator="equal">
      <formula>"apagado"</formula>
    </cfRule>
  </conditionalFormatting>
  <conditionalFormatting sqref="AQ95:AQ369">
    <cfRule type="cellIs" dxfId="286" priority="277" operator="lessThan">
      <formula>0.8</formula>
    </cfRule>
    <cfRule type="cellIs" dxfId="285" priority="278" operator="greaterThan">
      <formula>0.8</formula>
    </cfRule>
  </conditionalFormatting>
  <conditionalFormatting sqref="AQ95:AQ372 AQ391:AQ1048576">
    <cfRule type="notContainsText" dxfId="284" priority="275" operator="notContains" text="Caida">
      <formula>ISERROR(SEARCH("Caida",AQ95))</formula>
    </cfRule>
    <cfRule type="containsText" dxfId="283" priority="276" operator="containsText" text="Caida">
      <formula>NOT(ISERROR(SEARCH("Caida",AQ95)))</formula>
    </cfRule>
  </conditionalFormatting>
  <conditionalFormatting sqref="AQ6:AQ92">
    <cfRule type="cellIs" dxfId="282" priority="273" operator="lessThan">
      <formula>0.8</formula>
    </cfRule>
    <cfRule type="cellIs" dxfId="281" priority="274" operator="greaterThan">
      <formula>0.8</formula>
    </cfRule>
  </conditionalFormatting>
  <conditionalFormatting sqref="AQ6:AQ92">
    <cfRule type="notContainsText" dxfId="280" priority="271" operator="notContains" text="Caida">
      <formula>ISERROR(SEARCH("Caida",AQ6))</formula>
    </cfRule>
    <cfRule type="containsText" dxfId="279" priority="272" operator="containsText" text="Caida">
      <formula>NOT(ISERROR(SEARCH("Caida",AQ6)))</formula>
    </cfRule>
  </conditionalFormatting>
  <conditionalFormatting sqref="AQ93:AQ94">
    <cfRule type="cellIs" dxfId="278" priority="269" operator="lessThan">
      <formula>0.8</formula>
    </cfRule>
    <cfRule type="cellIs" dxfId="277" priority="270" operator="greaterThan">
      <formula>0.8</formula>
    </cfRule>
  </conditionalFormatting>
  <conditionalFormatting sqref="AQ93:AQ94">
    <cfRule type="notContainsText" dxfId="276" priority="267" operator="notContains" text="Caida">
      <formula>ISERROR(SEARCH("Caida",AQ93))</formula>
    </cfRule>
    <cfRule type="containsText" dxfId="275" priority="268" operator="containsText" text="Caida">
      <formula>NOT(ISERROR(SEARCH("Caida",AQ93)))</formula>
    </cfRule>
  </conditionalFormatting>
  <conditionalFormatting sqref="AQ10">
    <cfRule type="cellIs" dxfId="274" priority="262" operator="equal">
      <formula>"apagado"</formula>
    </cfRule>
    <cfRule type="cellIs" dxfId="273" priority="265" operator="lessThan">
      <formula>0.8</formula>
    </cfRule>
    <cfRule type="cellIs" dxfId="272" priority="266" operator="greaterThan">
      <formula>0.8</formula>
    </cfRule>
  </conditionalFormatting>
  <conditionalFormatting sqref="AQ10">
    <cfRule type="notContainsText" dxfId="271" priority="263" operator="notContains" text="Caida">
      <formula>ISERROR(SEARCH("Caida",AQ10))</formula>
    </cfRule>
    <cfRule type="containsText" dxfId="270" priority="264" operator="containsText" text="Caida">
      <formula>NOT(ISERROR(SEARCH("Caida",AQ10)))</formula>
    </cfRule>
  </conditionalFormatting>
  <conditionalFormatting sqref="AQ1 AQ5:AQ372 AQ380:AQ1048576 AQ3">
    <cfRule type="cellIs" dxfId="269" priority="261" operator="equal">
      <formula>"apagado"</formula>
    </cfRule>
  </conditionalFormatting>
  <conditionalFormatting sqref="O5:X372 AA5:AR372">
    <cfRule type="cellIs" dxfId="268" priority="260" operator="equal">
      <formula>"APAGADO"</formula>
    </cfRule>
  </conditionalFormatting>
  <conditionalFormatting sqref="Y96:Y372">
    <cfRule type="cellIs" dxfId="267" priority="222" operator="lessThan">
      <formula>0.8</formula>
    </cfRule>
    <cfRule type="cellIs" dxfId="266" priority="223" operator="greaterThan">
      <formula>0.8</formula>
    </cfRule>
  </conditionalFormatting>
  <conditionalFormatting sqref="Y96:Y372">
    <cfRule type="notContainsText" dxfId="265" priority="220" operator="notContains" text="Caida">
      <formula>ISERROR(SEARCH("Caida",Y96))</formula>
    </cfRule>
    <cfRule type="containsText" dxfId="264" priority="221" operator="containsText" text="Caida">
      <formula>NOT(ISERROR(SEARCH("Caida",Y96)))</formula>
    </cfRule>
  </conditionalFormatting>
  <conditionalFormatting sqref="Y22">
    <cfRule type="containsText" dxfId="263" priority="219" operator="containsText" text="Instaladas en Funcionamiento Caida">
      <formula>NOT(ISERROR(SEARCH("Instaladas en Funcionamiento Caida",Y22)))</formula>
    </cfRule>
  </conditionalFormatting>
  <conditionalFormatting sqref="Y5">
    <cfRule type="cellIs" dxfId="262" priority="217" operator="lessThan">
      <formula>0.8</formula>
    </cfRule>
    <cfRule type="cellIs" dxfId="261" priority="218" operator="greaterThan">
      <formula>0.8</formula>
    </cfRule>
  </conditionalFormatting>
  <conditionalFormatting sqref="Y5">
    <cfRule type="notContainsText" dxfId="260" priority="215" operator="notContains" text="Caida">
      <formula>ISERROR(SEARCH("Caida",Y5))</formula>
    </cfRule>
    <cfRule type="containsText" dxfId="259" priority="216" operator="containsText" text="Caida">
      <formula>NOT(ISERROR(SEARCH("Caida",Y5)))</formula>
    </cfRule>
  </conditionalFormatting>
  <conditionalFormatting sqref="Y5:Y372">
    <cfRule type="cellIs" dxfId="258" priority="214" operator="equal">
      <formula>"APAGADO"</formula>
    </cfRule>
  </conditionalFormatting>
  <conditionalFormatting sqref="Y6:Y92">
    <cfRule type="cellIs" dxfId="257" priority="212" operator="lessThan">
      <formula>0.8</formula>
    </cfRule>
    <cfRule type="cellIs" dxfId="256" priority="213" operator="greaterThan">
      <formula>0.8</formula>
    </cfRule>
  </conditionalFormatting>
  <conditionalFormatting sqref="Y6:Y92">
    <cfRule type="notContainsText" dxfId="255" priority="210" operator="notContains" text="Caida">
      <formula>ISERROR(SEARCH("Caida",Y6))</formula>
    </cfRule>
    <cfRule type="containsText" dxfId="254" priority="211" operator="containsText" text="Caida">
      <formula>NOT(ISERROR(SEARCH("Caida",Y6)))</formula>
    </cfRule>
  </conditionalFormatting>
  <conditionalFormatting sqref="Y93:Y95">
    <cfRule type="cellIs" dxfId="253" priority="208" operator="lessThan">
      <formula>0.8</formula>
    </cfRule>
    <cfRule type="cellIs" dxfId="252" priority="209" operator="greaterThan">
      <formula>0.8</formula>
    </cfRule>
  </conditionalFormatting>
  <conditionalFormatting sqref="Y93:Y95">
    <cfRule type="notContainsText" dxfId="251" priority="206" operator="notContains" text="Caida">
      <formula>ISERROR(SEARCH("Caida",Y93))</formula>
    </cfRule>
    <cfRule type="containsText" dxfId="250" priority="207" operator="containsText" text="Caida">
      <formula>NOT(ISERROR(SEARCH("Caida",Y93)))</formula>
    </cfRule>
  </conditionalFormatting>
  <conditionalFormatting sqref="Y5:Y372">
    <cfRule type="cellIs" dxfId="249" priority="205" operator="equal">
      <formula>"apagado"</formula>
    </cfRule>
  </conditionalFormatting>
  <conditionalFormatting sqref="Z96:Z372">
    <cfRule type="cellIs" dxfId="248" priority="202" operator="lessThan">
      <formula>0.8</formula>
    </cfRule>
    <cfRule type="cellIs" dxfId="247" priority="203" operator="greaterThan">
      <formula>0.8</formula>
    </cfRule>
  </conditionalFormatting>
  <conditionalFormatting sqref="Z96:Z372">
    <cfRule type="notContainsText" dxfId="246" priority="200" operator="notContains" text="Caida">
      <formula>ISERROR(SEARCH("Caida",Z96))</formula>
    </cfRule>
    <cfRule type="containsText" dxfId="245" priority="201" operator="containsText" text="Caida">
      <formula>NOT(ISERROR(SEARCH("Caida",Z96)))</formula>
    </cfRule>
  </conditionalFormatting>
  <conditionalFormatting sqref="Z22">
    <cfRule type="containsText" dxfId="244" priority="199" operator="containsText" text="Instaladas en Funcionamiento Caida">
      <formula>NOT(ISERROR(SEARCH("Instaladas en Funcionamiento Caida",Z22)))</formula>
    </cfRule>
  </conditionalFormatting>
  <conditionalFormatting sqref="Z5">
    <cfRule type="cellIs" dxfId="243" priority="197" operator="lessThan">
      <formula>0.8</formula>
    </cfRule>
    <cfRule type="cellIs" dxfId="242" priority="198" operator="greaterThan">
      <formula>0.8</formula>
    </cfRule>
  </conditionalFormatting>
  <conditionalFormatting sqref="Z5">
    <cfRule type="notContainsText" dxfId="241" priority="195" operator="notContains" text="Caida">
      <formula>ISERROR(SEARCH("Caida",Z5))</formula>
    </cfRule>
    <cfRule type="containsText" dxfId="240" priority="196" operator="containsText" text="Caida">
      <formula>NOT(ISERROR(SEARCH("Caida",Z5)))</formula>
    </cfRule>
  </conditionalFormatting>
  <conditionalFormatting sqref="Z5:Z372">
    <cfRule type="cellIs" dxfId="239" priority="194" operator="equal">
      <formula>"APAGADO"</formula>
    </cfRule>
  </conditionalFormatting>
  <conditionalFormatting sqref="Z6:Z92">
    <cfRule type="cellIs" dxfId="238" priority="192" operator="lessThan">
      <formula>0.8</formula>
    </cfRule>
    <cfRule type="cellIs" dxfId="237" priority="193" operator="greaterThan">
      <formula>0.8</formula>
    </cfRule>
  </conditionalFormatting>
  <conditionalFormatting sqref="Z6:Z92">
    <cfRule type="notContainsText" dxfId="236" priority="190" operator="notContains" text="Caida">
      <formula>ISERROR(SEARCH("Caida",Z6))</formula>
    </cfRule>
    <cfRule type="containsText" dxfId="235" priority="191" operator="containsText" text="Caida">
      <formula>NOT(ISERROR(SEARCH("Caida",Z6)))</formula>
    </cfRule>
  </conditionalFormatting>
  <conditionalFormatting sqref="Z93:Z95">
    <cfRule type="cellIs" dxfId="234" priority="188" operator="lessThan">
      <formula>0.8</formula>
    </cfRule>
    <cfRule type="cellIs" dxfId="233" priority="189" operator="greaterThan">
      <formula>0.8</formula>
    </cfRule>
  </conditionalFormatting>
  <conditionalFormatting sqref="Z93:Z95">
    <cfRule type="notContainsText" dxfId="232" priority="186" operator="notContains" text="Caida">
      <formula>ISERROR(SEARCH("Caida",Z93))</formula>
    </cfRule>
    <cfRule type="containsText" dxfId="231" priority="187" operator="containsText" text="Caida">
      <formula>NOT(ISERROR(SEARCH("Caida",Z93)))</formula>
    </cfRule>
  </conditionalFormatting>
  <conditionalFormatting sqref="Z5:Z372">
    <cfRule type="cellIs" dxfId="230" priority="185" operator="equal">
      <formula>"apagado"</formula>
    </cfRule>
  </conditionalFormatting>
  <conditionalFormatting sqref="AH94">
    <cfRule type="cellIs" dxfId="229" priority="182" operator="lessThan">
      <formula>0.8</formula>
    </cfRule>
    <cfRule type="cellIs" dxfId="228" priority="183" operator="greaterThan">
      <formula>0.8</formula>
    </cfRule>
  </conditionalFormatting>
  <conditionalFormatting sqref="AH94">
    <cfRule type="notContainsText" dxfId="227" priority="180" operator="notContains" text="Caida">
      <formula>ISERROR(SEARCH("Caida",AH94))</formula>
    </cfRule>
    <cfRule type="containsText" dxfId="226" priority="181" operator="containsText" text="Caida">
      <formula>NOT(ISERROR(SEARCH("Caida",AH94)))</formula>
    </cfRule>
  </conditionalFormatting>
  <conditionalFormatting sqref="AH96">
    <cfRule type="cellIs" dxfId="225" priority="178" operator="lessThan">
      <formula>0.8</formula>
    </cfRule>
    <cfRule type="cellIs" dxfId="224" priority="179" operator="greaterThan">
      <formula>0.8</formula>
    </cfRule>
  </conditionalFormatting>
  <conditionalFormatting sqref="AH96">
    <cfRule type="notContainsText" dxfId="223" priority="176" operator="notContains" text="Caida">
      <formula>ISERROR(SEARCH("Caida",AH96))</formula>
    </cfRule>
    <cfRule type="containsText" dxfId="222" priority="177" operator="containsText" text="Caida">
      <formula>NOT(ISERROR(SEARCH("Caida",AH96)))</formula>
    </cfRule>
  </conditionalFormatting>
  <conditionalFormatting sqref="AH99">
    <cfRule type="cellIs" dxfId="221" priority="174" operator="lessThan">
      <formula>0.8</formula>
    </cfRule>
    <cfRule type="cellIs" dxfId="220" priority="175" operator="greaterThan">
      <formula>0.8</formula>
    </cfRule>
  </conditionalFormatting>
  <conditionalFormatting sqref="AH99">
    <cfRule type="notContainsText" dxfId="219" priority="172" operator="notContains" text="Caida">
      <formula>ISERROR(SEARCH("Caida",AH99))</formula>
    </cfRule>
    <cfRule type="containsText" dxfId="218" priority="173" operator="containsText" text="Caida">
      <formula>NOT(ISERROR(SEARCH("Caida",AH99)))</formula>
    </cfRule>
  </conditionalFormatting>
  <conditionalFormatting sqref="AH115">
    <cfRule type="cellIs" dxfId="217" priority="170" operator="lessThan">
      <formula>0.8</formula>
    </cfRule>
    <cfRule type="cellIs" dxfId="216" priority="171" operator="greaterThan">
      <formula>0.8</formula>
    </cfRule>
  </conditionalFormatting>
  <conditionalFormatting sqref="AH115">
    <cfRule type="notContainsText" dxfId="215" priority="168" operator="notContains" text="Caida">
      <formula>ISERROR(SEARCH("Caida",AH115))</formula>
    </cfRule>
    <cfRule type="containsText" dxfId="214" priority="169" operator="containsText" text="Caida">
      <formula>NOT(ISERROR(SEARCH("Caida",AH115)))</formula>
    </cfRule>
  </conditionalFormatting>
  <conditionalFormatting sqref="AH116">
    <cfRule type="cellIs" dxfId="213" priority="166" operator="lessThan">
      <formula>0.8</formula>
    </cfRule>
    <cfRule type="cellIs" dxfId="212" priority="167" operator="greaterThan">
      <formula>0.8</formula>
    </cfRule>
  </conditionalFormatting>
  <conditionalFormatting sqref="AH116">
    <cfRule type="notContainsText" dxfId="211" priority="164" operator="notContains" text="Caida">
      <formula>ISERROR(SEARCH("Caida",AH116))</formula>
    </cfRule>
    <cfRule type="containsText" dxfId="210" priority="165" operator="containsText" text="Caida">
      <formula>NOT(ISERROR(SEARCH("Caida",AH116)))</formula>
    </cfRule>
  </conditionalFormatting>
  <conditionalFormatting sqref="AH120">
    <cfRule type="cellIs" dxfId="209" priority="162" operator="lessThan">
      <formula>0.8</formula>
    </cfRule>
    <cfRule type="cellIs" dxfId="208" priority="163" operator="greaterThan">
      <formula>0.8</formula>
    </cfRule>
  </conditionalFormatting>
  <conditionalFormatting sqref="AH120">
    <cfRule type="notContainsText" dxfId="207" priority="160" operator="notContains" text="Caida">
      <formula>ISERROR(SEARCH("Caida",AH120))</formula>
    </cfRule>
    <cfRule type="containsText" dxfId="206" priority="161" operator="containsText" text="Caida">
      <formula>NOT(ISERROR(SEARCH("Caida",AH120)))</formula>
    </cfRule>
  </conditionalFormatting>
  <conditionalFormatting sqref="AH121">
    <cfRule type="cellIs" dxfId="205" priority="158" operator="lessThan">
      <formula>0.8</formula>
    </cfRule>
    <cfRule type="cellIs" dxfId="204" priority="159" operator="greaterThan">
      <formula>0.8</formula>
    </cfRule>
  </conditionalFormatting>
  <conditionalFormatting sqref="AH121">
    <cfRule type="notContainsText" dxfId="203" priority="156" operator="notContains" text="Caida">
      <formula>ISERROR(SEARCH("Caida",AH121))</formula>
    </cfRule>
    <cfRule type="containsText" dxfId="202" priority="157" operator="containsText" text="Caida">
      <formula>NOT(ISERROR(SEARCH("Caida",AH121)))</formula>
    </cfRule>
  </conditionalFormatting>
  <conditionalFormatting sqref="AH133">
    <cfRule type="cellIs" dxfId="201" priority="154" operator="lessThan">
      <formula>0.8</formula>
    </cfRule>
    <cfRule type="cellIs" dxfId="200" priority="155" operator="greaterThan">
      <formula>0.8</formula>
    </cfRule>
  </conditionalFormatting>
  <conditionalFormatting sqref="AH133">
    <cfRule type="notContainsText" dxfId="199" priority="152" operator="notContains" text="Caida">
      <formula>ISERROR(SEARCH("Caida",AH133))</formula>
    </cfRule>
    <cfRule type="containsText" dxfId="198" priority="153" operator="containsText" text="Caida">
      <formula>NOT(ISERROR(SEARCH("Caida",AH133)))</formula>
    </cfRule>
  </conditionalFormatting>
  <conditionalFormatting sqref="AH135">
    <cfRule type="cellIs" dxfId="197" priority="150" operator="lessThan">
      <formula>0.8</formula>
    </cfRule>
    <cfRule type="cellIs" dxfId="196" priority="151" operator="greaterThan">
      <formula>0.8</formula>
    </cfRule>
  </conditionalFormatting>
  <conditionalFormatting sqref="AH135">
    <cfRule type="notContainsText" dxfId="195" priority="148" operator="notContains" text="Caida">
      <formula>ISERROR(SEARCH("Caida",AH135))</formula>
    </cfRule>
    <cfRule type="containsText" dxfId="194" priority="149" operator="containsText" text="Caida">
      <formula>NOT(ISERROR(SEARCH("Caida",AH135)))</formula>
    </cfRule>
  </conditionalFormatting>
  <conditionalFormatting sqref="AH142">
    <cfRule type="cellIs" dxfId="193" priority="146" operator="lessThan">
      <formula>0.8</formula>
    </cfRule>
    <cfRule type="cellIs" dxfId="192" priority="147" operator="greaterThan">
      <formula>0.8</formula>
    </cfRule>
  </conditionalFormatting>
  <conditionalFormatting sqref="AH142">
    <cfRule type="notContainsText" dxfId="191" priority="144" operator="notContains" text="Caida">
      <formula>ISERROR(SEARCH("Caida",AH142))</formula>
    </cfRule>
    <cfRule type="containsText" dxfId="190" priority="145" operator="containsText" text="Caida">
      <formula>NOT(ISERROR(SEARCH("Caida",AH142)))</formula>
    </cfRule>
  </conditionalFormatting>
  <conditionalFormatting sqref="AH143">
    <cfRule type="cellIs" dxfId="189" priority="142" operator="lessThan">
      <formula>0.8</formula>
    </cfRule>
    <cfRule type="cellIs" dxfId="188" priority="143" operator="greaterThan">
      <formula>0.8</formula>
    </cfRule>
  </conditionalFormatting>
  <conditionalFormatting sqref="AH143">
    <cfRule type="notContainsText" dxfId="187" priority="140" operator="notContains" text="Caida">
      <formula>ISERROR(SEARCH("Caida",AH143))</formula>
    </cfRule>
    <cfRule type="containsText" dxfId="186" priority="141" operator="containsText" text="Caida">
      <formula>NOT(ISERROR(SEARCH("Caida",AH143)))</formula>
    </cfRule>
  </conditionalFormatting>
  <conditionalFormatting sqref="AH144">
    <cfRule type="cellIs" dxfId="185" priority="138" operator="lessThan">
      <formula>0.8</formula>
    </cfRule>
    <cfRule type="cellIs" dxfId="184" priority="139" operator="greaterThan">
      <formula>0.8</formula>
    </cfRule>
  </conditionalFormatting>
  <conditionalFormatting sqref="AH144">
    <cfRule type="notContainsText" dxfId="183" priority="136" operator="notContains" text="Caida">
      <formula>ISERROR(SEARCH("Caida",AH144))</formula>
    </cfRule>
    <cfRule type="containsText" dxfId="182" priority="137" operator="containsText" text="Caida">
      <formula>NOT(ISERROR(SEARCH("Caida",AH144)))</formula>
    </cfRule>
  </conditionalFormatting>
  <conditionalFormatting sqref="AH163">
    <cfRule type="cellIs" dxfId="181" priority="134" operator="lessThan">
      <formula>0.8</formula>
    </cfRule>
    <cfRule type="cellIs" dxfId="180" priority="135" operator="greaterThan">
      <formula>0.8</formula>
    </cfRule>
  </conditionalFormatting>
  <conditionalFormatting sqref="AH163">
    <cfRule type="notContainsText" dxfId="179" priority="132" operator="notContains" text="Caida">
      <formula>ISERROR(SEARCH("Caida",AH163))</formula>
    </cfRule>
    <cfRule type="containsText" dxfId="178" priority="133" operator="containsText" text="Caida">
      <formula>NOT(ISERROR(SEARCH("Caida",AH163)))</formula>
    </cfRule>
  </conditionalFormatting>
  <conditionalFormatting sqref="AH164">
    <cfRule type="cellIs" dxfId="177" priority="130" operator="lessThan">
      <formula>0.8</formula>
    </cfRule>
    <cfRule type="cellIs" dxfId="176" priority="131" operator="greaterThan">
      <formula>0.8</formula>
    </cfRule>
  </conditionalFormatting>
  <conditionalFormatting sqref="AH164">
    <cfRule type="notContainsText" dxfId="175" priority="128" operator="notContains" text="Caida">
      <formula>ISERROR(SEARCH("Caida",AH164))</formula>
    </cfRule>
    <cfRule type="containsText" dxfId="174" priority="129" operator="containsText" text="Caida">
      <formula>NOT(ISERROR(SEARCH("Caida",AH164)))</formula>
    </cfRule>
  </conditionalFormatting>
  <conditionalFormatting sqref="AH166">
    <cfRule type="cellIs" dxfId="173" priority="126" operator="lessThan">
      <formula>0.8</formula>
    </cfRule>
    <cfRule type="cellIs" dxfId="172" priority="127" operator="greaterThan">
      <formula>0.8</formula>
    </cfRule>
  </conditionalFormatting>
  <conditionalFormatting sqref="AH166">
    <cfRule type="notContainsText" dxfId="171" priority="124" operator="notContains" text="Caida">
      <formula>ISERROR(SEARCH("Caida",AH166))</formula>
    </cfRule>
    <cfRule type="containsText" dxfId="170" priority="125" operator="containsText" text="Caida">
      <formula>NOT(ISERROR(SEARCH("Caida",AH166)))</formula>
    </cfRule>
  </conditionalFormatting>
  <conditionalFormatting sqref="AH177">
    <cfRule type="cellIs" dxfId="169" priority="122" operator="lessThan">
      <formula>0.8</formula>
    </cfRule>
    <cfRule type="cellIs" dxfId="168" priority="123" operator="greaterThan">
      <formula>0.8</formula>
    </cfRule>
  </conditionalFormatting>
  <conditionalFormatting sqref="AH177">
    <cfRule type="notContainsText" dxfId="167" priority="120" operator="notContains" text="Caida">
      <formula>ISERROR(SEARCH("Caida",AH177))</formula>
    </cfRule>
    <cfRule type="containsText" dxfId="166" priority="121" operator="containsText" text="Caida">
      <formula>NOT(ISERROR(SEARCH("Caida",AH177)))</formula>
    </cfRule>
  </conditionalFormatting>
  <conditionalFormatting sqref="AH191">
    <cfRule type="cellIs" dxfId="165" priority="118" operator="lessThan">
      <formula>0.8</formula>
    </cfRule>
    <cfRule type="cellIs" dxfId="164" priority="119" operator="greaterThan">
      <formula>0.8</formula>
    </cfRule>
  </conditionalFormatting>
  <conditionalFormatting sqref="AH191">
    <cfRule type="notContainsText" dxfId="163" priority="116" operator="notContains" text="Caida">
      <formula>ISERROR(SEARCH("Caida",AH191))</formula>
    </cfRule>
    <cfRule type="containsText" dxfId="162" priority="117" operator="containsText" text="Caida">
      <formula>NOT(ISERROR(SEARCH("Caida",AH191)))</formula>
    </cfRule>
  </conditionalFormatting>
  <conditionalFormatting sqref="AH192">
    <cfRule type="cellIs" dxfId="161" priority="114" operator="lessThan">
      <formula>0.8</formula>
    </cfRule>
    <cfRule type="cellIs" dxfId="160" priority="115" operator="greaterThan">
      <formula>0.8</formula>
    </cfRule>
  </conditionalFormatting>
  <conditionalFormatting sqref="AH192">
    <cfRule type="notContainsText" dxfId="159" priority="112" operator="notContains" text="Caida">
      <formula>ISERROR(SEARCH("Caida",AH192))</formula>
    </cfRule>
    <cfRule type="containsText" dxfId="158" priority="113" operator="containsText" text="Caida">
      <formula>NOT(ISERROR(SEARCH("Caida",AH192)))</formula>
    </cfRule>
  </conditionalFormatting>
  <conditionalFormatting sqref="AH198">
    <cfRule type="cellIs" dxfId="157" priority="110" operator="lessThan">
      <formula>0.8</formula>
    </cfRule>
    <cfRule type="cellIs" dxfId="156" priority="111" operator="greaterThan">
      <formula>0.8</formula>
    </cfRule>
  </conditionalFormatting>
  <conditionalFormatting sqref="AH198">
    <cfRule type="notContainsText" dxfId="155" priority="108" operator="notContains" text="Caida">
      <formula>ISERROR(SEARCH("Caida",AH198))</formula>
    </cfRule>
    <cfRule type="containsText" dxfId="154" priority="109" operator="containsText" text="Caida">
      <formula>NOT(ISERROR(SEARCH("Caida",AH198)))</formula>
    </cfRule>
  </conditionalFormatting>
  <conditionalFormatting sqref="AH206">
    <cfRule type="cellIs" dxfId="153" priority="106" operator="lessThan">
      <formula>0.8</formula>
    </cfRule>
    <cfRule type="cellIs" dxfId="152" priority="107" operator="greaterThan">
      <formula>0.8</formula>
    </cfRule>
  </conditionalFormatting>
  <conditionalFormatting sqref="AH206">
    <cfRule type="notContainsText" dxfId="151" priority="104" operator="notContains" text="Caida">
      <formula>ISERROR(SEARCH("Caida",AH206))</formula>
    </cfRule>
    <cfRule type="containsText" dxfId="150" priority="105" operator="containsText" text="Caida">
      <formula>NOT(ISERROR(SEARCH("Caida",AH206)))</formula>
    </cfRule>
  </conditionalFormatting>
  <conditionalFormatting sqref="AH211">
    <cfRule type="cellIs" dxfId="149" priority="102" operator="lessThan">
      <formula>0.8</formula>
    </cfRule>
    <cfRule type="cellIs" dxfId="148" priority="103" operator="greaterThan">
      <formula>0.8</formula>
    </cfRule>
  </conditionalFormatting>
  <conditionalFormatting sqref="AH211">
    <cfRule type="notContainsText" dxfId="147" priority="100" operator="notContains" text="Caida">
      <formula>ISERROR(SEARCH("Caida",AH211))</formula>
    </cfRule>
    <cfRule type="containsText" dxfId="146" priority="101" operator="containsText" text="Caida">
      <formula>NOT(ISERROR(SEARCH("Caida",AH211)))</formula>
    </cfRule>
  </conditionalFormatting>
  <conditionalFormatting sqref="AH212">
    <cfRule type="cellIs" dxfId="145" priority="98" operator="lessThan">
      <formula>0.8</formula>
    </cfRule>
    <cfRule type="cellIs" dxfId="144" priority="99" operator="greaterThan">
      <formula>0.8</formula>
    </cfRule>
  </conditionalFormatting>
  <conditionalFormatting sqref="AH212">
    <cfRule type="notContainsText" dxfId="143" priority="96" operator="notContains" text="Caida">
      <formula>ISERROR(SEARCH("Caida",AH212))</formula>
    </cfRule>
    <cfRule type="containsText" dxfId="142" priority="97" operator="containsText" text="Caida">
      <formula>NOT(ISERROR(SEARCH("Caida",AH212)))</formula>
    </cfRule>
  </conditionalFormatting>
  <conditionalFormatting sqref="AH359">
    <cfRule type="cellIs" dxfId="141" priority="95" operator="equal">
      <formula>"apagado"</formula>
    </cfRule>
  </conditionalFormatting>
  <conditionalFormatting sqref="AH360">
    <cfRule type="cellIs" dxfId="140" priority="94" operator="equal">
      <formula>"apagado"</formula>
    </cfRule>
  </conditionalFormatting>
  <conditionalFormatting sqref="AH361">
    <cfRule type="cellIs" dxfId="139" priority="93" operator="equal">
      <formula>"apagado"</formula>
    </cfRule>
  </conditionalFormatting>
  <conditionalFormatting sqref="AH362">
    <cfRule type="cellIs" dxfId="138" priority="92" operator="equal">
      <formula>"apagado"</formula>
    </cfRule>
  </conditionalFormatting>
  <conditionalFormatting sqref="AH206">
    <cfRule type="cellIs" dxfId="137" priority="91" operator="equal">
      <formula>"apagado"</formula>
    </cfRule>
  </conditionalFormatting>
  <conditionalFormatting sqref="AH211">
    <cfRule type="cellIs" dxfId="136" priority="90" operator="equal">
      <formula>"apagado"</formula>
    </cfRule>
  </conditionalFormatting>
  <conditionalFormatting sqref="AH212">
    <cfRule type="cellIs" dxfId="135" priority="89" operator="equal">
      <formula>"apagado"</formula>
    </cfRule>
  </conditionalFormatting>
  <conditionalFormatting sqref="AH198">
    <cfRule type="cellIs" dxfId="134" priority="88" operator="equal">
      <formula>"apagado"</formula>
    </cfRule>
  </conditionalFormatting>
  <conditionalFormatting sqref="AH192">
    <cfRule type="cellIs" dxfId="133" priority="87" operator="equal">
      <formula>"apagado"</formula>
    </cfRule>
  </conditionalFormatting>
  <conditionalFormatting sqref="AH191">
    <cfRule type="cellIs" dxfId="132" priority="86" operator="equal">
      <formula>"apagado"</formula>
    </cfRule>
  </conditionalFormatting>
  <conditionalFormatting sqref="AH177">
    <cfRule type="cellIs" dxfId="131" priority="85" operator="equal">
      <formula>"apagado"</formula>
    </cfRule>
  </conditionalFormatting>
  <conditionalFormatting sqref="AH166">
    <cfRule type="cellIs" dxfId="130" priority="84" operator="equal">
      <formula>"apagado"</formula>
    </cfRule>
  </conditionalFormatting>
  <conditionalFormatting sqref="AH163">
    <cfRule type="cellIs" dxfId="129" priority="83" operator="equal">
      <formula>"apagado"</formula>
    </cfRule>
  </conditionalFormatting>
  <conditionalFormatting sqref="AH164">
    <cfRule type="cellIs" dxfId="128" priority="82" operator="equal">
      <formula>"apagado"</formula>
    </cfRule>
  </conditionalFormatting>
  <conditionalFormatting sqref="AH142">
    <cfRule type="cellIs" dxfId="127" priority="81" operator="equal">
      <formula>"apagado"</formula>
    </cfRule>
  </conditionalFormatting>
  <conditionalFormatting sqref="AH143">
    <cfRule type="cellIs" dxfId="126" priority="80" operator="equal">
      <formula>"apagado"</formula>
    </cfRule>
  </conditionalFormatting>
  <conditionalFormatting sqref="AH144">
    <cfRule type="cellIs" dxfId="125" priority="79" operator="equal">
      <formula>"apagado"</formula>
    </cfRule>
  </conditionalFormatting>
  <conditionalFormatting sqref="AH133">
    <cfRule type="cellIs" dxfId="124" priority="78" operator="equal">
      <formula>"apagado"</formula>
    </cfRule>
  </conditionalFormatting>
  <conditionalFormatting sqref="AH135">
    <cfRule type="cellIs" dxfId="123" priority="77" operator="equal">
      <formula>"apagado"</formula>
    </cfRule>
  </conditionalFormatting>
  <conditionalFormatting sqref="AH115">
    <cfRule type="cellIs" dxfId="122" priority="76" operator="equal">
      <formula>"apagado"</formula>
    </cfRule>
  </conditionalFormatting>
  <conditionalFormatting sqref="AH116">
    <cfRule type="cellIs" dxfId="121" priority="75" operator="equal">
      <formula>"apagado"</formula>
    </cfRule>
  </conditionalFormatting>
  <conditionalFormatting sqref="AH120">
    <cfRule type="cellIs" dxfId="120" priority="74" operator="equal">
      <formula>"apagado"</formula>
    </cfRule>
  </conditionalFormatting>
  <conditionalFormatting sqref="AH121">
    <cfRule type="cellIs" dxfId="119" priority="73" operator="equal">
      <formula>"apagado"</formula>
    </cfRule>
  </conditionalFormatting>
  <conditionalFormatting sqref="AH99">
    <cfRule type="cellIs" dxfId="118" priority="72" operator="equal">
      <formula>"apagado"</formula>
    </cfRule>
  </conditionalFormatting>
  <conditionalFormatting sqref="AH94">
    <cfRule type="cellIs" dxfId="117" priority="70" operator="lessThan">
      <formula>0.8</formula>
    </cfRule>
    <cfRule type="cellIs" dxfId="116" priority="71" operator="greaterThan">
      <formula>0.8</formula>
    </cfRule>
  </conditionalFormatting>
  <conditionalFormatting sqref="AH94">
    <cfRule type="notContainsText" dxfId="115" priority="68" operator="notContains" text="Caida">
      <formula>ISERROR(SEARCH("Caida",AH94))</formula>
    </cfRule>
    <cfRule type="containsText" dxfId="114" priority="69" operator="containsText" text="Caida">
      <formula>NOT(ISERROR(SEARCH("Caida",AH94)))</formula>
    </cfRule>
  </conditionalFormatting>
  <conditionalFormatting sqref="AH94">
    <cfRule type="cellIs" dxfId="113" priority="67" operator="equal">
      <formula>"apagado"</formula>
    </cfRule>
  </conditionalFormatting>
  <conditionalFormatting sqref="AH96">
    <cfRule type="cellIs" dxfId="112" priority="66" operator="equal">
      <formula>"apagado"</formula>
    </cfRule>
  </conditionalFormatting>
  <conditionalFormatting sqref="V373:X379 AA373:AJ379 N373:N379">
    <cfRule type="cellIs" dxfId="111" priority="50" operator="lessThan">
      <formula>0.8</formula>
    </cfRule>
    <cfRule type="cellIs" dxfId="110" priority="51" operator="greaterThan">
      <formula>0.8</formula>
    </cfRule>
  </conditionalFormatting>
  <conditionalFormatting sqref="E373:K379">
    <cfRule type="containsText" dxfId="109" priority="49" operator="containsText" text="Radio">
      <formula>NOT(ISERROR(SEARCH("Radio",E373)))</formula>
    </cfRule>
  </conditionalFormatting>
  <conditionalFormatting sqref="O373:O379 V373:X379 AA373:AP379 AR373:AR379">
    <cfRule type="notContainsText" dxfId="108" priority="47" operator="notContains" text="Caida">
      <formula>ISERROR(SEARCH("Caida",O373))</formula>
    </cfRule>
    <cfRule type="containsText" dxfId="107" priority="48" operator="containsText" text="Caida">
      <formula>NOT(ISERROR(SEARCH("Caida",O373)))</formula>
    </cfRule>
  </conditionalFormatting>
  <conditionalFormatting sqref="P373:P379">
    <cfRule type="cellIs" dxfId="106" priority="45" operator="lessThan">
      <formula>0.8</formula>
    </cfRule>
    <cfRule type="cellIs" dxfId="105" priority="46" operator="greaterThan">
      <formula>0.8</formula>
    </cfRule>
  </conditionalFormatting>
  <conditionalFormatting sqref="P373:P379">
    <cfRule type="notContainsText" dxfId="104" priority="43" operator="notContains" text="Caida">
      <formula>ISERROR(SEARCH("Caida",P373))</formula>
    </cfRule>
    <cfRule type="containsText" dxfId="103" priority="44" operator="containsText" text="Caida">
      <formula>NOT(ISERROR(SEARCH("Caida",P373)))</formula>
    </cfRule>
  </conditionalFormatting>
  <conditionalFormatting sqref="Q373:Q379">
    <cfRule type="cellIs" dxfId="102" priority="41" operator="lessThan">
      <formula>0.8</formula>
    </cfRule>
    <cfRule type="cellIs" dxfId="101" priority="42" operator="greaterThan">
      <formula>0.8</formula>
    </cfRule>
  </conditionalFormatting>
  <conditionalFormatting sqref="Q373:Q379">
    <cfRule type="notContainsText" dxfId="100" priority="39" operator="notContains" text="Caida">
      <formula>ISERROR(SEARCH("Caida",Q373))</formula>
    </cfRule>
    <cfRule type="containsText" dxfId="99" priority="40" operator="containsText" text="Caida">
      <formula>NOT(ISERROR(SEARCH("Caida",Q373)))</formula>
    </cfRule>
  </conditionalFormatting>
  <conditionalFormatting sqref="U373:U379">
    <cfRule type="cellIs" dxfId="98" priority="37" operator="lessThan">
      <formula>0.8</formula>
    </cfRule>
    <cfRule type="cellIs" dxfId="97" priority="38" operator="greaterThan">
      <formula>0.8</formula>
    </cfRule>
  </conditionalFormatting>
  <conditionalFormatting sqref="U373:U379">
    <cfRule type="notContainsText" dxfId="96" priority="35" operator="notContains" text="Caida">
      <formula>ISERROR(SEARCH("Caida",U373))</formula>
    </cfRule>
    <cfRule type="containsText" dxfId="95" priority="36" operator="containsText" text="Caida">
      <formula>NOT(ISERROR(SEARCH("Caida",U373)))</formula>
    </cfRule>
  </conditionalFormatting>
  <conditionalFormatting sqref="E373:E379">
    <cfRule type="containsText" dxfId="94" priority="33" operator="containsText" text="fija">
      <formula>NOT(ISERROR(SEARCH("fija",E373)))</formula>
    </cfRule>
    <cfRule type="containsText" dxfId="93" priority="34" operator="containsText" text="domo">
      <formula>NOT(ISERROR(SEARCH("domo",E373)))</formula>
    </cfRule>
  </conditionalFormatting>
  <conditionalFormatting sqref="O373:O379 AK373:AR379">
    <cfRule type="cellIs" dxfId="92" priority="32" operator="equal">
      <formula>"APAGADO"</formula>
    </cfRule>
  </conditionalFormatting>
  <conditionalFormatting sqref="F373:F379">
    <cfRule type="cellIs" dxfId="91" priority="31" operator="equal">
      <formula>"PTP A FO"</formula>
    </cfRule>
  </conditionalFormatting>
  <conditionalFormatting sqref="R373:T379">
    <cfRule type="cellIs" dxfId="90" priority="29" operator="lessThan">
      <formula>0.8</formula>
    </cfRule>
    <cfRule type="cellIs" dxfId="89" priority="30" operator="greaterThan">
      <formula>0.8</formula>
    </cfRule>
  </conditionalFormatting>
  <conditionalFormatting sqref="R373:T379">
    <cfRule type="notContainsText" dxfId="88" priority="27" operator="notContains" text="Caida">
      <formula>ISERROR(SEARCH("Caida",R373))</formula>
    </cfRule>
    <cfRule type="containsText" dxfId="87" priority="28" operator="containsText" text="Caida">
      <formula>NOT(ISERROR(SEARCH("Caida",R373)))</formula>
    </cfRule>
  </conditionalFormatting>
  <conditionalFormatting sqref="AF373:AF379">
    <cfRule type="cellIs" dxfId="86" priority="26" operator="equal">
      <formula>"apagado"</formula>
    </cfRule>
  </conditionalFormatting>
  <conditionalFormatting sqref="AE373:AE379">
    <cfRule type="cellIs" dxfId="85" priority="25" operator="equal">
      <formula>"apagado"</formula>
    </cfRule>
  </conditionalFormatting>
  <conditionalFormatting sqref="AD373:AD379">
    <cfRule type="cellIs" dxfId="84" priority="24" operator="equal">
      <formula>"apagado"</formula>
    </cfRule>
  </conditionalFormatting>
  <conditionalFormatting sqref="AC373:AC379">
    <cfRule type="cellIs" dxfId="83" priority="23" operator="equal">
      <formula>"apagado"</formula>
    </cfRule>
  </conditionalFormatting>
  <conditionalFormatting sqref="AB373:AB379">
    <cfRule type="cellIs" dxfId="82" priority="22" operator="equal">
      <formula>"apagado"</formula>
    </cfRule>
  </conditionalFormatting>
  <conditionalFormatting sqref="AA373:AA379">
    <cfRule type="cellIs" dxfId="81" priority="21" operator="equal">
      <formula>"apagado"</formula>
    </cfRule>
  </conditionalFormatting>
  <conditionalFormatting sqref="AG373:AG379">
    <cfRule type="cellIs" dxfId="80" priority="20" operator="equal">
      <formula>"apagado"</formula>
    </cfRule>
  </conditionalFormatting>
  <conditionalFormatting sqref="AH373:AH379">
    <cfRule type="cellIs" dxfId="79" priority="19" operator="equal">
      <formula>"apagado"</formula>
    </cfRule>
  </conditionalFormatting>
  <conditionalFormatting sqref="AI373:AI379">
    <cfRule type="cellIs" dxfId="78" priority="18" operator="equal">
      <formula>"apagado"</formula>
    </cfRule>
  </conditionalFormatting>
  <conditionalFormatting sqref="AJ373:AJ379">
    <cfRule type="cellIs" dxfId="77" priority="17" operator="equal">
      <formula>"apagado"</formula>
    </cfRule>
  </conditionalFormatting>
  <conditionalFormatting sqref="AQ373:AQ379">
    <cfRule type="notContainsText" dxfId="76" priority="15" operator="notContains" text="Caida">
      <formula>ISERROR(SEARCH("Caida",AQ373))</formula>
    </cfRule>
    <cfRule type="containsText" dxfId="75" priority="16" operator="containsText" text="Caida">
      <formula>NOT(ISERROR(SEARCH("Caida",AQ373)))</formula>
    </cfRule>
  </conditionalFormatting>
  <conditionalFormatting sqref="AQ373:AQ379">
    <cfRule type="cellIs" dxfId="74" priority="14" operator="equal">
      <formula>"apagado"</formula>
    </cfRule>
  </conditionalFormatting>
  <conditionalFormatting sqref="O373:X379 AA373:AR379">
    <cfRule type="cellIs" dxfId="73" priority="13" operator="equal">
      <formula>"APAGADO"</formula>
    </cfRule>
  </conditionalFormatting>
  <conditionalFormatting sqref="Y373:Y379">
    <cfRule type="cellIs" dxfId="72" priority="11" operator="lessThan">
      <formula>0.8</formula>
    </cfRule>
    <cfRule type="cellIs" dxfId="71" priority="12" operator="greaterThan">
      <formula>0.8</formula>
    </cfRule>
  </conditionalFormatting>
  <conditionalFormatting sqref="Y373:Y379">
    <cfRule type="notContainsText" dxfId="70" priority="9" operator="notContains" text="Caida">
      <formula>ISERROR(SEARCH("Caida",Y373))</formula>
    </cfRule>
    <cfRule type="containsText" dxfId="69" priority="10" operator="containsText" text="Caida">
      <formula>NOT(ISERROR(SEARCH("Caida",Y373)))</formula>
    </cfRule>
  </conditionalFormatting>
  <conditionalFormatting sqref="Y373:Y379">
    <cfRule type="cellIs" dxfId="68" priority="8" operator="equal">
      <formula>"APAGADO"</formula>
    </cfRule>
  </conditionalFormatting>
  <conditionalFormatting sqref="Y373:Y379">
    <cfRule type="cellIs" dxfId="67" priority="7" operator="equal">
      <formula>"apagado"</formula>
    </cfRule>
  </conditionalFormatting>
  <conditionalFormatting sqref="Z373:Z379">
    <cfRule type="cellIs" dxfId="66" priority="5" operator="lessThan">
      <formula>0.8</formula>
    </cfRule>
    <cfRule type="cellIs" dxfId="65" priority="6" operator="greaterThan">
      <formula>0.8</formula>
    </cfRule>
  </conditionalFormatting>
  <conditionalFormatting sqref="Z373:Z379">
    <cfRule type="notContainsText" dxfId="64" priority="3" operator="notContains" text="Caida">
      <formula>ISERROR(SEARCH("Caida",Z373))</formula>
    </cfRule>
    <cfRule type="containsText" dxfId="63" priority="4" operator="containsText" text="Caida">
      <formula>NOT(ISERROR(SEARCH("Caida",Z373)))</formula>
    </cfRule>
  </conditionalFormatting>
  <conditionalFormatting sqref="Z373:Z379">
    <cfRule type="cellIs" dxfId="62" priority="2" operator="equal">
      <formula>"APAGADO"</formula>
    </cfRule>
  </conditionalFormatting>
  <conditionalFormatting sqref="Z373:Z379">
    <cfRule type="cellIs" dxfId="61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74"/>
  <sheetViews>
    <sheetView topLeftCell="S1" workbookViewId="0">
      <selection activeCell="Z34" sqref="Z34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5" x14ac:dyDescent="0.25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44713</v>
      </c>
      <c r="G1" s="25">
        <f>'RESUMEN TOTAL'!P4</f>
        <v>44714</v>
      </c>
      <c r="H1" s="25">
        <f>'RESUMEN TOTAL'!Q4</f>
        <v>44715</v>
      </c>
      <c r="I1" s="25">
        <f>'RESUMEN TOTAL'!R4</f>
        <v>44716</v>
      </c>
      <c r="J1" s="25">
        <f>'RESUMEN TOTAL'!S4</f>
        <v>44717</v>
      </c>
      <c r="K1" s="25">
        <f>'RESUMEN TOTAL'!T4</f>
        <v>44718</v>
      </c>
      <c r="L1" s="25">
        <f>'RESUMEN TOTAL'!U4</f>
        <v>44719</v>
      </c>
      <c r="M1" s="25">
        <f>'RESUMEN TOTAL'!V4</f>
        <v>44720</v>
      </c>
      <c r="N1" s="25">
        <f>'RESUMEN TOTAL'!W4</f>
        <v>44721</v>
      </c>
      <c r="O1" s="25">
        <f>'RESUMEN TOTAL'!X4</f>
        <v>44722</v>
      </c>
      <c r="P1" s="25">
        <f>'RESUMEN TOTAL'!Y4</f>
        <v>44723</v>
      </c>
      <c r="Q1" s="25">
        <f>'RESUMEN TOTAL'!Z4</f>
        <v>44724</v>
      </c>
      <c r="R1" s="25">
        <f>'RESUMEN TOTAL'!AA4</f>
        <v>44725</v>
      </c>
      <c r="S1" s="25">
        <f>'RESUMEN TOTAL'!AB4</f>
        <v>44726</v>
      </c>
      <c r="T1" s="25">
        <f>'RESUMEN TOTAL'!AC4</f>
        <v>44727</v>
      </c>
      <c r="U1" s="25">
        <f>'RESUMEN TOTAL'!AD4</f>
        <v>44728</v>
      </c>
      <c r="V1" s="25">
        <f>'RESUMEN TOTAL'!AE4</f>
        <v>44729</v>
      </c>
      <c r="W1" s="25">
        <f>'RESUMEN TOTAL'!AF4</f>
        <v>44730</v>
      </c>
      <c r="X1" s="25">
        <f>'RESUMEN TOTAL'!AG4</f>
        <v>44731</v>
      </c>
      <c r="Y1" s="25">
        <f>'RESUMEN TOTAL'!AH4</f>
        <v>44732</v>
      </c>
      <c r="Z1" s="25">
        <f>'RESUMEN TOTAL'!AI4</f>
        <v>44733</v>
      </c>
      <c r="AA1" s="25">
        <f>'RESUMEN TOTAL'!AJ4</f>
        <v>44734</v>
      </c>
      <c r="AB1" s="25">
        <f>'RESUMEN TOTAL'!AK4</f>
        <v>44735</v>
      </c>
      <c r="AC1" s="25">
        <f>'RESUMEN TOTAL'!AL4</f>
        <v>44736</v>
      </c>
      <c r="AD1" s="25">
        <f>'RESUMEN TOTAL'!AM4</f>
        <v>44737</v>
      </c>
      <c r="AE1" s="25">
        <f>'RESUMEN TOTAL'!AN4</f>
        <v>44738</v>
      </c>
      <c r="AF1" s="25">
        <f>'RESUMEN TOTAL'!AO4</f>
        <v>44739</v>
      </c>
      <c r="AG1" s="25">
        <f>'RESUMEN TOTAL'!AP4</f>
        <v>44740</v>
      </c>
      <c r="AH1" s="25">
        <f>'RESUMEN TOTAL'!AQ4</f>
        <v>44741</v>
      </c>
      <c r="AI1" s="25">
        <f>'RESUMEN TOTAL'!AR4</f>
        <v>44742</v>
      </c>
    </row>
    <row r="2" spans="1:35" x14ac:dyDescent="0.25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 t="str">
        <f>'RESUMEN TOTAL'!O5</f>
        <v>APAGADO</v>
      </c>
      <c r="G2">
        <f>'RESUMEN TOTAL'!P5</f>
        <v>0</v>
      </c>
      <c r="H2">
        <f>'RESUMEN TOTAL'!Q5</f>
        <v>0</v>
      </c>
      <c r="I2">
        <f>'RESUMEN TOTAL'!R5</f>
        <v>0</v>
      </c>
      <c r="J2">
        <f>'RESUMEN TOTAL'!S5</f>
        <v>0</v>
      </c>
      <c r="K2">
        <f>'RESUMEN TOTAL'!T5</f>
        <v>0</v>
      </c>
      <c r="L2">
        <f>'RESUMEN TOTAL'!U5</f>
        <v>0</v>
      </c>
      <c r="M2">
        <f>'RESUMEN TOTAL'!V5</f>
        <v>0</v>
      </c>
      <c r="N2">
        <f>'RESUMEN TOTAL'!W5</f>
        <v>0</v>
      </c>
      <c r="O2">
        <f>'RESUMEN TOTAL'!X5</f>
        <v>0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</row>
    <row r="3" spans="1:35" x14ac:dyDescent="0.25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</row>
    <row r="4" spans="1:35" x14ac:dyDescent="0.25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 t="str">
        <f>'RESUMEN TOTAL'!O7</f>
        <v>APAGADO</v>
      </c>
      <c r="G4">
        <f>'RESUMEN TOTAL'!P7</f>
        <v>0</v>
      </c>
      <c r="H4">
        <f>'RESUMEN TOTAL'!Q7</f>
        <v>0</v>
      </c>
      <c r="I4">
        <f>'RESUMEN TOTAL'!R7</f>
        <v>0</v>
      </c>
      <c r="J4">
        <f>'RESUMEN TOTAL'!S7</f>
        <v>0</v>
      </c>
      <c r="K4">
        <f>'RESUMEN TOTAL'!T7</f>
        <v>0</v>
      </c>
      <c r="L4">
        <f>'RESUMEN TOTAL'!U7</f>
        <v>0</v>
      </c>
      <c r="M4">
        <f>'RESUMEN TOTAL'!V7</f>
        <v>0</v>
      </c>
      <c r="N4">
        <f>'RESUMEN TOTAL'!W7</f>
        <v>0</v>
      </c>
      <c r="O4">
        <f>'RESUMEN TOTAL'!X7</f>
        <v>0</v>
      </c>
      <c r="P4">
        <f>'RESUMEN TOTAL'!Y7</f>
        <v>0</v>
      </c>
      <c r="Q4">
        <f>'RESUMEN TOTAL'!Z7</f>
        <v>0</v>
      </c>
      <c r="R4">
        <f>'RESUMEN TOTAL'!AA7</f>
        <v>0</v>
      </c>
      <c r="S4">
        <f>'RESUMEN TOTAL'!AB7</f>
        <v>0</v>
      </c>
      <c r="T4">
        <f>'RESUMEN TOTAL'!AC7</f>
        <v>0</v>
      </c>
      <c r="U4">
        <f>'RESUMEN TOTAL'!AD7</f>
        <v>0</v>
      </c>
      <c r="V4">
        <f>'RESUMEN TOTAL'!AE7</f>
        <v>0</v>
      </c>
      <c r="W4">
        <f>'RESUMEN TOTAL'!AF7</f>
        <v>0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</row>
    <row r="5" spans="1:35" x14ac:dyDescent="0.25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</row>
    <row r="6" spans="1:35" x14ac:dyDescent="0.25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</row>
    <row r="7" spans="1:35" x14ac:dyDescent="0.25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>
        <f>'RESUMEN TOTAL'!U10</f>
        <v>0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</row>
    <row r="8" spans="1:35" x14ac:dyDescent="0.25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 t="str">
        <f>'RESUMEN TOTAL'!O11</f>
        <v>APAGADO</v>
      </c>
      <c r="G8">
        <f>'RESUMEN TOTAL'!P11</f>
        <v>0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</row>
    <row r="9" spans="1:35" x14ac:dyDescent="0.25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</row>
    <row r="10" spans="1:35" x14ac:dyDescent="0.25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</row>
    <row r="11" spans="1:35" x14ac:dyDescent="0.25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 t="str">
        <f>'RESUMEN TOTAL'!O14</f>
        <v>APAGADO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</row>
    <row r="12" spans="1:35" x14ac:dyDescent="0.25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</row>
    <row r="13" spans="1:35" x14ac:dyDescent="0.25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</row>
    <row r="14" spans="1:35" x14ac:dyDescent="0.25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</row>
    <row r="15" spans="1:35" x14ac:dyDescent="0.25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</row>
    <row r="16" spans="1:35" x14ac:dyDescent="0.25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</row>
    <row r="17" spans="1:35" x14ac:dyDescent="0.25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</row>
    <row r="18" spans="1:35" x14ac:dyDescent="0.25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</row>
    <row r="19" spans="1:35" x14ac:dyDescent="0.25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 t="str">
        <f>'RESUMEN TOTAL'!O22</f>
        <v>APAGADO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>
        <f>'RESUMEN TOTAL'!W22</f>
        <v>0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</row>
    <row r="20" spans="1:35" x14ac:dyDescent="0.25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</row>
    <row r="21" spans="1:35" x14ac:dyDescent="0.25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</row>
    <row r="22" spans="1:35" x14ac:dyDescent="0.25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</row>
    <row r="23" spans="1:35" x14ac:dyDescent="0.25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</row>
    <row r="24" spans="1:35" x14ac:dyDescent="0.25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</row>
    <row r="25" spans="1:35" x14ac:dyDescent="0.25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</row>
    <row r="26" spans="1:35" x14ac:dyDescent="0.25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</row>
    <row r="27" spans="1:35" x14ac:dyDescent="0.25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 t="str">
        <f>'RESUMEN TOTAL'!O30</f>
        <v>APAGADO</v>
      </c>
      <c r="G27">
        <f>'RESUMEN TOTAL'!P30</f>
        <v>0</v>
      </c>
      <c r="H27">
        <f>'RESUMEN TOTAL'!Q30</f>
        <v>0</v>
      </c>
      <c r="I27">
        <f>'RESUMEN TOTAL'!R30</f>
        <v>0</v>
      </c>
      <c r="J27">
        <f>'RESUMEN TOTAL'!S30</f>
        <v>0</v>
      </c>
      <c r="K27">
        <f>'RESUMEN TOTAL'!T30</f>
        <v>0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</row>
    <row r="28" spans="1:35" x14ac:dyDescent="0.25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</row>
    <row r="29" spans="1:35" x14ac:dyDescent="0.25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</row>
    <row r="30" spans="1:35" x14ac:dyDescent="0.25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</row>
    <row r="31" spans="1:35" x14ac:dyDescent="0.25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</row>
    <row r="32" spans="1:35" x14ac:dyDescent="0.25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</row>
    <row r="33" spans="1:35" x14ac:dyDescent="0.25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</row>
    <row r="34" spans="1:35" x14ac:dyDescent="0.25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</row>
    <row r="35" spans="1:35" x14ac:dyDescent="0.25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</row>
    <row r="36" spans="1:35" x14ac:dyDescent="0.25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</row>
    <row r="37" spans="1:35" x14ac:dyDescent="0.25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</row>
    <row r="38" spans="1:35" x14ac:dyDescent="0.25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</row>
    <row r="39" spans="1:35" x14ac:dyDescent="0.25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</row>
    <row r="40" spans="1:35" x14ac:dyDescent="0.25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</row>
    <row r="41" spans="1:35" x14ac:dyDescent="0.25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</row>
    <row r="42" spans="1:35" x14ac:dyDescent="0.25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</row>
    <row r="43" spans="1:35" x14ac:dyDescent="0.25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PerÃ³n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</row>
    <row r="44" spans="1:35" x14ac:dyDescent="0.25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>
        <f>'RESUMEN TOTAL'!R47</f>
        <v>0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</row>
    <row r="45" spans="1:35" x14ac:dyDescent="0.25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 t="str">
        <f>'RESUMEN TOTAL'!O48</f>
        <v>APAGADO</v>
      </c>
      <c r="G45">
        <f>'RESUMEN TOTAL'!P48</f>
        <v>0</v>
      </c>
      <c r="H45">
        <f>'RESUMEN TOTAL'!Q48</f>
        <v>0</v>
      </c>
      <c r="I45">
        <f>'RESUMEN TOTAL'!R48</f>
        <v>0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</row>
    <row r="46" spans="1:35" x14ac:dyDescent="0.25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</row>
    <row r="47" spans="1:35" x14ac:dyDescent="0.25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</row>
    <row r="48" spans="1:35" x14ac:dyDescent="0.25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 t="str">
        <f>'RESUMEN TOTAL'!O51</f>
        <v>APAGADO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</row>
    <row r="49" spans="1:35" x14ac:dyDescent="0.25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</row>
    <row r="50" spans="1:35" x14ac:dyDescent="0.25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</row>
    <row r="51" spans="1:35" x14ac:dyDescent="0.25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 t="str">
        <f>'RESUMEN TOTAL'!O54</f>
        <v>APAGADO</v>
      </c>
      <c r="G51">
        <f>'RESUMEN TOTAL'!P54</f>
        <v>0</v>
      </c>
      <c r="H51">
        <f>'RESUMEN TOTAL'!Q54</f>
        <v>0</v>
      </c>
      <c r="I51">
        <f>'RESUMEN TOTAL'!R54</f>
        <v>0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</row>
    <row r="52" spans="1:35" x14ac:dyDescent="0.25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</row>
    <row r="53" spans="1:35" x14ac:dyDescent="0.25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 t="str">
        <f>'RESUMEN TOTAL'!O56</f>
        <v>APAGADO</v>
      </c>
      <c r="G53">
        <f>'RESUMEN TOTAL'!P56</f>
        <v>0</v>
      </c>
      <c r="H53">
        <f>'RESUMEN TOTAL'!Q56</f>
        <v>0</v>
      </c>
      <c r="I53">
        <f>'RESUMEN TOTAL'!R56</f>
        <v>0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>
        <f>'RESUMEN TOTAL'!W56</f>
        <v>0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</row>
    <row r="54" spans="1:35" x14ac:dyDescent="0.25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</row>
    <row r="55" spans="1:35" x14ac:dyDescent="0.25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</row>
    <row r="56" spans="1:35" x14ac:dyDescent="0.25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</row>
    <row r="57" spans="1:35" x14ac:dyDescent="0.25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</row>
    <row r="58" spans="1:35" x14ac:dyDescent="0.25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</row>
    <row r="59" spans="1:35" x14ac:dyDescent="0.25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>
        <f>'RESUMEN TOTAL'!R62</f>
        <v>0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</row>
    <row r="60" spans="1:35" x14ac:dyDescent="0.25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</row>
    <row r="61" spans="1:35" x14ac:dyDescent="0.25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</row>
    <row r="62" spans="1:35" x14ac:dyDescent="0.25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</row>
    <row r="63" spans="1:35" x14ac:dyDescent="0.25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</row>
    <row r="64" spans="1:35" x14ac:dyDescent="0.25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</row>
    <row r="65" spans="1:35" x14ac:dyDescent="0.25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</row>
    <row r="66" spans="1:35" x14ac:dyDescent="0.25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</row>
    <row r="67" spans="1:35" x14ac:dyDescent="0.25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</row>
    <row r="68" spans="1:35" x14ac:dyDescent="0.25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</row>
    <row r="69" spans="1:35" x14ac:dyDescent="0.25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</row>
    <row r="70" spans="1:35" x14ac:dyDescent="0.25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</row>
    <row r="71" spans="1:35" x14ac:dyDescent="0.25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</row>
    <row r="72" spans="1:35" x14ac:dyDescent="0.25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</row>
    <row r="73" spans="1:35" x14ac:dyDescent="0.25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</row>
    <row r="74" spans="1:35" x14ac:dyDescent="0.25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</row>
    <row r="75" spans="1:35" x14ac:dyDescent="0.25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 t="str">
        <f>'RESUMEN TOTAL'!O78</f>
        <v>APAGADO</v>
      </c>
      <c r="G75">
        <f>'RESUMEN TOTAL'!P78</f>
        <v>0</v>
      </c>
      <c r="H75">
        <f>'RESUMEN TOTAL'!Q78</f>
        <v>0</v>
      </c>
      <c r="I75">
        <f>'RESUMEN TOTAL'!R78</f>
        <v>0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</row>
    <row r="76" spans="1:35" x14ac:dyDescent="0.25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</row>
    <row r="77" spans="1:35" x14ac:dyDescent="0.25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>
        <f>'RESUMEN TOTAL'!O80</f>
        <v>0</v>
      </c>
      <c r="G77">
        <f>'RESUMEN TOTAL'!P80</f>
        <v>0</v>
      </c>
      <c r="H77">
        <f>'RESUMEN TOTAL'!Q80</f>
        <v>0</v>
      </c>
      <c r="I77">
        <f>'RESUMEN TOTAL'!R80</f>
        <v>0</v>
      </c>
      <c r="J77">
        <f>'RESUMEN TOTAL'!S80</f>
        <v>0</v>
      </c>
      <c r="K77">
        <f>'RESUMEN TOTAL'!T80</f>
        <v>0</v>
      </c>
      <c r="L77">
        <f>'RESUMEN TOTAL'!U80</f>
        <v>0</v>
      </c>
      <c r="M77">
        <f>'RESUMEN TOTAL'!V80</f>
        <v>0</v>
      </c>
      <c r="N77">
        <f>'RESUMEN TOTAL'!W80</f>
        <v>0</v>
      </c>
      <c r="O77">
        <f>'RESUMEN TOTAL'!X80</f>
        <v>0</v>
      </c>
      <c r="P77">
        <f>'RESUMEN TOTAL'!Y80</f>
        <v>0</v>
      </c>
      <c r="Q77">
        <f>'RESUMEN TOTAL'!Z80</f>
        <v>0</v>
      </c>
      <c r="R77">
        <f>'RESUMEN TOTAL'!AA80</f>
        <v>0</v>
      </c>
      <c r="S77">
        <f>'RESUMEN TOTAL'!AB80</f>
        <v>0</v>
      </c>
      <c r="T77">
        <f>'RESUMEN TOTAL'!AC80</f>
        <v>0</v>
      </c>
      <c r="U77">
        <f>'RESUMEN TOTAL'!AD80</f>
        <v>0</v>
      </c>
      <c r="V77">
        <f>'RESUMEN TOTAL'!AE80</f>
        <v>0</v>
      </c>
      <c r="W77">
        <f>'RESUMEN TOTAL'!AF80</f>
        <v>0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</row>
    <row r="78" spans="1:35" x14ac:dyDescent="0.25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</row>
    <row r="79" spans="1:35" x14ac:dyDescent="0.25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</row>
    <row r="80" spans="1:35" x14ac:dyDescent="0.25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 t="str">
        <f>'RESUMEN TOTAL'!O83</f>
        <v>APAGADO</v>
      </c>
      <c r="G80">
        <f>'RESUMEN TOTAL'!P83</f>
        <v>0</v>
      </c>
      <c r="H80">
        <f>'RESUMEN TOTAL'!Q83</f>
        <v>0</v>
      </c>
      <c r="I80">
        <f>'RESUMEN TOTAL'!R83</f>
        <v>0</v>
      </c>
      <c r="J80">
        <f>'RESUMEN TOTAL'!S83</f>
        <v>0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</row>
    <row r="81" spans="1:35" x14ac:dyDescent="0.25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 t="str">
        <f>'RESUMEN TOTAL'!O84</f>
        <v>APAGADO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</row>
    <row r="82" spans="1:35" x14ac:dyDescent="0.25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</row>
    <row r="83" spans="1:35" x14ac:dyDescent="0.25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</row>
    <row r="84" spans="1:35" x14ac:dyDescent="0.25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</row>
    <row r="85" spans="1:35" x14ac:dyDescent="0.25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</row>
    <row r="86" spans="1:35" x14ac:dyDescent="0.25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</row>
    <row r="87" spans="1:35" x14ac:dyDescent="0.25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 t="str">
        <f>'RESUMEN TOTAL'!O90</f>
        <v>APAGADO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</row>
    <row r="88" spans="1:35" x14ac:dyDescent="0.25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>
        <f>'RESUMEN TOTAL'!R91</f>
        <v>0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</row>
    <row r="89" spans="1:35" x14ac:dyDescent="0.25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>
        <f>'RESUMEN TOTAL'!R92</f>
        <v>0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</row>
    <row r="90" spans="1:35" x14ac:dyDescent="0.25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</row>
    <row r="91" spans="1:35" x14ac:dyDescent="0.25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 t="str">
        <f>'RESUMEN TOTAL'!O94</f>
        <v>APAGADO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</row>
    <row r="92" spans="1:35" x14ac:dyDescent="0.25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</row>
    <row r="93" spans="1:35" x14ac:dyDescent="0.25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</row>
    <row r="94" spans="1:35" x14ac:dyDescent="0.25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</row>
    <row r="95" spans="1:35" x14ac:dyDescent="0.25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</row>
    <row r="96" spans="1:35" x14ac:dyDescent="0.25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 t="str">
        <f>'RESUMEN TOTAL'!O99</f>
        <v>APAGADO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</row>
    <row r="97" spans="1:35" x14ac:dyDescent="0.25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>
        <f>'RESUMEN TOTAL'!S100</f>
        <v>0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</row>
    <row r="98" spans="1:35" x14ac:dyDescent="0.25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</row>
    <row r="99" spans="1:35" x14ac:dyDescent="0.25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>
        <f>'RESUMEN TOTAL'!X102</f>
        <v>0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</row>
    <row r="100" spans="1:35" x14ac:dyDescent="0.25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</row>
    <row r="101" spans="1:35" x14ac:dyDescent="0.25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 t="str">
        <f>'RESUMEN TOTAL'!O104</f>
        <v>APAGADO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</row>
    <row r="102" spans="1:35" x14ac:dyDescent="0.25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 t="str">
        <f>'RESUMEN TOTAL'!O105</f>
        <v>APAGADO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</row>
    <row r="103" spans="1:35" x14ac:dyDescent="0.25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 t="str">
        <f>'RESUMEN TOTAL'!O106</f>
        <v>APAGADO</v>
      </c>
      <c r="G103">
        <f>'RESUMEN TOTAL'!P106</f>
        <v>0</v>
      </c>
      <c r="H103">
        <f>'RESUMEN TOTAL'!Q106</f>
        <v>0</v>
      </c>
      <c r="I103">
        <f>'RESUMEN TOTAL'!R106</f>
        <v>0</v>
      </c>
      <c r="J103">
        <f>'RESUMEN TOTAL'!S106</f>
        <v>0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</row>
    <row r="104" spans="1:35" x14ac:dyDescent="0.25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 t="str">
        <f>'RESUMEN TOTAL'!O107</f>
        <v>APAGADO</v>
      </c>
      <c r="G104">
        <f>'RESUMEN TOTAL'!P107</f>
        <v>0</v>
      </c>
      <c r="H104">
        <f>'RESUMEN TOTAL'!Q107</f>
        <v>0</v>
      </c>
      <c r="I104">
        <f>'RESUMEN TOTAL'!R107</f>
        <v>0</v>
      </c>
      <c r="J104">
        <f>'RESUMEN TOTAL'!S107</f>
        <v>0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</row>
    <row r="105" spans="1:35" x14ac:dyDescent="0.25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 t="str">
        <f>'RESUMEN TOTAL'!O108</f>
        <v>APAGADO</v>
      </c>
      <c r="G105">
        <f>'RESUMEN TOTAL'!P108</f>
        <v>0</v>
      </c>
      <c r="H105">
        <f>'RESUMEN TOTAL'!Q108</f>
        <v>0</v>
      </c>
      <c r="I105">
        <f>'RESUMEN TOTAL'!R108</f>
        <v>0</v>
      </c>
      <c r="J105">
        <f>'RESUMEN TOTAL'!S108</f>
        <v>0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</row>
    <row r="106" spans="1:35" x14ac:dyDescent="0.25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 t="str">
        <f>'RESUMEN TOTAL'!O109</f>
        <v>APAGADO</v>
      </c>
      <c r="G106">
        <f>'RESUMEN TOTAL'!P109</f>
        <v>0</v>
      </c>
      <c r="H106">
        <f>'RESUMEN TOTAL'!Q109</f>
        <v>0</v>
      </c>
      <c r="I106">
        <f>'RESUMEN TOTAL'!R109</f>
        <v>0</v>
      </c>
      <c r="J106">
        <f>'RESUMEN TOTAL'!S109</f>
        <v>0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</row>
    <row r="107" spans="1:35" x14ac:dyDescent="0.25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</row>
    <row r="108" spans="1:35" x14ac:dyDescent="0.25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</row>
    <row r="109" spans="1:35" x14ac:dyDescent="0.25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</row>
    <row r="110" spans="1:35" x14ac:dyDescent="0.25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</row>
    <row r="111" spans="1:35" x14ac:dyDescent="0.25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</row>
    <row r="112" spans="1:35" x14ac:dyDescent="0.25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 t="str">
        <f>'RESUMEN TOTAL'!O115</f>
        <v>APAGADO</v>
      </c>
      <c r="G112">
        <f>'RESUMEN TOTAL'!P115</f>
        <v>0</v>
      </c>
      <c r="H112">
        <f>'RESUMEN TOTAL'!Q115</f>
        <v>0</v>
      </c>
      <c r="I112">
        <f>'RESUMEN TOTAL'!R115</f>
        <v>0</v>
      </c>
      <c r="J112">
        <f>'RESUMEN TOTAL'!S115</f>
        <v>0</v>
      </c>
      <c r="K112">
        <f>'RESUMEN TOTAL'!T115</f>
        <v>0</v>
      </c>
      <c r="L112">
        <f>'RESUMEN TOTAL'!U115</f>
        <v>0</v>
      </c>
      <c r="M112">
        <f>'RESUMEN TOTAL'!V115</f>
        <v>0</v>
      </c>
      <c r="N112">
        <f>'RESUMEN TOTAL'!W115</f>
        <v>0</v>
      </c>
      <c r="O112">
        <f>'RESUMEN TOTAL'!X115</f>
        <v>0</v>
      </c>
      <c r="P112">
        <f>'RESUMEN TOTAL'!Y115</f>
        <v>0</v>
      </c>
      <c r="Q112">
        <f>'RESUMEN TOTAL'!Z115</f>
        <v>0</v>
      </c>
      <c r="R112">
        <f>'RESUMEN TOTAL'!AA115</f>
        <v>0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</row>
    <row r="113" spans="1:35" x14ac:dyDescent="0.25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 t="str">
        <f>'RESUMEN TOTAL'!O116</f>
        <v>APAGADO</v>
      </c>
      <c r="G113">
        <f>'RESUMEN TOTAL'!P116</f>
        <v>0</v>
      </c>
      <c r="H113">
        <f>'RESUMEN TOTAL'!Q116</f>
        <v>0</v>
      </c>
      <c r="I113">
        <f>'RESUMEN TOTAL'!R116</f>
        <v>0</v>
      </c>
      <c r="J113">
        <f>'RESUMEN TOTAL'!S116</f>
        <v>0</v>
      </c>
      <c r="K113">
        <f>'RESUMEN TOTAL'!T116</f>
        <v>0</v>
      </c>
      <c r="L113">
        <f>'RESUMEN TOTAL'!U116</f>
        <v>0</v>
      </c>
      <c r="M113">
        <f>'RESUMEN TOTAL'!V116</f>
        <v>0</v>
      </c>
      <c r="N113">
        <f>'RESUMEN TOTAL'!W116</f>
        <v>0</v>
      </c>
      <c r="O113">
        <f>'RESUMEN TOTAL'!X116</f>
        <v>0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</row>
    <row r="114" spans="1:35" x14ac:dyDescent="0.25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</row>
    <row r="115" spans="1:35" x14ac:dyDescent="0.25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</row>
    <row r="116" spans="1:35" x14ac:dyDescent="0.25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</row>
    <row r="117" spans="1:35" x14ac:dyDescent="0.25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 t="str">
        <f>'RESUMEN TOTAL'!O120</f>
        <v>APAGADO</v>
      </c>
      <c r="G117">
        <f>'RESUMEN TOTAL'!P120</f>
        <v>0</v>
      </c>
      <c r="H117">
        <f>'RESUMEN TOTAL'!Q120</f>
        <v>0</v>
      </c>
      <c r="I117">
        <f>'RESUMEN TOTAL'!R120</f>
        <v>0</v>
      </c>
      <c r="J117">
        <f>'RESUMEN TOTAL'!S120</f>
        <v>0</v>
      </c>
      <c r="K117">
        <f>'RESUMEN TOTAL'!T120</f>
        <v>0</v>
      </c>
      <c r="L117">
        <f>'RESUMEN TOTAL'!U120</f>
        <v>0</v>
      </c>
      <c r="M117">
        <f>'RESUMEN TOTAL'!V120</f>
        <v>0</v>
      </c>
      <c r="N117">
        <f>'RESUMEN TOTAL'!W120</f>
        <v>0</v>
      </c>
      <c r="O117">
        <f>'RESUMEN TOTAL'!X120</f>
        <v>0</v>
      </c>
      <c r="P117">
        <f>'RESUMEN TOTAL'!Y120</f>
        <v>0</v>
      </c>
      <c r="Q117">
        <f>'RESUMEN TOTAL'!Z120</f>
        <v>0</v>
      </c>
      <c r="R117">
        <f>'RESUMEN TOTAL'!AA120</f>
        <v>0</v>
      </c>
      <c r="S117">
        <f>'RESUMEN TOTAL'!AB120</f>
        <v>0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</row>
    <row r="118" spans="1:35" x14ac:dyDescent="0.25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 t="str">
        <f>'RESUMEN TOTAL'!O121</f>
        <v>APAGADO</v>
      </c>
      <c r="G118">
        <f>'RESUMEN TOTAL'!P121</f>
        <v>0</v>
      </c>
      <c r="H118">
        <f>'RESUMEN TOTAL'!Q121</f>
        <v>0</v>
      </c>
      <c r="I118">
        <f>'RESUMEN TOTAL'!R121</f>
        <v>0</v>
      </c>
      <c r="J118">
        <f>'RESUMEN TOTAL'!S121</f>
        <v>0</v>
      </c>
      <c r="K118">
        <f>'RESUMEN TOTAL'!T121</f>
        <v>0</v>
      </c>
      <c r="L118">
        <f>'RESUMEN TOTAL'!U121</f>
        <v>0</v>
      </c>
      <c r="M118">
        <f>'RESUMEN TOTAL'!V121</f>
        <v>0</v>
      </c>
      <c r="N118">
        <f>'RESUMEN TOTAL'!W121</f>
        <v>0</v>
      </c>
      <c r="O118">
        <f>'RESUMEN TOTAL'!X121</f>
        <v>0</v>
      </c>
      <c r="P118">
        <f>'RESUMEN TOTAL'!Y121</f>
        <v>0</v>
      </c>
      <c r="Q118">
        <f>'RESUMEN TOTAL'!Z121</f>
        <v>0</v>
      </c>
      <c r="R118">
        <f>'RESUMEN TOTAL'!AA121</f>
        <v>0</v>
      </c>
      <c r="S118">
        <f>'RESUMEN TOTAL'!AB121</f>
        <v>0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</row>
    <row r="119" spans="1:35" x14ac:dyDescent="0.25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 t="str">
        <f>'RESUMEN TOTAL'!O122</f>
        <v>APAGADO</v>
      </c>
      <c r="G119">
        <f>'RESUMEN TOTAL'!P122</f>
        <v>0</v>
      </c>
      <c r="H119">
        <f>'RESUMEN TOTAL'!Q122</f>
        <v>0</v>
      </c>
      <c r="I119">
        <f>'RESUMEN TOTAL'!R122</f>
        <v>0</v>
      </c>
      <c r="J119">
        <f>'RESUMEN TOTAL'!S122</f>
        <v>0</v>
      </c>
      <c r="K119">
        <f>'RESUMEN TOTAL'!T122</f>
        <v>0</v>
      </c>
      <c r="L119">
        <f>'RESUMEN TOTAL'!U122</f>
        <v>0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</row>
    <row r="120" spans="1:35" x14ac:dyDescent="0.25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 t="str">
        <f>'RESUMEN TOTAL'!O123</f>
        <v>APAGADO</v>
      </c>
      <c r="G120">
        <f>'RESUMEN TOTAL'!P123</f>
        <v>0</v>
      </c>
      <c r="H120">
        <f>'RESUMEN TOTAL'!Q123</f>
        <v>0</v>
      </c>
      <c r="I120">
        <f>'RESUMEN TOTAL'!R123</f>
        <v>0</v>
      </c>
      <c r="J120">
        <f>'RESUMEN TOTAL'!S123</f>
        <v>0</v>
      </c>
      <c r="K120">
        <f>'RESUMEN TOTAL'!T123</f>
        <v>0</v>
      </c>
      <c r="L120">
        <f>'RESUMEN TOTAL'!U123</f>
        <v>0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</row>
    <row r="121" spans="1:35" x14ac:dyDescent="0.25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</row>
    <row r="122" spans="1:35" x14ac:dyDescent="0.25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</row>
    <row r="123" spans="1:35" x14ac:dyDescent="0.25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</row>
    <row r="124" spans="1:35" x14ac:dyDescent="0.25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</row>
    <row r="125" spans="1:35" x14ac:dyDescent="0.25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</row>
    <row r="126" spans="1:35" x14ac:dyDescent="0.25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>
        <f>'RESUMEN TOTAL'!S129</f>
        <v>0</v>
      </c>
      <c r="K126">
        <f>'RESUMEN TOTAL'!T129</f>
        <v>0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</row>
    <row r="127" spans="1:35" x14ac:dyDescent="0.25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</row>
    <row r="128" spans="1:35" x14ac:dyDescent="0.25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</row>
    <row r="129" spans="1:35" x14ac:dyDescent="0.25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</row>
    <row r="130" spans="1:35" x14ac:dyDescent="0.25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>
        <f>'RESUMEN TOTAL'!P133</f>
        <v>0</v>
      </c>
      <c r="H130">
        <f>'RESUMEN TOTAL'!Q133</f>
        <v>0</v>
      </c>
      <c r="I130">
        <f>'RESUMEN TOTAL'!R133</f>
        <v>0</v>
      </c>
      <c r="J130">
        <f>'RESUMEN TOTAL'!S133</f>
        <v>0</v>
      </c>
      <c r="K130">
        <f>'RESUMEN TOTAL'!T133</f>
        <v>0</v>
      </c>
      <c r="L130">
        <f>'RESUMEN TOTAL'!U133</f>
        <v>0</v>
      </c>
      <c r="M130">
        <f>'RESUMEN TOTAL'!V133</f>
        <v>0</v>
      </c>
      <c r="N130">
        <f>'RESUMEN TOTAL'!W133</f>
        <v>0</v>
      </c>
      <c r="O130">
        <f>'RESUMEN TOTAL'!X133</f>
        <v>0</v>
      </c>
      <c r="P130">
        <f>'RESUMEN TOTAL'!Y133</f>
        <v>0</v>
      </c>
      <c r="Q130">
        <f>'RESUMEN TOTAL'!Z133</f>
        <v>0</v>
      </c>
      <c r="R130">
        <f>'RESUMEN TOTAL'!AA133</f>
        <v>0</v>
      </c>
      <c r="S130">
        <f>'RESUMEN TOTAL'!AB133</f>
        <v>0</v>
      </c>
      <c r="T130">
        <f>'RESUMEN TOTAL'!AC133</f>
        <v>0</v>
      </c>
      <c r="U130">
        <f>'RESUMEN TOTAL'!AD133</f>
        <v>0</v>
      </c>
      <c r="V130">
        <f>'RESUMEN TOTAL'!AE133</f>
        <v>0</v>
      </c>
      <c r="W130">
        <f>'RESUMEN TOTAL'!AF133</f>
        <v>0</v>
      </c>
      <c r="X130">
        <f>'RESUMEN TOTAL'!AG133</f>
        <v>0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</row>
    <row r="131" spans="1:35" x14ac:dyDescent="0.25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</row>
    <row r="132" spans="1:35" x14ac:dyDescent="0.25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 t="str">
        <f>'RESUMEN TOTAL'!O135</f>
        <v>APAGADO</v>
      </c>
      <c r="G132">
        <f>'RESUMEN TOTAL'!P135</f>
        <v>0</v>
      </c>
      <c r="H132">
        <f>'RESUMEN TOTAL'!Q135</f>
        <v>0</v>
      </c>
      <c r="I132">
        <f>'RESUMEN TOTAL'!R135</f>
        <v>0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</row>
    <row r="133" spans="1:35" x14ac:dyDescent="0.25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>
        <f>'RESUMEN TOTAL'!O136</f>
        <v>0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</row>
    <row r="134" spans="1:35" x14ac:dyDescent="0.25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</row>
    <row r="135" spans="1:35" x14ac:dyDescent="0.25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</row>
    <row r="136" spans="1:35" x14ac:dyDescent="0.25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</row>
    <row r="137" spans="1:35" x14ac:dyDescent="0.25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</row>
    <row r="138" spans="1:35" x14ac:dyDescent="0.25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</row>
    <row r="139" spans="1:35" x14ac:dyDescent="0.25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 t="str">
        <f>'RESUMEN TOTAL'!O142</f>
        <v>APAGADO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</row>
    <row r="140" spans="1:35" x14ac:dyDescent="0.25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 t="str">
        <f>'RESUMEN TOTAL'!O143</f>
        <v>APAGADO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</row>
    <row r="141" spans="1:35" x14ac:dyDescent="0.25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 t="str">
        <f>'RESUMEN TOTAL'!O144</f>
        <v>APAGADO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>
        <f>'RESUMEN TOTAL'!V144</f>
        <v>0</v>
      </c>
      <c r="N141">
        <f>'RESUMEN TOTAL'!W144</f>
        <v>0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</row>
    <row r="142" spans="1:35" x14ac:dyDescent="0.25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</row>
    <row r="143" spans="1:35" x14ac:dyDescent="0.25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</row>
    <row r="144" spans="1:35" x14ac:dyDescent="0.25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</row>
    <row r="145" spans="1:35" x14ac:dyDescent="0.25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</row>
    <row r="146" spans="1:35" x14ac:dyDescent="0.25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</row>
    <row r="147" spans="1:35" x14ac:dyDescent="0.25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</row>
    <row r="148" spans="1:35" x14ac:dyDescent="0.25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</row>
    <row r="149" spans="1:35" x14ac:dyDescent="0.25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</row>
    <row r="150" spans="1:35" x14ac:dyDescent="0.25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>
        <f>'RESUMEN TOTAL'!R153</f>
        <v>0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</row>
    <row r="151" spans="1:35" x14ac:dyDescent="0.25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</row>
    <row r="152" spans="1:35" x14ac:dyDescent="0.25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</row>
    <row r="153" spans="1:35" x14ac:dyDescent="0.25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 t="str">
        <f>'RESUMEN TOTAL'!O156</f>
        <v>APAGADO</v>
      </c>
      <c r="G153">
        <f>'RESUMEN TOTAL'!P156</f>
        <v>0</v>
      </c>
      <c r="H153">
        <f>'RESUMEN TOTAL'!Q156</f>
        <v>0</v>
      </c>
      <c r="I153">
        <f>'RESUMEN TOTAL'!R156</f>
        <v>0</v>
      </c>
      <c r="J153">
        <f>'RESUMEN TOTAL'!S156</f>
        <v>0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</row>
    <row r="154" spans="1:35" x14ac:dyDescent="0.25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</row>
    <row r="155" spans="1:35" x14ac:dyDescent="0.25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</row>
    <row r="156" spans="1:35" x14ac:dyDescent="0.25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</row>
    <row r="157" spans="1:35" x14ac:dyDescent="0.25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</row>
    <row r="158" spans="1:35" x14ac:dyDescent="0.25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</row>
    <row r="159" spans="1:35" x14ac:dyDescent="0.25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</row>
    <row r="160" spans="1:35" x14ac:dyDescent="0.25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</row>
    <row r="161" spans="1:35" x14ac:dyDescent="0.25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</row>
    <row r="162" spans="1:35" x14ac:dyDescent="0.25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</row>
    <row r="163" spans="1:35" x14ac:dyDescent="0.25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 t="str">
        <f>'RESUMEN TOTAL'!O166</f>
        <v>APAGADO</v>
      </c>
      <c r="G163">
        <f>'RESUMEN TOTAL'!P166</f>
        <v>0</v>
      </c>
      <c r="H163">
        <f>'RESUMEN TOTAL'!Q166</f>
        <v>0</v>
      </c>
      <c r="I163">
        <f>'RESUMEN TOTAL'!R166</f>
        <v>0</v>
      </c>
      <c r="J163">
        <f>'RESUMEN TOTAL'!S166</f>
        <v>0</v>
      </c>
      <c r="K163">
        <f>'RESUMEN TOTAL'!T166</f>
        <v>0</v>
      </c>
      <c r="L163">
        <f>'RESUMEN TOTAL'!U166</f>
        <v>0</v>
      </c>
      <c r="M163">
        <f>'RESUMEN TOTAL'!V166</f>
        <v>0</v>
      </c>
      <c r="N163">
        <f>'RESUMEN TOTAL'!W166</f>
        <v>0</v>
      </c>
      <c r="O163">
        <f>'RESUMEN TOTAL'!X166</f>
        <v>0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</row>
    <row r="164" spans="1:35" x14ac:dyDescent="0.25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</row>
    <row r="165" spans="1:35" x14ac:dyDescent="0.25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>
        <f>'RESUMEN TOTAL'!R168</f>
        <v>0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>
        <f>'RESUMEN TOTAL'!AA168</f>
        <v>0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</row>
    <row r="166" spans="1:35" x14ac:dyDescent="0.25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</row>
    <row r="167" spans="1:35" x14ac:dyDescent="0.25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</row>
    <row r="168" spans="1:35" x14ac:dyDescent="0.25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</row>
    <row r="169" spans="1:35" x14ac:dyDescent="0.25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</row>
    <row r="170" spans="1:35" x14ac:dyDescent="0.25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</row>
    <row r="171" spans="1:35" x14ac:dyDescent="0.25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>
        <f>'RESUMEN TOTAL'!U174</f>
        <v>0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</row>
    <row r="172" spans="1:35" x14ac:dyDescent="0.25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</row>
    <row r="173" spans="1:35" x14ac:dyDescent="0.25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</row>
    <row r="174" spans="1:35" x14ac:dyDescent="0.25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 t="str">
        <f>'RESUMEN TOTAL'!O177</f>
        <v>APAGADO</v>
      </c>
      <c r="G174">
        <f>'RESUMEN TOTAL'!P177</f>
        <v>0</v>
      </c>
      <c r="H174">
        <f>'RESUMEN TOTAL'!Q177</f>
        <v>0</v>
      </c>
      <c r="I174">
        <f>'RESUMEN TOTAL'!R177</f>
        <v>0</v>
      </c>
      <c r="J174">
        <f>'RESUMEN TOTAL'!S177</f>
        <v>0</v>
      </c>
      <c r="K174">
        <f>'RESUMEN TOTAL'!T177</f>
        <v>0</v>
      </c>
      <c r="L174">
        <f>'RESUMEN TOTAL'!U177</f>
        <v>0</v>
      </c>
      <c r="M174">
        <f>'RESUMEN TOTAL'!V177</f>
        <v>0</v>
      </c>
      <c r="N174">
        <f>'RESUMEN TOTAL'!W177</f>
        <v>0</v>
      </c>
      <c r="O174">
        <f>'RESUMEN TOTAL'!X177</f>
        <v>0</v>
      </c>
      <c r="P174">
        <f>'RESUMEN TOTAL'!Y177</f>
        <v>0</v>
      </c>
      <c r="Q174">
        <f>'RESUMEN TOTAL'!Z177</f>
        <v>0</v>
      </c>
      <c r="R174">
        <f>'RESUMEN TOTAL'!AA177</f>
        <v>0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</row>
    <row r="175" spans="1:35" x14ac:dyDescent="0.25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</row>
    <row r="176" spans="1:35" x14ac:dyDescent="0.25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 t="str">
        <f>'RESUMEN TOTAL'!O179</f>
        <v>APAGADO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</row>
    <row r="177" spans="1:35" x14ac:dyDescent="0.25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</row>
    <row r="178" spans="1:35" x14ac:dyDescent="0.25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</row>
    <row r="179" spans="1:35" x14ac:dyDescent="0.25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</row>
    <row r="180" spans="1:35" x14ac:dyDescent="0.25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</row>
    <row r="181" spans="1:35" x14ac:dyDescent="0.25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</row>
    <row r="182" spans="1:35" x14ac:dyDescent="0.25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 t="str">
        <f>'RESUMEN TOTAL'!O185</f>
        <v>APAGADO</v>
      </c>
      <c r="G182">
        <f>'RESUMEN TOTAL'!P185</f>
        <v>0</v>
      </c>
      <c r="H182">
        <f>'RESUMEN TOTAL'!Q185</f>
        <v>0</v>
      </c>
      <c r="I182">
        <f>'RESUMEN TOTAL'!R185</f>
        <v>0</v>
      </c>
      <c r="J182">
        <f>'RESUMEN TOTAL'!S185</f>
        <v>0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</row>
    <row r="183" spans="1:35" x14ac:dyDescent="0.25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>
        <f>'RESUMEN TOTAL'!R186</f>
        <v>0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</row>
    <row r="184" spans="1:35" x14ac:dyDescent="0.25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</row>
    <row r="185" spans="1:35" x14ac:dyDescent="0.25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 t="str">
        <f>'RESUMEN TOTAL'!O188</f>
        <v>APAGADO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</row>
    <row r="186" spans="1:35" x14ac:dyDescent="0.25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</row>
    <row r="187" spans="1:35" x14ac:dyDescent="0.25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</row>
    <row r="188" spans="1:35" x14ac:dyDescent="0.25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>
        <f>'RESUMEN TOTAL'!O191</f>
        <v>0</v>
      </c>
      <c r="G188">
        <f>'RESUMEN TOTAL'!P191</f>
        <v>0</v>
      </c>
      <c r="H188">
        <f>'RESUMEN TOTAL'!Q191</f>
        <v>0</v>
      </c>
      <c r="I188">
        <f>'RESUMEN TOTAL'!R191</f>
        <v>0</v>
      </c>
      <c r="J188">
        <f>'RESUMEN TOTAL'!S191</f>
        <v>0</v>
      </c>
      <c r="K188">
        <f>'RESUMEN TOTAL'!T191</f>
        <v>0</v>
      </c>
      <c r="L188">
        <f>'RESUMEN TOTAL'!U191</f>
        <v>0</v>
      </c>
      <c r="M188">
        <f>'RESUMEN TOTAL'!V191</f>
        <v>0</v>
      </c>
      <c r="N188">
        <f>'RESUMEN TOTAL'!W191</f>
        <v>0</v>
      </c>
      <c r="O188">
        <f>'RESUMEN TOTAL'!X191</f>
        <v>0</v>
      </c>
      <c r="P188">
        <f>'RESUMEN TOTAL'!Y191</f>
        <v>0</v>
      </c>
      <c r="Q188">
        <f>'RESUMEN TOTAL'!Z191</f>
        <v>0</v>
      </c>
      <c r="R188">
        <f>'RESUMEN TOTAL'!AA191</f>
        <v>0</v>
      </c>
      <c r="S188">
        <f>'RESUMEN TOTAL'!AB191</f>
        <v>0</v>
      </c>
      <c r="T188">
        <f>'RESUMEN TOTAL'!AC191</f>
        <v>0</v>
      </c>
      <c r="U188">
        <f>'RESUMEN TOTAL'!AD191</f>
        <v>0</v>
      </c>
      <c r="V188">
        <f>'RESUMEN TOTAL'!AE191</f>
        <v>0</v>
      </c>
      <c r="W188">
        <f>'RESUMEN TOTAL'!AF191</f>
        <v>0</v>
      </c>
      <c r="X188">
        <f>'RESUMEN TOTAL'!AG191</f>
        <v>0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</row>
    <row r="189" spans="1:35" x14ac:dyDescent="0.25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>
        <f>'RESUMEN TOTAL'!O192</f>
        <v>0</v>
      </c>
      <c r="G189">
        <f>'RESUMEN TOTAL'!P192</f>
        <v>0</v>
      </c>
      <c r="H189">
        <f>'RESUMEN TOTAL'!Q192</f>
        <v>0</v>
      </c>
      <c r="I189">
        <f>'RESUMEN TOTAL'!R192</f>
        <v>0</v>
      </c>
      <c r="J189">
        <f>'RESUMEN TOTAL'!S192</f>
        <v>0</v>
      </c>
      <c r="K189">
        <f>'RESUMEN TOTAL'!T192</f>
        <v>0</v>
      </c>
      <c r="L189">
        <f>'RESUMEN TOTAL'!U192</f>
        <v>0</v>
      </c>
      <c r="M189">
        <f>'RESUMEN TOTAL'!V192</f>
        <v>0</v>
      </c>
      <c r="N189">
        <f>'RESUMEN TOTAL'!W192</f>
        <v>0</v>
      </c>
      <c r="O189">
        <f>'RESUMEN TOTAL'!X192</f>
        <v>0</v>
      </c>
      <c r="P189">
        <f>'RESUMEN TOTAL'!Y192</f>
        <v>0</v>
      </c>
      <c r="Q189">
        <f>'RESUMEN TOTAL'!Z192</f>
        <v>0</v>
      </c>
      <c r="R189">
        <f>'RESUMEN TOTAL'!AA192</f>
        <v>0</v>
      </c>
      <c r="S189">
        <f>'RESUMEN TOTAL'!AB192</f>
        <v>0</v>
      </c>
      <c r="T189">
        <f>'RESUMEN TOTAL'!AC192</f>
        <v>0</v>
      </c>
      <c r="U189">
        <f>'RESUMEN TOTAL'!AD192</f>
        <v>0</v>
      </c>
      <c r="V189">
        <f>'RESUMEN TOTAL'!AE192</f>
        <v>0</v>
      </c>
      <c r="W189">
        <f>'RESUMEN TOTAL'!AF192</f>
        <v>0</v>
      </c>
      <c r="X189">
        <f>'RESUMEN TOTAL'!AG192</f>
        <v>0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</row>
    <row r="190" spans="1:35" x14ac:dyDescent="0.25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</row>
    <row r="191" spans="1:35" x14ac:dyDescent="0.25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>
        <f>'RESUMEN TOTAL'!P194</f>
        <v>0</v>
      </c>
      <c r="H191">
        <f>'RESUMEN TOTAL'!Q194</f>
        <v>0</v>
      </c>
      <c r="I191">
        <f>'RESUMEN TOTAL'!R194</f>
        <v>0</v>
      </c>
      <c r="J191">
        <f>'RESUMEN TOTAL'!S194</f>
        <v>0</v>
      </c>
      <c r="K191">
        <f>'RESUMEN TOTAL'!T194</f>
        <v>0</v>
      </c>
      <c r="L191">
        <f>'RESUMEN TOTAL'!U194</f>
        <v>0</v>
      </c>
      <c r="M191">
        <f>'RESUMEN TOTAL'!V194</f>
        <v>0</v>
      </c>
      <c r="N191">
        <f>'RESUMEN TOTAL'!W194</f>
        <v>0</v>
      </c>
      <c r="O191">
        <f>'RESUMEN TOTAL'!X194</f>
        <v>0</v>
      </c>
      <c r="P191">
        <f>'RESUMEN TOTAL'!Y194</f>
        <v>0</v>
      </c>
      <c r="Q191">
        <f>'RESUMEN TOTAL'!Z194</f>
        <v>0</v>
      </c>
      <c r="R191">
        <f>'RESUMEN TOTAL'!AA194</f>
        <v>0</v>
      </c>
      <c r="S191">
        <f>'RESUMEN TOTAL'!AB194</f>
        <v>0</v>
      </c>
      <c r="T191">
        <f>'RESUMEN TOTAL'!AC194</f>
        <v>0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</row>
    <row r="192" spans="1:35" x14ac:dyDescent="0.25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</row>
    <row r="193" spans="1:35" x14ac:dyDescent="0.25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</row>
    <row r="194" spans="1:35" x14ac:dyDescent="0.25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 t="str">
        <f>'RESUMEN TOTAL'!O197</f>
        <v>APAGADO</v>
      </c>
      <c r="G194">
        <f>'RESUMEN TOTAL'!P197</f>
        <v>0</v>
      </c>
      <c r="H194">
        <f>'RESUMEN TOTAL'!Q197</f>
        <v>0</v>
      </c>
      <c r="I194">
        <f>'RESUMEN TOTAL'!R197</f>
        <v>0</v>
      </c>
      <c r="J194">
        <f>'RESUMEN TOTAL'!S197</f>
        <v>0</v>
      </c>
      <c r="K194">
        <f>'RESUMEN TOTAL'!T197</f>
        <v>0</v>
      </c>
      <c r="L194">
        <f>'RESUMEN TOTAL'!U197</f>
        <v>0</v>
      </c>
      <c r="M194">
        <f>'RESUMEN TOTAL'!V197</f>
        <v>0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</row>
    <row r="195" spans="1:35" x14ac:dyDescent="0.25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 t="str">
        <f>'RESUMEN TOTAL'!O198</f>
        <v>APAGADO</v>
      </c>
      <c r="G195">
        <f>'RESUMEN TOTAL'!P198</f>
        <v>0</v>
      </c>
      <c r="H195">
        <f>'RESUMEN TOTAL'!Q198</f>
        <v>0</v>
      </c>
      <c r="I195">
        <f>'RESUMEN TOTAL'!R198</f>
        <v>0</v>
      </c>
      <c r="J195">
        <f>'RESUMEN TOTAL'!S198</f>
        <v>0</v>
      </c>
      <c r="K195">
        <f>'RESUMEN TOTAL'!T198</f>
        <v>0</v>
      </c>
      <c r="L195">
        <f>'RESUMEN TOTAL'!U198</f>
        <v>0</v>
      </c>
      <c r="M195">
        <f>'RESUMEN TOTAL'!V198</f>
        <v>0</v>
      </c>
      <c r="N195">
        <f>'RESUMEN TOTAL'!W198</f>
        <v>0</v>
      </c>
      <c r="O195">
        <f>'RESUMEN TOTAL'!X198</f>
        <v>0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</row>
    <row r="196" spans="1:35" x14ac:dyDescent="0.25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 t="str">
        <f>'RESUMEN TOTAL'!O199</f>
        <v>APAGADO</v>
      </c>
      <c r="G196">
        <f>'RESUMEN TOTAL'!P199</f>
        <v>0</v>
      </c>
      <c r="H196">
        <f>'RESUMEN TOTAL'!Q199</f>
        <v>0</v>
      </c>
      <c r="I196">
        <f>'RESUMEN TOTAL'!R199</f>
        <v>0</v>
      </c>
      <c r="J196">
        <f>'RESUMEN TOTAL'!S199</f>
        <v>0</v>
      </c>
      <c r="K196">
        <f>'RESUMEN TOTAL'!T199</f>
        <v>0</v>
      </c>
      <c r="L196">
        <f>'RESUMEN TOTAL'!U199</f>
        <v>0</v>
      </c>
      <c r="M196">
        <f>'RESUMEN TOTAL'!V199</f>
        <v>0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</row>
    <row r="197" spans="1:35" x14ac:dyDescent="0.25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 t="str">
        <f>'RESUMEN TOTAL'!O200</f>
        <v>APAGADO</v>
      </c>
      <c r="G197">
        <f>'RESUMEN TOTAL'!P200</f>
        <v>0</v>
      </c>
      <c r="H197">
        <f>'RESUMEN TOTAL'!Q200</f>
        <v>0</v>
      </c>
      <c r="I197">
        <f>'RESUMEN TOTAL'!R200</f>
        <v>0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</row>
    <row r="198" spans="1:35" x14ac:dyDescent="0.25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>
        <f>'RESUMEN TOTAL'!R201</f>
        <v>0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</row>
    <row r="199" spans="1:35" x14ac:dyDescent="0.25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>
        <f>'RESUMEN TOTAL'!R202</f>
        <v>0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</row>
    <row r="200" spans="1:35" x14ac:dyDescent="0.25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>
        <f>'RESUMEN TOTAL'!R203</f>
        <v>0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>
        <f>'RESUMEN TOTAL'!AA203</f>
        <v>0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</row>
    <row r="201" spans="1:35" x14ac:dyDescent="0.25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 t="str">
        <f>'RESUMEN TOTAL'!O204</f>
        <v>APAGADO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</row>
    <row r="202" spans="1:35" x14ac:dyDescent="0.25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 t="str">
        <f>'RESUMEN TOTAL'!O205</f>
        <v>APAGADO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</row>
    <row r="203" spans="1:35" x14ac:dyDescent="0.25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>
        <f>'RESUMEN TOTAL'!P206</f>
        <v>0</v>
      </c>
      <c r="H203">
        <f>'RESUMEN TOTAL'!Q206</f>
        <v>0</v>
      </c>
      <c r="I203">
        <f>'RESUMEN TOTAL'!R206</f>
        <v>0</v>
      </c>
      <c r="J203">
        <f>'RESUMEN TOTAL'!S206</f>
        <v>0</v>
      </c>
      <c r="K203">
        <f>'RESUMEN TOTAL'!T206</f>
        <v>0</v>
      </c>
      <c r="L203">
        <f>'RESUMEN TOTAL'!U206</f>
        <v>0</v>
      </c>
      <c r="M203">
        <f>'RESUMEN TOTAL'!V206</f>
        <v>0</v>
      </c>
      <c r="N203">
        <f>'RESUMEN TOTAL'!W206</f>
        <v>0</v>
      </c>
      <c r="O203">
        <f>'RESUMEN TOTAL'!X206</f>
        <v>0</v>
      </c>
      <c r="P203">
        <f>'RESUMEN TOTAL'!Y206</f>
        <v>0</v>
      </c>
      <c r="Q203">
        <f>'RESUMEN TOTAL'!Z206</f>
        <v>0</v>
      </c>
      <c r="R203">
        <f>'RESUMEN TOTAL'!AA206</f>
        <v>0</v>
      </c>
      <c r="S203">
        <f>'RESUMEN TOTAL'!AB206</f>
        <v>0</v>
      </c>
      <c r="T203">
        <f>'RESUMEN TOTAL'!AC206</f>
        <v>0</v>
      </c>
      <c r="U203">
        <f>'RESUMEN TOTAL'!AD206</f>
        <v>0</v>
      </c>
      <c r="V203">
        <f>'RESUMEN TOTAL'!AE206</f>
        <v>0</v>
      </c>
      <c r="W203">
        <f>'RESUMEN TOTAL'!AF206</f>
        <v>0</v>
      </c>
      <c r="X203">
        <f>'RESUMEN TOTAL'!AG206</f>
        <v>0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</row>
    <row r="204" spans="1:35" x14ac:dyDescent="0.25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 t="str">
        <f>'RESUMEN TOTAL'!O207</f>
        <v>APAGADO</v>
      </c>
      <c r="G204">
        <f>'RESUMEN TOTAL'!P207</f>
        <v>0</v>
      </c>
      <c r="H204">
        <f>'RESUMEN TOTAL'!Q207</f>
        <v>0</v>
      </c>
      <c r="I204">
        <f>'RESUMEN TOTAL'!R207</f>
        <v>0</v>
      </c>
      <c r="J204">
        <f>'RESUMEN TOTAL'!S207</f>
        <v>0</v>
      </c>
      <c r="K204">
        <f>'RESUMEN TOTAL'!T207</f>
        <v>0</v>
      </c>
      <c r="L204">
        <f>'RESUMEN TOTAL'!U207</f>
        <v>0</v>
      </c>
      <c r="M204">
        <f>'RESUMEN TOTAL'!V207</f>
        <v>0</v>
      </c>
      <c r="N204">
        <f>'RESUMEN TOTAL'!W207</f>
        <v>0</v>
      </c>
      <c r="O204">
        <f>'RESUMEN TOTAL'!X207</f>
        <v>0</v>
      </c>
      <c r="P204">
        <f>'RESUMEN TOTAL'!Y207</f>
        <v>0</v>
      </c>
      <c r="Q204">
        <f>'RESUMEN TOTAL'!Z207</f>
        <v>0</v>
      </c>
      <c r="R204">
        <f>'RESUMEN TOTAL'!AA207</f>
        <v>0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</row>
    <row r="205" spans="1:35" x14ac:dyDescent="0.25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 t="str">
        <f>'RESUMEN TOTAL'!O208</f>
        <v>APAGADO</v>
      </c>
      <c r="G205">
        <f>'RESUMEN TOTAL'!P208</f>
        <v>0</v>
      </c>
      <c r="H205">
        <f>'RESUMEN TOTAL'!Q208</f>
        <v>0</v>
      </c>
      <c r="I205">
        <f>'RESUMEN TOTAL'!R208</f>
        <v>0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</row>
    <row r="206" spans="1:35" x14ac:dyDescent="0.25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NUÑEZ</v>
      </c>
      <c r="D206" t="str">
        <f>'RESUMEN TOTAL'!E209</f>
        <v>DOMO</v>
      </c>
      <c r="E206" t="str">
        <f>'RESUMEN TOTAL'!F209</f>
        <v>Fibra Optica</v>
      </c>
      <c r="F206">
        <f>'RESUMEN TOTAL'!O209</f>
        <v>0</v>
      </c>
      <c r="G206">
        <f>'RESUMEN TOTAL'!P209</f>
        <v>0</v>
      </c>
      <c r="H206">
        <f>'RESUMEN TOTAL'!Q209</f>
        <v>0</v>
      </c>
      <c r="I206">
        <f>'RESUMEN TOTAL'!R209</f>
        <v>0</v>
      </c>
      <c r="J206">
        <f>'RESUMEN TOTAL'!S209</f>
        <v>0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</row>
    <row r="207" spans="1:35" x14ac:dyDescent="0.25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NUÑEZ</v>
      </c>
      <c r="D207" t="str">
        <f>'RESUMEN TOTAL'!E210</f>
        <v>Fija</v>
      </c>
      <c r="E207" t="str">
        <f>'RESUMEN TOTAL'!F210</f>
        <v>Fibra Optica</v>
      </c>
      <c r="F207">
        <f>'RESUMEN TOTAL'!O210</f>
        <v>0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</row>
    <row r="208" spans="1:35" x14ac:dyDescent="0.25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 t="str">
        <f>'RESUMEN TOTAL'!O211</f>
        <v>APAGADO</v>
      </c>
      <c r="G208">
        <f>'RESUMEN TOTAL'!P211</f>
        <v>0</v>
      </c>
      <c r="H208">
        <f>'RESUMEN TOTAL'!Q211</f>
        <v>0</v>
      </c>
      <c r="I208">
        <f>'RESUMEN TOTAL'!R211</f>
        <v>0</v>
      </c>
      <c r="J208">
        <f>'RESUMEN TOTAL'!S211</f>
        <v>0</v>
      </c>
      <c r="K208">
        <f>'RESUMEN TOTAL'!T211</f>
        <v>0</v>
      </c>
      <c r="L208">
        <f>'RESUMEN TOTAL'!U211</f>
        <v>0</v>
      </c>
      <c r="M208">
        <f>'RESUMEN TOTAL'!V211</f>
        <v>0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>
        <f>'RESUMEN TOTAL'!Z211</f>
        <v>0</v>
      </c>
      <c r="R208">
        <f>'RESUMEN TOTAL'!AA211</f>
        <v>0</v>
      </c>
      <c r="S208">
        <f>'RESUMEN TOTAL'!AB211</f>
        <v>0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>
        <f>'RESUMEN TOTAL'!AF211</f>
        <v>0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</row>
    <row r="209" spans="1:35" x14ac:dyDescent="0.25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 t="str">
        <f>'RESUMEN TOTAL'!O212</f>
        <v>APAGADO</v>
      </c>
      <c r="G209">
        <f>'RESUMEN TOTAL'!P212</f>
        <v>0</v>
      </c>
      <c r="H209">
        <f>'RESUMEN TOTAL'!Q212</f>
        <v>0</v>
      </c>
      <c r="I209">
        <f>'RESUMEN TOTAL'!R212</f>
        <v>0</v>
      </c>
      <c r="J209">
        <f>'RESUMEN TOTAL'!S212</f>
        <v>0</v>
      </c>
      <c r="K209">
        <f>'RESUMEN TOTAL'!T212</f>
        <v>0</v>
      </c>
      <c r="L209">
        <f>'RESUMEN TOTAL'!U212</f>
        <v>0</v>
      </c>
      <c r="M209">
        <f>'RESUMEN TOTAL'!V212</f>
        <v>0</v>
      </c>
      <c r="N209">
        <f>'RESUMEN TOTAL'!W212</f>
        <v>0</v>
      </c>
      <c r="O209">
        <f>'RESUMEN TOTAL'!X212</f>
        <v>0</v>
      </c>
      <c r="P209">
        <f>'RESUMEN TOTAL'!Y212</f>
        <v>0</v>
      </c>
      <c r="Q209">
        <f>'RESUMEN TOTAL'!Z212</f>
        <v>0</v>
      </c>
      <c r="R209">
        <f>'RESUMEN TOTAL'!AA212</f>
        <v>0</v>
      </c>
      <c r="S209">
        <f>'RESUMEN TOTAL'!AB212</f>
        <v>0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>
        <f>'RESUMEN TOTAL'!AF212</f>
        <v>0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</row>
    <row r="210" spans="1:35" x14ac:dyDescent="0.25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 t="str">
        <f>'RESUMEN TOTAL'!O213</f>
        <v>APAGADO</v>
      </c>
      <c r="G210">
        <f>'RESUMEN TOTAL'!P213</f>
        <v>0</v>
      </c>
      <c r="H210">
        <f>'RESUMEN TOTAL'!Q213</f>
        <v>0</v>
      </c>
      <c r="I210">
        <f>'RESUMEN TOTAL'!R213</f>
        <v>0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>
        <f>'RESUMEN TOTAL'!AA213</f>
        <v>0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</row>
    <row r="211" spans="1:35" x14ac:dyDescent="0.25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</row>
    <row r="212" spans="1:35" x14ac:dyDescent="0.25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</row>
    <row r="213" spans="1:35" x14ac:dyDescent="0.25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</row>
    <row r="214" spans="1:35" x14ac:dyDescent="0.25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</row>
    <row r="215" spans="1:35" x14ac:dyDescent="0.25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 t="str">
        <f>'RESUMEN TOTAL'!O218</f>
        <v>APAGADO</v>
      </c>
      <c r="G215">
        <f>'RESUMEN TOTAL'!P218</f>
        <v>0</v>
      </c>
      <c r="H215">
        <f>'RESUMEN TOTAL'!Q218</f>
        <v>0</v>
      </c>
      <c r="I215">
        <f>'RESUMEN TOTAL'!R218</f>
        <v>0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</row>
    <row r="216" spans="1:35" x14ac:dyDescent="0.25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 t="str">
        <f>'RESUMEN TOTAL'!O219</f>
        <v>APAGADO</v>
      </c>
      <c r="G216">
        <f>'RESUMEN TOTAL'!P219</f>
        <v>0</v>
      </c>
      <c r="H216">
        <f>'RESUMEN TOTAL'!Q219</f>
        <v>0</v>
      </c>
      <c r="I216">
        <f>'RESUMEN TOTAL'!R219</f>
        <v>0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</row>
    <row r="217" spans="1:35" x14ac:dyDescent="0.25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</row>
    <row r="218" spans="1:35" x14ac:dyDescent="0.25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</row>
    <row r="219" spans="1:35" x14ac:dyDescent="0.25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</row>
    <row r="220" spans="1:35" x14ac:dyDescent="0.25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</row>
    <row r="221" spans="1:35" x14ac:dyDescent="0.25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>
        <f>'RESUMEN TOTAL'!R224</f>
        <v>0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</row>
    <row r="222" spans="1:35" x14ac:dyDescent="0.25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</row>
    <row r="223" spans="1:35" x14ac:dyDescent="0.25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</row>
    <row r="224" spans="1:35" x14ac:dyDescent="0.25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</row>
    <row r="225" spans="1:35" x14ac:dyDescent="0.25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</row>
    <row r="226" spans="1:35" x14ac:dyDescent="0.25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</row>
    <row r="227" spans="1:35" x14ac:dyDescent="0.25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 t="str">
        <f>'RESUMEN TOTAL'!O230</f>
        <v>APAGADO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>
        <f>'RESUMEN TOTAL'!U230</f>
        <v>0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</row>
    <row r="228" spans="1:35" x14ac:dyDescent="0.25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 t="str">
        <f>'RESUMEN TOTAL'!O231</f>
        <v>APAGADO</v>
      </c>
      <c r="G228">
        <f>'RESUMEN TOTAL'!P231</f>
        <v>0</v>
      </c>
      <c r="H228">
        <f>'RESUMEN TOTAL'!Q231</f>
        <v>0</v>
      </c>
      <c r="I228">
        <f>'RESUMEN TOTAL'!R231</f>
        <v>0</v>
      </c>
      <c r="J228">
        <f>'RESUMEN TOTAL'!S231</f>
        <v>0</v>
      </c>
      <c r="K228">
        <f>'RESUMEN TOTAL'!T231</f>
        <v>0</v>
      </c>
      <c r="L228">
        <f>'RESUMEN TOTAL'!U231</f>
        <v>0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>
        <f>'RESUMEN TOTAL'!Y231</f>
        <v>0</v>
      </c>
      <c r="Q228">
        <f>'RESUMEN TOTAL'!Z231</f>
        <v>0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</row>
    <row r="229" spans="1:35" x14ac:dyDescent="0.25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 t="str">
        <f>'RESUMEN TOTAL'!O232</f>
        <v>APAGADO</v>
      </c>
      <c r="G229">
        <f>'RESUMEN TOTAL'!P232</f>
        <v>0</v>
      </c>
      <c r="H229">
        <f>'RESUMEN TOTAL'!Q232</f>
        <v>0</v>
      </c>
      <c r="I229">
        <f>'RESUMEN TOTAL'!R232</f>
        <v>0</v>
      </c>
      <c r="J229">
        <f>'RESUMEN TOTAL'!S232</f>
        <v>0</v>
      </c>
      <c r="K229">
        <f>'RESUMEN TOTAL'!T232</f>
        <v>0</v>
      </c>
      <c r="L229">
        <f>'RESUMEN TOTAL'!U232</f>
        <v>0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</row>
    <row r="230" spans="1:35" x14ac:dyDescent="0.25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</row>
    <row r="231" spans="1:35" x14ac:dyDescent="0.25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</row>
    <row r="232" spans="1:35" x14ac:dyDescent="0.25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</row>
    <row r="233" spans="1:35" x14ac:dyDescent="0.25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</row>
    <row r="234" spans="1:35" x14ac:dyDescent="0.25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</row>
    <row r="235" spans="1:35" x14ac:dyDescent="0.25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</row>
    <row r="236" spans="1:35" x14ac:dyDescent="0.25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>
        <f>'RESUMEN TOTAL'!O239</f>
        <v>0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</row>
    <row r="237" spans="1:35" x14ac:dyDescent="0.25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>
        <f>'RESUMEN TOTAL'!O240</f>
        <v>0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</row>
    <row r="238" spans="1:35" x14ac:dyDescent="0.25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</row>
    <row r="239" spans="1:35" x14ac:dyDescent="0.25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</row>
    <row r="240" spans="1:35" x14ac:dyDescent="0.25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</row>
    <row r="241" spans="1:35" x14ac:dyDescent="0.25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</row>
    <row r="242" spans="1:35" x14ac:dyDescent="0.25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>
        <f>'RESUMEN TOTAL'!O245</f>
        <v>0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</row>
    <row r="243" spans="1:35" x14ac:dyDescent="0.25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</row>
    <row r="244" spans="1:35" x14ac:dyDescent="0.25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</row>
    <row r="245" spans="1:35" x14ac:dyDescent="0.25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</row>
    <row r="246" spans="1:35" x14ac:dyDescent="0.25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</row>
    <row r="247" spans="1:35" x14ac:dyDescent="0.25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</row>
    <row r="248" spans="1:35" x14ac:dyDescent="0.25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 t="str">
        <f>'RESUMEN TOTAL'!O251</f>
        <v>APAGADO</v>
      </c>
      <c r="G248">
        <f>'RESUMEN TOTAL'!P251</f>
        <v>0</v>
      </c>
      <c r="H248">
        <f>'RESUMEN TOTAL'!Q251</f>
        <v>0</v>
      </c>
      <c r="I248">
        <f>'RESUMEN TOTAL'!R251</f>
        <v>0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</row>
    <row r="249" spans="1:35" x14ac:dyDescent="0.25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 t="str">
        <f>'RESUMEN TOTAL'!O252</f>
        <v>APAGADO</v>
      </c>
      <c r="G249">
        <f>'RESUMEN TOTAL'!P252</f>
        <v>0</v>
      </c>
      <c r="H249">
        <f>'RESUMEN TOTAL'!Q252</f>
        <v>0</v>
      </c>
      <c r="I249">
        <f>'RESUMEN TOTAL'!R252</f>
        <v>0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</row>
    <row r="250" spans="1:35" x14ac:dyDescent="0.25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 t="str">
        <f>'RESUMEN TOTAL'!O253</f>
        <v>APAGADO</v>
      </c>
      <c r="G250">
        <f>'RESUMEN TOTAL'!P253</f>
        <v>0</v>
      </c>
      <c r="H250">
        <f>'RESUMEN TOTAL'!Q253</f>
        <v>0</v>
      </c>
      <c r="I250">
        <f>'RESUMEN TOTAL'!R253</f>
        <v>0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</row>
    <row r="251" spans="1:35" x14ac:dyDescent="0.25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 t="str">
        <f>'RESUMEN TOTAL'!O254</f>
        <v>APAGADO</v>
      </c>
      <c r="G251">
        <f>'RESUMEN TOTAL'!P254</f>
        <v>0</v>
      </c>
      <c r="H251">
        <f>'RESUMEN TOTAL'!Q254</f>
        <v>0</v>
      </c>
      <c r="I251">
        <f>'RESUMEN TOTAL'!R254</f>
        <v>0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</row>
    <row r="252" spans="1:35" x14ac:dyDescent="0.25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</row>
    <row r="253" spans="1:35" x14ac:dyDescent="0.25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</row>
    <row r="254" spans="1:35" x14ac:dyDescent="0.25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</row>
    <row r="255" spans="1:35" x14ac:dyDescent="0.25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</row>
    <row r="256" spans="1:35" x14ac:dyDescent="0.25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</row>
    <row r="257" spans="1:35" x14ac:dyDescent="0.25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</row>
    <row r="258" spans="1:35" x14ac:dyDescent="0.25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</row>
    <row r="259" spans="1:35" x14ac:dyDescent="0.25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</row>
    <row r="260" spans="1:35" x14ac:dyDescent="0.25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 t="str">
        <f>'RESUMEN TOTAL'!O263</f>
        <v>APAGADO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</row>
    <row r="261" spans="1:35" x14ac:dyDescent="0.25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 t="str">
        <f>'RESUMEN TOTAL'!O264</f>
        <v>APAGADO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</row>
    <row r="262" spans="1:35" x14ac:dyDescent="0.25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 t="str">
        <f>'RESUMEN TOTAL'!O265</f>
        <v>APAGADO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</row>
    <row r="263" spans="1:35" x14ac:dyDescent="0.25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 t="str">
        <f>'RESUMEN TOTAL'!O266</f>
        <v>APAGADO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</row>
    <row r="264" spans="1:35" x14ac:dyDescent="0.25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</row>
    <row r="265" spans="1:35" x14ac:dyDescent="0.25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</row>
    <row r="266" spans="1:35" x14ac:dyDescent="0.25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</row>
    <row r="267" spans="1:35" x14ac:dyDescent="0.25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</row>
    <row r="268" spans="1:35" x14ac:dyDescent="0.25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</row>
    <row r="269" spans="1:35" x14ac:dyDescent="0.25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</row>
    <row r="270" spans="1:35" x14ac:dyDescent="0.25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</row>
    <row r="271" spans="1:35" x14ac:dyDescent="0.25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</row>
    <row r="272" spans="1:35" x14ac:dyDescent="0.25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</row>
    <row r="273" spans="1:35" x14ac:dyDescent="0.25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</row>
    <row r="274" spans="1:35" x14ac:dyDescent="0.25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</row>
    <row r="275" spans="1:35" x14ac:dyDescent="0.25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</row>
    <row r="276" spans="1:35" x14ac:dyDescent="0.25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>
        <f>'RESUMEN TOTAL'!O279</f>
        <v>0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</row>
    <row r="277" spans="1:35" x14ac:dyDescent="0.25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</row>
    <row r="278" spans="1:35" x14ac:dyDescent="0.25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>
        <f>'RESUMEN TOTAL'!S281</f>
        <v>0</v>
      </c>
      <c r="K278">
        <f>'RESUMEN TOTAL'!T281</f>
        <v>0</v>
      </c>
      <c r="L278">
        <f>'RESUMEN TOTAL'!U281</f>
        <v>0</v>
      </c>
      <c r="M278">
        <f>'RESUMEN TOTAL'!V281</f>
        <v>0</v>
      </c>
      <c r="N278">
        <f>'RESUMEN TOTAL'!W281</f>
        <v>0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</row>
    <row r="279" spans="1:35" x14ac:dyDescent="0.25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>
        <f>'RESUMEN TOTAL'!U282</f>
        <v>0</v>
      </c>
      <c r="M279">
        <f>'RESUMEN TOTAL'!V282</f>
        <v>0</v>
      </c>
      <c r="N279">
        <f>'RESUMEN TOTAL'!W282</f>
        <v>0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</row>
    <row r="280" spans="1:35" x14ac:dyDescent="0.25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>
        <f>'RESUMEN TOTAL'!O283</f>
        <v>0</v>
      </c>
      <c r="G280">
        <f>'RESUMEN TOTAL'!P283</f>
        <v>0</v>
      </c>
      <c r="H280">
        <f>'RESUMEN TOTAL'!Q283</f>
        <v>0</v>
      </c>
      <c r="I280">
        <f>'RESUMEN TOTAL'!R283</f>
        <v>0</v>
      </c>
      <c r="J280">
        <f>'RESUMEN TOTAL'!S283</f>
        <v>0</v>
      </c>
      <c r="K280">
        <f>'RESUMEN TOTAL'!T283</f>
        <v>0</v>
      </c>
      <c r="L280">
        <f>'RESUMEN TOTAL'!U283</f>
        <v>0</v>
      </c>
      <c r="M280">
        <f>'RESUMEN TOTAL'!V283</f>
        <v>0</v>
      </c>
      <c r="N280">
        <f>'RESUMEN TOTAL'!W283</f>
        <v>0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</row>
    <row r="281" spans="1:35" x14ac:dyDescent="0.25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</row>
    <row r="282" spans="1:35" x14ac:dyDescent="0.25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</row>
    <row r="283" spans="1:35" x14ac:dyDescent="0.25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</row>
    <row r="284" spans="1:35" x14ac:dyDescent="0.25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</row>
    <row r="285" spans="1:35" x14ac:dyDescent="0.25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</row>
    <row r="286" spans="1:35" x14ac:dyDescent="0.25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</row>
    <row r="287" spans="1:35" x14ac:dyDescent="0.25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</row>
    <row r="288" spans="1:35" x14ac:dyDescent="0.25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>
        <f>'RESUMEN TOTAL'!R291</f>
        <v>0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</row>
    <row r="289" spans="1:35" x14ac:dyDescent="0.25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>
        <f>'RESUMEN TOTAL'!R292</f>
        <v>0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</row>
    <row r="290" spans="1:35" x14ac:dyDescent="0.25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>
        <f>'RESUMEN TOTAL'!R293</f>
        <v>0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</row>
    <row r="291" spans="1:35" x14ac:dyDescent="0.25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>
        <f>'RESUMEN TOTAL'!R294</f>
        <v>0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</row>
    <row r="292" spans="1:35" x14ac:dyDescent="0.25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>
        <f>'RESUMEN TOTAL'!R295</f>
        <v>0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</row>
    <row r="293" spans="1:35" x14ac:dyDescent="0.25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</row>
    <row r="294" spans="1:35" x14ac:dyDescent="0.25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</row>
    <row r="295" spans="1:35" x14ac:dyDescent="0.25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</row>
    <row r="296" spans="1:35" x14ac:dyDescent="0.25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</row>
    <row r="297" spans="1:35" x14ac:dyDescent="0.25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>
        <f>'RESUMEN TOTAL'!R300</f>
        <v>0</v>
      </c>
      <c r="J297">
        <f>'RESUMEN TOTAL'!S300</f>
        <v>0</v>
      </c>
      <c r="K297">
        <f>'RESUMEN TOTAL'!T300</f>
        <v>0</v>
      </c>
      <c r="L297">
        <f>'RESUMEN TOTAL'!U300</f>
        <v>0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</row>
    <row r="298" spans="1:35" x14ac:dyDescent="0.25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</row>
    <row r="299" spans="1:35" x14ac:dyDescent="0.25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</row>
    <row r="300" spans="1:35" x14ac:dyDescent="0.25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>
        <f>'RESUMEN TOTAL'!P303</f>
        <v>0</v>
      </c>
      <c r="H300">
        <f>'RESUMEN TOTAL'!Q303</f>
        <v>0</v>
      </c>
      <c r="I300">
        <f>'RESUMEN TOTAL'!R303</f>
        <v>0</v>
      </c>
      <c r="J300">
        <f>'RESUMEN TOTAL'!S303</f>
        <v>0</v>
      </c>
      <c r="K300">
        <f>'RESUMEN TOTAL'!T303</f>
        <v>0</v>
      </c>
      <c r="L300">
        <f>'RESUMEN TOTAL'!U303</f>
        <v>0</v>
      </c>
      <c r="M300">
        <f>'RESUMEN TOTAL'!V303</f>
        <v>0</v>
      </c>
      <c r="N300">
        <f>'RESUMEN TOTAL'!W303</f>
        <v>0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>
        <f>'RESUMEN TOTAL'!AA303</f>
        <v>0</v>
      </c>
      <c r="S300">
        <f>'RESUMEN TOTAL'!AB303</f>
        <v>0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</row>
    <row r="301" spans="1:35" x14ac:dyDescent="0.25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</row>
    <row r="302" spans="1:35" x14ac:dyDescent="0.25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</row>
    <row r="303" spans="1:35" x14ac:dyDescent="0.25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</row>
    <row r="304" spans="1:35" x14ac:dyDescent="0.25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</row>
    <row r="305" spans="1:35" x14ac:dyDescent="0.25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>
        <f>'RESUMEN TOTAL'!R308</f>
        <v>0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</row>
    <row r="306" spans="1:35" x14ac:dyDescent="0.25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</row>
    <row r="307" spans="1:35" x14ac:dyDescent="0.25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</row>
    <row r="308" spans="1:35" x14ac:dyDescent="0.25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</row>
    <row r="309" spans="1:35" x14ac:dyDescent="0.25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</row>
    <row r="310" spans="1:35" x14ac:dyDescent="0.25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</row>
    <row r="311" spans="1:35" x14ac:dyDescent="0.25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</row>
    <row r="312" spans="1:35" x14ac:dyDescent="0.25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</row>
    <row r="313" spans="1:35" x14ac:dyDescent="0.25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</row>
    <row r="314" spans="1:35" x14ac:dyDescent="0.25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</row>
    <row r="315" spans="1:35" x14ac:dyDescent="0.25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</row>
    <row r="316" spans="1:35" x14ac:dyDescent="0.25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</row>
    <row r="317" spans="1:35" x14ac:dyDescent="0.25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</row>
    <row r="318" spans="1:35" x14ac:dyDescent="0.25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</row>
    <row r="319" spans="1:35" x14ac:dyDescent="0.25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</row>
    <row r="320" spans="1:35" x14ac:dyDescent="0.25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</row>
    <row r="321" spans="1:35" x14ac:dyDescent="0.25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</row>
    <row r="322" spans="1:35" x14ac:dyDescent="0.25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</row>
    <row r="323" spans="1:35" x14ac:dyDescent="0.25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</row>
    <row r="324" spans="1:35" x14ac:dyDescent="0.25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</row>
    <row r="325" spans="1:35" x14ac:dyDescent="0.25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</row>
    <row r="326" spans="1:35" x14ac:dyDescent="0.25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</row>
    <row r="327" spans="1:35" x14ac:dyDescent="0.25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</row>
    <row r="328" spans="1:35" x14ac:dyDescent="0.25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</row>
    <row r="329" spans="1:35" x14ac:dyDescent="0.25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</row>
    <row r="330" spans="1:35" x14ac:dyDescent="0.25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</row>
    <row r="331" spans="1:35" x14ac:dyDescent="0.25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</row>
    <row r="332" spans="1:35" x14ac:dyDescent="0.25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</row>
    <row r="333" spans="1:35" x14ac:dyDescent="0.25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</row>
    <row r="334" spans="1:35" x14ac:dyDescent="0.25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>
        <f>'RESUMEN TOTAL'!O337</f>
        <v>0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</row>
    <row r="335" spans="1:35" x14ac:dyDescent="0.25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>
        <f>'RESUMEN TOTAL'!O338</f>
        <v>0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</row>
    <row r="336" spans="1:35" x14ac:dyDescent="0.25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</row>
    <row r="337" spans="1:35" x14ac:dyDescent="0.25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</row>
    <row r="338" spans="1:35" x14ac:dyDescent="0.25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</row>
    <row r="339" spans="1:35" x14ac:dyDescent="0.25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</row>
    <row r="340" spans="1:35" x14ac:dyDescent="0.25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</row>
    <row r="341" spans="1:35" x14ac:dyDescent="0.25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</row>
    <row r="342" spans="1:35" x14ac:dyDescent="0.25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</row>
    <row r="343" spans="1:35" x14ac:dyDescent="0.25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</row>
    <row r="344" spans="1:35" x14ac:dyDescent="0.25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</row>
    <row r="345" spans="1:35" x14ac:dyDescent="0.25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>
        <f>'RESUMEN TOTAL'!P348</f>
        <v>0</v>
      </c>
      <c r="H345">
        <f>'RESUMEN TOTAL'!Q348</f>
        <v>0</v>
      </c>
      <c r="I345">
        <f>'RESUMEN TOTAL'!R348</f>
        <v>0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</row>
    <row r="346" spans="1:35" x14ac:dyDescent="0.25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</row>
    <row r="347" spans="1:35" x14ac:dyDescent="0.25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</row>
    <row r="348" spans="1:35" x14ac:dyDescent="0.25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</row>
    <row r="349" spans="1:35" x14ac:dyDescent="0.25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>
        <f>'RESUMEN TOTAL'!P352</f>
        <v>0</v>
      </c>
      <c r="H349">
        <f>'RESUMEN TOTAL'!Q352</f>
        <v>0</v>
      </c>
      <c r="I349">
        <f>'RESUMEN TOTAL'!R352</f>
        <v>0</v>
      </c>
      <c r="J349">
        <f>'RESUMEN TOTAL'!S352</f>
        <v>0</v>
      </c>
      <c r="K349">
        <f>'RESUMEN TOTAL'!T352</f>
        <v>0</v>
      </c>
      <c r="L349">
        <f>'RESUMEN TOTAL'!U352</f>
        <v>0</v>
      </c>
      <c r="M349">
        <f>'RESUMEN TOTAL'!V352</f>
        <v>0</v>
      </c>
      <c r="N349">
        <f>'RESUMEN TOTAL'!W352</f>
        <v>0</v>
      </c>
      <c r="O349">
        <f>'RESUMEN TOTAL'!X352</f>
        <v>0</v>
      </c>
      <c r="P349">
        <f>'RESUMEN TOTAL'!Y352</f>
        <v>0</v>
      </c>
      <c r="Q349">
        <f>'RESUMEN TOTAL'!Z352</f>
        <v>0</v>
      </c>
      <c r="R349">
        <f>'RESUMEN TOTAL'!AA352</f>
        <v>0</v>
      </c>
      <c r="S349">
        <f>'RESUMEN TOTAL'!AB352</f>
        <v>0</v>
      </c>
      <c r="T349">
        <f>'RESUMEN TOTAL'!AC352</f>
        <v>0</v>
      </c>
      <c r="U349">
        <f>'RESUMEN TOTAL'!AD352</f>
        <v>0</v>
      </c>
      <c r="V349">
        <f>'RESUMEN TOTAL'!AE352</f>
        <v>0</v>
      </c>
      <c r="W349">
        <f>'RESUMEN TOTAL'!AF352</f>
        <v>0</v>
      </c>
      <c r="X349">
        <f>'RESUMEN TOTAL'!AG352</f>
        <v>0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</row>
    <row r="350" spans="1:35" x14ac:dyDescent="0.25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</row>
    <row r="351" spans="1:35" x14ac:dyDescent="0.25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</row>
    <row r="352" spans="1:35" x14ac:dyDescent="0.25">
      <c r="A352">
        <f>'RESUMEN TOTAL'!A355</f>
        <v>0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>
        <f>'RESUMEN TOTAL'!F355</f>
        <v>0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>
        <f>'RESUMEN TOTAL'!Z355</f>
        <v>0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</row>
    <row r="353" spans="1:35" x14ac:dyDescent="0.25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</row>
    <row r="354" spans="1:35" x14ac:dyDescent="0.25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</row>
    <row r="355" spans="1:35" x14ac:dyDescent="0.25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</row>
    <row r="356" spans="1:35" x14ac:dyDescent="0.25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 t="str">
        <f>'RESUMEN TOTAL'!O359</f>
        <v>APAGADO</v>
      </c>
      <c r="G356">
        <f>'RESUMEN TOTAL'!P359</f>
        <v>0</v>
      </c>
      <c r="H356">
        <f>'RESUMEN TOTAL'!Q359</f>
        <v>0</v>
      </c>
      <c r="I356">
        <f>'RESUMEN TOTAL'!R359</f>
        <v>0</v>
      </c>
      <c r="J356">
        <f>'RESUMEN TOTAL'!S359</f>
        <v>0</v>
      </c>
      <c r="K356">
        <f>'RESUMEN TOTAL'!T359</f>
        <v>0</v>
      </c>
      <c r="L356">
        <f>'RESUMEN TOTAL'!U359</f>
        <v>0</v>
      </c>
      <c r="M356">
        <f>'RESUMEN TOTAL'!V359</f>
        <v>0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</row>
    <row r="357" spans="1:35" x14ac:dyDescent="0.25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 t="str">
        <f>'RESUMEN TOTAL'!O360</f>
        <v>APAGADO</v>
      </c>
      <c r="G357">
        <f>'RESUMEN TOTAL'!P360</f>
        <v>0</v>
      </c>
      <c r="H357">
        <f>'RESUMEN TOTAL'!Q360</f>
        <v>0</v>
      </c>
      <c r="I357">
        <f>'RESUMEN TOTAL'!R360</f>
        <v>0</v>
      </c>
      <c r="J357">
        <f>'RESUMEN TOTAL'!S360</f>
        <v>0</v>
      </c>
      <c r="K357">
        <f>'RESUMEN TOTAL'!T360</f>
        <v>0</v>
      </c>
      <c r="L357">
        <f>'RESUMEN TOTAL'!U360</f>
        <v>0</v>
      </c>
      <c r="M357">
        <f>'RESUMEN TOTAL'!V360</f>
        <v>0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</row>
    <row r="358" spans="1:35" x14ac:dyDescent="0.25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 t="str">
        <f>'RESUMEN TOTAL'!O361</f>
        <v>APAGADO</v>
      </c>
      <c r="G358">
        <f>'RESUMEN TOTAL'!P361</f>
        <v>0</v>
      </c>
      <c r="H358">
        <f>'RESUMEN TOTAL'!Q361</f>
        <v>0</v>
      </c>
      <c r="I358">
        <f>'RESUMEN TOTAL'!R361</f>
        <v>0</v>
      </c>
      <c r="J358">
        <f>'RESUMEN TOTAL'!S361</f>
        <v>0</v>
      </c>
      <c r="K358">
        <f>'RESUMEN TOTAL'!T361</f>
        <v>0</v>
      </c>
      <c r="L358">
        <f>'RESUMEN TOTAL'!U361</f>
        <v>0</v>
      </c>
      <c r="M358">
        <f>'RESUMEN TOTAL'!V361</f>
        <v>0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</row>
    <row r="359" spans="1:35" x14ac:dyDescent="0.25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 t="str">
        <f>'RESUMEN TOTAL'!O362</f>
        <v>APAGADO</v>
      </c>
      <c r="G359">
        <f>'RESUMEN TOTAL'!P362</f>
        <v>0</v>
      </c>
      <c r="H359">
        <f>'RESUMEN TOTAL'!Q362</f>
        <v>0</v>
      </c>
      <c r="I359">
        <f>'RESUMEN TOTAL'!R362</f>
        <v>0</v>
      </c>
      <c r="J359">
        <f>'RESUMEN TOTAL'!S362</f>
        <v>0</v>
      </c>
      <c r="K359">
        <f>'RESUMEN TOTAL'!T362</f>
        <v>0</v>
      </c>
      <c r="L359">
        <f>'RESUMEN TOTAL'!U362</f>
        <v>0</v>
      </c>
      <c r="M359">
        <f>'RESUMEN TOTAL'!V362</f>
        <v>0</v>
      </c>
      <c r="N359">
        <f>'RESUMEN TOTAL'!W362</f>
        <v>0</v>
      </c>
      <c r="O359">
        <f>'RESUMEN TOTAL'!X362</f>
        <v>0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</row>
    <row r="360" spans="1:35" x14ac:dyDescent="0.25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>
        <f>'RESUMEN TOTAL'!T363</f>
        <v>0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</row>
    <row r="361" spans="1:35" x14ac:dyDescent="0.25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</row>
    <row r="362" spans="1:35" x14ac:dyDescent="0.25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</row>
    <row r="363" spans="1:35" x14ac:dyDescent="0.25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</row>
    <row r="364" spans="1:35" x14ac:dyDescent="0.25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</row>
    <row r="365" spans="1:35" x14ac:dyDescent="0.25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</row>
    <row r="366" spans="1:35" x14ac:dyDescent="0.25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</row>
    <row r="367" spans="1:35" x14ac:dyDescent="0.25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</row>
    <row r="368" spans="1:35" x14ac:dyDescent="0.25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</row>
    <row r="369" spans="1:35" x14ac:dyDescent="0.25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</row>
    <row r="370" spans="1:35" x14ac:dyDescent="0.25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</row>
    <row r="371" spans="1:35" x14ac:dyDescent="0.25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</row>
    <row r="372" spans="1:35" x14ac:dyDescent="0.25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</row>
    <row r="373" spans="1:35" x14ac:dyDescent="0.25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</row>
    <row r="374" spans="1:35" x14ac:dyDescent="0.25">
      <c r="A374" t="str">
        <f>'RESUMEN TOTAL'!A377</f>
        <v>CENTRO</v>
      </c>
      <c r="B374" t="str">
        <f>'RESUMEN TOTAL'!C377</f>
        <v>CEN75</v>
      </c>
      <c r="C374" t="str">
        <f>'RESUMEN TOTAL'!D377</f>
        <v>CASTELLI Y 25 DE MAYO</v>
      </c>
      <c r="D374" t="str">
        <f>'RESUMEN TOTAL'!E377</f>
        <v>DOMO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I379"/>
  <sheetViews>
    <sheetView workbookViewId="0">
      <pane xSplit="5" ySplit="2" topLeftCell="AA78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54"/>
  </cols>
  <sheetData>
    <row r="1" spans="1:35" ht="21" x14ac:dyDescent="0.35">
      <c r="E1" s="26" t="s">
        <v>933</v>
      </c>
      <c r="F1" s="26">
        <f t="shared" ref="F1:AC1" si="0">COUNTIF(F3:F366, "APAGADO")</f>
        <v>71</v>
      </c>
      <c r="G1" s="26">
        <f t="shared" si="0"/>
        <v>0</v>
      </c>
      <c r="H1" s="26">
        <f t="shared" si="0"/>
        <v>0</v>
      </c>
      <c r="I1" s="26">
        <f t="shared" si="0"/>
        <v>0</v>
      </c>
      <c r="J1" s="26">
        <f t="shared" si="0"/>
        <v>0</v>
      </c>
      <c r="K1" s="26">
        <f t="shared" si="0"/>
        <v>0</v>
      </c>
      <c r="L1" s="26">
        <f t="shared" si="0"/>
        <v>0</v>
      </c>
      <c r="M1" s="26">
        <f t="shared" si="0"/>
        <v>0</v>
      </c>
      <c r="N1" s="26">
        <f t="shared" si="0"/>
        <v>0</v>
      </c>
      <c r="O1" s="26">
        <f t="shared" si="0"/>
        <v>0</v>
      </c>
      <c r="P1" s="26">
        <f t="shared" si="0"/>
        <v>0</v>
      </c>
      <c r="Q1" s="26">
        <f t="shared" si="0"/>
        <v>0</v>
      </c>
      <c r="R1" s="26">
        <f t="shared" si="0"/>
        <v>0</v>
      </c>
      <c r="S1" s="26">
        <f t="shared" si="0"/>
        <v>0</v>
      </c>
      <c r="T1" s="26">
        <f t="shared" si="0"/>
        <v>0</v>
      </c>
      <c r="U1" s="26">
        <f t="shared" si="0"/>
        <v>0</v>
      </c>
      <c r="V1" s="26">
        <f t="shared" si="0"/>
        <v>0</v>
      </c>
      <c r="W1" s="26">
        <f>COUNTIF(W3:W447, "APAGADO")</f>
        <v>0</v>
      </c>
      <c r="X1" s="26">
        <f t="shared" si="0"/>
        <v>0</v>
      </c>
      <c r="Y1" s="26">
        <f t="shared" si="0"/>
        <v>0</v>
      </c>
      <c r="Z1" s="26">
        <f t="shared" si="0"/>
        <v>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>COUNTIF(AD3:AD366, "APAGADO")</f>
        <v>0</v>
      </c>
      <c r="AE1" s="26">
        <f t="shared" ref="AE1:AG1" si="1">COUNTIF(AE3:AE366, "APAGADO")</f>
        <v>0</v>
      </c>
      <c r="AF1" s="26">
        <f t="shared" si="1"/>
        <v>0</v>
      </c>
      <c r="AG1" s="26">
        <f t="shared" si="1"/>
        <v>0</v>
      </c>
      <c r="AH1" s="26">
        <f t="shared" ref="AH1:AI1" si="2">COUNTIF(AH3:AH366, "APAGADO")</f>
        <v>0</v>
      </c>
      <c r="AI1" s="26">
        <f t="shared" si="2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64">
        <f>ESTADISTICA!F1</f>
        <v>44713</v>
      </c>
      <c r="G2" s="64">
        <f>ESTADISTICA!G1</f>
        <v>44714</v>
      </c>
      <c r="H2" s="64">
        <f>ESTADISTICA!H1</f>
        <v>44715</v>
      </c>
      <c r="I2" s="64">
        <f>ESTADISTICA!I1</f>
        <v>44716</v>
      </c>
      <c r="J2" s="64">
        <f>ESTADISTICA!J1</f>
        <v>44717</v>
      </c>
      <c r="K2" s="64">
        <f>ESTADISTICA!K1</f>
        <v>44718</v>
      </c>
      <c r="L2" s="64">
        <f>ESTADISTICA!L1</f>
        <v>44719</v>
      </c>
      <c r="M2" s="64">
        <f>ESTADISTICA!M1</f>
        <v>44720</v>
      </c>
      <c r="N2" s="64">
        <f>ESTADISTICA!N1</f>
        <v>44721</v>
      </c>
      <c r="O2" s="64">
        <f>ESTADISTICA!O1</f>
        <v>44722</v>
      </c>
      <c r="P2" s="64">
        <f>ESTADISTICA!P1</f>
        <v>44723</v>
      </c>
      <c r="Q2" s="64">
        <f>ESTADISTICA!Q1</f>
        <v>44724</v>
      </c>
      <c r="R2" s="64">
        <f>ESTADISTICA!R1</f>
        <v>44725</v>
      </c>
      <c r="S2" s="64">
        <f>ESTADISTICA!S1</f>
        <v>44726</v>
      </c>
      <c r="T2" s="64">
        <f>ESTADISTICA!T1</f>
        <v>44727</v>
      </c>
      <c r="U2" s="64">
        <f>ESTADISTICA!U1</f>
        <v>44728</v>
      </c>
      <c r="V2" s="64">
        <f>ESTADISTICA!V1</f>
        <v>44729</v>
      </c>
      <c r="W2" s="64">
        <f>ESTADISTICA!W1</f>
        <v>44730</v>
      </c>
      <c r="X2" s="64">
        <f>ESTADISTICA!X1</f>
        <v>44731</v>
      </c>
      <c r="Y2" s="64">
        <f>ESTADISTICA!Y1</f>
        <v>44732</v>
      </c>
      <c r="Z2" s="64">
        <f>ESTADISTICA!Z1</f>
        <v>44733</v>
      </c>
      <c r="AA2" s="64">
        <f>ESTADISTICA!AA1</f>
        <v>44734</v>
      </c>
      <c r="AB2" s="64">
        <f>ESTADISTICA!AB1</f>
        <v>44735</v>
      </c>
      <c r="AC2" s="64">
        <f>ESTADISTICA!AC1</f>
        <v>44736</v>
      </c>
      <c r="AD2" s="64">
        <f>ESTADISTICA!AD1</f>
        <v>44737</v>
      </c>
      <c r="AE2" s="64">
        <f>ESTADISTICA!AE1</f>
        <v>44738</v>
      </c>
      <c r="AF2" s="64">
        <f>ESTADISTICA!AF1</f>
        <v>44739</v>
      </c>
      <c r="AG2" s="64">
        <f>ESTADISTICA!AG1</f>
        <v>44740</v>
      </c>
      <c r="AH2" s="64">
        <f>ESTADISTICA!AH1</f>
        <v>44741</v>
      </c>
      <c r="AI2" s="64">
        <f>ESTADISTICA!AI1</f>
        <v>44742</v>
      </c>
    </row>
    <row r="3" spans="1:35" hidden="1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/>
      <c r="AI3"/>
    </row>
    <row r="4" spans="1:35" hidden="1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/>
      <c r="AI4"/>
    </row>
    <row r="5" spans="1:35" hidden="1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/>
      <c r="AI5"/>
    </row>
    <row r="6" spans="1:35" hidden="1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/>
      <c r="AI6"/>
    </row>
    <row r="7" spans="1:35" hidden="1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/>
      <c r="AI7"/>
    </row>
    <row r="8" spans="1:35" hidden="1" x14ac:dyDescent="0.25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/>
      <c r="AI8"/>
    </row>
    <row r="9" spans="1:35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 t="str">
        <f>ESTADISTICA!F8</f>
        <v>APAGADO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/>
      <c r="AI9"/>
    </row>
    <row r="10" spans="1:35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/>
      <c r="AI10"/>
    </row>
    <row r="11" spans="1:35" hidden="1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/>
      <c r="AI11"/>
    </row>
    <row r="12" spans="1:35" hidden="1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 t="str">
        <f>ESTADISTICA!F11</f>
        <v>APAGADO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/>
      <c r="AI12"/>
    </row>
    <row r="13" spans="1:35" hidden="1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/>
      <c r="AI13"/>
    </row>
    <row r="14" spans="1:35" hidden="1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/>
      <c r="AI14"/>
    </row>
    <row r="15" spans="1:35" hidden="1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/>
      <c r="AI15"/>
    </row>
    <row r="16" spans="1:35" hidden="1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/>
      <c r="AI16"/>
    </row>
    <row r="17" spans="1:35" hidden="1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/>
      <c r="AI17"/>
    </row>
    <row r="18" spans="1:35" hidden="1" x14ac:dyDescent="0.25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/>
      <c r="AI18"/>
    </row>
    <row r="19" spans="1:35" hidden="1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/>
      <c r="AI19"/>
    </row>
    <row r="20" spans="1:35" hidden="1" x14ac:dyDescent="0.25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 t="str">
        <f>ESTADISTICA!F19</f>
        <v>APAGADO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/>
      <c r="AI20"/>
    </row>
    <row r="21" spans="1:35" hidden="1" x14ac:dyDescent="0.25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/>
      <c r="AI21"/>
    </row>
    <row r="22" spans="1:35" hidden="1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/>
      <c r="AI22"/>
    </row>
    <row r="23" spans="1:35" hidden="1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/>
      <c r="AI23"/>
    </row>
    <row r="24" spans="1:35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/>
      <c r="AI24"/>
    </row>
    <row r="25" spans="1:35" hidden="1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/>
      <c r="AI25"/>
    </row>
    <row r="26" spans="1:35" hidden="1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/>
      <c r="AI26"/>
    </row>
    <row r="27" spans="1:35" hidden="1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/>
      <c r="AI27"/>
    </row>
    <row r="28" spans="1:35" hidden="1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 t="str">
        <f>ESTADISTICA!F27</f>
        <v>APAGADO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/>
      <c r="AI28"/>
    </row>
    <row r="29" spans="1:35" hidden="1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/>
      <c r="AI29"/>
    </row>
    <row r="30" spans="1:35" hidden="1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/>
      <c r="AI30"/>
    </row>
    <row r="31" spans="1:35" hidden="1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/>
      <c r="AI31"/>
    </row>
    <row r="32" spans="1:35" hidden="1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/>
      <c r="AI32"/>
    </row>
    <row r="33" spans="1:35" hidden="1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/>
      <c r="AI33"/>
    </row>
    <row r="34" spans="1:35" hidden="1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/>
      <c r="AI34"/>
    </row>
    <row r="35" spans="1:35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/>
      <c r="AI35"/>
    </row>
    <row r="36" spans="1:35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/>
      <c r="AI36"/>
    </row>
    <row r="37" spans="1:35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/>
      <c r="AI37"/>
    </row>
    <row r="38" spans="1:35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/>
      <c r="AI38"/>
    </row>
    <row r="39" spans="1:35" hidden="1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/>
      <c r="AI39"/>
    </row>
    <row r="40" spans="1:35" hidden="1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/>
      <c r="AI40"/>
    </row>
    <row r="41" spans="1:35" hidden="1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/>
      <c r="AI41"/>
    </row>
    <row r="42" spans="1:35" hidden="1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/>
      <c r="AI42"/>
    </row>
    <row r="43" spans="1:35" hidden="1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/>
      <c r="AI43"/>
    </row>
    <row r="44" spans="1:35" hidden="1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/>
      <c r="AI44"/>
    </row>
    <row r="45" spans="1:35" hidden="1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/>
      <c r="AI45"/>
    </row>
    <row r="46" spans="1:35" hidden="1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/>
      <c r="AI46"/>
    </row>
    <row r="47" spans="1:35" hidden="1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/>
      <c r="AI47"/>
    </row>
    <row r="48" spans="1:35" hidden="1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/>
      <c r="AI48"/>
    </row>
    <row r="49" spans="1:35" hidden="1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 t="str">
        <f>ESTADISTICA!F48</f>
        <v>APAGADO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/>
      <c r="AI49"/>
    </row>
    <row r="50" spans="1:35" hidden="1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/>
      <c r="AI50"/>
    </row>
    <row r="51" spans="1:35" hidden="1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/>
      <c r="AI51"/>
    </row>
    <row r="52" spans="1:35" hidden="1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 t="str">
        <f>ESTADISTICA!F51</f>
        <v>APAGADO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/>
      <c r="AI52"/>
    </row>
    <row r="53" spans="1:35" hidden="1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/>
      <c r="AI53"/>
    </row>
    <row r="54" spans="1:35" hidden="1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 t="str">
        <f>ESTADISTICA!F53</f>
        <v>APAGADO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/>
      <c r="AI54"/>
    </row>
    <row r="55" spans="1:35" hidden="1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/>
      <c r="AI55"/>
    </row>
    <row r="56" spans="1:35" hidden="1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/>
      <c r="AI56"/>
    </row>
    <row r="57" spans="1:35" hidden="1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/>
      <c r="AI57"/>
    </row>
    <row r="58" spans="1:35" hidden="1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/>
      <c r="AI58"/>
    </row>
    <row r="59" spans="1:35" hidden="1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/>
      <c r="AI59"/>
    </row>
    <row r="60" spans="1:35" hidden="1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/>
      <c r="AI60"/>
    </row>
    <row r="61" spans="1:35" hidden="1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/>
      <c r="AI61"/>
    </row>
    <row r="62" spans="1:35" hidden="1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/>
      <c r="AI62"/>
    </row>
    <row r="63" spans="1:35" hidden="1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/>
      <c r="AI63"/>
    </row>
    <row r="64" spans="1:35" hidden="1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/>
      <c r="AI64"/>
    </row>
    <row r="65" spans="1:35" hidden="1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/>
      <c r="AI65"/>
    </row>
    <row r="66" spans="1:35" hidden="1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/>
      <c r="AI66"/>
    </row>
    <row r="67" spans="1:35" hidden="1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/>
      <c r="AI67"/>
    </row>
    <row r="68" spans="1:35" hidden="1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/>
      <c r="AI68"/>
    </row>
    <row r="69" spans="1:35" hidden="1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/>
      <c r="AI69"/>
    </row>
    <row r="70" spans="1:35" hidden="1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/>
      <c r="AI70"/>
    </row>
    <row r="71" spans="1:35" hidden="1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/>
      <c r="AI71"/>
    </row>
    <row r="72" spans="1:35" hidden="1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/>
      <c r="AI72"/>
    </row>
    <row r="73" spans="1:35" hidden="1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/>
      <c r="AI73"/>
    </row>
    <row r="74" spans="1:35" hidden="1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/>
      <c r="AI74"/>
    </row>
    <row r="75" spans="1:35" hidden="1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/>
      <c r="AI75"/>
    </row>
    <row r="76" spans="1:35" hidden="1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 t="str">
        <f>ESTADISTICA!F75</f>
        <v>APAGADO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/>
      <c r="AI76"/>
    </row>
    <row r="77" spans="1:35" hidden="1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/>
      <c r="AI77"/>
    </row>
    <row r="78" spans="1:35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4">
        <f>ESTADISTICA!AH77</f>
        <v>0</v>
      </c>
      <c r="AI78" s="54">
        <f>ESTADISTICA!AI77</f>
        <v>0</v>
      </c>
    </row>
    <row r="79" spans="1:35" hidden="1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/>
      <c r="AI79"/>
    </row>
    <row r="80" spans="1:35" hidden="1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/>
      <c r="AI80"/>
    </row>
    <row r="81" spans="1:35" hidden="1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 t="str">
        <f>ESTADISTICA!F80</f>
        <v>APAGADO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/>
      <c r="AI81"/>
    </row>
    <row r="82" spans="1:35" hidden="1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 t="str">
        <f>ESTADISTICA!F81</f>
        <v>APAGADO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/>
      <c r="AI82"/>
    </row>
    <row r="83" spans="1:35" hidden="1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/>
      <c r="AI83"/>
    </row>
    <row r="84" spans="1:35" hidden="1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/>
      <c r="AI84"/>
    </row>
    <row r="85" spans="1:35" hidden="1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/>
      <c r="AI85"/>
    </row>
    <row r="86" spans="1:35" hidden="1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/>
      <c r="AI86"/>
    </row>
    <row r="87" spans="1:35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4">
        <f>ESTADISTICA!AH86</f>
        <v>0</v>
      </c>
      <c r="AI87" s="54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4">
        <f>ESTADISTICA!AH87</f>
        <v>0</v>
      </c>
      <c r="AI88" s="54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4">
        <f>ESTADISTICA!AH88</f>
        <v>0</v>
      </c>
      <c r="AI89" s="54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4">
        <f>ESTADISTICA!AH89</f>
        <v>0</v>
      </c>
      <c r="AI90" s="54">
        <f>ESTADISTICA!AI89</f>
        <v>0</v>
      </c>
    </row>
    <row r="91" spans="1:35" hidden="1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/>
      <c r="AI91"/>
    </row>
    <row r="92" spans="1:35" hidden="1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 t="str">
        <f>ESTADISTICA!F91</f>
        <v>APAGADO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/>
      <c r="AI92"/>
    </row>
    <row r="93" spans="1:35" hidden="1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/>
      <c r="AI93"/>
    </row>
    <row r="94" spans="1:35" hidden="1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/>
      <c r="AI94"/>
    </row>
    <row r="95" spans="1:35" hidden="1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/>
      <c r="AI95"/>
    </row>
    <row r="96" spans="1:35" hidden="1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/>
      <c r="AI96"/>
    </row>
    <row r="97" spans="1:35" hidden="1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 t="str">
        <f>ESTADISTICA!F96</f>
        <v>APAGADO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/>
      <c r="AI97"/>
    </row>
    <row r="98" spans="1:35" hidden="1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/>
      <c r="AI98"/>
    </row>
    <row r="99" spans="1:35" hidden="1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/>
      <c r="AI99"/>
    </row>
    <row r="100" spans="1:35" hidden="1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/>
      <c r="AI100"/>
    </row>
    <row r="101" spans="1:35" hidden="1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/>
      <c r="AI101"/>
    </row>
    <row r="102" spans="1:35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 t="str">
        <f>ESTADISTICA!F101</f>
        <v>APAGADO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4">
        <f>ESTADISTICA!AH101</f>
        <v>0</v>
      </c>
      <c r="AI102" s="54">
        <f>ESTADISTICA!AI101</f>
        <v>0</v>
      </c>
    </row>
    <row r="103" spans="1:35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 t="str">
        <f>ESTADISTICA!F102</f>
        <v>APAGADO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4">
        <f>ESTADISTICA!AH102</f>
        <v>0</v>
      </c>
      <c r="AI103" s="54">
        <f>ESTADISTICA!AI102</f>
        <v>0</v>
      </c>
    </row>
    <row r="104" spans="1:35" hidden="1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 t="str">
        <f>ESTADISTICA!F103</f>
        <v>APAGADO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/>
      <c r="AI104"/>
    </row>
    <row r="105" spans="1:35" hidden="1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 t="str">
        <f>ESTADISTICA!F104</f>
        <v>APAGADO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/>
      <c r="AI105"/>
    </row>
    <row r="106" spans="1:35" hidden="1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 t="str">
        <f>ESTADISTICA!F105</f>
        <v>APAGADO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/>
      <c r="AI106"/>
    </row>
    <row r="107" spans="1:35" hidden="1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 t="str">
        <f>ESTADISTICA!F106</f>
        <v>APAGADO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/>
      <c r="AI107"/>
    </row>
    <row r="108" spans="1:35" hidden="1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/>
      <c r="AI108"/>
    </row>
    <row r="109" spans="1:35" hidden="1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/>
      <c r="AI109"/>
    </row>
    <row r="110" spans="1:35" hidden="1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/>
      <c r="AI110"/>
    </row>
    <row r="111" spans="1:35" hidden="1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/>
      <c r="AI111"/>
    </row>
    <row r="112" spans="1:35" hidden="1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/>
      <c r="AI112"/>
    </row>
    <row r="113" spans="1:35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 t="str">
        <f>ESTADISTICA!F112</f>
        <v>APAGADO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4">
        <f>ESTADISTICA!AH112</f>
        <v>0</v>
      </c>
      <c r="AI113" s="54">
        <f>ESTADISTICA!AI112</f>
        <v>0</v>
      </c>
    </row>
    <row r="114" spans="1:35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 t="str">
        <f>ESTADISTICA!F113</f>
        <v>APAGADO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4">
        <f>ESTADISTICA!AH113</f>
        <v>0</v>
      </c>
      <c r="AI114" s="54">
        <f>ESTADISTICA!AI113</f>
        <v>0</v>
      </c>
    </row>
    <row r="115" spans="1:35" hidden="1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/>
      <c r="AI115"/>
    </row>
    <row r="116" spans="1:35" hidden="1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/>
      <c r="AI116"/>
    </row>
    <row r="117" spans="1:35" hidden="1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/>
      <c r="AI117"/>
    </row>
    <row r="118" spans="1:35" hidden="1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/>
      <c r="AI118"/>
    </row>
    <row r="119" spans="1:35" hidden="1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/>
      <c r="AI119"/>
    </row>
    <row r="120" spans="1:35" hidden="1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 t="str">
        <f>ESTADISTICA!F119</f>
        <v>APAGADO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/>
      <c r="AI120"/>
    </row>
    <row r="121" spans="1:35" hidden="1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 t="str">
        <f>ESTADISTICA!F120</f>
        <v>APAGADO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/>
      <c r="AI121"/>
    </row>
    <row r="122" spans="1:35" hidden="1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/>
      <c r="AI122"/>
    </row>
    <row r="123" spans="1:35" hidden="1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/>
      <c r="AI123"/>
    </row>
    <row r="124" spans="1:35" hidden="1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/>
      <c r="AI124"/>
    </row>
    <row r="125" spans="1:35" hidden="1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/>
      <c r="AI125"/>
    </row>
    <row r="126" spans="1:35" hidden="1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/>
      <c r="AI126"/>
    </row>
    <row r="127" spans="1:35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4">
        <f>ESTADISTICA!AH126</f>
        <v>0</v>
      </c>
      <c r="AI127" s="54">
        <f>ESTADISTICA!AI126</f>
        <v>0</v>
      </c>
    </row>
    <row r="128" spans="1:35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4">
        <f>ESTADISTICA!AH127</f>
        <v>0</v>
      </c>
      <c r="AI128" s="54">
        <f>ESTADISTICA!AI127</f>
        <v>0</v>
      </c>
    </row>
    <row r="129" spans="1:35" hidden="1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/>
      <c r="AI129"/>
    </row>
    <row r="130" spans="1:35" hidden="1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/>
      <c r="AI130"/>
    </row>
    <row r="131" spans="1:35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4">
        <f>ESTADISTICA!AH130</f>
        <v>0</v>
      </c>
      <c r="AI131" s="54">
        <f>ESTADISTICA!AI130</f>
        <v>0</v>
      </c>
    </row>
    <row r="132" spans="1:35" hidden="1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/>
      <c r="AI132"/>
    </row>
    <row r="133" spans="1:35" hidden="1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 t="str">
        <f>ESTADISTICA!F132</f>
        <v>APAGADO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/>
      <c r="AI133"/>
    </row>
    <row r="134" spans="1:35" hidden="1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/>
      <c r="AI134"/>
    </row>
    <row r="135" spans="1:35" hidden="1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/>
      <c r="AI135"/>
    </row>
    <row r="136" spans="1:35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4">
        <f>ESTADISTICA!AH135</f>
        <v>0</v>
      </c>
      <c r="AI136" s="54">
        <f>ESTADISTICA!AI135</f>
        <v>0</v>
      </c>
    </row>
    <row r="137" spans="1:35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4">
        <f>ESTADISTICA!AH136</f>
        <v>0</v>
      </c>
      <c r="AI137" s="54">
        <f>ESTADISTICA!AI136</f>
        <v>0</v>
      </c>
    </row>
    <row r="138" spans="1:35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4">
        <f>ESTADISTICA!AH137</f>
        <v>0</v>
      </c>
      <c r="AI138" s="54">
        <f>ESTADISTICA!AI137</f>
        <v>0</v>
      </c>
    </row>
    <row r="139" spans="1:35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4">
        <f>ESTADISTICA!AH138</f>
        <v>0</v>
      </c>
      <c r="AI139" s="54">
        <f>ESTADISTICA!AI138</f>
        <v>0</v>
      </c>
    </row>
    <row r="140" spans="1:35" hidden="1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 t="str">
        <f>ESTADISTICA!F139</f>
        <v>APAGADO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/>
      <c r="AI140"/>
    </row>
    <row r="141" spans="1:35" hidden="1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 t="str">
        <f>ESTADISTICA!F140</f>
        <v>APAGADO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/>
      <c r="AI141"/>
    </row>
    <row r="142" spans="1:35" hidden="1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 t="str">
        <f>ESTADISTICA!F141</f>
        <v>APAGADO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/>
      <c r="AI142"/>
    </row>
    <row r="143" spans="1:35" hidden="1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/>
      <c r="AI143"/>
    </row>
    <row r="144" spans="1:35" hidden="1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/>
      <c r="AI144"/>
    </row>
    <row r="145" spans="1:35" hidden="1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/>
      <c r="AI145"/>
    </row>
    <row r="146" spans="1:35" hidden="1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/>
      <c r="AI146"/>
    </row>
    <row r="147" spans="1:35" hidden="1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/>
      <c r="AI147"/>
    </row>
    <row r="148" spans="1:35" hidden="1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/>
      <c r="AI148"/>
    </row>
    <row r="149" spans="1:35" hidden="1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/>
      <c r="AI149"/>
    </row>
    <row r="150" spans="1:35" hidden="1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/>
      <c r="AI150"/>
    </row>
    <row r="151" spans="1:35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4">
        <f>ESTADISTICA!AH150</f>
        <v>0</v>
      </c>
      <c r="AI151" s="54">
        <f>ESTADISTICA!AI150</f>
        <v>0</v>
      </c>
    </row>
    <row r="152" spans="1:35" hidden="1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/>
      <c r="AI152"/>
    </row>
    <row r="153" spans="1:35" hidden="1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/>
      <c r="AI153"/>
    </row>
    <row r="154" spans="1:35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4">
        <f>ESTADISTICA!AH153</f>
        <v>0</v>
      </c>
      <c r="AI154" s="54">
        <f>ESTADISTICA!AI153</f>
        <v>0</v>
      </c>
    </row>
    <row r="155" spans="1:35" hidden="1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/>
      <c r="AI155"/>
    </row>
    <row r="156" spans="1:35" hidden="1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/>
      <c r="AI156"/>
    </row>
    <row r="157" spans="1:35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4">
        <f>ESTADISTICA!AH156</f>
        <v>0</v>
      </c>
      <c r="AI157" s="54">
        <f>ESTADISTICA!AI156</f>
        <v>0</v>
      </c>
    </row>
    <row r="158" spans="1:35" hidden="1" x14ac:dyDescent="0.25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/>
      <c r="AI158"/>
    </row>
    <row r="159" spans="1:35" hidden="1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/>
      <c r="AI159"/>
    </row>
    <row r="160" spans="1:35" hidden="1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/>
      <c r="AI160"/>
    </row>
    <row r="161" spans="1:35" hidden="1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/>
      <c r="AI161"/>
    </row>
    <row r="162" spans="1:35" hidden="1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/>
      <c r="AI162"/>
    </row>
    <row r="163" spans="1:35" hidden="1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/>
      <c r="AI163"/>
    </row>
    <row r="164" spans="1:35" hidden="1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 t="str">
        <f>ESTADISTICA!F163</f>
        <v>APAGADO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/>
      <c r="AI164"/>
    </row>
    <row r="165" spans="1:35" hidden="1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/>
      <c r="AI165"/>
    </row>
    <row r="166" spans="1:35" hidden="1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/>
      <c r="AI166"/>
    </row>
    <row r="167" spans="1:35" hidden="1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/>
      <c r="AI167"/>
    </row>
    <row r="168" spans="1:35" hidden="1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/>
      <c r="AI168"/>
    </row>
    <row r="169" spans="1:35" hidden="1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/>
      <c r="AI169"/>
    </row>
    <row r="170" spans="1:35" hidden="1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/>
      <c r="AI170"/>
    </row>
    <row r="171" spans="1:35" hidden="1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/>
      <c r="AI171"/>
    </row>
    <row r="172" spans="1:35" hidden="1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/>
      <c r="AI172"/>
    </row>
    <row r="173" spans="1:35" hidden="1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/>
      <c r="AI173"/>
    </row>
    <row r="174" spans="1:35" hidden="1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/>
      <c r="AI174"/>
    </row>
    <row r="175" spans="1:35" hidden="1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 t="str">
        <f>ESTADISTICA!F174</f>
        <v>APAGADO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/>
      <c r="AI175"/>
    </row>
    <row r="176" spans="1:35" hidden="1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/>
      <c r="AI176"/>
    </row>
    <row r="177" spans="1:35" hidden="1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 t="str">
        <f>ESTADISTICA!F176</f>
        <v>APAGADO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/>
      <c r="AI177"/>
    </row>
    <row r="178" spans="1:35" hidden="1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/>
      <c r="AI178"/>
    </row>
    <row r="179" spans="1:35" hidden="1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/>
      <c r="AI179"/>
    </row>
    <row r="180" spans="1:35" hidden="1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/>
      <c r="AI180"/>
    </row>
    <row r="181" spans="1:35" hidden="1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/>
      <c r="AI181"/>
    </row>
    <row r="182" spans="1:35" hidden="1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/>
      <c r="AI182"/>
    </row>
    <row r="183" spans="1:35" hidden="1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 t="str">
        <f>ESTADISTICA!F182</f>
        <v>APAGADO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/>
      <c r="AI183"/>
    </row>
    <row r="184" spans="1:35" hidden="1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/>
      <c r="AI184"/>
    </row>
    <row r="185" spans="1:35" hidden="1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/>
      <c r="AI185"/>
    </row>
    <row r="186" spans="1:35" hidden="1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/>
      <c r="AI186"/>
    </row>
    <row r="187" spans="1:35" hidden="1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/>
      <c r="AI187"/>
    </row>
    <row r="188" spans="1:35" hidden="1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/>
      <c r="AI188"/>
    </row>
    <row r="189" spans="1:35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4">
        <f>ESTADISTICA!AH188</f>
        <v>0</v>
      </c>
      <c r="AI189" s="54">
        <f>ESTADISTICA!AI188</f>
        <v>0</v>
      </c>
    </row>
    <row r="190" spans="1:35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4">
        <f>ESTADISTICA!AH189</f>
        <v>0</v>
      </c>
      <c r="AI190" s="54">
        <f>ESTADISTICA!AI189</f>
        <v>0</v>
      </c>
    </row>
    <row r="191" spans="1:35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4">
        <f>ESTADISTICA!AH190</f>
        <v>0</v>
      </c>
      <c r="AI191" s="54">
        <f>ESTADISTICA!AI190</f>
        <v>0</v>
      </c>
    </row>
    <row r="192" spans="1:35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4">
        <f>ESTADISTICA!AH191</f>
        <v>0</v>
      </c>
      <c r="AI192" s="54">
        <f>ESTADISTICA!AI191</f>
        <v>0</v>
      </c>
    </row>
    <row r="193" spans="1:35" hidden="1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/>
      <c r="AI193"/>
    </row>
    <row r="194" spans="1:35" hidden="1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/>
      <c r="AI194"/>
    </row>
    <row r="195" spans="1:35" hidden="1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/>
      <c r="AI195"/>
    </row>
    <row r="196" spans="1:35" hidden="1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 t="str">
        <f>ESTADISTICA!F195</f>
        <v>APAGADO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/>
      <c r="AI196"/>
    </row>
    <row r="197" spans="1:35" hidden="1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 t="str">
        <f>ESTADISTICA!F196</f>
        <v>APAGADO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/>
      <c r="AI197"/>
    </row>
    <row r="198" spans="1:35" hidden="1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 t="str">
        <f>ESTADISTICA!F197</f>
        <v>APAGADO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/>
      <c r="AI198"/>
    </row>
    <row r="199" spans="1:35" hidden="1" x14ac:dyDescent="0.25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/>
      <c r="AI199"/>
    </row>
    <row r="200" spans="1:35" hidden="1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/>
      <c r="AI200"/>
    </row>
    <row r="201" spans="1:35" hidden="1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/>
      <c r="AI201"/>
    </row>
    <row r="202" spans="1:35" hidden="1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/>
      <c r="AI202"/>
    </row>
    <row r="203" spans="1:35" hidden="1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 t="str">
        <f>ESTADISTICA!F202</f>
        <v>APAGADO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/>
      <c r="AI203"/>
    </row>
    <row r="204" spans="1:35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4">
        <f>ESTADISTICA!AH203</f>
        <v>0</v>
      </c>
      <c r="AI204" s="54">
        <f>ESTADISTICA!AI203</f>
        <v>0</v>
      </c>
    </row>
    <row r="205" spans="1:35" hidden="1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 t="str">
        <f>ESTADISTICA!F204</f>
        <v>APAGADO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/>
      <c r="AI205"/>
    </row>
    <row r="206" spans="1:35" hidden="1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 t="str">
        <f>ESTADISTICA!F205</f>
        <v>APAGADO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/>
      <c r="AI206"/>
    </row>
    <row r="207" spans="1:35" hidden="1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NUÑEZ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/>
      <c r="AI207"/>
    </row>
    <row r="208" spans="1:35" hidden="1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NUÑEZ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/>
      <c r="AI208"/>
    </row>
    <row r="209" spans="1:35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 t="str">
        <f>ESTADISTICA!F208</f>
        <v>APAGADO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4">
        <f>ESTADISTICA!AH208</f>
        <v>0</v>
      </c>
      <c r="AI209" s="54">
        <f>ESTADISTICA!AI208</f>
        <v>0</v>
      </c>
    </row>
    <row r="210" spans="1:35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 t="str">
        <f>ESTADISTICA!F209</f>
        <v>APAGADO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4">
        <f>ESTADISTICA!AH209</f>
        <v>0</v>
      </c>
      <c r="AI210" s="54">
        <f>ESTADISTICA!AI209</f>
        <v>0</v>
      </c>
    </row>
    <row r="211" spans="1:35" hidden="1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 t="str">
        <f>ESTADISTICA!F210</f>
        <v>APAGADO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/>
      <c r="AI211"/>
    </row>
    <row r="212" spans="1:35" hidden="1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/>
      <c r="AI212"/>
    </row>
    <row r="213" spans="1:35" hidden="1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/>
      <c r="AI213"/>
    </row>
    <row r="214" spans="1:35" hidden="1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/>
      <c r="AI214"/>
    </row>
    <row r="215" spans="1:35" hidden="1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/>
      <c r="AI215"/>
    </row>
    <row r="216" spans="1:35" hidden="1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 t="str">
        <f>ESTADISTICA!F215</f>
        <v>APAGADO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/>
      <c r="AI216"/>
    </row>
    <row r="217" spans="1:35" hidden="1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 t="str">
        <f>ESTADISTICA!F216</f>
        <v>APAGADO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/>
      <c r="AI217"/>
    </row>
    <row r="218" spans="1:35" hidden="1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/>
      <c r="AI218"/>
    </row>
    <row r="219" spans="1:35" hidden="1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/>
      <c r="AI219"/>
    </row>
    <row r="220" spans="1:35" hidden="1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/>
      <c r="AI220"/>
    </row>
    <row r="221" spans="1:35" hidden="1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/>
      <c r="AI221"/>
    </row>
    <row r="222" spans="1:35" hidden="1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/>
      <c r="AI222"/>
    </row>
    <row r="223" spans="1:35" hidden="1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/>
      <c r="AI223"/>
    </row>
    <row r="224" spans="1:35" hidden="1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/>
      <c r="AI224"/>
    </row>
    <row r="225" spans="1:35" hidden="1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/>
      <c r="AI225"/>
    </row>
    <row r="226" spans="1:35" hidden="1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/>
      <c r="AI226"/>
    </row>
    <row r="227" spans="1:35" hidden="1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/>
      <c r="AI227"/>
    </row>
    <row r="228" spans="1:35" hidden="1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/>
      <c r="AI228"/>
    </row>
    <row r="229" spans="1:35" hidden="1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 t="str">
        <f>ESTADISTICA!F228</f>
        <v>APAGADO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/>
      <c r="AI229"/>
    </row>
    <row r="230" spans="1:35" hidden="1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/>
      <c r="AI230"/>
    </row>
    <row r="231" spans="1:35" hidden="1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/>
      <c r="AI231"/>
    </row>
    <row r="232" spans="1:35" hidden="1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/>
      <c r="AI232"/>
    </row>
    <row r="233" spans="1:35" hidden="1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/>
      <c r="AI233"/>
    </row>
    <row r="234" spans="1:35" hidden="1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/>
      <c r="AI234"/>
    </row>
    <row r="235" spans="1:35" hidden="1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/>
      <c r="AI235"/>
    </row>
    <row r="236" spans="1:35" hidden="1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/>
      <c r="AI236"/>
    </row>
    <row r="237" spans="1:35" hidden="1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/>
      <c r="AI237"/>
    </row>
    <row r="238" spans="1:35" hidden="1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/>
      <c r="AI238"/>
    </row>
    <row r="239" spans="1:35" hidden="1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/>
      <c r="AI239"/>
    </row>
    <row r="240" spans="1:35" hidden="1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/>
      <c r="AI240"/>
    </row>
    <row r="241" spans="1:35" hidden="1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/>
      <c r="AI241"/>
    </row>
    <row r="242" spans="1:35" hidden="1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/>
      <c r="AI242"/>
    </row>
    <row r="243" spans="1:35" x14ac:dyDescent="0.25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4">
        <f>ESTADISTICA!AH242</f>
        <v>0</v>
      </c>
      <c r="AI243" s="54">
        <f>ESTADISTICA!AI242</f>
        <v>0</v>
      </c>
    </row>
    <row r="244" spans="1:35" x14ac:dyDescent="0.25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4">
        <f>ESTADISTICA!AH243</f>
        <v>0</v>
      </c>
      <c r="AI244" s="54">
        <f>ESTADISTICA!AI243</f>
        <v>0</v>
      </c>
    </row>
    <row r="245" spans="1:35" hidden="1" x14ac:dyDescent="0.25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/>
      <c r="AI245"/>
    </row>
    <row r="246" spans="1:35" hidden="1" x14ac:dyDescent="0.25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/>
      <c r="AI246"/>
    </row>
    <row r="247" spans="1:35" hidden="1" x14ac:dyDescent="0.25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/>
      <c r="AI247"/>
    </row>
    <row r="248" spans="1:35" hidden="1" x14ac:dyDescent="0.25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/>
      <c r="AI248"/>
    </row>
    <row r="249" spans="1:35" x14ac:dyDescent="0.25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4">
        <f>ESTADISTICA!AH248</f>
        <v>0</v>
      </c>
      <c r="AI249" s="54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4">
        <f>ESTADISTICA!AH249</f>
        <v>0</v>
      </c>
      <c r="AI250" s="54">
        <f>ESTADISTICA!AI249</f>
        <v>0</v>
      </c>
    </row>
    <row r="251" spans="1:35" x14ac:dyDescent="0.25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 t="str">
        <f>ESTADISTICA!F250</f>
        <v>APAGADO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4">
        <f>ESTADISTICA!AH250</f>
        <v>0</v>
      </c>
      <c r="AI251" s="54">
        <f>ESTADISTICA!AI250</f>
        <v>0</v>
      </c>
    </row>
    <row r="252" spans="1:35" x14ac:dyDescent="0.25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 t="str">
        <f>ESTADISTICA!F251</f>
        <v>APAGADO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4">
        <f>ESTADISTICA!AH251</f>
        <v>0</v>
      </c>
      <c r="AI252" s="54">
        <f>ESTADISTICA!AI251</f>
        <v>0</v>
      </c>
    </row>
    <row r="253" spans="1:35" hidden="1" x14ac:dyDescent="0.25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/>
      <c r="AI253"/>
    </row>
    <row r="254" spans="1:35" hidden="1" x14ac:dyDescent="0.25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/>
      <c r="AI254"/>
    </row>
    <row r="255" spans="1:35" hidden="1" x14ac:dyDescent="0.25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/>
      <c r="AI255"/>
    </row>
    <row r="256" spans="1:35" hidden="1" x14ac:dyDescent="0.25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/>
      <c r="AI256"/>
    </row>
    <row r="257" spans="1:35" hidden="1" x14ac:dyDescent="0.25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/>
      <c r="AI257"/>
    </row>
    <row r="258" spans="1:35" hidden="1" x14ac:dyDescent="0.25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/>
      <c r="AI258"/>
    </row>
    <row r="259" spans="1:35" hidden="1" x14ac:dyDescent="0.25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/>
      <c r="AI259"/>
    </row>
    <row r="260" spans="1:35" x14ac:dyDescent="0.25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4">
        <f>ESTADISTICA!AH259</f>
        <v>0</v>
      </c>
      <c r="AI260" s="54">
        <f>ESTADISTICA!AI259</f>
        <v>0</v>
      </c>
    </row>
    <row r="261" spans="1:35" x14ac:dyDescent="0.25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 t="str">
        <f>ESTADISTICA!F260</f>
        <v>APAGADO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4">
        <f>ESTADISTICA!AH260</f>
        <v>0</v>
      </c>
      <c r="AI261" s="54">
        <f>ESTADISTICA!AI260</f>
        <v>0</v>
      </c>
    </row>
    <row r="262" spans="1:35" x14ac:dyDescent="0.25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 t="str">
        <f>ESTADISTICA!F261</f>
        <v>APAGADO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4">
        <f>ESTADISTICA!AH261</f>
        <v>0</v>
      </c>
      <c r="AI262" s="54">
        <f>ESTADISTICA!AI261</f>
        <v>0</v>
      </c>
    </row>
    <row r="263" spans="1:35" x14ac:dyDescent="0.25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 t="str">
        <f>ESTADISTICA!F262</f>
        <v>APAGADO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4">
        <f>ESTADISTICA!AH262</f>
        <v>0</v>
      </c>
      <c r="AI263" s="54">
        <f>ESTADISTICA!AI262</f>
        <v>0</v>
      </c>
    </row>
    <row r="264" spans="1:35" x14ac:dyDescent="0.25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 t="str">
        <f>ESTADISTICA!F263</f>
        <v>APAGADO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4">
        <f>ESTADISTICA!AH263</f>
        <v>0</v>
      </c>
      <c r="AI264" s="54">
        <f>ESTADISTICA!AI263</f>
        <v>0</v>
      </c>
    </row>
    <row r="265" spans="1:35" hidden="1" x14ac:dyDescent="0.25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/>
      <c r="AI265"/>
    </row>
    <row r="266" spans="1:35" hidden="1" x14ac:dyDescent="0.25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/>
      <c r="AI266"/>
    </row>
    <row r="267" spans="1:35" hidden="1" x14ac:dyDescent="0.25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/>
      <c r="AI267"/>
    </row>
    <row r="268" spans="1:35" hidden="1" x14ac:dyDescent="0.25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/>
      <c r="AI268"/>
    </row>
    <row r="269" spans="1:35" hidden="1" x14ac:dyDescent="0.25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/>
      <c r="AI269"/>
    </row>
    <row r="270" spans="1:35" hidden="1" x14ac:dyDescent="0.25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/>
      <c r="AI270"/>
    </row>
    <row r="271" spans="1:35" hidden="1" x14ac:dyDescent="0.25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/>
      <c r="AI271"/>
    </row>
    <row r="272" spans="1:35" hidden="1" x14ac:dyDescent="0.25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/>
      <c r="AI272"/>
    </row>
    <row r="273" spans="1:35" hidden="1" x14ac:dyDescent="0.25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/>
      <c r="AI273"/>
    </row>
    <row r="274" spans="1:35" hidden="1" x14ac:dyDescent="0.25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/>
      <c r="AI274"/>
    </row>
    <row r="275" spans="1:35" hidden="1" x14ac:dyDescent="0.25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/>
      <c r="AI275"/>
    </row>
    <row r="276" spans="1:35" hidden="1" x14ac:dyDescent="0.25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/>
      <c r="AI276"/>
    </row>
    <row r="277" spans="1:35" hidden="1" x14ac:dyDescent="0.25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/>
      <c r="AI277"/>
    </row>
    <row r="278" spans="1:35" hidden="1" x14ac:dyDescent="0.25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/>
      <c r="AI278"/>
    </row>
    <row r="279" spans="1:35" x14ac:dyDescent="0.25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4">
        <f>ESTADISTICA!AH278</f>
        <v>0</v>
      </c>
      <c r="AI279" s="54">
        <f>ESTADISTICA!AI278</f>
        <v>0</v>
      </c>
    </row>
    <row r="280" spans="1:35" x14ac:dyDescent="0.25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4">
        <f>ESTADISTICA!AH279</f>
        <v>0</v>
      </c>
      <c r="AI280" s="54">
        <f>ESTADISTICA!AI279</f>
        <v>0</v>
      </c>
    </row>
    <row r="281" spans="1:35" hidden="1" x14ac:dyDescent="0.25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/>
      <c r="AI281"/>
    </row>
    <row r="282" spans="1:35" x14ac:dyDescent="0.25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4">
        <f>ESTADISTICA!AH281</f>
        <v>0</v>
      </c>
      <c r="AI282" s="54">
        <f>ESTADISTICA!AI281</f>
        <v>0</v>
      </c>
    </row>
    <row r="283" spans="1:35" x14ac:dyDescent="0.25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4">
        <f>ESTADISTICA!AH282</f>
        <v>0</v>
      </c>
      <c r="AI283" s="54">
        <f>ESTADISTICA!AI282</f>
        <v>0</v>
      </c>
    </row>
    <row r="284" spans="1:35" hidden="1" x14ac:dyDescent="0.25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/>
      <c r="AI284"/>
    </row>
    <row r="285" spans="1:35" hidden="1" x14ac:dyDescent="0.25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/>
      <c r="AI285"/>
    </row>
    <row r="286" spans="1:35" hidden="1" x14ac:dyDescent="0.25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/>
      <c r="AI286"/>
    </row>
    <row r="287" spans="1:35" hidden="1" x14ac:dyDescent="0.25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/>
      <c r="AI287"/>
    </row>
    <row r="288" spans="1:35" hidden="1" x14ac:dyDescent="0.25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/>
      <c r="AI288"/>
    </row>
    <row r="289" spans="1:35" hidden="1" x14ac:dyDescent="0.25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/>
      <c r="AI289"/>
    </row>
    <row r="290" spans="1:35" hidden="1" x14ac:dyDescent="0.25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/>
      <c r="AI290"/>
    </row>
    <row r="291" spans="1:35" hidden="1" x14ac:dyDescent="0.25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/>
      <c r="AI291"/>
    </row>
    <row r="292" spans="1:35" hidden="1" x14ac:dyDescent="0.25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/>
      <c r="AI292"/>
    </row>
    <row r="293" spans="1:35" hidden="1" x14ac:dyDescent="0.25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/>
      <c r="AI293"/>
    </row>
    <row r="294" spans="1:35" hidden="1" x14ac:dyDescent="0.25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/>
      <c r="AI294"/>
    </row>
    <row r="295" spans="1:35" hidden="1" x14ac:dyDescent="0.25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/>
      <c r="AI295"/>
    </row>
    <row r="296" spans="1:35" hidden="1" x14ac:dyDescent="0.25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/>
      <c r="AI296"/>
    </row>
    <row r="297" spans="1:35" hidden="1" x14ac:dyDescent="0.25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/>
      <c r="AI297"/>
    </row>
    <row r="298" spans="1:35" hidden="1" x14ac:dyDescent="0.25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/>
      <c r="AI298"/>
    </row>
    <row r="299" spans="1:35" hidden="1" x14ac:dyDescent="0.25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/>
      <c r="AI299"/>
    </row>
    <row r="300" spans="1:35" hidden="1" x14ac:dyDescent="0.25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/>
      <c r="AI300"/>
    </row>
    <row r="301" spans="1:35" hidden="1" x14ac:dyDescent="0.25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/>
      <c r="AI301"/>
    </row>
    <row r="302" spans="1:35" x14ac:dyDescent="0.25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4">
        <f>ESTADISTICA!AH301</f>
        <v>0</v>
      </c>
      <c r="AI302" s="54">
        <f>ESTADISTICA!AI301</f>
        <v>0</v>
      </c>
    </row>
    <row r="303" spans="1:35" x14ac:dyDescent="0.25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4">
        <f>ESTADISTICA!AH302</f>
        <v>0</v>
      </c>
      <c r="AI303" s="54">
        <f>ESTADISTICA!AI302</f>
        <v>0</v>
      </c>
    </row>
    <row r="304" spans="1:35" x14ac:dyDescent="0.25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4">
        <f>ESTADISTICA!AH303</f>
        <v>0</v>
      </c>
      <c r="AI304" s="54">
        <f>ESTADISTICA!AI303</f>
        <v>0</v>
      </c>
    </row>
    <row r="305" spans="1:35" x14ac:dyDescent="0.25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4">
        <f>ESTADISTICA!AH304</f>
        <v>0</v>
      </c>
      <c r="AI305" s="54">
        <f>ESTADISTICA!AI304</f>
        <v>0</v>
      </c>
    </row>
    <row r="306" spans="1:35" hidden="1" x14ac:dyDescent="0.25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/>
      <c r="AI306"/>
    </row>
    <row r="307" spans="1:35" hidden="1" x14ac:dyDescent="0.25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/>
      <c r="AI307"/>
    </row>
    <row r="308" spans="1:35" hidden="1" x14ac:dyDescent="0.25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/>
      <c r="AI308"/>
    </row>
    <row r="309" spans="1:35" x14ac:dyDescent="0.25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4">
        <f>ESTADISTICA!AH308</f>
        <v>0</v>
      </c>
      <c r="AI309" s="54">
        <f>ESTADISTICA!AI308</f>
        <v>0</v>
      </c>
    </row>
    <row r="310" spans="1:35" x14ac:dyDescent="0.25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4">
        <f>ESTADISTICA!AH309</f>
        <v>0</v>
      </c>
      <c r="AI310" s="54">
        <f>ESTADISTICA!AI309</f>
        <v>0</v>
      </c>
    </row>
    <row r="311" spans="1:35" x14ac:dyDescent="0.25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4">
        <f>ESTADISTICA!AH310</f>
        <v>0</v>
      </c>
      <c r="AI311" s="54">
        <f>ESTADISTICA!AI310</f>
        <v>0</v>
      </c>
    </row>
    <row r="312" spans="1:35" hidden="1" x14ac:dyDescent="0.25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/>
      <c r="AI312"/>
    </row>
    <row r="313" spans="1:35" hidden="1" x14ac:dyDescent="0.25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/>
      <c r="AI313"/>
    </row>
    <row r="314" spans="1:35" hidden="1" x14ac:dyDescent="0.25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/>
      <c r="AI314"/>
    </row>
    <row r="315" spans="1:35" hidden="1" x14ac:dyDescent="0.25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/>
      <c r="AI315"/>
    </row>
    <row r="316" spans="1:35" hidden="1" x14ac:dyDescent="0.25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/>
      <c r="AI316"/>
    </row>
    <row r="317" spans="1:35" hidden="1" x14ac:dyDescent="0.25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/>
      <c r="AI317"/>
    </row>
    <row r="318" spans="1:35" hidden="1" x14ac:dyDescent="0.25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/>
      <c r="AI318"/>
    </row>
    <row r="319" spans="1:35" x14ac:dyDescent="0.25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4">
        <f>ESTADISTICA!AH318</f>
        <v>0</v>
      </c>
      <c r="AI319" s="54">
        <f>ESTADISTICA!AI318</f>
        <v>0</v>
      </c>
    </row>
    <row r="320" spans="1:35" hidden="1" x14ac:dyDescent="0.25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/>
      <c r="AI320"/>
    </row>
    <row r="321" spans="1:35" hidden="1" x14ac:dyDescent="0.25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/>
      <c r="AI321"/>
    </row>
    <row r="322" spans="1:35" x14ac:dyDescent="0.25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4">
        <f>ESTADISTICA!AH321</f>
        <v>0</v>
      </c>
      <c r="AI322" s="54">
        <f>ESTADISTICA!AI321</f>
        <v>0</v>
      </c>
    </row>
    <row r="323" spans="1:35" hidden="1" x14ac:dyDescent="0.25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/>
      <c r="AI323"/>
    </row>
    <row r="324" spans="1:35" hidden="1" x14ac:dyDescent="0.25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/>
      <c r="AI324"/>
    </row>
    <row r="325" spans="1:35" hidden="1" x14ac:dyDescent="0.25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/>
      <c r="AI325"/>
    </row>
    <row r="326" spans="1:35" hidden="1" x14ac:dyDescent="0.25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/>
      <c r="AI326"/>
    </row>
    <row r="327" spans="1:35" hidden="1" x14ac:dyDescent="0.25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/>
      <c r="AI327"/>
    </row>
    <row r="328" spans="1:35" hidden="1" x14ac:dyDescent="0.25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/>
      <c r="AI328"/>
    </row>
    <row r="329" spans="1:35" hidden="1" x14ac:dyDescent="0.25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/>
      <c r="AI329"/>
    </row>
    <row r="330" spans="1:35" hidden="1" x14ac:dyDescent="0.25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/>
      <c r="AI330"/>
    </row>
    <row r="331" spans="1:35" hidden="1" x14ac:dyDescent="0.25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/>
      <c r="AI331"/>
    </row>
    <row r="332" spans="1:35" hidden="1" x14ac:dyDescent="0.25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/>
      <c r="AI332"/>
    </row>
    <row r="333" spans="1:35" hidden="1" x14ac:dyDescent="0.25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/>
      <c r="AI333"/>
    </row>
    <row r="334" spans="1:35" hidden="1" x14ac:dyDescent="0.25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/>
      <c r="AI334"/>
    </row>
    <row r="335" spans="1:35" hidden="1" x14ac:dyDescent="0.25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/>
      <c r="AI335"/>
    </row>
    <row r="336" spans="1:35" hidden="1" x14ac:dyDescent="0.25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/>
      <c r="AI336"/>
    </row>
    <row r="337" spans="1:35" hidden="1" x14ac:dyDescent="0.25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/>
      <c r="AI337"/>
    </row>
    <row r="338" spans="1:35" hidden="1" x14ac:dyDescent="0.25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/>
      <c r="AI338"/>
    </row>
    <row r="339" spans="1:35" hidden="1" x14ac:dyDescent="0.25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/>
      <c r="AI339"/>
    </row>
    <row r="340" spans="1:35" hidden="1" x14ac:dyDescent="0.25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/>
      <c r="AI340"/>
    </row>
    <row r="341" spans="1:35" hidden="1" x14ac:dyDescent="0.25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/>
      <c r="AI341"/>
    </row>
    <row r="342" spans="1:35" hidden="1" x14ac:dyDescent="0.25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/>
      <c r="AI342"/>
    </row>
    <row r="343" spans="1:35" hidden="1" x14ac:dyDescent="0.25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/>
      <c r="AI343"/>
    </row>
    <row r="344" spans="1:35" hidden="1" x14ac:dyDescent="0.25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/>
      <c r="AI344"/>
    </row>
    <row r="345" spans="1:35" hidden="1" x14ac:dyDescent="0.25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/>
      <c r="AI345"/>
    </row>
    <row r="346" spans="1:35" hidden="1" x14ac:dyDescent="0.25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/>
      <c r="AI346"/>
    </row>
    <row r="347" spans="1:35" x14ac:dyDescent="0.25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4">
        <f>ESTADISTICA!AH346</f>
        <v>0</v>
      </c>
      <c r="AI347" s="54">
        <f>ESTADISTICA!AI346</f>
        <v>0</v>
      </c>
    </row>
    <row r="348" spans="1:35" x14ac:dyDescent="0.25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4">
        <f>ESTADISTICA!AH347</f>
        <v>0</v>
      </c>
      <c r="AI348" s="54">
        <f>ESTADISTICA!AI347</f>
        <v>0</v>
      </c>
    </row>
    <row r="349" spans="1:35" hidden="1" x14ac:dyDescent="0.25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/>
      <c r="AI349"/>
    </row>
    <row r="350" spans="1:35" hidden="1" x14ac:dyDescent="0.25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/>
      <c r="AI350"/>
    </row>
    <row r="351" spans="1:35" hidden="1" x14ac:dyDescent="0.25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/>
      <c r="AI351"/>
    </row>
    <row r="352" spans="1:35" hidden="1" x14ac:dyDescent="0.25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/>
      <c r="AI352"/>
    </row>
    <row r="353" spans="1:35" hidden="1" x14ac:dyDescent="0.25">
      <c r="A353">
        <f>ESTADISTICA!A352</f>
        <v>0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>
        <f>ESTADISTICA!E352</f>
        <v>0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/>
      <c r="AI353"/>
    </row>
    <row r="354" spans="1:35" hidden="1" x14ac:dyDescent="0.25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/>
      <c r="AI354"/>
    </row>
    <row r="355" spans="1:35" hidden="1" x14ac:dyDescent="0.25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/>
      <c r="AI355"/>
    </row>
    <row r="356" spans="1:35" hidden="1" x14ac:dyDescent="0.25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/>
      <c r="AI356"/>
    </row>
    <row r="357" spans="1:35" hidden="1" x14ac:dyDescent="0.25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/>
      <c r="AI357"/>
    </row>
    <row r="358" spans="1:35" hidden="1" x14ac:dyDescent="0.25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/>
      <c r="AI358"/>
    </row>
    <row r="359" spans="1:35" hidden="1" x14ac:dyDescent="0.25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/>
      <c r="AI359"/>
    </row>
    <row r="360" spans="1:35" hidden="1" x14ac:dyDescent="0.25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/>
      <c r="AI360"/>
    </row>
    <row r="361" spans="1:35" hidden="1" x14ac:dyDescent="0.25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/>
      <c r="AI361"/>
    </row>
    <row r="362" spans="1:35" hidden="1" x14ac:dyDescent="0.25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/>
      <c r="AI362"/>
    </row>
    <row r="363" spans="1:35" hidden="1" x14ac:dyDescent="0.25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/>
      <c r="AI363"/>
    </row>
    <row r="364" spans="1:35" hidden="1" x14ac:dyDescent="0.25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/>
      <c r="AI364"/>
    </row>
    <row r="365" spans="1:35" hidden="1" x14ac:dyDescent="0.25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/>
      <c r="AI365"/>
    </row>
    <row r="366" spans="1:35" hidden="1" x14ac:dyDescent="0.25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/>
      <c r="AI366"/>
    </row>
    <row r="367" spans="1:35" hidden="1" x14ac:dyDescent="0.25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/>
      <c r="AI367"/>
    </row>
    <row r="368" spans="1:35" hidden="1" x14ac:dyDescent="0.25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/>
      <c r="AI368"/>
    </row>
    <row r="369" spans="1:35" hidden="1" x14ac:dyDescent="0.25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/>
      <c r="AI369"/>
    </row>
    <row r="370" spans="1:35" hidden="1" x14ac:dyDescent="0.25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/>
      <c r="AI370"/>
    </row>
    <row r="371" spans="1:35" hidden="1" x14ac:dyDescent="0.25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/>
      <c r="AI371"/>
    </row>
    <row r="372" spans="1:35" hidden="1" x14ac:dyDescent="0.25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/>
      <c r="AI372"/>
    </row>
    <row r="373" spans="1:35" hidden="1" x14ac:dyDescent="0.25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/>
      <c r="AI373"/>
    </row>
    <row r="374" spans="1:35" hidden="1" x14ac:dyDescent="0.25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/>
      <c r="AI374"/>
    </row>
    <row r="375" spans="1:35" hidden="1" x14ac:dyDescent="0.25">
      <c r="A375" t="str">
        <f>ESTADISTICA!A374</f>
        <v>CENTRO</v>
      </c>
      <c r="B375" t="str">
        <f>ESTADISTICA!B374</f>
        <v>CEN75</v>
      </c>
      <c r="C375" t="str">
        <f>ESTADISTICA!C374</f>
        <v>CASTELLI Y 25 DE MAYO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/>
      <c r="AI375"/>
    </row>
    <row r="376" spans="1:35" hidden="1" x14ac:dyDescent="0.25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/>
      <c r="AI376"/>
    </row>
    <row r="377" spans="1:35" hidden="1" x14ac:dyDescent="0.25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/>
      <c r="AI377"/>
    </row>
    <row r="378" spans="1:35" hidden="1" x14ac:dyDescent="0.25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/>
      <c r="AI378"/>
    </row>
    <row r="379" spans="1:35" hidden="1" x14ac:dyDescent="0.25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/>
      <c r="AI379"/>
    </row>
  </sheetData>
  <autoFilter ref="A2:AG379" xr:uid="{2CD2C71F-307D-4E12-901F-A6B69A40CA8C}">
    <filterColumn colId="22">
      <filters>
        <filter val="APAGADO"/>
      </filters>
    </filterColumn>
  </autoFilter>
  <conditionalFormatting sqref="F3:AG379 AH78:AI78 AH87:AI90 AH102:AI103 AH113:AI114 AH127:AI128 AH131:AI131 AH136:AI139 AH151:AI151 AH154:AI154 AH157:AI157 AH189:AI192 AH204:AI204 AH209:AI210 AH243:AI244 AH249:AI252 AH260:AI264 AH279:AI280 AH282:AI283 AH302:AI305 AH309:AI311 AH319:AI319 AH322:AI322 AH347:AI348">
    <cfRule type="cellIs" dxfId="60" priority="1" operator="equal">
      <formula>0</formula>
    </cfRule>
    <cfRule type="cellIs" dxfId="59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dimension ref="A1:AI369"/>
  <sheetViews>
    <sheetView workbookViewId="0">
      <pane xSplit="5" ySplit="8" topLeftCell="AA9" activePane="bottomRight" state="frozen"/>
      <selection pane="topRight" activeCell="F1" sqref="F1"/>
      <selection pane="bottomLeft" activeCell="A8" sqref="A8"/>
      <selection pane="bottomRight" activeCell="AJ1" sqref="AJ1:AJ1048576"/>
    </sheetView>
  </sheetViews>
  <sheetFormatPr baseColWidth="10" defaultRowHeight="15" x14ac:dyDescent="0.25"/>
  <cols>
    <col min="3" max="3" width="26.42578125" customWidth="1"/>
    <col min="5" max="5" width="16.5703125" bestFit="1" customWidth="1"/>
  </cols>
  <sheetData>
    <row r="1" spans="1:35" ht="18.75" x14ac:dyDescent="0.3">
      <c r="C1" s="48" t="s">
        <v>1319</v>
      </c>
      <c r="D1" s="49">
        <f>COUNTIFS(E4:E369,"=Fibra Optica")</f>
        <v>237</v>
      </c>
    </row>
    <row r="2" spans="1:35" ht="21" x14ac:dyDescent="0.35">
      <c r="E2" s="26" t="s">
        <v>933</v>
      </c>
      <c r="F2" s="26">
        <f>COUNTIFS(F4:F367, "=APAGADO",E4:E367,"=Fibra Optica")</f>
        <v>56</v>
      </c>
      <c r="G2" s="26">
        <f>COUNTIFS(G4:G367, "=APAGADO",E4:E367,"=Fibra Optica")</f>
        <v>0</v>
      </c>
      <c r="H2" s="26">
        <f>COUNTIFS(H4:H367, "=APAGADO",E4:E367,"=Fibra Optica")</f>
        <v>0</v>
      </c>
      <c r="I2" s="26">
        <f>COUNTIFS(I4:I367, "=APAGADO",E4:E367,"=Fibra Optica")</f>
        <v>0</v>
      </c>
      <c r="J2" s="26">
        <f>COUNTIFS(J4:J367, "=APAGADO",E4:E367,"=Fibra Optica")</f>
        <v>0</v>
      </c>
      <c r="K2" s="26">
        <f>COUNTIFS(K4:K367, "=APAGADO",E4:E367,"=Fibra Optica")</f>
        <v>0</v>
      </c>
      <c r="L2" s="26">
        <f>COUNTIFS(L4:L367, "=APAGADO",E4:E367,"=Fibra Optica")</f>
        <v>0</v>
      </c>
      <c r="M2" s="26">
        <f>COUNTIFS(M4:M367, "=APAGADO",E4:E367,"=Fibra Optica")</f>
        <v>0</v>
      </c>
      <c r="N2" s="26">
        <f>COUNTIFS(N4:N367, "=APAGADO",E4:E367,"=Fibra Optica")</f>
        <v>0</v>
      </c>
      <c r="O2" s="26">
        <f>COUNTIFS(O4:O367, "=APAGADO",E4:E367,"=Fibra Optica")</f>
        <v>0</v>
      </c>
      <c r="P2" s="26">
        <f>COUNTIFS(P4:P367, "=APAGADO",E4:E367,"=Fibra Optica")</f>
        <v>0</v>
      </c>
      <c r="Q2" s="26">
        <f>COUNTIFS(Q4:Q367, "=APAGADO",E4:E367,"=Fibra Optica")</f>
        <v>0</v>
      </c>
      <c r="R2" s="26">
        <f>COUNTIFS(R4:R367, "=APAGADO",E4:E367,"=Fibra Optica")</f>
        <v>0</v>
      </c>
      <c r="S2" s="26">
        <f>COUNTIFS(S4:S367, "=APAGADO",E4:E367,"=Fibra Optica")</f>
        <v>0</v>
      </c>
      <c r="T2" s="26">
        <f>COUNTIFS(T4:T367, "=APAGADO",E4:E367,"=Fibra Optica")</f>
        <v>0</v>
      </c>
      <c r="U2" s="26">
        <f>COUNTIFS(U4:U367, "=APAGADO",E4:E367,"=Fibra Optica")</f>
        <v>0</v>
      </c>
      <c r="V2" s="26">
        <f>COUNTIFS(V4:V367, "=APAGADO",E4:E367,"=Fibra Optica")</f>
        <v>0</v>
      </c>
      <c r="W2" s="26">
        <f>COUNTIFS(W4:W367, "=APAGADO",E4:E367,"=Fibra Optica")</f>
        <v>0</v>
      </c>
      <c r="X2" s="26">
        <f>COUNTIFS(X4:X367, "=APAGADO",E4:E367,"=Fibra Optica")</f>
        <v>0</v>
      </c>
      <c r="Y2" s="26">
        <f>COUNTIFS(Y4:Y367, "=APAGADO",E4:E367,"=Fibra Optica")</f>
        <v>0</v>
      </c>
      <c r="Z2" s="26">
        <f>COUNTIFS(Z4:Z367, "=APAGADO",E4:E367,"=Fibra Optica")</f>
        <v>0</v>
      </c>
      <c r="AA2" s="26">
        <f>COUNTIFS(AA4:AA367, "=APAGADO",E4:E367,"=Fibra Optica")</f>
        <v>0</v>
      </c>
      <c r="AB2" s="26">
        <f>COUNTIFS(AB4:AB367, "=APAGADO",E4:E367,"=Fibra Optica")</f>
        <v>0</v>
      </c>
      <c r="AC2" s="26">
        <f>COUNTIFS(AC4:AC367, "=APAGADO",E4:E367,"=Fibra Optica")</f>
        <v>0</v>
      </c>
      <c r="AD2" s="26">
        <f>COUNTIFS(AD4:AD367, "=APAGADO",E4:E367,"=Fibra Optica")</f>
        <v>0</v>
      </c>
      <c r="AE2" s="26">
        <f>COUNTIFS(AE4:AE367, "=APAGADO",E4:E367,"=Fibra Optica")</f>
        <v>0</v>
      </c>
      <c r="AF2" s="26">
        <f>COUNTIFS(AF4:AF367, "=APAGADO",E4:E367,"=Fibra Optica")</f>
        <v>0</v>
      </c>
      <c r="AG2" s="26">
        <f>COUNTIFS(AG4:AG367, "=APAGADO",E4:E367,"=Fibra Optica")</f>
        <v>0</v>
      </c>
      <c r="AH2" s="26">
        <f>COUNTIFS(AH4:AH367, "=APAGADO",E4:E367,"=Fibra Optica")</f>
        <v>0</v>
      </c>
      <c r="AI2" s="26">
        <f>COUNTIFS(AI4:AI367, "=APAGADO",E4:E367,"=Fibra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44713</v>
      </c>
      <c r="G3" s="64">
        <f>ESTADISTICA!G1</f>
        <v>44714</v>
      </c>
      <c r="H3" s="64">
        <f>ESTADISTICA!H1</f>
        <v>44715</v>
      </c>
      <c r="I3" s="64">
        <f>ESTADISTICA!I1</f>
        <v>44716</v>
      </c>
      <c r="J3" s="64">
        <f>ESTADISTICA!J1</f>
        <v>44717</v>
      </c>
      <c r="K3" s="64">
        <f>ESTADISTICA!K1</f>
        <v>44718</v>
      </c>
      <c r="L3" s="64">
        <f>ESTADISTICA!L1</f>
        <v>44719</v>
      </c>
      <c r="M3" s="64">
        <f>ESTADISTICA!M1</f>
        <v>44720</v>
      </c>
      <c r="N3" s="64">
        <f>ESTADISTICA!N1</f>
        <v>44721</v>
      </c>
      <c r="O3" s="64">
        <f>ESTADISTICA!O1</f>
        <v>44722</v>
      </c>
      <c r="P3" s="64">
        <f>ESTADISTICA!P1</f>
        <v>44723</v>
      </c>
      <c r="Q3" s="64">
        <f>ESTADISTICA!Q1</f>
        <v>44724</v>
      </c>
      <c r="R3" s="64">
        <f>ESTADISTICA!R1</f>
        <v>44725</v>
      </c>
      <c r="S3" s="64">
        <f>ESTADISTICA!S1</f>
        <v>44726</v>
      </c>
      <c r="T3" s="64">
        <f>ESTADISTICA!T1</f>
        <v>44727</v>
      </c>
      <c r="U3" s="64">
        <f>ESTADISTICA!U1</f>
        <v>44728</v>
      </c>
      <c r="V3" s="64">
        <f>ESTADISTICA!V1</f>
        <v>44729</v>
      </c>
      <c r="W3" s="64">
        <f>ESTADISTICA!W1</f>
        <v>44730</v>
      </c>
      <c r="X3" s="64">
        <f>ESTADISTICA!X1</f>
        <v>44731</v>
      </c>
      <c r="Y3" s="64">
        <f>ESTADISTICA!Y1</f>
        <v>44732</v>
      </c>
      <c r="Z3" s="64">
        <f>ESTADISTICA!Z1</f>
        <v>44733</v>
      </c>
      <c r="AA3" s="64">
        <f>ESTADISTICA!AA1</f>
        <v>44734</v>
      </c>
      <c r="AB3" s="64">
        <f>ESTADISTICA!AB1</f>
        <v>44735</v>
      </c>
      <c r="AC3" s="64">
        <f>ESTADISTICA!AC1</f>
        <v>44736</v>
      </c>
      <c r="AD3" s="64">
        <f>ESTADISTICA!AD1</f>
        <v>44737</v>
      </c>
      <c r="AE3" s="64">
        <f>ESTADISTICA!AE1</f>
        <v>44738</v>
      </c>
      <c r="AF3" s="64">
        <f>ESTADISTICA!AF1</f>
        <v>44739</v>
      </c>
      <c r="AG3" s="64">
        <f>ESTADISTICA!AG1</f>
        <v>44740</v>
      </c>
      <c r="AH3" s="64">
        <f>ESTADISTICA!AH1</f>
        <v>44741</v>
      </c>
      <c r="AI3" s="64">
        <f>ESTADISTICA!AI1</f>
        <v>44742</v>
      </c>
    </row>
    <row r="4" spans="1:35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5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5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5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5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5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5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5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5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5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5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5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5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5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5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5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5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5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5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5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5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5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 t="str">
        <f>ESTADISTICA!F80</f>
        <v>APAGADO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5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5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5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5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5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5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 t="str">
        <f>ESTADISTICA!F96</f>
        <v>APAGADO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5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5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5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5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 t="str">
        <f>ESTADISTICA!F101</f>
        <v>APAGADO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5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 t="str">
        <f>ESTADISTICA!F102</f>
        <v>APAGADO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5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 t="str">
        <f>ESTADISTICA!F103</f>
        <v>APAGADO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 t="str">
        <f>ESTADISTICA!F104</f>
        <v>APAGADO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 t="str">
        <f>ESTADISTICA!F106</f>
        <v>APAGADO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5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5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5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5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5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5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 t="str">
        <f>ESTADISTICA!F120</f>
        <v>APAGADO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5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5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5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5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5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5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5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5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5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 t="str">
        <f>ESTADISTICA!F132</f>
        <v>APAGADO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5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5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5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5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5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 t="str">
        <f>ESTADISTICA!F139</f>
        <v>APAGADO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5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 t="str">
        <f>ESTADISTICA!F140</f>
        <v>APAGADO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5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 t="str">
        <f>ESTADISTICA!F141</f>
        <v>APAGADO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5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5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5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5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5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5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5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5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 t="str">
        <f>ESTADISTICA!F176</f>
        <v>APAGADO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5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5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5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5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5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 t="str">
        <f>ESTADISTICA!F182</f>
        <v>APAGADO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 t="str">
        <f>ESTADISTICA!F195</f>
        <v>APAGADO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 t="str">
        <f>ESTADISTICA!F197</f>
        <v>APAGADO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5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 t="str">
        <f>ESTADISTICA!F205</f>
        <v>APAGADO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5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 t="str">
        <f>ESTADISTICA!F215</f>
        <v>APAGADO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 t="str">
        <f>ESTADISTICA!F216</f>
        <v>APAGADO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5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5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5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5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5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5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5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5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5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5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5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5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5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5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 t="str">
        <f>ESTADISTICA!F260</f>
        <v>APAGADO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 t="str">
        <f>ESTADISTICA!F263</f>
        <v>APAGADO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5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5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5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5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5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5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5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5" x14ac:dyDescent="0.25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5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5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5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5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5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5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5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5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5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5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5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5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5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5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5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5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5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5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5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5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5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5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5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5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5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5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5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5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5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5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5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5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5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I369" xr:uid="{01697DCC-74FC-4E40-B9A4-100C171A67C1}"/>
  <conditionalFormatting sqref="F9:AG360 AH10:AI10 AH12:AI13 AH16:AI18 AH20:AI21 AH27:AI27 AH32:AI51 AH53:AI55 AH58:AI82 AH87:AI94 AH97:AI98 AH105:AI108 AH114:AI115 AH117:AI123 AH136:AI136 AH146:AI164 AH167:AI174 AH179:AI179 AH184:AI205 AH208:AI226 AH228:AI231 AH234:AI236 AH238:AI245 AH250:AI253 AH257:AI258 AH262:AI265 AH267:AI269 AH272:AI273 AH282:AI286 AH288:AI293 AH302:AI306 AH315:AI318 AH320:AI320 AH322:AI339 AH344:AI352 AH355:AI360">
    <cfRule type="containsText" dxfId="58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369"/>
  <sheetViews>
    <sheetView workbookViewId="0">
      <pane xSplit="5" ySplit="3" topLeftCell="AD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</cols>
  <sheetData>
    <row r="1" spans="1:35" ht="21" x14ac:dyDescent="0.35">
      <c r="C1" s="50" t="s">
        <v>1320</v>
      </c>
      <c r="D1" s="50">
        <f>COUNTIFS(E4:E367,"=PTP A FO")</f>
        <v>38</v>
      </c>
    </row>
    <row r="2" spans="1:35" ht="21" x14ac:dyDescent="0.35">
      <c r="E2" s="26" t="s">
        <v>933</v>
      </c>
      <c r="F2" s="26">
        <f>COUNTIFS(F4:F367, "=APAGADO",E4:E367,"=PTP A FO")</f>
        <v>8</v>
      </c>
      <c r="G2" s="26">
        <f>COUNTIFS(G4:G367, "=APAGADO",E4:E367,"=PTP A FO")</f>
        <v>0</v>
      </c>
      <c r="H2" s="26">
        <f>COUNTIFS(H4:H367, "=APAGADO",E4:E367,"=PTP A FO")</f>
        <v>0</v>
      </c>
      <c r="I2" s="26">
        <f>COUNTIFS(I4:I367, "=APAGADO",E4:E367,"=PTP A FO")</f>
        <v>0</v>
      </c>
      <c r="J2" s="26">
        <f>COUNTIFS(J4:J367, "=APAGADO",E4:E367,"=PTP A FO")</f>
        <v>0</v>
      </c>
      <c r="K2" s="26">
        <f>COUNTIFS(K4:K367, "=APAGADO",E4:E367,"=PTP A FO")</f>
        <v>0</v>
      </c>
      <c r="L2" s="26">
        <f>COUNTIFS(L4:L367, "=APAGADO",E4:E367,"=PTP A FO")</f>
        <v>0</v>
      </c>
      <c r="M2" s="26">
        <f>COUNTIFS(M4:M367, "=APAGADO",E4:E367,"=PTP A FO")</f>
        <v>0</v>
      </c>
      <c r="N2" s="26">
        <f>COUNTIFS(N4:N367, "=APAGADO",E4:E367,"=PTP A FO")</f>
        <v>0</v>
      </c>
      <c r="O2" s="26">
        <f>COUNTIFS(O4:O367,"APAGADO", E4:E367,"=PTP A FO" )</f>
        <v>0</v>
      </c>
      <c r="P2" s="26">
        <f>COUNTIFS(P4:P367, "=APAGADO",E4:E367,"=PTP A FO")</f>
        <v>0</v>
      </c>
      <c r="Q2" s="26">
        <f>COUNTIFS(Q4:Q367, "=APAGADO",E4:E367,"=PTP A FO")</f>
        <v>0</v>
      </c>
      <c r="R2" s="26">
        <f>COUNTIFS(R4:R367, "=APAGADO",E4:E367,"=PTP A FO")</f>
        <v>0</v>
      </c>
      <c r="S2" s="26">
        <f>COUNTIFS(S4:S367, "=APAGADO",E4:E367,"=PTP A FO")</f>
        <v>0</v>
      </c>
      <c r="T2" s="26">
        <f>COUNTIFS(T4:T367, "=APAGADO",E4:E367,"=PTP A FO")</f>
        <v>0</v>
      </c>
      <c r="U2" s="26">
        <f>COUNTIFS(U4:U367, "=APAGADO",E4:E367,"=PTP A FO")</f>
        <v>0</v>
      </c>
      <c r="V2" s="26">
        <f>COUNTIFS(V4:V367, "=APAGADO",E4:E367,"=PTP A FO")</f>
        <v>0</v>
      </c>
      <c r="W2" s="26">
        <f>COUNTIFS(W4:W367, "=APAGADO",E4:E367,"=PTP A FO")</f>
        <v>0</v>
      </c>
      <c r="X2" s="26">
        <f>COUNTIFS(X4:X367, "=APAGADO",E4:E367,"=PTP A FO")</f>
        <v>0</v>
      </c>
      <c r="Y2" s="26">
        <f>COUNTIFS(Y4:Y367, "=APAGADO",E4:E367,"=PTP A FO")</f>
        <v>0</v>
      </c>
      <c r="Z2" s="26">
        <f>COUNTIFS(Z4:Z367, "=APAGADO",E4:E367,"=PTP A FO")</f>
        <v>0</v>
      </c>
      <c r="AA2" s="26">
        <f>COUNTIFS(AA4:AA367, "=APAGADO",E4:E367,"=PTP A FO")</f>
        <v>0</v>
      </c>
      <c r="AB2" s="26">
        <f>COUNTIFS(AB4:AB367, "=APAGADO",E4:E367,"=PTP A FO")</f>
        <v>0</v>
      </c>
      <c r="AC2" s="26">
        <f>COUNTIFS(AC4:AC367, "=APAGADO",E4:E367,"=PTP A FO")</f>
        <v>0</v>
      </c>
      <c r="AD2" s="26">
        <f>COUNTIFS(AD4:AD367, "=APAGADO",E4:E367,"=PTP A FO")</f>
        <v>0</v>
      </c>
      <c r="AE2" s="26">
        <f>COUNTIFS(AE4:AE367, "=APAGADO",E4:E367,"=PTP A FO")</f>
        <v>0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>COUNTIFS(AH4:AH367, "=APAGADO",E4:E367,"=PTP A FO")</f>
        <v>0</v>
      </c>
      <c r="AI2" s="26">
        <f>COUNTIFS(AI4:AI367, "=APAGADO",E4:E367,"=PTP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44713</v>
      </c>
      <c r="G3" s="64">
        <f>ESTADISTICA!G1</f>
        <v>44714</v>
      </c>
      <c r="H3" s="64">
        <f>ESTADISTICA!H1</f>
        <v>44715</v>
      </c>
      <c r="I3" s="64">
        <f>ESTADISTICA!I1</f>
        <v>44716</v>
      </c>
      <c r="J3" s="64">
        <f>ESTADISTICA!J1</f>
        <v>44717</v>
      </c>
      <c r="K3" s="64">
        <f>ESTADISTICA!K1</f>
        <v>44718</v>
      </c>
      <c r="L3" s="64">
        <f>ESTADISTICA!L1</f>
        <v>44719</v>
      </c>
      <c r="M3" s="64">
        <f>ESTADISTICA!M1</f>
        <v>44720</v>
      </c>
      <c r="N3" s="64">
        <f>ESTADISTICA!N1</f>
        <v>44721</v>
      </c>
      <c r="O3" s="64">
        <f>ESTADISTICA!O1</f>
        <v>44722</v>
      </c>
      <c r="P3" s="64">
        <f>ESTADISTICA!P1</f>
        <v>44723</v>
      </c>
      <c r="Q3" s="64">
        <f>ESTADISTICA!Q1</f>
        <v>44724</v>
      </c>
      <c r="R3" s="64">
        <f>ESTADISTICA!R1</f>
        <v>44725</v>
      </c>
      <c r="S3" s="64">
        <f>ESTADISTICA!S1</f>
        <v>44726</v>
      </c>
      <c r="T3" s="64">
        <f>ESTADISTICA!T1</f>
        <v>44727</v>
      </c>
      <c r="U3" s="64">
        <f>ESTADISTICA!U1</f>
        <v>44728</v>
      </c>
      <c r="V3" s="64">
        <f>ESTADISTICA!V1</f>
        <v>44729</v>
      </c>
      <c r="W3" s="64">
        <f>ESTADISTICA!W1</f>
        <v>44730</v>
      </c>
      <c r="X3" s="64">
        <f>ESTADISTICA!X1</f>
        <v>44731</v>
      </c>
      <c r="Y3" s="64">
        <f>ESTADISTICA!Y1</f>
        <v>44732</v>
      </c>
      <c r="Z3" s="64">
        <f>ESTADISTICA!Z1</f>
        <v>44733</v>
      </c>
      <c r="AA3" s="64">
        <f>ESTADISTICA!AA1</f>
        <v>44734</v>
      </c>
      <c r="AB3" s="64">
        <f>ESTADISTICA!AB1</f>
        <v>44735</v>
      </c>
      <c r="AC3" s="64">
        <f>ESTADISTICA!AC1</f>
        <v>44736</v>
      </c>
      <c r="AD3" s="64">
        <f>ESTADISTICA!AD1</f>
        <v>44737</v>
      </c>
      <c r="AE3" s="64">
        <f>ESTADISTICA!AE1</f>
        <v>44738</v>
      </c>
      <c r="AF3" s="64">
        <f>ESTADISTICA!AF1</f>
        <v>44739</v>
      </c>
      <c r="AG3" s="64">
        <f>ESTADISTICA!AG1</f>
        <v>44740</v>
      </c>
      <c r="AH3" s="64">
        <f>ESTADISTICA!AH1</f>
        <v>44741</v>
      </c>
      <c r="AI3" s="64">
        <f>ESTADISTICA!AI1</f>
        <v>44742</v>
      </c>
    </row>
    <row r="4" spans="1:35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 t="str">
        <f>ESTADISTICA!F80</f>
        <v>APAGADO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 t="str">
        <f>ESTADISTICA!F96</f>
        <v>APAGADO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 t="str">
        <f>ESTADISTICA!F101</f>
        <v>APAGADO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 t="str">
        <f>ESTADISTICA!F102</f>
        <v>APAGADO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 t="str">
        <f>ESTADISTICA!F103</f>
        <v>APAGADO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 t="str">
        <f>ESTADISTICA!F104</f>
        <v>APAGADO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 t="str">
        <f>ESTADISTICA!F106</f>
        <v>APAGADO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 t="str">
        <f>ESTADISTICA!F120</f>
        <v>APAGADO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 t="str">
        <f>ESTADISTICA!F132</f>
        <v>APAGADO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 t="str">
        <f>ESTADISTICA!F139</f>
        <v>APAGADO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 t="str">
        <f>ESTADISTICA!F140</f>
        <v>APAGADO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 t="str">
        <f>ESTADISTICA!F141</f>
        <v>APAGADO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 t="str">
        <f>ESTADISTICA!F176</f>
        <v>APAGADO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 t="str">
        <f>ESTADISTICA!F182</f>
        <v>APAGADO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 t="str">
        <f>ESTADISTICA!F195</f>
        <v>APAGADO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 t="str">
        <f>ESTADISTICA!F197</f>
        <v>APAGADO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 t="str">
        <f>ESTADISTICA!F205</f>
        <v>APAGADO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 t="str">
        <f>ESTADISTICA!F215</f>
        <v>APAGADO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 t="str">
        <f>ESTADISTICA!F216</f>
        <v>APAGADO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 t="str">
        <f>ESTADISTICA!F260</f>
        <v>APAGADO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 t="str">
        <f>ESTADISTICA!F263</f>
        <v>APAGADO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938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</sheetData>
  <autoFilter ref="A3:AI369" xr:uid="{2F39BBCA-B383-47C1-9E39-FB69E1A84820}">
    <filterColumn colId="4">
      <filters>
        <filter val="PTP A FO"/>
      </filters>
    </filterColumn>
  </autoFilter>
  <conditionalFormatting sqref="AE3:AE1048576">
    <cfRule type="containsText" dxfId="57" priority="2" operator="containsText" text="APAGADO">
      <formula>NOT(ISERROR(SEARCH("APAGADO",AE3)))</formula>
    </cfRule>
  </conditionalFormatting>
  <conditionalFormatting sqref="F4:AG370 AH4:AI369">
    <cfRule type="containsText" dxfId="5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369"/>
  <sheetViews>
    <sheetView workbookViewId="0">
      <pane xSplit="5" ySplit="3" topLeftCell="AC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</cols>
  <sheetData>
    <row r="1" spans="1:35" ht="21" x14ac:dyDescent="0.35">
      <c r="C1" s="50" t="s">
        <v>1321</v>
      </c>
      <c r="D1" s="50">
        <f>COUNTIFS(E4:E367,"=radio")</f>
        <v>88</v>
      </c>
    </row>
    <row r="2" spans="1:35" ht="21" x14ac:dyDescent="0.35">
      <c r="E2" s="26" t="s">
        <v>933</v>
      </c>
      <c r="F2" s="26">
        <f>COUNTIFS(F4:F367, "=APAGADO",E4:E367,"=radio")</f>
        <v>7</v>
      </c>
      <c r="G2" s="26">
        <f>COUNTIFS(G4:G367, "=APAGADO",E4:E367,"=radio")</f>
        <v>0</v>
      </c>
      <c r="H2" s="26">
        <f>COUNTIFS(H4:H367, "=APAGADO",E4:E367,"=radio")</f>
        <v>0</v>
      </c>
      <c r="I2" s="26">
        <f>COUNTIFS(I4:I367, "=APAGADO",E4:E367,"=radio")</f>
        <v>0</v>
      </c>
      <c r="J2" s="26">
        <f>COUNTIFS(J4:J367, "=APAGADO",E4:E367,"=radio")</f>
        <v>0</v>
      </c>
      <c r="K2" s="26">
        <f>COUNTIFS(K4:K367, "=APAGADO",E4:E367,"=radio")</f>
        <v>0</v>
      </c>
      <c r="L2" s="26">
        <f>COUNTIFS(L4:L367, "=APAGADO",E4:E367,"=radio")</f>
        <v>0</v>
      </c>
      <c r="M2" s="26">
        <f>COUNTIFS(M4:M367, "=APAGADO",E4:E367,"=radio")</f>
        <v>0</v>
      </c>
      <c r="N2" s="26">
        <f>COUNTIFS(N4:N367, "=APAGADO",E4:E367,"=radio")</f>
        <v>0</v>
      </c>
      <c r="O2" s="26">
        <f>COUNTIFS(O4:O367, "=APAGADO",E4:E367,"=radio")</f>
        <v>0</v>
      </c>
      <c r="P2" s="26">
        <f>COUNTIFS(P4:P367, "=APAGADO",E4:E367,"=radio")</f>
        <v>0</v>
      </c>
      <c r="Q2" s="26">
        <f>COUNTIFS(Q4:Q367, "=APAGADO",E4:E367,"=radio")</f>
        <v>0</v>
      </c>
      <c r="R2" s="26">
        <f>COUNTIFS(R4:R367, "=APAGADO",E4:E367,"=radio")</f>
        <v>0</v>
      </c>
      <c r="S2" s="26">
        <f>COUNTIFS(S4:S367, "=APAGADO",E4:E367,"=radio")</f>
        <v>0</v>
      </c>
      <c r="T2" s="26">
        <f>COUNTIFS(T4:T367, "=APAGADO",E4:E367,"=radio")</f>
        <v>0</v>
      </c>
      <c r="U2" s="26">
        <f>COUNTIFS(U4:U367, "=APAGADO",E4:E367,"=radio")</f>
        <v>0</v>
      </c>
      <c r="V2" s="26">
        <f>COUNTIFS(V4:V367, "=APAGADO",E4:E367,"=radio")</f>
        <v>0</v>
      </c>
      <c r="W2" s="26">
        <f>COUNTIFS(W4:W367, "=APAGADO",E4:E367,"=radio")</f>
        <v>0</v>
      </c>
      <c r="X2" s="26">
        <f>COUNTIFS(X4:X367, "=APAGADO",E4:E367,"=radio")</f>
        <v>0</v>
      </c>
      <c r="Y2" s="26">
        <f>COUNTIFS(Y4:Y367, "=APAGADO",E4:E367,"=radio")</f>
        <v>0</v>
      </c>
      <c r="Z2" s="26">
        <f>COUNTIFS(Z4:Z367, "=APAGADO",E4:E367,"=radio")</f>
        <v>0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>COUNTIFS(AI4:AI367, "=APAGADO",E4:E367,"=radio")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44713</v>
      </c>
      <c r="G3" s="64">
        <f>ESTADISTICA!G1</f>
        <v>44714</v>
      </c>
      <c r="H3" s="64">
        <f>ESTADISTICA!H1</f>
        <v>44715</v>
      </c>
      <c r="I3" s="64">
        <f>ESTADISTICA!I1</f>
        <v>44716</v>
      </c>
      <c r="J3" s="64">
        <f>ESTADISTICA!J1</f>
        <v>44717</v>
      </c>
      <c r="K3" s="64">
        <f>ESTADISTICA!K1</f>
        <v>44718</v>
      </c>
      <c r="L3" s="64">
        <f>ESTADISTICA!L1</f>
        <v>44719</v>
      </c>
      <c r="M3" s="64">
        <f>ESTADISTICA!M1</f>
        <v>44720</v>
      </c>
      <c r="N3" s="64">
        <f>ESTADISTICA!N1</f>
        <v>44721</v>
      </c>
      <c r="O3" s="64">
        <f>ESTADISTICA!O1</f>
        <v>44722</v>
      </c>
      <c r="P3" s="64">
        <f>ESTADISTICA!P1</f>
        <v>44723</v>
      </c>
      <c r="Q3" s="64">
        <f>ESTADISTICA!Q1</f>
        <v>44724</v>
      </c>
      <c r="R3" s="64">
        <f>ESTADISTICA!R1</f>
        <v>44725</v>
      </c>
      <c r="S3" s="64">
        <f>ESTADISTICA!S1</f>
        <v>44726</v>
      </c>
      <c r="T3" s="64">
        <f>ESTADISTICA!T1</f>
        <v>44727</v>
      </c>
      <c r="U3" s="64">
        <f>ESTADISTICA!U1</f>
        <v>44728</v>
      </c>
      <c r="V3" s="64">
        <f>ESTADISTICA!V1</f>
        <v>44729</v>
      </c>
      <c r="W3" s="64">
        <f>ESTADISTICA!W1</f>
        <v>44730</v>
      </c>
      <c r="X3" s="64">
        <f>ESTADISTICA!X1</f>
        <v>44731</v>
      </c>
      <c r="Y3" s="64">
        <f>ESTADISTICA!Y1</f>
        <v>44732</v>
      </c>
      <c r="Z3" s="64">
        <f>ESTADISTICA!Z1</f>
        <v>44733</v>
      </c>
      <c r="AA3" s="64">
        <f>ESTADISTICA!AA1</f>
        <v>44734</v>
      </c>
      <c r="AB3" s="64">
        <f>ESTADISTICA!AB1</f>
        <v>44735</v>
      </c>
      <c r="AC3" s="64">
        <f>ESTADISTICA!AC1</f>
        <v>44736</v>
      </c>
      <c r="AD3" s="64">
        <f>ESTADISTICA!AD1</f>
        <v>44737</v>
      </c>
      <c r="AE3" s="64">
        <f>ESTADISTICA!AE1</f>
        <v>44738</v>
      </c>
      <c r="AF3" s="64">
        <f>ESTADISTICA!AF1</f>
        <v>44739</v>
      </c>
      <c r="AG3" s="64">
        <f>ESTADISTICA!AG1</f>
        <v>44740</v>
      </c>
      <c r="AH3" s="64">
        <f>ESTADISTICA!AH1</f>
        <v>44741</v>
      </c>
      <c r="AI3" s="64">
        <f>ESTADISTICA!AI1</f>
        <v>44742</v>
      </c>
    </row>
    <row r="4" spans="1:35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 t="str">
        <f>ESTADISTICA!F80</f>
        <v>APAGADO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 t="str">
        <f>ESTADISTICA!F96</f>
        <v>APAGADO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 t="str">
        <f>ESTADISTICA!F101</f>
        <v>APAGADO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 t="str">
        <f>ESTADISTICA!F102</f>
        <v>APAGADO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 t="str">
        <f>ESTADISTICA!F103</f>
        <v>APAGADO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 t="str">
        <f>ESTADISTICA!F104</f>
        <v>APAGADO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 t="str">
        <f>ESTADISTICA!F106</f>
        <v>APAGADO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 t="str">
        <f>ESTADISTICA!F120</f>
        <v>APAGADO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 t="str">
        <f>ESTADISTICA!F132</f>
        <v>APAGADO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 t="str">
        <f>ESTADISTICA!F139</f>
        <v>APAGADO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 t="str">
        <f>ESTADISTICA!F140</f>
        <v>APAGADO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 t="str">
        <f>ESTADISTICA!F141</f>
        <v>APAGADO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 t="str">
        <f>ESTADISTICA!F176</f>
        <v>APAGADO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 t="str">
        <f>ESTADISTICA!F182</f>
        <v>APAGADO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 t="str">
        <f>ESTADISTICA!F195</f>
        <v>APAGADO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 t="str">
        <f>ESTADISTICA!F197</f>
        <v>APAGADO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 t="str">
        <f>ESTADISTICA!F205</f>
        <v>APAGADO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 t="str">
        <f>ESTADISTICA!F215</f>
        <v>APAGADO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 t="str">
        <f>ESTADISTICA!F216</f>
        <v>APAGADO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 t="str">
        <f>ESTADISTICA!F260</f>
        <v>APAGADO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 t="str">
        <f>ESTADISTICA!F263</f>
        <v>APAGADO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25">
      <c r="A279" t="s">
        <v>938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</sheetData>
  <autoFilter ref="A3:AI369" xr:uid="{FC730B5B-E791-4742-8990-AFF1FAD7E538}">
    <filterColumn colId="4">
      <filters>
        <filter val="Radio"/>
      </filters>
    </filterColumn>
  </autoFilter>
  <conditionalFormatting sqref="AE3:AE1048576">
    <cfRule type="containsText" dxfId="55" priority="2" operator="containsText" text="APAGADO">
      <formula>NOT(ISERROR(SEARCH("APAGADO",AE3)))</formula>
    </cfRule>
  </conditionalFormatting>
  <conditionalFormatting sqref="F4:AG370 AH4:AI369">
    <cfRule type="containsText" dxfId="5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10" zoomScaleNormal="100" workbookViewId="0">
      <selection activeCell="U25" sqref="U2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P19" sqref="P19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workbookViewId="0">
      <selection activeCell="G28" sqref="G28"/>
    </sheetView>
  </sheetViews>
  <sheetFormatPr baseColWidth="10" defaultRowHeight="15" x14ac:dyDescent="0.25"/>
  <cols>
    <col min="5" max="5" width="15.7109375" bestFit="1" customWidth="1"/>
    <col min="7" max="7" width="11.5703125" style="59"/>
  </cols>
  <sheetData>
    <row r="1" spans="1:7" x14ac:dyDescent="0.25">
      <c r="A1" t="s">
        <v>934</v>
      </c>
      <c r="B1" t="s">
        <v>20</v>
      </c>
      <c r="C1" t="s">
        <v>935</v>
      </c>
      <c r="D1" t="s">
        <v>1309</v>
      </c>
      <c r="E1" t="s">
        <v>937</v>
      </c>
      <c r="F1" t="s">
        <v>936</v>
      </c>
      <c r="G1" s="59" t="s">
        <v>1346</v>
      </c>
    </row>
    <row r="2" spans="1:7" x14ac:dyDescent="0.25">
      <c r="A2" s="25">
        <f>'APAGADOS RADIO'!F3</f>
        <v>44713</v>
      </c>
      <c r="B2">
        <f>'APAGADOS RADIO'!F2+D2</f>
        <v>15</v>
      </c>
      <c r="C2">
        <f>'APAGADOS FIBRA'!F2</f>
        <v>56</v>
      </c>
      <c r="D2">
        <f>'APAGADOS ANTENA'!F2</f>
        <v>8</v>
      </c>
      <c r="E2">
        <f t="shared" ref="E2" si="0">B2+C2</f>
        <v>71</v>
      </c>
      <c r="F2">
        <f>'RESUMEN TOTAL'!C1</f>
        <v>375</v>
      </c>
      <c r="G2" s="59">
        <f t="shared" ref="G2" si="1">E2/F2</f>
        <v>0.18933333333333333</v>
      </c>
    </row>
    <row r="3" spans="1:7" x14ac:dyDescent="0.25">
      <c r="A3" s="25">
        <f>'APAGADOS RADIO'!G3</f>
        <v>44714</v>
      </c>
      <c r="B3" s="54"/>
      <c r="C3" s="54"/>
      <c r="D3" s="54"/>
      <c r="E3" s="54"/>
    </row>
    <row r="4" spans="1:7" x14ac:dyDescent="0.25">
      <c r="A4" s="25">
        <f>'APAGADOS RADIO'!H3</f>
        <v>44715</v>
      </c>
      <c r="B4" s="54"/>
      <c r="C4" s="54"/>
      <c r="D4" s="54"/>
      <c r="E4" s="54"/>
    </row>
    <row r="5" spans="1:7" x14ac:dyDescent="0.25">
      <c r="A5" s="25">
        <f>'APAGADOS RADIO'!I3</f>
        <v>44716</v>
      </c>
      <c r="B5" s="54"/>
      <c r="C5" s="54"/>
      <c r="D5" s="54"/>
      <c r="E5" s="54"/>
    </row>
    <row r="6" spans="1:7" x14ac:dyDescent="0.25">
      <c r="A6" s="25">
        <f>'APAGADOS RADIO'!J3</f>
        <v>44717</v>
      </c>
      <c r="B6" s="54"/>
      <c r="C6" s="54"/>
      <c r="D6" s="54"/>
      <c r="E6" s="54"/>
    </row>
    <row r="7" spans="1:7" x14ac:dyDescent="0.25">
      <c r="A7" s="25">
        <f>'APAGADOS RADIO'!K3</f>
        <v>44718</v>
      </c>
      <c r="B7" s="54"/>
      <c r="C7" s="54"/>
      <c r="D7" s="54"/>
      <c r="E7" s="54"/>
    </row>
    <row r="8" spans="1:7" x14ac:dyDescent="0.25">
      <c r="A8" s="25">
        <f>'APAGADOS RADIO'!L3</f>
        <v>44719</v>
      </c>
      <c r="B8" s="54"/>
      <c r="C8" s="54"/>
      <c r="D8" s="54"/>
      <c r="E8" s="54"/>
    </row>
    <row r="9" spans="1:7" x14ac:dyDescent="0.25">
      <c r="A9" s="25">
        <f>'APAGADOS RADIO'!M3</f>
        <v>44720</v>
      </c>
      <c r="B9" s="54"/>
      <c r="C9" s="54"/>
      <c r="D9" s="54"/>
      <c r="E9" s="54"/>
    </row>
    <row r="10" spans="1:7" x14ac:dyDescent="0.25">
      <c r="A10" s="25">
        <f>'APAGADOS RADIO'!N3</f>
        <v>44721</v>
      </c>
      <c r="B10" s="54"/>
      <c r="C10" s="54"/>
      <c r="D10" s="54"/>
      <c r="E10" s="54"/>
    </row>
    <row r="11" spans="1:7" x14ac:dyDescent="0.25">
      <c r="A11" s="25">
        <f>'APAGADOS RADIO'!O3</f>
        <v>44722</v>
      </c>
      <c r="B11" s="54"/>
      <c r="C11" s="54"/>
      <c r="D11" s="54"/>
      <c r="E11" s="54"/>
    </row>
    <row r="12" spans="1:7" x14ac:dyDescent="0.25">
      <c r="A12" s="25">
        <f>'APAGADOS RADIO'!P3</f>
        <v>44723</v>
      </c>
      <c r="B12" s="54"/>
      <c r="C12" s="54"/>
      <c r="D12" s="54"/>
      <c r="E12" s="54"/>
    </row>
    <row r="13" spans="1:7" x14ac:dyDescent="0.25">
      <c r="A13" s="25">
        <f>'APAGADOS RADIO'!Q3</f>
        <v>44724</v>
      </c>
      <c r="B13" s="54"/>
      <c r="C13" s="54"/>
      <c r="D13" s="54"/>
      <c r="E13" s="54"/>
    </row>
    <row r="14" spans="1:7" x14ac:dyDescent="0.25">
      <c r="A14" s="25">
        <f>'APAGADOS RADIO'!R3</f>
        <v>44725</v>
      </c>
      <c r="B14" s="54"/>
      <c r="C14" s="54"/>
      <c r="D14" s="54"/>
      <c r="E14" s="54"/>
    </row>
    <row r="15" spans="1:7" x14ac:dyDescent="0.25">
      <c r="A15" s="25">
        <f>'APAGADOS RADIO'!S3</f>
        <v>44726</v>
      </c>
      <c r="B15" s="54"/>
      <c r="C15" s="54"/>
      <c r="D15" s="54"/>
      <c r="E15" s="54"/>
    </row>
    <row r="16" spans="1:7" x14ac:dyDescent="0.25">
      <c r="A16" s="25">
        <f>'APAGADOS RADIO'!T3</f>
        <v>44727</v>
      </c>
      <c r="B16" s="54"/>
      <c r="C16" s="54"/>
      <c r="D16" s="54"/>
      <c r="E16" s="54"/>
    </row>
    <row r="17" spans="1:5" x14ac:dyDescent="0.25">
      <c r="A17" s="25">
        <f>'APAGADOS RADIO'!U3</f>
        <v>44728</v>
      </c>
      <c r="B17" s="54"/>
      <c r="C17" s="54"/>
      <c r="D17" s="54"/>
      <c r="E17" s="54"/>
    </row>
    <row r="18" spans="1:5" x14ac:dyDescent="0.25">
      <c r="A18" s="25">
        <f>'APAGADOS RADIO'!V3</f>
        <v>44729</v>
      </c>
      <c r="B18" s="54"/>
      <c r="C18" s="54"/>
      <c r="D18" s="54"/>
      <c r="E18" s="54"/>
    </row>
    <row r="19" spans="1:5" x14ac:dyDescent="0.25">
      <c r="A19" s="25">
        <f>'APAGADOS RADIO'!W3</f>
        <v>44730</v>
      </c>
      <c r="B19" s="54"/>
      <c r="C19" s="54"/>
      <c r="D19" s="54"/>
      <c r="E19" s="54"/>
    </row>
    <row r="20" spans="1:5" x14ac:dyDescent="0.25">
      <c r="A20" s="25">
        <f>'APAGADOS RADIO'!X3</f>
        <v>44731</v>
      </c>
      <c r="B20" s="54"/>
      <c r="C20" s="54"/>
      <c r="D20" s="54"/>
      <c r="E20" s="54"/>
    </row>
    <row r="21" spans="1:5" x14ac:dyDescent="0.25">
      <c r="A21" s="25">
        <f>'APAGADOS RADIO'!Y3</f>
        <v>44732</v>
      </c>
      <c r="B21" s="54"/>
      <c r="C21" s="54"/>
      <c r="D21" s="54"/>
      <c r="E21" s="54"/>
    </row>
    <row r="22" spans="1:5" x14ac:dyDescent="0.25">
      <c r="A22" s="25">
        <f>'APAGADOS RADIO'!Z3</f>
        <v>44733</v>
      </c>
      <c r="B22" s="54"/>
      <c r="C22" s="54"/>
      <c r="D22" s="54"/>
      <c r="E22" s="54"/>
    </row>
    <row r="23" spans="1:5" x14ac:dyDescent="0.25">
      <c r="A23" s="25">
        <f>'APAGADOS RADIO'!AA3</f>
        <v>44734</v>
      </c>
      <c r="B23" s="54"/>
      <c r="C23" s="54"/>
      <c r="D23" s="54"/>
      <c r="E23" s="54"/>
    </row>
    <row r="24" spans="1:5" x14ac:dyDescent="0.25">
      <c r="A24" s="25">
        <f>'APAGADOS RADIO'!AB3</f>
        <v>44735</v>
      </c>
      <c r="B24" s="54"/>
      <c r="C24" s="54"/>
      <c r="D24" s="54"/>
      <c r="E24" s="54"/>
    </row>
    <row r="25" spans="1:5" x14ac:dyDescent="0.25">
      <c r="A25" s="25">
        <f>'APAGADOS RADIO'!AC3</f>
        <v>44736</v>
      </c>
      <c r="B25" s="54"/>
      <c r="C25" s="54"/>
      <c r="D25" s="54"/>
      <c r="E25" s="54"/>
    </row>
    <row r="26" spans="1:5" x14ac:dyDescent="0.25">
      <c r="A26" s="25">
        <f>'APAGADOS RADIO'!AD3</f>
        <v>44737</v>
      </c>
      <c r="B26" s="54"/>
      <c r="C26" s="54"/>
      <c r="D26" s="54"/>
      <c r="E26" s="54"/>
    </row>
    <row r="27" spans="1:5" x14ac:dyDescent="0.25">
      <c r="A27" s="25">
        <f>'APAGADOS RADIO'!AE3</f>
        <v>44738</v>
      </c>
      <c r="B27" s="54"/>
      <c r="C27" s="54"/>
      <c r="D27" s="54"/>
      <c r="E27" s="54"/>
    </row>
    <row r="28" spans="1:5" x14ac:dyDescent="0.25">
      <c r="A28" s="25">
        <f>'APAGADOS RADIO'!AF3</f>
        <v>44739</v>
      </c>
      <c r="B28" s="54"/>
      <c r="C28" s="54"/>
      <c r="D28" s="54"/>
      <c r="E28" s="54"/>
    </row>
    <row r="29" spans="1:5" x14ac:dyDescent="0.25">
      <c r="A29" s="25">
        <f>'APAGADOS RADIO'!AG3</f>
        <v>44740</v>
      </c>
      <c r="B29" s="54"/>
      <c r="C29" s="54"/>
      <c r="D29" s="54"/>
      <c r="E29" s="54"/>
    </row>
    <row r="30" spans="1:5" x14ac:dyDescent="0.25">
      <c r="A30" s="25">
        <f>'APAGADOS RADIO'!AH3</f>
        <v>44741</v>
      </c>
      <c r="B30" s="54"/>
      <c r="C30" s="54"/>
      <c r="D30" s="54"/>
      <c r="E30" s="54"/>
    </row>
    <row r="31" spans="1:5" x14ac:dyDescent="0.25">
      <c r="A31" s="25">
        <f>'APAGADOS RADIO'!AI3</f>
        <v>44742</v>
      </c>
      <c r="B31" s="54"/>
      <c r="C31" s="54"/>
      <c r="D31" s="54"/>
      <c r="E31" s="54"/>
    </row>
    <row r="33" spans="1:30" x14ac:dyDescent="0.25">
      <c r="A33" s="31"/>
      <c r="B33" s="31"/>
      <c r="C33" s="31"/>
      <c r="D33" s="31"/>
      <c r="E33" s="31"/>
      <c r="F33" s="31"/>
    </row>
    <row r="34" spans="1:30" x14ac:dyDescent="0.25">
      <c r="A34" s="30"/>
      <c r="B34" s="30"/>
      <c r="C34" s="30"/>
      <c r="D34" s="30"/>
      <c r="E34" s="30"/>
      <c r="F34" s="30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25">
      <c r="G35" s="59"/>
    </row>
    <row r="36" spans="1:30" s="30" customFormat="1" x14ac:dyDescent="0.25">
      <c r="A36" s="20"/>
      <c r="B36" s="20"/>
      <c r="C36" s="20"/>
      <c r="D36" s="20"/>
      <c r="E36" s="20"/>
      <c r="F36" s="20"/>
      <c r="G36" s="59"/>
    </row>
    <row r="37" spans="1:30" s="20" customFormat="1" x14ac:dyDescent="0.25">
      <c r="A37"/>
      <c r="B37"/>
      <c r="C37"/>
      <c r="D37"/>
      <c r="E37"/>
      <c r="F37"/>
      <c r="G37" s="59"/>
    </row>
    <row r="39" spans="1:30" x14ac:dyDescent="0.25">
      <c r="A39" s="54"/>
      <c r="B39" s="54"/>
    </row>
    <row r="40" spans="1:30" x14ac:dyDescent="0.25">
      <c r="A40" s="54"/>
      <c r="B40" s="54"/>
      <c r="D40" s="25"/>
      <c r="E40" s="59"/>
    </row>
    <row r="41" spans="1:30" x14ac:dyDescent="0.25">
      <c r="A41" s="54"/>
      <c r="B41" s="54"/>
      <c r="D41" s="25"/>
      <c r="E41" s="59"/>
    </row>
    <row r="42" spans="1:30" x14ac:dyDescent="0.25">
      <c r="A42" s="54"/>
      <c r="B42" s="54"/>
      <c r="D42" s="25"/>
      <c r="E42" s="59"/>
    </row>
    <row r="43" spans="1:30" x14ac:dyDescent="0.25">
      <c r="A43" s="54"/>
      <c r="B43" s="54"/>
      <c r="D43" s="25"/>
      <c r="E43" s="59"/>
    </row>
    <row r="44" spans="1:30" x14ac:dyDescent="0.25">
      <c r="A44" s="54"/>
      <c r="B44" s="54"/>
      <c r="D44" s="25"/>
      <c r="E44" s="59"/>
    </row>
    <row r="45" spans="1:30" x14ac:dyDescent="0.25">
      <c r="A45" s="54"/>
      <c r="B45" s="54"/>
      <c r="D45" s="25"/>
      <c r="E45" s="59"/>
    </row>
    <row r="46" spans="1:30" x14ac:dyDescent="0.25">
      <c r="A46" s="54"/>
      <c r="B46" s="54"/>
      <c r="D46" s="25"/>
      <c r="E46" s="59"/>
    </row>
    <row r="47" spans="1:30" x14ac:dyDescent="0.25">
      <c r="A47" s="54"/>
      <c r="B47" s="54"/>
      <c r="D47" s="25"/>
      <c r="E47" s="59"/>
    </row>
    <row r="48" spans="1:30" x14ac:dyDescent="0.25">
      <c r="A48" s="54"/>
      <c r="B48" s="54"/>
      <c r="D48" s="25"/>
      <c r="E48" s="59"/>
    </row>
    <row r="49" spans="1:5" x14ac:dyDescent="0.25">
      <c r="A49" s="54"/>
      <c r="B49" s="54"/>
      <c r="D49" s="25"/>
      <c r="E49" s="59"/>
    </row>
    <row r="50" spans="1:5" x14ac:dyDescent="0.25">
      <c r="A50" s="54"/>
      <c r="B50" s="54"/>
      <c r="D50" s="25"/>
      <c r="E50" s="59"/>
    </row>
    <row r="51" spans="1:5" x14ac:dyDescent="0.25">
      <c r="A51" s="54"/>
      <c r="B51" s="54"/>
      <c r="D51" s="25"/>
      <c r="E51" s="59"/>
    </row>
    <row r="52" spans="1:5" x14ac:dyDescent="0.25">
      <c r="A52" s="54"/>
      <c r="B52" s="54"/>
      <c r="D52" s="25"/>
      <c r="E52" s="59"/>
    </row>
    <row r="53" spans="1:5" x14ac:dyDescent="0.25">
      <c r="A53" s="54"/>
      <c r="B53" s="54"/>
      <c r="D53" s="25"/>
      <c r="E53" s="59"/>
    </row>
    <row r="54" spans="1:5" x14ac:dyDescent="0.25">
      <c r="A54" s="54"/>
      <c r="B54" s="54"/>
      <c r="D54" s="25"/>
      <c r="E54" s="59"/>
    </row>
    <row r="55" spans="1:5" x14ac:dyDescent="0.25">
      <c r="A55" s="54"/>
      <c r="B55" s="54"/>
      <c r="D55" s="25"/>
      <c r="E55" s="59"/>
    </row>
    <row r="56" spans="1:5" x14ac:dyDescent="0.25">
      <c r="A56" s="54"/>
      <c r="B56" s="54"/>
      <c r="D56" s="25"/>
      <c r="E56" s="59"/>
    </row>
    <row r="57" spans="1:5" x14ac:dyDescent="0.25">
      <c r="A57" s="54"/>
      <c r="B57" s="54"/>
      <c r="D57" s="25"/>
      <c r="E57" s="59"/>
    </row>
    <row r="58" spans="1:5" x14ac:dyDescent="0.25">
      <c r="A58" s="54"/>
      <c r="B58" s="54"/>
      <c r="D58" s="25"/>
      <c r="E58" s="59"/>
    </row>
    <row r="59" spans="1:5" x14ac:dyDescent="0.25">
      <c r="A59" s="54"/>
      <c r="B59" s="54"/>
      <c r="D59" s="25"/>
      <c r="E59" s="59"/>
    </row>
    <row r="60" spans="1:5" x14ac:dyDescent="0.25">
      <c r="A60" s="54"/>
      <c r="B60" s="54"/>
      <c r="D60" s="25"/>
    </row>
    <row r="61" spans="1:5" x14ac:dyDescent="0.25">
      <c r="A61" s="54"/>
      <c r="B61" s="54"/>
      <c r="D61" s="25"/>
    </row>
    <row r="62" spans="1:5" x14ac:dyDescent="0.25">
      <c r="A62" s="54"/>
      <c r="B62" s="54"/>
      <c r="D62" s="25"/>
    </row>
    <row r="63" spans="1:5" x14ac:dyDescent="0.25">
      <c r="A63" s="54"/>
      <c r="B63" s="54"/>
      <c r="D63" s="25"/>
    </row>
    <row r="64" spans="1:5" x14ac:dyDescent="0.25">
      <c r="A64" s="54"/>
      <c r="B64" s="54"/>
      <c r="D64" s="25"/>
    </row>
    <row r="65" spans="1:4" x14ac:dyDescent="0.25">
      <c r="A65" s="54"/>
      <c r="B65" s="54"/>
      <c r="D65" s="25"/>
    </row>
    <row r="66" spans="1:4" x14ac:dyDescent="0.25">
      <c r="A66" s="54"/>
      <c r="B66" s="54"/>
      <c r="D66" s="25"/>
    </row>
    <row r="67" spans="1:4" x14ac:dyDescent="0.25">
      <c r="A67" s="54"/>
      <c r="B67" s="54"/>
      <c r="D67" s="25"/>
    </row>
    <row r="68" spans="1:4" x14ac:dyDescent="0.25">
      <c r="A68" s="54"/>
      <c r="B68" s="54"/>
      <c r="D68" s="25"/>
    </row>
    <row r="69" spans="1:4" x14ac:dyDescent="0.25">
      <c r="A69" s="54"/>
      <c r="B69" s="54"/>
      <c r="D69" s="25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M27"/>
  <sheetViews>
    <sheetView topLeftCell="A7" workbookViewId="0">
      <selection activeCell="F28" sqref="F28"/>
    </sheetView>
  </sheetViews>
  <sheetFormatPr baseColWidth="10" defaultRowHeight="15" x14ac:dyDescent="0.25"/>
  <cols>
    <col min="1" max="1" width="20.28515625" bestFit="1" customWidth="1"/>
    <col min="2" max="2" width="11.5703125" style="76"/>
    <col min="3" max="3" width="11.5703125" style="11"/>
    <col min="4" max="4" width="11.5703125" style="69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11" t="s">
        <v>1351</v>
      </c>
      <c r="D1" s="69" t="s">
        <v>1352</v>
      </c>
    </row>
    <row r="2" spans="1:13" ht="16.5" thickTop="1" thickBot="1" x14ac:dyDescent="0.3">
      <c r="A2" s="66" t="s">
        <v>1348</v>
      </c>
      <c r="B2" s="77">
        <v>373</v>
      </c>
      <c r="C2" s="73"/>
      <c r="D2" s="70"/>
      <c r="E2" s="92">
        <v>44694</v>
      </c>
    </row>
    <row r="3" spans="1:13" ht="15" customHeight="1" thickTop="1" x14ac:dyDescent="0.25">
      <c r="A3" s="67" t="s">
        <v>6</v>
      </c>
      <c r="B3" s="78">
        <v>28</v>
      </c>
      <c r="C3" s="74">
        <v>28</v>
      </c>
      <c r="D3" s="71">
        <f>C3/B2</f>
        <v>7.5067024128686322E-2</v>
      </c>
      <c r="E3" s="93"/>
      <c r="G3" s="80" t="s">
        <v>145</v>
      </c>
      <c r="H3" s="81" t="s">
        <v>146</v>
      </c>
      <c r="I3" s="81" t="s">
        <v>24</v>
      </c>
      <c r="J3" s="81" t="s">
        <v>36</v>
      </c>
      <c r="K3" s="82" t="s">
        <v>968</v>
      </c>
      <c r="L3" s="83" t="s">
        <v>1353</v>
      </c>
      <c r="M3" s="95">
        <v>44700</v>
      </c>
    </row>
    <row r="4" spans="1:13" x14ac:dyDescent="0.25">
      <c r="A4" s="67" t="s">
        <v>1350</v>
      </c>
      <c r="B4" s="78">
        <v>8</v>
      </c>
      <c r="C4" s="74">
        <f>B3-B4</f>
        <v>20</v>
      </c>
      <c r="D4" s="71">
        <f>C4/B2</f>
        <v>5.3619302949061663E-2</v>
      </c>
      <c r="E4" s="93"/>
      <c r="G4" s="84" t="s">
        <v>243</v>
      </c>
      <c r="H4" s="85" t="s">
        <v>244</v>
      </c>
      <c r="I4" s="85" t="s">
        <v>73</v>
      </c>
      <c r="J4" s="85" t="s">
        <v>36</v>
      </c>
      <c r="K4" s="86" t="s">
        <v>1341</v>
      </c>
      <c r="L4" s="87" t="s">
        <v>1353</v>
      </c>
      <c r="M4" s="96"/>
    </row>
    <row r="5" spans="1:13" x14ac:dyDescent="0.25">
      <c r="A5" s="67" t="s">
        <v>1349</v>
      </c>
      <c r="B5" s="78">
        <v>3</v>
      </c>
      <c r="C5" s="74">
        <f>C4-B5</f>
        <v>17</v>
      </c>
      <c r="D5" s="71">
        <f>C5/B2</f>
        <v>4.5576407506702415E-2</v>
      </c>
      <c r="E5" s="93"/>
      <c r="G5" s="84" t="s">
        <v>245</v>
      </c>
      <c r="H5" s="85" t="s">
        <v>244</v>
      </c>
      <c r="I5" s="85" t="s">
        <v>73</v>
      </c>
      <c r="J5" s="85" t="s">
        <v>36</v>
      </c>
      <c r="K5" s="86" t="s">
        <v>1023</v>
      </c>
      <c r="L5" s="87" t="s">
        <v>1353</v>
      </c>
      <c r="M5" s="96"/>
    </row>
    <row r="6" spans="1:13" ht="15.75" thickBot="1" x14ac:dyDescent="0.3">
      <c r="A6" s="68" t="s">
        <v>20</v>
      </c>
      <c r="B6" s="79">
        <v>8</v>
      </c>
      <c r="C6" s="75">
        <f>C5-B6</f>
        <v>9</v>
      </c>
      <c r="D6" s="72">
        <f>C6/B2</f>
        <v>2.4128686327077747E-2</v>
      </c>
      <c r="E6" s="94"/>
      <c r="G6" s="84" t="s">
        <v>311</v>
      </c>
      <c r="H6" s="85" t="s">
        <v>312</v>
      </c>
      <c r="I6" s="85" t="s">
        <v>24</v>
      </c>
      <c r="J6" s="85" t="s">
        <v>943</v>
      </c>
      <c r="K6" s="86" t="s">
        <v>1050</v>
      </c>
      <c r="L6" s="87" t="s">
        <v>1353</v>
      </c>
      <c r="M6" s="96"/>
    </row>
    <row r="7" spans="1:13" ht="15" customHeight="1" thickTop="1" x14ac:dyDescent="0.25">
      <c r="A7" s="66" t="s">
        <v>1348</v>
      </c>
      <c r="B7" s="77">
        <v>373</v>
      </c>
      <c r="C7" s="73"/>
      <c r="D7" s="70"/>
      <c r="E7" s="92">
        <v>44697</v>
      </c>
      <c r="G7" s="84" t="s">
        <v>545</v>
      </c>
      <c r="H7" s="85" t="s">
        <v>546</v>
      </c>
      <c r="I7" s="85" t="s">
        <v>19</v>
      </c>
      <c r="J7" s="85" t="s">
        <v>943</v>
      </c>
      <c r="K7" s="86" t="s">
        <v>1147</v>
      </c>
      <c r="L7" s="87" t="s">
        <v>1353</v>
      </c>
      <c r="M7" s="96"/>
    </row>
    <row r="8" spans="1:13" x14ac:dyDescent="0.25">
      <c r="A8" s="67" t="s">
        <v>6</v>
      </c>
      <c r="B8" s="78">
        <v>56</v>
      </c>
      <c r="C8" s="74">
        <v>56</v>
      </c>
      <c r="D8" s="71">
        <f>C8/B7</f>
        <v>0.15013404825737264</v>
      </c>
      <c r="E8" s="93"/>
      <c r="G8" s="84" t="s">
        <v>554</v>
      </c>
      <c r="H8" s="85" t="s">
        <v>553</v>
      </c>
      <c r="I8" s="85" t="s">
        <v>113</v>
      </c>
      <c r="J8" s="85" t="s">
        <v>36</v>
      </c>
      <c r="K8" s="86" t="s">
        <v>1149</v>
      </c>
      <c r="L8" s="87" t="s">
        <v>1353</v>
      </c>
      <c r="M8" s="96"/>
    </row>
    <row r="9" spans="1:13" x14ac:dyDescent="0.25">
      <c r="A9" s="67" t="s">
        <v>1350</v>
      </c>
      <c r="B9" s="78">
        <v>6</v>
      </c>
      <c r="C9" s="74">
        <f>B8-B9</f>
        <v>50</v>
      </c>
      <c r="D9" s="71">
        <f>C9/B7</f>
        <v>0.13404825737265416</v>
      </c>
      <c r="E9" s="93"/>
      <c r="G9" s="84" t="s">
        <v>519</v>
      </c>
      <c r="H9" s="85" t="s">
        <v>518</v>
      </c>
      <c r="I9" s="85" t="s">
        <v>113</v>
      </c>
      <c r="J9" s="85" t="s">
        <v>36</v>
      </c>
      <c r="K9" s="86" t="s">
        <v>1135</v>
      </c>
      <c r="L9" s="87" t="s">
        <v>1353</v>
      </c>
      <c r="M9" s="96"/>
    </row>
    <row r="10" spans="1:13" x14ac:dyDescent="0.25">
      <c r="A10" s="67" t="s">
        <v>1349</v>
      </c>
      <c r="B10" s="78">
        <v>3</v>
      </c>
      <c r="C10" s="74">
        <f>C9-B10</f>
        <v>47</v>
      </c>
      <c r="D10" s="71">
        <f>C10/B7</f>
        <v>0.12600536193029491</v>
      </c>
      <c r="E10" s="93"/>
      <c r="G10" s="84" t="s">
        <v>662</v>
      </c>
      <c r="H10" s="85" t="s">
        <v>663</v>
      </c>
      <c r="I10" s="85" t="s">
        <v>19</v>
      </c>
      <c r="J10" s="85" t="s">
        <v>25</v>
      </c>
      <c r="K10" s="86" t="s">
        <v>1197</v>
      </c>
      <c r="L10" s="87" t="s">
        <v>1353</v>
      </c>
      <c r="M10" s="96"/>
    </row>
    <row r="11" spans="1:13" ht="15.75" thickBot="1" x14ac:dyDescent="0.3">
      <c r="A11" s="68" t="s">
        <v>20</v>
      </c>
      <c r="B11" s="79">
        <v>6</v>
      </c>
      <c r="C11" s="75">
        <f>C10-B11</f>
        <v>41</v>
      </c>
      <c r="D11" s="72">
        <f>C11/B7</f>
        <v>0.10991957104557641</v>
      </c>
      <c r="E11" s="94"/>
      <c r="G11" s="84" t="s">
        <v>802</v>
      </c>
      <c r="H11" s="85" t="s">
        <v>924</v>
      </c>
      <c r="I11" s="85" t="s">
        <v>19</v>
      </c>
      <c r="J11" s="85" t="s">
        <v>943</v>
      </c>
      <c r="K11" s="86" t="s">
        <v>1254</v>
      </c>
      <c r="L11" s="87" t="s">
        <v>1353</v>
      </c>
      <c r="M11" s="96"/>
    </row>
    <row r="12" spans="1:13" ht="15.75" thickTop="1" x14ac:dyDescent="0.25">
      <c r="A12" s="66" t="s">
        <v>1348</v>
      </c>
      <c r="B12" s="77">
        <v>373</v>
      </c>
      <c r="C12" s="73"/>
      <c r="D12" s="70"/>
      <c r="E12" s="92">
        <v>44698</v>
      </c>
      <c r="G12" s="84" t="s">
        <v>819</v>
      </c>
      <c r="H12" s="85" t="s">
        <v>818</v>
      </c>
      <c r="I12" s="85" t="s">
        <v>113</v>
      </c>
      <c r="J12" s="85" t="s">
        <v>36</v>
      </c>
      <c r="K12" s="86" t="s">
        <v>1269</v>
      </c>
      <c r="L12" s="87" t="s">
        <v>1353</v>
      </c>
      <c r="M12" s="96"/>
    </row>
    <row r="13" spans="1:13" ht="15.75" thickBot="1" x14ac:dyDescent="0.3">
      <c r="A13" s="67" t="s">
        <v>6</v>
      </c>
      <c r="B13" s="78">
        <v>58</v>
      </c>
      <c r="C13" s="74">
        <v>58</v>
      </c>
      <c r="D13" s="71">
        <f>C13/B12</f>
        <v>0.15549597855227881</v>
      </c>
      <c r="E13" s="93"/>
      <c r="G13" s="88" t="s">
        <v>820</v>
      </c>
      <c r="H13" s="89" t="s">
        <v>821</v>
      </c>
      <c r="I13" s="89" t="s">
        <v>113</v>
      </c>
      <c r="J13" s="89" t="s">
        <v>36</v>
      </c>
      <c r="K13" s="90" t="s">
        <v>1024</v>
      </c>
      <c r="L13" s="91" t="s">
        <v>1353</v>
      </c>
      <c r="M13" s="97"/>
    </row>
    <row r="14" spans="1:13" ht="15.75" thickBot="1" x14ac:dyDescent="0.3">
      <c r="A14" s="67" t="s">
        <v>1350</v>
      </c>
      <c r="B14" s="78">
        <v>7</v>
      </c>
      <c r="C14" s="74">
        <f>B13-B14</f>
        <v>51</v>
      </c>
      <c r="D14" s="71">
        <f>C14/B12</f>
        <v>0.13672922252010725</v>
      </c>
      <c r="E14" s="93"/>
    </row>
    <row r="15" spans="1:13" ht="15.75" thickTop="1" x14ac:dyDescent="0.25">
      <c r="A15" s="67" t="s">
        <v>1349</v>
      </c>
      <c r="B15" s="78">
        <v>3</v>
      </c>
      <c r="C15" s="74">
        <f>C14-B15</f>
        <v>48</v>
      </c>
      <c r="D15" s="71">
        <f>C15/B12</f>
        <v>0.12868632707774799</v>
      </c>
      <c r="E15" s="93"/>
      <c r="G15" s="80" t="s">
        <v>152</v>
      </c>
      <c r="H15" s="81" t="s">
        <v>153</v>
      </c>
      <c r="I15" s="81" t="s">
        <v>24</v>
      </c>
      <c r="J15" s="81" t="s">
        <v>36</v>
      </c>
      <c r="K15" s="82" t="s">
        <v>971</v>
      </c>
      <c r="L15" s="83" t="s">
        <v>1357</v>
      </c>
      <c r="M15" s="95">
        <v>44712</v>
      </c>
    </row>
    <row r="16" spans="1:13" ht="15.75" thickBot="1" x14ac:dyDescent="0.3">
      <c r="A16" s="68" t="s">
        <v>20</v>
      </c>
      <c r="B16" s="79">
        <v>7</v>
      </c>
      <c r="C16" s="75">
        <f>C15-B16</f>
        <v>41</v>
      </c>
      <c r="D16" s="72">
        <f>C16/B12</f>
        <v>0.10991957104557641</v>
      </c>
      <c r="E16" s="94"/>
      <c r="G16" s="84" t="s">
        <v>513</v>
      </c>
      <c r="H16" s="85" t="s">
        <v>514</v>
      </c>
      <c r="I16" s="85" t="s">
        <v>113</v>
      </c>
      <c r="J16" s="85" t="s">
        <v>36</v>
      </c>
      <c r="K16" s="86" t="s">
        <v>1132</v>
      </c>
      <c r="L16" s="87" t="s">
        <v>1358</v>
      </c>
      <c r="M16" s="96"/>
    </row>
    <row r="17" spans="1:13" ht="15.75" thickTop="1" x14ac:dyDescent="0.25">
      <c r="A17" s="66" t="s">
        <v>1348</v>
      </c>
      <c r="B17" s="77">
        <v>373</v>
      </c>
      <c r="C17" s="73"/>
      <c r="D17" s="70"/>
      <c r="E17" s="92">
        <v>44700</v>
      </c>
      <c r="G17" s="84" t="s">
        <v>516</v>
      </c>
      <c r="H17" s="85" t="s">
        <v>514</v>
      </c>
      <c r="I17" s="85" t="s">
        <v>113</v>
      </c>
      <c r="J17" s="85" t="s">
        <v>36</v>
      </c>
      <c r="K17" s="86" t="s">
        <v>1133</v>
      </c>
      <c r="L17" s="87" t="s">
        <v>1359</v>
      </c>
      <c r="M17" s="96"/>
    </row>
    <row r="18" spans="1:13" x14ac:dyDescent="0.25">
      <c r="A18" s="67" t="s">
        <v>6</v>
      </c>
      <c r="B18" s="78">
        <v>68</v>
      </c>
      <c r="C18" s="74">
        <v>68</v>
      </c>
      <c r="D18" s="71">
        <f>C18/B17</f>
        <v>0.18230563002680966</v>
      </c>
      <c r="E18" s="93"/>
      <c r="G18" s="84" t="s">
        <v>545</v>
      </c>
      <c r="H18" s="85" t="s">
        <v>546</v>
      </c>
      <c r="I18" s="85" t="s">
        <v>19</v>
      </c>
      <c r="J18" s="85" t="s">
        <v>943</v>
      </c>
      <c r="K18" s="86" t="s">
        <v>1147</v>
      </c>
      <c r="L18" s="87" t="s">
        <v>1360</v>
      </c>
      <c r="M18" s="96"/>
    </row>
    <row r="19" spans="1:13" x14ac:dyDescent="0.25">
      <c r="A19" s="67" t="s">
        <v>1350</v>
      </c>
      <c r="B19" s="78">
        <v>11</v>
      </c>
      <c r="C19" s="74">
        <f>B18-B19</f>
        <v>57</v>
      </c>
      <c r="D19" s="71">
        <f>C19/B17</f>
        <v>0.15281501340482573</v>
      </c>
      <c r="E19" s="93"/>
      <c r="G19" s="84" t="s">
        <v>554</v>
      </c>
      <c r="H19" s="85" t="s">
        <v>553</v>
      </c>
      <c r="I19" s="85" t="s">
        <v>113</v>
      </c>
      <c r="J19" s="85" t="s">
        <v>36</v>
      </c>
      <c r="K19" s="86" t="s">
        <v>1149</v>
      </c>
      <c r="L19" s="87" t="s">
        <v>1360</v>
      </c>
      <c r="M19" s="96"/>
    </row>
    <row r="20" spans="1:13" x14ac:dyDescent="0.25">
      <c r="A20" s="67" t="s">
        <v>1349</v>
      </c>
      <c r="B20" s="78">
        <v>3</v>
      </c>
      <c r="C20" s="74">
        <f>C19-B20</f>
        <v>54</v>
      </c>
      <c r="D20" s="71">
        <f>C20/B17</f>
        <v>0.1447721179624665</v>
      </c>
      <c r="E20" s="93"/>
      <c r="G20" s="84" t="s">
        <v>519</v>
      </c>
      <c r="H20" s="85" t="s">
        <v>518</v>
      </c>
      <c r="I20" s="85" t="s">
        <v>113</v>
      </c>
      <c r="J20" s="85" t="s">
        <v>36</v>
      </c>
      <c r="K20" s="86" t="s">
        <v>1135</v>
      </c>
      <c r="L20" s="87" t="s">
        <v>1361</v>
      </c>
      <c r="M20" s="96"/>
    </row>
    <row r="21" spans="1:13" ht="15.75" thickBot="1" x14ac:dyDescent="0.3">
      <c r="A21" s="68" t="s">
        <v>20</v>
      </c>
      <c r="B21" s="79">
        <v>7</v>
      </c>
      <c r="C21" s="75">
        <f>C20-B21</f>
        <v>47</v>
      </c>
      <c r="D21" s="72">
        <f>C21/B17</f>
        <v>0.12600536193029491</v>
      </c>
      <c r="E21" s="94"/>
      <c r="G21" s="84" t="s">
        <v>779</v>
      </c>
      <c r="H21" s="85" t="s">
        <v>780</v>
      </c>
      <c r="I21" s="85" t="s">
        <v>19</v>
      </c>
      <c r="J21" s="85" t="s">
        <v>943</v>
      </c>
      <c r="K21" s="86" t="s">
        <v>1263</v>
      </c>
      <c r="L21" s="87" t="s">
        <v>1362</v>
      </c>
      <c r="M21" s="96"/>
    </row>
    <row r="22" spans="1:13" ht="15.75" thickTop="1" x14ac:dyDescent="0.25">
      <c r="A22" s="66" t="s">
        <v>1348</v>
      </c>
      <c r="B22" s="77">
        <v>373</v>
      </c>
      <c r="C22" s="73"/>
      <c r="D22" s="70"/>
      <c r="E22" s="92">
        <v>44712</v>
      </c>
      <c r="G22" s="84"/>
      <c r="H22" s="85"/>
      <c r="I22" s="85"/>
      <c r="J22" s="85"/>
      <c r="K22" s="86"/>
      <c r="L22" s="87"/>
      <c r="M22" s="96"/>
    </row>
    <row r="23" spans="1:13" x14ac:dyDescent="0.25">
      <c r="A23" s="67" t="s">
        <v>6</v>
      </c>
      <c r="B23" s="78">
        <v>55</v>
      </c>
      <c r="C23" s="74">
        <v>55</v>
      </c>
      <c r="D23" s="71">
        <f>C23/B22</f>
        <v>0.14745308310991956</v>
      </c>
      <c r="E23" s="93"/>
      <c r="G23" s="84"/>
      <c r="H23" s="85"/>
      <c r="I23" s="85"/>
      <c r="J23" s="85"/>
      <c r="K23" s="86"/>
      <c r="L23" s="87"/>
      <c r="M23" s="96"/>
    </row>
    <row r="24" spans="1:13" x14ac:dyDescent="0.25">
      <c r="A24" s="67" t="s">
        <v>1350</v>
      </c>
      <c r="B24" s="78">
        <v>7</v>
      </c>
      <c r="C24" s="74">
        <f>B23-B24</f>
        <v>48</v>
      </c>
      <c r="D24" s="71">
        <f>C24/B22</f>
        <v>0.12868632707774799</v>
      </c>
      <c r="E24" s="93"/>
      <c r="G24" s="84"/>
      <c r="H24" s="85"/>
      <c r="I24" s="85"/>
      <c r="J24" s="85"/>
      <c r="K24" s="86"/>
      <c r="L24" s="87"/>
      <c r="M24" s="96"/>
    </row>
    <row r="25" spans="1:13" ht="15.75" thickBot="1" x14ac:dyDescent="0.3">
      <c r="A25" s="67" t="s">
        <v>1349</v>
      </c>
      <c r="B25" s="78">
        <v>3</v>
      </c>
      <c r="C25" s="74">
        <f>C24-B25</f>
        <v>45</v>
      </c>
      <c r="D25" s="71">
        <f>C25/B22</f>
        <v>0.12064343163538874</v>
      </c>
      <c r="E25" s="93"/>
      <c r="G25" s="88"/>
      <c r="H25" s="89"/>
      <c r="I25" s="89"/>
      <c r="J25" s="89"/>
      <c r="K25" s="90"/>
      <c r="L25" s="91"/>
      <c r="M25" s="97"/>
    </row>
    <row r="26" spans="1:13" ht="15.75" thickBot="1" x14ac:dyDescent="0.3">
      <c r="A26" s="68" t="s">
        <v>20</v>
      </c>
      <c r="B26" s="79">
        <v>5</v>
      </c>
      <c r="C26" s="75">
        <f>C25-B26</f>
        <v>40</v>
      </c>
      <c r="D26" s="72">
        <f>C26/B22</f>
        <v>0.10723860589812333</v>
      </c>
      <c r="E26" s="94"/>
    </row>
    <row r="27" spans="1:13" ht="15.75" thickTop="1" x14ac:dyDescent="0.25"/>
  </sheetData>
  <mergeCells count="7">
    <mergeCell ref="E22:E26"/>
    <mergeCell ref="M3:M13"/>
    <mergeCell ref="E2:E6"/>
    <mergeCell ref="E7:E11"/>
    <mergeCell ref="E12:E16"/>
    <mergeCell ref="E17:E21"/>
    <mergeCell ref="M15:M25"/>
  </mergeCells>
  <conditionalFormatting sqref="I3:L6 L7 I8:L8 L9 I10:L13">
    <cfRule type="containsText" dxfId="53" priority="78" operator="containsText" text="Radio">
      <formula>NOT(ISERROR(SEARCH("Radio",I3)))</formula>
    </cfRule>
  </conditionalFormatting>
  <conditionalFormatting sqref="I6 I8">
    <cfRule type="containsText" dxfId="52" priority="76" operator="containsText" text="fija">
      <formula>NOT(ISERROR(SEARCH("fija",I6)))</formula>
    </cfRule>
    <cfRule type="containsText" dxfId="51" priority="77" operator="containsText" text="domo">
      <formula>NOT(ISERROR(SEARCH("domo",I6)))</formula>
    </cfRule>
  </conditionalFormatting>
  <conditionalFormatting sqref="J6 J8">
    <cfRule type="cellIs" dxfId="50" priority="75" operator="equal">
      <formula>"PTP A FO"</formula>
    </cfRule>
  </conditionalFormatting>
  <conditionalFormatting sqref="I3">
    <cfRule type="containsText" dxfId="49" priority="73" operator="containsText" text="fija">
      <formula>NOT(ISERROR(SEARCH("fija",I3)))</formula>
    </cfRule>
    <cfRule type="containsText" dxfId="48" priority="74" operator="containsText" text="domo">
      <formula>NOT(ISERROR(SEARCH("domo",I3)))</formula>
    </cfRule>
  </conditionalFormatting>
  <conditionalFormatting sqref="J3">
    <cfRule type="cellIs" dxfId="47" priority="72" operator="equal">
      <formula>"PTP A FO"</formula>
    </cfRule>
  </conditionalFormatting>
  <conditionalFormatting sqref="I4:I5">
    <cfRule type="containsText" dxfId="46" priority="70" operator="containsText" text="fija">
      <formula>NOT(ISERROR(SEARCH("fija",I4)))</formula>
    </cfRule>
    <cfRule type="containsText" dxfId="45" priority="71" operator="containsText" text="domo">
      <formula>NOT(ISERROR(SEARCH("domo",I4)))</formula>
    </cfRule>
  </conditionalFormatting>
  <conditionalFormatting sqref="J4:J5">
    <cfRule type="cellIs" dxfId="44" priority="69" operator="equal">
      <formula>"PTP A FO"</formula>
    </cfRule>
  </conditionalFormatting>
  <conditionalFormatting sqref="I7:K7">
    <cfRule type="containsText" dxfId="43" priority="68" operator="containsText" text="Radio">
      <formula>NOT(ISERROR(SEARCH("Radio",I7)))</formula>
    </cfRule>
  </conditionalFormatting>
  <conditionalFormatting sqref="I7">
    <cfRule type="containsText" dxfId="42" priority="66" operator="containsText" text="fija">
      <formula>NOT(ISERROR(SEARCH("fija",I7)))</formula>
    </cfRule>
    <cfRule type="containsText" dxfId="41" priority="67" operator="containsText" text="domo">
      <formula>NOT(ISERROR(SEARCH("domo",I7)))</formula>
    </cfRule>
  </conditionalFormatting>
  <conditionalFormatting sqref="J7">
    <cfRule type="cellIs" dxfId="40" priority="65" operator="equal">
      <formula>"PTP A FO"</formula>
    </cfRule>
  </conditionalFormatting>
  <conditionalFormatting sqref="I9:K9">
    <cfRule type="containsText" dxfId="39" priority="64" operator="containsText" text="Radio">
      <formula>NOT(ISERROR(SEARCH("Radio",I9)))</formula>
    </cfRule>
  </conditionalFormatting>
  <conditionalFormatting sqref="I9">
    <cfRule type="containsText" dxfId="38" priority="62" operator="containsText" text="fija">
      <formula>NOT(ISERROR(SEARCH("fija",I9)))</formula>
    </cfRule>
    <cfRule type="containsText" dxfId="37" priority="63" operator="containsText" text="domo">
      <formula>NOT(ISERROR(SEARCH("domo",I9)))</formula>
    </cfRule>
  </conditionalFormatting>
  <conditionalFormatting sqref="J9">
    <cfRule type="cellIs" dxfId="36" priority="61" operator="equal">
      <formula>"PTP A FO"</formula>
    </cfRule>
  </conditionalFormatting>
  <conditionalFormatting sqref="I10">
    <cfRule type="containsText" dxfId="35" priority="59" operator="containsText" text="fija">
      <formula>NOT(ISERROR(SEARCH("fija",I10)))</formula>
    </cfRule>
    <cfRule type="containsText" dxfId="34" priority="60" operator="containsText" text="domo">
      <formula>NOT(ISERROR(SEARCH("domo",I10)))</formula>
    </cfRule>
  </conditionalFormatting>
  <conditionalFormatting sqref="J10">
    <cfRule type="cellIs" dxfId="33" priority="58" operator="equal">
      <formula>"PTP A FO"</formula>
    </cfRule>
  </conditionalFormatting>
  <conditionalFormatting sqref="I11">
    <cfRule type="containsText" dxfId="32" priority="56" operator="containsText" text="fija">
      <formula>NOT(ISERROR(SEARCH("fija",I11)))</formula>
    </cfRule>
    <cfRule type="containsText" dxfId="31" priority="57" operator="containsText" text="domo">
      <formula>NOT(ISERROR(SEARCH("domo",I11)))</formula>
    </cfRule>
  </conditionalFormatting>
  <conditionalFormatting sqref="J11">
    <cfRule type="cellIs" dxfId="30" priority="55" operator="equal">
      <formula>"PTP A FO"</formula>
    </cfRule>
  </conditionalFormatting>
  <conditionalFormatting sqref="I12:I13">
    <cfRule type="containsText" dxfId="29" priority="53" operator="containsText" text="fija">
      <formula>NOT(ISERROR(SEARCH("fija",I12)))</formula>
    </cfRule>
    <cfRule type="containsText" dxfId="28" priority="54" operator="containsText" text="domo">
      <formula>NOT(ISERROR(SEARCH("domo",I12)))</formula>
    </cfRule>
  </conditionalFormatting>
  <conditionalFormatting sqref="J12:J13">
    <cfRule type="cellIs" dxfId="27" priority="52" operator="equal">
      <formula>"PTP A FO"</formula>
    </cfRule>
  </conditionalFormatting>
  <conditionalFormatting sqref="I15:L18 L19 I20:L20 L21 I22:L25">
    <cfRule type="containsText" dxfId="26" priority="27" operator="containsText" text="Radio">
      <formula>NOT(ISERROR(SEARCH("Radio",I15)))</formula>
    </cfRule>
  </conditionalFormatting>
  <conditionalFormatting sqref="I18 I20">
    <cfRule type="containsText" dxfId="25" priority="25" operator="containsText" text="fija">
      <formula>NOT(ISERROR(SEARCH("fija",I18)))</formula>
    </cfRule>
    <cfRule type="containsText" dxfId="24" priority="26" operator="containsText" text="domo">
      <formula>NOT(ISERROR(SEARCH("domo",I18)))</formula>
    </cfRule>
  </conditionalFormatting>
  <conditionalFormatting sqref="J18 J20">
    <cfRule type="cellIs" dxfId="23" priority="24" operator="equal">
      <formula>"PTP A FO"</formula>
    </cfRule>
  </conditionalFormatting>
  <conditionalFormatting sqref="I15">
    <cfRule type="containsText" dxfId="22" priority="22" operator="containsText" text="fija">
      <formula>NOT(ISERROR(SEARCH("fija",I15)))</formula>
    </cfRule>
    <cfRule type="containsText" dxfId="21" priority="23" operator="containsText" text="domo">
      <formula>NOT(ISERROR(SEARCH("domo",I15)))</formula>
    </cfRule>
  </conditionalFormatting>
  <conditionalFormatting sqref="J15">
    <cfRule type="cellIs" dxfId="20" priority="21" operator="equal">
      <formula>"PTP A FO"</formula>
    </cfRule>
  </conditionalFormatting>
  <conditionalFormatting sqref="I16:I17">
    <cfRule type="containsText" dxfId="19" priority="19" operator="containsText" text="fija">
      <formula>NOT(ISERROR(SEARCH("fija",I16)))</formula>
    </cfRule>
    <cfRule type="containsText" dxfId="18" priority="20" operator="containsText" text="domo">
      <formula>NOT(ISERROR(SEARCH("domo",I16)))</formula>
    </cfRule>
  </conditionalFormatting>
  <conditionalFormatting sqref="J16:J17">
    <cfRule type="cellIs" dxfId="17" priority="18" operator="equal">
      <formula>"PTP A FO"</formula>
    </cfRule>
  </conditionalFormatting>
  <conditionalFormatting sqref="I19:K19">
    <cfRule type="containsText" dxfId="16" priority="17" operator="containsText" text="Radio">
      <formula>NOT(ISERROR(SEARCH("Radio",I19)))</formula>
    </cfRule>
  </conditionalFormatting>
  <conditionalFormatting sqref="I19">
    <cfRule type="containsText" dxfId="15" priority="15" operator="containsText" text="fija">
      <formula>NOT(ISERROR(SEARCH("fija",I19)))</formula>
    </cfRule>
    <cfRule type="containsText" dxfId="14" priority="16" operator="containsText" text="domo">
      <formula>NOT(ISERROR(SEARCH("domo",I19)))</formula>
    </cfRule>
  </conditionalFormatting>
  <conditionalFormatting sqref="J19">
    <cfRule type="cellIs" dxfId="13" priority="14" operator="equal">
      <formula>"PTP A FO"</formula>
    </cfRule>
  </conditionalFormatting>
  <conditionalFormatting sqref="I21:K21">
    <cfRule type="containsText" dxfId="12" priority="13" operator="containsText" text="Radio">
      <formula>NOT(ISERROR(SEARCH("Radio",I21)))</formula>
    </cfRule>
  </conditionalFormatting>
  <conditionalFormatting sqref="I21">
    <cfRule type="containsText" dxfId="11" priority="11" operator="containsText" text="fija">
      <formula>NOT(ISERROR(SEARCH("fija",I21)))</formula>
    </cfRule>
    <cfRule type="containsText" dxfId="10" priority="12" operator="containsText" text="domo">
      <formula>NOT(ISERROR(SEARCH("domo",I21)))</formula>
    </cfRule>
  </conditionalFormatting>
  <conditionalFormatting sqref="J21">
    <cfRule type="cellIs" dxfId="9" priority="10" operator="equal">
      <formula>"PTP A FO"</formula>
    </cfRule>
  </conditionalFormatting>
  <conditionalFormatting sqref="I22">
    <cfRule type="containsText" dxfId="8" priority="8" operator="containsText" text="fija">
      <formula>NOT(ISERROR(SEARCH("fija",I22)))</formula>
    </cfRule>
    <cfRule type="containsText" dxfId="7" priority="9" operator="containsText" text="domo">
      <formula>NOT(ISERROR(SEARCH("domo",I22)))</formula>
    </cfRule>
  </conditionalFormatting>
  <conditionalFormatting sqref="J22">
    <cfRule type="cellIs" dxfId="6" priority="7" operator="equal">
      <formula>"PTP A FO"</formula>
    </cfRule>
  </conditionalFormatting>
  <conditionalFormatting sqref="I23">
    <cfRule type="containsText" dxfId="5" priority="5" operator="containsText" text="fija">
      <formula>NOT(ISERROR(SEARCH("fija",I23)))</formula>
    </cfRule>
    <cfRule type="containsText" dxfId="4" priority="6" operator="containsText" text="domo">
      <formula>NOT(ISERROR(SEARCH("domo",I23)))</formula>
    </cfRule>
  </conditionalFormatting>
  <conditionalFormatting sqref="J23">
    <cfRule type="cellIs" dxfId="3" priority="4" operator="equal">
      <formula>"PTP A FO"</formula>
    </cfRule>
  </conditionalFormatting>
  <conditionalFormatting sqref="I24:I25">
    <cfRule type="containsText" dxfId="2" priority="2" operator="containsText" text="fija">
      <formula>NOT(ISERROR(SEARCH("fija",I24)))</formula>
    </cfRule>
    <cfRule type="containsText" dxfId="1" priority="3" operator="containsText" text="domo">
      <formula>NOT(ISERROR(SEARCH("domo",I24)))</formula>
    </cfRule>
  </conditionalFormatting>
  <conditionalFormatting sqref="J24:J25">
    <cfRule type="cellIs" dxfId="0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PORCENTAJE</vt:lpstr>
      <vt:lpstr>AUXILIAR</vt:lpstr>
      <vt:lpstr>informe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2022-06-01T11:51:06Z</dcterms:modified>
</cp:coreProperties>
</file>