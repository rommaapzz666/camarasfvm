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C585D601-0586-4A8C-AAEB-2E1FD2333410}" xr6:coauthVersionLast="47" xr6:coauthVersionMax="47" xr10:uidLastSave="{00000000-0000-0000-0000-000000000000}"/>
  <bookViews>
    <workbookView xWindow="-108" yWindow="-108" windowWidth="23256" windowHeight="13176" firstSheet="5" activeTab="1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M3" i="25"/>
  <c r="M5" i="25"/>
  <c r="K3" i="25"/>
  <c r="K5" i="25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5" i="14" l="1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AJ2" i="2"/>
  <c r="AA2" i="2"/>
  <c r="O2" i="2"/>
  <c r="O1" i="2" s="1"/>
  <c r="AI2" i="2"/>
  <c r="AI1" i="2" s="1"/>
  <c r="Z2" i="2"/>
  <c r="Z1" i="2" s="1"/>
  <c r="N2" i="2"/>
  <c r="AH2" i="2"/>
  <c r="AH1" i="2" s="1"/>
  <c r="Y2" i="2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AM2" i="2"/>
  <c r="AE2" i="2"/>
  <c r="AE1" i="2" s="1"/>
  <c r="V2" i="2"/>
  <c r="V1" i="2" s="1"/>
  <c r="R2" i="2"/>
  <c r="R1" i="2" s="1"/>
  <c r="AL2" i="2"/>
  <c r="AL1" i="2" s="1"/>
  <c r="AD2" i="2"/>
  <c r="U2" i="2"/>
  <c r="Q2" i="2"/>
  <c r="AK2" i="2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Q1" i="2"/>
  <c r="J409" i="2"/>
  <c r="J425" i="2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AM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P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AJ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10" i="24" l="1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2" i="21" l="1"/>
  <c r="D5" i="14" s="1"/>
  <c r="H2" i="21"/>
  <c r="D4" i="14" s="1"/>
  <c r="G2" i="21"/>
  <c r="D3" i="14" s="1"/>
  <c r="AA2" i="21"/>
  <c r="O2" i="21"/>
  <c r="AI2" i="21"/>
  <c r="AH2" i="21"/>
  <c r="AC2" i="21"/>
  <c r="U2" i="21"/>
  <c r="M2" i="21"/>
  <c r="S2" i="21"/>
  <c r="T2" i="21"/>
  <c r="L2" i="21"/>
  <c r="Z2" i="21"/>
  <c r="R2" i="21"/>
  <c r="J2" i="21"/>
  <c r="Y2" i="21"/>
  <c r="Q2" i="21"/>
  <c r="K2" i="21"/>
  <c r="P2" i="21"/>
  <c r="W2" i="21"/>
  <c r="AD2" i="21"/>
  <c r="V2" i="21"/>
  <c r="N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H1" i="9" l="1"/>
  <c r="AG2" i="21"/>
  <c r="AF2" i="21"/>
  <c r="AE2" i="21"/>
  <c r="AE2" i="10"/>
  <c r="AE2" i="11"/>
  <c r="AF2" i="11"/>
  <c r="AG2" i="11"/>
  <c r="AA2" i="10"/>
  <c r="AA2" i="11"/>
  <c r="AH2" i="11"/>
  <c r="P2" i="11"/>
  <c r="O2" i="11"/>
  <c r="K2" i="11"/>
  <c r="G2" i="11"/>
  <c r="B3" i="14" s="1"/>
  <c r="E3" i="14" s="1"/>
  <c r="G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AI2" i="10"/>
  <c r="AH2" i="10"/>
  <c r="P1" i="9"/>
  <c r="Z1" i="9"/>
  <c r="I1" i="9"/>
  <c r="J2" i="10"/>
  <c r="AA1" i="9"/>
  <c r="U2" i="10"/>
  <c r="W2" i="10"/>
  <c r="AG1" i="9"/>
  <c r="P2" i="10"/>
  <c r="U1" i="9"/>
  <c r="V1" i="9"/>
  <c r="G1" i="9"/>
  <c r="R1" i="9"/>
  <c r="K1" i="9"/>
  <c r="Q2" i="10"/>
  <c r="D1" i="10"/>
  <c r="V2" i="10"/>
  <c r="Q1" i="9"/>
  <c r="R2" i="10"/>
  <c r="K2" i="10"/>
  <c r="L2" i="10"/>
  <c r="AC2" i="10"/>
  <c r="F1" i="9"/>
  <c r="L1" i="9"/>
  <c r="D1" i="11"/>
  <c r="AC1" i="9"/>
  <c r="C2" i="14"/>
  <c r="AD1" i="9"/>
  <c r="O1" i="9"/>
  <c r="Y2" i="10"/>
  <c r="S1" i="9"/>
  <c r="M2" i="10"/>
  <c r="AD2" i="10"/>
  <c r="O2" i="10"/>
  <c r="Y1" i="9"/>
  <c r="Z2" i="10"/>
  <c r="S2" i="10"/>
  <c r="T2" i="10"/>
  <c r="M1" i="9"/>
  <c r="N1" i="9"/>
  <c r="AE1" i="9"/>
  <c r="J1" i="9"/>
  <c r="T1" i="9"/>
  <c r="N2" i="10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2" i="21"/>
  <c r="X385" i="21"/>
  <c r="X1" i="9"/>
  <c r="X384" i="9"/>
  <c r="X2" i="10"/>
  <c r="X385" i="10"/>
  <c r="J386" i="2"/>
  <c r="H386" i="2"/>
  <c r="I386" i="2"/>
  <c r="X5" i="25"/>
  <c r="X6" i="25"/>
  <c r="AC1" i="2"/>
  <c r="AC3" i="2"/>
  <c r="AC2" i="2"/>
  <c r="AC386" i="2"/>
  <c r="X383" i="8"/>
  <c r="X38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<sst xmlns="http://schemas.openxmlformats.org/spreadsheetml/2006/main" count="3244" uniqueCount="1294">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</sst>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zoomScale="80" zoomScaleNormal="80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F2" sqref="F2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430</v>
      </c>
      <c r="P2" s="127">
        <f t="shared" si="1"/>
        <v>430</v>
      </c>
      <c r="Q2" s="127">
        <f t="shared" si="1"/>
        <v>430</v>
      </c>
      <c r="R2" s="127">
        <f t="shared" si="1"/>
        <v>430</v>
      </c>
      <c r="S2" s="127">
        <f t="shared" si="1"/>
        <v>430</v>
      </c>
      <c r="T2" s="127">
        <f t="shared" si="1"/>
        <v>430</v>
      </c>
      <c r="U2" s="127">
        <f t="shared" si="1"/>
        <v>430</v>
      </c>
      <c r="V2" s="127">
        <f t="shared" si="1"/>
        <v>430</v>
      </c>
      <c r="W2" s="127">
        <f t="shared" si="1"/>
        <v>430</v>
      </c>
      <c r="X2" s="127">
        <f t="shared" si="1"/>
        <v>430</v>
      </c>
      <c r="Y2" s="127">
        <f t="shared" si="1"/>
        <v>430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30</v>
      </c>
      <c r="I15" s="42">
        <f t="shared" si="3"/>
        <v>0</v>
      </c>
      <c r="J15" s="43">
        <f t="shared" si="4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27</v>
      </c>
      <c r="I16" s="42">
        <f t="shared" si="3"/>
        <v>3</v>
      </c>
      <c r="J16" s="43">
        <f t="shared" si="4"/>
        <v>0.9</v>
      </c>
      <c r="K16" s="20" t="s">
        <v>1274</v>
      </c>
      <c r="L16" s="20" t="s">
        <v>1274</v>
      </c>
      <c r="M16" s="20" t="s">
        <v>1274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30</v>
      </c>
      <c r="I17" s="42">
        <f>COUNTIF(K17:AL17,"APAGADO")</f>
        <v>0</v>
      </c>
      <c r="J17" s="43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30</v>
      </c>
      <c r="I18" s="42">
        <f>COUNTIF(K18:AL18,"APAGADO")</f>
        <v>0</v>
      </c>
      <c r="J18" s="43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30</v>
      </c>
      <c r="I19" s="42">
        <f t="shared" ref="I19:I22" si="7">COUNTIF(K19:AL19,"APAGADO")</f>
        <v>0</v>
      </c>
      <c r="J19" s="43">
        <f t="shared" ref="J19:J22" si="8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26</v>
      </c>
      <c r="I34" s="42">
        <f>COUNTIF(K34:AL34,"APAGADO")</f>
        <v>4</v>
      </c>
      <c r="J34" s="43">
        <f>(H34)/(I34+H34)</f>
        <v>0.8666666666666667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28</v>
      </c>
      <c r="I38" s="42">
        <f t="shared" si="3"/>
        <v>2</v>
      </c>
      <c r="J38" s="43">
        <f t="shared" si="4"/>
        <v>0.93333333333333335</v>
      </c>
      <c r="K38" s="20"/>
      <c r="L38" s="20"/>
      <c r="M38" s="20" t="s">
        <v>1274</v>
      </c>
      <c r="N38" s="20" t="s">
        <v>1274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26</v>
      </c>
      <c r="I40" s="42">
        <f t="shared" si="3"/>
        <v>4</v>
      </c>
      <c r="J40" s="43">
        <f t="shared" si="4"/>
        <v>0.8666666666666667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30</v>
      </c>
      <c r="I43" s="42">
        <f t="shared" si="3"/>
        <v>0</v>
      </c>
      <c r="J43" s="43">
        <f t="shared" si="4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30</v>
      </c>
      <c r="I47" s="42">
        <f t="shared" si="3"/>
        <v>0</v>
      </c>
      <c r="J47" s="43">
        <f t="shared" si="4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26</v>
      </c>
      <c r="I48" s="42">
        <f t="shared" si="3"/>
        <v>4</v>
      </c>
      <c r="J48" s="43">
        <f t="shared" si="4"/>
        <v>0.8666666666666667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26</v>
      </c>
      <c r="I49" s="42">
        <f t="shared" si="3"/>
        <v>4</v>
      </c>
      <c r="J49" s="43">
        <f t="shared" si="4"/>
        <v>0.8666666666666667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26</v>
      </c>
      <c r="I51" s="42">
        <f t="shared" si="3"/>
        <v>4</v>
      </c>
      <c r="J51" s="43">
        <f t="shared" si="4"/>
        <v>0.8666666666666667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30</v>
      </c>
      <c r="I52" s="42">
        <f t="shared" si="3"/>
        <v>0</v>
      </c>
      <c r="J52" s="43">
        <f t="shared" si="4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26</v>
      </c>
      <c r="I54" s="42">
        <f t="shared" si="3"/>
        <v>4</v>
      </c>
      <c r="J54" s="43">
        <f t="shared" si="4"/>
        <v>0.8666666666666667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26</v>
      </c>
      <c r="I56" s="42">
        <f t="shared" si="3"/>
        <v>4</v>
      </c>
      <c r="J56" s="43">
        <f t="shared" si="4"/>
        <v>0.8666666666666667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30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27</v>
      </c>
      <c r="I69" s="42">
        <f t="shared" si="3"/>
        <v>3</v>
      </c>
      <c r="J69" s="43">
        <f t="shared" si="4"/>
        <v>0.9</v>
      </c>
      <c r="K69" s="20" t="s">
        <v>1274</v>
      </c>
      <c r="L69" s="20" t="s">
        <v>1274</v>
      </c>
      <c r="M69" s="20"/>
      <c r="N69" s="20" t="s">
        <v>1274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30</v>
      </c>
      <c r="I72" s="42">
        <f>COUNTIF(K72:AL72,"APAGADO")</f>
        <v>0</v>
      </c>
      <c r="J72" s="43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26</v>
      </c>
      <c r="I75" s="42">
        <f t="shared" si="3"/>
        <v>4</v>
      </c>
      <c r="J75" s="43">
        <f t="shared" si="4"/>
        <v>0.8666666666666667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29</v>
      </c>
      <c r="I77" s="42">
        <f t="shared" ref="I77:I140" si="10">COUNTIF(K77:AL77,"APAGADO")</f>
        <v>1</v>
      </c>
      <c r="J77" s="43">
        <f t="shared" ref="J77:J140" si="11">(H77)/(I77+H77)</f>
        <v>0.96666666666666667</v>
      </c>
      <c r="K77" s="20" t="s">
        <v>1274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30</v>
      </c>
      <c r="I85" s="42">
        <f t="shared" si="10"/>
        <v>0</v>
      </c>
      <c r="J85" s="43">
        <f t="shared" si="11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30</v>
      </c>
      <c r="I86" s="42">
        <f t="shared" si="10"/>
        <v>0</v>
      </c>
      <c r="J86" s="43">
        <f t="shared" si="11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28</v>
      </c>
      <c r="I87" s="42">
        <f>COUNTIF(K87:AL87,"APAGADO")</f>
        <v>2</v>
      </c>
      <c r="J87" s="43">
        <f>(H87)/(I87+H87)</f>
        <v>0.93333333333333335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28</v>
      </c>
      <c r="I88" s="42">
        <f t="shared" si="10"/>
        <v>2</v>
      </c>
      <c r="J88" s="43">
        <f t="shared" si="11"/>
        <v>0.93333333333333335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30</v>
      </c>
      <c r="I89" s="42">
        <f t="shared" si="10"/>
        <v>0</v>
      </c>
      <c r="J89" s="43">
        <f t="shared" si="11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26</v>
      </c>
      <c r="I94" s="42">
        <f>COUNTIF(K94:AL94,"APAGADO")</f>
        <v>4</v>
      </c>
      <c r="J94" s="43">
        <f>(H94)/(I94+H94)</f>
        <v>0.8666666666666667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30</v>
      </c>
      <c r="I95" s="42">
        <f t="shared" si="10"/>
        <v>0</v>
      </c>
      <c r="J95" s="43">
        <f t="shared" si="11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26</v>
      </c>
      <c r="I98" s="42">
        <f>COUNTIF(K98:AL98,"APAGADO")</f>
        <v>4</v>
      </c>
      <c r="J98" s="43">
        <f>(H98)/(I98+H98)</f>
        <v>0.8666666666666667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26</v>
      </c>
      <c r="I101" s="42">
        <f t="shared" si="10"/>
        <v>4</v>
      </c>
      <c r="J101" s="43">
        <f t="shared" si="11"/>
        <v>0.8666666666666667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26</v>
      </c>
      <c r="I102" s="42">
        <f t="shared" si="10"/>
        <v>4</v>
      </c>
      <c r="J102" s="43">
        <f t="shared" si="11"/>
        <v>0.8666666666666667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30</v>
      </c>
      <c r="I103" s="42">
        <f t="shared" si="10"/>
        <v>0</v>
      </c>
      <c r="J103" s="43">
        <f t="shared" si="11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30</v>
      </c>
      <c r="I108" s="42">
        <f t="shared" si="10"/>
        <v>0</v>
      </c>
      <c r="J108" s="43">
        <f t="shared" si="11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30</v>
      </c>
      <c r="I114" s="42">
        <f t="shared" si="10"/>
        <v>0</v>
      </c>
      <c r="J114" s="43">
        <f t="shared" si="11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30</v>
      </c>
      <c r="I115" s="42">
        <f t="shared" si="10"/>
        <v>0</v>
      </c>
      <c r="J115" s="43">
        <f t="shared" si="11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2" customHeight="1" thickBot="1" x14ac:dyDescent="0.35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" thickBot="1" x14ac:dyDescent="0.35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30</v>
      </c>
      <c r="I122" s="42">
        <f t="shared" si="10"/>
        <v>0</v>
      </c>
      <c r="J122" s="43">
        <f t="shared" si="11"/>
        <v>1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30</v>
      </c>
      <c r="I124" s="42">
        <f t="shared" si="10"/>
        <v>0</v>
      </c>
      <c r="J124" s="43">
        <f t="shared" si="11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28</v>
      </c>
      <c r="I125" s="42">
        <f t="shared" si="10"/>
        <v>2</v>
      </c>
      <c r="J125" s="43">
        <f t="shared" si="11"/>
        <v>0.93333333333333335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30</v>
      </c>
      <c r="I129" s="42">
        <f>COUNTIF(K129:AL129,"APAGADO")</f>
        <v>0</v>
      </c>
      <c r="J129" s="43">
        <f>(H129)/(I129+H129)</f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30</v>
      </c>
      <c r="I139" s="42">
        <f t="shared" si="10"/>
        <v>0</v>
      </c>
      <c r="J139" s="43">
        <f t="shared" si="11"/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30</v>
      </c>
      <c r="I141" s="42">
        <f t="shared" ref="I141:I234" si="12">COUNTIF(K141:AL141,"APAGADO")</f>
        <v>0</v>
      </c>
      <c r="J141" s="43">
        <f t="shared" ref="J141:J234" si="13">(H141)/(I141+H141)</f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30</v>
      </c>
      <c r="I158" s="42">
        <f t="shared" si="12"/>
        <v>0</v>
      </c>
      <c r="J158" s="43">
        <f t="shared" si="13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30</v>
      </c>
      <c r="I159" s="42">
        <f t="shared" si="12"/>
        <v>0</v>
      </c>
      <c r="J159" s="43">
        <f t="shared" si="13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30</v>
      </c>
      <c r="I160" s="42">
        <f t="shared" si="12"/>
        <v>0</v>
      </c>
      <c r="J160" s="43">
        <f t="shared" si="13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26</v>
      </c>
      <c r="I165" s="42">
        <f t="shared" si="12"/>
        <v>4</v>
      </c>
      <c r="J165" s="43">
        <f t="shared" si="13"/>
        <v>0.8666666666666667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26</v>
      </c>
      <c r="I166" s="42">
        <f t="shared" si="12"/>
        <v>4</v>
      </c>
      <c r="J166" s="43">
        <f t="shared" si="13"/>
        <v>0.8666666666666667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26</v>
      </c>
      <c r="I175" s="42">
        <f t="shared" si="12"/>
        <v>4</v>
      </c>
      <c r="J175" s="43">
        <f t="shared" si="13"/>
        <v>0.8666666666666667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26</v>
      </c>
      <c r="I177" s="42">
        <f t="shared" si="12"/>
        <v>4</v>
      </c>
      <c r="J177" s="43">
        <f t="shared" si="13"/>
        <v>0.8666666666666667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30</v>
      </c>
      <c r="I178" s="42">
        <f t="shared" si="12"/>
        <v>0</v>
      </c>
      <c r="J178" s="43">
        <f t="shared" si="13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26</v>
      </c>
      <c r="I182" s="42">
        <f t="shared" si="12"/>
        <v>4</v>
      </c>
      <c r="J182" s="43">
        <f t="shared" si="13"/>
        <v>0.8666666666666667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30</v>
      </c>
      <c r="I184" s="42">
        <f t="shared" si="12"/>
        <v>0</v>
      </c>
      <c r="J184" s="43">
        <f t="shared" si="13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26</v>
      </c>
      <c r="I185" s="42">
        <f t="shared" si="12"/>
        <v>4</v>
      </c>
      <c r="J185" s="43">
        <f t="shared" si="13"/>
        <v>0.8666666666666667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26</v>
      </c>
      <c r="I187" s="42">
        <f t="shared" si="12"/>
        <v>4</v>
      </c>
      <c r="J187" s="43">
        <f t="shared" si="13"/>
        <v>0.8666666666666667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30</v>
      </c>
      <c r="I193" s="42">
        <f t="shared" si="12"/>
        <v>0</v>
      </c>
      <c r="J193" s="43">
        <f t="shared" si="13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30</v>
      </c>
      <c r="I194" s="42">
        <f t="shared" si="12"/>
        <v>0</v>
      </c>
      <c r="J194" s="43">
        <f t="shared" si="13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30</v>
      </c>
      <c r="I197" s="42">
        <f t="shared" si="12"/>
        <v>0</v>
      </c>
      <c r="J197" s="43">
        <f t="shared" si="13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26</v>
      </c>
      <c r="I198" s="42">
        <f>COUNTIF(K198:AL198,"APAGADO")</f>
        <v>4</v>
      </c>
      <c r="J198" s="43">
        <f>(H198)/(I198+H198)</f>
        <v>0.8666666666666667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30</v>
      </c>
      <c r="I200" s="42">
        <f t="shared" si="12"/>
        <v>0</v>
      </c>
      <c r="J200" s="43">
        <f t="shared" si="13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30</v>
      </c>
      <c r="I201" s="42">
        <f t="shared" si="12"/>
        <v>0</v>
      </c>
      <c r="J201" s="43">
        <f t="shared" si="13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30</v>
      </c>
      <c r="I202" s="42">
        <f t="shared" si="12"/>
        <v>0</v>
      </c>
      <c r="J202" s="43">
        <f t="shared" si="13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30</v>
      </c>
      <c r="I203" s="42">
        <f t="shared" si="12"/>
        <v>0</v>
      </c>
      <c r="J203" s="43">
        <f t="shared" si="13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30</v>
      </c>
      <c r="I204" s="42">
        <f t="shared" si="12"/>
        <v>0</v>
      </c>
      <c r="J204" s="43">
        <f t="shared" si="13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30</v>
      </c>
      <c r="I205" s="42">
        <f t="shared" si="12"/>
        <v>0</v>
      </c>
      <c r="J205" s="43">
        <f t="shared" si="13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30</v>
      </c>
      <c r="I206" s="42">
        <f t="shared" si="12"/>
        <v>0</v>
      </c>
      <c r="J206" s="43">
        <f t="shared" si="13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30</v>
      </c>
      <c r="I209" s="42">
        <f t="shared" si="12"/>
        <v>0</v>
      </c>
      <c r="J209" s="43">
        <f t="shared" si="13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30</v>
      </c>
      <c r="I211" s="42">
        <f>COUNTIF(K211:AL211,"APAGADO")</f>
        <v>0</v>
      </c>
      <c r="J211" s="43">
        <f>(H211)/(I211+H211)</f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30</v>
      </c>
      <c r="I218" s="42">
        <f t="shared" si="12"/>
        <v>0</v>
      </c>
      <c r="J218" s="43">
        <f t="shared" si="13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30</v>
      </c>
      <c r="I219" s="42">
        <f t="shared" si="12"/>
        <v>0</v>
      </c>
      <c r="J219" s="43">
        <f t="shared" si="13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30</v>
      </c>
      <c r="I224" s="42">
        <f t="shared" si="12"/>
        <v>0</v>
      </c>
      <c r="J224" s="43">
        <f t="shared" si="13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30</v>
      </c>
      <c r="I225" s="42">
        <f t="shared" si="12"/>
        <v>0</v>
      </c>
      <c r="J225" s="43">
        <f t="shared" si="13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26</v>
      </c>
      <c r="I229" s="42">
        <f t="shared" si="12"/>
        <v>4</v>
      </c>
      <c r="J229" s="43">
        <f t="shared" si="13"/>
        <v>0.8666666666666667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30</v>
      </c>
      <c r="I232" s="42">
        <f t="shared" si="12"/>
        <v>0</v>
      </c>
      <c r="J232" s="43">
        <f t="shared" si="13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30</v>
      </c>
      <c r="I233" s="42">
        <f t="shared" si="12"/>
        <v>0</v>
      </c>
      <c r="J233" s="43">
        <f t="shared" si="13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26</v>
      </c>
      <c r="I236" s="42">
        <f t="shared" si="19"/>
        <v>4</v>
      </c>
      <c r="J236" s="43">
        <f t="shared" si="20"/>
        <v>0.8666666666666667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30</v>
      </c>
      <c r="I243" s="42">
        <f t="shared" si="19"/>
        <v>0</v>
      </c>
      <c r="J243" s="43">
        <f t="shared" si="20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30</v>
      </c>
      <c r="I245" s="42">
        <f t="shared" si="19"/>
        <v>0</v>
      </c>
      <c r="J245" s="43">
        <f t="shared" si="20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29</v>
      </c>
      <c r="I251" s="42">
        <f t="shared" si="19"/>
        <v>1</v>
      </c>
      <c r="J251" s="43">
        <f t="shared" si="20"/>
        <v>0.96666666666666667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30</v>
      </c>
      <c r="I255" s="42">
        <f>COUNTIF(K255:AL255,"APAGADO")</f>
        <v>0</v>
      </c>
      <c r="J255" s="43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26</v>
      </c>
      <c r="I256" s="42">
        <f t="shared" si="19"/>
        <v>4</v>
      </c>
      <c r="J256" s="43">
        <f t="shared" si="20"/>
        <v>0.8666666666666667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30</v>
      </c>
      <c r="I275" s="42">
        <f t="shared" si="19"/>
        <v>0</v>
      </c>
      <c r="J275" s="43">
        <f t="shared" si="20"/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30</v>
      </c>
      <c r="I277" s="42">
        <f t="shared" si="19"/>
        <v>0</v>
      </c>
      <c r="J277" s="43">
        <f t="shared" si="20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30</v>
      </c>
      <c r="I278" s="42">
        <f t="shared" si="19"/>
        <v>0</v>
      </c>
      <c r="J278" s="43">
        <f t="shared" si="20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30</v>
      </c>
      <c r="I283" s="42">
        <f>COUNTIF(K283:AL283,"APAGADO")</f>
        <v>0</v>
      </c>
      <c r="J283" s="43">
        <f>(H283)/(I283+H283)</f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30</v>
      </c>
      <c r="I285" s="42">
        <f>COUNTIF(K285:AL285,"APAGADO")</f>
        <v>0</v>
      </c>
      <c r="J285" s="43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30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30</v>
      </c>
      <c r="I297" s="42">
        <f t="shared" si="19"/>
        <v>0</v>
      </c>
      <c r="J297" s="43">
        <f t="shared" si="20"/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30</v>
      </c>
      <c r="I298" s="42">
        <f t="shared" si="19"/>
        <v>0</v>
      </c>
      <c r="J298" s="43">
        <f t="shared" si="20"/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30</v>
      </c>
      <c r="I302" s="42">
        <f t="shared" si="22"/>
        <v>0</v>
      </c>
      <c r="J302" s="43">
        <f t="shared" si="23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30</v>
      </c>
      <c r="I307" s="42">
        <f t="shared" si="22"/>
        <v>0</v>
      </c>
      <c r="J307" s="43">
        <f t="shared" si="23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30</v>
      </c>
      <c r="I312" s="42">
        <f t="shared" si="22"/>
        <v>0</v>
      </c>
      <c r="J312" s="43">
        <f t="shared" si="23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30</v>
      </c>
      <c r="I315" s="42">
        <f t="shared" si="22"/>
        <v>0</v>
      </c>
      <c r="J315" s="43">
        <f t="shared" si="23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30</v>
      </c>
      <c r="I316" s="42">
        <f t="shared" si="22"/>
        <v>0</v>
      </c>
      <c r="J316" s="43">
        <f t="shared" si="23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95" customHeight="1" thickBot="1" x14ac:dyDescent="0.35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" thickBot="1" x14ac:dyDescent="0.35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30</v>
      </c>
      <c r="I322" s="42">
        <f t="shared" si="22"/>
        <v>0</v>
      </c>
      <c r="J322" s="43">
        <f t="shared" si="23"/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30</v>
      </c>
      <c r="I325" s="42">
        <f t="shared" si="22"/>
        <v>0</v>
      </c>
      <c r="J325" s="43">
        <f t="shared" si="23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30</v>
      </c>
      <c r="I328" s="42">
        <f t="shared" si="22"/>
        <v>0</v>
      </c>
      <c r="J328" s="43">
        <f t="shared" si="23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30</v>
      </c>
      <c r="I331" s="42">
        <f t="shared" si="22"/>
        <v>0</v>
      </c>
      <c r="J331" s="43">
        <f t="shared" si="23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30</v>
      </c>
      <c r="I332" s="42">
        <f t="shared" si="22"/>
        <v>0</v>
      </c>
      <c r="J332" s="43">
        <f t="shared" si="23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30</v>
      </c>
      <c r="I333" s="42">
        <f t="shared" si="22"/>
        <v>0</v>
      </c>
      <c r="J333" s="43">
        <f t="shared" si="23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30</v>
      </c>
      <c r="I345" s="42">
        <f t="shared" si="22"/>
        <v>0</v>
      </c>
      <c r="J345" s="43">
        <f t="shared" si="23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30</v>
      </c>
      <c r="I347" s="42">
        <f t="shared" si="22"/>
        <v>0</v>
      </c>
      <c r="J347" s="43">
        <f t="shared" si="23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30</v>
      </c>
      <c r="I352" s="42">
        <f t="shared" si="22"/>
        <v>0</v>
      </c>
      <c r="J352" s="43">
        <f t="shared" si="23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30</v>
      </c>
      <c r="I353" s="42">
        <f t="shared" si="22"/>
        <v>0</v>
      </c>
      <c r="J353" s="43">
        <f t="shared" si="23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30</v>
      </c>
      <c r="I354" s="42">
        <f t="shared" si="22"/>
        <v>0</v>
      </c>
      <c r="J354" s="43">
        <f t="shared" si="23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30</v>
      </c>
      <c r="I355" s="42">
        <f t="shared" si="22"/>
        <v>0</v>
      </c>
      <c r="J355" s="43">
        <f t="shared" si="23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26</v>
      </c>
      <c r="I360" s="42">
        <f t="shared" si="22"/>
        <v>4</v>
      </c>
      <c r="J360" s="43">
        <f t="shared" si="23"/>
        <v>0.8666666666666667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30</v>
      </c>
      <c r="I367" s="42">
        <f t="shared" ref="I367" si="26">COUNTIF(K367:AL367,"APAGADO")</f>
        <v>0</v>
      </c>
      <c r="J367" s="43">
        <f t="shared" ref="J367" si="27"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30</v>
      </c>
      <c r="I369" s="42">
        <f t="shared" si="22"/>
        <v>0</v>
      </c>
      <c r="J369" s="43">
        <f t="shared" si="23"/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30</v>
      </c>
      <c r="I371" s="42">
        <f t="shared" si="22"/>
        <v>0</v>
      </c>
      <c r="J371" s="43">
        <f t="shared" si="23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30</v>
      </c>
      <c r="I372" s="42">
        <f t="shared" si="22"/>
        <v>0</v>
      </c>
      <c r="J372" s="43">
        <f t="shared" si="23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30</v>
      </c>
      <c r="I373" s="42">
        <f t="shared" si="22"/>
        <v>0</v>
      </c>
      <c r="J373" s="43">
        <f t="shared" si="23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28</v>
      </c>
      <c r="I374" s="42">
        <f t="shared" si="22"/>
        <v>2</v>
      </c>
      <c r="J374" s="43">
        <f t="shared" si="23"/>
        <v>0.93333333333333335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30</v>
      </c>
      <c r="I376" s="42">
        <f t="shared" si="28"/>
        <v>0</v>
      </c>
      <c r="J376" s="43">
        <f t="shared" si="29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30</v>
      </c>
      <c r="I378" s="42">
        <f t="shared" si="28"/>
        <v>0</v>
      </c>
      <c r="J378" s="43">
        <f t="shared" si="29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26</v>
      </c>
      <c r="I379" s="42">
        <f t="shared" si="28"/>
        <v>4</v>
      </c>
      <c r="J379" s="43">
        <f t="shared" si="29"/>
        <v>0.8666666666666667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30</v>
      </c>
      <c r="I380" s="42">
        <f t="shared" si="28"/>
        <v>0</v>
      </c>
      <c r="J380" s="43">
        <f t="shared" si="29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30</v>
      </c>
      <c r="I381" s="42">
        <f>COUNTIF(K381:AL381,"APAGADO")</f>
        <v>0</v>
      </c>
      <c r="J381" s="43">
        <f>(H381)/(I381+H381)</f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30</v>
      </c>
      <c r="I382" s="42">
        <f>COUNTIF(K382:AL382,"APAGADO")</f>
        <v>0</v>
      </c>
      <c r="J382" s="43">
        <f>(H382)/(I382+H382)</f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30</v>
      </c>
      <c r="I383" s="42">
        <f>COUNTIF(K383:AL383,"APAGADO")</f>
        <v>0</v>
      </c>
      <c r="J383" s="43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30</v>
      </c>
      <c r="I387" s="42">
        <f>COUNTIF(K387:AL387,"APAGADO")</f>
        <v>0</v>
      </c>
      <c r="J387" s="43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28</v>
      </c>
      <c r="I390" s="42">
        <f t="shared" si="28"/>
        <v>2</v>
      </c>
      <c r="J390" s="43">
        <f t="shared" si="29"/>
        <v>0.93333333333333335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28</v>
      </c>
      <c r="I391" s="42">
        <f t="shared" si="28"/>
        <v>2</v>
      </c>
      <c r="J391" s="43">
        <f t="shared" si="29"/>
        <v>0.93333333333333335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30</v>
      </c>
      <c r="I394" s="42">
        <f t="shared" si="28"/>
        <v>0</v>
      </c>
      <c r="J394" s="43">
        <f t="shared" si="29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30</v>
      </c>
      <c r="I395" s="42">
        <f t="shared" si="28"/>
        <v>0</v>
      </c>
      <c r="J395" s="43">
        <f t="shared" si="29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30</v>
      </c>
      <c r="I398" s="42">
        <f t="shared" si="28"/>
        <v>0</v>
      </c>
      <c r="J398" s="43">
        <f t="shared" si="29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30</v>
      </c>
      <c r="I399" s="42">
        <f t="shared" si="28"/>
        <v>0</v>
      </c>
      <c r="J399" s="43">
        <f t="shared" si="29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26</v>
      </c>
      <c r="I407" s="42">
        <f t="shared" si="28"/>
        <v>4</v>
      </c>
      <c r="J407" s="43">
        <f t="shared" si="29"/>
        <v>0.8666666666666667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26</v>
      </c>
      <c r="I408" s="42">
        <f t="shared" si="28"/>
        <v>4</v>
      </c>
      <c r="J408" s="43">
        <f t="shared" si="29"/>
        <v>0.8666666666666667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30</v>
      </c>
      <c r="I409" s="42">
        <f t="shared" si="28"/>
        <v>0</v>
      </c>
      <c r="J409" s="43">
        <f t="shared" si="29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30</v>
      </c>
      <c r="I410" s="42">
        <f t="shared" si="28"/>
        <v>0</v>
      </c>
      <c r="J410" s="43">
        <f t="shared" si="29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30</v>
      </c>
      <c r="I412" s="42">
        <f t="shared" si="28"/>
        <v>0</v>
      </c>
      <c r="J412" s="43">
        <f t="shared" si="29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26</v>
      </c>
      <c r="I420" s="42">
        <f t="shared" si="28"/>
        <v>4</v>
      </c>
      <c r="J420" s="43">
        <f t="shared" si="29"/>
        <v>0.8666666666666667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30</v>
      </c>
      <c r="I428" s="42">
        <f t="shared" si="28"/>
        <v>0</v>
      </c>
      <c r="J428" s="43">
        <f t="shared" si="29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30</v>
      </c>
      <c r="I429" s="42">
        <f t="shared" si="28"/>
        <v>0</v>
      </c>
      <c r="J429" s="43">
        <f t="shared" si="29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30</v>
      </c>
      <c r="I430" s="42">
        <f t="shared" si="28"/>
        <v>0</v>
      </c>
      <c r="J430" s="43">
        <f t="shared" si="29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30</v>
      </c>
      <c r="I431" s="42">
        <f t="shared" si="28"/>
        <v>0</v>
      </c>
      <c r="J431" s="43">
        <f t="shared" si="29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30</v>
      </c>
      <c r="I432" s="42">
        <f t="shared" si="28"/>
        <v>0</v>
      </c>
      <c r="J432" s="43">
        <f t="shared" si="29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3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3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3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3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3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3">
      <c r="E676" s="41"/>
      <c r="F676" s="41"/>
      <c r="G676" s="21"/>
      <c r="J676" s="15"/>
    </row>
    <row r="677" spans="5:41" x14ac:dyDescent="0.3">
      <c r="E677" s="41"/>
      <c r="F677" s="41"/>
      <c r="G677" s="21"/>
      <c r="J677" s="15"/>
    </row>
    <row r="678" spans="5:41" x14ac:dyDescent="0.3">
      <c r="E678" s="41"/>
      <c r="F678" s="41"/>
      <c r="G678" s="21"/>
      <c r="J678" s="15"/>
    </row>
    <row r="679" spans="5:41" x14ac:dyDescent="0.3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>
        <f>'RESUMEN TOTAL'!O16</f>
        <v>0</v>
      </c>
      <c r="K13" s="23">
        <f>'RESUMEN TOTAL'!P16</f>
        <v>0</v>
      </c>
      <c r="L13" s="23">
        <f>'RESUMEN TOTAL'!Q16</f>
        <v>0</v>
      </c>
      <c r="M13" s="23">
        <f>'RESUMEN TOTAL'!R16</f>
        <v>0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>
        <f>'RESUMEN TOTAL'!O34</f>
        <v>0</v>
      </c>
      <c r="K32" s="23">
        <f>'RESUMEN TOTAL'!P34</f>
        <v>0</v>
      </c>
      <c r="L32" s="23">
        <f>'RESUMEN TOTAL'!Q34</f>
        <v>0</v>
      </c>
      <c r="M32" s="23">
        <f>'RESUMEN TOTAL'!R34</f>
        <v>0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>
        <f>'RESUMEN TOTAL'!O38</f>
        <v>0</v>
      </c>
      <c r="K36" s="23">
        <f>'RESUMEN TOTAL'!P38</f>
        <v>0</v>
      </c>
      <c r="L36" s="23">
        <f>'RESUMEN TOTAL'!Q38</f>
        <v>0</v>
      </c>
      <c r="M36" s="23">
        <f>'RESUMEN TOTAL'!R38</f>
        <v>0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>
        <f>'RESUMEN TOTAL'!O40</f>
        <v>0</v>
      </c>
      <c r="K38" s="23">
        <f>'RESUMEN TOTAL'!P40</f>
        <v>0</v>
      </c>
      <c r="L38" s="23">
        <f>'RESUMEN TOTAL'!Q40</f>
        <v>0</v>
      </c>
      <c r="M38" s="23">
        <f>'RESUMEN TOTAL'!R40</f>
        <v>0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>
        <f>'RESUMEN TOTAL'!O48</f>
        <v>0</v>
      </c>
      <c r="K46" s="23">
        <f>'RESUMEN TOTAL'!P48</f>
        <v>0</v>
      </c>
      <c r="L46" s="23">
        <f>'RESUMEN TOTAL'!Q48</f>
        <v>0</v>
      </c>
      <c r="M46" s="23">
        <f>'RESUMEN TOTAL'!R48</f>
        <v>0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>
        <f>'RESUMEN TOTAL'!O49</f>
        <v>0</v>
      </c>
      <c r="K47" s="23">
        <f>'RESUMEN TOTAL'!P49</f>
        <v>0</v>
      </c>
      <c r="L47" s="23">
        <f>'RESUMEN TOTAL'!Q49</f>
        <v>0</v>
      </c>
      <c r="M47" s="23">
        <f>'RESUMEN TOTAL'!R49</f>
        <v>0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>
        <f>'RESUMEN TOTAL'!O51</f>
        <v>0</v>
      </c>
      <c r="K49" s="23">
        <f>'RESUMEN TOTAL'!P51</f>
        <v>0</v>
      </c>
      <c r="L49" s="23">
        <f>'RESUMEN TOTAL'!Q51</f>
        <v>0</v>
      </c>
      <c r="M49" s="23">
        <f>'RESUMEN TOTAL'!R51</f>
        <v>0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>
        <f>'RESUMEN TOTAL'!O54</f>
        <v>0</v>
      </c>
      <c r="K52" s="23">
        <f>'RESUMEN TOTAL'!P54</f>
        <v>0</v>
      </c>
      <c r="L52" s="23">
        <f>'RESUMEN TOTAL'!Q54</f>
        <v>0</v>
      </c>
      <c r="M52" s="23">
        <f>'RESUMEN TOTAL'!R54</f>
        <v>0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>
        <f>'RESUMEN TOTAL'!O56</f>
        <v>0</v>
      </c>
      <c r="K54" s="23">
        <f>'RESUMEN TOTAL'!P56</f>
        <v>0</v>
      </c>
      <c r="L54" s="23">
        <f>'RESUMEN TOTAL'!Q56</f>
        <v>0</v>
      </c>
      <c r="M54" s="23">
        <f>'RESUMEN TOTAL'!R56</f>
        <v>0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>
        <f>'RESUMEN TOTAL'!O69</f>
        <v>0</v>
      </c>
      <c r="K67" s="23">
        <f>'RESUMEN TOTAL'!P69</f>
        <v>0</v>
      </c>
      <c r="L67" s="23">
        <f>'RESUMEN TOTAL'!Q69</f>
        <v>0</v>
      </c>
      <c r="M67" s="23">
        <f>'RESUMEN TOTAL'!R69</f>
        <v>0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>
        <f>'RESUMEN TOTAL'!O75</f>
        <v>0</v>
      </c>
      <c r="K73" s="23">
        <f>'RESUMEN TOTAL'!P75</f>
        <v>0</v>
      </c>
      <c r="L73" s="23">
        <f>'RESUMEN TOTAL'!Q75</f>
        <v>0</v>
      </c>
      <c r="M73" s="23">
        <f>'RESUMEN TOTAL'!R75</f>
        <v>0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>
        <f>'RESUMEN TOTAL'!O77</f>
        <v>0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>
        <f>'RESUMEN TOTAL'!Q85</f>
        <v>0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>
        <f>'RESUMEN TOTAL'!O94</f>
        <v>0</v>
      </c>
      <c r="K92" s="23">
        <f>'RESUMEN TOTAL'!P94</f>
        <v>0</v>
      </c>
      <c r="L92" s="23">
        <f>'RESUMEN TOTAL'!Q94</f>
        <v>0</v>
      </c>
      <c r="M92" s="23">
        <f>'RESUMEN TOTAL'!R94</f>
        <v>0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>
        <f>'RESUMEN TOTAL'!O98</f>
        <v>0</v>
      </c>
      <c r="K96" s="23">
        <f>'RESUMEN TOTAL'!P98</f>
        <v>0</v>
      </c>
      <c r="L96" s="23">
        <f>'RESUMEN TOTAL'!Q98</f>
        <v>0</v>
      </c>
      <c r="M96" s="23">
        <f>'RESUMEN TOTAL'!R98</f>
        <v>0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>
        <f>'RESUMEN TOTAL'!O101</f>
        <v>0</v>
      </c>
      <c r="K99" s="23">
        <f>'RESUMEN TOTAL'!P101</f>
        <v>0</v>
      </c>
      <c r="L99" s="23">
        <f>'RESUMEN TOTAL'!Q101</f>
        <v>0</v>
      </c>
      <c r="M99" s="23">
        <f>'RESUMEN TOTAL'!R101</f>
        <v>0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>
        <f>'RESUMEN TOTAL'!O102</f>
        <v>0</v>
      </c>
      <c r="K100" s="23">
        <f>'RESUMEN TOTAL'!P102</f>
        <v>0</v>
      </c>
      <c r="L100" s="23">
        <f>'RESUMEN TOTAL'!Q102</f>
        <v>0</v>
      </c>
      <c r="M100" s="23">
        <f>'RESUMEN TOTAL'!R102</f>
        <v>0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3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3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3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3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>
        <f>'RESUMEN TOTAL'!W108</f>
        <v>0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3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3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3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3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3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3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>
        <f>'RESUMEN TOTAL'!T114</f>
        <v>0</v>
      </c>
      <c r="P112" s="23">
        <f>'RESUMEN TOTAL'!U114</f>
        <v>0</v>
      </c>
      <c r="Q112" s="23">
        <f>'RESUMEN TOTAL'!V114</f>
        <v>0</v>
      </c>
      <c r="R112" s="23">
        <f>'RESUMEN TOTAL'!W114</f>
        <v>0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3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>
        <f>'RESUMEN TOTAL'!T115</f>
        <v>0</v>
      </c>
      <c r="P113" s="23">
        <f>'RESUMEN TOTAL'!U115</f>
        <v>0</v>
      </c>
      <c r="Q113" s="23">
        <f>'RESUMEN TOTAL'!V115</f>
        <v>0</v>
      </c>
      <c r="R113" s="23">
        <f>'RESUMEN TOTAL'!W115</f>
        <v>0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3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3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3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3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3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3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3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>
        <f>'RESUMEN TOTAL'!T129</f>
        <v>0</v>
      </c>
      <c r="P120" s="23">
        <f>'RESUMEN TOTAL'!U129</f>
        <v>0</v>
      </c>
      <c r="Q120" s="23">
        <f>'RESUMEN TOTAL'!V129</f>
        <v>0</v>
      </c>
      <c r="R120" s="23">
        <f>'RESUMEN TOTAL'!W129</f>
        <v>0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3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>
        <f>'RESUMEN TOTAL'!P122</f>
        <v>0</v>
      </c>
      <c r="L121" s="23">
        <f>'RESUMEN TOTAL'!Q122</f>
        <v>0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>
        <f>'RESUMEN TOTAL'!V122</f>
        <v>0</v>
      </c>
      <c r="R121" s="23">
        <f>'RESUMEN TOTAL'!W122</f>
        <v>0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3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3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>
        <f>'RESUMEN TOTAL'!T124</f>
        <v>0</v>
      </c>
      <c r="P123" s="23">
        <f>'RESUMEN TOTAL'!U124</f>
        <v>0</v>
      </c>
      <c r="Q123" s="23">
        <f>'RESUMEN TOTAL'!V124</f>
        <v>0</v>
      </c>
      <c r="R123" s="23">
        <f>'RESUMEN TOTAL'!W124</f>
        <v>0</v>
      </c>
      <c r="S123" s="23">
        <f>'RESUMEN TOTAL'!X124</f>
        <v>0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3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>
        <f>'RESUMEN TOTAL'!V125</f>
        <v>0</v>
      </c>
      <c r="R124" s="23">
        <f>'RESUMEN TOTAL'!W125</f>
        <v>0</v>
      </c>
      <c r="S124" s="23">
        <f>'RESUMEN TOTAL'!X125</f>
        <v>0</v>
      </c>
      <c r="T124" s="23">
        <f>'RESUMEN TOTAL'!Y125</f>
        <v>0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3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3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3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3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3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3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3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3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3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3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3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3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3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>
        <f>'RESUMEN TOTAL'!W139</f>
        <v>0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3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3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3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3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3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3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3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3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3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3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>
        <f>'RESUMEN TOTAL'!T141</f>
        <v>0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3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3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3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3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3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3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3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3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3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>
        <f>'RESUMEN TOTAL'!T158</f>
        <v>0</v>
      </c>
      <c r="P156" s="23">
        <f>'RESUMEN TOTAL'!U158</f>
        <v>0</v>
      </c>
      <c r="Q156" s="23">
        <f>'RESUMEN TOTAL'!V158</f>
        <v>0</v>
      </c>
      <c r="R156" s="23">
        <f>'RESUMEN TOTAL'!W158</f>
        <v>0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3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>
        <f>'RESUMEN TOTAL'!T159</f>
        <v>0</v>
      </c>
      <c r="P157" s="23">
        <f>'RESUMEN TOTAL'!U159</f>
        <v>0</v>
      </c>
      <c r="Q157" s="23">
        <f>'RESUMEN TOTAL'!V159</f>
        <v>0</v>
      </c>
      <c r="R157" s="23">
        <f>'RESUMEN TOTAL'!W159</f>
        <v>0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3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>
        <f>'RESUMEN TOTAL'!T160</f>
        <v>0</v>
      </c>
      <c r="P158" s="23">
        <f>'RESUMEN TOTAL'!U160</f>
        <v>0</v>
      </c>
      <c r="Q158" s="23">
        <f>'RESUMEN TOTAL'!V160</f>
        <v>0</v>
      </c>
      <c r="R158" s="23">
        <f>'RESUMEN TOTAL'!W160</f>
        <v>0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3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3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3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3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3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>
        <f>'RESUMEN TOTAL'!O165</f>
        <v>0</v>
      </c>
      <c r="K163" s="23">
        <f>'RESUMEN TOTAL'!P165</f>
        <v>0</v>
      </c>
      <c r="L163" s="23">
        <f>'RESUMEN TOTAL'!Q165</f>
        <v>0</v>
      </c>
      <c r="M163" s="23">
        <f>'RESUMEN TOTAL'!R165</f>
        <v>0</v>
      </c>
      <c r="N163" s="23">
        <f>'RESUMEN TOTAL'!S165</f>
        <v>0</v>
      </c>
      <c r="O163" s="23">
        <f>'RESUMEN TOTAL'!T165</f>
        <v>0</v>
      </c>
      <c r="P163" s="23">
        <f>'RESUMEN TOTAL'!U165</f>
        <v>0</v>
      </c>
      <c r="Q163" s="23">
        <f>'RESUMEN TOTAL'!V165</f>
        <v>0</v>
      </c>
      <c r="R163" s="23">
        <f>'RESUMEN TOTAL'!W165</f>
        <v>0</v>
      </c>
      <c r="S163" s="23">
        <f>'RESUMEN TOTAL'!X165</f>
        <v>0</v>
      </c>
      <c r="T163" s="23">
        <f>'RESUMEN TOTAL'!Y165</f>
        <v>0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3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>
        <f>'RESUMEN TOTAL'!O166</f>
        <v>0</v>
      </c>
      <c r="K164" s="23">
        <f>'RESUMEN TOTAL'!P166</f>
        <v>0</v>
      </c>
      <c r="L164" s="23">
        <f>'RESUMEN TOTAL'!Q166</f>
        <v>0</v>
      </c>
      <c r="M164" s="23">
        <f>'RESUMEN TOTAL'!R166</f>
        <v>0</v>
      </c>
      <c r="N164" s="23">
        <f>'RESUMEN TOTAL'!S166</f>
        <v>0</v>
      </c>
      <c r="O164" s="23">
        <f>'RESUMEN TOTAL'!T166</f>
        <v>0</v>
      </c>
      <c r="P164" s="23">
        <f>'RESUMEN TOTAL'!U166</f>
        <v>0</v>
      </c>
      <c r="Q164" s="23">
        <f>'RESUMEN TOTAL'!V166</f>
        <v>0</v>
      </c>
      <c r="R164" s="23">
        <f>'RESUMEN TOTAL'!W166</f>
        <v>0</v>
      </c>
      <c r="S164" s="23">
        <f>'RESUMEN TOTAL'!X166</f>
        <v>0</v>
      </c>
      <c r="T164" s="23">
        <f>'RESUMEN TOTAL'!Y166</f>
        <v>0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3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3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3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3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3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3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3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3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3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>
        <f>'RESUMEN TOTAL'!O175</f>
        <v>0</v>
      </c>
      <c r="K173" s="23">
        <f>'RESUMEN TOTAL'!P175</f>
        <v>0</v>
      </c>
      <c r="L173" s="23">
        <f>'RESUMEN TOTAL'!Q175</f>
        <v>0</v>
      </c>
      <c r="M173" s="23">
        <f>'RESUMEN TOTAL'!R175</f>
        <v>0</v>
      </c>
      <c r="N173" s="23">
        <f>'RESUMEN TOTAL'!S175</f>
        <v>0</v>
      </c>
      <c r="O173" s="23">
        <f>'RESUMEN TOTAL'!T175</f>
        <v>0</v>
      </c>
      <c r="P173" s="23">
        <f>'RESUMEN TOTAL'!U175</f>
        <v>0</v>
      </c>
      <c r="Q173" s="23">
        <f>'RESUMEN TOTAL'!V175</f>
        <v>0</v>
      </c>
      <c r="R173" s="23">
        <f>'RESUMEN TOTAL'!W175</f>
        <v>0</v>
      </c>
      <c r="S173" s="23">
        <f>'RESUMEN TOTAL'!X175</f>
        <v>0</v>
      </c>
      <c r="T173" s="23">
        <f>'RESUMEN TOTAL'!Y175</f>
        <v>0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3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3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>
        <f>'RESUMEN TOTAL'!O177</f>
        <v>0</v>
      </c>
      <c r="K175" s="23">
        <f>'RESUMEN TOTAL'!P177</f>
        <v>0</v>
      </c>
      <c r="L175" s="23">
        <f>'RESUMEN TOTAL'!Q177</f>
        <v>0</v>
      </c>
      <c r="M175" s="23">
        <f>'RESUMEN TOTAL'!R177</f>
        <v>0</v>
      </c>
      <c r="N175" s="23">
        <f>'RESUMEN TOTAL'!S177</f>
        <v>0</v>
      </c>
      <c r="O175" s="23">
        <f>'RESUMEN TOTAL'!T177</f>
        <v>0</v>
      </c>
      <c r="P175" s="23">
        <f>'RESUMEN TOTAL'!U177</f>
        <v>0</v>
      </c>
      <c r="Q175" s="23">
        <f>'RESUMEN TOTAL'!V177</f>
        <v>0</v>
      </c>
      <c r="R175" s="23">
        <f>'RESUMEN TOTAL'!W177</f>
        <v>0</v>
      </c>
      <c r="S175" s="23">
        <f>'RESUMEN TOTAL'!X177</f>
        <v>0</v>
      </c>
      <c r="T175" s="23">
        <f>'RESUMEN TOTAL'!Y177</f>
        <v>0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3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>
        <f>'RESUMEN TOTAL'!W178</f>
        <v>0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3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3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3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3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>
        <f>'RESUMEN TOTAL'!O182</f>
        <v>0</v>
      </c>
      <c r="K180" s="23">
        <f>'RESUMEN TOTAL'!P182</f>
        <v>0</v>
      </c>
      <c r="L180" s="23">
        <f>'RESUMEN TOTAL'!Q182</f>
        <v>0</v>
      </c>
      <c r="M180" s="23">
        <f>'RESUMEN TOTAL'!R182</f>
        <v>0</v>
      </c>
      <c r="N180" s="23">
        <f>'RESUMEN TOTAL'!S182</f>
        <v>0</v>
      </c>
      <c r="O180" s="23">
        <f>'RESUMEN TOTAL'!T182</f>
        <v>0</v>
      </c>
      <c r="P180" s="23">
        <f>'RESUMEN TOTAL'!U182</f>
        <v>0</v>
      </c>
      <c r="Q180" s="23">
        <f>'RESUMEN TOTAL'!V182</f>
        <v>0</v>
      </c>
      <c r="R180" s="23">
        <f>'RESUMEN TOTAL'!W182</f>
        <v>0</v>
      </c>
      <c r="S180" s="23">
        <f>'RESUMEN TOTAL'!X182</f>
        <v>0</v>
      </c>
      <c r="T180" s="23">
        <f>'RESUMEN TOTAL'!Y182</f>
        <v>0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3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3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>
        <f>'RESUMEN TOTAL'!O184</f>
        <v>0</v>
      </c>
      <c r="K182" s="23">
        <f>'RESUMEN TOTAL'!P184</f>
        <v>0</v>
      </c>
      <c r="L182" s="23">
        <f>'RESUMEN TOTAL'!Q184</f>
        <v>0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>
        <f>'RESUMEN TOTAL'!V184</f>
        <v>0</v>
      </c>
      <c r="R182" s="23">
        <f>'RESUMEN TOTAL'!W184</f>
        <v>0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3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>
        <f>'RESUMEN TOTAL'!O185</f>
        <v>0</v>
      </c>
      <c r="K183" s="23">
        <f>'RESUMEN TOTAL'!P185</f>
        <v>0</v>
      </c>
      <c r="L183" s="23">
        <f>'RESUMEN TOTAL'!Q185</f>
        <v>0</v>
      </c>
      <c r="M183" s="23">
        <f>'RESUMEN TOTAL'!R185</f>
        <v>0</v>
      </c>
      <c r="N183" s="23">
        <f>'RESUMEN TOTAL'!S185</f>
        <v>0</v>
      </c>
      <c r="O183" s="23">
        <f>'RESUMEN TOTAL'!T185</f>
        <v>0</v>
      </c>
      <c r="P183" s="23">
        <f>'RESUMEN TOTAL'!U185</f>
        <v>0</v>
      </c>
      <c r="Q183" s="23">
        <f>'RESUMEN TOTAL'!V185</f>
        <v>0</v>
      </c>
      <c r="R183" s="23">
        <f>'RESUMEN TOTAL'!W185</f>
        <v>0</v>
      </c>
      <c r="S183" s="23">
        <f>'RESUMEN TOTAL'!X185</f>
        <v>0</v>
      </c>
      <c r="T183" s="23">
        <f>'RESUMEN TOTAL'!Y185</f>
        <v>0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3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3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>
        <f>'RESUMEN TOTAL'!O187</f>
        <v>0</v>
      </c>
      <c r="K185" s="23">
        <f>'RESUMEN TOTAL'!P187</f>
        <v>0</v>
      </c>
      <c r="L185" s="23">
        <f>'RESUMEN TOTAL'!Q187</f>
        <v>0</v>
      </c>
      <c r="M185" s="23">
        <f>'RESUMEN TOTAL'!R187</f>
        <v>0</v>
      </c>
      <c r="N185" s="23">
        <f>'RESUMEN TOTAL'!S187</f>
        <v>0</v>
      </c>
      <c r="O185" s="23">
        <f>'RESUMEN TOTAL'!T187</f>
        <v>0</v>
      </c>
      <c r="P185" s="23">
        <f>'RESUMEN TOTAL'!U187</f>
        <v>0</v>
      </c>
      <c r="Q185" s="23">
        <f>'RESUMEN TOTAL'!V187</f>
        <v>0</v>
      </c>
      <c r="R185" s="23">
        <f>'RESUMEN TOTAL'!W187</f>
        <v>0</v>
      </c>
      <c r="S185" s="23">
        <f>'RESUMEN TOTAL'!X187</f>
        <v>0</v>
      </c>
      <c r="T185" s="23">
        <f>'RESUMEN TOTAL'!Y187</f>
        <v>0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3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3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3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3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3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3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>
        <f>'RESUMEN TOTAL'!T193</f>
        <v>0</v>
      </c>
      <c r="P191" s="23">
        <f>'RESUMEN TOTAL'!U193</f>
        <v>0</v>
      </c>
      <c r="Q191" s="23">
        <f>'RESUMEN TOTAL'!V193</f>
        <v>0</v>
      </c>
      <c r="R191" s="23">
        <f>'RESUMEN TOTAL'!W193</f>
        <v>0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3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>
        <f>'RESUMEN TOTAL'!T194</f>
        <v>0</v>
      </c>
      <c r="P192" s="23">
        <f>'RESUMEN TOTAL'!U194</f>
        <v>0</v>
      </c>
      <c r="Q192" s="23">
        <f>'RESUMEN TOTAL'!V194</f>
        <v>0</v>
      </c>
      <c r="R192" s="23">
        <f>'RESUMEN TOTAL'!W194</f>
        <v>0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3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3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3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>
        <f>'RESUMEN TOTAL'!T197</f>
        <v>0</v>
      </c>
      <c r="P195" s="23">
        <f>'RESUMEN TOTAL'!U197</f>
        <v>0</v>
      </c>
      <c r="Q195" s="23">
        <f>'RESUMEN TOTAL'!V197</f>
        <v>0</v>
      </c>
      <c r="R195" s="23">
        <f>'RESUMEN TOTAL'!W197</f>
        <v>0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3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>
        <f>'RESUMEN TOTAL'!O198</f>
        <v>0</v>
      </c>
      <c r="K196" s="23">
        <f>'RESUMEN TOTAL'!P198</f>
        <v>0</v>
      </c>
      <c r="L196" s="23">
        <f>'RESUMEN TOTAL'!Q198</f>
        <v>0</v>
      </c>
      <c r="M196" s="23">
        <f>'RESUMEN TOTAL'!R198</f>
        <v>0</v>
      </c>
      <c r="N196" s="23">
        <f>'RESUMEN TOTAL'!S198</f>
        <v>0</v>
      </c>
      <c r="O196" s="23">
        <f>'RESUMEN TOTAL'!T198</f>
        <v>0</v>
      </c>
      <c r="P196" s="23">
        <f>'RESUMEN TOTAL'!U198</f>
        <v>0</v>
      </c>
      <c r="Q196" s="23">
        <f>'RESUMEN TOTAL'!V198</f>
        <v>0</v>
      </c>
      <c r="R196" s="23">
        <f>'RESUMEN TOTAL'!W198</f>
        <v>0</v>
      </c>
      <c r="S196" s="23">
        <f>'RESUMEN TOTAL'!X198</f>
        <v>0</v>
      </c>
      <c r="T196" s="23">
        <f>'RESUMEN TOTAL'!Y198</f>
        <v>0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3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3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>
        <f>'RESUMEN TOTAL'!T200</f>
        <v>0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3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>
        <f>'RESUMEN TOTAL'!T201</f>
        <v>0</v>
      </c>
      <c r="P199" s="23">
        <f>'RESUMEN TOTAL'!U201</f>
        <v>0</v>
      </c>
      <c r="Q199" s="23">
        <f>'RESUMEN TOTAL'!V201</f>
        <v>0</v>
      </c>
      <c r="R199" s="23">
        <f>'RESUMEN TOTAL'!W201</f>
        <v>0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3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>
        <f>'RESUMEN TOTAL'!T202</f>
        <v>0</v>
      </c>
      <c r="P200" s="23">
        <f>'RESUMEN TOTAL'!U202</f>
        <v>0</v>
      </c>
      <c r="Q200" s="23">
        <f>'RESUMEN TOTAL'!V202</f>
        <v>0</v>
      </c>
      <c r="R200" s="23">
        <f>'RESUMEN TOTAL'!W202</f>
        <v>0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3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>
        <f>'RESUMEN TOTAL'!T203</f>
        <v>0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3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>
        <f>'RESUMEN TOTAL'!T204</f>
        <v>0</v>
      </c>
      <c r="P202" s="23">
        <f>'RESUMEN TOTAL'!U204</f>
        <v>0</v>
      </c>
      <c r="Q202" s="23">
        <f>'RESUMEN TOTAL'!V204</f>
        <v>0</v>
      </c>
      <c r="R202" s="23">
        <f>'RESUMEN TOTAL'!W204</f>
        <v>0</v>
      </c>
      <c r="S202" s="23">
        <f>'RESUMEN TOTAL'!X204</f>
        <v>0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3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>
        <f>'RESUMEN TOTAL'!T205</f>
        <v>0</v>
      </c>
      <c r="P203" s="23">
        <f>'RESUMEN TOTAL'!U205</f>
        <v>0</v>
      </c>
      <c r="Q203" s="23">
        <f>'RESUMEN TOTAL'!V205</f>
        <v>0</v>
      </c>
      <c r="R203" s="23">
        <f>'RESUMEN TOTAL'!W205</f>
        <v>0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3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>
        <f>'RESUMEN TOTAL'!T206</f>
        <v>0</v>
      </c>
      <c r="P204" s="23">
        <f>'RESUMEN TOTAL'!U206</f>
        <v>0</v>
      </c>
      <c r="Q204" s="23">
        <f>'RESUMEN TOTAL'!V206</f>
        <v>0</v>
      </c>
      <c r="R204" s="23">
        <f>'RESUMEN TOTAL'!W206</f>
        <v>0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3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3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3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>
        <f>'RESUMEN TOTAL'!O209</f>
        <v>0</v>
      </c>
      <c r="K207" s="23">
        <f>'RESUMEN TOTAL'!P209</f>
        <v>0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3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3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>
        <f>'RESUMEN TOTAL'!T211</f>
        <v>0</v>
      </c>
      <c r="P209" s="23">
        <f>'RESUMEN TOTAL'!U211</f>
        <v>0</v>
      </c>
      <c r="Q209" s="23">
        <f>'RESUMEN TOTAL'!V211</f>
        <v>0</v>
      </c>
      <c r="R209" s="23">
        <f>'RESUMEN TOTAL'!W211</f>
        <v>0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3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3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3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3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3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3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3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>
        <f>'RESUMEN TOTAL'!S218</f>
        <v>0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3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>
        <f>'RESUMEN TOTAL'!S219</f>
        <v>0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3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3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3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3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3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>
        <f>'RESUMEN TOTAL'!T224</f>
        <v>0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3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>
        <f>'RESUMEN TOTAL'!T225</f>
        <v>0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3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3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3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3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>
        <f>'RESUMEN TOTAL'!P229</f>
        <v>0</v>
      </c>
      <c r="L227" s="23">
        <f>'RESUMEN TOTAL'!Q229</f>
        <v>0</v>
      </c>
      <c r="M227" s="23">
        <f>'RESUMEN TOTAL'!R229</f>
        <v>0</v>
      </c>
      <c r="N227" s="23">
        <f>'RESUMEN TOTAL'!S229</f>
        <v>0</v>
      </c>
      <c r="O227" s="23">
        <f>'RESUMEN TOTAL'!T229</f>
        <v>0</v>
      </c>
      <c r="P227" s="23">
        <f>'RESUMEN TOTAL'!U229</f>
        <v>0</v>
      </c>
      <c r="Q227" s="23">
        <f>'RESUMEN TOTAL'!V229</f>
        <v>0</v>
      </c>
      <c r="R227" s="23">
        <f>'RESUMEN TOTAL'!W229</f>
        <v>0</v>
      </c>
      <c r="S227" s="23">
        <f>'RESUMEN TOTAL'!X229</f>
        <v>0</v>
      </c>
      <c r="T227" s="23">
        <f>'RESUMEN TOTAL'!Y229</f>
        <v>0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3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3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3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>
        <f>'RESUMEN TOTAL'!T232</f>
        <v>0</v>
      </c>
      <c r="P230" s="23">
        <f>'RESUMEN TOTAL'!U232</f>
        <v>0</v>
      </c>
      <c r="Q230" s="23">
        <f>'RESUMEN TOTAL'!V232</f>
        <v>0</v>
      </c>
      <c r="R230" s="23">
        <f>'RESUMEN TOTAL'!W232</f>
        <v>0</v>
      </c>
      <c r="S230" s="23">
        <f>'RESUMEN TOTAL'!X232</f>
        <v>0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3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>
        <f>'RESUMEN TOTAL'!X233</f>
        <v>0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3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3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3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>
        <f>'RESUMEN TOTAL'!O236</f>
        <v>0</v>
      </c>
      <c r="K234" s="23">
        <f>'RESUMEN TOTAL'!P236</f>
        <v>0</v>
      </c>
      <c r="L234" s="23">
        <f>'RESUMEN TOTAL'!Q236</f>
        <v>0</v>
      </c>
      <c r="M234" s="23">
        <f>'RESUMEN TOTAL'!R236</f>
        <v>0</v>
      </c>
      <c r="N234" s="23">
        <f>'RESUMEN TOTAL'!S236</f>
        <v>0</v>
      </c>
      <c r="O234" s="23">
        <f>'RESUMEN TOTAL'!T236</f>
        <v>0</v>
      </c>
      <c r="P234" s="23">
        <f>'RESUMEN TOTAL'!U236</f>
        <v>0</v>
      </c>
      <c r="Q234" s="23">
        <f>'RESUMEN TOTAL'!V236</f>
        <v>0</v>
      </c>
      <c r="R234" s="23">
        <f>'RESUMEN TOTAL'!W236</f>
        <v>0</v>
      </c>
      <c r="S234" s="23">
        <f>'RESUMEN TOTAL'!X236</f>
        <v>0</v>
      </c>
      <c r="T234" s="23">
        <f>'RESUMEN TOTAL'!Y236</f>
        <v>0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3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3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3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3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3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3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3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>
        <f>'RESUMEN TOTAL'!U243</f>
        <v>0</v>
      </c>
      <c r="Q241" s="23">
        <f>'RESUMEN TOTAL'!V243</f>
        <v>0</v>
      </c>
      <c r="R241" s="23">
        <f>'RESUMEN TOTAL'!W243</f>
        <v>0</v>
      </c>
      <c r="S241" s="23">
        <f>'RESUMEN TOTAL'!X243</f>
        <v>0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3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3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>
        <f>'RESUMEN TOTAL'!T245</f>
        <v>0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3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3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3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3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3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3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>
        <f>'RESUMEN TOTAL'!U251</f>
        <v>0</v>
      </c>
      <c r="Q249" s="23">
        <f>'RESUMEN TOTAL'!V251</f>
        <v>0</v>
      </c>
      <c r="R249" s="23">
        <f>'RESUMEN TOTAL'!W251</f>
        <v>0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3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3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3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3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>
        <f>'RESUMEN TOTAL'!T255</f>
        <v>0</v>
      </c>
      <c r="P253" s="23">
        <f>'RESUMEN TOTAL'!U255</f>
        <v>0</v>
      </c>
      <c r="Q253" s="23">
        <f>'RESUMEN TOTAL'!V255</f>
        <v>0</v>
      </c>
      <c r="R253" s="23">
        <f>'RESUMEN TOTAL'!W255</f>
        <v>0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3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>
        <f>'RESUMEN TOTAL'!O256</f>
        <v>0</v>
      </c>
      <c r="K254" s="23">
        <f>'RESUMEN TOTAL'!P256</f>
        <v>0</v>
      </c>
      <c r="L254" s="23">
        <f>'RESUMEN TOTAL'!Q256</f>
        <v>0</v>
      </c>
      <c r="M254" s="23">
        <f>'RESUMEN TOTAL'!R256</f>
        <v>0</v>
      </c>
      <c r="N254" s="23">
        <f>'RESUMEN TOTAL'!S256</f>
        <v>0</v>
      </c>
      <c r="O254" s="23">
        <f>'RESUMEN TOTAL'!T256</f>
        <v>0</v>
      </c>
      <c r="P254" s="23">
        <f>'RESUMEN TOTAL'!U256</f>
        <v>0</v>
      </c>
      <c r="Q254" s="23">
        <f>'RESUMEN TOTAL'!V256</f>
        <v>0</v>
      </c>
      <c r="R254" s="23">
        <f>'RESUMEN TOTAL'!W256</f>
        <v>0</v>
      </c>
      <c r="S254" s="23">
        <f>'RESUMEN TOTAL'!X256</f>
        <v>0</v>
      </c>
      <c r="T254" s="23">
        <f>'RESUMEN TOTAL'!Y256</f>
        <v>0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3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3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3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3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3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3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3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3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3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3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3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3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3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3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3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3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3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3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>
        <f>'RESUMEN TOTAL'!T275</f>
        <v>0</v>
      </c>
      <c r="P272" s="23">
        <f>'RESUMEN TOTAL'!U275</f>
        <v>0</v>
      </c>
      <c r="Q272" s="23">
        <f>'RESUMEN TOTAL'!V275</f>
        <v>0</v>
      </c>
      <c r="R272" s="23">
        <f>'RESUMEN TOTAL'!W275</f>
        <v>0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3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3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>
        <f>'RESUMEN TOTAL'!T277</f>
        <v>0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3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>
        <f>'RESUMEN TOTAL'!T278</f>
        <v>0</v>
      </c>
      <c r="P275" s="23">
        <f>'RESUMEN TOTAL'!U278</f>
        <v>0</v>
      </c>
      <c r="Q275" s="23">
        <f>'RESUMEN TOTAL'!V278</f>
        <v>0</v>
      </c>
      <c r="R275" s="23">
        <f>'RESUMEN TOTAL'!W278</f>
        <v>0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3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3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3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3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3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>
        <f>'RESUMEN TOTAL'!U283</f>
        <v>0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3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3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>
        <f>'RESUMEN TOTAL'!V285</f>
        <v>0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3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3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3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3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3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3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3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3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3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3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3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>
        <f>'RESUMEN TOTAL'!T296</f>
        <v>0</v>
      </c>
      <c r="P293" s="23">
        <f>'RESUMEN TOTAL'!U296</f>
        <v>0</v>
      </c>
      <c r="Q293" s="23">
        <f>'RESUMEN TOTAL'!V296</f>
        <v>0</v>
      </c>
      <c r="R293" s="23">
        <f>'RESUMEN TOTAL'!W296</f>
        <v>0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3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>
        <f>'RESUMEN TOTAL'!T297</f>
        <v>0</v>
      </c>
      <c r="P294" s="23">
        <f>'RESUMEN TOTAL'!U297</f>
        <v>0</v>
      </c>
      <c r="Q294" s="23">
        <f>'RESUMEN TOTAL'!V297</f>
        <v>0</v>
      </c>
      <c r="R294" s="23">
        <f>'RESUMEN TOTAL'!W297</f>
        <v>0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3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>
        <f>'RESUMEN TOTAL'!T298</f>
        <v>0</v>
      </c>
      <c r="P295" s="23">
        <f>'RESUMEN TOTAL'!U298</f>
        <v>0</v>
      </c>
      <c r="Q295" s="23">
        <f>'RESUMEN TOTAL'!V298</f>
        <v>0</v>
      </c>
      <c r="R295" s="23">
        <f>'RESUMEN TOTAL'!W298</f>
        <v>0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3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3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3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3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>
        <f>'RESUMEN TOTAL'!T302</f>
        <v>0</v>
      </c>
      <c r="P299" s="23">
        <f>'RESUMEN TOTAL'!U302</f>
        <v>0</v>
      </c>
      <c r="Q299" s="23">
        <f>'RESUMEN TOTAL'!V302</f>
        <v>0</v>
      </c>
      <c r="R299" s="23">
        <f>'RESUMEN TOTAL'!W302</f>
        <v>0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3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3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3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3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3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>
        <f>'RESUMEN TOTAL'!T307</f>
        <v>0</v>
      </c>
      <c r="P304" s="23">
        <f>'RESUMEN TOTAL'!U307</f>
        <v>0</v>
      </c>
      <c r="Q304" s="23">
        <f>'RESUMEN TOTAL'!V307</f>
        <v>0</v>
      </c>
      <c r="R304" s="23">
        <f>'RESUMEN TOTAL'!W307</f>
        <v>0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3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3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3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3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3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>
        <f>'RESUMEN TOTAL'!Y312</f>
        <v>0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3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3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3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>
        <f>'RESUMEN TOTAL'!O315</f>
        <v>0</v>
      </c>
      <c r="K312" s="23">
        <f>'RESUMEN TOTAL'!P315</f>
        <v>0</v>
      </c>
      <c r="L312" s="23">
        <f>'RESUMEN TOTAL'!Q315</f>
        <v>0</v>
      </c>
      <c r="M312" s="23">
        <f>'RESUMEN TOTAL'!R315</f>
        <v>0</v>
      </c>
      <c r="N312" s="23">
        <f>'RESUMEN TOTAL'!S315</f>
        <v>0</v>
      </c>
      <c r="O312" s="23">
        <f>'RESUMEN TOTAL'!T315</f>
        <v>0</v>
      </c>
      <c r="P312" s="23">
        <f>'RESUMEN TOTAL'!U315</f>
        <v>0</v>
      </c>
      <c r="Q312" s="23">
        <f>'RESUMEN TOTAL'!V315</f>
        <v>0</v>
      </c>
      <c r="R312" s="23">
        <f>'RESUMEN TOTAL'!W315</f>
        <v>0</v>
      </c>
      <c r="S312" s="23">
        <f>'RESUMEN TOTAL'!X315</f>
        <v>0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3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>
        <f>'RESUMEN TOTAL'!O316</f>
        <v>0</v>
      </c>
      <c r="K313" s="23">
        <f>'RESUMEN TOTAL'!P316</f>
        <v>0</v>
      </c>
      <c r="L313" s="23">
        <f>'RESUMEN TOTAL'!Q316</f>
        <v>0</v>
      </c>
      <c r="M313" s="23">
        <f>'RESUMEN TOTAL'!R316</f>
        <v>0</v>
      </c>
      <c r="N313" s="23">
        <f>'RESUMEN TOTAL'!S316</f>
        <v>0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>
        <f>'RESUMEN TOTAL'!X316</f>
        <v>0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3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3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3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3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3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3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>
        <f>'RESUMEN TOTAL'!T322</f>
        <v>0</v>
      </c>
      <c r="P319" s="23">
        <f>'RESUMEN TOTAL'!U322</f>
        <v>0</v>
      </c>
      <c r="Q319" s="23">
        <f>'RESUMEN TOTAL'!V322</f>
        <v>0</v>
      </c>
      <c r="R319" s="23">
        <f>'RESUMEN TOTAL'!W322</f>
        <v>0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3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3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3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>
        <f>'RESUMEN TOTAL'!Q325</f>
        <v>0</v>
      </c>
      <c r="M322" s="23">
        <f>'RESUMEN TOTAL'!R325</f>
        <v>0</v>
      </c>
      <c r="N322" s="23">
        <f>'RESUMEN TOTAL'!S325</f>
        <v>0</v>
      </c>
      <c r="O322" s="23">
        <f>'RESUMEN TOTAL'!T325</f>
        <v>0</v>
      </c>
      <c r="P322" s="23">
        <f>'RESUMEN TOTAL'!U325</f>
        <v>0</v>
      </c>
      <c r="Q322" s="23">
        <f>'RESUMEN TOTAL'!V325</f>
        <v>0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3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3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3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>
        <f>'RESUMEN TOTAL'!T328</f>
        <v>0</v>
      </c>
      <c r="P325" s="23">
        <f>'RESUMEN TOTAL'!U328</f>
        <v>0</v>
      </c>
      <c r="Q325" s="23">
        <f>'RESUMEN TOTAL'!V328</f>
        <v>0</v>
      </c>
      <c r="R325" s="23">
        <f>'RESUMEN TOTAL'!W328</f>
        <v>0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3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3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3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>
        <f>'RESUMEN TOTAL'!T331</f>
        <v>0</v>
      </c>
      <c r="P328" s="23">
        <f>'RESUMEN TOTAL'!U331</f>
        <v>0</v>
      </c>
      <c r="Q328" s="23">
        <f>'RESUMEN TOTAL'!V331</f>
        <v>0</v>
      </c>
      <c r="R328" s="23">
        <f>'RESUMEN TOTAL'!W331</f>
        <v>0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3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>
        <f>'RESUMEN TOTAL'!T332</f>
        <v>0</v>
      </c>
      <c r="P329" s="23">
        <f>'RESUMEN TOTAL'!U332</f>
        <v>0</v>
      </c>
      <c r="Q329" s="23">
        <f>'RESUMEN TOTAL'!V332</f>
        <v>0</v>
      </c>
      <c r="R329" s="23">
        <f>'RESUMEN TOTAL'!W332</f>
        <v>0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3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>
        <f>'RESUMEN TOTAL'!T333</f>
        <v>0</v>
      </c>
      <c r="P330" s="23">
        <f>'RESUMEN TOTAL'!U333</f>
        <v>0</v>
      </c>
      <c r="Q330" s="23">
        <f>'RESUMEN TOTAL'!V333</f>
        <v>0</v>
      </c>
      <c r="R330" s="23">
        <f>'RESUMEN TOTAL'!W333</f>
        <v>0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3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3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3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3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3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3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3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3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3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3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3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3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>
        <f>'RESUMEN TOTAL'!T345</f>
        <v>0</v>
      </c>
      <c r="P342" s="23">
        <f>'RESUMEN TOTAL'!U345</f>
        <v>0</v>
      </c>
      <c r="Q342" s="23">
        <f>'RESUMEN TOTAL'!V345</f>
        <v>0</v>
      </c>
      <c r="R342" s="23">
        <f>'RESUMEN TOTAL'!W345</f>
        <v>0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3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3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>
        <f>'RESUMEN TOTAL'!O347</f>
        <v>0</v>
      </c>
      <c r="K344" s="23">
        <f>'RESUMEN TOTAL'!P347</f>
        <v>0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3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3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3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3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3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>
        <f>'RESUMEN TOTAL'!Y352</f>
        <v>0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3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>
        <f>'RESUMEN TOTAL'!Y353</f>
        <v>0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3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>
        <f>'RESUMEN TOTAL'!O354</f>
        <v>0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>
        <f>'RESUMEN TOTAL'!W354</f>
        <v>0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3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>
        <f>'RESUMEN TOTAL'!T355</f>
        <v>0</v>
      </c>
      <c r="P352" s="23">
        <f>'RESUMEN TOTAL'!U355</f>
        <v>0</v>
      </c>
      <c r="Q352" s="23">
        <f>'RESUMEN TOTAL'!V355</f>
        <v>0</v>
      </c>
      <c r="R352" s="23">
        <f>'RESUMEN TOTAL'!W355</f>
        <v>0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3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3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3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3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3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>
        <f>'RESUMEN TOTAL'!O360</f>
        <v>0</v>
      </c>
      <c r="K357" s="23">
        <f>'RESUMEN TOTAL'!P360</f>
        <v>0</v>
      </c>
      <c r="L357" s="23">
        <f>'RESUMEN TOTAL'!Q360</f>
        <v>0</v>
      </c>
      <c r="M357" s="23">
        <f>'RESUMEN TOTAL'!R360</f>
        <v>0</v>
      </c>
      <c r="N357" s="23">
        <f>'RESUMEN TOTAL'!S360</f>
        <v>0</v>
      </c>
      <c r="O357" s="23">
        <f>'RESUMEN TOTAL'!T360</f>
        <v>0</v>
      </c>
      <c r="P357" s="23">
        <f>'RESUMEN TOTAL'!U360</f>
        <v>0</v>
      </c>
      <c r="Q357" s="23">
        <f>'RESUMEN TOTAL'!V360</f>
        <v>0</v>
      </c>
      <c r="R357" s="23">
        <f>'RESUMEN TOTAL'!W360</f>
        <v>0</v>
      </c>
      <c r="S357" s="23">
        <f>'RESUMEN TOTAL'!X360</f>
        <v>0</v>
      </c>
      <c r="T357" s="23">
        <f>'RESUMEN TOTAL'!Y360</f>
        <v>0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3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3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3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3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3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3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3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>
        <f>'RESUMEN TOTAL'!T367</f>
        <v>0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3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3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>
        <f>'RESUMEN TOTAL'!T369</f>
        <v>0</v>
      </c>
      <c r="P366" s="23">
        <f>'RESUMEN TOTAL'!U369</f>
        <v>0</v>
      </c>
      <c r="Q366" s="23">
        <f>'RESUMEN TOTAL'!V369</f>
        <v>0</v>
      </c>
      <c r="R366" s="23">
        <f>'RESUMEN TOTAL'!W369</f>
        <v>0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3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3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>
        <f>'RESUMEN TOTAL'!U371</f>
        <v>0</v>
      </c>
      <c r="Q368" s="23">
        <f>'RESUMEN TOTAL'!V371</f>
        <v>0</v>
      </c>
      <c r="R368" s="23">
        <f>'RESUMEN TOTAL'!W371</f>
        <v>0</v>
      </c>
      <c r="S368" s="23">
        <f>'RESUMEN TOTAL'!X371</f>
        <v>0</v>
      </c>
      <c r="T368" s="23">
        <f>'RESUMEN TOTAL'!Y371</f>
        <v>0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3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>
        <f>'RESUMEN TOTAL'!P372</f>
        <v>0</v>
      </c>
      <c r="L369" s="23">
        <f>'RESUMEN TOTAL'!Q372</f>
        <v>0</v>
      </c>
      <c r="M369" s="23">
        <f>'RESUMEN TOTAL'!R372</f>
        <v>0</v>
      </c>
      <c r="N369" s="23">
        <f>'RESUMEN TOTAL'!S372</f>
        <v>0</v>
      </c>
      <c r="O369" s="23">
        <f>'RESUMEN TOTAL'!T372</f>
        <v>0</v>
      </c>
      <c r="P369" s="23">
        <f>'RESUMEN TOTAL'!U372</f>
        <v>0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3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>
        <f>'RESUMEN TOTAL'!T373</f>
        <v>0</v>
      </c>
      <c r="P370" s="23">
        <f>'RESUMEN TOTAL'!U373</f>
        <v>0</v>
      </c>
      <c r="Q370" s="23">
        <f>'RESUMEN TOTAL'!V373</f>
        <v>0</v>
      </c>
      <c r="R370" s="23">
        <f>'RESUMEN TOTAL'!W373</f>
        <v>0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3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>
        <f>'RESUMEN TOTAL'!S374</f>
        <v>0</v>
      </c>
      <c r="O371" s="23">
        <f>'RESUMEN TOTAL'!T374</f>
        <v>0</v>
      </c>
      <c r="P371" s="23">
        <f>'RESUMEN TOTAL'!U374</f>
        <v>0</v>
      </c>
      <c r="Q371" s="23">
        <f>'RESUMEN TOTAL'!V374</f>
        <v>0</v>
      </c>
      <c r="R371" s="23">
        <f>'RESUMEN TOTAL'!W374</f>
        <v>0</v>
      </c>
      <c r="S371" s="23">
        <f>'RESUMEN TOTAL'!X374</f>
        <v>0</v>
      </c>
      <c r="T371" s="23">
        <f>'RESUMEN TOTAL'!Y374</f>
        <v>0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3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3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>
        <f>'RESUMEN TOTAL'!Y376</f>
        <v>0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3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3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>
        <f>'RESUMEN TOTAL'!T378</f>
        <v>0</v>
      </c>
      <c r="P375" s="23">
        <f>'RESUMEN TOTAL'!U378</f>
        <v>0</v>
      </c>
      <c r="Q375" s="23">
        <f>'RESUMEN TOTAL'!V378</f>
        <v>0</v>
      </c>
      <c r="R375" s="23">
        <f>'RESUMEN TOTAL'!W378</f>
        <v>0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3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>
        <f>'RESUMEN TOTAL'!O379</f>
        <v>0</v>
      </c>
      <c r="K376" s="23">
        <f>'RESUMEN TOTAL'!P379</f>
        <v>0</v>
      </c>
      <c r="L376" s="23">
        <f>'RESUMEN TOTAL'!Q379</f>
        <v>0</v>
      </c>
      <c r="M376" s="23">
        <f>'RESUMEN TOTAL'!R379</f>
        <v>0</v>
      </c>
      <c r="N376" s="23">
        <f>'RESUMEN TOTAL'!S379</f>
        <v>0</v>
      </c>
      <c r="O376" s="23">
        <f>'RESUMEN TOTAL'!T379</f>
        <v>0</v>
      </c>
      <c r="P376" s="23">
        <f>'RESUMEN TOTAL'!U379</f>
        <v>0</v>
      </c>
      <c r="Q376" s="23">
        <f>'RESUMEN TOTAL'!V379</f>
        <v>0</v>
      </c>
      <c r="R376" s="23">
        <f>'RESUMEN TOTAL'!W379</f>
        <v>0</v>
      </c>
      <c r="S376" s="23">
        <f>'RESUMEN TOTAL'!X379</f>
        <v>0</v>
      </c>
      <c r="T376" s="23">
        <f>'RESUMEN TOTAL'!Y379</f>
        <v>0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3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>
        <f>'RESUMEN TOTAL'!W380</f>
        <v>0</v>
      </c>
      <c r="S377" s="23">
        <f>'RESUMEN TOTAL'!X380</f>
        <v>0</v>
      </c>
      <c r="T377" s="23">
        <f>'RESUMEN TOTAL'!Y380</f>
        <v>0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3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>
        <f>'RESUMEN TOTAL'!Y381</f>
        <v>0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3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>
        <f>'RESUMEN TOTAL'!T382</f>
        <v>0</v>
      </c>
      <c r="P379" s="23">
        <f>'RESUMEN TOTAL'!U382</f>
        <v>0</v>
      </c>
      <c r="Q379" s="23">
        <f>'RESUMEN TOTAL'!V382</f>
        <v>0</v>
      </c>
      <c r="R379" s="23">
        <f>'RESUMEN TOTAL'!W382</f>
        <v>0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3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>
        <f>'RESUMEN TOTAL'!U383</f>
        <v>0</v>
      </c>
      <c r="Q380" s="23">
        <f>'RESUMEN TOTAL'!V383</f>
        <v>0</v>
      </c>
      <c r="R380" s="23">
        <f>'RESUMEN TOTAL'!W383</f>
        <v>0</v>
      </c>
      <c r="S380" s="23">
        <f>'RESUMEN TOTAL'!X383</f>
        <v>0</v>
      </c>
      <c r="T380" s="23">
        <f>'RESUMEN TOTAL'!Y383</f>
        <v>0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3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3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3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3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>
        <f>'RESUMEN TOTAL'!O387</f>
        <v>0</v>
      </c>
      <c r="K384" s="23">
        <f>'RESUMEN TOTAL'!P387</f>
        <v>0</v>
      </c>
      <c r="L384" s="23">
        <f>'RESUMEN TOTAL'!Q387</f>
        <v>0</v>
      </c>
      <c r="M384" s="23">
        <f>'RESUMEN TOTAL'!R387</f>
        <v>0</v>
      </c>
      <c r="N384" s="23">
        <f>'RESUMEN TOTAL'!S387</f>
        <v>0</v>
      </c>
      <c r="O384" s="23">
        <f>'RESUMEN TOTAL'!T387</f>
        <v>0</v>
      </c>
      <c r="P384" s="23">
        <f>'RESUMEN TOTAL'!U387</f>
        <v>0</v>
      </c>
      <c r="Q384" s="23">
        <f>'RESUMEN TOTAL'!V387</f>
        <v>0</v>
      </c>
      <c r="R384" s="23">
        <f>'RESUMEN TOTAL'!W387</f>
        <v>0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3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3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3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>
        <f>'RESUMEN TOTAL'!U390</f>
        <v>0</v>
      </c>
      <c r="Q387" s="23">
        <f>'RESUMEN TOTAL'!V390</f>
        <v>0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3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>
        <f>'RESUMEN TOTAL'!U391</f>
        <v>0</v>
      </c>
      <c r="Q388" s="23">
        <f>'RESUMEN TOTAL'!V391</f>
        <v>0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3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3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3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>
        <f>'RESUMEN TOTAL'!T394</f>
        <v>0</v>
      </c>
      <c r="P391" s="23">
        <f>'RESUMEN TOTAL'!U394</f>
        <v>0</v>
      </c>
      <c r="Q391" s="23">
        <f>'RESUMEN TOTAL'!V394</f>
        <v>0</v>
      </c>
      <c r="R391" s="23">
        <f>'RESUMEN TOTAL'!W394</f>
        <v>0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3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>
        <f>'RESUMEN TOTAL'!T395</f>
        <v>0</v>
      </c>
      <c r="P392" s="23">
        <f>'RESUMEN TOTAL'!U395</f>
        <v>0</v>
      </c>
      <c r="Q392" s="23">
        <f>'RESUMEN TOTAL'!V395</f>
        <v>0</v>
      </c>
      <c r="R392" s="23">
        <f>'RESUMEN TOTAL'!W395</f>
        <v>0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3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3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3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>
        <f>'RESUMEN TOTAL'!T398</f>
        <v>0</v>
      </c>
      <c r="P395" s="23">
        <f>'RESUMEN TOTAL'!U398</f>
        <v>0</v>
      </c>
      <c r="Q395" s="23">
        <f>'RESUMEN TOTAL'!V398</f>
        <v>0</v>
      </c>
      <c r="R395" s="23">
        <f>'RESUMEN TOTAL'!W398</f>
        <v>0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3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>
        <f>'RESUMEN TOTAL'!T399</f>
        <v>0</v>
      </c>
      <c r="P396" s="23">
        <f>'RESUMEN TOTAL'!U399</f>
        <v>0</v>
      </c>
      <c r="Q396" s="23">
        <f>'RESUMEN TOTAL'!V399</f>
        <v>0</v>
      </c>
      <c r="R396" s="23">
        <f>'RESUMEN TOTAL'!W399</f>
        <v>0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3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3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3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3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3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3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3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3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>
        <f>'RESUMEN TOTAL'!S407</f>
        <v>0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3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>
        <f>'RESUMEN TOTAL'!S408</f>
        <v>0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3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>
        <f>'RESUMEN TOTAL'!O409</f>
        <v>0</v>
      </c>
      <c r="K406" s="23">
        <f>'RESUMEN TOTAL'!P409</f>
        <v>0</v>
      </c>
      <c r="L406" s="23">
        <f>'RESUMEN TOTAL'!Q409</f>
        <v>0</v>
      </c>
      <c r="M406" s="23">
        <f>'RESUMEN TOTAL'!R409</f>
        <v>0</v>
      </c>
      <c r="N406" s="23">
        <f>'RESUMEN TOTAL'!S409</f>
        <v>0</v>
      </c>
      <c r="O406" s="23">
        <f>'RESUMEN TOTAL'!T409</f>
        <v>0</v>
      </c>
      <c r="P406" s="23">
        <f>'RESUMEN TOTAL'!U409</f>
        <v>0</v>
      </c>
      <c r="Q406" s="23">
        <f>'RESUMEN TOTAL'!V409</f>
        <v>0</v>
      </c>
      <c r="R406" s="23">
        <f>'RESUMEN TOTAL'!W409</f>
        <v>0</v>
      </c>
      <c r="S406" s="23">
        <f>'RESUMEN TOTAL'!X409</f>
        <v>0</v>
      </c>
      <c r="T406" s="23">
        <f>'RESUMEN TOTAL'!Y409</f>
        <v>0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3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>
        <f>'RESUMEN TOTAL'!O410</f>
        <v>0</v>
      </c>
      <c r="K407" s="23">
        <f>'RESUMEN TOTAL'!P410</f>
        <v>0</v>
      </c>
      <c r="L407" s="23">
        <f>'RESUMEN TOTAL'!Q410</f>
        <v>0</v>
      </c>
      <c r="M407" s="23">
        <f>'RESUMEN TOTAL'!R410</f>
        <v>0</v>
      </c>
      <c r="N407" s="23">
        <f>'RESUMEN TOTAL'!S410</f>
        <v>0</v>
      </c>
      <c r="O407" s="23">
        <f>'RESUMEN TOTAL'!T410</f>
        <v>0</v>
      </c>
      <c r="P407" s="23">
        <f>'RESUMEN TOTAL'!U410</f>
        <v>0</v>
      </c>
      <c r="Q407" s="23">
        <f>'RESUMEN TOTAL'!V410</f>
        <v>0</v>
      </c>
      <c r="R407" s="23">
        <f>'RESUMEN TOTAL'!W410</f>
        <v>0</v>
      </c>
      <c r="S407" s="23">
        <f>'RESUMEN TOTAL'!X410</f>
        <v>0</v>
      </c>
      <c r="T407" s="23">
        <f>'RESUMEN TOTAL'!Y410</f>
        <v>0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3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3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>
        <f>'RESUMEN TOTAL'!R412</f>
        <v>0</v>
      </c>
      <c r="N409" s="23">
        <f>'RESUMEN TOTAL'!S412</f>
        <v>0</v>
      </c>
      <c r="O409" s="23">
        <f>'RESUMEN TOTAL'!T412</f>
        <v>0</v>
      </c>
      <c r="P409" s="23">
        <f>'RESUMEN TOTAL'!U412</f>
        <v>0</v>
      </c>
      <c r="Q409" s="23">
        <f>'RESUMEN TOTAL'!V412</f>
        <v>0</v>
      </c>
      <c r="R409" s="23">
        <f>'RESUMEN TOTAL'!W412</f>
        <v>0</v>
      </c>
      <c r="S409" s="23">
        <f>'RESUMEN TOTAL'!X412</f>
        <v>0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3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3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3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3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3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3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3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3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>
        <f>'RESUMEN TOTAL'!O420</f>
        <v>0</v>
      </c>
      <c r="K417" s="23">
        <f>'RESUMEN TOTAL'!P420</f>
        <v>0</v>
      </c>
      <c r="L417" s="23">
        <f>'RESUMEN TOTAL'!Q420</f>
        <v>0</v>
      </c>
      <c r="M417" s="23">
        <f>'RESUMEN TOTAL'!R420</f>
        <v>0</v>
      </c>
      <c r="N417" s="23">
        <f>'RESUMEN TOTAL'!S420</f>
        <v>0</v>
      </c>
      <c r="O417" s="23">
        <f>'RESUMEN TOTAL'!T420</f>
        <v>0</v>
      </c>
      <c r="P417" s="23">
        <f>'RESUMEN TOTAL'!U420</f>
        <v>0</v>
      </c>
      <c r="Q417" s="23">
        <f>'RESUMEN TOTAL'!V420</f>
        <v>0</v>
      </c>
      <c r="R417" s="23">
        <f>'RESUMEN TOTAL'!W420</f>
        <v>0</v>
      </c>
      <c r="S417" s="23">
        <f>'RESUMEN TOTAL'!X420</f>
        <v>0</v>
      </c>
      <c r="T417" s="23">
        <f>'RESUMEN TOTAL'!Y420</f>
        <v>0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3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3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3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3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3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3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3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3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>
        <f>'RESUMEN TOTAL'!W428</f>
        <v>0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3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>
        <f>'RESUMEN TOTAL'!T429</f>
        <v>0</v>
      </c>
      <c r="P426" s="23">
        <f>'RESUMEN TOTAL'!U429</f>
        <v>0</v>
      </c>
      <c r="Q426" s="23">
        <f>'RESUMEN TOTAL'!V429</f>
        <v>0</v>
      </c>
      <c r="R426" s="23">
        <f>'RESUMEN TOTAL'!W429</f>
        <v>0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3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>
        <f>'RESUMEN TOTAL'!T430</f>
        <v>0</v>
      </c>
      <c r="P427" s="23">
        <f>'RESUMEN TOTAL'!U430</f>
        <v>0</v>
      </c>
      <c r="Q427" s="23">
        <f>'RESUMEN TOTAL'!V430</f>
        <v>0</v>
      </c>
      <c r="R427" s="23">
        <f>'RESUMEN TOTAL'!W430</f>
        <v>0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3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>
        <f>'RESUMEN TOTAL'!T431</f>
        <v>0</v>
      </c>
      <c r="P428" s="23">
        <f>'RESUMEN TOTAL'!U431</f>
        <v>0</v>
      </c>
      <c r="Q428" s="23">
        <f>'RESUMEN TOTAL'!V431</f>
        <v>0</v>
      </c>
      <c r="R428" s="23">
        <f>'RESUMEN TOTAL'!W431</f>
        <v>0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3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>
        <f>'RESUMEN TOTAL'!T432</f>
        <v>0</v>
      </c>
      <c r="P429" s="23">
        <f>'RESUMEN TOTAL'!U432</f>
        <v>0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3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3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3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3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3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3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3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3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3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3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3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3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3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>
        <f>ESTADISTICA!J384</f>
        <v>0</v>
      </c>
      <c r="K385" s="40">
        <f>ESTADISTICA!K384</f>
        <v>0</v>
      </c>
      <c r="L385" s="40">
        <f>ESTADISTICA!L384</f>
        <v>0</v>
      </c>
      <c r="M385" s="40">
        <f>ESTADISTICA!M384</f>
        <v>0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>
        <f>ESTADISTICA!J406</f>
        <v>0</v>
      </c>
      <c r="K407" s="40">
        <f>ESTADISTICA!K406</f>
        <v>0</v>
      </c>
      <c r="L407" s="40">
        <f>ESTADISTICA!L406</f>
        <v>0</v>
      </c>
      <c r="M407" s="40">
        <f>ESTADISTICA!M406</f>
        <v>0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>
        <f>ESTADISTICA!J407</f>
        <v>0</v>
      </c>
      <c r="K408" s="40">
        <f>ESTADISTICA!K407</f>
        <v>0</v>
      </c>
      <c r="L408" s="40">
        <f>ESTADISTICA!L407</f>
        <v>0</v>
      </c>
      <c r="M408" s="40">
        <f>ESTADISTICA!M407</f>
        <v>0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>
        <f>ESTADISTICA!M409</f>
        <v>0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>
        <f>ESTADISTICA!J417</f>
        <v>0</v>
      </c>
      <c r="K418" s="40">
        <f>ESTADISTICA!K417</f>
        <v>0</v>
      </c>
      <c r="L418" s="40">
        <f>ESTADISTICA!L417</f>
        <v>0</v>
      </c>
      <c r="M418" s="40">
        <f>ESTADISTICA!M417</f>
        <v>0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J6" sqref="J6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COUNTIFS(J4:J400, "=APAGADO",E4:E400,"=Fibra Optica")</f>
        <v>0</v>
      </c>
      <c r="K2" s="19">
        <f>COUNTIFS(K4:K400, "=APAGADO",E4:E400,"=Fibra Optica")</f>
        <v>0</v>
      </c>
      <c r="L2" s="19">
        <f>COUNTIFS(L4:L400, "=APAGADO",E4:E400,"=Fibra Optica")</f>
        <v>0</v>
      </c>
      <c r="M2" s="19">
        <f>COUNTIFS(M4:M400, "=APAGADO",E4:E400,"=Fibra Optica")</f>
        <v>0</v>
      </c>
      <c r="N2" s="19">
        <f>COUNTIFS(N4:N400, "=APAGADO",E4:E400,"=Fibra Optica")</f>
        <v>0</v>
      </c>
      <c r="O2" s="19">
        <f>COUNTIFS(O4:O400, "=APAGADO",E4:E400,"=Fibra Optica")</f>
        <v>0</v>
      </c>
      <c r="P2" s="19">
        <f>COUNTIFS(P4:P400, "=APAGADO",E4:E400,"=Fibra Optica")</f>
        <v>0</v>
      </c>
      <c r="Q2" s="19">
        <f>COUNTIFS(Q4:Q400, "=APAGADO",E4:E400,"=Fibra Optica")</f>
        <v>0</v>
      </c>
      <c r="R2" s="19">
        <f>COUNTIFS(R4:R400, "=APAGADO",E4:E400,"=Fibra Optica")</f>
        <v>0</v>
      </c>
      <c r="S2" s="19">
        <f>COUNTIFS(S4:S400, "=APAGADO",E4:E400,"=Fibra Optica")</f>
        <v>0</v>
      </c>
      <c r="T2" s="19">
        <f>COUNTIFS(T4:T400, "=APAGADO",E4:E400,"=Fibra Optica")</f>
        <v>0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>
        <f>ESTADISTICA!J13</f>
        <v>0</v>
      </c>
      <c r="K15" s="40">
        <f>ESTADISTICA!K13</f>
        <v>0</v>
      </c>
      <c r="L15" s="40">
        <f>ESTADISTICA!L13</f>
        <v>0</v>
      </c>
      <c r="M15" s="40">
        <f>ESTADISTICA!M13</f>
        <v>0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>
        <f>ESTADISTICA!J32</f>
        <v>0</v>
      </c>
      <c r="K34" s="40">
        <f>ESTADISTICA!K32</f>
        <v>0</v>
      </c>
      <c r="L34" s="40">
        <f>ESTADISTICA!L32</f>
        <v>0</v>
      </c>
      <c r="M34" s="40">
        <f>ESTADISTICA!M32</f>
        <v>0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>
        <f>ESTADISTICA!J36</f>
        <v>0</v>
      </c>
      <c r="K38" s="40">
        <f>ESTADISTICA!K36</f>
        <v>0</v>
      </c>
      <c r="L38" s="40">
        <f>ESTADISTICA!L36</f>
        <v>0</v>
      </c>
      <c r="M38" s="40">
        <f>ESTADISTICA!M36</f>
        <v>0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>
        <f>ESTADISTICA!J38</f>
        <v>0</v>
      </c>
      <c r="K40" s="40">
        <f>ESTADISTICA!K38</f>
        <v>0</v>
      </c>
      <c r="L40" s="40">
        <f>ESTADISTICA!L38</f>
        <v>0</v>
      </c>
      <c r="M40" s="40">
        <f>ESTADISTICA!M38</f>
        <v>0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>
        <f>ESTADISTICA!J46</f>
        <v>0</v>
      </c>
      <c r="K48" s="40">
        <f>ESTADISTICA!K46</f>
        <v>0</v>
      </c>
      <c r="L48" s="40">
        <f>ESTADISTICA!L46</f>
        <v>0</v>
      </c>
      <c r="M48" s="40">
        <f>ESTADISTICA!M46</f>
        <v>0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>
        <f>ESTADISTICA!J47</f>
        <v>0</v>
      </c>
      <c r="K49" s="40">
        <f>ESTADISTICA!K47</f>
        <v>0</v>
      </c>
      <c r="L49" s="40">
        <f>ESTADISTICA!L47</f>
        <v>0</v>
      </c>
      <c r="M49" s="40">
        <f>ESTADISTICA!M47</f>
        <v>0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>
        <f>ESTADISTICA!J49</f>
        <v>0</v>
      </c>
      <c r="K51" s="40">
        <f>ESTADISTICA!K49</f>
        <v>0</v>
      </c>
      <c r="L51" s="40">
        <f>ESTADISTICA!L49</f>
        <v>0</v>
      </c>
      <c r="M51" s="40">
        <f>ESTADISTICA!M49</f>
        <v>0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>
        <f>ESTADISTICA!J52</f>
        <v>0</v>
      </c>
      <c r="K54" s="40">
        <f>ESTADISTICA!K52</f>
        <v>0</v>
      </c>
      <c r="L54" s="40">
        <f>ESTADISTICA!L52</f>
        <v>0</v>
      </c>
      <c r="M54" s="40">
        <f>ESTADISTICA!M52</f>
        <v>0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>
        <f>ESTADISTICA!J54</f>
        <v>0</v>
      </c>
      <c r="K56" s="40">
        <f>ESTADISTICA!K54</f>
        <v>0</v>
      </c>
      <c r="L56" s="40">
        <f>ESTADISTICA!L54</f>
        <v>0</v>
      </c>
      <c r="M56" s="40">
        <f>ESTADISTICA!M54</f>
        <v>0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>
        <f>ESTADISTICA!J67</f>
        <v>0</v>
      </c>
      <c r="K69" s="40">
        <f>ESTADISTICA!K67</f>
        <v>0</v>
      </c>
      <c r="L69" s="40">
        <f>ESTADISTICA!L67</f>
        <v>0</v>
      </c>
      <c r="M69" s="40">
        <f>ESTADISTICA!M67</f>
        <v>0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>
        <f>ESTADISTICA!J73</f>
        <v>0</v>
      </c>
      <c r="K75" s="40">
        <f>ESTADISTICA!K73</f>
        <v>0</v>
      </c>
      <c r="L75" s="40">
        <f>ESTADISTICA!L73</f>
        <v>0</v>
      </c>
      <c r="M75" s="40">
        <f>ESTADISTICA!M73</f>
        <v>0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>
        <f>ESTADISTICA!J75</f>
        <v>0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>
        <f>ESTADISTICA!L83</f>
        <v>0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>
        <f>ESTADISTICA!J92</f>
        <v>0</v>
      </c>
      <c r="K94" s="40">
        <f>ESTADISTICA!K92</f>
        <v>0</v>
      </c>
      <c r="L94" s="40">
        <f>ESTADISTICA!L92</f>
        <v>0</v>
      </c>
      <c r="M94" s="40">
        <f>ESTADISTICA!M92</f>
        <v>0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>
        <f>ESTADISTICA!J96</f>
        <v>0</v>
      </c>
      <c r="K98" s="40">
        <f>ESTADISTICA!K96</f>
        <v>0</v>
      </c>
      <c r="L98" s="40">
        <f>ESTADISTICA!L96</f>
        <v>0</v>
      </c>
      <c r="M98" s="40">
        <f>ESTADISTICA!M96</f>
        <v>0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>
        <f>ESTADISTICA!J99</f>
        <v>0</v>
      </c>
      <c r="K101" s="40">
        <f>ESTADISTICA!K99</f>
        <v>0</v>
      </c>
      <c r="L101" s="40">
        <f>ESTADISTICA!L99</f>
        <v>0</v>
      </c>
      <c r="M101" s="40">
        <f>ESTADISTICA!M99</f>
        <v>0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>
        <f>ESTADISTICA!J100</f>
        <v>0</v>
      </c>
      <c r="K102" s="40">
        <f>ESTADISTICA!K100</f>
        <v>0</v>
      </c>
      <c r="L102" s="40">
        <f>ESTADISTICA!L100</f>
        <v>0</v>
      </c>
      <c r="M102" s="40">
        <f>ESTADISTICA!M100</f>
        <v>0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>
        <f>ESTADISTICA!K121</f>
        <v>0</v>
      </c>
      <c r="L123" s="40">
        <f>ESTADISTICA!L121</f>
        <v>0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>
        <f>ESTADISTICA!J163</f>
        <v>0</v>
      </c>
      <c r="K165" s="40">
        <f>ESTADISTICA!K163</f>
        <v>0</v>
      </c>
      <c r="L165" s="40">
        <f>ESTADISTICA!L163</f>
        <v>0</v>
      </c>
      <c r="M165" s="40">
        <f>ESTADISTICA!M163</f>
        <v>0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>
        <f>ESTADISTICA!J164</f>
        <v>0</v>
      </c>
      <c r="K166" s="40">
        <f>ESTADISTICA!K164</f>
        <v>0</v>
      </c>
      <c r="L166" s="40">
        <f>ESTADISTICA!L164</f>
        <v>0</v>
      </c>
      <c r="M166" s="40">
        <f>ESTADISTICA!M164</f>
        <v>0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>
        <f>ESTADISTICA!J173</f>
        <v>0</v>
      </c>
      <c r="K175" s="40">
        <f>ESTADISTICA!K173</f>
        <v>0</v>
      </c>
      <c r="L175" s="40">
        <f>ESTADISTICA!L173</f>
        <v>0</v>
      </c>
      <c r="M175" s="40">
        <f>ESTADISTICA!M173</f>
        <v>0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>
        <f>ESTADISTICA!J175</f>
        <v>0</v>
      </c>
      <c r="K177" s="40">
        <f>ESTADISTICA!K175</f>
        <v>0</v>
      </c>
      <c r="L177" s="40">
        <f>ESTADISTICA!L175</f>
        <v>0</v>
      </c>
      <c r="M177" s="40">
        <f>ESTADISTICA!M175</f>
        <v>0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>
        <f>ESTADISTICA!J180</f>
        <v>0</v>
      </c>
      <c r="K182" s="40">
        <f>ESTADISTICA!K180</f>
        <v>0</v>
      </c>
      <c r="L182" s="40">
        <f>ESTADISTICA!L180</f>
        <v>0</v>
      </c>
      <c r="M182" s="40">
        <f>ESTADISTICA!M180</f>
        <v>0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>
        <f>ESTADISTICA!J182</f>
        <v>0</v>
      </c>
      <c r="K184" s="40">
        <f>ESTADISTICA!K182</f>
        <v>0</v>
      </c>
      <c r="L184" s="40">
        <f>ESTADISTICA!L182</f>
        <v>0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>
        <f>ESTADISTICA!J183</f>
        <v>0</v>
      </c>
      <c r="K185" s="40">
        <f>ESTADISTICA!K183</f>
        <v>0</v>
      </c>
      <c r="L185" s="40">
        <f>ESTADISTICA!L183</f>
        <v>0</v>
      </c>
      <c r="M185" s="40">
        <f>ESTADISTICA!M183</f>
        <v>0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>
        <f>ESTADISTICA!J185</f>
        <v>0</v>
      </c>
      <c r="K187" s="40">
        <f>ESTADISTICA!K185</f>
        <v>0</v>
      </c>
      <c r="L187" s="40">
        <f>ESTADISTICA!L185</f>
        <v>0</v>
      </c>
      <c r="M187" s="40">
        <f>ESTADISTICA!M185</f>
        <v>0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>
        <f>ESTADISTICA!J196</f>
        <v>0</v>
      </c>
      <c r="K198" s="40">
        <f>ESTADISTICA!K196</f>
        <v>0</v>
      </c>
      <c r="L198" s="40">
        <f>ESTADISTICA!L196</f>
        <v>0</v>
      </c>
      <c r="M198" s="40">
        <f>ESTADISTICA!M196</f>
        <v>0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>
        <f>ESTADISTICA!J207</f>
        <v>0</v>
      </c>
      <c r="K209" s="40">
        <f>ESTADISTICA!K207</f>
        <v>0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>
        <f>ESTADISTICA!K227</f>
        <v>0</v>
      </c>
      <c r="L229" s="40">
        <f>ESTADISTICA!L227</f>
        <v>0</v>
      </c>
      <c r="M229" s="40">
        <f>ESTADISTICA!M227</f>
        <v>0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>
        <f>ESTADISTICA!J234</f>
        <v>0</v>
      </c>
      <c r="K236" s="40">
        <f>ESTADISTICA!K234</f>
        <v>0</v>
      </c>
      <c r="L236" s="40">
        <f>ESTADISTICA!L234</f>
        <v>0</v>
      </c>
      <c r="M236" s="40">
        <f>ESTADISTICA!M234</f>
        <v>0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>
        <f>ESTADISTICA!J254</f>
        <v>0</v>
      </c>
      <c r="K256" s="40">
        <f>ESTADISTICA!K254</f>
        <v>0</v>
      </c>
      <c r="L256" s="40">
        <f>ESTADISTICA!L254</f>
        <v>0</v>
      </c>
      <c r="M256" s="40">
        <f>ESTADISTICA!M254</f>
        <v>0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>
        <f>ESTADISTICA!J312</f>
        <v>0</v>
      </c>
      <c r="K314" s="40">
        <f>ESTADISTICA!K312</f>
        <v>0</v>
      </c>
      <c r="L314" s="40">
        <f>ESTADISTICA!L312</f>
        <v>0</v>
      </c>
      <c r="M314" s="40">
        <f>ESTADISTICA!M312</f>
        <v>0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>
        <f>ESTADISTICA!J313</f>
        <v>0</v>
      </c>
      <c r="K315" s="40">
        <f>ESTADISTICA!K313</f>
        <v>0</v>
      </c>
      <c r="L315" s="40">
        <f>ESTADISTICA!L313</f>
        <v>0</v>
      </c>
      <c r="M315" s="40">
        <f>ESTADISTICA!M313</f>
        <v>0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>
        <f>ESTADISTICA!L322</f>
        <v>0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>
        <f>ESTADISTICA!J344</f>
        <v>0</v>
      </c>
      <c r="K346" s="40">
        <f>ESTADISTICA!K344</f>
        <v>0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>
        <f>ESTADISTICA!J351</f>
        <v>0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>
        <f>ESTADISTICA!J357</f>
        <v>0</v>
      </c>
      <c r="K359" s="40">
        <f>ESTADISTICA!K357</f>
        <v>0</v>
      </c>
      <c r="L359" s="40">
        <f>ESTADISTICA!L357</f>
        <v>0</v>
      </c>
      <c r="M359" s="40">
        <f>ESTADISTICA!M357</f>
        <v>0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416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COUNTIFS(J4:J400, "=APAGADO",E4:E400,"=PTO A FO")</f>
        <v>0</v>
      </c>
      <c r="K2" s="19">
        <f>COUNTIFS(K4:K400, "=APAGADO",E4:E400,"=PTO A FO")</f>
        <v>0</v>
      </c>
      <c r="L2" s="19">
        <f>COUNTIFS(L4:L400, "=APAGADO",E4:E400,"=PTO A FO")</f>
        <v>0</v>
      </c>
      <c r="M2" s="19">
        <f>COUNTIFS(M4:M400, "=APAGADO",E4:E400,"=PTO A FO")</f>
        <v>0</v>
      </c>
      <c r="N2" s="19">
        <f>COUNTIFS(N4:N400, "=APAGADO",E4:E400,"=PTO A FO")</f>
        <v>0</v>
      </c>
      <c r="O2" s="19">
        <f>COUNTIFS(O4:O500, "=APAGADO",E4:E500,"=PTO A FO")</f>
        <v>0</v>
      </c>
      <c r="P2" s="19">
        <f>COUNTIFS(P4:P400, "=APAGADO",E4:E400,"=PTO A FO")</f>
        <v>0</v>
      </c>
      <c r="Q2" s="19">
        <f>COUNTIFS(Q4:Q400, "=APAGADO",E4:E400,"=PTO A FO")</f>
        <v>0</v>
      </c>
      <c r="R2" s="19">
        <f>COUNTIFS(R4:R400, "=APAGADO",E4:E400,"=PTO A FO")</f>
        <v>0</v>
      </c>
      <c r="S2" s="19">
        <f>COUNTIFS(S4:S400, "=APAGADO",E4:E400,"=PTO A FO")</f>
        <v>0</v>
      </c>
      <c r="T2" s="19">
        <f>COUNTIFS(T4:T400, "=APAGADO",E4:E400,"=PTO A FO")</f>
        <v>0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COUNTIFS(S4:S367, "=APAGADO",E4:E367,"=radio")</f>
        <v>0</v>
      </c>
      <c r="T2" s="19">
        <f>COUNTIFS(T4:T367, "=APAGADO",E4:E367,"=radio")</f>
        <v>0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2" sqref="A12:E16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430</v>
      </c>
      <c r="C2" s="77"/>
      <c r="D2" s="78"/>
      <c r="E2" s="136">
        <v>44866</v>
      </c>
    </row>
    <row r="3" spans="1:13" ht="15" customHeight="1" thickTop="1" x14ac:dyDescent="0.3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37"/>
      <c r="G3" s="83"/>
      <c r="H3" s="84"/>
      <c r="I3" s="84"/>
      <c r="J3" s="84"/>
      <c r="K3" s="85"/>
      <c r="L3" s="86"/>
      <c r="M3" s="141"/>
    </row>
    <row r="4" spans="1:13" x14ac:dyDescent="0.3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37"/>
      <c r="G4" s="87"/>
      <c r="H4" s="88"/>
      <c r="I4" s="88"/>
      <c r="J4" s="88"/>
      <c r="K4" s="89"/>
      <c r="L4" s="90"/>
      <c r="M4" s="142"/>
    </row>
    <row r="5" spans="1:13" x14ac:dyDescent="0.3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37"/>
      <c r="G5" s="87"/>
      <c r="H5" s="88"/>
      <c r="I5" s="88"/>
      <c r="J5" s="88"/>
      <c r="K5" s="89"/>
      <c r="L5" s="90"/>
      <c r="M5" s="142"/>
    </row>
    <row r="6" spans="1:13" ht="15" thickBot="1" x14ac:dyDescent="0.35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38"/>
      <c r="G6" s="87"/>
      <c r="H6" s="88"/>
      <c r="I6" s="88"/>
      <c r="J6" s="88"/>
      <c r="K6" s="89"/>
      <c r="L6" s="90"/>
      <c r="M6" s="142"/>
    </row>
    <row r="7" spans="1:13" ht="15" customHeight="1" thickTop="1" x14ac:dyDescent="0.3">
      <c r="A7" s="75" t="s">
        <v>999</v>
      </c>
      <c r="B7" s="76">
        <v>430</v>
      </c>
      <c r="C7" s="77"/>
      <c r="D7" s="78"/>
      <c r="E7" s="136">
        <v>44868</v>
      </c>
      <c r="G7" s="87"/>
      <c r="H7" s="88"/>
      <c r="I7" s="88"/>
      <c r="J7" s="88"/>
      <c r="K7" s="89"/>
      <c r="L7" s="90"/>
      <c r="M7" s="142"/>
    </row>
    <row r="8" spans="1:13" ht="15" thickBot="1" x14ac:dyDescent="0.35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37"/>
      <c r="G8" s="95"/>
      <c r="H8" s="96"/>
      <c r="I8" s="96"/>
      <c r="J8" s="96"/>
      <c r="K8" s="97"/>
      <c r="L8" s="98"/>
      <c r="M8" s="144"/>
    </row>
    <row r="9" spans="1:13" ht="15.6" thickTop="1" thickBot="1" x14ac:dyDescent="0.35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37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37"/>
      <c r="G10" s="103"/>
      <c r="H10" s="104"/>
      <c r="I10" s="104"/>
      <c r="J10" s="104"/>
      <c r="K10" s="105"/>
      <c r="L10" s="106"/>
      <c r="M10" s="141"/>
    </row>
    <row r="11" spans="1:13" ht="15" thickBot="1" x14ac:dyDescent="0.35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38"/>
      <c r="G11" s="107"/>
      <c r="H11" s="100"/>
      <c r="I11" s="100"/>
      <c r="J11" s="100"/>
      <c r="K11" s="101"/>
      <c r="L11" s="108"/>
      <c r="M11" s="142"/>
    </row>
    <row r="12" spans="1:13" ht="15" thickTop="1" x14ac:dyDescent="0.3">
      <c r="A12" s="75" t="s">
        <v>999</v>
      </c>
      <c r="B12" s="76">
        <v>430</v>
      </c>
      <c r="C12" s="77"/>
      <c r="D12" s="78"/>
      <c r="E12" s="136">
        <v>44869</v>
      </c>
      <c r="G12" s="107"/>
      <c r="H12" s="100"/>
      <c r="I12" s="100"/>
      <c r="J12" s="100"/>
      <c r="K12" s="101"/>
      <c r="L12" s="108"/>
      <c r="M12" s="142"/>
    </row>
    <row r="13" spans="1:13" x14ac:dyDescent="0.3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37"/>
      <c r="G13" s="107"/>
      <c r="H13" s="100"/>
      <c r="I13" s="100"/>
      <c r="J13" s="100"/>
      <c r="K13" s="101"/>
      <c r="L13" s="108"/>
      <c r="M13" s="142"/>
    </row>
    <row r="14" spans="1:13" x14ac:dyDescent="0.3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37"/>
      <c r="G14" s="107"/>
      <c r="H14" s="100"/>
      <c r="I14" s="100"/>
      <c r="J14" s="100"/>
      <c r="K14" s="101"/>
      <c r="L14" s="108"/>
      <c r="M14" s="142"/>
    </row>
    <row r="15" spans="1:13" ht="15" customHeight="1" thickBot="1" x14ac:dyDescent="0.35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37"/>
      <c r="G15" s="109"/>
      <c r="H15" s="110"/>
      <c r="I15" s="110"/>
      <c r="J15" s="110"/>
      <c r="K15" s="110"/>
      <c r="L15" s="111"/>
      <c r="M15" s="143"/>
    </row>
    <row r="16" spans="1:13" ht="15.6" thickTop="1" thickBot="1" x14ac:dyDescent="0.35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38"/>
      <c r="G16" s="112"/>
      <c r="H16" s="113"/>
      <c r="I16" s="113"/>
      <c r="J16" s="113"/>
      <c r="K16" s="114"/>
      <c r="L16" s="115"/>
      <c r="M16" s="141"/>
    </row>
    <row r="17" spans="1:14" ht="15" thickTop="1" x14ac:dyDescent="0.3">
      <c r="A17" s="75"/>
      <c r="B17" s="76"/>
      <c r="C17" s="77"/>
      <c r="D17" s="78"/>
      <c r="E17" s="136"/>
      <c r="G17" s="116"/>
      <c r="H17" s="100"/>
      <c r="I17" s="100"/>
      <c r="J17" s="100"/>
      <c r="K17" s="101"/>
      <c r="L17" s="117"/>
      <c r="M17" s="142"/>
    </row>
    <row r="18" spans="1:14" x14ac:dyDescent="0.3">
      <c r="A18" s="79"/>
      <c r="B18" s="80"/>
      <c r="C18" s="81"/>
      <c r="D18" s="82"/>
      <c r="E18" s="137"/>
      <c r="G18" s="116"/>
      <c r="H18" s="100"/>
      <c r="I18" s="100"/>
      <c r="J18" s="100"/>
      <c r="K18" s="101"/>
      <c r="L18" s="117"/>
      <c r="M18" s="142"/>
    </row>
    <row r="19" spans="1:14" x14ac:dyDescent="0.3">
      <c r="A19" s="79"/>
      <c r="B19" s="80"/>
      <c r="C19" s="81"/>
      <c r="D19" s="82"/>
      <c r="E19" s="137"/>
      <c r="G19" s="116"/>
      <c r="H19" s="100"/>
      <c r="I19" s="100"/>
      <c r="J19" s="100"/>
      <c r="K19" s="101"/>
      <c r="L19" s="117"/>
      <c r="M19" s="142"/>
    </row>
    <row r="20" spans="1:14" x14ac:dyDescent="0.3">
      <c r="A20" s="79"/>
      <c r="B20" s="80"/>
      <c r="C20" s="81"/>
      <c r="D20" s="82"/>
      <c r="E20" s="137"/>
      <c r="G20" s="116"/>
      <c r="H20" s="100"/>
      <c r="I20" s="100"/>
      <c r="J20" s="100"/>
      <c r="K20" s="101"/>
      <c r="L20" s="117"/>
      <c r="M20" s="142"/>
    </row>
    <row r="21" spans="1:14" ht="15" thickBot="1" x14ac:dyDescent="0.35">
      <c r="A21" s="91"/>
      <c r="B21" s="92"/>
      <c r="C21" s="93"/>
      <c r="D21" s="82"/>
      <c r="E21" s="138"/>
      <c r="G21" s="109"/>
      <c r="H21" s="110"/>
      <c r="I21" s="110"/>
      <c r="J21" s="110"/>
      <c r="K21" s="110"/>
      <c r="L21" s="111"/>
      <c r="M21" s="143"/>
    </row>
    <row r="22" spans="1:14" ht="15" thickTop="1" x14ac:dyDescent="0.3">
      <c r="A22" s="75" t="s">
        <v>999</v>
      </c>
      <c r="B22" s="76"/>
      <c r="C22" s="77"/>
      <c r="D22" s="78"/>
      <c r="E22" s="136"/>
    </row>
    <row r="23" spans="1:14" ht="15" thickBot="1" x14ac:dyDescent="0.35">
      <c r="A23" s="79" t="s">
        <v>6</v>
      </c>
      <c r="B23" s="80"/>
      <c r="C23" s="81"/>
      <c r="D23" s="82"/>
      <c r="E23" s="137"/>
    </row>
    <row r="24" spans="1:14" ht="15" thickTop="1" x14ac:dyDescent="0.3">
      <c r="A24" s="79" t="s">
        <v>1001</v>
      </c>
      <c r="B24" s="80"/>
      <c r="C24" s="81"/>
      <c r="D24" s="82"/>
      <c r="E24" s="137"/>
      <c r="G24" s="103"/>
      <c r="H24" s="104"/>
      <c r="I24" s="104"/>
      <c r="J24" s="104"/>
      <c r="K24" s="105"/>
      <c r="L24" s="106"/>
      <c r="M24" s="141"/>
    </row>
    <row r="25" spans="1:14" x14ac:dyDescent="0.3">
      <c r="A25" s="79" t="s">
        <v>1000</v>
      </c>
      <c r="B25" s="80"/>
      <c r="C25" s="81"/>
      <c r="D25" s="82"/>
      <c r="E25" s="137"/>
      <c r="G25" s="107"/>
      <c r="H25" s="100"/>
      <c r="I25" s="100"/>
      <c r="J25" s="100"/>
      <c r="K25" s="101"/>
      <c r="L25" s="108"/>
      <c r="M25" s="142"/>
    </row>
    <row r="26" spans="1:14" ht="15" thickBot="1" x14ac:dyDescent="0.35">
      <c r="A26" s="91" t="s">
        <v>16</v>
      </c>
      <c r="B26" s="92"/>
      <c r="C26" s="93"/>
      <c r="D26" s="94"/>
      <c r="E26" s="138"/>
      <c r="G26" s="107"/>
      <c r="H26" s="100"/>
      <c r="I26" s="100"/>
      <c r="J26" s="100"/>
      <c r="K26" s="101"/>
      <c r="L26" s="108"/>
      <c r="M26" s="142"/>
    </row>
    <row r="27" spans="1:14" ht="15" thickTop="1" x14ac:dyDescent="0.3">
      <c r="A27" s="75" t="s">
        <v>999</v>
      </c>
      <c r="B27" s="76"/>
      <c r="C27" s="77"/>
      <c r="D27" s="78"/>
      <c r="E27" s="136"/>
      <c r="G27" s="107"/>
      <c r="H27" s="100"/>
      <c r="I27" s="100"/>
      <c r="J27" s="100"/>
      <c r="K27" s="101"/>
      <c r="L27" s="108"/>
      <c r="M27" s="142"/>
    </row>
    <row r="28" spans="1:14" x14ac:dyDescent="0.3">
      <c r="A28" s="79" t="s">
        <v>6</v>
      </c>
      <c r="B28" s="80"/>
      <c r="C28" s="81"/>
      <c r="D28" s="82"/>
      <c r="E28" s="137"/>
      <c r="G28" s="107"/>
      <c r="H28" s="100"/>
      <c r="I28" s="100"/>
      <c r="J28" s="100"/>
      <c r="K28" s="101"/>
      <c r="L28" s="108"/>
      <c r="M28" s="142"/>
    </row>
    <row r="29" spans="1:14" ht="15" thickBot="1" x14ac:dyDescent="0.35">
      <c r="A29" s="79" t="s">
        <v>1001</v>
      </c>
      <c r="B29" s="80"/>
      <c r="C29" s="81"/>
      <c r="D29" s="82"/>
      <c r="E29" s="137"/>
      <c r="G29" s="109"/>
      <c r="H29" s="110"/>
      <c r="I29" s="110"/>
      <c r="J29" s="110"/>
      <c r="K29" s="110"/>
      <c r="L29" s="111"/>
      <c r="M29" s="143"/>
    </row>
    <row r="30" spans="1:14" ht="15.6" thickTop="1" thickBot="1" x14ac:dyDescent="0.35">
      <c r="A30" s="79" t="s">
        <v>1000</v>
      </c>
      <c r="B30" s="80"/>
      <c r="C30" s="81"/>
      <c r="D30" s="82"/>
      <c r="E30" s="137"/>
    </row>
    <row r="31" spans="1:14" ht="15.6" thickTop="1" thickBot="1" x14ac:dyDescent="0.35">
      <c r="A31" s="91" t="s">
        <v>16</v>
      </c>
      <c r="B31" s="92"/>
      <c r="C31" s="93"/>
      <c r="D31" s="94"/>
      <c r="E31" s="138"/>
      <c r="G31" s="112"/>
      <c r="H31" s="118"/>
      <c r="I31" s="113"/>
      <c r="J31" s="113"/>
      <c r="K31" s="113"/>
      <c r="L31" s="114"/>
      <c r="M31" s="115"/>
      <c r="N31" s="139"/>
    </row>
    <row r="32" spans="1:14" ht="15" thickTop="1" x14ac:dyDescent="0.3">
      <c r="A32" s="75" t="s">
        <v>999</v>
      </c>
      <c r="B32" s="76"/>
      <c r="C32" s="77"/>
      <c r="D32" s="78"/>
      <c r="E32" s="136"/>
      <c r="G32" s="116"/>
      <c r="H32" s="99"/>
      <c r="I32" s="100"/>
      <c r="J32" s="100"/>
      <c r="K32" s="100"/>
      <c r="L32" s="101"/>
      <c r="M32" s="117"/>
      <c r="N32" s="140"/>
    </row>
    <row r="33" spans="1:14" ht="15" thickBot="1" x14ac:dyDescent="0.35">
      <c r="A33" s="79" t="s">
        <v>6</v>
      </c>
      <c r="B33" s="80"/>
      <c r="C33" s="81"/>
      <c r="D33" s="82"/>
      <c r="E33" s="137"/>
      <c r="G33" s="119"/>
      <c r="H33" s="120"/>
      <c r="I33" s="110"/>
      <c r="J33" s="110"/>
      <c r="K33" s="110"/>
      <c r="L33" s="121"/>
      <c r="M33" s="111"/>
      <c r="N33" s="140"/>
    </row>
    <row r="34" spans="1:14" ht="15" thickTop="1" x14ac:dyDescent="0.3">
      <c r="A34" s="79" t="s">
        <v>1001</v>
      </c>
      <c r="B34" s="80"/>
      <c r="C34" s="81"/>
      <c r="D34" s="82"/>
      <c r="E34" s="137"/>
      <c r="G34" s="122"/>
      <c r="K34" s="123"/>
    </row>
    <row r="35" spans="1:14" x14ac:dyDescent="0.3">
      <c r="A35" s="79" t="s">
        <v>1000</v>
      </c>
      <c r="B35" s="80"/>
      <c r="C35" s="81"/>
      <c r="D35" s="82"/>
      <c r="E35" s="137"/>
      <c r="G35" s="122"/>
      <c r="K35" s="123"/>
    </row>
    <row r="36" spans="1:14" ht="15" thickBot="1" x14ac:dyDescent="0.35">
      <c r="A36" s="91" t="s">
        <v>16</v>
      </c>
      <c r="B36" s="92"/>
      <c r="C36" s="93"/>
      <c r="D36" s="94"/>
      <c r="E36" s="138"/>
      <c r="G36" s="122"/>
      <c r="K36" s="123"/>
    </row>
    <row r="37" spans="1:14" ht="15" thickTop="1" x14ac:dyDescent="0.3">
      <c r="A37" s="75" t="s">
        <v>999</v>
      </c>
      <c r="B37" s="76"/>
      <c r="C37" s="77"/>
      <c r="D37" s="78"/>
      <c r="E37" s="136"/>
      <c r="G37" s="122"/>
      <c r="K37" s="123"/>
    </row>
    <row r="38" spans="1:14" x14ac:dyDescent="0.3">
      <c r="A38" s="79" t="s">
        <v>6</v>
      </c>
      <c r="B38" s="80"/>
      <c r="C38" s="81"/>
      <c r="D38" s="82"/>
      <c r="E38" s="137"/>
      <c r="G38" s="122"/>
      <c r="K38" s="123"/>
      <c r="L38" s="124"/>
    </row>
    <row r="39" spans="1:14" ht="15" thickBot="1" x14ac:dyDescent="0.35">
      <c r="A39" s="79" t="s">
        <v>1001</v>
      </c>
      <c r="B39" s="80"/>
      <c r="C39" s="81"/>
      <c r="D39" s="82"/>
      <c r="E39" s="137"/>
    </row>
    <row r="40" spans="1:14" ht="15" thickTop="1" x14ac:dyDescent="0.3">
      <c r="A40" s="79" t="s">
        <v>1000</v>
      </c>
      <c r="B40" s="80"/>
      <c r="C40" s="81"/>
      <c r="D40" s="82"/>
      <c r="E40" s="137"/>
      <c r="G40" s="103"/>
      <c r="H40" s="104"/>
      <c r="I40" s="104"/>
      <c r="J40" s="104"/>
      <c r="K40" s="105"/>
      <c r="L40" s="106"/>
      <c r="M40" s="141"/>
    </row>
    <row r="41" spans="1:14" ht="15" thickBot="1" x14ac:dyDescent="0.35">
      <c r="A41" s="91" t="s">
        <v>16</v>
      </c>
      <c r="B41" s="92"/>
      <c r="C41" s="93"/>
      <c r="D41" s="94"/>
      <c r="E41" s="138"/>
      <c r="G41" s="107"/>
      <c r="H41" s="100"/>
      <c r="I41" s="100"/>
      <c r="J41" s="100"/>
      <c r="K41" s="101"/>
      <c r="L41" s="108"/>
      <c r="M41" s="142"/>
    </row>
    <row r="42" spans="1:14" ht="15" customHeight="1" thickTop="1" x14ac:dyDescent="0.3">
      <c r="A42" s="75" t="s">
        <v>999</v>
      </c>
      <c r="B42" s="76"/>
      <c r="C42" s="77"/>
      <c r="D42" s="78"/>
      <c r="E42" s="136"/>
      <c r="G42" s="107"/>
      <c r="H42" s="100"/>
      <c r="I42" s="100"/>
      <c r="J42" s="100"/>
      <c r="K42" s="101"/>
      <c r="L42" s="108"/>
      <c r="M42" s="142"/>
    </row>
    <row r="43" spans="1:14" x14ac:dyDescent="0.3">
      <c r="A43" s="79" t="s">
        <v>6</v>
      </c>
      <c r="B43" s="80"/>
      <c r="C43" s="81"/>
      <c r="D43" s="82"/>
      <c r="E43" s="137"/>
      <c r="G43" s="107"/>
      <c r="H43" s="100"/>
      <c r="I43" s="100"/>
      <c r="J43" s="100"/>
      <c r="K43" s="101"/>
      <c r="L43" s="108"/>
      <c r="M43" s="142"/>
    </row>
    <row r="44" spans="1:14" x14ac:dyDescent="0.3">
      <c r="A44" s="79" t="s">
        <v>1001</v>
      </c>
      <c r="B44" s="80"/>
      <c r="C44" s="81"/>
      <c r="D44" s="82"/>
      <c r="E44" s="137"/>
      <c r="G44" s="107"/>
      <c r="H44" s="100"/>
      <c r="I44" s="100"/>
      <c r="J44" s="100"/>
      <c r="K44" s="101"/>
      <c r="L44" s="108"/>
      <c r="M44" s="142"/>
    </row>
    <row r="45" spans="1:14" ht="15" thickBot="1" x14ac:dyDescent="0.35">
      <c r="A45" s="79" t="s">
        <v>1000</v>
      </c>
      <c r="B45" s="80"/>
      <c r="C45" s="81"/>
      <c r="D45" s="82"/>
      <c r="E45" s="137"/>
      <c r="G45" s="109"/>
      <c r="H45" s="110"/>
      <c r="I45" s="110"/>
      <c r="J45" s="110"/>
      <c r="K45" s="110"/>
      <c r="L45" s="111"/>
      <c r="M45" s="143"/>
    </row>
    <row r="46" spans="1:14" ht="15.6" thickTop="1" thickBot="1" x14ac:dyDescent="0.35">
      <c r="A46" s="91" t="s">
        <v>16</v>
      </c>
      <c r="B46" s="92"/>
      <c r="C46" s="93"/>
      <c r="D46" s="94"/>
      <c r="E46" s="138"/>
    </row>
    <row r="47" spans="1:14" ht="15" thickTop="1" x14ac:dyDescent="0.3">
      <c r="A47" s="75" t="s">
        <v>999</v>
      </c>
      <c r="B47" s="76"/>
      <c r="C47" s="77"/>
      <c r="D47" s="78"/>
      <c r="E47" s="136"/>
      <c r="G47" s="122"/>
      <c r="K47" s="123"/>
    </row>
    <row r="48" spans="1:14" x14ac:dyDescent="0.3">
      <c r="A48" s="79" t="s">
        <v>6</v>
      </c>
      <c r="B48" s="80"/>
      <c r="C48" s="81"/>
      <c r="D48" s="82"/>
      <c r="E48" s="137"/>
      <c r="G48" s="122"/>
      <c r="K48" s="123"/>
    </row>
    <row r="49" spans="1:11" x14ac:dyDescent="0.3">
      <c r="A49" s="79" t="s">
        <v>1001</v>
      </c>
      <c r="B49" s="80"/>
      <c r="C49" s="81"/>
      <c r="D49" s="82"/>
      <c r="E49" s="137"/>
      <c r="G49" s="122"/>
      <c r="K49" s="123"/>
    </row>
    <row r="50" spans="1:11" x14ac:dyDescent="0.3">
      <c r="A50" s="79" t="s">
        <v>1000</v>
      </c>
      <c r="B50" s="80"/>
      <c r="C50" s="81"/>
      <c r="D50" s="82"/>
      <c r="E50" s="137"/>
      <c r="G50" s="122"/>
      <c r="K50" s="123"/>
    </row>
    <row r="51" spans="1:11" ht="15" thickBot="1" x14ac:dyDescent="0.35">
      <c r="A51" s="91" t="s">
        <v>16</v>
      </c>
      <c r="B51" s="92"/>
      <c r="C51" s="93"/>
      <c r="D51" s="94"/>
      <c r="E51" s="138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36"/>
      <c r="G52" s="122"/>
      <c r="K52" s="123"/>
    </row>
    <row r="53" spans="1:11" x14ac:dyDescent="0.3">
      <c r="A53" s="79" t="s">
        <v>6</v>
      </c>
      <c r="B53" s="80"/>
      <c r="C53" s="81"/>
      <c r="D53" s="82"/>
      <c r="E53" s="137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37"/>
    </row>
    <row r="55" spans="1:11" x14ac:dyDescent="0.3">
      <c r="A55" s="79" t="s">
        <v>1000</v>
      </c>
      <c r="B55" s="80"/>
      <c r="C55" s="81"/>
      <c r="D55" s="82"/>
      <c r="E55" s="137"/>
    </row>
    <row r="56" spans="1:11" ht="15" thickBot="1" x14ac:dyDescent="0.35">
      <c r="A56" s="91" t="s">
        <v>16</v>
      </c>
      <c r="B56" s="92"/>
      <c r="C56" s="93"/>
      <c r="D56" s="94"/>
      <c r="E56" s="138"/>
    </row>
    <row r="57" spans="1:11" ht="15" thickTop="1" x14ac:dyDescent="0.3">
      <c r="A57" s="75" t="s">
        <v>999</v>
      </c>
      <c r="B57" s="76"/>
      <c r="C57" s="77"/>
      <c r="D57" s="78"/>
      <c r="E57" s="136"/>
    </row>
    <row r="58" spans="1:11" x14ac:dyDescent="0.3">
      <c r="A58" s="79" t="s">
        <v>6</v>
      </c>
      <c r="B58" s="80"/>
      <c r="C58" s="81"/>
      <c r="D58" s="82"/>
      <c r="E58" s="137"/>
    </row>
    <row r="59" spans="1:11" x14ac:dyDescent="0.3">
      <c r="A59" s="79" t="s">
        <v>1001</v>
      </c>
      <c r="B59" s="80"/>
      <c r="C59" s="81"/>
      <c r="D59" s="82"/>
      <c r="E59" s="137"/>
    </row>
    <row r="60" spans="1:11" x14ac:dyDescent="0.3">
      <c r="A60" s="79" t="s">
        <v>1000</v>
      </c>
      <c r="B60" s="80"/>
      <c r="C60" s="81"/>
      <c r="D60" s="82"/>
      <c r="E60" s="137"/>
    </row>
    <row r="61" spans="1:11" ht="15" thickBot="1" x14ac:dyDescent="0.35">
      <c r="A61" s="91" t="s">
        <v>16</v>
      </c>
      <c r="B61" s="92"/>
      <c r="C61" s="93"/>
      <c r="D61" s="94"/>
      <c r="E61" s="138"/>
    </row>
    <row r="62" spans="1:11" ht="15" thickTop="1" x14ac:dyDescent="0.3">
      <c r="A62" s="75" t="s">
        <v>999</v>
      </c>
      <c r="B62" s="76"/>
      <c r="C62" s="77"/>
      <c r="D62" s="78"/>
      <c r="E62" s="136"/>
    </row>
    <row r="63" spans="1:11" x14ac:dyDescent="0.3">
      <c r="A63" s="79" t="s">
        <v>6</v>
      </c>
      <c r="B63" s="80"/>
      <c r="C63" s="81"/>
      <c r="D63" s="82"/>
      <c r="E63" s="137"/>
    </row>
    <row r="64" spans="1:11" x14ac:dyDescent="0.3">
      <c r="A64" s="79" t="s">
        <v>1001</v>
      </c>
      <c r="B64" s="80"/>
      <c r="C64" s="81"/>
      <c r="D64" s="82"/>
      <c r="E64" s="137"/>
    </row>
    <row r="65" spans="1:5" x14ac:dyDescent="0.3">
      <c r="A65" s="79" t="s">
        <v>1000</v>
      </c>
      <c r="B65" s="80"/>
      <c r="C65" s="81"/>
      <c r="D65" s="82"/>
      <c r="E65" s="137"/>
    </row>
    <row r="66" spans="1:5" ht="15" thickBot="1" x14ac:dyDescent="0.35">
      <c r="A66" s="91" t="s">
        <v>16</v>
      </c>
      <c r="B66" s="92"/>
      <c r="C66" s="93"/>
      <c r="D66" s="94"/>
      <c r="E66" s="138"/>
    </row>
    <row r="67" spans="1:5" ht="15" thickTop="1" x14ac:dyDescent="0.3">
      <c r="A67" s="75" t="s">
        <v>999</v>
      </c>
      <c r="B67" s="76"/>
      <c r="C67" s="77"/>
      <c r="D67" s="78"/>
      <c r="E67" s="136"/>
    </row>
    <row r="68" spans="1:5" x14ac:dyDescent="0.3">
      <c r="A68" s="79" t="s">
        <v>6</v>
      </c>
      <c r="B68" s="80"/>
      <c r="C68" s="81"/>
      <c r="D68" s="82"/>
      <c r="E68" s="137"/>
    </row>
    <row r="69" spans="1:5" x14ac:dyDescent="0.3">
      <c r="A69" s="79" t="s">
        <v>1001</v>
      </c>
      <c r="B69" s="80"/>
      <c r="C69" s="81"/>
      <c r="D69" s="82"/>
      <c r="E69" s="137"/>
    </row>
    <row r="70" spans="1:5" x14ac:dyDescent="0.3">
      <c r="A70" s="79" t="s">
        <v>1000</v>
      </c>
      <c r="B70" s="80"/>
      <c r="C70" s="81"/>
      <c r="D70" s="82"/>
      <c r="E70" s="137"/>
    </row>
    <row r="71" spans="1:5" ht="15" thickBot="1" x14ac:dyDescent="0.35">
      <c r="A71" s="91" t="s">
        <v>16</v>
      </c>
      <c r="B71" s="92"/>
      <c r="C71" s="93"/>
      <c r="D71" s="94"/>
      <c r="E71" s="138"/>
    </row>
    <row r="72" spans="1:5" ht="15" thickTop="1" x14ac:dyDescent="0.3">
      <c r="A72" s="75" t="s">
        <v>999</v>
      </c>
      <c r="B72" s="76"/>
      <c r="C72" s="77"/>
      <c r="D72" s="78"/>
      <c r="E72" s="136"/>
    </row>
    <row r="73" spans="1:5" x14ac:dyDescent="0.3">
      <c r="A73" s="79" t="s">
        <v>6</v>
      </c>
      <c r="B73" s="80"/>
      <c r="C73" s="81"/>
      <c r="D73" s="82"/>
      <c r="E73" s="137"/>
    </row>
    <row r="74" spans="1:5" x14ac:dyDescent="0.3">
      <c r="A74" s="79" t="s">
        <v>1001</v>
      </c>
      <c r="B74" s="80"/>
      <c r="C74" s="81"/>
      <c r="D74" s="82"/>
      <c r="E74" s="137"/>
    </row>
    <row r="75" spans="1:5" x14ac:dyDescent="0.3">
      <c r="A75" s="79" t="s">
        <v>1000</v>
      </c>
      <c r="B75" s="80"/>
      <c r="C75" s="81"/>
      <c r="D75" s="82"/>
      <c r="E75" s="137"/>
    </row>
    <row r="76" spans="1:5" ht="15" thickBot="1" x14ac:dyDescent="0.35">
      <c r="A76" s="91" t="s">
        <v>16</v>
      </c>
      <c r="B76" s="92"/>
      <c r="C76" s="93"/>
      <c r="D76" s="94"/>
      <c r="E76" s="138"/>
    </row>
    <row r="77" spans="1:5" ht="15" thickTop="1" x14ac:dyDescent="0.3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5" sqref="E5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3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3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3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3">
      <c r="A6" s="18">
        <f>'APAGADOS RADIO'!J3</f>
        <v>44870</v>
      </c>
      <c r="B6" s="40"/>
      <c r="C6" s="40"/>
      <c r="D6" s="40"/>
      <c r="E6" s="40"/>
      <c r="F6" s="40"/>
    </row>
    <row r="7" spans="1:7" x14ac:dyDescent="0.3">
      <c r="A7" s="18">
        <f>'APAGADOS RADIO'!K3</f>
        <v>44871</v>
      </c>
      <c r="B7" s="40"/>
      <c r="C7" s="40"/>
      <c r="D7" s="40"/>
      <c r="E7" s="40"/>
      <c r="F7" s="40"/>
    </row>
    <row r="8" spans="1:7" x14ac:dyDescent="0.3">
      <c r="A8" s="18">
        <f>'APAGADOS RADIO'!L3</f>
        <v>44872</v>
      </c>
      <c r="B8" s="40"/>
      <c r="C8" s="40"/>
      <c r="D8" s="40"/>
      <c r="E8" s="40"/>
      <c r="F8" s="40"/>
    </row>
    <row r="9" spans="1:7" x14ac:dyDescent="0.3">
      <c r="A9" s="18">
        <f>'APAGADOS RADIO'!M3</f>
        <v>44873</v>
      </c>
      <c r="B9" s="40"/>
      <c r="C9" s="40"/>
      <c r="D9" s="40"/>
      <c r="E9" s="40"/>
      <c r="F9" s="40"/>
    </row>
    <row r="10" spans="1:7" x14ac:dyDescent="0.3">
      <c r="A10" s="18">
        <f>'APAGADOS RADIO'!N3</f>
        <v>44874</v>
      </c>
      <c r="B10" s="40"/>
      <c r="C10" s="40"/>
      <c r="D10" s="40"/>
      <c r="E10" s="40"/>
      <c r="F10" s="40"/>
    </row>
    <row r="11" spans="1:7" x14ac:dyDescent="0.3">
      <c r="A11" s="18">
        <f>'APAGADOS RADIO'!O3</f>
        <v>44875</v>
      </c>
      <c r="B11" s="40"/>
      <c r="C11" s="40"/>
      <c r="D11" s="40"/>
      <c r="E11" s="40"/>
      <c r="F11" s="40"/>
    </row>
    <row r="12" spans="1:7" x14ac:dyDescent="0.3">
      <c r="A12" s="18">
        <f>'APAGADOS RADIO'!P3</f>
        <v>44876</v>
      </c>
      <c r="B12" s="40"/>
      <c r="C12" s="40"/>
      <c r="D12" s="40"/>
      <c r="E12" s="40"/>
      <c r="F12" s="40"/>
    </row>
    <row r="13" spans="1:7" x14ac:dyDescent="0.3">
      <c r="A13" s="18">
        <f>'APAGADOS RADIO'!Q3</f>
        <v>44877</v>
      </c>
      <c r="B13" s="40"/>
      <c r="C13" s="40"/>
      <c r="D13" s="40"/>
      <c r="E13" s="40"/>
      <c r="F13" s="40"/>
    </row>
    <row r="14" spans="1:7" x14ac:dyDescent="0.3">
      <c r="A14" s="18">
        <f>'APAGADOS RADIO'!R3</f>
        <v>44878</v>
      </c>
      <c r="B14" s="40"/>
      <c r="C14" s="40"/>
      <c r="D14" s="40"/>
      <c r="E14" s="40"/>
      <c r="F14" s="40"/>
    </row>
    <row r="15" spans="1:7" x14ac:dyDescent="0.3">
      <c r="A15" s="18">
        <f>'APAGADOS RADIO'!S3</f>
        <v>44879</v>
      </c>
      <c r="B15" s="40"/>
      <c r="C15" s="40"/>
      <c r="D15" s="40"/>
      <c r="E15" s="40"/>
      <c r="F15" s="40"/>
    </row>
    <row r="16" spans="1:7" x14ac:dyDescent="0.3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3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3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3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3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3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3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3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3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3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3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3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3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3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3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3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tabSelected="1" workbookViewId="0">
      <selection activeCell="D3" sqref="D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44869</v>
      </c>
    </row>
    <row r="4" spans="2:4" ht="15" thickTop="1" x14ac:dyDescent="0.3">
      <c r="B4" s="68" t="s">
        <v>1159</v>
      </c>
      <c r="C4" s="57">
        <f>COUNTIFS('RESUMEN TOTAL'!C5:C501,"=BONOMO")</f>
        <v>225</v>
      </c>
      <c r="D4" s="64">
        <v>24</v>
      </c>
    </row>
    <row r="5" spans="2:4" ht="15" thickBot="1" x14ac:dyDescent="0.35">
      <c r="B5" s="58"/>
      <c r="C5" s="59"/>
      <c r="D5" s="71">
        <v>0.10666666666666667</v>
      </c>
    </row>
    <row r="6" spans="2:4" ht="15" thickTop="1" x14ac:dyDescent="0.3">
      <c r="B6" s="67" t="s">
        <v>1160</v>
      </c>
      <c r="C6" s="57">
        <f>COUNTIFS('RESUMEN TOTAL'!C5:C501,"=COSEIDI")</f>
        <v>205</v>
      </c>
      <c r="D6" s="66">
        <v>14</v>
      </c>
    </row>
    <row r="7" spans="2:4" ht="15" thickBot="1" x14ac:dyDescent="0.35">
      <c r="B7" s="58"/>
      <c r="C7" s="59"/>
      <c r="D7" s="52">
        <v>6.8292682926829273E-2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I2" sqref="I2:I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0</v>
      </c>
      <c r="K3" s="63">
        <f>COUNTIFS('RESUMEN TOTAL'!D7:D501, "=BONOMO",'RESUMEN TOTAL'!P7:P501,"=APAGADO")</f>
        <v>0</v>
      </c>
      <c r="L3" s="63">
        <f>COUNTIFS('RESUMEN TOTAL'!C7:C501, "=BONOMO",'RESUMEN TOTAL'!Q7:Q501,"=APAGADO")</f>
        <v>0</v>
      </c>
      <c r="M3" s="63">
        <f>COUNTIFS('RESUMEN TOTAL'!D7:D501, "=BONOMO",'RESUMEN TOTAL'!R7:R501,"=APAGADO")</f>
        <v>0</v>
      </c>
      <c r="N3" s="63">
        <f>COUNTIFS('RESUMEN TOTAL'!C7:C501, "=BONOMO",'RESUMEN TOTAL'!S7:S501,"=APAGADO")</f>
        <v>0</v>
      </c>
      <c r="O3" s="63">
        <f>COUNTIFS('RESUMEN TOTAL'!C7:C501, "=BONOMO",'RESUMEN TOTAL'!T7:T501,"=APAGADO")</f>
        <v>0</v>
      </c>
      <c r="P3" s="64">
        <f>COUNTIFS('RESUMEN TOTAL'!C7:C501, "=BONOMO",'RESUMEN TOTAL'!U7:U501,"=APAGADO")</f>
        <v>0</v>
      </c>
      <c r="Q3" s="64">
        <f>COUNTIFS('RESUMEN TOTAL'!C7:C501, "=BONOMO",'RESUMEN TOTAL'!V7:V501,"=APAGADO")</f>
        <v>0</v>
      </c>
      <c r="R3" s="64">
        <f>COUNTIFS('RESUMEN TOTAL'!C7:C501, "=BONOMO",'RESUMEN TOTAL'!W7:W501,"=APAGADO")</f>
        <v>0</v>
      </c>
      <c r="S3" s="64">
        <f>COUNTIFS('RESUMEN TOTAL'!C7:C501, "=BONOMO",'RESUMEN TOTAL'!X7:X501,"=APAGADO")</f>
        <v>0</v>
      </c>
      <c r="T3" s="64">
        <f>COUNTIFS('RESUMEN TOTAL'!C7:C501, "=BONOMO",'RESUMEN TOTAL'!Y7:Y501,"=APAGADO")</f>
        <v>0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</v>
      </c>
      <c r="K4" s="70">
        <f t="shared" ref="K4" si="1">K3/BONOMOcam</f>
        <v>0</v>
      </c>
      <c r="L4" s="70">
        <f t="shared" si="0"/>
        <v>0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0</v>
      </c>
      <c r="K5" s="66">
        <f>COUNTIFS('RESUMEN TOTAL'!D10:D421, "=COSEIDI",'RESUMEN TOTAL'!P10:P421,"=APAGADO")</f>
        <v>0</v>
      </c>
      <c r="L5" s="66">
        <f>COUNTIFS('RESUMEN TOTAL'!C10:C421, "=COSEIDI",'RESUMEN TOTAL'!Q10:Q421,"=APAGADO")</f>
        <v>0</v>
      </c>
      <c r="M5" s="66">
        <f>COUNTIFS('RESUMEN TOTAL'!D10:D421, "=COSEIDI",'RESUMEN TOTAL'!R10:R421,"=APAGADO")</f>
        <v>0</v>
      </c>
      <c r="N5" s="66">
        <f>COUNTIFS('RESUMEN TOTAL'!C10:C421, "=COSEIDI",'RESUMEN TOTAL'!S10:S421,"=APAGADO")</f>
        <v>0</v>
      </c>
      <c r="O5" s="66">
        <f>COUNTIFS('RESUMEN TOTAL'!C10:C421, "=COSEIDI",'RESUMEN TOTAL'!T10:T421,"=APAGADO")</f>
        <v>0</v>
      </c>
      <c r="P5" s="66">
        <f>COUNTIFS('RESUMEN TOTAL'!C10:C421, "=COSEIDI",'RESUMEN TOTAL'!U10:U421,"=APAGADO")</f>
        <v>0</v>
      </c>
      <c r="Q5" s="66">
        <f>COUNTIFS('RESUMEN TOTAL'!C10:C421, "=COSEIDI",'RESUMEN TOTAL'!V10:V421,"=APAGADO")</f>
        <v>0</v>
      </c>
      <c r="R5" s="66">
        <f>COUNTIFS('RESUMEN TOTAL'!C10:C421, "=COSEIDI",'RESUMEN TOTAL'!W10:W421,"=APAGADO")</f>
        <v>0</v>
      </c>
      <c r="S5" s="66">
        <f>COUNTIFS('RESUMEN TOTAL'!C10:C421, "=COSEIDI",'RESUMEN TOTAL'!X10:X421,"=APAGADO")</f>
        <v>0</v>
      </c>
      <c r="T5" s="66">
        <f>COUNTIFS('RESUMEN TOTAL'!C10:C421, "=COSEIDI",'RESUMEN TOTAL'!Y10:Y421,"=APAGADO")</f>
        <v>0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0</v>
      </c>
      <c r="K6" s="70">
        <f t="shared" ref="K6" si="6">K5/COSEIDIcam</f>
        <v>0</v>
      </c>
      <c r="L6" s="70">
        <f t="shared" si="5"/>
        <v>0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2022-11-04T12:02:11Z</dcterms:modified>
</cp:coreProperties>
</file>