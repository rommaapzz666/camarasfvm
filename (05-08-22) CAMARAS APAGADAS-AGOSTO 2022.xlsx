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50AB87BF-EDC1-4C11-9DBF-850D5113E04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" i="2" l="1"/>
  <c r="D43" i="24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C379" i="11"/>
  <c r="E381" i="11"/>
  <c r="B382" i="11"/>
  <c r="N386" i="11"/>
  <c r="P388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F386" i="10" l="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1" i="9" l="1"/>
  <c r="AB3" i="2"/>
  <c r="P3" i="2"/>
  <c r="Q3" i="2"/>
  <c r="R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P1" i="2"/>
  <c r="AH1" i="2"/>
  <c r="AF1" i="2"/>
  <c r="AD1" i="2"/>
  <c r="AA1" i="2"/>
  <c r="Z1" i="2"/>
  <c r="Y1" i="2"/>
  <c r="R1" i="2"/>
  <c r="X1" i="2"/>
  <c r="B1" i="2"/>
  <c r="F30" i="14" s="1"/>
  <c r="AI2" i="21" l="1"/>
  <c r="AH2" i="2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O2" i="11"/>
  <c r="B11" i="14" s="1"/>
  <c r="AG2" i="11"/>
  <c r="R2" i="11"/>
  <c r="B14" i="14" s="1"/>
  <c r="P2" i="11"/>
  <c r="B12" i="14" s="1"/>
  <c r="AB2" i="11"/>
  <c r="B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30" i="14" l="1"/>
  <c r="G30" i="14" s="1"/>
  <c r="E24" i="14"/>
  <c r="G24" i="14" s="1"/>
  <c r="B27" i="14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<sst xmlns="http://schemas.openxmlformats.org/spreadsheetml/2006/main" count="3454" uniqueCount="1402">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</sst>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S128" activePane="bottomRight" state="frozen"/>
      <selection pane="topRight" activeCell="M1" sqref="M1"/>
      <selection pane="bottomLeft" activeCell="A5" sqref="A5"/>
      <selection pane="bottomRight" activeCell="S130" sqref="S130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14.140625" style="22" bestFit="1" customWidth="1"/>
    <col min="45" max="45" width="14.140625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0.10817941952506596</v>
      </c>
      <c r="Q1" s="4">
        <f t="shared" si="0"/>
        <v>8.1794195250659632E-2</v>
      </c>
      <c r="R1" s="4">
        <f t="shared" si="0"/>
        <v>8.9709762532981532E-2</v>
      </c>
      <c r="S1" s="4"/>
      <c r="T1" s="4">
        <f>(T3)/(T2+T3)</f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338</v>
      </c>
      <c r="Q2" s="10">
        <f t="shared" si="3"/>
        <v>348</v>
      </c>
      <c r="R2" s="10">
        <f t="shared" si="3"/>
        <v>345</v>
      </c>
      <c r="S2" s="10"/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41</v>
      </c>
      <c r="Q3" s="14">
        <f t="shared" si="5"/>
        <v>31</v>
      </c>
      <c r="R3" s="14">
        <f t="shared" si="5"/>
        <v>34</v>
      </c>
      <c r="S3" s="14"/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6.5" thickTop="1" thickBot="1" x14ac:dyDescent="0.3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30</v>
      </c>
      <c r="M7" s="17">
        <f t="shared" si="8"/>
        <v>0</v>
      </c>
      <c r="N7" s="18">
        <f t="shared" si="9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29</v>
      </c>
      <c r="M15" s="17">
        <f t="shared" si="8"/>
        <v>1</v>
      </c>
      <c r="N15" s="18">
        <f t="shared" si="9"/>
        <v>0.96666666666666667</v>
      </c>
      <c r="O15" s="27"/>
      <c r="P15" s="8" t="s">
        <v>1209</v>
      </c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 t="s">
        <v>1209</v>
      </c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26</v>
      </c>
      <c r="M31" s="17">
        <f t="shared" si="8"/>
        <v>4</v>
      </c>
      <c r="N31" s="18">
        <f t="shared" si="9"/>
        <v>0.8666666666666667</v>
      </c>
      <c r="O31" s="27" t="s">
        <v>1209</v>
      </c>
      <c r="P31" s="8" t="s">
        <v>1209</v>
      </c>
      <c r="Q31" s="8" t="s">
        <v>1209</v>
      </c>
      <c r="R31" s="8" t="s">
        <v>1209</v>
      </c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25</v>
      </c>
      <c r="M34" s="17">
        <f t="shared" si="8"/>
        <v>5</v>
      </c>
      <c r="N34" s="18">
        <f t="shared" si="9"/>
        <v>0.83333333333333337</v>
      </c>
      <c r="O34" s="27" t="s">
        <v>1209</v>
      </c>
      <c r="P34" s="8" t="s">
        <v>1209</v>
      </c>
      <c r="Q34" s="8" t="s">
        <v>1209</v>
      </c>
      <c r="R34" s="8" t="s">
        <v>1209</v>
      </c>
      <c r="S34" s="27" t="s">
        <v>1209</v>
      </c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25</v>
      </c>
      <c r="M67" s="17">
        <f t="shared" si="8"/>
        <v>5</v>
      </c>
      <c r="N67" s="18">
        <f t="shared" si="9"/>
        <v>0.83333333333333337</v>
      </c>
      <c r="O67" s="27" t="s">
        <v>1209</v>
      </c>
      <c r="P67" s="8" t="s">
        <v>1209</v>
      </c>
      <c r="Q67" s="8" t="s">
        <v>1209</v>
      </c>
      <c r="R67" s="8" t="s">
        <v>1209</v>
      </c>
      <c r="S67" s="27" t="s">
        <v>1209</v>
      </c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26</v>
      </c>
      <c r="M87" s="17">
        <f t="shared" si="11"/>
        <v>4</v>
      </c>
      <c r="N87" s="18">
        <f t="shared" si="12"/>
        <v>0.8666666666666667</v>
      </c>
      <c r="O87" s="27" t="s">
        <v>1209</v>
      </c>
      <c r="P87" s="8" t="s">
        <v>1209</v>
      </c>
      <c r="Q87" s="8" t="s">
        <v>1209</v>
      </c>
      <c r="R87" s="8" t="s">
        <v>1209</v>
      </c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25</v>
      </c>
      <c r="M128" s="17">
        <f t="shared" si="11"/>
        <v>5</v>
      </c>
      <c r="N128" s="18">
        <f t="shared" si="12"/>
        <v>0.83333333333333337</v>
      </c>
      <c r="O128" s="27" t="s">
        <v>1209</v>
      </c>
      <c r="P128" s="8" t="s">
        <v>1209</v>
      </c>
      <c r="Q128" s="8" t="s">
        <v>1209</v>
      </c>
      <c r="R128" s="8" t="s">
        <v>1209</v>
      </c>
      <c r="S128" s="27" t="s">
        <v>1209</v>
      </c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25</v>
      </c>
      <c r="M129" s="17">
        <f t="shared" si="11"/>
        <v>5</v>
      </c>
      <c r="N129" s="18">
        <f t="shared" si="12"/>
        <v>0.83333333333333337</v>
      </c>
      <c r="O129" s="27" t="s">
        <v>1209</v>
      </c>
      <c r="P129" s="8" t="s">
        <v>1209</v>
      </c>
      <c r="Q129" s="8" t="s">
        <v>1209</v>
      </c>
      <c r="R129" s="8" t="s">
        <v>1209</v>
      </c>
      <c r="S129" s="27" t="s">
        <v>1209</v>
      </c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25</v>
      </c>
      <c r="M134" s="17">
        <f t="shared" si="14"/>
        <v>5</v>
      </c>
      <c r="N134" s="18">
        <f t="shared" si="15"/>
        <v>0.83333333333333337</v>
      </c>
      <c r="O134" s="27" t="s">
        <v>1209</v>
      </c>
      <c r="P134" s="8" t="s">
        <v>1209</v>
      </c>
      <c r="Q134" s="8" t="s">
        <v>1209</v>
      </c>
      <c r="R134" s="8" t="s">
        <v>1209</v>
      </c>
      <c r="S134" s="27" t="s">
        <v>1209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25</v>
      </c>
      <c r="M156" s="17">
        <f t="shared" si="14"/>
        <v>5</v>
      </c>
      <c r="N156" s="18">
        <f t="shared" si="15"/>
        <v>0.83333333333333337</v>
      </c>
      <c r="O156" s="27" t="s">
        <v>1209</v>
      </c>
      <c r="P156" s="8" t="s">
        <v>1209</v>
      </c>
      <c r="Q156" s="8" t="s">
        <v>1209</v>
      </c>
      <c r="R156" s="8" t="s">
        <v>1209</v>
      </c>
      <c r="S156" s="27" t="s">
        <v>1209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25</v>
      </c>
      <c r="M157" s="17">
        <f t="shared" si="14"/>
        <v>5</v>
      </c>
      <c r="N157" s="18">
        <f t="shared" si="15"/>
        <v>0.83333333333333337</v>
      </c>
      <c r="O157" s="27" t="s">
        <v>1209</v>
      </c>
      <c r="P157" s="8" t="s">
        <v>1209</v>
      </c>
      <c r="Q157" s="8" t="s">
        <v>1209</v>
      </c>
      <c r="R157" s="8" t="s">
        <v>1209</v>
      </c>
      <c r="S157" s="27" t="s">
        <v>1209</v>
      </c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25</v>
      </c>
      <c r="M158" s="17">
        <f t="shared" si="14"/>
        <v>5</v>
      </c>
      <c r="N158" s="18">
        <f t="shared" si="15"/>
        <v>0.83333333333333337</v>
      </c>
      <c r="O158" s="27" t="s">
        <v>1209</v>
      </c>
      <c r="P158" s="8" t="s">
        <v>1209</v>
      </c>
      <c r="Q158" s="8" t="s">
        <v>1209</v>
      </c>
      <c r="R158" s="8" t="s">
        <v>1209</v>
      </c>
      <c r="S158" s="27" t="s">
        <v>1209</v>
      </c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29</v>
      </c>
      <c r="M162" s="17">
        <f t="shared" si="14"/>
        <v>1</v>
      </c>
      <c r="N162" s="18">
        <f t="shared" si="15"/>
        <v>0.96666666666666667</v>
      </c>
      <c r="O162" s="27" t="s">
        <v>1209</v>
      </c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25</v>
      </c>
      <c r="M163" s="17">
        <f t="shared" si="14"/>
        <v>5</v>
      </c>
      <c r="N163" s="18">
        <f t="shared" si="15"/>
        <v>0.83333333333333337</v>
      </c>
      <c r="O163" s="27" t="s">
        <v>1209</v>
      </c>
      <c r="P163" s="8" t="s">
        <v>1209</v>
      </c>
      <c r="Q163" s="8" t="s">
        <v>1209</v>
      </c>
      <c r="R163" s="8" t="s">
        <v>1209</v>
      </c>
      <c r="S163" s="27" t="s">
        <v>1209</v>
      </c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25</v>
      </c>
      <c r="M166" s="17">
        <f t="shared" si="14"/>
        <v>5</v>
      </c>
      <c r="N166" s="18">
        <f t="shared" si="15"/>
        <v>0.83333333333333337</v>
      </c>
      <c r="O166" s="27" t="s">
        <v>1209</v>
      </c>
      <c r="P166" s="8" t="s">
        <v>1209</v>
      </c>
      <c r="Q166" s="8" t="s">
        <v>1209</v>
      </c>
      <c r="R166" s="8" t="s">
        <v>1209</v>
      </c>
      <c r="S166" s="27" t="s">
        <v>1209</v>
      </c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30</v>
      </c>
      <c r="M177" s="17">
        <f t="shared" si="14"/>
        <v>0</v>
      </c>
      <c r="N177" s="18">
        <f t="shared" si="15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1209</v>
      </c>
      <c r="P191" s="8" t="s">
        <v>1209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 t="s">
        <v>1209</v>
      </c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 t="s">
        <v>1209</v>
      </c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30</v>
      </c>
      <c r="M206" s="17">
        <f t="shared" si="17"/>
        <v>0</v>
      </c>
      <c r="N206" s="18">
        <f t="shared" si="18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25</v>
      </c>
      <c r="M210" s="17">
        <f t="shared" si="17"/>
        <v>5</v>
      </c>
      <c r="N210" s="18">
        <f t="shared" si="18"/>
        <v>0.83333333333333337</v>
      </c>
      <c r="O210" s="27" t="s">
        <v>1209</v>
      </c>
      <c r="P210" s="8" t="s">
        <v>1209</v>
      </c>
      <c r="Q210" s="8" t="s">
        <v>1209</v>
      </c>
      <c r="R210" s="8" t="s">
        <v>1209</v>
      </c>
      <c r="S210" s="27" t="s">
        <v>1209</v>
      </c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28</v>
      </c>
      <c r="M213" s="17">
        <f t="shared" si="17"/>
        <v>2</v>
      </c>
      <c r="N213" s="18">
        <f t="shared" si="18"/>
        <v>0.93333333333333335</v>
      </c>
      <c r="O213" s="27"/>
      <c r="P213" s="8"/>
      <c r="Q213" s="8"/>
      <c r="R213" s="8" t="s">
        <v>1209</v>
      </c>
      <c r="S213" s="27" t="s">
        <v>1209</v>
      </c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28</v>
      </c>
      <c r="M214" s="17">
        <f t="shared" si="17"/>
        <v>2</v>
      </c>
      <c r="N214" s="18">
        <f t="shared" si="18"/>
        <v>0.93333333333333335</v>
      </c>
      <c r="O214" s="27"/>
      <c r="P214" s="8"/>
      <c r="Q214" s="8"/>
      <c r="R214" s="8" t="s">
        <v>1209</v>
      </c>
      <c r="S214" s="27" t="s">
        <v>1209</v>
      </c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25</v>
      </c>
      <c r="M215" s="17">
        <f t="shared" si="17"/>
        <v>5</v>
      </c>
      <c r="N215" s="18">
        <f t="shared" si="18"/>
        <v>0.83333333333333337</v>
      </c>
      <c r="O215" s="27" t="s">
        <v>1209</v>
      </c>
      <c r="P215" s="8" t="s">
        <v>1209</v>
      </c>
      <c r="Q215" s="8" t="s">
        <v>1209</v>
      </c>
      <c r="R215" s="8" t="s">
        <v>1209</v>
      </c>
      <c r="S215" s="27" t="s">
        <v>1209</v>
      </c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25</v>
      </c>
      <c r="M216" s="17">
        <f t="shared" si="17"/>
        <v>5</v>
      </c>
      <c r="N216" s="18">
        <f t="shared" si="18"/>
        <v>0.83333333333333337</v>
      </c>
      <c r="O216" s="27" t="s">
        <v>1209</v>
      </c>
      <c r="P216" s="8" t="s">
        <v>1209</v>
      </c>
      <c r="Q216" s="8" t="s">
        <v>1209</v>
      </c>
      <c r="R216" s="8" t="s">
        <v>1209</v>
      </c>
      <c r="S216" s="27" t="s">
        <v>1209</v>
      </c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27</v>
      </c>
      <c r="M217" s="17">
        <f t="shared" si="17"/>
        <v>3</v>
      </c>
      <c r="N217" s="18">
        <f t="shared" si="18"/>
        <v>0.9</v>
      </c>
      <c r="O217" s="27"/>
      <c r="P217" s="8" t="s">
        <v>1209</v>
      </c>
      <c r="Q217" s="8"/>
      <c r="R217" s="8" t="s">
        <v>1209</v>
      </c>
      <c r="S217" s="27" t="s">
        <v>1209</v>
      </c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28</v>
      </c>
      <c r="M224" s="17">
        <f t="shared" si="17"/>
        <v>2</v>
      </c>
      <c r="N224" s="18">
        <f t="shared" si="18"/>
        <v>0.93333333333333335</v>
      </c>
      <c r="O224" s="27"/>
      <c r="P224" s="8"/>
      <c r="Q224" s="8"/>
      <c r="R224" s="8" t="s">
        <v>1209</v>
      </c>
      <c r="S224" s="27" t="s">
        <v>1209</v>
      </c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28</v>
      </c>
      <c r="M225" s="17">
        <f t="shared" si="17"/>
        <v>2</v>
      </c>
      <c r="N225" s="18">
        <f t="shared" si="18"/>
        <v>0.93333333333333335</v>
      </c>
      <c r="O225" s="27" t="s">
        <v>1209</v>
      </c>
      <c r="P225" s="8"/>
      <c r="Q225" s="8" t="s">
        <v>1209</v>
      </c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30</v>
      </c>
      <c r="M231" s="17">
        <f t="shared" si="17"/>
        <v>0</v>
      </c>
      <c r="N231" s="18">
        <f t="shared" si="18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30</v>
      </c>
      <c r="M232" s="17">
        <f t="shared" si="17"/>
        <v>0</v>
      </c>
      <c r="N232" s="18">
        <f t="shared" si="18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30</v>
      </c>
      <c r="M239" s="17">
        <f t="shared" si="17"/>
        <v>0</v>
      </c>
      <c r="N239" s="18">
        <f t="shared" si="18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30</v>
      </c>
      <c r="M240" s="17">
        <f t="shared" si="17"/>
        <v>0</v>
      </c>
      <c r="N240" s="18">
        <f t="shared" si="18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25</v>
      </c>
      <c r="M244" s="17">
        <f t="shared" si="17"/>
        <v>5</v>
      </c>
      <c r="N244" s="18">
        <f t="shared" si="18"/>
        <v>0.83333333333333337</v>
      </c>
      <c r="O244" s="27" t="s">
        <v>1209</v>
      </c>
      <c r="P244" s="8" t="s">
        <v>1209</v>
      </c>
      <c r="Q244" s="8" t="s">
        <v>1209</v>
      </c>
      <c r="R244" s="8" t="s">
        <v>1209</v>
      </c>
      <c r="S244" s="27" t="s">
        <v>1209</v>
      </c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25</v>
      </c>
      <c r="M245" s="17">
        <f t="shared" si="17"/>
        <v>5</v>
      </c>
      <c r="N245" s="18">
        <f t="shared" si="18"/>
        <v>0.83333333333333337</v>
      </c>
      <c r="O245" s="27" t="s">
        <v>1209</v>
      </c>
      <c r="P245" s="27" t="s">
        <v>1209</v>
      </c>
      <c r="Q245" s="27" t="s">
        <v>1209</v>
      </c>
      <c r="R245" s="27" t="s">
        <v>1209</v>
      </c>
      <c r="S245" s="27" t="s">
        <v>1209</v>
      </c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25</v>
      </c>
      <c r="M254" s="17">
        <f t="shared" si="17"/>
        <v>5</v>
      </c>
      <c r="N254" s="18">
        <f t="shared" si="18"/>
        <v>0.83333333333333337</v>
      </c>
      <c r="O254" s="27" t="s">
        <v>1209</v>
      </c>
      <c r="P254" s="8" t="s">
        <v>1209</v>
      </c>
      <c r="Q254" s="8" t="s">
        <v>1209</v>
      </c>
      <c r="R254" s="8" t="s">
        <v>1209</v>
      </c>
      <c r="S254" s="27" t="s">
        <v>1209</v>
      </c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25</v>
      </c>
      <c r="M255" s="17">
        <f t="shared" si="17"/>
        <v>5</v>
      </c>
      <c r="N255" s="18">
        <f t="shared" si="18"/>
        <v>0.83333333333333337</v>
      </c>
      <c r="O255" s="27" t="s">
        <v>1209</v>
      </c>
      <c r="P255" s="8" t="s">
        <v>1209</v>
      </c>
      <c r="Q255" s="8" t="s">
        <v>1209</v>
      </c>
      <c r="R255" s="8" t="s">
        <v>1209</v>
      </c>
      <c r="S255" s="27" t="s">
        <v>1209</v>
      </c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29</v>
      </c>
      <c r="M262" s="17">
        <f t="shared" si="17"/>
        <v>1</v>
      </c>
      <c r="N262" s="18">
        <f t="shared" si="18"/>
        <v>0.96666666666666667</v>
      </c>
      <c r="O262" s="27"/>
      <c r="P262" s="8" t="s">
        <v>1209</v>
      </c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29</v>
      </c>
      <c r="M267" s="17">
        <f t="shared" si="21"/>
        <v>1</v>
      </c>
      <c r="N267" s="18">
        <f t="shared" si="22"/>
        <v>0.96666666666666667</v>
      </c>
      <c r="O267" s="27"/>
      <c r="P267" s="8" t="s">
        <v>1209</v>
      </c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29</v>
      </c>
      <c r="M268" s="17">
        <f t="shared" si="21"/>
        <v>1</v>
      </c>
      <c r="N268" s="18">
        <f t="shared" si="22"/>
        <v>0.96666666666666667</v>
      </c>
      <c r="O268" s="27"/>
      <c r="P268" s="8" t="s">
        <v>1209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29</v>
      </c>
      <c r="M269" s="17">
        <f t="shared" si="21"/>
        <v>1</v>
      </c>
      <c r="N269" s="18">
        <f t="shared" si="22"/>
        <v>0.96666666666666667</v>
      </c>
      <c r="O269" s="27"/>
      <c r="P269" s="8" t="s">
        <v>1209</v>
      </c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29</v>
      </c>
      <c r="M270" s="17">
        <f t="shared" si="21"/>
        <v>1</v>
      </c>
      <c r="N270" s="18">
        <f t="shared" si="22"/>
        <v>0.96666666666666667</v>
      </c>
      <c r="O270" s="27"/>
      <c r="P270" s="8" t="s">
        <v>1209</v>
      </c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28</v>
      </c>
      <c r="M289" s="17">
        <f t="shared" si="21"/>
        <v>2</v>
      </c>
      <c r="N289" s="18">
        <f t="shared" si="22"/>
        <v>0.93333333333333335</v>
      </c>
      <c r="O289" s="27" t="s">
        <v>1209</v>
      </c>
      <c r="P289" s="8" t="s">
        <v>1209</v>
      </c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28</v>
      </c>
      <c r="M290" s="17">
        <f t="shared" si="21"/>
        <v>2</v>
      </c>
      <c r="N290" s="18">
        <f t="shared" si="22"/>
        <v>0.93333333333333335</v>
      </c>
      <c r="O290" s="27" t="s">
        <v>1209</v>
      </c>
      <c r="P290" s="8" t="s">
        <v>1209</v>
      </c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28</v>
      </c>
      <c r="M291" s="17">
        <f t="shared" si="21"/>
        <v>2</v>
      </c>
      <c r="N291" s="18">
        <f t="shared" si="22"/>
        <v>0.93333333333333335</v>
      </c>
      <c r="O291" s="27" t="s">
        <v>1209</v>
      </c>
      <c r="P291" s="8" t="s">
        <v>1209</v>
      </c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28</v>
      </c>
      <c r="M292" s="17">
        <f t="shared" si="21"/>
        <v>2</v>
      </c>
      <c r="N292" s="18">
        <f t="shared" si="22"/>
        <v>0.93333333333333335</v>
      </c>
      <c r="O292" s="27" t="s">
        <v>1209</v>
      </c>
      <c r="P292" s="8" t="s">
        <v>1209</v>
      </c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 t="s">
        <v>1209</v>
      </c>
      <c r="P302" s="8" t="s">
        <v>1209</v>
      </c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25</v>
      </c>
      <c r="M327" s="17">
        <f t="shared" ref="M327:M372" si="24">COUNTIF(O327:AP327,"APAGADO")</f>
        <v>5</v>
      </c>
      <c r="N327" s="18">
        <f t="shared" ref="N327:N372" si="25">(L327)/(M327+L327)</f>
        <v>0.83333333333333337</v>
      </c>
      <c r="O327" s="27" t="s">
        <v>1209</v>
      </c>
      <c r="P327" s="8" t="s">
        <v>1209</v>
      </c>
      <c r="Q327" s="8" t="s">
        <v>1209</v>
      </c>
      <c r="R327" s="8" t="s">
        <v>1209</v>
      </c>
      <c r="S327" s="27" t="s">
        <v>1209</v>
      </c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25</v>
      </c>
      <c r="M328" s="17">
        <f t="shared" si="24"/>
        <v>5</v>
      </c>
      <c r="N328" s="18">
        <f t="shared" si="25"/>
        <v>0.83333333333333337</v>
      </c>
      <c r="O328" s="27" t="s">
        <v>1209</v>
      </c>
      <c r="P328" s="8" t="s">
        <v>1209</v>
      </c>
      <c r="Q328" s="8" t="s">
        <v>1209</v>
      </c>
      <c r="R328" s="8" t="s">
        <v>1209</v>
      </c>
      <c r="S328" s="27" t="s">
        <v>1209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29</v>
      </c>
      <c r="M335" s="17">
        <f t="shared" si="24"/>
        <v>1</v>
      </c>
      <c r="N335" s="18">
        <f t="shared" si="25"/>
        <v>0.96666666666666667</v>
      </c>
      <c r="O335" s="27"/>
      <c r="P335" s="8"/>
      <c r="Q335" s="8"/>
      <c r="R335" s="8"/>
      <c r="S335" s="27" t="s">
        <v>1209</v>
      </c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27</v>
      </c>
      <c r="M348" s="17">
        <f t="shared" si="24"/>
        <v>3</v>
      </c>
      <c r="N348" s="18">
        <f t="shared" si="25"/>
        <v>0.9</v>
      </c>
      <c r="O348" s="27" t="s">
        <v>1209</v>
      </c>
      <c r="P348" s="8"/>
      <c r="Q348" s="8" t="s">
        <v>1209</v>
      </c>
      <c r="R348" s="8" t="s">
        <v>1209</v>
      </c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27</v>
      </c>
      <c r="M356" s="17">
        <f t="shared" si="24"/>
        <v>3</v>
      </c>
      <c r="N356" s="18">
        <f t="shared" si="25"/>
        <v>0.9</v>
      </c>
      <c r="O356" s="27" t="s">
        <v>1209</v>
      </c>
      <c r="P356" s="8"/>
      <c r="Q356" s="8" t="s">
        <v>1209</v>
      </c>
      <c r="R356" s="8" t="s">
        <v>1209</v>
      </c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27</v>
      </c>
      <c r="M357" s="17">
        <f t="shared" si="24"/>
        <v>3</v>
      </c>
      <c r="N357" s="18">
        <f t="shared" si="25"/>
        <v>0.9</v>
      </c>
      <c r="O357" s="27" t="s">
        <v>1209</v>
      </c>
      <c r="P357" s="8"/>
      <c r="Q357" s="8" t="s">
        <v>1209</v>
      </c>
      <c r="R357" s="8" t="s">
        <v>1209</v>
      </c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26</v>
      </c>
      <c r="M361" s="17">
        <f t="shared" si="24"/>
        <v>4</v>
      </c>
      <c r="N361" s="18">
        <f t="shared" si="25"/>
        <v>0.8666666666666667</v>
      </c>
      <c r="O361" s="27" t="s">
        <v>1209</v>
      </c>
      <c r="P361" s="8"/>
      <c r="Q361" s="8" t="s">
        <v>1209</v>
      </c>
      <c r="R361" s="8" t="s">
        <v>1209</v>
      </c>
      <c r="S361" s="27" t="s">
        <v>1209</v>
      </c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26</v>
      </c>
      <c r="M362" s="17">
        <f t="shared" si="24"/>
        <v>4</v>
      </c>
      <c r="N362" s="18">
        <f t="shared" si="25"/>
        <v>0.8666666666666667</v>
      </c>
      <c r="O362" s="27" t="s">
        <v>1209</v>
      </c>
      <c r="P362" s="8"/>
      <c r="Q362" s="8" t="s">
        <v>1209</v>
      </c>
      <c r="R362" s="8" t="s">
        <v>1209</v>
      </c>
      <c r="S362" s="27" t="s">
        <v>1209</v>
      </c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30</v>
      </c>
      <c r="M373" s="53">
        <f t="shared" ref="M373:M379" si="26">COUNTIF(O373:AP373,"APAGADO")</f>
        <v>0</v>
      </c>
      <c r="N373" s="54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30</v>
      </c>
      <c r="M374" s="53">
        <f t="shared" si="26"/>
        <v>0</v>
      </c>
      <c r="N374" s="54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25</v>
      </c>
      <c r="M385" s="53">
        <f t="shared" si="29"/>
        <v>5</v>
      </c>
      <c r="N385" s="54">
        <f t="shared" si="30"/>
        <v>0.83333333333333337</v>
      </c>
      <c r="O385" s="27" t="s">
        <v>1209</v>
      </c>
      <c r="P385" s="27" t="s">
        <v>1209</v>
      </c>
      <c r="Q385" s="27" t="s">
        <v>1209</v>
      </c>
      <c r="R385" s="27" t="s">
        <v>1209</v>
      </c>
      <c r="S385" s="27" t="s">
        <v>1209</v>
      </c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25</v>
      </c>
      <c r="M386" s="53">
        <f t="shared" si="29"/>
        <v>5</v>
      </c>
      <c r="N386" s="54">
        <f t="shared" si="30"/>
        <v>0.83333333333333337</v>
      </c>
      <c r="O386" s="27" t="s">
        <v>1209</v>
      </c>
      <c r="P386" s="27" t="s">
        <v>1209</v>
      </c>
      <c r="Q386" s="27" t="s">
        <v>1209</v>
      </c>
      <c r="R386" s="27" t="s">
        <v>1209</v>
      </c>
      <c r="S386" s="27" t="s">
        <v>1209</v>
      </c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25</v>
      </c>
      <c r="M387" s="53">
        <f t="shared" si="29"/>
        <v>5</v>
      </c>
      <c r="N387" s="54">
        <f t="shared" si="30"/>
        <v>0.83333333333333337</v>
      </c>
      <c r="O387" s="27" t="s">
        <v>1209</v>
      </c>
      <c r="P387" s="27" t="s">
        <v>1209</v>
      </c>
      <c r="Q387" s="27" t="s">
        <v>1209</v>
      </c>
      <c r="R387" s="27" t="s">
        <v>1209</v>
      </c>
      <c r="S387" s="27" t="s">
        <v>1209</v>
      </c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25</v>
      </c>
      <c r="M388" s="53">
        <f t="shared" si="29"/>
        <v>5</v>
      </c>
      <c r="N388" s="54">
        <f t="shared" si="30"/>
        <v>0.83333333333333337</v>
      </c>
      <c r="O388" s="27" t="s">
        <v>1209</v>
      </c>
      <c r="P388" s="27" t="s">
        <v>1209</v>
      </c>
      <c r="Q388" s="27" t="s">
        <v>1209</v>
      </c>
      <c r="R388" s="27" t="s">
        <v>1209</v>
      </c>
      <c r="S388" s="27" t="s">
        <v>1209</v>
      </c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 t="str">
        <f>'RESUMEN TOTAL'!P15</f>
        <v>APAGADO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 t="str">
        <f>'RESUMEN TOTAL'!P16</f>
        <v>APAGADO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 t="str">
        <f>'RESUMEN TOTAL'!P31</f>
        <v>APAGADO</v>
      </c>
      <c r="H28" t="str">
        <f>'RESUMEN TOTAL'!Q31</f>
        <v>APAGADO</v>
      </c>
      <c r="I28" t="str">
        <f>'RESUMEN TOTAL'!R31</f>
        <v>APAGADO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 t="str">
        <f>'RESUMEN TOTAL'!P34</f>
        <v>APAGADO</v>
      </c>
      <c r="H31" t="str">
        <f>'RESUMEN TOTAL'!Q34</f>
        <v>APAGADO</v>
      </c>
      <c r="I31" t="str">
        <f>'RESUMEN TOTAL'!R34</f>
        <v>APAGADO</v>
      </c>
      <c r="J31" t="str">
        <f>'RESUMEN TOTAL'!S34</f>
        <v>APAGADO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 t="str">
        <f>'RESUMEN TOTAL'!P67</f>
        <v>APAGADO</v>
      </c>
      <c r="H64" t="str">
        <f>'RESUMEN TOTAL'!Q67</f>
        <v>APAGADO</v>
      </c>
      <c r="I64" t="str">
        <f>'RESUMEN TOTAL'!R67</f>
        <v>APAGADO</v>
      </c>
      <c r="J64" t="str">
        <f>'RESUMEN TOTAL'!S67</f>
        <v>APAGADO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 t="str">
        <f>'RESUMEN TOTAL'!P87</f>
        <v>APAGADO</v>
      </c>
      <c r="H84" t="str">
        <f>'RESUMEN TOTAL'!Q87</f>
        <v>APAGADO</v>
      </c>
      <c r="I84" t="str">
        <f>'RESUMEN TOTAL'!R87</f>
        <v>APAGADO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 t="str">
        <f>'RESUMEN TOTAL'!P128</f>
        <v>APAGADO</v>
      </c>
      <c r="H125" t="str">
        <f>'RESUMEN TOTAL'!Q128</f>
        <v>APAGADO</v>
      </c>
      <c r="I125" t="str">
        <f>'RESUMEN TOTAL'!R128</f>
        <v>APAGADO</v>
      </c>
      <c r="J125" t="str">
        <f>'RESUMEN TOTAL'!S128</f>
        <v>APAGADO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 t="str">
        <f>'RESUMEN TOTAL'!P129</f>
        <v>APAGADO</v>
      </c>
      <c r="H126" t="str">
        <f>'RESUMEN TOTAL'!Q129</f>
        <v>APAGADO</v>
      </c>
      <c r="I126" t="str">
        <f>'RESUMEN TOTAL'!R129</f>
        <v>APAGADO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 t="str">
        <f>'RESUMEN TOTAL'!P134</f>
        <v>APAGADO</v>
      </c>
      <c r="H131" t="str">
        <f>'RESUMEN TOTAL'!Q134</f>
        <v>APAGADO</v>
      </c>
      <c r="I131" t="str">
        <f>'RESUMEN TOTAL'!R134</f>
        <v>APAGADO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 t="str">
        <f>'RESUMEN TOTAL'!P157</f>
        <v>APAGADO</v>
      </c>
      <c r="H154" t="str">
        <f>'RESUMEN TOTAL'!Q157</f>
        <v>APAGADO</v>
      </c>
      <c r="I154" t="str">
        <f>'RESUMEN TOTAL'!R157</f>
        <v>APAGADO</v>
      </c>
      <c r="J154" t="str">
        <f>'RESUMEN TOTAL'!S157</f>
        <v>APAGADO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 t="str">
        <f>'RESUMEN TOTAL'!P158</f>
        <v>APAGADO</v>
      </c>
      <c r="H155" t="str">
        <f>'RESUMEN TOTAL'!Q158</f>
        <v>APAGADO</v>
      </c>
      <c r="I155" t="str">
        <f>'RESUMEN TOTAL'!R158</f>
        <v>APAGADO</v>
      </c>
      <c r="J155" t="str">
        <f>'RESUMEN TOTAL'!S158</f>
        <v>APAGADO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 t="str">
        <f>'RESUMEN TOTAL'!S213</f>
        <v>APAGADO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 t="str">
        <f>'RESUMEN TOTAL'!S214</f>
        <v>APAGADO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 t="str">
        <f>'RESUMEN TOTAL'!P215</f>
        <v>APAGADO</v>
      </c>
      <c r="H212" t="str">
        <f>'RESUMEN TOTAL'!Q215</f>
        <v>APAGADO</v>
      </c>
      <c r="I212" t="str">
        <f>'RESUMEN TOTAL'!R215</f>
        <v>APAGADO</v>
      </c>
      <c r="J212" t="str">
        <f>'RESUMEN TOTAL'!S215</f>
        <v>APAGADO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 t="str">
        <f>'RESUMEN TOTAL'!P216</f>
        <v>APAGADO</v>
      </c>
      <c r="H213" t="str">
        <f>'RESUMEN TOTAL'!Q216</f>
        <v>APAGADO</v>
      </c>
      <c r="I213" t="str">
        <f>'RESUMEN TOTAL'!R216</f>
        <v>APAGADO</v>
      </c>
      <c r="J213" t="str">
        <f>'RESUMEN TOTAL'!S216</f>
        <v>APAGADO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 t="str">
        <f>'RESUMEN TOTAL'!R224</f>
        <v>APAGADO</v>
      </c>
      <c r="J221" t="str">
        <f>'RESUMEN TOTAL'!S224</f>
        <v>APAGADO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 t="str">
        <f>'RESUMEN TOTAL'!Q225</f>
        <v>APAGADO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 t="str">
        <f>'RESUMEN TOTAL'!P244</f>
        <v>APAGADO</v>
      </c>
      <c r="H241" t="str">
        <f>'RESUMEN TOTAL'!Q244</f>
        <v>APAGADO</v>
      </c>
      <c r="I241" t="str">
        <f>'RESUMEN TOTAL'!R244</f>
        <v>APAGADO</v>
      </c>
      <c r="J241" t="str">
        <f>'RESUMEN TOTAL'!S244</f>
        <v>APAGADO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 t="str">
        <f>'RESUMEN TOTAL'!P245</f>
        <v>APAGADO</v>
      </c>
      <c r="H242" t="str">
        <f>'RESUMEN TOTAL'!Q245</f>
        <v>APAGADO</v>
      </c>
      <c r="I242" t="str">
        <f>'RESUMEN TOTAL'!R245</f>
        <v>APAGADO</v>
      </c>
      <c r="J242" t="str">
        <f>'RESUMEN TOTAL'!S245</f>
        <v>APAGADO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 t="str">
        <f>'RESUMEN TOTAL'!P255</f>
        <v>APAGADO</v>
      </c>
      <c r="H252" t="str">
        <f>'RESUMEN TOTAL'!Q255</f>
        <v>APAGADO</v>
      </c>
      <c r="I252" t="str">
        <f>'RESUMEN TOTAL'!R255</f>
        <v>APAGADO</v>
      </c>
      <c r="J252" t="str">
        <f>'RESUMEN TOTAL'!S255</f>
        <v>APAGADO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 t="str">
        <f>'RESUMEN TOTAL'!P262</f>
        <v>APAGADO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 t="str">
        <f>'RESUMEN TOTAL'!P267</f>
        <v>APAGADO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 t="str">
        <f>'RESUMEN TOTAL'!P269</f>
        <v>APAGADO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 t="str">
        <f>'RESUMEN TOTAL'!P270</f>
        <v>APAGADO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 t="str">
        <f>'RESUMEN TOTAL'!P290</f>
        <v>APAGADO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 t="str">
        <f>'RESUMEN TOTAL'!P291</f>
        <v>APAGADO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 t="str">
        <f>'RESUMEN TOTAL'!P292</f>
        <v>APAGADO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 t="str">
        <f>'RESUMEN TOTAL'!P302</f>
        <v>APAGADO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 t="str">
        <f>'RESUMEN TOTAL'!S327</f>
        <v>APAGADO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 t="str">
        <f>'RESUMEN TOTAL'!S335</f>
        <v>APAGADO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 t="str">
        <f>'RESUMEN TOTAL'!Q356</f>
        <v>APAGADO</v>
      </c>
      <c r="I353" t="str">
        <f>'RESUMEN TOTAL'!R356</f>
        <v>APAGADO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 t="str">
        <f>'RESUMEN TOTAL'!Q357</f>
        <v>APAGADO</v>
      </c>
      <c r="I354" t="str">
        <f>'RESUMEN TOTAL'!R357</f>
        <v>APAGADO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 t="str">
        <f>'RESUMEN TOTAL'!P385</f>
        <v>APAGADO</v>
      </c>
      <c r="H382" s="51" t="str">
        <f>'RESUMEN TOTAL'!Q385</f>
        <v>APAGADO</v>
      </c>
      <c r="I382" s="51" t="str">
        <f>'RESUMEN TOTAL'!R385</f>
        <v>APAGADO</v>
      </c>
      <c r="J382" s="51" t="str">
        <f>'RESUMEN TOTAL'!S385</f>
        <v>APAGADO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 t="str">
        <f>'RESUMEN TOTAL'!P386</f>
        <v>APAGADO</v>
      </c>
      <c r="H383" s="51" t="str">
        <f>'RESUMEN TOTAL'!Q386</f>
        <v>APAGADO</v>
      </c>
      <c r="I383" s="51" t="str">
        <f>'RESUMEN TOTAL'!R386</f>
        <v>APAGADO</v>
      </c>
      <c r="J383" s="51" t="str">
        <f>'RESUMEN TOTAL'!S386</f>
        <v>APAGADO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 t="str">
        <f>'RESUMEN TOTAL'!P387</f>
        <v>APAGADO</v>
      </c>
      <c r="H384" s="51" t="str">
        <f>'RESUMEN TOTAL'!Q387</f>
        <v>APAGADO</v>
      </c>
      <c r="I384" s="51" t="str">
        <f>'RESUMEN TOTAL'!R387</f>
        <v>APAGADO</v>
      </c>
      <c r="J384" s="51" t="str">
        <f>'RESUMEN TOTAL'!S387</f>
        <v>APAGADO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 t="str">
        <f>'RESUMEN TOTAL'!P388</f>
        <v>APAGADO</v>
      </c>
      <c r="H385" s="51" t="str">
        <f>'RESUMEN TOTAL'!Q388</f>
        <v>APAGADO</v>
      </c>
      <c r="I385" s="51" t="str">
        <f>'RESUMEN TOTAL'!R388</f>
        <v>APAGADO</v>
      </c>
      <c r="J385" s="51" t="str">
        <f>'RESUMEN TOTAL'!S388</f>
        <v>APAGADO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0</v>
      </c>
      <c r="L2" s="26">
        <f>COUNTIFS(L4:L400, "=APAGADO",E4:E400,"=Fibra Optica")</f>
        <v>0</v>
      </c>
      <c r="M2" s="26">
        <f>COUNTIFS(M4:M400, "=APAGADO",E4:E400,"=Fibra Optica")</f>
        <v>0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1393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0</v>
      </c>
      <c r="L2" s="26">
        <f>COUNTIFS(L4:L400, "=APAGADO",E4:E400,"=PTO A FO")</f>
        <v>0</v>
      </c>
      <c r="M2" s="26">
        <f>COUNTIFS(M4:M400, "=APAGADO",E4:E400,"=PTO A FO")</f>
        <v>0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4</v>
      </c>
      <c r="G2" s="26">
        <f>COUNTIFS(G4:G367, "=APAGADO",E4:E367,"=radio")</f>
        <v>4</v>
      </c>
      <c r="H2" s="26">
        <f>COUNTIFS(H4:H367, "=APAGADO",E4:E367,"=radio")</f>
        <v>3</v>
      </c>
      <c r="I2" s="26">
        <f>COUNTIFS(I4:I367, "=APAGADO",E4:E367,"=radio")</f>
        <v>3</v>
      </c>
      <c r="J2" s="26">
        <f>COUNTIFS(J4:J367, "=APAGADO",E4:E367,"=radio")</f>
        <v>3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0</v>
      </c>
      <c r="C8" s="51">
        <f>'APAGADOS FIBRA'!L2</f>
        <v>0</v>
      </c>
      <c r="D8" s="51">
        <f>'APAGADOS ANTENA'!L2</f>
        <v>0</v>
      </c>
      <c r="E8" s="51">
        <f t="shared" ref="E8" si="7">B8+C8</f>
        <v>0</v>
      </c>
      <c r="F8" s="51">
        <f>'RESUMEN TOTAL'!B1</f>
        <v>392</v>
      </c>
      <c r="G8" s="55">
        <f t="shared" ref="G8" si="8">E8/F8</f>
        <v>0</v>
      </c>
    </row>
    <row r="9" spans="1:7" x14ac:dyDescent="0.25">
      <c r="A9" s="25">
        <f>'APAGADOS RADIO'!M3</f>
        <v>44781</v>
      </c>
      <c r="B9" s="51">
        <f>'APAGADOS RADIO'!M2+D9</f>
        <v>0</v>
      </c>
      <c r="C9" s="51">
        <f>'APAGADOS FIBRA'!M2</f>
        <v>0</v>
      </c>
      <c r="D9" s="51">
        <f>'APAGADOS ANTENA'!M2</f>
        <v>0</v>
      </c>
      <c r="E9" s="51">
        <f t="shared" ref="E9" si="9">B9+C9</f>
        <v>0</v>
      </c>
      <c r="F9" s="51">
        <f>'RESUMEN TOTAL'!B1</f>
        <v>392</v>
      </c>
      <c r="G9" s="55">
        <f t="shared" ref="G9" si="10">E9/F9</f>
        <v>0</v>
      </c>
    </row>
    <row r="10" spans="1:7" x14ac:dyDescent="0.25">
      <c r="A10" s="25">
        <f>'APAGADOS RADIO'!N3</f>
        <v>44782</v>
      </c>
      <c r="B10" s="51">
        <f>'APAGADOS RADIO'!N2+D10</f>
        <v>0</v>
      </c>
      <c r="C10" s="51">
        <f>'APAGADOS FIBRA'!N2</f>
        <v>0</v>
      </c>
      <c r="D10" s="51">
        <f>'APAGADOS ANTENA'!N2</f>
        <v>0</v>
      </c>
      <c r="E10" s="51">
        <f t="shared" ref="E10" si="11">B10+C10</f>
        <v>0</v>
      </c>
      <c r="F10" s="51">
        <f>'RESUMEN TOTAL'!B1</f>
        <v>392</v>
      </c>
      <c r="G10" s="55">
        <f t="shared" ref="G10" si="12">E10/F10</f>
        <v>0</v>
      </c>
    </row>
    <row r="11" spans="1:7" x14ac:dyDescent="0.25">
      <c r="A11" s="25">
        <f>'APAGADOS RADIO'!O3</f>
        <v>44783</v>
      </c>
      <c r="B11" s="51">
        <f>'APAGADOS RADIO'!O2+D11</f>
        <v>0</v>
      </c>
      <c r="C11" s="51">
        <f>'APAGADOS FIBRA'!O2</f>
        <v>0</v>
      </c>
      <c r="D11" s="51">
        <f>'APAGADOS ANTENA'!O2</f>
        <v>0</v>
      </c>
      <c r="E11" s="51">
        <f t="shared" ref="E11" si="13">B11+C11</f>
        <v>0</v>
      </c>
      <c r="F11" s="51">
        <f>'RESUMEN TOTAL'!B1</f>
        <v>392</v>
      </c>
      <c r="G11" s="55">
        <f t="shared" ref="G11" si="14">E11/F11</f>
        <v>0</v>
      </c>
    </row>
    <row r="12" spans="1:7" x14ac:dyDescent="0.25">
      <c r="A12" s="25">
        <f>'APAGADOS RADIO'!P3</f>
        <v>44784</v>
      </c>
      <c r="B12" s="51">
        <f>'APAGADOS RADIO'!P2+D12</f>
        <v>0</v>
      </c>
      <c r="C12" s="51">
        <f>'APAGADOS FIBRA'!P2</f>
        <v>0</v>
      </c>
      <c r="D12" s="51">
        <f>'APAGADOS ANTENA'!P2</f>
        <v>0</v>
      </c>
      <c r="E12" s="51">
        <f t="shared" ref="E12" si="15">B12+C12</f>
        <v>0</v>
      </c>
      <c r="F12" s="51">
        <f>'RESUMEN TOTAL'!B1</f>
        <v>392</v>
      </c>
      <c r="G12" s="55">
        <f t="shared" ref="G12" si="16">E12/F12</f>
        <v>0</v>
      </c>
    </row>
    <row r="13" spans="1:7" x14ac:dyDescent="0.25">
      <c r="A13" s="25">
        <f>'APAGADOS RADIO'!Q3</f>
        <v>44785</v>
      </c>
      <c r="B13" s="51">
        <f>'APAGADOS RADIO'!Q2+D13</f>
        <v>0</v>
      </c>
      <c r="C13" s="51">
        <f>'APAGADOS FIBRA'!Q2</f>
        <v>0</v>
      </c>
      <c r="D13" s="51">
        <f>'APAGADOS ANTENA'!Q2</f>
        <v>0</v>
      </c>
      <c r="E13" s="51">
        <f t="shared" ref="E13:E14" si="17">B13+C13</f>
        <v>0</v>
      </c>
      <c r="F13" s="51">
        <f>'RESUMEN TOTAL'!B1</f>
        <v>392</v>
      </c>
      <c r="G13" s="55">
        <f t="shared" ref="G13:G14" si="18">E13/F13</f>
        <v>0</v>
      </c>
    </row>
    <row r="14" spans="1:7" x14ac:dyDescent="0.25">
      <c r="A14" s="25">
        <f>'APAGADOS RADIO'!R3</f>
        <v>44786</v>
      </c>
      <c r="B14" s="51">
        <f>'APAGADOS RADIO'!R2+D14</f>
        <v>0</v>
      </c>
      <c r="C14" s="51">
        <f>'APAGADOS FIBRA'!R2</f>
        <v>0</v>
      </c>
      <c r="D14" s="51">
        <f>'APAGADOS ANTENA'!R2</f>
        <v>0</v>
      </c>
      <c r="E14" s="51">
        <f t="shared" si="17"/>
        <v>0</v>
      </c>
      <c r="F14" s="51">
        <f>'RESUMEN TOTAL'!B1</f>
        <v>392</v>
      </c>
      <c r="G14" s="55">
        <f t="shared" si="18"/>
        <v>0</v>
      </c>
    </row>
    <row r="15" spans="1:7" x14ac:dyDescent="0.25">
      <c r="A15" s="25">
        <f>'APAGADOS RADIO'!S3</f>
        <v>44787</v>
      </c>
      <c r="B15" s="51">
        <f>'APAGADOS RADIO'!S2+D15</f>
        <v>0</v>
      </c>
      <c r="C15" s="51">
        <f>'APAGADOS FIBRA'!S2</f>
        <v>0</v>
      </c>
      <c r="D15" s="51">
        <f>'APAGADOS ANTENA'!S2</f>
        <v>0</v>
      </c>
      <c r="E15" s="51">
        <f t="shared" ref="E15" si="19">B15+C15</f>
        <v>0</v>
      </c>
      <c r="F15" s="51">
        <f>'RESUMEN TOTAL'!B1</f>
        <v>392</v>
      </c>
      <c r="G15" s="55">
        <f t="shared" ref="G15" si="20">E15/F15</f>
        <v>0</v>
      </c>
    </row>
    <row r="16" spans="1:7" x14ac:dyDescent="0.25">
      <c r="A16" s="25">
        <f>'APAGADOS RADIO'!T3</f>
        <v>44788</v>
      </c>
      <c r="B16" s="51">
        <f>'APAGADOS RADIO'!T2+D16</f>
        <v>0</v>
      </c>
      <c r="C16" s="51">
        <f>'APAGADOS FIBRA'!T2</f>
        <v>0</v>
      </c>
      <c r="D16" s="51">
        <f>'APAGADOS ANTENA'!T2</f>
        <v>0</v>
      </c>
      <c r="E16" s="51">
        <f t="shared" ref="E16:E21" si="21">B16+C16</f>
        <v>0</v>
      </c>
      <c r="F16" s="51">
        <f>'RESUMEN TOTAL'!B1</f>
        <v>392</v>
      </c>
      <c r="G16" s="55">
        <f t="shared" ref="G16:G21" si="22">E16/F16</f>
        <v>0</v>
      </c>
    </row>
    <row r="17" spans="1:7" x14ac:dyDescent="0.25">
      <c r="A17" s="25">
        <f>'APAGADOS RADIO'!U3</f>
        <v>44789</v>
      </c>
      <c r="B17" s="51">
        <f>'APAGADOS RADIO'!U2+D17</f>
        <v>0</v>
      </c>
      <c r="C17" s="51">
        <f>'APAGADOS FIBRA'!U2</f>
        <v>0</v>
      </c>
      <c r="D17" s="51">
        <f>'APAGADOS ANTENA'!U2</f>
        <v>0</v>
      </c>
      <c r="E17" s="51">
        <f t="shared" si="21"/>
        <v>0</v>
      </c>
      <c r="F17" s="51">
        <f>'RESUMEN TOTAL'!B1</f>
        <v>392</v>
      </c>
      <c r="G17" s="55">
        <f t="shared" si="22"/>
        <v>0</v>
      </c>
    </row>
    <row r="18" spans="1:7" x14ac:dyDescent="0.25">
      <c r="A18" s="25">
        <f>'APAGADOS RADIO'!V3</f>
        <v>44790</v>
      </c>
      <c r="B18" s="51">
        <f>'APAGADOS RADIO'!V2+D18</f>
        <v>0</v>
      </c>
      <c r="C18" s="51">
        <f>'APAGADOS FIBRA'!V2</f>
        <v>0</v>
      </c>
      <c r="D18" s="51">
        <f>'APAGADOS ANTENA'!V2</f>
        <v>0</v>
      </c>
      <c r="E18" s="51">
        <f t="shared" si="21"/>
        <v>0</v>
      </c>
      <c r="F18" s="51">
        <f>'RESUMEN TOTAL'!B1</f>
        <v>392</v>
      </c>
      <c r="G18" s="55">
        <f t="shared" si="22"/>
        <v>0</v>
      </c>
    </row>
    <row r="19" spans="1:7" x14ac:dyDescent="0.25">
      <c r="A19" s="25">
        <f>'APAGADOS RADIO'!W3</f>
        <v>44791</v>
      </c>
      <c r="B19" s="51">
        <f>'APAGADOS RADIO'!W2+D19</f>
        <v>0</v>
      </c>
      <c r="C19" s="51">
        <f>'APAGADOS FIBRA'!W2</f>
        <v>0</v>
      </c>
      <c r="D19" s="51">
        <f>'APAGADOS ANTENA'!W2</f>
        <v>0</v>
      </c>
      <c r="E19" s="51">
        <f t="shared" si="21"/>
        <v>0</v>
      </c>
      <c r="F19" s="51">
        <f>'RESUMEN TOTAL'!B1</f>
        <v>392</v>
      </c>
      <c r="G19" s="55">
        <f t="shared" si="22"/>
        <v>0</v>
      </c>
    </row>
    <row r="20" spans="1:7" x14ac:dyDescent="0.25">
      <c r="A20" s="25">
        <f>'APAGADOS RADIO'!X3</f>
        <v>44792</v>
      </c>
      <c r="B20" s="51">
        <f>'APAGADOS RADIO'!X2+D20</f>
        <v>0</v>
      </c>
      <c r="C20" s="51">
        <f>'APAGADOS FIBRA'!X2</f>
        <v>0</v>
      </c>
      <c r="D20" s="51">
        <f>'APAGADOS ANTENA'!X2</f>
        <v>0</v>
      </c>
      <c r="E20" s="51">
        <f t="shared" si="21"/>
        <v>0</v>
      </c>
      <c r="F20" s="51">
        <f>'RESUMEN TOTAL'!B1</f>
        <v>392</v>
      </c>
      <c r="G20" s="55">
        <f t="shared" si="22"/>
        <v>0</v>
      </c>
    </row>
    <row r="21" spans="1:7" x14ac:dyDescent="0.25">
      <c r="A21" s="25">
        <f>'APAGADOS RADIO'!Y3</f>
        <v>44793</v>
      </c>
      <c r="B21" s="51">
        <f>'APAGADOS RADIO'!Y2+D21</f>
        <v>0</v>
      </c>
      <c r="C21" s="51">
        <f>'APAGADOS FIBRA'!Y2</f>
        <v>0</v>
      </c>
      <c r="D21" s="51">
        <f>'APAGADOS ANTENA'!Y2</f>
        <v>0</v>
      </c>
      <c r="E21" s="51">
        <f t="shared" si="21"/>
        <v>0</v>
      </c>
      <c r="F21" s="51">
        <f>'RESUMEN TOTAL'!B1</f>
        <v>392</v>
      </c>
      <c r="G21" s="55">
        <f t="shared" si="22"/>
        <v>0</v>
      </c>
    </row>
    <row r="22" spans="1:7" x14ac:dyDescent="0.25">
      <c r="A22" s="25">
        <f>'APAGADOS RADIO'!Z3</f>
        <v>44794</v>
      </c>
      <c r="B22" s="51">
        <f>'APAGADOS RADIO'!Z2+D22</f>
        <v>0</v>
      </c>
      <c r="C22" s="51">
        <f>'APAGADOS FIBRA'!Z2</f>
        <v>0</v>
      </c>
      <c r="D22" s="51">
        <f>'APAGADOS ANTENA'!Z2</f>
        <v>0</v>
      </c>
      <c r="E22" s="51">
        <f t="shared" ref="E22" si="23">B22+C22</f>
        <v>0</v>
      </c>
      <c r="F22" s="51">
        <f>'RESUMEN TOTAL'!B1</f>
        <v>392</v>
      </c>
      <c r="G22" s="55">
        <f t="shared" ref="G22" si="24">E22/F22</f>
        <v>0</v>
      </c>
    </row>
    <row r="23" spans="1:7" x14ac:dyDescent="0.25">
      <c r="A23" s="25">
        <f>'APAGADOS RADIO'!AA3</f>
        <v>44795</v>
      </c>
      <c r="B23" s="51">
        <f>'APAGADOS RADIO'!AA2+D23</f>
        <v>0</v>
      </c>
      <c r="C23" s="51">
        <f>'APAGADOS FIBRA'!AA2</f>
        <v>0</v>
      </c>
      <c r="D23" s="51">
        <f>'APAGADOS ANTENA'!AA2</f>
        <v>0</v>
      </c>
      <c r="E23" s="51">
        <f t="shared" ref="E23" si="25">B23+C23</f>
        <v>0</v>
      </c>
      <c r="F23" s="51">
        <f>'RESUMEN TOTAL'!B1</f>
        <v>392</v>
      </c>
      <c r="G23" s="55">
        <f t="shared" ref="G23" si="26">E23/F23</f>
        <v>0</v>
      </c>
    </row>
    <row r="24" spans="1:7" x14ac:dyDescent="0.25">
      <c r="A24" s="25">
        <f>'APAGADOS RADIO'!AB3</f>
        <v>44796</v>
      </c>
      <c r="B24" s="51">
        <f>'APAGADOS RADIO'!AB2+D24</f>
        <v>0</v>
      </c>
      <c r="C24" s="51">
        <f>'APAGADOS FIBRA'!AB2</f>
        <v>0</v>
      </c>
      <c r="D24" s="51">
        <f>'APAGADOS ANTENA'!AB2</f>
        <v>0</v>
      </c>
      <c r="E24" s="51">
        <f t="shared" ref="E24:E26" si="27">B24+C24</f>
        <v>0</v>
      </c>
      <c r="F24" s="51">
        <f>'RESUMEN TOTAL'!B1</f>
        <v>392</v>
      </c>
      <c r="G24" s="55">
        <f t="shared" ref="G24:G26" si="28">E24/F24</f>
        <v>0</v>
      </c>
    </row>
    <row r="25" spans="1:7" x14ac:dyDescent="0.25">
      <c r="A25" s="25">
        <f>'APAGADOS RADIO'!AC3</f>
        <v>44797</v>
      </c>
      <c r="B25" s="51">
        <f>'APAGADOS RADIO'!AC2+D25</f>
        <v>0</v>
      </c>
      <c r="C25" s="51">
        <f>'APAGADOS FIBRA'!AC2</f>
        <v>0</v>
      </c>
      <c r="D25" s="51">
        <f>'APAGADOS ANTENA'!AC2</f>
        <v>0</v>
      </c>
      <c r="E25" s="51">
        <f t="shared" si="27"/>
        <v>0</v>
      </c>
      <c r="F25" s="51">
        <f>'RESUMEN TOTAL'!B1</f>
        <v>392</v>
      </c>
      <c r="G25" s="55">
        <f t="shared" si="28"/>
        <v>0</v>
      </c>
    </row>
    <row r="26" spans="1:7" x14ac:dyDescent="0.25">
      <c r="A26" s="25">
        <f>'APAGADOS RADIO'!AD3</f>
        <v>44798</v>
      </c>
      <c r="B26" s="51">
        <f>'APAGADOS RADIO'!AD2+D26</f>
        <v>0</v>
      </c>
      <c r="C26" s="51">
        <f>'APAGADOS FIBRA'!AD2</f>
        <v>0</v>
      </c>
      <c r="D26" s="51">
        <f>'APAGADOS ANTENA'!AD2</f>
        <v>0</v>
      </c>
      <c r="E26" s="51">
        <f t="shared" si="27"/>
        <v>0</v>
      </c>
      <c r="F26" s="51">
        <f>'RESUMEN TOTAL'!B1</f>
        <v>392</v>
      </c>
      <c r="G26" s="55">
        <f t="shared" si="28"/>
        <v>0</v>
      </c>
    </row>
    <row r="27" spans="1:7" x14ac:dyDescent="0.25">
      <c r="A27" s="25">
        <f>'APAGADOS RADIO'!AE3</f>
        <v>44799</v>
      </c>
      <c r="B27" s="51">
        <f>'APAGADOS RADIO'!AE2+D27</f>
        <v>0</v>
      </c>
      <c r="C27" s="51">
        <f>'APAGADOS FIBRA'!AE2</f>
        <v>0</v>
      </c>
      <c r="D27" s="51">
        <f>'APAGADOS ANTENA'!AE2</f>
        <v>0</v>
      </c>
      <c r="E27" s="51">
        <f t="shared" ref="E27" si="29">B27+C27</f>
        <v>0</v>
      </c>
      <c r="F27" s="51">
        <f>'RESUMEN TOTAL'!B1</f>
        <v>392</v>
      </c>
      <c r="G27" s="55">
        <f t="shared" ref="G27" si="30">E27/F27</f>
        <v>0</v>
      </c>
    </row>
    <row r="28" spans="1:7" x14ac:dyDescent="0.25">
      <c r="A28" s="25">
        <f>'APAGADOS RADIO'!AF3</f>
        <v>44800</v>
      </c>
      <c r="B28" s="51">
        <f>'APAGADOS RADIO'!AF2+D28</f>
        <v>0</v>
      </c>
      <c r="C28" s="51">
        <f>'APAGADOS FIBRA'!AF2</f>
        <v>0</v>
      </c>
      <c r="D28" s="51">
        <f>'APAGADOS ANTENA'!AF2</f>
        <v>0</v>
      </c>
      <c r="E28" s="51">
        <f t="shared" ref="E28:E29" si="31">B28+C28</f>
        <v>0</v>
      </c>
      <c r="F28" s="51">
        <f>'RESUMEN TOTAL'!B1</f>
        <v>392</v>
      </c>
      <c r="G28" s="55">
        <f t="shared" ref="G28:G29" si="32">E28/F28</f>
        <v>0</v>
      </c>
    </row>
    <row r="29" spans="1:7" x14ac:dyDescent="0.25">
      <c r="A29" s="25">
        <f>'APAGADOS RADIO'!AG3</f>
        <v>44801</v>
      </c>
      <c r="B29" s="51">
        <f>'APAGADOS RADIO'!AG2+D29</f>
        <v>0</v>
      </c>
      <c r="C29" s="51">
        <f>'APAGADOS FIBRA'!AG2</f>
        <v>0</v>
      </c>
      <c r="D29" s="51">
        <f>'APAGADOS ANTENA'!AG2</f>
        <v>0</v>
      </c>
      <c r="E29" s="51">
        <f t="shared" si="31"/>
        <v>0</v>
      </c>
      <c r="F29" s="51">
        <f>'RESUMEN TOTAL'!B1</f>
        <v>392</v>
      </c>
      <c r="G29" s="55">
        <f t="shared" si="32"/>
        <v>0</v>
      </c>
    </row>
    <row r="30" spans="1:7" x14ac:dyDescent="0.25">
      <c r="A30" s="25">
        <f>'APAGADOS RADIO'!AH3</f>
        <v>44802</v>
      </c>
      <c r="B30" s="51">
        <f>'APAGADOS RADIO'!AH2+D30</f>
        <v>0</v>
      </c>
      <c r="C30" s="51">
        <f>'APAGADOS FIBRA'!AH2</f>
        <v>0</v>
      </c>
      <c r="D30" s="51">
        <f>'APAGADOS ANTENA'!AH2</f>
        <v>0</v>
      </c>
      <c r="E30" s="51">
        <f t="shared" ref="E30" si="33">B30+C30</f>
        <v>0</v>
      </c>
      <c r="F30" s="51">
        <f>'RESUMEN TOTAL'!B1</f>
        <v>392</v>
      </c>
      <c r="G30" s="55">
        <f t="shared" ref="G30" si="34">E30/F30</f>
        <v>0</v>
      </c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2022-08-05T11:44:51Z</dcterms:modified>
</cp:coreProperties>
</file>