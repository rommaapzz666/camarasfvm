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9376027C-3ECB-4D83-BEF7-7CB5792E54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8" i="2" l="1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T2" i="2" l="1"/>
  <c r="J148" i="2"/>
  <c r="P2" i="2"/>
  <c r="AJ2" i="2"/>
  <c r="AA2" i="2"/>
  <c r="O2" i="2"/>
  <c r="AI2" i="2"/>
  <c r="AI1" i="2" s="1"/>
  <c r="Z2" i="2"/>
  <c r="N2" i="2"/>
  <c r="AH2" i="2"/>
  <c r="Y2" i="2"/>
  <c r="K2" i="2"/>
  <c r="M2" i="2"/>
  <c r="X2" i="2"/>
  <c r="L2" i="2"/>
  <c r="L1" i="2" s="1"/>
  <c r="AN2" i="2"/>
  <c r="AF2" i="2"/>
  <c r="W2" i="2"/>
  <c r="S2" i="2"/>
  <c r="AM2" i="2"/>
  <c r="AE2" i="2"/>
  <c r="V2" i="2"/>
  <c r="R2" i="2"/>
  <c r="R1" i="2" s="1"/>
  <c r="AL2" i="2"/>
  <c r="AD2" i="2"/>
  <c r="U2" i="2"/>
  <c r="Q2" i="2"/>
  <c r="AK2" i="2"/>
  <c r="AB2" i="2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Q1" i="2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9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K4" i="25" l="1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H2" i="21" l="1"/>
  <c r="G2" i="2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I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G2" i="21" l="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H1" i="9"/>
  <c r="I2" i="10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AC2" i="2"/>
  <c r="AC3" i="2"/>
  <c r="AC1" i="2"/>
  <c r="J386" i="2"/>
  <c r="H386" i="2"/>
  <c r="X2" i="21"/>
  <c r="X385" i="21"/>
  <c r="I386" i="2"/>
  <c r="X1" i="9"/>
  <c r="X384" i="9"/>
  <c r="X5" i="25"/>
  <c r="X6" i="25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<sst xmlns="http://schemas.openxmlformats.org/spreadsheetml/2006/main" count="3160" uniqueCount="1294">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</sst>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L60" activePane="bottomRight" state="frozen"/>
      <selection pane="topRight" activeCell="M1" sqref="M1"/>
      <selection pane="bottomLeft" activeCell="A5" sqref="A5"/>
      <selection pane="bottomRight" activeCell="B76" sqref="B76:G76"/>
    </sheetView>
  </sheetViews>
  <sheetFormatPr baseColWidth="10" defaultColWidth="11.5703125" defaultRowHeight="15" x14ac:dyDescent="0.25"/>
  <cols>
    <col min="1" max="1" width="26.7109375" style="44" bestFit="1" customWidth="1"/>
    <col min="2" max="2" width="32.85546875" style="45" customWidth="1"/>
    <col min="3" max="3" width="16.28515625" style="45" customWidth="1"/>
    <col min="4" max="4" width="42.5703125" style="44" customWidth="1"/>
    <col min="5" max="5" width="15.7109375" style="17" customWidth="1"/>
    <col min="6" max="6" width="17.42578125" style="18" customWidth="1"/>
    <col min="7" max="7" width="13.7109375" style="18" customWidth="1"/>
    <col min="8" max="8" width="14.7109375" style="44" customWidth="1"/>
    <col min="9" max="9" width="6.7109375" style="44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4"/>
  </cols>
  <sheetData>
    <row r="1" spans="1:41" s="5" customFormat="1" ht="27.75" customHeight="1" thickTop="1" x14ac:dyDescent="0.25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>B1-K3</f>
        <v>389</v>
      </c>
      <c r="L2" s="131">
        <f t="shared" ref="L2:AN2" si="1">CANTIDAD_DE_CAMARAS-L3</f>
        <v>398</v>
      </c>
      <c r="M2" s="131">
        <f t="shared" si="1"/>
        <v>430</v>
      </c>
      <c r="N2" s="131">
        <f t="shared" si="1"/>
        <v>430</v>
      </c>
      <c r="O2" s="131">
        <f t="shared" si="1"/>
        <v>430</v>
      </c>
      <c r="P2" s="131">
        <f t="shared" si="1"/>
        <v>430</v>
      </c>
      <c r="Q2" s="131">
        <f t="shared" si="1"/>
        <v>430</v>
      </c>
      <c r="R2" s="131">
        <f t="shared" si="1"/>
        <v>430</v>
      </c>
      <c r="S2" s="131">
        <f t="shared" si="1"/>
        <v>430</v>
      </c>
      <c r="T2" s="131">
        <f t="shared" si="1"/>
        <v>430</v>
      </c>
      <c r="U2" s="131">
        <f t="shared" si="1"/>
        <v>430</v>
      </c>
      <c r="V2" s="131">
        <f t="shared" si="1"/>
        <v>430</v>
      </c>
      <c r="W2" s="131">
        <f t="shared" si="1"/>
        <v>430</v>
      </c>
      <c r="X2" s="131">
        <f t="shared" si="1"/>
        <v>430</v>
      </c>
      <c r="Y2" s="131">
        <f t="shared" si="1"/>
        <v>430</v>
      </c>
      <c r="Z2" s="131">
        <f t="shared" si="1"/>
        <v>430</v>
      </c>
      <c r="AA2" s="131">
        <f t="shared" si="1"/>
        <v>430</v>
      </c>
      <c r="AB2" s="131">
        <f t="shared" si="1"/>
        <v>430</v>
      </c>
      <c r="AC2" s="131">
        <f t="shared" ca="1" si="1"/>
        <v>430</v>
      </c>
      <c r="AD2" s="131">
        <f t="shared" si="1"/>
        <v>430</v>
      </c>
      <c r="AE2" s="131">
        <f t="shared" si="1"/>
        <v>430</v>
      </c>
      <c r="AF2" s="131">
        <f t="shared" si="1"/>
        <v>430</v>
      </c>
      <c r="AG2" s="131">
        <f t="shared" si="1"/>
        <v>430</v>
      </c>
      <c r="AH2" s="131">
        <f t="shared" si="1"/>
        <v>430</v>
      </c>
      <c r="AI2" s="131">
        <f t="shared" si="1"/>
        <v>430</v>
      </c>
      <c r="AJ2" s="131">
        <f t="shared" si="1"/>
        <v>430</v>
      </c>
      <c r="AK2" s="131">
        <f t="shared" si="1"/>
        <v>430</v>
      </c>
      <c r="AL2" s="131">
        <f t="shared" si="1"/>
        <v>430</v>
      </c>
      <c r="AM2" s="131">
        <f t="shared" si="1"/>
        <v>430</v>
      </c>
      <c r="AN2" s="131">
        <f t="shared" si="1"/>
        <v>430</v>
      </c>
      <c r="AO2" s="8"/>
    </row>
    <row r="3" spans="1:41" s="9" customFormat="1" ht="15.75" thickBot="1" x14ac:dyDescent="0.3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30</v>
      </c>
      <c r="I5" s="46">
        <f>COUNTIF(K5:AL5,"APAGADO")</f>
        <v>0</v>
      </c>
      <c r="J5" s="47">
        <f>(H5)/(I5+H5)</f>
        <v>1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.75" thickBot="1" x14ac:dyDescent="0.3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30</v>
      </c>
      <c r="I6" s="46">
        <f>COUNTIF(K6:AL6,"APAGADO")</f>
        <v>0</v>
      </c>
      <c r="J6" s="47">
        <f>(H6)/(I6+H6)</f>
        <v>1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6.5" thickTop="1" thickBot="1" x14ac:dyDescent="0.3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3">COUNTIF(K7:AL7,"APAGADO")</f>
        <v>0</v>
      </c>
      <c r="J7" s="47">
        <f t="shared" ref="J7:J76" si="4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.75" thickBot="1" x14ac:dyDescent="0.3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5">COUNTIF(K8:AN8,"")</f>
        <v>30</v>
      </c>
      <c r="I8" s="46">
        <f t="shared" si="3"/>
        <v>0</v>
      </c>
      <c r="J8" s="47">
        <f t="shared" si="4"/>
        <v>1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.75" thickBot="1" x14ac:dyDescent="0.3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30</v>
      </c>
      <c r="I9" s="46">
        <f>COUNTIF(K9:AL9,"APAGADO")</f>
        <v>0</v>
      </c>
      <c r="J9" s="47">
        <f>(H9)/(I9+H9)</f>
        <v>1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</row>
    <row r="10" spans="1:41" ht="15.75" thickBot="1" x14ac:dyDescent="0.3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5"/>
        <v>30</v>
      </c>
      <c r="I10" s="46">
        <f t="shared" si="3"/>
        <v>0</v>
      </c>
      <c r="J10" s="47">
        <f t="shared" si="4"/>
        <v>1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.75" thickBot="1" x14ac:dyDescent="0.3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.75" thickBot="1" x14ac:dyDescent="0.3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5"/>
        <v>30</v>
      </c>
      <c r="I12" s="46">
        <f t="shared" si="3"/>
        <v>0</v>
      </c>
      <c r="J12" s="47">
        <f t="shared" si="4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.75" thickBot="1" x14ac:dyDescent="0.3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5"/>
        <v>30</v>
      </c>
      <c r="I13" s="46">
        <f t="shared" si="3"/>
        <v>0</v>
      </c>
      <c r="J13" s="47">
        <f t="shared" si="4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.75" thickBot="1" x14ac:dyDescent="0.3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5"/>
        <v>30</v>
      </c>
      <c r="I14" s="46">
        <f t="shared" si="3"/>
        <v>0</v>
      </c>
      <c r="J14" s="47">
        <f t="shared" si="4"/>
        <v>1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K14" s="21"/>
      <c r="AL14" s="21"/>
      <c r="AM14" s="21"/>
      <c r="AN14" s="21"/>
      <c r="AO14" s="21"/>
    </row>
    <row r="15" spans="1:41" ht="15.75" thickBot="1" x14ac:dyDescent="0.3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5"/>
        <v>30</v>
      </c>
      <c r="I15" s="46">
        <f t="shared" si="3"/>
        <v>0</v>
      </c>
      <c r="J15" s="47">
        <f t="shared" si="4"/>
        <v>1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.75" thickBot="1" x14ac:dyDescent="0.3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5"/>
        <v>28</v>
      </c>
      <c r="I16" s="46">
        <f t="shared" si="3"/>
        <v>2</v>
      </c>
      <c r="J16" s="47">
        <f t="shared" si="4"/>
        <v>0.93333333333333335</v>
      </c>
      <c r="K16" s="21" t="s">
        <v>1274</v>
      </c>
      <c r="L16" s="21" t="s">
        <v>1274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 spans="1:41" ht="15.75" thickBot="1" x14ac:dyDescent="0.3">
      <c r="A17" s="44" t="s">
        <v>1293</v>
      </c>
      <c r="B17" s="45" t="s">
        <v>1277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.75" thickBot="1" x14ac:dyDescent="0.3">
      <c r="A18" s="44" t="s">
        <v>1293</v>
      </c>
      <c r="B18" s="45" t="s">
        <v>1278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.75" thickBot="1" x14ac:dyDescent="0.3">
      <c r="A19" s="44" t="s">
        <v>1293</v>
      </c>
      <c r="B19" s="45" t="s">
        <v>1276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6">COUNTIF(K19:AN19,"")</f>
        <v>30</v>
      </c>
      <c r="I19" s="46">
        <f t="shared" ref="I19:I22" si="7">COUNTIF(K19:AL19,"APAGADO")</f>
        <v>0</v>
      </c>
      <c r="J19" s="47">
        <f t="shared" ref="J19:J22" si="8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.75" thickBot="1" x14ac:dyDescent="0.3">
      <c r="A20" s="44" t="s">
        <v>1293</v>
      </c>
      <c r="B20" s="45" t="s">
        <v>1275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6"/>
        <v>30</v>
      </c>
      <c r="I20" s="46">
        <f t="shared" si="7"/>
        <v>0</v>
      </c>
      <c r="J20" s="47">
        <f t="shared" si="8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.75" thickBot="1" x14ac:dyDescent="0.3">
      <c r="A21" s="44" t="s">
        <v>1293</v>
      </c>
      <c r="B21" s="45" t="s">
        <v>1279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6"/>
        <v>30</v>
      </c>
      <c r="I21" s="46">
        <f t="shared" si="7"/>
        <v>0</v>
      </c>
      <c r="J21" s="47">
        <f t="shared" si="8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.75" thickBot="1" x14ac:dyDescent="0.3">
      <c r="A22" s="44" t="s">
        <v>1293</v>
      </c>
      <c r="B22" s="45" t="s">
        <v>1280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6"/>
        <v>30</v>
      </c>
      <c r="I22" s="46">
        <f t="shared" si="7"/>
        <v>0</v>
      </c>
      <c r="J22" s="47">
        <f t="shared" si="8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.75" thickBot="1" x14ac:dyDescent="0.3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5"/>
        <v>30</v>
      </c>
      <c r="I23" s="46">
        <f t="shared" si="3"/>
        <v>0</v>
      </c>
      <c r="J23" s="47">
        <f t="shared" si="4"/>
        <v>1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.75" thickBot="1" x14ac:dyDescent="0.3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5"/>
        <v>30</v>
      </c>
      <c r="I24" s="46">
        <f t="shared" si="3"/>
        <v>0</v>
      </c>
      <c r="J24" s="47">
        <f t="shared" si="4"/>
        <v>1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75" thickBot="1" x14ac:dyDescent="0.3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5"/>
        <v>30</v>
      </c>
      <c r="I25" s="46">
        <f t="shared" si="3"/>
        <v>0</v>
      </c>
      <c r="J25" s="47">
        <f t="shared" si="4"/>
        <v>1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.75" thickBot="1" x14ac:dyDescent="0.3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5"/>
        <v>30</v>
      </c>
      <c r="I26" s="46">
        <f t="shared" si="3"/>
        <v>0</v>
      </c>
      <c r="J26" s="47">
        <f t="shared" si="4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.75" thickBot="1" x14ac:dyDescent="0.3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30</v>
      </c>
      <c r="I27" s="46">
        <f>COUNTIF(K27:AL27,"APAGADO")</f>
        <v>0</v>
      </c>
      <c r="J27" s="47">
        <f>(H27)/(I27+H27)</f>
        <v>1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.75" thickBot="1" x14ac:dyDescent="0.3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5"/>
        <v>30</v>
      </c>
      <c r="I28" s="46">
        <f t="shared" si="3"/>
        <v>0</v>
      </c>
      <c r="J28" s="47">
        <f t="shared" si="4"/>
        <v>1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.75" thickBot="1" x14ac:dyDescent="0.3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5"/>
        <v>30</v>
      </c>
      <c r="I29" s="46">
        <f t="shared" si="3"/>
        <v>0</v>
      </c>
      <c r="J29" s="47">
        <f t="shared" si="4"/>
        <v>1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.75" thickBot="1" x14ac:dyDescent="0.3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5"/>
        <v>30</v>
      </c>
      <c r="I30" s="46">
        <f t="shared" si="3"/>
        <v>0</v>
      </c>
      <c r="J30" s="47">
        <f t="shared" si="4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.75" thickBot="1" x14ac:dyDescent="0.3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5"/>
        <v>30</v>
      </c>
      <c r="I31" s="46">
        <f t="shared" si="3"/>
        <v>0</v>
      </c>
      <c r="J31" s="47">
        <f t="shared" si="4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.75" thickBot="1" x14ac:dyDescent="0.3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5"/>
        <v>30</v>
      </c>
      <c r="I32" s="46">
        <f t="shared" si="3"/>
        <v>0</v>
      </c>
      <c r="J32" s="47">
        <f t="shared" si="4"/>
        <v>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.75" thickBot="1" x14ac:dyDescent="0.3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5"/>
        <v>30</v>
      </c>
      <c r="I33" s="46">
        <f t="shared" si="3"/>
        <v>0</v>
      </c>
      <c r="J33" s="47">
        <f t="shared" si="4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.75" thickBot="1" x14ac:dyDescent="0.3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28</v>
      </c>
      <c r="I34" s="46">
        <f>COUNTIF(K34:AL34,"APAGADO")</f>
        <v>2</v>
      </c>
      <c r="J34" s="47">
        <f>(H34)/(I34+H34)</f>
        <v>0.93333333333333335</v>
      </c>
      <c r="K34" s="21" t="s">
        <v>1274</v>
      </c>
      <c r="L34" s="21" t="s">
        <v>1274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ht="15.75" thickBot="1" x14ac:dyDescent="0.3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30</v>
      </c>
      <c r="I35" s="46">
        <f>COUNTIF(K35:AL35,"APAGADO")</f>
        <v>0</v>
      </c>
      <c r="J35" s="47">
        <f>(H35)/(I35+H35)</f>
        <v>1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</row>
    <row r="36" spans="1:41" ht="15.75" thickBot="1" x14ac:dyDescent="0.3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5"/>
        <v>30</v>
      </c>
      <c r="I36" s="46">
        <f t="shared" si="3"/>
        <v>0</v>
      </c>
      <c r="J36" s="47">
        <f t="shared" si="4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.75" thickBot="1" x14ac:dyDescent="0.3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5"/>
        <v>29</v>
      </c>
      <c r="I37" s="46">
        <f t="shared" si="3"/>
        <v>1</v>
      </c>
      <c r="J37" s="47">
        <f t="shared" si="4"/>
        <v>0.96666666666666667</v>
      </c>
      <c r="K37" s="21" t="s">
        <v>1274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spans="1:41" ht="15.75" thickBot="1" x14ac:dyDescent="0.3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5"/>
        <v>30</v>
      </c>
      <c r="I38" s="46">
        <f t="shared" si="3"/>
        <v>0</v>
      </c>
      <c r="J38" s="47">
        <f t="shared" si="4"/>
        <v>1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.75" thickBot="1" x14ac:dyDescent="0.3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5"/>
        <v>30</v>
      </c>
      <c r="I39" s="46">
        <f t="shared" si="3"/>
        <v>0</v>
      </c>
      <c r="J39" s="47">
        <f t="shared" si="4"/>
        <v>1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.75" thickBot="1" x14ac:dyDescent="0.3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5"/>
        <v>28</v>
      </c>
      <c r="I40" s="46">
        <f t="shared" si="3"/>
        <v>2</v>
      </c>
      <c r="J40" s="47">
        <f t="shared" si="4"/>
        <v>0.93333333333333335</v>
      </c>
      <c r="K40" s="21" t="s">
        <v>1274</v>
      </c>
      <c r="L40" s="21" t="s">
        <v>1274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spans="1:41" ht="15.75" thickBot="1" x14ac:dyDescent="0.3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5"/>
        <v>30</v>
      </c>
      <c r="I41" s="46">
        <f t="shared" si="3"/>
        <v>0</v>
      </c>
      <c r="J41" s="47">
        <f t="shared" si="4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.75" thickBot="1" x14ac:dyDescent="0.3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5"/>
        <v>30</v>
      </c>
      <c r="I42" s="46">
        <f t="shared" si="3"/>
        <v>0</v>
      </c>
      <c r="J42" s="47">
        <f t="shared" si="4"/>
        <v>1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.75" thickBot="1" x14ac:dyDescent="0.3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5"/>
        <v>30</v>
      </c>
      <c r="I43" s="46">
        <f t="shared" si="3"/>
        <v>0</v>
      </c>
      <c r="J43" s="47">
        <f t="shared" si="4"/>
        <v>1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.75" thickBot="1" x14ac:dyDescent="0.3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5"/>
        <v>30</v>
      </c>
      <c r="I44" s="46">
        <f t="shared" si="3"/>
        <v>0</v>
      </c>
      <c r="J44" s="47">
        <f t="shared" si="4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.75" thickBot="1" x14ac:dyDescent="0.3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5"/>
        <v>30</v>
      </c>
      <c r="I45" s="46">
        <f t="shared" si="3"/>
        <v>0</v>
      </c>
      <c r="J45" s="47">
        <f t="shared" si="4"/>
        <v>1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.75" thickBot="1" x14ac:dyDescent="0.3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5"/>
        <v>30</v>
      </c>
      <c r="I46" s="46">
        <f t="shared" si="3"/>
        <v>0</v>
      </c>
      <c r="J46" s="47">
        <f t="shared" si="4"/>
        <v>1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.75" thickBot="1" x14ac:dyDescent="0.3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5"/>
        <v>30</v>
      </c>
      <c r="I47" s="46">
        <f t="shared" si="3"/>
        <v>0</v>
      </c>
      <c r="J47" s="47">
        <f t="shared" si="4"/>
        <v>1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.75" thickBot="1" x14ac:dyDescent="0.3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5"/>
        <v>28</v>
      </c>
      <c r="I48" s="46">
        <f t="shared" si="3"/>
        <v>2</v>
      </c>
      <c r="J48" s="47">
        <f t="shared" si="4"/>
        <v>0.93333333333333335</v>
      </c>
      <c r="K48" s="21" t="s">
        <v>1274</v>
      </c>
      <c r="L48" s="21" t="s">
        <v>1274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spans="1:41" ht="15.75" thickBot="1" x14ac:dyDescent="0.3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5"/>
        <v>28</v>
      </c>
      <c r="I49" s="46">
        <f t="shared" si="3"/>
        <v>2</v>
      </c>
      <c r="J49" s="47">
        <f t="shared" si="4"/>
        <v>0.93333333333333335</v>
      </c>
      <c r="K49" s="21" t="s">
        <v>1274</v>
      </c>
      <c r="L49" s="21" t="s">
        <v>1274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</row>
    <row r="50" spans="1:41" ht="15.75" thickBot="1" x14ac:dyDescent="0.3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5"/>
        <v>30</v>
      </c>
      <c r="I50" s="46">
        <f t="shared" si="3"/>
        <v>0</v>
      </c>
      <c r="J50" s="47">
        <f t="shared" si="4"/>
        <v>1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.75" thickBot="1" x14ac:dyDescent="0.3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5"/>
        <v>28</v>
      </c>
      <c r="I51" s="46">
        <f t="shared" si="3"/>
        <v>2</v>
      </c>
      <c r="J51" s="47">
        <f t="shared" si="4"/>
        <v>0.93333333333333335</v>
      </c>
      <c r="K51" s="21" t="s">
        <v>1274</v>
      </c>
      <c r="L51" s="21" t="s">
        <v>1274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ht="15.75" thickBot="1" x14ac:dyDescent="0.3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5"/>
        <v>30</v>
      </c>
      <c r="I52" s="46">
        <f t="shared" si="3"/>
        <v>0</v>
      </c>
      <c r="J52" s="47">
        <f t="shared" si="4"/>
        <v>1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.75" thickBot="1" x14ac:dyDescent="0.3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5"/>
        <v>30</v>
      </c>
      <c r="I53" s="46">
        <f t="shared" si="3"/>
        <v>0</v>
      </c>
      <c r="J53" s="47">
        <f t="shared" si="4"/>
        <v>1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.75" thickBot="1" x14ac:dyDescent="0.3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5"/>
        <v>28</v>
      </c>
      <c r="I54" s="46">
        <f t="shared" si="3"/>
        <v>2</v>
      </c>
      <c r="J54" s="47">
        <f t="shared" si="4"/>
        <v>0.93333333333333335</v>
      </c>
      <c r="K54" s="21" t="s">
        <v>1274</v>
      </c>
      <c r="L54" s="21" t="s">
        <v>1274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spans="1:41" ht="15.75" thickBot="1" x14ac:dyDescent="0.3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5"/>
        <v>30</v>
      </c>
      <c r="I55" s="46">
        <f t="shared" si="3"/>
        <v>0</v>
      </c>
      <c r="J55" s="47">
        <f t="shared" si="4"/>
        <v>1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.75" thickBot="1" x14ac:dyDescent="0.3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5"/>
        <v>28</v>
      </c>
      <c r="I56" s="46">
        <f t="shared" si="3"/>
        <v>2</v>
      </c>
      <c r="J56" s="47">
        <f t="shared" si="4"/>
        <v>0.93333333333333335</v>
      </c>
      <c r="K56" s="21" t="s">
        <v>1274</v>
      </c>
      <c r="L56" s="21" t="s">
        <v>1274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spans="1:41" ht="15.75" thickBot="1" x14ac:dyDescent="0.3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5"/>
        <v>30</v>
      </c>
      <c r="I57" s="46">
        <f t="shared" si="3"/>
        <v>0</v>
      </c>
      <c r="J57" s="47">
        <f t="shared" si="4"/>
        <v>1</v>
      </c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</row>
    <row r="58" spans="1:41" ht="15.75" thickBot="1" x14ac:dyDescent="0.3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5"/>
        <v>30</v>
      </c>
      <c r="I58" s="46">
        <f t="shared" si="3"/>
        <v>0</v>
      </c>
      <c r="J58" s="47">
        <f t="shared" si="4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.75" thickBot="1" x14ac:dyDescent="0.3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30</v>
      </c>
      <c r="I59" s="46">
        <f>COUNTIF(K59:AL59,"APAGADO")</f>
        <v>0</v>
      </c>
      <c r="J59" s="47">
        <f>(H59)/(I59+H59)</f>
        <v>1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.75" thickBot="1" x14ac:dyDescent="0.3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42" si="9">COUNTIF(K60:AN60,"")</f>
        <v>30</v>
      </c>
      <c r="I60" s="46">
        <f t="shared" si="3"/>
        <v>0</v>
      </c>
      <c r="J60" s="47">
        <f t="shared" si="4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.75" thickBot="1" x14ac:dyDescent="0.3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9"/>
        <v>30</v>
      </c>
      <c r="I61" s="46">
        <f t="shared" si="3"/>
        <v>0</v>
      </c>
      <c r="J61" s="47">
        <f t="shared" si="4"/>
        <v>1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.75" thickBot="1" x14ac:dyDescent="0.3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9"/>
        <v>30</v>
      </c>
      <c r="I62" s="46">
        <f t="shared" si="3"/>
        <v>0</v>
      </c>
      <c r="J62" s="47">
        <f t="shared" si="4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.75" thickBot="1" x14ac:dyDescent="0.3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9"/>
        <v>30</v>
      </c>
      <c r="I63" s="46">
        <f t="shared" si="3"/>
        <v>0</v>
      </c>
      <c r="J63" s="47">
        <f t="shared" si="4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.75" thickBot="1" x14ac:dyDescent="0.3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9"/>
        <v>30</v>
      </c>
      <c r="I64" s="46">
        <f t="shared" si="3"/>
        <v>0</v>
      </c>
      <c r="J64" s="47">
        <f t="shared" si="4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.75" thickBot="1" x14ac:dyDescent="0.3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9"/>
        <v>30</v>
      </c>
      <c r="I65" s="46">
        <f t="shared" si="3"/>
        <v>0</v>
      </c>
      <c r="J65" s="47">
        <f t="shared" si="4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.75" thickBot="1" x14ac:dyDescent="0.3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9"/>
        <v>29</v>
      </c>
      <c r="I66" s="46">
        <f t="shared" si="3"/>
        <v>1</v>
      </c>
      <c r="J66" s="47">
        <f t="shared" si="4"/>
        <v>0.96666666666666667</v>
      </c>
      <c r="K66" s="21" t="s">
        <v>1274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.75" thickBot="1" x14ac:dyDescent="0.3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9"/>
        <v>30</v>
      </c>
      <c r="I67" s="46">
        <f t="shared" si="3"/>
        <v>0</v>
      </c>
      <c r="J67" s="47">
        <f t="shared" si="4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.75" thickBot="1" x14ac:dyDescent="0.3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9"/>
        <v>30</v>
      </c>
      <c r="I68" s="46">
        <f t="shared" si="3"/>
        <v>0</v>
      </c>
      <c r="J68" s="47">
        <f t="shared" si="4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.75" thickBot="1" x14ac:dyDescent="0.3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9"/>
        <v>28</v>
      </c>
      <c r="I69" s="46">
        <f t="shared" si="3"/>
        <v>2</v>
      </c>
      <c r="J69" s="47">
        <f t="shared" si="4"/>
        <v>0.93333333333333335</v>
      </c>
      <c r="K69" s="21" t="s">
        <v>1274</v>
      </c>
      <c r="L69" s="21" t="s">
        <v>1274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pans="1:41" ht="15.75" thickBot="1" x14ac:dyDescent="0.3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9"/>
        <v>30</v>
      </c>
      <c r="I70" s="46">
        <f t="shared" si="3"/>
        <v>0</v>
      </c>
      <c r="J70" s="47">
        <f t="shared" si="4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.75" thickBot="1" x14ac:dyDescent="0.3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9"/>
        <v>30</v>
      </c>
      <c r="I71" s="46">
        <f t="shared" si="3"/>
        <v>0</v>
      </c>
      <c r="J71" s="47">
        <f t="shared" si="4"/>
        <v>1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.75" thickBot="1" x14ac:dyDescent="0.3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30</v>
      </c>
      <c r="I72" s="46">
        <f>COUNTIF(K72:AL72,"APAGADO")</f>
        <v>0</v>
      </c>
      <c r="J72" s="47">
        <f>(H72)/(I72+H72)</f>
        <v>1</v>
      </c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spans="1:41" ht="15.75" thickBot="1" x14ac:dyDescent="0.3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.75" thickBot="1" x14ac:dyDescent="0.3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9"/>
        <v>30</v>
      </c>
      <c r="I74" s="46">
        <f t="shared" si="3"/>
        <v>0</v>
      </c>
      <c r="J74" s="47">
        <f t="shared" si="4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.75" thickBot="1" x14ac:dyDescent="0.3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9"/>
        <v>28</v>
      </c>
      <c r="I75" s="46">
        <f t="shared" si="3"/>
        <v>2</v>
      </c>
      <c r="J75" s="47">
        <f t="shared" si="4"/>
        <v>0.93333333333333335</v>
      </c>
      <c r="K75" s="21" t="s">
        <v>1274</v>
      </c>
      <c r="L75" s="21" t="s">
        <v>1274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.75" thickBot="1" x14ac:dyDescent="0.3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9"/>
        <v>29</v>
      </c>
      <c r="I76" s="46">
        <f t="shared" si="3"/>
        <v>1</v>
      </c>
      <c r="J76" s="47">
        <f t="shared" si="4"/>
        <v>0.96666666666666667</v>
      </c>
      <c r="K76" s="21"/>
      <c r="L76" s="21" t="s">
        <v>1274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.75" thickBot="1" x14ac:dyDescent="0.3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9"/>
        <v>29</v>
      </c>
      <c r="I77" s="46">
        <f t="shared" ref="I77:I140" si="10">COUNTIF(K77:AL77,"APAGADO")</f>
        <v>1</v>
      </c>
      <c r="J77" s="47">
        <f t="shared" ref="J77:J140" si="11">(H77)/(I77+H77)</f>
        <v>0.96666666666666667</v>
      </c>
      <c r="K77" s="21" t="s">
        <v>1274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.75" thickBot="1" x14ac:dyDescent="0.3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9"/>
        <v>30</v>
      </c>
      <c r="I78" s="46">
        <f t="shared" si="10"/>
        <v>0</v>
      </c>
      <c r="J78" s="47">
        <f t="shared" si="11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.75" thickBot="1" x14ac:dyDescent="0.3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9"/>
        <v>30</v>
      </c>
      <c r="I79" s="46">
        <f t="shared" si="10"/>
        <v>0</v>
      </c>
      <c r="J79" s="47">
        <f t="shared" si="11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.75" thickBot="1" x14ac:dyDescent="0.3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9"/>
        <v>30</v>
      </c>
      <c r="I80" s="46">
        <f t="shared" si="10"/>
        <v>0</v>
      </c>
      <c r="J80" s="47">
        <f t="shared" si="11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.75" thickBot="1" x14ac:dyDescent="0.3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9"/>
        <v>30</v>
      </c>
      <c r="I81" s="46">
        <f t="shared" si="10"/>
        <v>0</v>
      </c>
      <c r="J81" s="47">
        <f t="shared" si="11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.75" thickBot="1" x14ac:dyDescent="0.3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30</v>
      </c>
      <c r="I82" s="46">
        <f>COUNTIF(K82:AL82,"APAGADO")</f>
        <v>0</v>
      </c>
      <c r="J82" s="47">
        <f>(H82)/(I82+H82)</f>
        <v>1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</row>
    <row r="83" spans="1:41" ht="15.75" thickBot="1" x14ac:dyDescent="0.3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30</v>
      </c>
      <c r="I83" s="46">
        <f>COUNTIF(K83:AL83,"APAGADO")</f>
        <v>0</v>
      </c>
      <c r="J83" s="47">
        <f>(H83)/(I83+H83)</f>
        <v>1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.75" thickBot="1" x14ac:dyDescent="0.3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9"/>
        <v>30</v>
      </c>
      <c r="I84" s="46">
        <f t="shared" si="10"/>
        <v>0</v>
      </c>
      <c r="J84" s="47">
        <f t="shared" si="11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.75" thickBot="1" x14ac:dyDescent="0.3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9"/>
        <v>30</v>
      </c>
      <c r="I85" s="46">
        <f t="shared" si="10"/>
        <v>0</v>
      </c>
      <c r="J85" s="47">
        <f t="shared" si="11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.75" thickBot="1" x14ac:dyDescent="0.3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9"/>
        <v>30</v>
      </c>
      <c r="I86" s="46">
        <f t="shared" si="10"/>
        <v>0</v>
      </c>
      <c r="J86" s="47">
        <f t="shared" si="11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.75" thickBot="1" x14ac:dyDescent="0.3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29</v>
      </c>
      <c r="I87" s="46">
        <f>COUNTIF(K87:AL87,"APAGADO")</f>
        <v>1</v>
      </c>
      <c r="J87" s="47">
        <f>(H87)/(I87+H87)</f>
        <v>0.96666666666666667</v>
      </c>
      <c r="K87" s="21" t="s">
        <v>1274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</row>
    <row r="88" spans="1:41" ht="15.75" thickBot="1" x14ac:dyDescent="0.3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9"/>
        <v>29</v>
      </c>
      <c r="I88" s="46">
        <f t="shared" si="10"/>
        <v>1</v>
      </c>
      <c r="J88" s="47">
        <f t="shared" si="11"/>
        <v>0.96666666666666667</v>
      </c>
      <c r="K88" s="21" t="s">
        <v>1274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</row>
    <row r="89" spans="1:41" ht="15.75" thickBot="1" x14ac:dyDescent="0.3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9"/>
        <v>30</v>
      </c>
      <c r="I89" s="46">
        <f t="shared" si="10"/>
        <v>0</v>
      </c>
      <c r="J89" s="47">
        <f t="shared" si="11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.75" thickBot="1" x14ac:dyDescent="0.3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9"/>
        <v>30</v>
      </c>
      <c r="I90" s="46">
        <f t="shared" si="10"/>
        <v>0</v>
      </c>
      <c r="J90" s="47">
        <f t="shared" si="11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.75" thickBot="1" x14ac:dyDescent="0.3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9"/>
        <v>30</v>
      </c>
      <c r="I91" s="46">
        <f t="shared" si="10"/>
        <v>0</v>
      </c>
      <c r="J91" s="47">
        <f t="shared" si="11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.75" thickBot="1" x14ac:dyDescent="0.3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.75" thickBot="1" x14ac:dyDescent="0.3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.75" thickBot="1" x14ac:dyDescent="0.3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28</v>
      </c>
      <c r="I94" s="46">
        <f>COUNTIF(K94:AL94,"APAGADO")</f>
        <v>2</v>
      </c>
      <c r="J94" s="47">
        <f>(H94)/(I94+H94)</f>
        <v>0.93333333333333335</v>
      </c>
      <c r="K94" s="21" t="s">
        <v>1274</v>
      </c>
      <c r="L94" s="21" t="s">
        <v>1274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</row>
    <row r="95" spans="1:41" ht="13.9" customHeight="1" thickBot="1" x14ac:dyDescent="0.3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9"/>
        <v>30</v>
      </c>
      <c r="I95" s="46">
        <f t="shared" si="10"/>
        <v>0</v>
      </c>
      <c r="J95" s="47">
        <f t="shared" si="11"/>
        <v>1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.75" thickBot="1" x14ac:dyDescent="0.3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9"/>
        <v>30</v>
      </c>
      <c r="I96" s="46">
        <f t="shared" si="10"/>
        <v>0</v>
      </c>
      <c r="J96" s="47">
        <f t="shared" si="11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.75" thickBot="1" x14ac:dyDescent="0.3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.75" thickBot="1" x14ac:dyDescent="0.3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28</v>
      </c>
      <c r="I98" s="46">
        <f>COUNTIF(K98:AL98,"APAGADO")</f>
        <v>2</v>
      </c>
      <c r="J98" s="47">
        <f>(H98)/(I98+H98)</f>
        <v>0.93333333333333335</v>
      </c>
      <c r="K98" s="21" t="s">
        <v>1274</v>
      </c>
      <c r="L98" s="21" t="s">
        <v>1274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</row>
    <row r="99" spans="1:41" ht="15.75" thickBot="1" x14ac:dyDescent="0.3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9"/>
        <v>30</v>
      </c>
      <c r="I99" s="46">
        <f t="shared" si="10"/>
        <v>0</v>
      </c>
      <c r="J99" s="47">
        <f t="shared" si="11"/>
        <v>1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.75" thickBot="1" x14ac:dyDescent="0.3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9"/>
        <v>30</v>
      </c>
      <c r="I100" s="46">
        <f t="shared" si="10"/>
        <v>0</v>
      </c>
      <c r="J100" s="47">
        <f t="shared" si="11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.75" thickBot="1" x14ac:dyDescent="0.3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9"/>
        <v>28</v>
      </c>
      <c r="I101" s="46">
        <f t="shared" si="10"/>
        <v>2</v>
      </c>
      <c r="J101" s="47">
        <f t="shared" si="11"/>
        <v>0.93333333333333335</v>
      </c>
      <c r="K101" s="21" t="s">
        <v>1274</v>
      </c>
      <c r="L101" s="21" t="s">
        <v>1274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</row>
    <row r="102" spans="1:41" ht="15.75" thickBot="1" x14ac:dyDescent="0.3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9"/>
        <v>28</v>
      </c>
      <c r="I102" s="46">
        <f t="shared" si="10"/>
        <v>2</v>
      </c>
      <c r="J102" s="47">
        <f t="shared" si="11"/>
        <v>0.93333333333333335</v>
      </c>
      <c r="K102" s="21" t="s">
        <v>1274</v>
      </c>
      <c r="L102" s="21" t="s">
        <v>1274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</row>
    <row r="103" spans="1:41" ht="15.75" thickBot="1" x14ac:dyDescent="0.3">
      <c r="A103" s="44" t="s">
        <v>52</v>
      </c>
      <c r="B103" s="45" t="s">
        <v>1281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1282</v>
      </c>
      <c r="H103" s="46">
        <f t="shared" si="9"/>
        <v>30</v>
      </c>
      <c r="I103" s="46">
        <f t="shared" si="10"/>
        <v>0</v>
      </c>
      <c r="J103" s="47">
        <f t="shared" si="11"/>
        <v>1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</row>
    <row r="104" spans="1:41" ht="15.75" thickBot="1" x14ac:dyDescent="0.3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9"/>
        <v>30</v>
      </c>
      <c r="I104" s="46">
        <f t="shared" si="10"/>
        <v>0</v>
      </c>
      <c r="J104" s="47">
        <f t="shared" si="11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.75" thickBot="1" x14ac:dyDescent="0.3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9"/>
        <v>30</v>
      </c>
      <c r="I105" s="46">
        <f t="shared" si="10"/>
        <v>0</v>
      </c>
      <c r="J105" s="47">
        <f t="shared" si="11"/>
        <v>1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.75" thickBot="1" x14ac:dyDescent="0.3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9"/>
        <v>30</v>
      </c>
      <c r="I106" s="46">
        <f t="shared" si="10"/>
        <v>0</v>
      </c>
      <c r="J106" s="47">
        <f t="shared" si="11"/>
        <v>1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.75" thickBot="1" x14ac:dyDescent="0.3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9"/>
        <v>30</v>
      </c>
      <c r="I107" s="46">
        <f t="shared" si="10"/>
        <v>0</v>
      </c>
      <c r="J107" s="47">
        <f t="shared" si="11"/>
        <v>1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.75" thickBot="1" x14ac:dyDescent="0.3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9"/>
        <v>30</v>
      </c>
      <c r="I108" s="46">
        <f t="shared" si="10"/>
        <v>0</v>
      </c>
      <c r="J108" s="47">
        <f t="shared" si="11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.75" thickBot="1" x14ac:dyDescent="0.3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9"/>
        <v>30</v>
      </c>
      <c r="I109" s="46">
        <f t="shared" si="10"/>
        <v>0</v>
      </c>
      <c r="J109" s="47">
        <f t="shared" si="11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.75" thickBot="1" x14ac:dyDescent="0.3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9"/>
        <v>30</v>
      </c>
      <c r="I110" s="46">
        <f t="shared" si="10"/>
        <v>0</v>
      </c>
      <c r="J110" s="47">
        <f t="shared" si="11"/>
        <v>1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.75" thickBot="1" x14ac:dyDescent="0.3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30</v>
      </c>
      <c r="I111" s="46">
        <f>COUNTIF(K111:AL111,"APAGADO")</f>
        <v>0</v>
      </c>
      <c r="J111" s="47">
        <f>(H111)/(I111+H111)</f>
        <v>1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.75" thickBot="1" x14ac:dyDescent="0.3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9"/>
        <v>30</v>
      </c>
      <c r="I112" s="46">
        <f t="shared" si="10"/>
        <v>0</v>
      </c>
      <c r="J112" s="47">
        <f t="shared" si="11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.75" thickBot="1" x14ac:dyDescent="0.3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9"/>
        <v>30</v>
      </c>
      <c r="I113" s="46">
        <f t="shared" si="10"/>
        <v>0</v>
      </c>
      <c r="J113" s="47">
        <f t="shared" si="11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.75" thickBot="1" x14ac:dyDescent="0.3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9"/>
        <v>30</v>
      </c>
      <c r="I114" s="46">
        <f t="shared" si="10"/>
        <v>0</v>
      </c>
      <c r="J114" s="47">
        <f t="shared" si="11"/>
        <v>1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.75" thickBot="1" x14ac:dyDescent="0.3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9"/>
        <v>30</v>
      </c>
      <c r="I115" s="46">
        <f t="shared" si="10"/>
        <v>0</v>
      </c>
      <c r="J115" s="47">
        <f t="shared" si="11"/>
        <v>1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.75" thickBot="1" x14ac:dyDescent="0.3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9"/>
        <v>30</v>
      </c>
      <c r="I116" s="46">
        <f t="shared" si="10"/>
        <v>0</v>
      </c>
      <c r="J116" s="47">
        <f t="shared" si="11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.75" thickBot="1" x14ac:dyDescent="0.3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9"/>
        <v>30</v>
      </c>
      <c r="I117" s="46">
        <f t="shared" si="10"/>
        <v>0</v>
      </c>
      <c r="J117" s="47">
        <f t="shared" si="11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149999999999999" customHeight="1" thickBot="1" x14ac:dyDescent="0.3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9"/>
        <v>30</v>
      </c>
      <c r="I118" s="46">
        <f t="shared" si="10"/>
        <v>0</v>
      </c>
      <c r="J118" s="47">
        <f t="shared" si="11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.75" thickBot="1" x14ac:dyDescent="0.3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9"/>
        <v>30</v>
      </c>
      <c r="I119" s="46">
        <f t="shared" si="10"/>
        <v>0</v>
      </c>
      <c r="J119" s="47">
        <f t="shared" si="11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.75" thickBot="1" x14ac:dyDescent="0.3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9"/>
        <v>30</v>
      </c>
      <c r="I120" s="46">
        <f t="shared" si="10"/>
        <v>0</v>
      </c>
      <c r="J120" s="47">
        <f t="shared" si="11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.75" thickBot="1" x14ac:dyDescent="0.3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9"/>
        <v>30</v>
      </c>
      <c r="I121" s="46">
        <f t="shared" si="10"/>
        <v>0</v>
      </c>
      <c r="J121" s="47">
        <f t="shared" si="11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.75" thickBot="1" x14ac:dyDescent="0.3">
      <c r="A122" s="44" t="s">
        <v>194</v>
      </c>
      <c r="B122" s="44" t="s">
        <v>197</v>
      </c>
      <c r="C122" s="44" t="s">
        <v>1160</v>
      </c>
      <c r="D122" s="44" t="s">
        <v>198</v>
      </c>
      <c r="E122" s="44" t="s">
        <v>19</v>
      </c>
      <c r="F122" s="44" t="s">
        <v>20</v>
      </c>
      <c r="G122" s="44" t="s">
        <v>726</v>
      </c>
      <c r="H122" s="46">
        <f t="shared" si="9"/>
        <v>30</v>
      </c>
      <c r="I122" s="46">
        <f t="shared" si="10"/>
        <v>0</v>
      </c>
      <c r="J122" s="47">
        <f t="shared" si="11"/>
        <v>1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.75" thickBot="1" x14ac:dyDescent="0.3">
      <c r="A123" s="44" t="s">
        <v>199</v>
      </c>
      <c r="B123" s="44" t="s">
        <v>200</v>
      </c>
      <c r="C123" s="44" t="s">
        <v>1160</v>
      </c>
      <c r="D123" s="44" t="s">
        <v>201</v>
      </c>
      <c r="E123" s="44" t="s">
        <v>19</v>
      </c>
      <c r="F123" s="44" t="s">
        <v>1152</v>
      </c>
      <c r="G123" s="44" t="s">
        <v>727</v>
      </c>
      <c r="H123" s="46">
        <f t="shared" si="9"/>
        <v>30</v>
      </c>
      <c r="I123" s="46">
        <f t="shared" si="10"/>
        <v>0</v>
      </c>
      <c r="J123" s="47">
        <f t="shared" si="11"/>
        <v>1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</row>
    <row r="124" spans="1:41" ht="15.75" thickBot="1" x14ac:dyDescent="0.3">
      <c r="A124" s="44" t="s">
        <v>202</v>
      </c>
      <c r="B124" s="44" t="s">
        <v>203</v>
      </c>
      <c r="C124" s="44" t="s">
        <v>1160</v>
      </c>
      <c r="D124" s="44" t="s">
        <v>204</v>
      </c>
      <c r="E124" s="44" t="s">
        <v>15</v>
      </c>
      <c r="F124" s="44" t="s">
        <v>1152</v>
      </c>
      <c r="G124" s="44" t="s">
        <v>728</v>
      </c>
      <c r="H124" s="46">
        <f t="shared" si="9"/>
        <v>30</v>
      </c>
      <c r="I124" s="46">
        <f t="shared" si="10"/>
        <v>0</v>
      </c>
      <c r="J124" s="47">
        <f t="shared" si="11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.75" thickBot="1" x14ac:dyDescent="0.3">
      <c r="A125" s="44" t="s">
        <v>194</v>
      </c>
      <c r="B125" s="44" t="s">
        <v>205</v>
      </c>
      <c r="C125" s="44" t="s">
        <v>1160</v>
      </c>
      <c r="D125" s="44" t="s">
        <v>206</v>
      </c>
      <c r="E125" s="44" t="s">
        <v>19</v>
      </c>
      <c r="F125" s="44" t="s">
        <v>1151</v>
      </c>
      <c r="G125" s="44" t="s">
        <v>729</v>
      </c>
      <c r="H125" s="46">
        <f t="shared" si="9"/>
        <v>28</v>
      </c>
      <c r="I125" s="46">
        <f t="shared" si="10"/>
        <v>2</v>
      </c>
      <c r="J125" s="47">
        <f t="shared" si="11"/>
        <v>0.93333333333333335</v>
      </c>
      <c r="K125" s="21" t="s">
        <v>1274</v>
      </c>
      <c r="L125" s="21" t="s">
        <v>1274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.75" thickBot="1" x14ac:dyDescent="0.3">
      <c r="A126" s="44" t="s">
        <v>194</v>
      </c>
      <c r="B126" s="44" t="s">
        <v>207</v>
      </c>
      <c r="C126" s="44" t="s">
        <v>1160</v>
      </c>
      <c r="D126" s="44" t="s">
        <v>208</v>
      </c>
      <c r="E126" s="44" t="s">
        <v>19</v>
      </c>
      <c r="F126" s="44" t="s">
        <v>1151</v>
      </c>
      <c r="G126" s="44" t="s">
        <v>730</v>
      </c>
      <c r="H126" s="46">
        <f t="shared" si="9"/>
        <v>30</v>
      </c>
      <c r="I126" s="46">
        <f t="shared" si="10"/>
        <v>0</v>
      </c>
      <c r="J126" s="47">
        <f t="shared" si="11"/>
        <v>1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</row>
    <row r="127" spans="1:41" ht="15.75" thickBot="1" x14ac:dyDescent="0.3">
      <c r="A127" s="44" t="s">
        <v>194</v>
      </c>
      <c r="B127" s="44" t="s">
        <v>209</v>
      </c>
      <c r="C127" s="44" t="s">
        <v>1160</v>
      </c>
      <c r="D127" s="44" t="s">
        <v>210</v>
      </c>
      <c r="E127" s="44" t="s">
        <v>19</v>
      </c>
      <c r="F127" s="44" t="s">
        <v>20</v>
      </c>
      <c r="G127" s="44" t="s">
        <v>731</v>
      </c>
      <c r="H127" s="46">
        <f t="shared" si="9"/>
        <v>30</v>
      </c>
      <c r="I127" s="46">
        <f t="shared" si="10"/>
        <v>0</v>
      </c>
      <c r="J127" s="47">
        <f t="shared" si="11"/>
        <v>1</v>
      </c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</row>
    <row r="128" spans="1:41" ht="15.75" thickBot="1" x14ac:dyDescent="0.3">
      <c r="A128" s="44" t="s">
        <v>194</v>
      </c>
      <c r="B128" s="44" t="s">
        <v>1038</v>
      </c>
      <c r="C128" s="44" t="s">
        <v>1160</v>
      </c>
      <c r="D128" s="44" t="s">
        <v>195</v>
      </c>
      <c r="E128" s="44" t="s">
        <v>15</v>
      </c>
      <c r="F128" s="44" t="s">
        <v>1152</v>
      </c>
      <c r="G128" s="44" t="s">
        <v>732</v>
      </c>
      <c r="H128" s="46">
        <f t="shared" si="9"/>
        <v>30</v>
      </c>
      <c r="I128" s="46">
        <f t="shared" si="10"/>
        <v>0</v>
      </c>
      <c r="J128" s="47">
        <f t="shared" si="11"/>
        <v>1</v>
      </c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.75" thickBot="1" x14ac:dyDescent="0.3">
      <c r="A129" s="44" t="s">
        <v>194</v>
      </c>
      <c r="B129" s="44" t="s">
        <v>196</v>
      </c>
      <c r="C129" s="44" t="s">
        <v>1160</v>
      </c>
      <c r="D129" s="44" t="s">
        <v>1037</v>
      </c>
      <c r="E129" s="44" t="s">
        <v>46</v>
      </c>
      <c r="F129" s="44" t="s">
        <v>20</v>
      </c>
      <c r="G129" s="44" t="s">
        <v>733</v>
      </c>
      <c r="H129" s="46">
        <f>COUNTIF(K129:AN129,"")</f>
        <v>30</v>
      </c>
      <c r="I129" s="46">
        <f>COUNTIF(K129:AL129,"APAGADO")</f>
        <v>0</v>
      </c>
      <c r="J129" s="47">
        <f>(H129)/(I129+H129)</f>
        <v>1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.75" thickBot="1" x14ac:dyDescent="0.3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9"/>
        <v>30</v>
      </c>
      <c r="I130" s="46">
        <f t="shared" si="10"/>
        <v>0</v>
      </c>
      <c r="J130" s="47">
        <f t="shared" si="11"/>
        <v>1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.75" thickBot="1" x14ac:dyDescent="0.3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9"/>
        <v>30</v>
      </c>
      <c r="I131" s="46">
        <f t="shared" si="10"/>
        <v>0</v>
      </c>
      <c r="J131" s="47">
        <f t="shared" si="11"/>
        <v>1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.75" thickBot="1" x14ac:dyDescent="0.3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9"/>
        <v>30</v>
      </c>
      <c r="I132" s="46">
        <f t="shared" si="10"/>
        <v>0</v>
      </c>
      <c r="J132" s="47">
        <f t="shared" si="11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.75" thickBot="1" x14ac:dyDescent="0.3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9"/>
        <v>30</v>
      </c>
      <c r="I133" s="46">
        <f t="shared" si="10"/>
        <v>0</v>
      </c>
      <c r="J133" s="47">
        <f t="shared" si="11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.75" thickBot="1" x14ac:dyDescent="0.3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30</v>
      </c>
      <c r="I134" s="46">
        <f>COUNTIF(K134:AL134,"APAGADO")</f>
        <v>0</v>
      </c>
      <c r="J134" s="47">
        <f>(H134)/(I134+H134)</f>
        <v>1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.75" thickBot="1" x14ac:dyDescent="0.3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30</v>
      </c>
      <c r="I135" s="46">
        <f>COUNTIF(K135:AL135,"APAGADO")</f>
        <v>0</v>
      </c>
      <c r="J135" s="47">
        <f>(H135)/(I135+H135)</f>
        <v>1</v>
      </c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.75" thickBot="1" x14ac:dyDescent="0.3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29</v>
      </c>
      <c r="I136" s="46">
        <f>COUNTIF(K136:AL136,"APAGADO")</f>
        <v>1</v>
      </c>
      <c r="J136" s="47">
        <f>(H136)/(I136+H136)</f>
        <v>0.96666666666666667</v>
      </c>
      <c r="K136" s="21" t="s">
        <v>1274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</row>
    <row r="137" spans="1:41" ht="15.75" thickBot="1" x14ac:dyDescent="0.3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29</v>
      </c>
      <c r="I137" s="46">
        <f>COUNTIF(K137:AL137,"APAGADO")</f>
        <v>1</v>
      </c>
      <c r="J137" s="47">
        <f>(H137)/(I137+H137)</f>
        <v>0.96666666666666667</v>
      </c>
      <c r="K137" s="21" t="s">
        <v>1274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</row>
    <row r="138" spans="1:41" ht="15.75" thickBot="1" x14ac:dyDescent="0.3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9"/>
        <v>30</v>
      </c>
      <c r="I138" s="46">
        <f t="shared" si="10"/>
        <v>0</v>
      </c>
      <c r="J138" s="47">
        <f t="shared" si="11"/>
        <v>1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.75" thickBot="1" x14ac:dyDescent="0.3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9"/>
        <v>30</v>
      </c>
      <c r="I139" s="46">
        <f t="shared" si="10"/>
        <v>0</v>
      </c>
      <c r="J139" s="47">
        <f t="shared" si="11"/>
        <v>1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.75" thickBot="1" x14ac:dyDescent="0.3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9"/>
        <v>30</v>
      </c>
      <c r="I140" s="46">
        <f t="shared" si="10"/>
        <v>0</v>
      </c>
      <c r="J140" s="47">
        <f t="shared" si="11"/>
        <v>1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.75" thickBot="1" x14ac:dyDescent="0.3">
      <c r="A141" s="44" t="s">
        <v>232</v>
      </c>
      <c r="B141" s="44" t="s">
        <v>233</v>
      </c>
      <c r="C141" s="44" t="s">
        <v>1159</v>
      </c>
      <c r="D141" s="44" t="s">
        <v>234</v>
      </c>
      <c r="E141" s="44" t="s">
        <v>15</v>
      </c>
      <c r="F141" s="44" t="s">
        <v>20</v>
      </c>
      <c r="G141" s="44" t="s">
        <v>740</v>
      </c>
      <c r="H141" s="46">
        <f t="shared" si="9"/>
        <v>30</v>
      </c>
      <c r="I141" s="46">
        <f t="shared" ref="I141:I234" si="12">COUNTIF(K141:AL141,"APAGADO")</f>
        <v>0</v>
      </c>
      <c r="J141" s="47">
        <f t="shared" ref="J141:J234" si="13">(H141)/(I141+H141)</f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.75" thickBot="1" x14ac:dyDescent="0.3">
      <c r="A142" s="44" t="s">
        <v>171</v>
      </c>
      <c r="B142" s="44" t="s">
        <v>235</v>
      </c>
      <c r="C142" s="44" t="s">
        <v>1159</v>
      </c>
      <c r="D142" s="44" t="s">
        <v>236</v>
      </c>
      <c r="E142" s="44" t="s">
        <v>19</v>
      </c>
      <c r="F142" s="44" t="s">
        <v>20</v>
      </c>
      <c r="G142" s="44" t="s">
        <v>741</v>
      </c>
      <c r="H142" s="46">
        <f t="shared" si="9"/>
        <v>30</v>
      </c>
      <c r="I142" s="46">
        <f t="shared" si="12"/>
        <v>0</v>
      </c>
      <c r="J142" s="47">
        <f t="shared" si="13"/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.75" thickBot="1" x14ac:dyDescent="0.3">
      <c r="A143" s="44" t="s">
        <v>222</v>
      </c>
      <c r="B143" s="44" t="s">
        <v>237</v>
      </c>
      <c r="C143" s="44" t="s">
        <v>1159</v>
      </c>
      <c r="D143" s="44" t="s">
        <v>238</v>
      </c>
      <c r="E143" s="44" t="s">
        <v>19</v>
      </c>
      <c r="F143" s="44" t="s">
        <v>20</v>
      </c>
      <c r="G143" s="44" t="s">
        <v>742</v>
      </c>
      <c r="H143" s="46">
        <f t="shared" ref="H143:H216" si="14">COUNTIF(K143:AN143,"")</f>
        <v>30</v>
      </c>
      <c r="I143" s="46">
        <f t="shared" si="12"/>
        <v>0</v>
      </c>
      <c r="J143" s="47">
        <f t="shared" si="13"/>
        <v>1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.75" thickBot="1" x14ac:dyDescent="0.3">
      <c r="A144" s="44" t="s">
        <v>222</v>
      </c>
      <c r="B144" s="44" t="s">
        <v>239</v>
      </c>
      <c r="C144" s="44" t="s">
        <v>1159</v>
      </c>
      <c r="D144" s="44" t="s">
        <v>240</v>
      </c>
      <c r="E144" s="44" t="s">
        <v>19</v>
      </c>
      <c r="F144" s="44" t="s">
        <v>20</v>
      </c>
      <c r="G144" s="44" t="s">
        <v>743</v>
      </c>
      <c r="H144" s="46">
        <f t="shared" si="14"/>
        <v>30</v>
      </c>
      <c r="I144" s="46">
        <f t="shared" si="12"/>
        <v>0</v>
      </c>
      <c r="J144" s="47">
        <f t="shared" si="13"/>
        <v>1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.75" thickBot="1" x14ac:dyDescent="0.3">
      <c r="A145" s="44" t="s">
        <v>222</v>
      </c>
      <c r="B145" s="44" t="s">
        <v>241</v>
      </c>
      <c r="C145" s="44" t="s">
        <v>1159</v>
      </c>
      <c r="D145" s="44" t="s">
        <v>242</v>
      </c>
      <c r="E145" s="44" t="s">
        <v>19</v>
      </c>
      <c r="F145" s="44" t="s">
        <v>20</v>
      </c>
      <c r="G145" s="44" t="s">
        <v>744</v>
      </c>
      <c r="H145" s="46">
        <f t="shared" si="14"/>
        <v>30</v>
      </c>
      <c r="I145" s="46">
        <f t="shared" si="12"/>
        <v>0</v>
      </c>
      <c r="J145" s="47">
        <f t="shared" si="13"/>
        <v>1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.75" thickBot="1" x14ac:dyDescent="0.3">
      <c r="A146" s="44" t="s">
        <v>222</v>
      </c>
      <c r="B146" s="44" t="s">
        <v>243</v>
      </c>
      <c r="C146" s="44" t="s">
        <v>1159</v>
      </c>
      <c r="D146" s="44" t="s">
        <v>244</v>
      </c>
      <c r="E146" s="44" t="s">
        <v>15</v>
      </c>
      <c r="F146" s="44" t="s">
        <v>20</v>
      </c>
      <c r="G146" s="44" t="s">
        <v>745</v>
      </c>
      <c r="H146" s="46">
        <f t="shared" si="14"/>
        <v>30</v>
      </c>
      <c r="I146" s="46">
        <f t="shared" si="12"/>
        <v>0</v>
      </c>
      <c r="J146" s="47">
        <f t="shared" si="13"/>
        <v>1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.75" thickBot="1" x14ac:dyDescent="0.3">
      <c r="A147" s="44" t="s">
        <v>222</v>
      </c>
      <c r="B147" s="44" t="s">
        <v>223</v>
      </c>
      <c r="C147" s="44" t="s">
        <v>1159</v>
      </c>
      <c r="D147" s="44" t="s">
        <v>224</v>
      </c>
      <c r="E147" s="44" t="s">
        <v>15</v>
      </c>
      <c r="F147" s="44" t="s">
        <v>20</v>
      </c>
      <c r="G147" s="44" t="s">
        <v>746</v>
      </c>
      <c r="H147" s="46">
        <f>COUNTIF(K147:AN147,"")</f>
        <v>30</v>
      </c>
      <c r="I147" s="46">
        <f>COUNTIF(K147:AL147,"APAGADO")</f>
        <v>0</v>
      </c>
      <c r="J147" s="47">
        <f>(H147)/(I147+H147)</f>
        <v>1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.75" thickBot="1" x14ac:dyDescent="0.3">
      <c r="A148" s="44" t="s">
        <v>222</v>
      </c>
      <c r="B148" s="44" t="s">
        <v>1046</v>
      </c>
      <c r="C148" s="44" t="s">
        <v>1159</v>
      </c>
      <c r="D148" s="44" t="s">
        <v>225</v>
      </c>
      <c r="E148" s="44" t="s">
        <v>15</v>
      </c>
      <c r="F148" s="44" t="s">
        <v>20</v>
      </c>
      <c r="G148" s="44" t="s">
        <v>747</v>
      </c>
      <c r="H148" s="46">
        <f t="shared" si="14"/>
        <v>30</v>
      </c>
      <c r="I148" s="46">
        <f t="shared" si="12"/>
        <v>0</v>
      </c>
      <c r="J148" s="47">
        <f t="shared" si="13"/>
        <v>1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.75" thickBot="1" x14ac:dyDescent="0.3">
      <c r="A149" s="44" t="s">
        <v>222</v>
      </c>
      <c r="B149" s="44" t="s">
        <v>1047</v>
      </c>
      <c r="C149" s="44" t="s">
        <v>1159</v>
      </c>
      <c r="D149" s="44" t="s">
        <v>226</v>
      </c>
      <c r="E149" s="44" t="s">
        <v>15</v>
      </c>
      <c r="F149" s="44" t="s">
        <v>20</v>
      </c>
      <c r="G149" s="44" t="s">
        <v>734</v>
      </c>
      <c r="H149" s="46">
        <f t="shared" si="14"/>
        <v>30</v>
      </c>
      <c r="I149" s="46">
        <f t="shared" si="12"/>
        <v>0</v>
      </c>
      <c r="J149" s="47">
        <f t="shared" si="13"/>
        <v>1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</row>
    <row r="150" spans="1:41" ht="15.75" thickBot="1" x14ac:dyDescent="0.3">
      <c r="A150" s="44" t="s">
        <v>222</v>
      </c>
      <c r="B150" s="44" t="s">
        <v>227</v>
      </c>
      <c r="C150" s="44" t="s">
        <v>1159</v>
      </c>
      <c r="D150" s="44" t="s">
        <v>228</v>
      </c>
      <c r="E150" s="44" t="s">
        <v>15</v>
      </c>
      <c r="F150" s="44" t="s">
        <v>20</v>
      </c>
      <c r="G150" s="44" t="s">
        <v>748</v>
      </c>
      <c r="H150" s="46">
        <f t="shared" ref="H150:H157" si="15">COUNTIF(K150:AN150,"")</f>
        <v>30</v>
      </c>
      <c r="I150" s="46">
        <f t="shared" ref="I150:I157" si="16">COUNTIF(K150:AL150,"APAGADO")</f>
        <v>0</v>
      </c>
      <c r="J150" s="47">
        <f t="shared" ref="J150:J157" si="17">(H150)/(I150+H150)</f>
        <v>1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</row>
    <row r="151" spans="1:41" ht="15.75" thickBot="1" x14ac:dyDescent="0.3">
      <c r="A151" s="44" t="s">
        <v>222</v>
      </c>
      <c r="B151" s="44" t="s">
        <v>245</v>
      </c>
      <c r="C151" s="44" t="s">
        <v>1159</v>
      </c>
      <c r="D151" s="44" t="s">
        <v>246</v>
      </c>
      <c r="E151" s="44" t="s">
        <v>15</v>
      </c>
      <c r="F151" s="44" t="s">
        <v>28</v>
      </c>
      <c r="G151" s="44" t="s">
        <v>749</v>
      </c>
      <c r="H151" s="46">
        <f t="shared" si="15"/>
        <v>30</v>
      </c>
      <c r="I151" s="46">
        <f t="shared" si="16"/>
        <v>0</v>
      </c>
      <c r="J151" s="47">
        <f t="shared" si="17"/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.75" thickBot="1" x14ac:dyDescent="0.3">
      <c r="A152" s="44" t="s">
        <v>222</v>
      </c>
      <c r="B152" s="44" t="s">
        <v>229</v>
      </c>
      <c r="C152" s="44" t="s">
        <v>1159</v>
      </c>
      <c r="D152" s="44" t="s">
        <v>230</v>
      </c>
      <c r="E152" s="44" t="s">
        <v>73</v>
      </c>
      <c r="F152" s="44" t="s">
        <v>1152</v>
      </c>
      <c r="G152" s="44" t="s">
        <v>750</v>
      </c>
      <c r="H152" s="46">
        <f t="shared" si="15"/>
        <v>30</v>
      </c>
      <c r="I152" s="46">
        <f t="shared" si="16"/>
        <v>0</v>
      </c>
      <c r="J152" s="47">
        <f t="shared" si="17"/>
        <v>1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</row>
    <row r="153" spans="1:41" ht="15.75" thickBot="1" x14ac:dyDescent="0.3">
      <c r="A153" s="44" t="s">
        <v>222</v>
      </c>
      <c r="B153" s="44" t="s">
        <v>231</v>
      </c>
      <c r="C153" s="44" t="s">
        <v>1159</v>
      </c>
      <c r="D153" s="44" t="s">
        <v>230</v>
      </c>
      <c r="E153" s="44" t="s">
        <v>73</v>
      </c>
      <c r="F153" s="44" t="s">
        <v>1152</v>
      </c>
      <c r="G153" s="44" t="s">
        <v>751</v>
      </c>
      <c r="H153" s="46">
        <f t="shared" si="15"/>
        <v>30</v>
      </c>
      <c r="I153" s="46">
        <f t="shared" si="16"/>
        <v>0</v>
      </c>
      <c r="J153" s="47">
        <f t="shared" si="17"/>
        <v>1</v>
      </c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.75" thickBot="1" x14ac:dyDescent="0.3">
      <c r="A154" s="44" t="s">
        <v>222</v>
      </c>
      <c r="B154" s="44" t="s">
        <v>1042</v>
      </c>
      <c r="C154" s="44" t="s">
        <v>1159</v>
      </c>
      <c r="D154" s="44" t="s">
        <v>247</v>
      </c>
      <c r="E154" s="44" t="s">
        <v>73</v>
      </c>
      <c r="F154" s="44" t="s">
        <v>1152</v>
      </c>
      <c r="G154" s="44" t="s">
        <v>752</v>
      </c>
      <c r="H154" s="46">
        <f t="shared" si="15"/>
        <v>30</v>
      </c>
      <c r="I154" s="46">
        <f t="shared" si="16"/>
        <v>0</v>
      </c>
      <c r="J154" s="47">
        <f t="shared" si="17"/>
        <v>1</v>
      </c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</row>
    <row r="155" spans="1:41" ht="15.75" thickBot="1" x14ac:dyDescent="0.3">
      <c r="A155" s="44" t="s">
        <v>222</v>
      </c>
      <c r="B155" s="44" t="s">
        <v>1043</v>
      </c>
      <c r="C155" s="44" t="s">
        <v>1159</v>
      </c>
      <c r="D155" s="44" t="s">
        <v>247</v>
      </c>
      <c r="E155" s="44" t="s">
        <v>73</v>
      </c>
      <c r="F155" s="44" t="s">
        <v>1152</v>
      </c>
      <c r="G155" s="44" t="s">
        <v>753</v>
      </c>
      <c r="H155" s="46">
        <f t="shared" si="15"/>
        <v>30</v>
      </c>
      <c r="I155" s="46">
        <f t="shared" si="16"/>
        <v>0</v>
      </c>
      <c r="J155" s="47">
        <f t="shared" si="17"/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.75" thickBot="1" x14ac:dyDescent="0.3">
      <c r="A156" s="44" t="s">
        <v>222</v>
      </c>
      <c r="B156" s="44" t="s">
        <v>1044</v>
      </c>
      <c r="C156" s="44" t="s">
        <v>1159</v>
      </c>
      <c r="D156" s="44" t="s">
        <v>248</v>
      </c>
      <c r="E156" s="44" t="s">
        <v>73</v>
      </c>
      <c r="F156" s="44" t="s">
        <v>1152</v>
      </c>
      <c r="G156" s="44" t="s">
        <v>754</v>
      </c>
      <c r="H156" s="46">
        <f t="shared" si="15"/>
        <v>30</v>
      </c>
      <c r="I156" s="46">
        <f t="shared" si="16"/>
        <v>0</v>
      </c>
      <c r="J156" s="47">
        <f t="shared" si="17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.75" thickBot="1" x14ac:dyDescent="0.3">
      <c r="A157" s="44" t="s">
        <v>222</v>
      </c>
      <c r="B157" s="44" t="s">
        <v>1045</v>
      </c>
      <c r="C157" s="44" t="s">
        <v>1159</v>
      </c>
      <c r="D157" s="44" t="s">
        <v>248</v>
      </c>
      <c r="E157" s="44" t="s">
        <v>73</v>
      </c>
      <c r="F157" s="44" t="s">
        <v>1152</v>
      </c>
      <c r="G157" s="44" t="s">
        <v>755</v>
      </c>
      <c r="H157" s="46">
        <f t="shared" si="15"/>
        <v>30</v>
      </c>
      <c r="I157" s="46">
        <f t="shared" si="16"/>
        <v>0</v>
      </c>
      <c r="J157" s="47">
        <f t="shared" si="17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.75" thickBot="1" x14ac:dyDescent="0.3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4"/>
        <v>30</v>
      </c>
      <c r="I158" s="46">
        <f t="shared" si="12"/>
        <v>0</v>
      </c>
      <c r="J158" s="47">
        <f t="shared" si="13"/>
        <v>1</v>
      </c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.75" thickBot="1" x14ac:dyDescent="0.3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4"/>
        <v>30</v>
      </c>
      <c r="I159" s="46">
        <f t="shared" si="12"/>
        <v>0</v>
      </c>
      <c r="J159" s="47">
        <f t="shared" si="13"/>
        <v>1</v>
      </c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</row>
    <row r="160" spans="1:41" ht="15.75" thickBot="1" x14ac:dyDescent="0.3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4"/>
        <v>30</v>
      </c>
      <c r="I160" s="46">
        <f t="shared" si="12"/>
        <v>0</v>
      </c>
      <c r="J160" s="47">
        <f t="shared" si="13"/>
        <v>1</v>
      </c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.75" thickBot="1" x14ac:dyDescent="0.3">
      <c r="A161" s="44" t="s">
        <v>202</v>
      </c>
      <c r="B161" s="44" t="s">
        <v>1283</v>
      </c>
      <c r="C161" s="44" t="s">
        <v>1160</v>
      </c>
      <c r="D161" s="44" t="s">
        <v>1284</v>
      </c>
      <c r="E161" s="44" t="s">
        <v>73</v>
      </c>
      <c r="F161" s="44" t="s">
        <v>16</v>
      </c>
      <c r="G161" s="44"/>
      <c r="H161" s="46">
        <f t="shared" si="14"/>
        <v>30</v>
      </c>
      <c r="I161" s="46">
        <f t="shared" si="12"/>
        <v>0</v>
      </c>
      <c r="J161" s="47">
        <f t="shared" si="13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.75" thickBot="1" x14ac:dyDescent="0.3">
      <c r="A162" s="44" t="s">
        <v>202</v>
      </c>
      <c r="B162" s="44" t="s">
        <v>1285</v>
      </c>
      <c r="C162" s="44" t="s">
        <v>1160</v>
      </c>
      <c r="D162" s="44" t="s">
        <v>1286</v>
      </c>
      <c r="E162" s="44" t="s">
        <v>73</v>
      </c>
      <c r="F162" s="44" t="s">
        <v>20</v>
      </c>
      <c r="G162" s="44"/>
      <c r="H162" s="46">
        <f t="shared" si="14"/>
        <v>30</v>
      </c>
      <c r="I162" s="46">
        <f t="shared" si="12"/>
        <v>0</v>
      </c>
      <c r="J162" s="47">
        <f t="shared" si="13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.75" thickBot="1" x14ac:dyDescent="0.3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4"/>
        <v>30</v>
      </c>
      <c r="I163" s="46">
        <f t="shared" si="12"/>
        <v>0</v>
      </c>
      <c r="J163" s="47">
        <f t="shared" si="13"/>
        <v>1</v>
      </c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.75" thickBot="1" x14ac:dyDescent="0.3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4"/>
        <v>30</v>
      </c>
      <c r="I164" s="46">
        <f t="shared" si="12"/>
        <v>0</v>
      </c>
      <c r="J164" s="47">
        <f t="shared" si="13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.75" thickBot="1" x14ac:dyDescent="0.3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4"/>
        <v>28</v>
      </c>
      <c r="I165" s="46">
        <f t="shared" si="12"/>
        <v>2</v>
      </c>
      <c r="J165" s="47">
        <f t="shared" si="13"/>
        <v>0.93333333333333335</v>
      </c>
      <c r="K165" s="21" t="s">
        <v>1274</v>
      </c>
      <c r="L165" s="21" t="s">
        <v>1274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</row>
    <row r="166" spans="1:41" ht="15.75" thickBot="1" x14ac:dyDescent="0.3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4"/>
        <v>28</v>
      </c>
      <c r="I166" s="46">
        <f t="shared" si="12"/>
        <v>2</v>
      </c>
      <c r="J166" s="47">
        <f t="shared" si="13"/>
        <v>0.93333333333333335</v>
      </c>
      <c r="K166" s="21" t="s">
        <v>1274</v>
      </c>
      <c r="L166" s="21" t="s">
        <v>1274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</row>
    <row r="167" spans="1:41" ht="15.75" thickBot="1" x14ac:dyDescent="0.3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4"/>
        <v>30</v>
      </c>
      <c r="I167" s="46">
        <f t="shared" si="12"/>
        <v>0</v>
      </c>
      <c r="J167" s="47">
        <f t="shared" si="13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.75" thickBot="1" x14ac:dyDescent="0.3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4"/>
        <v>30</v>
      </c>
      <c r="I168" s="46">
        <f t="shared" si="12"/>
        <v>0</v>
      </c>
      <c r="J168" s="47">
        <f t="shared" si="13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.75" thickBot="1" x14ac:dyDescent="0.3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4"/>
        <v>30</v>
      </c>
      <c r="I169" s="46">
        <f t="shared" si="12"/>
        <v>0</v>
      </c>
      <c r="J169" s="47">
        <f t="shared" si="13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.75" thickBot="1" x14ac:dyDescent="0.3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4"/>
        <v>30</v>
      </c>
      <c r="I170" s="46">
        <f t="shared" si="12"/>
        <v>0</v>
      </c>
      <c r="J170" s="47">
        <f t="shared" si="13"/>
        <v>1</v>
      </c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.75" thickBot="1" x14ac:dyDescent="0.3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4"/>
        <v>30</v>
      </c>
      <c r="I171" s="46">
        <f t="shared" si="12"/>
        <v>0</v>
      </c>
      <c r="J171" s="47">
        <f t="shared" si="13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.75" thickBot="1" x14ac:dyDescent="0.3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4"/>
        <v>30</v>
      </c>
      <c r="I172" s="46">
        <f t="shared" si="12"/>
        <v>0</v>
      </c>
      <c r="J172" s="47">
        <f t="shared" si="13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.75" thickBot="1" x14ac:dyDescent="0.3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4"/>
        <v>30</v>
      </c>
      <c r="I173" s="46">
        <f t="shared" si="12"/>
        <v>0</v>
      </c>
      <c r="J173" s="47">
        <f t="shared" si="13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.75" thickBot="1" x14ac:dyDescent="0.3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4"/>
        <v>30</v>
      </c>
      <c r="I174" s="46">
        <f t="shared" si="12"/>
        <v>0</v>
      </c>
      <c r="J174" s="47">
        <f t="shared" si="13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.75" thickBot="1" x14ac:dyDescent="0.3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4"/>
        <v>28</v>
      </c>
      <c r="I175" s="46">
        <f t="shared" si="12"/>
        <v>2</v>
      </c>
      <c r="J175" s="47">
        <f t="shared" si="13"/>
        <v>0.93333333333333335</v>
      </c>
      <c r="K175" s="21" t="s">
        <v>1274</v>
      </c>
      <c r="L175" s="21" t="s">
        <v>1274</v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</row>
    <row r="176" spans="1:41" ht="15.75" thickBot="1" x14ac:dyDescent="0.3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4"/>
        <v>30</v>
      </c>
      <c r="I176" s="46">
        <f t="shared" si="12"/>
        <v>0</v>
      </c>
      <c r="J176" s="47">
        <f t="shared" si="13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.75" thickBot="1" x14ac:dyDescent="0.3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4"/>
        <v>28</v>
      </c>
      <c r="I177" s="46">
        <f t="shared" si="12"/>
        <v>2</v>
      </c>
      <c r="J177" s="47">
        <f t="shared" si="13"/>
        <v>0.93333333333333335</v>
      </c>
      <c r="K177" s="21" t="s">
        <v>1274</v>
      </c>
      <c r="L177" s="21" t="s">
        <v>1274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</row>
    <row r="178" spans="1:41" ht="15.75" thickBot="1" x14ac:dyDescent="0.3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4"/>
        <v>30</v>
      </c>
      <c r="I178" s="46">
        <f t="shared" si="12"/>
        <v>0</v>
      </c>
      <c r="J178" s="47">
        <f t="shared" si="13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.75" thickBot="1" x14ac:dyDescent="0.3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4"/>
        <v>30</v>
      </c>
      <c r="I179" s="46">
        <f t="shared" si="12"/>
        <v>0</v>
      </c>
      <c r="J179" s="47">
        <f t="shared" si="13"/>
        <v>1</v>
      </c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.75" thickBot="1" x14ac:dyDescent="0.3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4"/>
        <v>30</v>
      </c>
      <c r="I180" s="46">
        <f t="shared" si="12"/>
        <v>0</v>
      </c>
      <c r="J180" s="47">
        <f t="shared" si="13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.75" thickBot="1" x14ac:dyDescent="0.3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4"/>
        <v>30</v>
      </c>
      <c r="I181" s="46">
        <f t="shared" si="12"/>
        <v>0</v>
      </c>
      <c r="J181" s="47">
        <f t="shared" si="13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.75" thickBot="1" x14ac:dyDescent="0.3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4"/>
        <v>28</v>
      </c>
      <c r="I182" s="46">
        <f t="shared" si="12"/>
        <v>2</v>
      </c>
      <c r="J182" s="47">
        <f t="shared" si="13"/>
        <v>0.93333333333333335</v>
      </c>
      <c r="K182" s="21" t="s">
        <v>1274</v>
      </c>
      <c r="L182" s="21" t="s">
        <v>1274</v>
      </c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</row>
    <row r="183" spans="1:41" ht="15.75" thickBot="1" x14ac:dyDescent="0.3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4"/>
        <v>30</v>
      </c>
      <c r="I183" s="46">
        <f t="shared" si="12"/>
        <v>0</v>
      </c>
      <c r="J183" s="47">
        <f t="shared" si="13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.75" thickBot="1" x14ac:dyDescent="0.3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4"/>
        <v>30</v>
      </c>
      <c r="I184" s="46">
        <f t="shared" si="12"/>
        <v>0</v>
      </c>
      <c r="J184" s="47">
        <f t="shared" si="13"/>
        <v>1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</row>
    <row r="185" spans="1:41" ht="15.75" thickBot="1" x14ac:dyDescent="0.3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4"/>
        <v>28</v>
      </c>
      <c r="I185" s="46">
        <f t="shared" si="12"/>
        <v>2</v>
      </c>
      <c r="J185" s="47">
        <f t="shared" si="13"/>
        <v>0.93333333333333335</v>
      </c>
      <c r="K185" s="21" t="s">
        <v>1274</v>
      </c>
      <c r="L185" s="21" t="s">
        <v>1274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</row>
    <row r="186" spans="1:41" ht="15.75" thickBot="1" x14ac:dyDescent="0.3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4"/>
        <v>30</v>
      </c>
      <c r="I186" s="46">
        <f t="shared" si="12"/>
        <v>0</v>
      </c>
      <c r="J186" s="47">
        <f t="shared" si="13"/>
        <v>1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</row>
    <row r="187" spans="1:41" ht="15.75" thickBot="1" x14ac:dyDescent="0.3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4"/>
        <v>28</v>
      </c>
      <c r="I187" s="46">
        <f t="shared" si="12"/>
        <v>2</v>
      </c>
      <c r="J187" s="47">
        <f t="shared" si="13"/>
        <v>0.93333333333333335</v>
      </c>
      <c r="K187" s="21" t="s">
        <v>1274</v>
      </c>
      <c r="L187" s="21" t="s">
        <v>1274</v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.75" thickBot="1" x14ac:dyDescent="0.3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4"/>
        <v>30</v>
      </c>
      <c r="I188" s="46">
        <f t="shared" si="12"/>
        <v>0</v>
      </c>
      <c r="J188" s="47">
        <f t="shared" si="13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.75" thickBot="1" x14ac:dyDescent="0.3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4"/>
        <v>30</v>
      </c>
      <c r="I189" s="46">
        <f t="shared" si="12"/>
        <v>0</v>
      </c>
      <c r="J189" s="47">
        <f t="shared" si="13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.75" thickBot="1" x14ac:dyDescent="0.3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4"/>
        <v>30</v>
      </c>
      <c r="I190" s="46">
        <f t="shared" si="12"/>
        <v>0</v>
      </c>
      <c r="J190" s="47">
        <f t="shared" si="13"/>
        <v>1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</row>
    <row r="191" spans="1:41" ht="15.75" thickBot="1" x14ac:dyDescent="0.3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4"/>
        <v>30</v>
      </c>
      <c r="I191" s="46">
        <f t="shared" si="12"/>
        <v>0</v>
      </c>
      <c r="J191" s="47">
        <f t="shared" si="13"/>
        <v>1</v>
      </c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.75" thickBot="1" x14ac:dyDescent="0.3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4"/>
        <v>30</v>
      </c>
      <c r="I192" s="46">
        <f t="shared" si="12"/>
        <v>0</v>
      </c>
      <c r="J192" s="47">
        <f t="shared" si="13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.75" thickBot="1" x14ac:dyDescent="0.3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4"/>
        <v>30</v>
      </c>
      <c r="I193" s="46">
        <f t="shared" si="12"/>
        <v>0</v>
      </c>
      <c r="J193" s="47">
        <f t="shared" si="13"/>
        <v>1</v>
      </c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.75" thickBot="1" x14ac:dyDescent="0.3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4"/>
        <v>30</v>
      </c>
      <c r="I194" s="46">
        <f t="shared" si="12"/>
        <v>0</v>
      </c>
      <c r="J194" s="47">
        <f t="shared" si="13"/>
        <v>1</v>
      </c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.75" thickBot="1" x14ac:dyDescent="0.3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4"/>
        <v>30</v>
      </c>
      <c r="I195" s="46">
        <f t="shared" si="12"/>
        <v>0</v>
      </c>
      <c r="J195" s="47">
        <f t="shared" si="13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.75" thickBot="1" x14ac:dyDescent="0.3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.75" thickBot="1" x14ac:dyDescent="0.3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4"/>
        <v>30</v>
      </c>
      <c r="I197" s="46">
        <f t="shared" si="12"/>
        <v>0</v>
      </c>
      <c r="J197" s="47">
        <f t="shared" si="13"/>
        <v>1</v>
      </c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.75" thickBot="1" x14ac:dyDescent="0.3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28</v>
      </c>
      <c r="I198" s="46">
        <f>COUNTIF(K198:AL198,"APAGADO")</f>
        <v>2</v>
      </c>
      <c r="J198" s="47">
        <f>(H198)/(I198+H198)</f>
        <v>0.93333333333333335</v>
      </c>
      <c r="K198" s="21" t="s">
        <v>1274</v>
      </c>
      <c r="L198" s="21" t="s">
        <v>1274</v>
      </c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</row>
    <row r="199" spans="1:41" ht="15.75" thickBot="1" x14ac:dyDescent="0.3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4"/>
        <v>30</v>
      </c>
      <c r="I199" s="46">
        <f t="shared" si="12"/>
        <v>0</v>
      </c>
      <c r="J199" s="47">
        <f t="shared" si="13"/>
        <v>1</v>
      </c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.75" thickBot="1" x14ac:dyDescent="0.3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4"/>
        <v>30</v>
      </c>
      <c r="I200" s="46">
        <f t="shared" si="12"/>
        <v>0</v>
      </c>
      <c r="J200" s="47">
        <f t="shared" si="13"/>
        <v>1</v>
      </c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.75" thickBot="1" x14ac:dyDescent="0.3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4"/>
        <v>30</v>
      </c>
      <c r="I201" s="46">
        <f t="shared" si="12"/>
        <v>0</v>
      </c>
      <c r="J201" s="47">
        <f t="shared" si="13"/>
        <v>1</v>
      </c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</row>
    <row r="202" spans="1:41" ht="15.75" thickBot="1" x14ac:dyDescent="0.3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4"/>
        <v>30</v>
      </c>
      <c r="I202" s="46">
        <f t="shared" si="12"/>
        <v>0</v>
      </c>
      <c r="J202" s="47">
        <f t="shared" si="13"/>
        <v>1</v>
      </c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.75" thickBot="1" x14ac:dyDescent="0.3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4"/>
        <v>30</v>
      </c>
      <c r="I203" s="46">
        <f t="shared" si="12"/>
        <v>0</v>
      </c>
      <c r="J203" s="47">
        <f t="shared" si="13"/>
        <v>1</v>
      </c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.75" thickBot="1" x14ac:dyDescent="0.3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4"/>
        <v>30</v>
      </c>
      <c r="I204" s="46">
        <f t="shared" si="12"/>
        <v>0</v>
      </c>
      <c r="J204" s="47">
        <f t="shared" si="13"/>
        <v>1</v>
      </c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.75" thickBot="1" x14ac:dyDescent="0.3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4"/>
        <v>30</v>
      </c>
      <c r="I205" s="46">
        <f t="shared" si="12"/>
        <v>0</v>
      </c>
      <c r="J205" s="47">
        <f t="shared" si="13"/>
        <v>1</v>
      </c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.75" thickBot="1" x14ac:dyDescent="0.3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4"/>
        <v>30</v>
      </c>
      <c r="I206" s="46">
        <f t="shared" si="12"/>
        <v>0</v>
      </c>
      <c r="J206" s="47">
        <f t="shared" si="13"/>
        <v>1</v>
      </c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.75" thickBot="1" x14ac:dyDescent="0.3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4"/>
        <v>30</v>
      </c>
      <c r="I207" s="46">
        <f t="shared" si="12"/>
        <v>0</v>
      </c>
      <c r="J207" s="47">
        <f t="shared" si="13"/>
        <v>1</v>
      </c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.75" thickBot="1" x14ac:dyDescent="0.3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4"/>
        <v>30</v>
      </c>
      <c r="I208" s="46">
        <f t="shared" si="12"/>
        <v>0</v>
      </c>
      <c r="J208" s="47">
        <f t="shared" si="13"/>
        <v>1</v>
      </c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.75" thickBot="1" x14ac:dyDescent="0.3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4"/>
        <v>30</v>
      </c>
      <c r="I209" s="46">
        <f t="shared" si="12"/>
        <v>0</v>
      </c>
      <c r="J209" s="47">
        <f t="shared" si="13"/>
        <v>1</v>
      </c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</row>
    <row r="210" spans="1:41" ht="15.75" thickBot="1" x14ac:dyDescent="0.3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4"/>
        <v>30</v>
      </c>
      <c r="I210" s="46">
        <f t="shared" si="12"/>
        <v>0</v>
      </c>
      <c r="J210" s="47">
        <f t="shared" si="13"/>
        <v>1</v>
      </c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.75" thickBot="1" x14ac:dyDescent="0.3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30</v>
      </c>
      <c r="I211" s="46">
        <f>COUNTIF(K211:AL211,"APAGADO")</f>
        <v>0</v>
      </c>
      <c r="J211" s="47">
        <f>(H211)/(I211+H211)</f>
        <v>1</v>
      </c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</row>
    <row r="212" spans="1:41" ht="15.75" thickBot="1" x14ac:dyDescent="0.3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4"/>
        <v>30</v>
      </c>
      <c r="I212" s="46">
        <f t="shared" si="12"/>
        <v>0</v>
      </c>
      <c r="J212" s="47">
        <f t="shared" si="13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.75" thickBot="1" x14ac:dyDescent="0.3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4"/>
        <v>30</v>
      </c>
      <c r="I213" s="46">
        <f t="shared" si="12"/>
        <v>0</v>
      </c>
      <c r="J213" s="47">
        <f t="shared" si="13"/>
        <v>1</v>
      </c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.75" thickBot="1" x14ac:dyDescent="0.3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4"/>
        <v>30</v>
      </c>
      <c r="I214" s="46">
        <f t="shared" si="12"/>
        <v>0</v>
      </c>
      <c r="J214" s="47">
        <f t="shared" si="13"/>
        <v>1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.75" thickBot="1" x14ac:dyDescent="0.3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4"/>
        <v>30</v>
      </c>
      <c r="I215" s="46">
        <f t="shared" si="12"/>
        <v>0</v>
      </c>
      <c r="J215" s="47">
        <f t="shared" si="13"/>
        <v>1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.75" thickBot="1" x14ac:dyDescent="0.3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4"/>
        <v>30</v>
      </c>
      <c r="I216" s="46">
        <f t="shared" si="12"/>
        <v>0</v>
      </c>
      <c r="J216" s="47">
        <f t="shared" si="13"/>
        <v>1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.75" thickBot="1" x14ac:dyDescent="0.3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8">COUNTIF(K217:AN217,"")</f>
        <v>30</v>
      </c>
      <c r="I217" s="46">
        <f t="shared" si="12"/>
        <v>0</v>
      </c>
      <c r="J217" s="47">
        <f t="shared" si="13"/>
        <v>1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.75" thickBot="1" x14ac:dyDescent="0.3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8"/>
        <v>30</v>
      </c>
      <c r="I218" s="46">
        <f t="shared" si="12"/>
        <v>0</v>
      </c>
      <c r="J218" s="47">
        <f t="shared" si="13"/>
        <v>1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.75" thickBot="1" x14ac:dyDescent="0.3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8"/>
        <v>30</v>
      </c>
      <c r="I219" s="46">
        <f t="shared" si="12"/>
        <v>0</v>
      </c>
      <c r="J219" s="47">
        <f t="shared" si="13"/>
        <v>1</v>
      </c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.75" thickBot="1" x14ac:dyDescent="0.3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8"/>
        <v>30</v>
      </c>
      <c r="I220" s="46">
        <f t="shared" si="12"/>
        <v>0</v>
      </c>
      <c r="J220" s="47">
        <f t="shared" si="13"/>
        <v>1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.75" thickBot="1" x14ac:dyDescent="0.3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8"/>
        <v>30</v>
      </c>
      <c r="I221" s="46">
        <f t="shared" si="12"/>
        <v>0</v>
      </c>
      <c r="J221" s="47">
        <f t="shared" si="13"/>
        <v>1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.75" thickBot="1" x14ac:dyDescent="0.3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8"/>
        <v>30</v>
      </c>
      <c r="I222" s="46">
        <f t="shared" si="12"/>
        <v>0</v>
      </c>
      <c r="J222" s="47">
        <f t="shared" si="13"/>
        <v>1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.75" thickBot="1" x14ac:dyDescent="0.3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8"/>
        <v>30</v>
      </c>
      <c r="I223" s="46">
        <f t="shared" si="12"/>
        <v>0</v>
      </c>
      <c r="J223" s="47">
        <f t="shared" si="13"/>
        <v>1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.75" thickBot="1" x14ac:dyDescent="0.3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8"/>
        <v>30</v>
      </c>
      <c r="I224" s="46">
        <f t="shared" si="12"/>
        <v>0</v>
      </c>
      <c r="J224" s="47">
        <f t="shared" si="13"/>
        <v>1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.75" thickBot="1" x14ac:dyDescent="0.3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8"/>
        <v>30</v>
      </c>
      <c r="I225" s="46">
        <f t="shared" si="12"/>
        <v>0</v>
      </c>
      <c r="J225" s="47">
        <f t="shared" si="13"/>
        <v>1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.75" thickBot="1" x14ac:dyDescent="0.3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8"/>
        <v>30</v>
      </c>
      <c r="I226" s="46">
        <f t="shared" si="12"/>
        <v>0</v>
      </c>
      <c r="J226" s="47">
        <f t="shared" si="13"/>
        <v>1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</row>
    <row r="227" spans="1:41" ht="15.75" thickBot="1" x14ac:dyDescent="0.3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8"/>
        <v>30</v>
      </c>
      <c r="I227" s="46">
        <f t="shared" si="12"/>
        <v>0</v>
      </c>
      <c r="J227" s="47">
        <f t="shared" si="13"/>
        <v>1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.75" thickBot="1" x14ac:dyDescent="0.3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8"/>
        <v>30</v>
      </c>
      <c r="I228" s="46">
        <f t="shared" si="12"/>
        <v>0</v>
      </c>
      <c r="J228" s="47">
        <f t="shared" si="13"/>
        <v>1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.75" thickBot="1" x14ac:dyDescent="0.3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8"/>
        <v>28</v>
      </c>
      <c r="I229" s="46">
        <f t="shared" si="12"/>
        <v>2</v>
      </c>
      <c r="J229" s="47">
        <f t="shared" si="13"/>
        <v>0.93333333333333335</v>
      </c>
      <c r="K229" s="21" t="s">
        <v>1274</v>
      </c>
      <c r="L229" s="21" t="s">
        <v>1274</v>
      </c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</row>
    <row r="230" spans="1:41" ht="15.75" thickBot="1" x14ac:dyDescent="0.3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8"/>
        <v>30</v>
      </c>
      <c r="I230" s="46">
        <f t="shared" si="12"/>
        <v>0</v>
      </c>
      <c r="J230" s="47">
        <f t="shared" si="13"/>
        <v>1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.75" thickBot="1" x14ac:dyDescent="0.3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8"/>
        <v>30</v>
      </c>
      <c r="I231" s="46">
        <f t="shared" si="12"/>
        <v>0</v>
      </c>
      <c r="J231" s="47">
        <f t="shared" si="13"/>
        <v>1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.75" thickBot="1" x14ac:dyDescent="0.3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8"/>
        <v>30</v>
      </c>
      <c r="I232" s="46">
        <f t="shared" si="12"/>
        <v>0</v>
      </c>
      <c r="J232" s="47">
        <f t="shared" si="13"/>
        <v>1</v>
      </c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.75" thickBot="1" x14ac:dyDescent="0.3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8"/>
        <v>30</v>
      </c>
      <c r="I233" s="46">
        <f t="shared" si="12"/>
        <v>0</v>
      </c>
      <c r="J233" s="47">
        <f t="shared" si="13"/>
        <v>1</v>
      </c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.75" thickBot="1" x14ac:dyDescent="0.3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8"/>
        <v>30</v>
      </c>
      <c r="I234" s="46">
        <f t="shared" si="12"/>
        <v>0</v>
      </c>
      <c r="J234" s="47">
        <f t="shared" si="13"/>
        <v>1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.75" thickBot="1" x14ac:dyDescent="0.3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8"/>
        <v>30</v>
      </c>
      <c r="I235" s="46">
        <f t="shared" ref="I235:I300" si="19">COUNTIF(K235:AL235,"APAGADO")</f>
        <v>0</v>
      </c>
      <c r="J235" s="47">
        <f t="shared" ref="J235:J300" si="20">(H235)/(I235+H235)</f>
        <v>1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.75" thickBot="1" x14ac:dyDescent="0.3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8"/>
        <v>28</v>
      </c>
      <c r="I236" s="46">
        <f t="shared" si="19"/>
        <v>2</v>
      </c>
      <c r="J236" s="47">
        <f t="shared" si="20"/>
        <v>0.93333333333333335</v>
      </c>
      <c r="K236" s="21" t="s">
        <v>1274</v>
      </c>
      <c r="L236" s="21" t="s">
        <v>1274</v>
      </c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</row>
    <row r="237" spans="1:41" ht="15.75" thickBot="1" x14ac:dyDescent="0.3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8"/>
        <v>30</v>
      </c>
      <c r="I237" s="46">
        <f t="shared" si="19"/>
        <v>0</v>
      </c>
      <c r="J237" s="47">
        <f t="shared" si="20"/>
        <v>1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.75" thickBot="1" x14ac:dyDescent="0.3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8"/>
        <v>30</v>
      </c>
      <c r="I238" s="46">
        <f t="shared" si="19"/>
        <v>0</v>
      </c>
      <c r="J238" s="47">
        <f t="shared" si="20"/>
        <v>1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.75" thickBot="1" x14ac:dyDescent="0.3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8"/>
        <v>30</v>
      </c>
      <c r="I239" s="46">
        <f t="shared" si="19"/>
        <v>0</v>
      </c>
      <c r="J239" s="47">
        <f t="shared" si="20"/>
        <v>1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</row>
    <row r="240" spans="1:41" ht="15.75" thickBot="1" x14ac:dyDescent="0.3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8"/>
        <v>30</v>
      </c>
      <c r="I240" s="46">
        <f t="shared" si="19"/>
        <v>0</v>
      </c>
      <c r="J240" s="47">
        <f t="shared" si="20"/>
        <v>1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</row>
    <row r="241" spans="1:41" ht="15.75" thickBot="1" x14ac:dyDescent="0.3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8"/>
        <v>30</v>
      </c>
      <c r="I241" s="46">
        <f t="shared" si="19"/>
        <v>0</v>
      </c>
      <c r="J241" s="47">
        <f t="shared" si="20"/>
        <v>1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.75" thickBot="1" x14ac:dyDescent="0.3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8"/>
        <v>30</v>
      </c>
      <c r="I242" s="46">
        <f t="shared" si="19"/>
        <v>0</v>
      </c>
      <c r="J242" s="47">
        <f t="shared" si="20"/>
        <v>1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.75" thickBot="1" x14ac:dyDescent="0.3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8"/>
        <v>30</v>
      </c>
      <c r="I243" s="46">
        <f t="shared" si="19"/>
        <v>0</v>
      </c>
      <c r="J243" s="47">
        <f t="shared" si="20"/>
        <v>1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.75" thickBot="1" x14ac:dyDescent="0.3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8"/>
        <v>30</v>
      </c>
      <c r="I244" s="46">
        <f t="shared" si="19"/>
        <v>0</v>
      </c>
      <c r="J244" s="47">
        <f t="shared" si="20"/>
        <v>1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.75" thickBot="1" x14ac:dyDescent="0.3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8"/>
        <v>30</v>
      </c>
      <c r="I245" s="46">
        <f t="shared" si="19"/>
        <v>0</v>
      </c>
      <c r="J245" s="47">
        <f t="shared" si="20"/>
        <v>1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.75" thickBot="1" x14ac:dyDescent="0.3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8"/>
        <v>30</v>
      </c>
      <c r="I246" s="46">
        <f t="shared" si="19"/>
        <v>0</v>
      </c>
      <c r="J246" s="47">
        <f t="shared" si="20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.75" thickBot="1" x14ac:dyDescent="0.3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8"/>
        <v>30</v>
      </c>
      <c r="I247" s="46">
        <f t="shared" si="19"/>
        <v>0</v>
      </c>
      <c r="J247" s="47">
        <f t="shared" si="20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.75" thickBot="1" x14ac:dyDescent="0.3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8"/>
        <v>30</v>
      </c>
      <c r="I248" s="46">
        <f t="shared" si="19"/>
        <v>0</v>
      </c>
      <c r="J248" s="47">
        <f t="shared" si="20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.75" thickBot="1" x14ac:dyDescent="0.3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8"/>
        <v>30</v>
      </c>
      <c r="I249" s="46">
        <f t="shared" si="19"/>
        <v>0</v>
      </c>
      <c r="J249" s="47">
        <f t="shared" si="20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.75" thickBot="1" x14ac:dyDescent="0.3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8"/>
        <v>30</v>
      </c>
      <c r="I250" s="46">
        <f t="shared" si="19"/>
        <v>0</v>
      </c>
      <c r="J250" s="47">
        <f t="shared" si="20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.75" thickBot="1" x14ac:dyDescent="0.3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8"/>
        <v>30</v>
      </c>
      <c r="I251" s="46">
        <f t="shared" si="19"/>
        <v>0</v>
      </c>
      <c r="J251" s="47">
        <f t="shared" si="20"/>
        <v>1</v>
      </c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.75" thickBot="1" x14ac:dyDescent="0.3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.75" thickBot="1" x14ac:dyDescent="0.3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.75" thickBot="1" x14ac:dyDescent="0.3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.75" thickBot="1" x14ac:dyDescent="0.3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30</v>
      </c>
      <c r="I255" s="46">
        <f>COUNTIF(K255:AL255,"APAGADO")</f>
        <v>0</v>
      </c>
      <c r="J255" s="47">
        <f>(H255)/(I255+H255)</f>
        <v>1</v>
      </c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.75" thickBot="1" x14ac:dyDescent="0.3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8"/>
        <v>28</v>
      </c>
      <c r="I256" s="46">
        <f t="shared" si="19"/>
        <v>2</v>
      </c>
      <c r="J256" s="47">
        <f t="shared" si="20"/>
        <v>0.93333333333333335</v>
      </c>
      <c r="K256" s="21" t="s">
        <v>1274</v>
      </c>
      <c r="L256" s="21" t="s">
        <v>1274</v>
      </c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.75" thickBot="1" x14ac:dyDescent="0.3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8"/>
        <v>30</v>
      </c>
      <c r="I257" s="46">
        <f t="shared" si="19"/>
        <v>0</v>
      </c>
      <c r="J257" s="47">
        <f t="shared" si="20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.75" thickBot="1" x14ac:dyDescent="0.3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8"/>
        <v>30</v>
      </c>
      <c r="I258" s="46">
        <f t="shared" si="19"/>
        <v>0</v>
      </c>
      <c r="J258" s="47">
        <f t="shared" si="20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.75" thickBot="1" x14ac:dyDescent="0.3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8"/>
        <v>30</v>
      </c>
      <c r="I259" s="46">
        <f t="shared" si="19"/>
        <v>0</v>
      </c>
      <c r="J259" s="47">
        <f t="shared" si="20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.75" thickBot="1" x14ac:dyDescent="0.3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8"/>
        <v>30</v>
      </c>
      <c r="I260" s="46">
        <f t="shared" si="19"/>
        <v>0</v>
      </c>
      <c r="J260" s="47">
        <f t="shared" si="20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.75" thickBot="1" x14ac:dyDescent="0.3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.75" thickBot="1" x14ac:dyDescent="0.3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.75" thickBot="1" x14ac:dyDescent="0.3">
      <c r="A263" s="44" t="s">
        <v>381</v>
      </c>
      <c r="B263" s="44" t="s">
        <v>1292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.75" thickBot="1" x14ac:dyDescent="0.3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8"/>
        <v>30</v>
      </c>
      <c r="I264" s="46">
        <f t="shared" si="19"/>
        <v>0</v>
      </c>
      <c r="J264" s="47">
        <f t="shared" si="20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.75" thickBot="1" x14ac:dyDescent="0.3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8"/>
        <v>30</v>
      </c>
      <c r="I265" s="46">
        <f t="shared" si="19"/>
        <v>0</v>
      </c>
      <c r="J265" s="47">
        <f t="shared" si="20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.75" thickBot="1" x14ac:dyDescent="0.3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.75" thickBot="1" x14ac:dyDescent="0.3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8"/>
        <v>30</v>
      </c>
      <c r="I267" s="46">
        <f t="shared" si="19"/>
        <v>0</v>
      </c>
      <c r="J267" s="47">
        <f t="shared" si="20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.75" thickBot="1" x14ac:dyDescent="0.3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8"/>
        <v>30</v>
      </c>
      <c r="I268" s="46">
        <f t="shared" si="19"/>
        <v>0</v>
      </c>
      <c r="J268" s="47">
        <f t="shared" si="20"/>
        <v>1</v>
      </c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.75" thickBot="1" x14ac:dyDescent="0.3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8"/>
        <v>30</v>
      </c>
      <c r="I269" s="46">
        <f t="shared" si="19"/>
        <v>0</v>
      </c>
      <c r="J269" s="47">
        <f t="shared" si="20"/>
        <v>1</v>
      </c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.75" thickBot="1" x14ac:dyDescent="0.3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8"/>
        <v>30</v>
      </c>
      <c r="I270" s="46">
        <f t="shared" si="19"/>
        <v>0</v>
      </c>
      <c r="J270" s="47">
        <f t="shared" si="20"/>
        <v>1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.75" thickBot="1" x14ac:dyDescent="0.3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.75" thickBot="1" x14ac:dyDescent="0.3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.75" thickBot="1" x14ac:dyDescent="0.3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30</v>
      </c>
      <c r="I273" s="46">
        <f>COUNTIF(K273:AL273,"APAGADO")</f>
        <v>0</v>
      </c>
      <c r="J273" s="47">
        <f>(H273)/(I273+H273)</f>
        <v>1</v>
      </c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.75" thickBot="1" x14ac:dyDescent="0.3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30</v>
      </c>
      <c r="I274" s="46">
        <f>COUNTIF(K274:AL274,"APAGADO")</f>
        <v>0</v>
      </c>
      <c r="J274" s="47">
        <f>(H274)/(I274+H274)</f>
        <v>1</v>
      </c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.75" thickBot="1" x14ac:dyDescent="0.3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8"/>
        <v>30</v>
      </c>
      <c r="I275" s="46">
        <f t="shared" si="19"/>
        <v>0</v>
      </c>
      <c r="J275" s="47">
        <f t="shared" si="20"/>
        <v>1</v>
      </c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.75" thickBot="1" x14ac:dyDescent="0.3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8"/>
        <v>30</v>
      </c>
      <c r="I276" s="46">
        <f t="shared" si="19"/>
        <v>0</v>
      </c>
      <c r="J276" s="47">
        <f t="shared" si="20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.75" thickBot="1" x14ac:dyDescent="0.3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8"/>
        <v>30</v>
      </c>
      <c r="I277" s="46">
        <f t="shared" si="19"/>
        <v>0</v>
      </c>
      <c r="J277" s="47">
        <f t="shared" si="20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.75" thickBot="1" x14ac:dyDescent="0.3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8"/>
        <v>30</v>
      </c>
      <c r="I278" s="46">
        <f t="shared" si="19"/>
        <v>0</v>
      </c>
      <c r="J278" s="47">
        <f t="shared" si="20"/>
        <v>1</v>
      </c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.75" thickBot="1" x14ac:dyDescent="0.3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30</v>
      </c>
      <c r="I279" s="46">
        <f>COUNTIF(K279:AL279,"APAGADO")</f>
        <v>0</v>
      </c>
      <c r="J279" s="47">
        <f>(H279)/(I279+H279)</f>
        <v>1</v>
      </c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.75" thickBot="1" x14ac:dyDescent="0.3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8"/>
        <v>30</v>
      </c>
      <c r="I280" s="46">
        <f t="shared" si="19"/>
        <v>0</v>
      </c>
      <c r="J280" s="47">
        <f t="shared" si="20"/>
        <v>1</v>
      </c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.75" thickBot="1" x14ac:dyDescent="0.3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8"/>
        <v>30</v>
      </c>
      <c r="I281" s="46">
        <f t="shared" si="19"/>
        <v>0</v>
      </c>
      <c r="J281" s="47">
        <f t="shared" si="20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.75" thickBot="1" x14ac:dyDescent="0.3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21">COUNTIF(K282:AN282,"")</f>
        <v>30</v>
      </c>
      <c r="I282" s="46">
        <f t="shared" si="19"/>
        <v>0</v>
      </c>
      <c r="J282" s="47">
        <f t="shared" si="20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.75" thickBot="1" x14ac:dyDescent="0.3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30</v>
      </c>
      <c r="I283" s="46">
        <f>COUNTIF(K283:AL283,"APAGADO")</f>
        <v>0</v>
      </c>
      <c r="J283" s="47">
        <f>(H283)/(I283+H283)</f>
        <v>1</v>
      </c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.75" thickBot="1" x14ac:dyDescent="0.3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.75" thickBot="1" x14ac:dyDescent="0.3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30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spans="1:41" ht="15.75" thickBot="1" x14ac:dyDescent="0.3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.75" thickBot="1" x14ac:dyDescent="0.3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.75" thickBot="1" x14ac:dyDescent="0.3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21"/>
        <v>30</v>
      </c>
      <c r="I288" s="46">
        <f t="shared" si="19"/>
        <v>0</v>
      </c>
      <c r="J288" s="47">
        <f t="shared" si="20"/>
        <v>1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.75" thickBot="1" x14ac:dyDescent="0.3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21"/>
        <v>30</v>
      </c>
      <c r="I289" s="46">
        <f t="shared" si="19"/>
        <v>0</v>
      </c>
      <c r="J289" s="47">
        <f t="shared" si="20"/>
        <v>1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.75" thickBot="1" x14ac:dyDescent="0.3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21"/>
        <v>30</v>
      </c>
      <c r="I290" s="46">
        <f t="shared" si="19"/>
        <v>0</v>
      </c>
      <c r="J290" s="47">
        <f t="shared" si="20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.75" thickBot="1" x14ac:dyDescent="0.3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21"/>
        <v>30</v>
      </c>
      <c r="I291" s="46">
        <f t="shared" si="19"/>
        <v>0</v>
      </c>
      <c r="J291" s="47">
        <f t="shared" si="20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.75" thickBot="1" x14ac:dyDescent="0.3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21"/>
        <v>30</v>
      </c>
      <c r="I292" s="46">
        <f t="shared" si="19"/>
        <v>0</v>
      </c>
      <c r="J292" s="47">
        <f t="shared" si="20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.75" thickBot="1" x14ac:dyDescent="0.3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21"/>
        <v>30</v>
      </c>
      <c r="I293" s="46">
        <f t="shared" si="19"/>
        <v>0</v>
      </c>
      <c r="J293" s="47">
        <f t="shared" si="20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.75" thickBot="1" x14ac:dyDescent="0.3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30</v>
      </c>
      <c r="I294" s="46">
        <f>COUNTIF(K294:AL294,"APAGADO")</f>
        <v>0</v>
      </c>
      <c r="J294" s="47">
        <f>(H294)/(I294+H294)</f>
        <v>1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.75" thickBot="1" x14ac:dyDescent="0.3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.75" thickBot="1" x14ac:dyDescent="0.3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30</v>
      </c>
      <c r="I296" s="46">
        <f>COUNTIF(K296:AL296,"APAGADO")</f>
        <v>0</v>
      </c>
      <c r="J296" s="47">
        <f>(H296)/(I296+H296)</f>
        <v>1</v>
      </c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.75" thickBot="1" x14ac:dyDescent="0.3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21"/>
        <v>30</v>
      </c>
      <c r="I297" s="46">
        <f t="shared" si="19"/>
        <v>0</v>
      </c>
      <c r="J297" s="47">
        <f t="shared" si="20"/>
        <v>1</v>
      </c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.75" thickBot="1" x14ac:dyDescent="0.3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21"/>
        <v>30</v>
      </c>
      <c r="I298" s="46">
        <f t="shared" si="19"/>
        <v>0</v>
      </c>
      <c r="J298" s="47">
        <f t="shared" si="20"/>
        <v>1</v>
      </c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.75" thickBot="1" x14ac:dyDescent="0.3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21"/>
        <v>30</v>
      </c>
      <c r="I299" s="46">
        <f t="shared" si="19"/>
        <v>0</v>
      </c>
      <c r="J299" s="47">
        <f t="shared" si="20"/>
        <v>1</v>
      </c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.75" thickBot="1" x14ac:dyDescent="0.3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21"/>
        <v>30</v>
      </c>
      <c r="I300" s="46">
        <f t="shared" si="19"/>
        <v>0</v>
      </c>
      <c r="J300" s="47">
        <f t="shared" si="20"/>
        <v>1</v>
      </c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.75" thickBot="1" x14ac:dyDescent="0.3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21"/>
        <v>30</v>
      </c>
      <c r="I301" s="46">
        <f t="shared" ref="I301:I374" si="22">COUNTIF(K301:AL301,"APAGADO")</f>
        <v>0</v>
      </c>
      <c r="J301" s="47">
        <f t="shared" ref="J301:J374" si="23">(H301)/(I301+H301)</f>
        <v>1</v>
      </c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.75" thickBot="1" x14ac:dyDescent="0.3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21"/>
        <v>30</v>
      </c>
      <c r="I302" s="46">
        <f t="shared" si="22"/>
        <v>0</v>
      </c>
      <c r="J302" s="47">
        <f t="shared" si="23"/>
        <v>1</v>
      </c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</row>
    <row r="303" spans="1:41" ht="15.75" thickBot="1" x14ac:dyDescent="0.3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21"/>
        <v>30</v>
      </c>
      <c r="I303" s="46">
        <f t="shared" si="22"/>
        <v>0</v>
      </c>
      <c r="J303" s="47">
        <f t="shared" si="23"/>
        <v>1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.75" thickBot="1" x14ac:dyDescent="0.3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21"/>
        <v>30</v>
      </c>
      <c r="I304" s="46">
        <f t="shared" si="22"/>
        <v>0</v>
      </c>
      <c r="J304" s="47">
        <f t="shared" si="23"/>
        <v>1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.75" thickBot="1" x14ac:dyDescent="0.3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21"/>
        <v>30</v>
      </c>
      <c r="I305" s="46">
        <f t="shared" si="22"/>
        <v>0</v>
      </c>
      <c r="J305" s="47">
        <f t="shared" si="23"/>
        <v>1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.75" thickBot="1" x14ac:dyDescent="0.3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21"/>
        <v>30</v>
      </c>
      <c r="I306" s="46">
        <f t="shared" si="22"/>
        <v>0</v>
      </c>
      <c r="J306" s="47">
        <f t="shared" si="23"/>
        <v>1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.75" thickBot="1" x14ac:dyDescent="0.3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21"/>
        <v>30</v>
      </c>
      <c r="I307" s="46">
        <f t="shared" si="22"/>
        <v>0</v>
      </c>
      <c r="J307" s="47">
        <f t="shared" si="23"/>
        <v>1</v>
      </c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.75" thickBot="1" x14ac:dyDescent="0.3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21"/>
        <v>30</v>
      </c>
      <c r="I308" s="46">
        <f t="shared" si="22"/>
        <v>0</v>
      </c>
      <c r="J308" s="47">
        <f t="shared" si="23"/>
        <v>1</v>
      </c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.75" thickBot="1" x14ac:dyDescent="0.3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21"/>
        <v>30</v>
      </c>
      <c r="I309" s="46">
        <f t="shared" si="22"/>
        <v>0</v>
      </c>
      <c r="J309" s="47">
        <f t="shared" si="23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.75" thickBot="1" x14ac:dyDescent="0.3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21"/>
        <v>30</v>
      </c>
      <c r="I310" s="46">
        <f t="shared" si="22"/>
        <v>0</v>
      </c>
      <c r="J310" s="47">
        <f t="shared" si="23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.75" thickBot="1" x14ac:dyDescent="0.3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21"/>
        <v>30</v>
      </c>
      <c r="I311" s="46">
        <f t="shared" si="22"/>
        <v>0</v>
      </c>
      <c r="J311" s="47">
        <f t="shared" si="23"/>
        <v>1</v>
      </c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.75" thickBot="1" x14ac:dyDescent="0.3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21"/>
        <v>30</v>
      </c>
      <c r="I312" s="46">
        <f t="shared" si="22"/>
        <v>0</v>
      </c>
      <c r="J312" s="47">
        <f t="shared" si="23"/>
        <v>1</v>
      </c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.75" thickBot="1" x14ac:dyDescent="0.3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21"/>
        <v>30</v>
      </c>
      <c r="I313" s="46">
        <f t="shared" si="22"/>
        <v>0</v>
      </c>
      <c r="J313" s="47">
        <f t="shared" si="23"/>
        <v>1</v>
      </c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.75" thickBot="1" x14ac:dyDescent="0.3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21"/>
        <v>30</v>
      </c>
      <c r="I314" s="46">
        <f t="shared" si="22"/>
        <v>0</v>
      </c>
      <c r="J314" s="47">
        <f t="shared" si="23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.75" thickBot="1" x14ac:dyDescent="0.3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21"/>
        <v>30</v>
      </c>
      <c r="I315" s="46">
        <f t="shared" si="22"/>
        <v>0</v>
      </c>
      <c r="J315" s="47">
        <f t="shared" si="23"/>
        <v>1</v>
      </c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.75" thickBot="1" x14ac:dyDescent="0.3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21"/>
        <v>30</v>
      </c>
      <c r="I316" s="46">
        <f t="shared" si="22"/>
        <v>0</v>
      </c>
      <c r="J316" s="47">
        <f t="shared" si="23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.75" thickBot="1" x14ac:dyDescent="0.3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21"/>
        <v>30</v>
      </c>
      <c r="I317" s="46">
        <f t="shared" si="22"/>
        <v>0</v>
      </c>
      <c r="J317" s="47">
        <f t="shared" si="23"/>
        <v>1</v>
      </c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.75" thickBot="1" x14ac:dyDescent="0.3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21"/>
        <v>30</v>
      </c>
      <c r="I318" s="46">
        <f t="shared" si="22"/>
        <v>0</v>
      </c>
      <c r="J318" s="47">
        <f t="shared" si="23"/>
        <v>1</v>
      </c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899999999999999" customHeight="1" thickBot="1" x14ac:dyDescent="0.3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30</v>
      </c>
      <c r="I319" s="46">
        <f>COUNTIF(K319:AL319,"APAGADO")</f>
        <v>0</v>
      </c>
      <c r="J319" s="47">
        <f>(H319)/(I319+H319)</f>
        <v>1</v>
      </c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.75" thickBot="1" x14ac:dyDescent="0.3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30</v>
      </c>
      <c r="I320" s="46">
        <f>COUNTIF(K320:AL320,"APAGADO")</f>
        <v>0</v>
      </c>
      <c r="J320" s="47">
        <f>(H320)/(I320+H320)</f>
        <v>1</v>
      </c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.75" thickBot="1" x14ac:dyDescent="0.3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21"/>
        <v>30</v>
      </c>
      <c r="I321" s="46">
        <f t="shared" si="22"/>
        <v>0</v>
      </c>
      <c r="J321" s="47">
        <f t="shared" si="23"/>
        <v>1</v>
      </c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.75" thickBot="1" x14ac:dyDescent="0.3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21"/>
        <v>30</v>
      </c>
      <c r="I322" s="46">
        <f t="shared" si="22"/>
        <v>0</v>
      </c>
      <c r="J322" s="47">
        <f t="shared" si="23"/>
        <v>1</v>
      </c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.75" thickBot="1" x14ac:dyDescent="0.3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21"/>
        <v>30</v>
      </c>
      <c r="I323" s="46">
        <f t="shared" si="22"/>
        <v>0</v>
      </c>
      <c r="J323" s="47">
        <f t="shared" si="23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.75" thickBot="1" x14ac:dyDescent="0.3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21"/>
        <v>30</v>
      </c>
      <c r="I324" s="46">
        <f t="shared" si="22"/>
        <v>0</v>
      </c>
      <c r="J324" s="47">
        <f t="shared" si="23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.75" thickBot="1" x14ac:dyDescent="0.3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21"/>
        <v>30</v>
      </c>
      <c r="I325" s="46">
        <f t="shared" si="22"/>
        <v>0</v>
      </c>
      <c r="J325" s="47">
        <f t="shared" si="23"/>
        <v>1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.75" thickBot="1" x14ac:dyDescent="0.3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21"/>
        <v>30</v>
      </c>
      <c r="I326" s="46">
        <f t="shared" si="22"/>
        <v>0</v>
      </c>
      <c r="J326" s="47">
        <f t="shared" si="23"/>
        <v>1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.75" thickBot="1" x14ac:dyDescent="0.3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21"/>
        <v>30</v>
      </c>
      <c r="I327" s="46">
        <f t="shared" si="22"/>
        <v>0</v>
      </c>
      <c r="J327" s="47">
        <f t="shared" si="23"/>
        <v>1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.75" thickBot="1" x14ac:dyDescent="0.3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21"/>
        <v>30</v>
      </c>
      <c r="I328" s="46">
        <f t="shared" si="22"/>
        <v>0</v>
      </c>
      <c r="J328" s="47">
        <f t="shared" si="23"/>
        <v>1</v>
      </c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.75" thickBot="1" x14ac:dyDescent="0.3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21"/>
        <v>30</v>
      </c>
      <c r="I329" s="46">
        <f t="shared" si="22"/>
        <v>0</v>
      </c>
      <c r="J329" s="47">
        <f t="shared" si="23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.75" thickBot="1" x14ac:dyDescent="0.3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21"/>
        <v>30</v>
      </c>
      <c r="I330" s="46">
        <f t="shared" si="22"/>
        <v>0</v>
      </c>
      <c r="J330" s="47">
        <f t="shared" si="23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.75" thickBot="1" x14ac:dyDescent="0.3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21"/>
        <v>30</v>
      </c>
      <c r="I331" s="46">
        <f t="shared" si="22"/>
        <v>0</v>
      </c>
      <c r="J331" s="47">
        <f t="shared" si="23"/>
        <v>1</v>
      </c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.75" thickBot="1" x14ac:dyDescent="0.3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21"/>
        <v>30</v>
      </c>
      <c r="I332" s="46">
        <f t="shared" si="22"/>
        <v>0</v>
      </c>
      <c r="J332" s="47">
        <f t="shared" si="23"/>
        <v>1</v>
      </c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.75" thickBot="1" x14ac:dyDescent="0.3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21"/>
        <v>30</v>
      </c>
      <c r="I333" s="46">
        <f t="shared" si="22"/>
        <v>0</v>
      </c>
      <c r="J333" s="47">
        <f t="shared" si="23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.75" thickBot="1" x14ac:dyDescent="0.3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21"/>
        <v>30</v>
      </c>
      <c r="I334" s="46">
        <f t="shared" si="22"/>
        <v>0</v>
      </c>
      <c r="J334" s="47">
        <f t="shared" si="23"/>
        <v>1</v>
      </c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.75" thickBot="1" x14ac:dyDescent="0.3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21"/>
        <v>30</v>
      </c>
      <c r="I335" s="46">
        <f t="shared" si="22"/>
        <v>0</v>
      </c>
      <c r="J335" s="47">
        <f t="shared" si="23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.75" thickBot="1" x14ac:dyDescent="0.3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21"/>
        <v>30</v>
      </c>
      <c r="I336" s="46">
        <f t="shared" si="22"/>
        <v>0</v>
      </c>
      <c r="J336" s="47">
        <f t="shared" si="23"/>
        <v>1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.75" thickBot="1" x14ac:dyDescent="0.3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21"/>
        <v>30</v>
      </c>
      <c r="I337" s="46">
        <f t="shared" si="22"/>
        <v>0</v>
      </c>
      <c r="J337" s="47">
        <f t="shared" si="23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.75" thickBot="1" x14ac:dyDescent="0.3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21"/>
        <v>30</v>
      </c>
      <c r="I338" s="46">
        <f t="shared" si="22"/>
        <v>0</v>
      </c>
      <c r="J338" s="47">
        <f t="shared" si="23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.75" thickBot="1" x14ac:dyDescent="0.3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21"/>
        <v>30</v>
      </c>
      <c r="I339" s="46">
        <f t="shared" si="22"/>
        <v>0</v>
      </c>
      <c r="J339" s="47">
        <f t="shared" si="23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.75" thickBot="1" x14ac:dyDescent="0.3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21"/>
        <v>30</v>
      </c>
      <c r="I340" s="46">
        <f t="shared" si="22"/>
        <v>0</v>
      </c>
      <c r="J340" s="47">
        <f t="shared" si="23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.75" thickBot="1" x14ac:dyDescent="0.3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21"/>
        <v>30</v>
      </c>
      <c r="I341" s="46">
        <f t="shared" si="22"/>
        <v>0</v>
      </c>
      <c r="J341" s="47">
        <f t="shared" si="23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.75" thickBot="1" x14ac:dyDescent="0.3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21"/>
        <v>30</v>
      </c>
      <c r="I342" s="46">
        <f t="shared" si="22"/>
        <v>0</v>
      </c>
      <c r="J342" s="47">
        <f t="shared" si="23"/>
        <v>1</v>
      </c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.75" thickBot="1" x14ac:dyDescent="0.3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21"/>
        <v>30</v>
      </c>
      <c r="I343" s="46">
        <f t="shared" si="22"/>
        <v>0</v>
      </c>
      <c r="J343" s="47">
        <f t="shared" si="23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.75" thickBot="1" x14ac:dyDescent="0.3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21"/>
        <v>30</v>
      </c>
      <c r="I344" s="46">
        <f t="shared" si="22"/>
        <v>0</v>
      </c>
      <c r="J344" s="47">
        <f t="shared" si="23"/>
        <v>1</v>
      </c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.75" thickBot="1" x14ac:dyDescent="0.3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21"/>
        <v>30</v>
      </c>
      <c r="I345" s="46">
        <f t="shared" si="22"/>
        <v>0</v>
      </c>
      <c r="J345" s="47">
        <f t="shared" si="23"/>
        <v>1</v>
      </c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</row>
    <row r="346" spans="1:41" ht="15.75" thickBot="1" x14ac:dyDescent="0.3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21"/>
        <v>30</v>
      </c>
      <c r="I346" s="46">
        <f t="shared" si="22"/>
        <v>0</v>
      </c>
      <c r="J346" s="47">
        <f t="shared" si="23"/>
        <v>1</v>
      </c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</row>
    <row r="347" spans="1:41" ht="15.75" thickBot="1" x14ac:dyDescent="0.3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21"/>
        <v>30</v>
      </c>
      <c r="I347" s="46">
        <f t="shared" si="22"/>
        <v>0</v>
      </c>
      <c r="J347" s="47">
        <f t="shared" si="23"/>
        <v>1</v>
      </c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</row>
    <row r="348" spans="1:41" ht="15.75" thickBot="1" x14ac:dyDescent="0.3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21"/>
        <v>30</v>
      </c>
      <c r="I348" s="46">
        <f t="shared" si="22"/>
        <v>0</v>
      </c>
      <c r="J348" s="47">
        <f t="shared" si="23"/>
        <v>1</v>
      </c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</row>
    <row r="349" spans="1:41" ht="15.75" thickBot="1" x14ac:dyDescent="0.3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21"/>
        <v>30</v>
      </c>
      <c r="I349" s="46">
        <f t="shared" si="22"/>
        <v>0</v>
      </c>
      <c r="J349" s="47">
        <f t="shared" si="23"/>
        <v>1</v>
      </c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</row>
    <row r="350" spans="1:41" ht="15.75" thickBot="1" x14ac:dyDescent="0.3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21"/>
        <v>30</v>
      </c>
      <c r="I350" s="46">
        <f t="shared" si="22"/>
        <v>0</v>
      </c>
      <c r="J350" s="47">
        <f t="shared" si="23"/>
        <v>1</v>
      </c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</row>
    <row r="351" spans="1:41" ht="15.75" thickBot="1" x14ac:dyDescent="0.3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21"/>
        <v>30</v>
      </c>
      <c r="I351" s="46">
        <f t="shared" si="22"/>
        <v>0</v>
      </c>
      <c r="J351" s="47">
        <f t="shared" si="23"/>
        <v>1</v>
      </c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  <row r="352" spans="1:41" ht="15.75" thickBot="1" x14ac:dyDescent="0.3">
      <c r="A352" s="44" t="s">
        <v>486</v>
      </c>
      <c r="B352" s="44" t="s">
        <v>1287</v>
      </c>
      <c r="C352" s="44" t="s">
        <v>1159</v>
      </c>
      <c r="D352" s="44" t="s">
        <v>1288</v>
      </c>
      <c r="E352" s="44" t="s">
        <v>1212</v>
      </c>
      <c r="F352" s="44" t="s">
        <v>28</v>
      </c>
      <c r="G352" s="44" t="s">
        <v>1289</v>
      </c>
      <c r="H352" s="46">
        <f t="shared" si="21"/>
        <v>30</v>
      </c>
      <c r="I352" s="46">
        <f t="shared" si="22"/>
        <v>0</v>
      </c>
      <c r="J352" s="47">
        <f t="shared" si="23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.75" thickBot="1" x14ac:dyDescent="0.3">
      <c r="A353" s="44" t="s">
        <v>486</v>
      </c>
      <c r="B353" s="44" t="s">
        <v>1290</v>
      </c>
      <c r="C353" s="44" t="s">
        <v>1159</v>
      </c>
      <c r="D353" s="44" t="s">
        <v>1288</v>
      </c>
      <c r="E353" s="44" t="s">
        <v>1212</v>
      </c>
      <c r="F353" s="44" t="s">
        <v>28</v>
      </c>
      <c r="G353" s="44" t="s">
        <v>1291</v>
      </c>
      <c r="H353" s="46">
        <f t="shared" si="21"/>
        <v>30</v>
      </c>
      <c r="I353" s="46">
        <f t="shared" si="22"/>
        <v>0</v>
      </c>
      <c r="J353" s="47">
        <f t="shared" si="23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.75" thickBot="1" x14ac:dyDescent="0.3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21"/>
        <v>30</v>
      </c>
      <c r="I354" s="46">
        <f t="shared" si="22"/>
        <v>0</v>
      </c>
      <c r="J354" s="47">
        <f t="shared" si="23"/>
        <v>1</v>
      </c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.75" thickBot="1" x14ac:dyDescent="0.3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21"/>
        <v>30</v>
      </c>
      <c r="I355" s="46">
        <f t="shared" si="22"/>
        <v>0</v>
      </c>
      <c r="J355" s="47">
        <f t="shared" si="23"/>
        <v>1</v>
      </c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.75" thickBot="1" x14ac:dyDescent="0.3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4">COUNTIF(K356:AN356,"")</f>
        <v>30</v>
      </c>
      <c r="I356" s="46">
        <f t="shared" si="22"/>
        <v>0</v>
      </c>
      <c r="J356" s="47">
        <f t="shared" si="23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.75" thickBot="1" x14ac:dyDescent="0.3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4"/>
        <v>30</v>
      </c>
      <c r="I357" s="46">
        <f t="shared" si="22"/>
        <v>0</v>
      </c>
      <c r="J357" s="47">
        <f t="shared" si="23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.75" thickBot="1" x14ac:dyDescent="0.3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4"/>
        <v>30</v>
      </c>
      <c r="I358" s="46">
        <f t="shared" si="22"/>
        <v>0</v>
      </c>
      <c r="J358" s="47">
        <f t="shared" si="23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.75" thickBot="1" x14ac:dyDescent="0.3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4"/>
        <v>30</v>
      </c>
      <c r="I359" s="46">
        <f t="shared" si="22"/>
        <v>0</v>
      </c>
      <c r="J359" s="47">
        <f t="shared" si="23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.75" thickBot="1" x14ac:dyDescent="0.3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4"/>
        <v>28</v>
      </c>
      <c r="I360" s="46">
        <f t="shared" si="22"/>
        <v>2</v>
      </c>
      <c r="J360" s="47">
        <f t="shared" si="23"/>
        <v>0.93333333333333335</v>
      </c>
      <c r="K360" s="21" t="s">
        <v>1274</v>
      </c>
      <c r="L360" s="21" t="s">
        <v>1274</v>
      </c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</row>
    <row r="361" spans="1:41" ht="15.75" thickBot="1" x14ac:dyDescent="0.3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30</v>
      </c>
      <c r="I361" s="46">
        <f>COUNTIF(K361:AL361,"APAGADO")</f>
        <v>0</v>
      </c>
      <c r="J361" s="47">
        <f>(H361)/(I361+H361)</f>
        <v>1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.75" thickBot="1" x14ac:dyDescent="0.3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30</v>
      </c>
      <c r="I362" s="46">
        <f>COUNTIF(K362:AL362,"APAGADO")</f>
        <v>0</v>
      </c>
      <c r="J362" s="47">
        <f>(H362)/(I362+H362)</f>
        <v>1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.75" thickBot="1" x14ac:dyDescent="0.3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4"/>
        <v>30</v>
      </c>
      <c r="I363" s="46">
        <f t="shared" si="22"/>
        <v>0</v>
      </c>
      <c r="J363" s="47">
        <f t="shared" si="23"/>
        <v>1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.75" thickBot="1" x14ac:dyDescent="0.3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4"/>
        <v>30</v>
      </c>
      <c r="I364" s="46">
        <f t="shared" si="22"/>
        <v>0</v>
      </c>
      <c r="J364" s="47">
        <f t="shared" si="23"/>
        <v>1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.75" thickBot="1" x14ac:dyDescent="0.3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30</v>
      </c>
      <c r="I365" s="46">
        <f>COUNTIF(K365:AL365,"APAGADO")</f>
        <v>0</v>
      </c>
      <c r="J365" s="47">
        <f>(H365)/(I365+H365)</f>
        <v>1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.75" thickBot="1" x14ac:dyDescent="0.3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30</v>
      </c>
      <c r="I366" s="46">
        <f>COUNTIF(K366:AL366,"APAGADO")</f>
        <v>0</v>
      </c>
      <c r="J366" s="47">
        <f>(H366)/(I366+H366)</f>
        <v>1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.75" thickBot="1" x14ac:dyDescent="0.3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5">COUNTIF(K367:AN367,"")</f>
        <v>30</v>
      </c>
      <c r="I367" s="46">
        <f t="shared" ref="I367" si="26">COUNTIF(K367:AL367,"APAGADO")</f>
        <v>0</v>
      </c>
      <c r="J367" s="47">
        <f t="shared" ref="J367" si="27">(H367)/(I367+H367)</f>
        <v>1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.75" thickBot="1" x14ac:dyDescent="0.3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4"/>
        <v>30</v>
      </c>
      <c r="I368" s="46">
        <f t="shared" si="22"/>
        <v>0</v>
      </c>
      <c r="J368" s="47">
        <f t="shared" si="23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.75" thickBot="1" x14ac:dyDescent="0.3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4"/>
        <v>30</v>
      </c>
      <c r="I369" s="46">
        <f t="shared" si="22"/>
        <v>0</v>
      </c>
      <c r="J369" s="47">
        <f t="shared" si="23"/>
        <v>1</v>
      </c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.75" thickBot="1" x14ac:dyDescent="0.3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4"/>
        <v>30</v>
      </c>
      <c r="I370" s="46">
        <f t="shared" si="22"/>
        <v>0</v>
      </c>
      <c r="J370" s="47">
        <f t="shared" si="23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.75" thickBot="1" x14ac:dyDescent="0.3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4"/>
        <v>30</v>
      </c>
      <c r="I371" s="46">
        <f t="shared" si="22"/>
        <v>0</v>
      </c>
      <c r="J371" s="47">
        <f t="shared" si="23"/>
        <v>1</v>
      </c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.75" thickBot="1" x14ac:dyDescent="0.3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4"/>
        <v>30</v>
      </c>
      <c r="I372" s="46">
        <f t="shared" si="22"/>
        <v>0</v>
      </c>
      <c r="J372" s="47">
        <f t="shared" si="23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.75" thickBot="1" x14ac:dyDescent="0.3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4"/>
        <v>30</v>
      </c>
      <c r="I373" s="46">
        <f t="shared" si="22"/>
        <v>0</v>
      </c>
      <c r="J373" s="47">
        <f t="shared" si="23"/>
        <v>1</v>
      </c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.75" thickBot="1" x14ac:dyDescent="0.3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4"/>
        <v>29</v>
      </c>
      <c r="I374" s="46">
        <f t="shared" si="22"/>
        <v>1</v>
      </c>
      <c r="J374" s="47">
        <f t="shared" si="23"/>
        <v>0.96666666666666667</v>
      </c>
      <c r="K374" s="21" t="s">
        <v>1274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</row>
    <row r="375" spans="1:41" ht="15.75" thickBot="1" x14ac:dyDescent="0.3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4"/>
        <v>30</v>
      </c>
      <c r="I375" s="46">
        <f t="shared" ref="I375:I433" si="28">COUNTIF(K375:AL375,"APAGADO")</f>
        <v>0</v>
      </c>
      <c r="J375" s="47">
        <f t="shared" ref="J375:J433" si="29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.75" thickBot="1" x14ac:dyDescent="0.3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4"/>
        <v>30</v>
      </c>
      <c r="I376" s="46">
        <f t="shared" si="28"/>
        <v>0</v>
      </c>
      <c r="J376" s="47">
        <f t="shared" si="29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.75" thickBot="1" x14ac:dyDescent="0.3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.75" thickBot="1" x14ac:dyDescent="0.3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4"/>
        <v>30</v>
      </c>
      <c r="I378" s="46">
        <f t="shared" si="28"/>
        <v>0</v>
      </c>
      <c r="J378" s="47">
        <f t="shared" si="29"/>
        <v>1</v>
      </c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.75" thickBot="1" x14ac:dyDescent="0.3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4"/>
        <v>28</v>
      </c>
      <c r="I379" s="46">
        <f t="shared" si="28"/>
        <v>2</v>
      </c>
      <c r="J379" s="47">
        <f t="shared" si="29"/>
        <v>0.93333333333333335</v>
      </c>
      <c r="K379" s="21" t="s">
        <v>1274</v>
      </c>
      <c r="L379" s="21" t="s">
        <v>1274</v>
      </c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</row>
    <row r="380" spans="1:41" ht="15.75" thickBot="1" x14ac:dyDescent="0.3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4"/>
        <v>30</v>
      </c>
      <c r="I380" s="46">
        <f t="shared" si="28"/>
        <v>0</v>
      </c>
      <c r="J380" s="47">
        <f t="shared" si="29"/>
        <v>1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</row>
    <row r="381" spans="1:41" ht="15.75" thickBot="1" x14ac:dyDescent="0.3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30</v>
      </c>
      <c r="I381" s="46">
        <f>COUNTIF(K381:AL381,"APAGADO")</f>
        <v>0</v>
      </c>
      <c r="J381" s="47">
        <f>(H381)/(I381+H381)</f>
        <v>1</v>
      </c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.75" thickBot="1" x14ac:dyDescent="0.3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30</v>
      </c>
      <c r="I382" s="46">
        <f>COUNTIF(K382:AL382,"APAGADO")</f>
        <v>0</v>
      </c>
      <c r="J382" s="47">
        <f>(H382)/(I382+H382)</f>
        <v>1</v>
      </c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.75" thickBot="1" x14ac:dyDescent="0.3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30</v>
      </c>
      <c r="I383" s="46">
        <f>COUNTIF(K383:AL383,"APAGADO")</f>
        <v>0</v>
      </c>
      <c r="J383" s="47">
        <f>(H383)/(I383+H383)</f>
        <v>1</v>
      </c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.75" thickBot="1" x14ac:dyDescent="0.3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.75" thickBot="1" x14ac:dyDescent="0.3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4"/>
        <v>30</v>
      </c>
      <c r="I385" s="46">
        <f t="shared" si="28"/>
        <v>0</v>
      </c>
      <c r="J385" s="47">
        <f t="shared" si="29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.75" thickBot="1" x14ac:dyDescent="0.3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ca="1" si="24"/>
        <v>30</v>
      </c>
      <c r="I386" s="46">
        <f t="shared" ca="1" si="28"/>
        <v>0</v>
      </c>
      <c r="J386" s="47">
        <f t="shared" ca="1" si="29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>
        <f ca="1">AC386</f>
        <v>0</v>
      </c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.75" thickBot="1" x14ac:dyDescent="0.3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30</v>
      </c>
      <c r="I387" s="46">
        <f>COUNTIF(K387:AL387,"APAGADO")</f>
        <v>0</v>
      </c>
      <c r="J387" s="47">
        <f>(H387)/(I387+H387)</f>
        <v>1</v>
      </c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</row>
    <row r="388" spans="1:41" ht="15.75" thickBot="1" x14ac:dyDescent="0.3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30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spans="1:41" ht="15.75" thickBot="1" x14ac:dyDescent="0.3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.75" thickBot="1" x14ac:dyDescent="0.3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4"/>
        <v>29</v>
      </c>
      <c r="I390" s="46">
        <f t="shared" si="28"/>
        <v>1</v>
      </c>
      <c r="J390" s="47">
        <f t="shared" si="29"/>
        <v>0.96666666666666667</v>
      </c>
      <c r="K390" s="21" t="s">
        <v>1274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</row>
    <row r="391" spans="1:41" ht="15.75" thickBot="1" x14ac:dyDescent="0.3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4"/>
        <v>29</v>
      </c>
      <c r="I391" s="46">
        <f t="shared" si="28"/>
        <v>1</v>
      </c>
      <c r="J391" s="47">
        <f t="shared" si="29"/>
        <v>0.96666666666666667</v>
      </c>
      <c r="K391" s="21" t="s">
        <v>1274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</row>
    <row r="392" spans="1:41" ht="15.75" thickBot="1" x14ac:dyDescent="0.3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4"/>
        <v>30</v>
      </c>
      <c r="I392" s="46">
        <f t="shared" si="28"/>
        <v>0</v>
      </c>
      <c r="J392" s="47">
        <f t="shared" si="29"/>
        <v>1</v>
      </c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.75" thickBot="1" x14ac:dyDescent="0.3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4"/>
        <v>30</v>
      </c>
      <c r="I393" s="46">
        <f t="shared" si="28"/>
        <v>0</v>
      </c>
      <c r="J393" s="47">
        <f t="shared" si="29"/>
        <v>1</v>
      </c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.75" thickBot="1" x14ac:dyDescent="0.3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4"/>
        <v>30</v>
      </c>
      <c r="I394" s="46">
        <f t="shared" si="28"/>
        <v>0</v>
      </c>
      <c r="J394" s="47">
        <f t="shared" si="29"/>
        <v>1</v>
      </c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.75" thickBot="1" x14ac:dyDescent="0.3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4"/>
        <v>30</v>
      </c>
      <c r="I395" s="46">
        <f t="shared" si="28"/>
        <v>0</v>
      </c>
      <c r="J395" s="47">
        <f t="shared" si="29"/>
        <v>1</v>
      </c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.75" thickBot="1" x14ac:dyDescent="0.3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4"/>
        <v>30</v>
      </c>
      <c r="I396" s="46">
        <f t="shared" si="28"/>
        <v>0</v>
      </c>
      <c r="J396" s="47">
        <f t="shared" si="29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.75" thickBot="1" x14ac:dyDescent="0.3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4"/>
        <v>30</v>
      </c>
      <c r="I397" s="46">
        <f t="shared" si="28"/>
        <v>0</v>
      </c>
      <c r="J397" s="47">
        <f t="shared" si="29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.75" thickBot="1" x14ac:dyDescent="0.3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4"/>
        <v>30</v>
      </c>
      <c r="I398" s="46">
        <f t="shared" si="28"/>
        <v>0</v>
      </c>
      <c r="J398" s="47">
        <f t="shared" si="29"/>
        <v>1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.75" thickBot="1" x14ac:dyDescent="0.3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4"/>
        <v>30</v>
      </c>
      <c r="I399" s="46">
        <f t="shared" si="28"/>
        <v>0</v>
      </c>
      <c r="J399" s="47">
        <f t="shared" si="29"/>
        <v>1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.75" thickBot="1" x14ac:dyDescent="0.3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30</v>
      </c>
      <c r="I400" s="46">
        <f>COUNTIF(K400:AL400,"APAGADO")</f>
        <v>0</v>
      </c>
      <c r="J400" s="47">
        <f>(H400)/(I400+H400)</f>
        <v>1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.75" thickBot="1" x14ac:dyDescent="0.3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4"/>
        <v>30</v>
      </c>
      <c r="I401" s="46">
        <f t="shared" si="28"/>
        <v>0</v>
      </c>
      <c r="J401" s="47">
        <f t="shared" si="29"/>
        <v>1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.75" thickBot="1" x14ac:dyDescent="0.3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4"/>
        <v>30</v>
      </c>
      <c r="I402" s="46">
        <f t="shared" si="28"/>
        <v>0</v>
      </c>
      <c r="J402" s="47">
        <f t="shared" si="29"/>
        <v>1</v>
      </c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</row>
    <row r="403" spans="1:41" ht="15.75" thickBot="1" x14ac:dyDescent="0.3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4"/>
        <v>30</v>
      </c>
      <c r="I403" s="46">
        <f t="shared" si="28"/>
        <v>0</v>
      </c>
      <c r="J403" s="47">
        <f t="shared" si="29"/>
        <v>1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.75" thickBot="1" x14ac:dyDescent="0.3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4"/>
        <v>30</v>
      </c>
      <c r="I404" s="46">
        <f t="shared" si="28"/>
        <v>0</v>
      </c>
      <c r="J404" s="47">
        <f t="shared" si="29"/>
        <v>1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.75" thickBot="1" x14ac:dyDescent="0.3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4"/>
        <v>30</v>
      </c>
      <c r="I405" s="46">
        <f t="shared" si="28"/>
        <v>0</v>
      </c>
      <c r="J405" s="47">
        <f t="shared" si="29"/>
        <v>1</v>
      </c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</row>
    <row r="406" spans="1:41" ht="15.75" thickBot="1" x14ac:dyDescent="0.3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4"/>
        <v>30</v>
      </c>
      <c r="I406" s="46">
        <f t="shared" si="28"/>
        <v>0</v>
      </c>
      <c r="J406" s="47">
        <f t="shared" si="29"/>
        <v>1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.75" thickBot="1" x14ac:dyDescent="0.3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4"/>
        <v>28</v>
      </c>
      <c r="I407" s="46">
        <f t="shared" si="28"/>
        <v>2</v>
      </c>
      <c r="J407" s="47">
        <f t="shared" si="29"/>
        <v>0.93333333333333335</v>
      </c>
      <c r="K407" s="21" t="s">
        <v>1274</v>
      </c>
      <c r="L407" s="21" t="s">
        <v>1274</v>
      </c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</row>
    <row r="408" spans="1:41" ht="15.75" thickBot="1" x14ac:dyDescent="0.3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4"/>
        <v>28</v>
      </c>
      <c r="I408" s="46">
        <f t="shared" si="28"/>
        <v>2</v>
      </c>
      <c r="J408" s="47">
        <f t="shared" si="29"/>
        <v>0.93333333333333335</v>
      </c>
      <c r="K408" s="21" t="s">
        <v>1274</v>
      </c>
      <c r="L408" s="21" t="s">
        <v>1274</v>
      </c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</row>
    <row r="409" spans="1:41" ht="15.75" thickBot="1" x14ac:dyDescent="0.3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4"/>
        <v>30</v>
      </c>
      <c r="I409" s="46">
        <f t="shared" si="28"/>
        <v>0</v>
      </c>
      <c r="J409" s="47">
        <f t="shared" si="29"/>
        <v>1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spans="1:41" ht="15.75" thickBot="1" x14ac:dyDescent="0.3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4"/>
        <v>30</v>
      </c>
      <c r="I410" s="46">
        <f t="shared" si="28"/>
        <v>0</v>
      </c>
      <c r="J410" s="47">
        <f t="shared" si="29"/>
        <v>1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spans="1:41" ht="15.75" thickBot="1" x14ac:dyDescent="0.3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4"/>
        <v>30</v>
      </c>
      <c r="I411" s="46">
        <f t="shared" si="28"/>
        <v>0</v>
      </c>
      <c r="J411" s="47">
        <f t="shared" si="29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.75" thickBot="1" x14ac:dyDescent="0.3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4"/>
        <v>30</v>
      </c>
      <c r="I412" s="46">
        <f t="shared" si="28"/>
        <v>0</v>
      </c>
      <c r="J412" s="47">
        <f t="shared" si="29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.75" thickBot="1" x14ac:dyDescent="0.3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4"/>
        <v>30</v>
      </c>
      <c r="I413" s="46">
        <f t="shared" si="28"/>
        <v>0</v>
      </c>
      <c r="J413" s="47">
        <f t="shared" si="29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.75" thickBot="1" x14ac:dyDescent="0.3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4"/>
        <v>30</v>
      </c>
      <c r="I414" s="46">
        <f t="shared" si="28"/>
        <v>0</v>
      </c>
      <c r="J414" s="47">
        <f t="shared" si="29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.75" thickBot="1" x14ac:dyDescent="0.3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4"/>
        <v>30</v>
      </c>
      <c r="I415" s="46">
        <f t="shared" si="28"/>
        <v>0</v>
      </c>
      <c r="J415" s="47">
        <f t="shared" si="29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.75" thickBot="1" x14ac:dyDescent="0.3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4"/>
        <v>30</v>
      </c>
      <c r="I416" s="46">
        <f t="shared" si="28"/>
        <v>0</v>
      </c>
      <c r="J416" s="47">
        <f t="shared" si="29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.75" thickBot="1" x14ac:dyDescent="0.3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4"/>
        <v>30</v>
      </c>
      <c r="I417" s="46">
        <f t="shared" si="28"/>
        <v>0</v>
      </c>
      <c r="J417" s="47">
        <f t="shared" si="29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.75" thickBot="1" x14ac:dyDescent="0.3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4"/>
        <v>30</v>
      </c>
      <c r="I418" s="46">
        <f t="shared" si="28"/>
        <v>0</v>
      </c>
      <c r="J418" s="47">
        <f t="shared" si="29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.75" thickBot="1" x14ac:dyDescent="0.3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4"/>
        <v>30</v>
      </c>
      <c r="I419" s="46">
        <f t="shared" si="28"/>
        <v>0</v>
      </c>
      <c r="J419" s="47">
        <f t="shared" si="29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.75" thickBot="1" x14ac:dyDescent="0.3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30">COUNTIF(K420:AN420,"")</f>
        <v>28</v>
      </c>
      <c r="I420" s="46">
        <f t="shared" si="28"/>
        <v>2</v>
      </c>
      <c r="J420" s="47">
        <f t="shared" si="29"/>
        <v>0.93333333333333335</v>
      </c>
      <c r="K420" s="21" t="s">
        <v>1274</v>
      </c>
      <c r="L420" s="21" t="s">
        <v>1274</v>
      </c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</row>
    <row r="421" spans="1:41" ht="15.75" thickBot="1" x14ac:dyDescent="0.3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.75" thickBot="1" x14ac:dyDescent="0.3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30"/>
        <v>30</v>
      </c>
      <c r="I422" s="46">
        <f t="shared" si="28"/>
        <v>0</v>
      </c>
      <c r="J422" s="47">
        <f t="shared" si="29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.75" thickBot="1" x14ac:dyDescent="0.3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30"/>
        <v>30</v>
      </c>
      <c r="I423" s="46">
        <f t="shared" si="28"/>
        <v>0</v>
      </c>
      <c r="J423" s="47">
        <f t="shared" si="29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.75" thickBot="1" x14ac:dyDescent="0.3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30"/>
        <v>30</v>
      </c>
      <c r="I424" s="46">
        <f t="shared" si="28"/>
        <v>0</v>
      </c>
      <c r="J424" s="47">
        <f t="shared" si="29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.75" thickBot="1" x14ac:dyDescent="0.3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30"/>
        <v>30</v>
      </c>
      <c r="I425" s="46">
        <f t="shared" si="28"/>
        <v>0</v>
      </c>
      <c r="J425" s="47">
        <f t="shared" si="29"/>
        <v>1</v>
      </c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.75" thickBot="1" x14ac:dyDescent="0.3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.75" thickBot="1" x14ac:dyDescent="0.3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30"/>
        <v>30</v>
      </c>
      <c r="I427" s="46">
        <f t="shared" si="28"/>
        <v>0</v>
      </c>
      <c r="J427" s="47">
        <f t="shared" si="29"/>
        <v>1</v>
      </c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.75" thickBot="1" x14ac:dyDescent="0.3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30"/>
        <v>30</v>
      </c>
      <c r="I428" s="46">
        <f t="shared" si="28"/>
        <v>0</v>
      </c>
      <c r="J428" s="47">
        <f t="shared" si="29"/>
        <v>1</v>
      </c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.75" thickBot="1" x14ac:dyDescent="0.3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30"/>
        <v>30</v>
      </c>
      <c r="I429" s="46">
        <f t="shared" si="28"/>
        <v>0</v>
      </c>
      <c r="J429" s="47">
        <f t="shared" si="29"/>
        <v>1</v>
      </c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.75" thickBot="1" x14ac:dyDescent="0.3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30"/>
        <v>30</v>
      </c>
      <c r="I430" s="46">
        <f t="shared" si="28"/>
        <v>0</v>
      </c>
      <c r="J430" s="47">
        <f t="shared" si="29"/>
        <v>1</v>
      </c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.75" thickBot="1" x14ac:dyDescent="0.3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30"/>
        <v>30</v>
      </c>
      <c r="I431" s="46">
        <f t="shared" si="28"/>
        <v>0</v>
      </c>
      <c r="J431" s="47">
        <f t="shared" si="29"/>
        <v>1</v>
      </c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.75" thickBot="1" x14ac:dyDescent="0.3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30"/>
        <v>30</v>
      </c>
      <c r="I432" s="46">
        <f t="shared" si="28"/>
        <v>0</v>
      </c>
      <c r="J432" s="47">
        <f t="shared" si="29"/>
        <v>1</v>
      </c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.75" thickBot="1" x14ac:dyDescent="0.3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30"/>
        <v>30</v>
      </c>
      <c r="I433" s="46">
        <f t="shared" si="28"/>
        <v>0</v>
      </c>
      <c r="J433" s="47">
        <f t="shared" si="29"/>
        <v>1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.75" thickBot="1" x14ac:dyDescent="0.3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30</v>
      </c>
      <c r="I434" s="46">
        <f>COUNTIF(K434:AL434,"APAGADO")</f>
        <v>0</v>
      </c>
      <c r="J434" s="47">
        <f>(H434)/(I434+H434)</f>
        <v>1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25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25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25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25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25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25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25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25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25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25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25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25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25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25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25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25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25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25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25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25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25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25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25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25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25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25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25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25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25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25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25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25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25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25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25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25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25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25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25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25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25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25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25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25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25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25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25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25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25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25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25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25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25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25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25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25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25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25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25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25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25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25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25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25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25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25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25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25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25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25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25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25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25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25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25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25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25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25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25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25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25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25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25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25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25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25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25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25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25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25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25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25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25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25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25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25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25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25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25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25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25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25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25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25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25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25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25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25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25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25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25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25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25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25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25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25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25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25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25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25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25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25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25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25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25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25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25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25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25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25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25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25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25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25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25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25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25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25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25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25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25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25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25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25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25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25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25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25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25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25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25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25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25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25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25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25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25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25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25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25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25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25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25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25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25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25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25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25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25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25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25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25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25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25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25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25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25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25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25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25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25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25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25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25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25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25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25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25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25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25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25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25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25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25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25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25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25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25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25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25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25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25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25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25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25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25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25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25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25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25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25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25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25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25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25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25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25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25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25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25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25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25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25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25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25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25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25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25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25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25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25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25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25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25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25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25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25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25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25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25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25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25">
      <c r="E676" s="22"/>
      <c r="F676" s="22"/>
      <c r="G676" s="22"/>
      <c r="J676" s="15"/>
    </row>
    <row r="677" spans="5:41" x14ac:dyDescent="0.25">
      <c r="E677" s="22"/>
      <c r="F677" s="22"/>
      <c r="G677" s="22"/>
      <c r="J677" s="15"/>
    </row>
    <row r="678" spans="5:41" x14ac:dyDescent="0.25">
      <c r="E678" s="22"/>
      <c r="F678" s="22"/>
      <c r="G678" s="22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C442" sqref="C442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>
        <f>'RESUMEN TOTAL'!M5</f>
        <v>0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25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>
        <f>'RESUMEN TOTAL'!M6</f>
        <v>0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25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25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>
        <f>'RESUMEN TOTAL'!K8</f>
        <v>0</v>
      </c>
      <c r="G5" s="24">
        <f>'RESUMEN TOTAL'!L8</f>
        <v>0</v>
      </c>
      <c r="H5" s="24">
        <f>'RESUMEN TOTAL'!M8</f>
        <v>0</v>
      </c>
      <c r="I5" s="24">
        <f>'RESUMEN TOTAL'!N8</f>
        <v>0</v>
      </c>
      <c r="J5" s="24">
        <f>'RESUMEN TOTAL'!O8</f>
        <v>0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25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>
        <f>'RESUMEN TOTAL'!K9</f>
        <v>0</v>
      </c>
      <c r="G6" s="24">
        <f>'RESUMEN TOTAL'!L9</f>
        <v>0</v>
      </c>
      <c r="H6" s="24">
        <f>'RESUMEN TOTAL'!M9</f>
        <v>0</v>
      </c>
      <c r="I6" s="24">
        <f>'RESUMEN TOTAL'!N9</f>
        <v>0</v>
      </c>
      <c r="J6" s="24">
        <f>'RESUMEN TOTAL'!O9</f>
        <v>0</v>
      </c>
      <c r="K6" s="24">
        <f>'RESUMEN TOTAL'!P9</f>
        <v>0</v>
      </c>
      <c r="L6" s="24">
        <f>'RESUMEN TOTAL'!Q9</f>
        <v>0</v>
      </c>
      <c r="M6" s="24">
        <f>'RESUMEN TOTAL'!R9</f>
        <v>0</v>
      </c>
      <c r="N6" s="24">
        <f>'RESUMEN TOTAL'!S9</f>
        <v>0</v>
      </c>
      <c r="O6" s="24">
        <f>'RESUMEN TOTAL'!T9</f>
        <v>0</v>
      </c>
      <c r="P6" s="24">
        <f>'RESUMEN TOTAL'!U9</f>
        <v>0</v>
      </c>
      <c r="Q6" s="24">
        <f>'RESUMEN TOTAL'!V9</f>
        <v>0</v>
      </c>
      <c r="R6" s="24">
        <f>'RESUMEN TOTAL'!W9</f>
        <v>0</v>
      </c>
      <c r="S6" s="24">
        <f>'RESUMEN TOTAL'!X9</f>
        <v>0</v>
      </c>
      <c r="T6" s="24">
        <f>'RESUMEN TOTAL'!Y9</f>
        <v>0</v>
      </c>
      <c r="U6" s="24">
        <f>'RESUMEN TOTAL'!Z9</f>
        <v>0</v>
      </c>
      <c r="V6" s="24">
        <f>'RESUMEN TOTAL'!AA9</f>
        <v>0</v>
      </c>
      <c r="W6" s="24">
        <f>'RESUMEN TOTAL'!AB9</f>
        <v>0</v>
      </c>
      <c r="X6" s="24">
        <f>'RESUMEN TOTAL'!AC9</f>
        <v>0</v>
      </c>
      <c r="Y6" s="24">
        <f>'RESUMEN TOTAL'!AD9</f>
        <v>0</v>
      </c>
      <c r="Z6" s="24">
        <f>'RESUMEN TOTAL'!AE9</f>
        <v>0</v>
      </c>
      <c r="AA6" s="24">
        <f>'RESUMEN TOTAL'!AF9</f>
        <v>0</v>
      </c>
      <c r="AB6" s="24">
        <f>'RESUMEN TOTAL'!AG9</f>
        <v>0</v>
      </c>
      <c r="AC6" s="24">
        <f>'RESUMEN TOTAL'!AH9</f>
        <v>0</v>
      </c>
      <c r="AD6" s="24">
        <f>'RESUMEN TOTAL'!AI9</f>
        <v>0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25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>
        <f>'RESUMEN TOTAL'!M10</f>
        <v>0</v>
      </c>
      <c r="I7" s="24">
        <f>'RESUMEN TOTAL'!N10</f>
        <v>0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25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25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25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25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>
        <f>'RESUMEN TOTAL'!K14</f>
        <v>0</v>
      </c>
      <c r="G11" s="24">
        <f>'RESUMEN TOTAL'!L14</f>
        <v>0</v>
      </c>
      <c r="H11" s="24">
        <f>'RESUMEN TOTAL'!M14</f>
        <v>0</v>
      </c>
      <c r="I11" s="24">
        <f>'RESUMEN TOTAL'!N14</f>
        <v>0</v>
      </c>
      <c r="J11" s="24">
        <f>'RESUMEN TOTAL'!O14</f>
        <v>0</v>
      </c>
      <c r="K11" s="24">
        <f>'RESUMEN TOTAL'!P14</f>
        <v>0</v>
      </c>
      <c r="L11" s="24">
        <f>'RESUMEN TOTAL'!Q14</f>
        <v>0</v>
      </c>
      <c r="M11" s="24">
        <f>'RESUMEN TOTAL'!R14</f>
        <v>0</v>
      </c>
      <c r="N11" s="24">
        <f>'RESUMEN TOTAL'!S14</f>
        <v>0</v>
      </c>
      <c r="O11" s="24">
        <f>'RESUMEN TOTAL'!T14</f>
        <v>0</v>
      </c>
      <c r="P11" s="24">
        <f>'RESUMEN TOTAL'!U14</f>
        <v>0</v>
      </c>
      <c r="Q11" s="24">
        <f>'RESUMEN TOTAL'!V14</f>
        <v>0</v>
      </c>
      <c r="R11" s="24">
        <f>'RESUMEN TOTAL'!W14</f>
        <v>0</v>
      </c>
      <c r="S11" s="24">
        <f>'RESUMEN TOTAL'!X14</f>
        <v>0</v>
      </c>
      <c r="T11" s="24">
        <f>'RESUMEN TOTAL'!Y14</f>
        <v>0</v>
      </c>
      <c r="U11" s="24">
        <f>'RESUMEN TOTAL'!Z14</f>
        <v>0</v>
      </c>
      <c r="V11" s="24">
        <f>'RESUMEN TOTAL'!AA14</f>
        <v>0</v>
      </c>
      <c r="W11" s="24">
        <f>'RESUMEN TOTAL'!AB14</f>
        <v>0</v>
      </c>
      <c r="X11" s="24">
        <f>'RESUMEN TOTAL'!AC14</f>
        <v>0</v>
      </c>
      <c r="Y11" s="24">
        <f>'RESUMEN TOTAL'!AD14</f>
        <v>0</v>
      </c>
      <c r="Z11" s="24">
        <f>'RESUMEN TOTAL'!AE14</f>
        <v>0</v>
      </c>
      <c r="AA11" s="24">
        <f>'RESUMEN TOTAL'!AF14</f>
        <v>0</v>
      </c>
      <c r="AB11" s="24">
        <f>'RESUMEN TOTAL'!AG14</f>
        <v>0</v>
      </c>
      <c r="AC11" s="24">
        <f>'RESUMEN TOTAL'!AH14</f>
        <v>0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25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>
        <f>'RESUMEN TOTAL'!M15</f>
        <v>0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>
        <f>'RESUMEN TOTAL'!AC15</f>
        <v>0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25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>
        <f>'RESUMEN TOTAL'!M16</f>
        <v>0</v>
      </c>
      <c r="I13" s="24">
        <f>'RESUMEN TOTAL'!N16</f>
        <v>0</v>
      </c>
      <c r="J13" s="24">
        <f>'RESUMEN TOTAL'!O16</f>
        <v>0</v>
      </c>
      <c r="K13" s="24">
        <f>'RESUMEN TOTAL'!P16</f>
        <v>0</v>
      </c>
      <c r="L13" s="24">
        <f>'RESUMEN TOTAL'!Q16</f>
        <v>0</v>
      </c>
      <c r="M13" s="24">
        <f>'RESUMEN TOTAL'!R16</f>
        <v>0</v>
      </c>
      <c r="N13" s="24">
        <f>'RESUMEN TOTAL'!S16</f>
        <v>0</v>
      </c>
      <c r="O13" s="24">
        <f>'RESUMEN TOTAL'!T16</f>
        <v>0</v>
      </c>
      <c r="P13" s="24">
        <f>'RESUMEN TOTAL'!U16</f>
        <v>0</v>
      </c>
      <c r="Q13" s="24">
        <f>'RESUMEN TOTAL'!V16</f>
        <v>0</v>
      </c>
      <c r="R13" s="24">
        <f>'RESUMEN TOTAL'!W16</f>
        <v>0</v>
      </c>
      <c r="S13" s="24">
        <f>'RESUMEN TOTAL'!X16</f>
        <v>0</v>
      </c>
      <c r="T13" s="24">
        <f>'RESUMEN TOTAL'!Y16</f>
        <v>0</v>
      </c>
      <c r="U13" s="24">
        <f>'RESUMEN TOTAL'!Z16</f>
        <v>0</v>
      </c>
      <c r="V13" s="24">
        <f>'RESUMEN TOTAL'!AA16</f>
        <v>0</v>
      </c>
      <c r="W13" s="24">
        <f>'RESUMEN TOTAL'!AB16</f>
        <v>0</v>
      </c>
      <c r="X13" s="24">
        <f>'RESUMEN TOTAL'!AC16</f>
        <v>0</v>
      </c>
      <c r="Y13" s="24">
        <f>'RESUMEN TOTAL'!AD16</f>
        <v>0</v>
      </c>
      <c r="Z13" s="24">
        <f>'RESUMEN TOTAL'!AE16</f>
        <v>0</v>
      </c>
      <c r="AA13" s="24">
        <f>'RESUMEN TOTAL'!AF16</f>
        <v>0</v>
      </c>
      <c r="AB13" s="24">
        <f>'RESUMEN TOTAL'!AG16</f>
        <v>0</v>
      </c>
      <c r="AC13" s="24">
        <f>'RESUMEN TOTAL'!AH16</f>
        <v>0</v>
      </c>
      <c r="AD13" s="24">
        <f>'RESUMEN TOTAL'!AI16</f>
        <v>0</v>
      </c>
      <c r="AE13" s="24">
        <f>'RESUMEN TOTAL'!AJ16</f>
        <v>0</v>
      </c>
      <c r="AF13" s="24">
        <f>'RESUMEN TOTAL'!AK16</f>
        <v>0</v>
      </c>
      <c r="AG13" s="24">
        <f>'RESUMEN TOTAL'!AL16</f>
        <v>0</v>
      </c>
      <c r="AH13" s="24">
        <f>'RESUMEN TOTAL'!AM16</f>
        <v>0</v>
      </c>
      <c r="AI13" s="24">
        <f>'RESUMEN TOTAL'!AN16</f>
        <v>0</v>
      </c>
    </row>
    <row r="14" spans="1:35" x14ac:dyDescent="0.25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25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25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25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25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25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25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25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>
        <f>'RESUMEN TOTAL'!M23</f>
        <v>0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25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>
        <f>'RESUMEN TOTAL'!M24</f>
        <v>0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25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>
        <f>'RESUMEN TOTAL'!M25</f>
        <v>0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25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25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>
        <f>'RESUMEN TOTAL'!M27</f>
        <v>0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25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>
        <f>'RESUMEN TOTAL'!M28</f>
        <v>0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25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>
        <f>'RESUMEN TOTAL'!M29</f>
        <v>0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25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25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25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>
        <f>'RESUMEN TOTAL'!M32</f>
        <v>0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25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25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 t="str">
        <f>'RESUMEN TOTAL'!K34</f>
        <v>APAGADO</v>
      </c>
      <c r="G32" s="24" t="str">
        <f>'RESUMEN TOTAL'!L34</f>
        <v>APAGADO</v>
      </c>
      <c r="H32" s="24">
        <f>'RESUMEN TOTAL'!M34</f>
        <v>0</v>
      </c>
      <c r="I32" s="24">
        <f>'RESUMEN TOTAL'!N34</f>
        <v>0</v>
      </c>
      <c r="J32" s="24">
        <f>'RESUMEN TOTAL'!O34</f>
        <v>0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>
        <f>'RESUMEN TOTAL'!W34</f>
        <v>0</v>
      </c>
      <c r="S32" s="24">
        <f>'RESUMEN TOTAL'!X34</f>
        <v>0</v>
      </c>
      <c r="T32" s="24">
        <f>'RESUMEN TOTAL'!Y34</f>
        <v>0</v>
      </c>
      <c r="U32" s="24">
        <f>'RESUMEN TOTAL'!Z34</f>
        <v>0</v>
      </c>
      <c r="V32" s="24">
        <f>'RESUMEN TOTAL'!AA34</f>
        <v>0</v>
      </c>
      <c r="W32" s="24">
        <f>'RESUMEN TOTAL'!AB34</f>
        <v>0</v>
      </c>
      <c r="X32" s="24">
        <f>'RESUMEN TOTAL'!AC34</f>
        <v>0</v>
      </c>
      <c r="Y32" s="24">
        <f>'RESUMEN TOTAL'!AD34</f>
        <v>0</v>
      </c>
      <c r="Z32" s="24">
        <f>'RESUMEN TOTAL'!AE34</f>
        <v>0</v>
      </c>
      <c r="AA32" s="24">
        <f>'RESUMEN TOTAL'!AF34</f>
        <v>0</v>
      </c>
      <c r="AB32" s="24">
        <f>'RESUMEN TOTAL'!AG34</f>
        <v>0</v>
      </c>
      <c r="AC32" s="24">
        <f>'RESUMEN TOTAL'!AH34</f>
        <v>0</v>
      </c>
      <c r="AD32" s="24">
        <f>'RESUMEN TOTAL'!AI34</f>
        <v>0</v>
      </c>
      <c r="AE32" s="24">
        <f>'RESUMEN TOTAL'!AJ34</f>
        <v>0</v>
      </c>
      <c r="AF32" s="24">
        <f>'RESUMEN TOTAL'!AK34</f>
        <v>0</v>
      </c>
      <c r="AG32" s="24">
        <f>'RESUMEN TOTAL'!AL34</f>
        <v>0</v>
      </c>
      <c r="AH32" s="24">
        <f>'RESUMEN TOTAL'!AM34</f>
        <v>0</v>
      </c>
      <c r="AI32" s="24">
        <f>'RESUMEN TOTAL'!AN34</f>
        <v>0</v>
      </c>
    </row>
    <row r="33" spans="1:35" x14ac:dyDescent="0.25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>
        <f>'RESUMEN TOTAL'!M35</f>
        <v>0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>
        <f>'RESUMEN TOTAL'!Q35</f>
        <v>0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>
        <f>'RESUMEN TOTAL'!AK35</f>
        <v>0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25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25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 t="str">
        <f>'RESUMEN TOTAL'!K37</f>
        <v>APAGADO</v>
      </c>
      <c r="G35" s="24">
        <f>'RESUMEN TOTAL'!L37</f>
        <v>0</v>
      </c>
      <c r="H35" s="24">
        <f>'RESUMEN TOTAL'!M37</f>
        <v>0</v>
      </c>
      <c r="I35" s="24">
        <f>'RESUMEN TOTAL'!N37</f>
        <v>0</v>
      </c>
      <c r="J35" s="24">
        <f>'RESUMEN TOTAL'!O37</f>
        <v>0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>
        <f>'RESUMEN TOTAL'!S37</f>
        <v>0</v>
      </c>
      <c r="O35" s="24">
        <f>'RESUMEN TOTAL'!T37</f>
        <v>0</v>
      </c>
      <c r="P35" s="24">
        <f>'RESUMEN TOTAL'!U37</f>
        <v>0</v>
      </c>
      <c r="Q35" s="24">
        <f>'RESUMEN TOTAL'!V37</f>
        <v>0</v>
      </c>
      <c r="R35" s="24">
        <f>'RESUMEN TOTAL'!W37</f>
        <v>0</v>
      </c>
      <c r="S35" s="24">
        <f>'RESUMEN TOTAL'!X37</f>
        <v>0</v>
      </c>
      <c r="T35" s="24">
        <f>'RESUMEN TOTAL'!Y37</f>
        <v>0</v>
      </c>
      <c r="U35" s="24">
        <f>'RESUMEN TOTAL'!Z37</f>
        <v>0</v>
      </c>
      <c r="V35" s="24">
        <f>'RESUMEN TOTAL'!AA37</f>
        <v>0</v>
      </c>
      <c r="W35" s="24">
        <f>'RESUMEN TOTAL'!AB37</f>
        <v>0</v>
      </c>
      <c r="X35" s="24">
        <f>'RESUMEN TOTAL'!AC37</f>
        <v>0</v>
      </c>
      <c r="Y35" s="24">
        <f>'RESUMEN TOTAL'!AD37</f>
        <v>0</v>
      </c>
      <c r="Z35" s="24">
        <f>'RESUMEN TOTAL'!AE37</f>
        <v>0</v>
      </c>
      <c r="AA35" s="24">
        <f>'RESUMEN TOTAL'!AF37</f>
        <v>0</v>
      </c>
      <c r="AB35" s="24">
        <f>'RESUMEN TOTAL'!AG37</f>
        <v>0</v>
      </c>
      <c r="AC35" s="24">
        <f>'RESUMEN TOTAL'!AH37</f>
        <v>0</v>
      </c>
      <c r="AD35" s="24">
        <f>'RESUMEN TOTAL'!AI37</f>
        <v>0</v>
      </c>
      <c r="AE35" s="24">
        <f>'RESUMEN TOTAL'!AJ37</f>
        <v>0</v>
      </c>
      <c r="AF35" s="24">
        <f>'RESUMEN TOTAL'!AK37</f>
        <v>0</v>
      </c>
      <c r="AG35" s="24">
        <f>'RESUMEN TOTAL'!AL37</f>
        <v>0</v>
      </c>
      <c r="AH35" s="24">
        <f>'RESUMEN TOTAL'!AM37</f>
        <v>0</v>
      </c>
      <c r="AI35" s="24">
        <f>'RESUMEN TOTAL'!AN37</f>
        <v>0</v>
      </c>
    </row>
    <row r="36" spans="1:35" x14ac:dyDescent="0.25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>
        <f>'RESUMEN TOTAL'!M38</f>
        <v>0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25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>
        <f>'RESUMEN TOTAL'!M39</f>
        <v>0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25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 t="str">
        <f>'RESUMEN TOTAL'!K40</f>
        <v>APAGADO</v>
      </c>
      <c r="G38" s="24" t="str">
        <f>'RESUMEN TOTAL'!L40</f>
        <v>APAGADO</v>
      </c>
      <c r="H38" s="24">
        <f>'RESUMEN TOTAL'!M40</f>
        <v>0</v>
      </c>
      <c r="I38" s="24">
        <f>'RESUMEN TOTAL'!N40</f>
        <v>0</v>
      </c>
      <c r="J38" s="24">
        <f>'RESUMEN TOTAL'!O40</f>
        <v>0</v>
      </c>
      <c r="K38" s="24">
        <f>'RESUMEN TOTAL'!P40</f>
        <v>0</v>
      </c>
      <c r="L38" s="24">
        <f>'RESUMEN TOTAL'!Q40</f>
        <v>0</v>
      </c>
      <c r="M38" s="24">
        <f>'RESUMEN TOTAL'!R40</f>
        <v>0</v>
      </c>
      <c r="N38" s="24">
        <f>'RESUMEN TOTAL'!S40</f>
        <v>0</v>
      </c>
      <c r="O38" s="24">
        <f>'RESUMEN TOTAL'!T40</f>
        <v>0</v>
      </c>
      <c r="P38" s="24">
        <f>'RESUMEN TOTAL'!U40</f>
        <v>0</v>
      </c>
      <c r="Q38" s="24">
        <f>'RESUMEN TOTAL'!V40</f>
        <v>0</v>
      </c>
      <c r="R38" s="24">
        <f>'RESUMEN TOTAL'!W40</f>
        <v>0</v>
      </c>
      <c r="S38" s="24">
        <f>'RESUMEN TOTAL'!X40</f>
        <v>0</v>
      </c>
      <c r="T38" s="24">
        <f>'RESUMEN TOTAL'!Y40</f>
        <v>0</v>
      </c>
      <c r="U38" s="24">
        <f>'RESUMEN TOTAL'!Z40</f>
        <v>0</v>
      </c>
      <c r="V38" s="24">
        <f>'RESUMEN TOTAL'!AA40</f>
        <v>0</v>
      </c>
      <c r="W38" s="24">
        <f>'RESUMEN TOTAL'!AB40</f>
        <v>0</v>
      </c>
      <c r="X38" s="24">
        <f>'RESUMEN TOTAL'!AC40</f>
        <v>0</v>
      </c>
      <c r="Y38" s="24">
        <f>'RESUMEN TOTAL'!AD40</f>
        <v>0</v>
      </c>
      <c r="Z38" s="24">
        <f>'RESUMEN TOTAL'!AE40</f>
        <v>0</v>
      </c>
      <c r="AA38" s="24">
        <f>'RESUMEN TOTAL'!AF40</f>
        <v>0</v>
      </c>
      <c r="AB38" s="24">
        <f>'RESUMEN TOTAL'!AG40</f>
        <v>0</v>
      </c>
      <c r="AC38" s="24">
        <f>'RESUMEN TOTAL'!AH40</f>
        <v>0</v>
      </c>
      <c r="AD38" s="24">
        <f>'RESUMEN TOTAL'!AI40</f>
        <v>0</v>
      </c>
      <c r="AE38" s="24">
        <f>'RESUMEN TOTAL'!AJ40</f>
        <v>0</v>
      </c>
      <c r="AF38" s="24">
        <f>'RESUMEN TOTAL'!AK40</f>
        <v>0</v>
      </c>
      <c r="AG38" s="24">
        <f>'RESUMEN TOTAL'!AL40</f>
        <v>0</v>
      </c>
      <c r="AH38" s="24">
        <f>'RESUMEN TOTAL'!AM40</f>
        <v>0</v>
      </c>
      <c r="AI38" s="24">
        <f>'RESUMEN TOTAL'!AN40</f>
        <v>0</v>
      </c>
    </row>
    <row r="39" spans="1:35" x14ac:dyDescent="0.25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25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>
        <f>'RESUMEN TOTAL'!K42</f>
        <v>0</v>
      </c>
      <c r="G40" s="24">
        <f>'RESUMEN TOTAL'!L42</f>
        <v>0</v>
      </c>
      <c r="H40" s="24">
        <f>'RESUMEN TOTAL'!M42</f>
        <v>0</v>
      </c>
      <c r="I40" s="24">
        <f>'RESUMEN TOTAL'!N42</f>
        <v>0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25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>
        <f>'RESUMEN TOTAL'!M43</f>
        <v>0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25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25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>
        <f>'RESUMEN TOTAL'!M45</f>
        <v>0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25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>
        <f>'RESUMEN TOTAL'!L46</f>
        <v>0</v>
      </c>
      <c r="H44" s="24">
        <f>'RESUMEN TOTAL'!M46</f>
        <v>0</v>
      </c>
      <c r="I44" s="24">
        <f>'RESUMEN TOTAL'!N46</f>
        <v>0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25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>
        <f>'RESUMEN TOTAL'!M47</f>
        <v>0</v>
      </c>
      <c r="I45" s="24">
        <f>'RESUMEN TOTAL'!N47</f>
        <v>0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25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 t="str">
        <f>'RESUMEN TOTAL'!K48</f>
        <v>APAGADO</v>
      </c>
      <c r="G46" s="24" t="str">
        <f>'RESUMEN TOTAL'!L48</f>
        <v>APAGADO</v>
      </c>
      <c r="H46" s="24">
        <f>'RESUMEN TOTAL'!M48</f>
        <v>0</v>
      </c>
      <c r="I46" s="24">
        <f>'RESUMEN TOTAL'!N48</f>
        <v>0</v>
      </c>
      <c r="J46" s="24">
        <f>'RESUMEN TOTAL'!O48</f>
        <v>0</v>
      </c>
      <c r="K46" s="24">
        <f>'RESUMEN TOTAL'!P48</f>
        <v>0</v>
      </c>
      <c r="L46" s="24">
        <f>'RESUMEN TOTAL'!Q48</f>
        <v>0</v>
      </c>
      <c r="M46" s="24">
        <f>'RESUMEN TOTAL'!R48</f>
        <v>0</v>
      </c>
      <c r="N46" s="24">
        <f>'RESUMEN TOTAL'!S48</f>
        <v>0</v>
      </c>
      <c r="O46" s="24">
        <f>'RESUMEN TOTAL'!T48</f>
        <v>0</v>
      </c>
      <c r="P46" s="24">
        <f>'RESUMEN TOTAL'!U48</f>
        <v>0</v>
      </c>
      <c r="Q46" s="24">
        <f>'RESUMEN TOTAL'!V48</f>
        <v>0</v>
      </c>
      <c r="R46" s="24">
        <f>'RESUMEN TOTAL'!W48</f>
        <v>0</v>
      </c>
      <c r="S46" s="24">
        <f>'RESUMEN TOTAL'!X48</f>
        <v>0</v>
      </c>
      <c r="T46" s="24">
        <f>'RESUMEN TOTAL'!Y48</f>
        <v>0</v>
      </c>
      <c r="U46" s="24">
        <f>'RESUMEN TOTAL'!Z48</f>
        <v>0</v>
      </c>
      <c r="V46" s="24">
        <f>'RESUMEN TOTAL'!AA48</f>
        <v>0</v>
      </c>
      <c r="W46" s="24">
        <f>'RESUMEN TOTAL'!AB48</f>
        <v>0</v>
      </c>
      <c r="X46" s="24">
        <f>'RESUMEN TOTAL'!AC48</f>
        <v>0</v>
      </c>
      <c r="Y46" s="24">
        <f>'RESUMEN TOTAL'!AD48</f>
        <v>0</v>
      </c>
      <c r="Z46" s="24">
        <f>'RESUMEN TOTAL'!AE48</f>
        <v>0</v>
      </c>
      <c r="AA46" s="24">
        <f>'RESUMEN TOTAL'!AF48</f>
        <v>0</v>
      </c>
      <c r="AB46" s="24">
        <f>'RESUMEN TOTAL'!AG48</f>
        <v>0</v>
      </c>
      <c r="AC46" s="24">
        <f>'RESUMEN TOTAL'!AH48</f>
        <v>0</v>
      </c>
      <c r="AD46" s="24">
        <f>'RESUMEN TOTAL'!AI48</f>
        <v>0</v>
      </c>
      <c r="AE46" s="24">
        <f>'RESUMEN TOTAL'!AJ48</f>
        <v>0</v>
      </c>
      <c r="AF46" s="24">
        <f>'RESUMEN TOTAL'!AK48</f>
        <v>0</v>
      </c>
      <c r="AG46" s="24">
        <f>'RESUMEN TOTAL'!AL48</f>
        <v>0</v>
      </c>
      <c r="AH46" s="24">
        <f>'RESUMEN TOTAL'!AM48</f>
        <v>0</v>
      </c>
      <c r="AI46" s="24">
        <f>'RESUMEN TOTAL'!AN48</f>
        <v>0</v>
      </c>
    </row>
    <row r="47" spans="1:35" x14ac:dyDescent="0.25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 t="str">
        <f>'RESUMEN TOTAL'!K49</f>
        <v>APAGADO</v>
      </c>
      <c r="G47" s="24" t="str">
        <f>'RESUMEN TOTAL'!L49</f>
        <v>APAGADO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>
        <f>'RESUMEN TOTAL'!AB49</f>
        <v>0</v>
      </c>
      <c r="X47" s="24">
        <f>'RESUMEN TOTAL'!AC49</f>
        <v>0</v>
      </c>
      <c r="Y47" s="24">
        <f>'RESUMEN TOTAL'!AD49</f>
        <v>0</v>
      </c>
      <c r="Z47" s="24">
        <f>'RESUMEN TOTAL'!AE49</f>
        <v>0</v>
      </c>
      <c r="AA47" s="24">
        <f>'RESUMEN TOTAL'!AF49</f>
        <v>0</v>
      </c>
      <c r="AB47" s="24">
        <f>'RESUMEN TOTAL'!AG49</f>
        <v>0</v>
      </c>
      <c r="AC47" s="24">
        <f>'RESUMEN TOTAL'!AH49</f>
        <v>0</v>
      </c>
      <c r="AD47" s="24">
        <f>'RESUMEN TOTAL'!AI49</f>
        <v>0</v>
      </c>
      <c r="AE47" s="24">
        <f>'RESUMEN TOTAL'!AJ49</f>
        <v>0</v>
      </c>
      <c r="AF47" s="24">
        <f>'RESUMEN TOTAL'!AK49</f>
        <v>0</v>
      </c>
      <c r="AG47" s="24">
        <f>'RESUMEN TOTAL'!AL49</f>
        <v>0</v>
      </c>
      <c r="AH47" s="24">
        <f>'RESUMEN TOTAL'!AM49</f>
        <v>0</v>
      </c>
      <c r="AI47" s="24">
        <f>'RESUMEN TOTAL'!AN49</f>
        <v>0</v>
      </c>
    </row>
    <row r="48" spans="1:35" x14ac:dyDescent="0.25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>
        <f>'RESUMEN TOTAL'!M50</f>
        <v>0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25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 t="str">
        <f>'RESUMEN TOTAL'!K51</f>
        <v>APAGADO</v>
      </c>
      <c r="G49" s="24" t="str">
        <f>'RESUMEN TOTAL'!L51</f>
        <v>APAGADO</v>
      </c>
      <c r="H49" s="24">
        <f>'RESUMEN TOTAL'!M51</f>
        <v>0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>
        <f>'RESUMEN TOTAL'!AB51</f>
        <v>0</v>
      </c>
      <c r="X49" s="24">
        <f>'RESUMEN TOTAL'!AC51</f>
        <v>0</v>
      </c>
      <c r="Y49" s="24">
        <f>'RESUMEN TOTAL'!AD51</f>
        <v>0</v>
      </c>
      <c r="Z49" s="24">
        <f>'RESUMEN TOTAL'!AE51</f>
        <v>0</v>
      </c>
      <c r="AA49" s="24">
        <f>'RESUMEN TOTAL'!AF51</f>
        <v>0</v>
      </c>
      <c r="AB49" s="24">
        <f>'RESUMEN TOTAL'!AG51</f>
        <v>0</v>
      </c>
      <c r="AC49" s="24">
        <f>'RESUMEN TOTAL'!AH51</f>
        <v>0</v>
      </c>
      <c r="AD49" s="24">
        <f>'RESUMEN TOTAL'!AI51</f>
        <v>0</v>
      </c>
      <c r="AE49" s="24">
        <f>'RESUMEN TOTAL'!AJ51</f>
        <v>0</v>
      </c>
      <c r="AF49" s="24">
        <f>'RESUMEN TOTAL'!AK51</f>
        <v>0</v>
      </c>
      <c r="AG49" s="24">
        <f>'RESUMEN TOTAL'!AL51</f>
        <v>0</v>
      </c>
      <c r="AH49" s="24">
        <f>'RESUMEN TOTAL'!AM51</f>
        <v>0</v>
      </c>
      <c r="AI49" s="24">
        <f>'RESUMEN TOTAL'!AN51</f>
        <v>0</v>
      </c>
    </row>
    <row r="50" spans="1:35" x14ac:dyDescent="0.25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>
        <f>'RESUMEN TOTAL'!M52</f>
        <v>0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25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>
        <f>'RESUMEN TOTAL'!M53</f>
        <v>0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25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 t="str">
        <f>'RESUMEN TOTAL'!K54</f>
        <v>APAGADO</v>
      </c>
      <c r="G52" s="24" t="str">
        <f>'RESUMEN TOTAL'!L54</f>
        <v>APAGADO</v>
      </c>
      <c r="H52" s="24">
        <f>'RESUMEN TOTAL'!M54</f>
        <v>0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>
        <f>'RESUMEN TOTAL'!AB54</f>
        <v>0</v>
      </c>
      <c r="X52" s="24">
        <f>'RESUMEN TOTAL'!AC54</f>
        <v>0</v>
      </c>
      <c r="Y52" s="24">
        <f>'RESUMEN TOTAL'!AD54</f>
        <v>0</v>
      </c>
      <c r="Z52" s="24">
        <f>'RESUMEN TOTAL'!AE54</f>
        <v>0</v>
      </c>
      <c r="AA52" s="24">
        <f>'RESUMEN TOTAL'!AF54</f>
        <v>0</v>
      </c>
      <c r="AB52" s="24">
        <f>'RESUMEN TOTAL'!AG54</f>
        <v>0</v>
      </c>
      <c r="AC52" s="24">
        <f>'RESUMEN TOTAL'!AH54</f>
        <v>0</v>
      </c>
      <c r="AD52" s="24">
        <f>'RESUMEN TOTAL'!AI54</f>
        <v>0</v>
      </c>
      <c r="AE52" s="24">
        <f>'RESUMEN TOTAL'!AJ54</f>
        <v>0</v>
      </c>
      <c r="AF52" s="24">
        <f>'RESUMEN TOTAL'!AK54</f>
        <v>0</v>
      </c>
      <c r="AG52" s="24">
        <f>'RESUMEN TOTAL'!AL54</f>
        <v>0</v>
      </c>
      <c r="AH52" s="24">
        <f>'RESUMEN TOTAL'!AM54</f>
        <v>0</v>
      </c>
      <c r="AI52" s="24">
        <f>'RESUMEN TOTAL'!AN54</f>
        <v>0</v>
      </c>
    </row>
    <row r="53" spans="1:35" x14ac:dyDescent="0.25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>
        <f>'RESUMEN TOTAL'!M55</f>
        <v>0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25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 t="str">
        <f>'RESUMEN TOTAL'!K56</f>
        <v>APAGADO</v>
      </c>
      <c r="G54" s="24" t="str">
        <f>'RESUMEN TOTAL'!L56</f>
        <v>APAGADO</v>
      </c>
      <c r="H54" s="24">
        <f>'RESUMEN TOTAL'!M56</f>
        <v>0</v>
      </c>
      <c r="I54" s="24">
        <f>'RESUMEN TOTAL'!N56</f>
        <v>0</v>
      </c>
      <c r="J54" s="24">
        <f>'RESUMEN TOTAL'!O56</f>
        <v>0</v>
      </c>
      <c r="K54" s="24">
        <f>'RESUMEN TOTAL'!P56</f>
        <v>0</v>
      </c>
      <c r="L54" s="24">
        <f>'RESUMEN TOTAL'!Q56</f>
        <v>0</v>
      </c>
      <c r="M54" s="24">
        <f>'RESUMEN TOTAL'!R56</f>
        <v>0</v>
      </c>
      <c r="N54" s="24">
        <f>'RESUMEN TOTAL'!S56</f>
        <v>0</v>
      </c>
      <c r="O54" s="24">
        <f>'RESUMEN TOTAL'!T56</f>
        <v>0</v>
      </c>
      <c r="P54" s="24">
        <f>'RESUMEN TOTAL'!U56</f>
        <v>0</v>
      </c>
      <c r="Q54" s="24">
        <f>'RESUMEN TOTAL'!V56</f>
        <v>0</v>
      </c>
      <c r="R54" s="24">
        <f>'RESUMEN TOTAL'!W56</f>
        <v>0</v>
      </c>
      <c r="S54" s="24">
        <f>'RESUMEN TOTAL'!X56</f>
        <v>0</v>
      </c>
      <c r="T54" s="24">
        <f>'RESUMEN TOTAL'!Y56</f>
        <v>0</v>
      </c>
      <c r="U54" s="24">
        <f>'RESUMEN TOTAL'!Z56</f>
        <v>0</v>
      </c>
      <c r="V54" s="24">
        <f>'RESUMEN TOTAL'!AA56</f>
        <v>0</v>
      </c>
      <c r="W54" s="24">
        <f>'RESUMEN TOTAL'!AB56</f>
        <v>0</v>
      </c>
      <c r="X54" s="24">
        <f>'RESUMEN TOTAL'!AC56</f>
        <v>0</v>
      </c>
      <c r="Y54" s="24">
        <f>'RESUMEN TOTAL'!AD56</f>
        <v>0</v>
      </c>
      <c r="Z54" s="24">
        <f>'RESUMEN TOTAL'!AE56</f>
        <v>0</v>
      </c>
      <c r="AA54" s="24">
        <f>'RESUMEN TOTAL'!AF56</f>
        <v>0</v>
      </c>
      <c r="AB54" s="24">
        <f>'RESUMEN TOTAL'!AG56</f>
        <v>0</v>
      </c>
      <c r="AC54" s="24">
        <f>'RESUMEN TOTAL'!AH56</f>
        <v>0</v>
      </c>
      <c r="AD54" s="24">
        <f>'RESUMEN TOTAL'!AI56</f>
        <v>0</v>
      </c>
      <c r="AE54" s="24">
        <f>'RESUMEN TOTAL'!AJ56</f>
        <v>0</v>
      </c>
      <c r="AF54" s="24">
        <f>'RESUMEN TOTAL'!AK56</f>
        <v>0</v>
      </c>
      <c r="AG54" s="24">
        <f>'RESUMEN TOTAL'!AL56</f>
        <v>0</v>
      </c>
      <c r="AH54" s="24">
        <f>'RESUMEN TOTAL'!AM56</f>
        <v>0</v>
      </c>
      <c r="AI54" s="24">
        <f>'RESUMEN TOTAL'!AN56</f>
        <v>0</v>
      </c>
    </row>
    <row r="55" spans="1:35" x14ac:dyDescent="0.25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>
        <f>'RESUMEN TOTAL'!M57</f>
        <v>0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>
        <f>'RESUMEN TOTAL'!AK57</f>
        <v>0</v>
      </c>
      <c r="AG55" s="24">
        <f>'RESUMEN TOTAL'!AL57</f>
        <v>0</v>
      </c>
      <c r="AH55" s="24">
        <f>'RESUMEN TOTAL'!AM57</f>
        <v>0</v>
      </c>
      <c r="AI55" s="24">
        <f>'RESUMEN TOTAL'!AN57</f>
        <v>0</v>
      </c>
    </row>
    <row r="56" spans="1:35" x14ac:dyDescent="0.25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25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>
        <f>'RESUMEN TOTAL'!M59</f>
        <v>0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25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25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>
        <f>'RESUMEN TOTAL'!M61</f>
        <v>0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25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25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25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25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25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 t="str">
        <f>'RESUMEN TOTAL'!K66</f>
        <v>APAGADO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>
        <f>'RESUMEN TOTAL'!S66</f>
        <v>0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>
        <f>'RESUMEN TOTAL'!Z66</f>
        <v>0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25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25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25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 t="str">
        <f>'RESUMEN TOTAL'!K69</f>
        <v>APAGADO</v>
      </c>
      <c r="G67" s="24" t="str">
        <f>'RESUMEN TOTAL'!L69</f>
        <v>APAGADO</v>
      </c>
      <c r="H67" s="24">
        <f>'RESUMEN TOTAL'!M69</f>
        <v>0</v>
      </c>
      <c r="I67" s="24">
        <f>'RESUMEN TOTAL'!N69</f>
        <v>0</v>
      </c>
      <c r="J67" s="24">
        <f>'RESUMEN TOTAL'!O69</f>
        <v>0</v>
      </c>
      <c r="K67" s="24">
        <f>'RESUMEN TOTAL'!P69</f>
        <v>0</v>
      </c>
      <c r="L67" s="24">
        <f>'RESUMEN TOTAL'!Q69</f>
        <v>0</v>
      </c>
      <c r="M67" s="24">
        <f>'RESUMEN TOTAL'!R69</f>
        <v>0</v>
      </c>
      <c r="N67" s="24">
        <f>'RESUMEN TOTAL'!S69</f>
        <v>0</v>
      </c>
      <c r="O67" s="24">
        <f>'RESUMEN TOTAL'!T69</f>
        <v>0</v>
      </c>
      <c r="P67" s="24">
        <f>'RESUMEN TOTAL'!U69</f>
        <v>0</v>
      </c>
      <c r="Q67" s="24">
        <f>'RESUMEN TOTAL'!V69</f>
        <v>0</v>
      </c>
      <c r="R67" s="24">
        <f>'RESUMEN TOTAL'!W69</f>
        <v>0</v>
      </c>
      <c r="S67" s="24">
        <f>'RESUMEN TOTAL'!X69</f>
        <v>0</v>
      </c>
      <c r="T67" s="24">
        <f>'RESUMEN TOTAL'!Y69</f>
        <v>0</v>
      </c>
      <c r="U67" s="24">
        <f>'RESUMEN TOTAL'!Z69</f>
        <v>0</v>
      </c>
      <c r="V67" s="24">
        <f>'RESUMEN TOTAL'!AA69</f>
        <v>0</v>
      </c>
      <c r="W67" s="24">
        <f>'RESUMEN TOTAL'!AB69</f>
        <v>0</v>
      </c>
      <c r="X67" s="24">
        <f>'RESUMEN TOTAL'!AC69</f>
        <v>0</v>
      </c>
      <c r="Y67" s="24">
        <f>'RESUMEN TOTAL'!AD69</f>
        <v>0</v>
      </c>
      <c r="Z67" s="24">
        <f>'RESUMEN TOTAL'!AE69</f>
        <v>0</v>
      </c>
      <c r="AA67" s="24">
        <f>'RESUMEN TOTAL'!AF69</f>
        <v>0</v>
      </c>
      <c r="AB67" s="24">
        <f>'RESUMEN TOTAL'!AG69</f>
        <v>0</v>
      </c>
      <c r="AC67" s="24">
        <f>'RESUMEN TOTAL'!AH69</f>
        <v>0</v>
      </c>
      <c r="AD67" s="24">
        <f>'RESUMEN TOTAL'!AI69</f>
        <v>0</v>
      </c>
      <c r="AE67" s="24">
        <f>'RESUMEN TOTAL'!AJ69</f>
        <v>0</v>
      </c>
      <c r="AF67" s="24">
        <f>'RESUMEN TOTAL'!AK69</f>
        <v>0</v>
      </c>
      <c r="AG67" s="24">
        <f>'RESUMEN TOTAL'!AL69</f>
        <v>0</v>
      </c>
      <c r="AH67" s="24">
        <f>'RESUMEN TOTAL'!AM69</f>
        <v>0</v>
      </c>
      <c r="AI67" s="24">
        <f>'RESUMEN TOTAL'!AN69</f>
        <v>0</v>
      </c>
    </row>
    <row r="68" spans="1:35" x14ac:dyDescent="0.25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25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>
        <f>'RESUMEN TOTAL'!M71</f>
        <v>0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25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>
        <f>'RESUMEN TOTAL'!K72</f>
        <v>0</v>
      </c>
      <c r="G70" s="24">
        <f>'RESUMEN TOTAL'!L72</f>
        <v>0</v>
      </c>
      <c r="H70" s="24">
        <f>'RESUMEN TOTAL'!M72</f>
        <v>0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>
        <f>'RESUMEN TOTAL'!AG72</f>
        <v>0</v>
      </c>
      <c r="AC70" s="24">
        <f>'RESUMEN TOTAL'!AH72</f>
        <v>0</v>
      </c>
      <c r="AD70" s="24">
        <f>'RESUMEN TOTAL'!AI72</f>
        <v>0</v>
      </c>
      <c r="AE70" s="24">
        <f>'RESUMEN TOTAL'!AJ72</f>
        <v>0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25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25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25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 t="str">
        <f>'RESUMEN TOTAL'!K75</f>
        <v>APAGADO</v>
      </c>
      <c r="G73" s="24" t="str">
        <f>'RESUMEN TOTAL'!L75</f>
        <v>APAGADO</v>
      </c>
      <c r="H73" s="24">
        <f>'RESUMEN TOTAL'!M75</f>
        <v>0</v>
      </c>
      <c r="I73" s="24">
        <f>'RESUMEN TOTAL'!N75</f>
        <v>0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>
        <f>'RESUMEN TOTAL'!W75</f>
        <v>0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25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 t="str">
        <f>'RESUMEN TOTAL'!L76</f>
        <v>APAGADO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>
        <f>'RESUMEN TOTAL'!W76</f>
        <v>0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25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 t="str">
        <f>'RESUMEN TOTAL'!K77</f>
        <v>APAGADO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>
        <f>'RESUMEN TOTAL'!V77</f>
        <v>0</v>
      </c>
      <c r="R75" s="24">
        <f>'RESUMEN TOTAL'!W77</f>
        <v>0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>
        <f>'RESUMEN TOTAL'!AD77</f>
        <v>0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25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25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25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25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25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>
        <f>'RESUMEN TOTAL'!AK82</f>
        <v>0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25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>
        <f>'RESUMEN TOTAL'!M83</f>
        <v>0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25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25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25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25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 t="str">
        <f>'RESUMEN TOTAL'!K87</f>
        <v>APAGADO</v>
      </c>
      <c r="G85" s="24">
        <f>'RESUMEN TOTAL'!L87</f>
        <v>0</v>
      </c>
      <c r="H85" s="24">
        <f>'RESUMEN TOTAL'!M87</f>
        <v>0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>
        <f>'RESUMEN TOTAL'!S87</f>
        <v>0</v>
      </c>
      <c r="O85" s="24">
        <f>'RESUMEN TOTAL'!T87</f>
        <v>0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>
        <f>'RESUMEN TOTAL'!AF87</f>
        <v>0</v>
      </c>
      <c r="AB85" s="24">
        <f>'RESUMEN TOTAL'!AG87</f>
        <v>0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>
        <f>'RESUMEN TOTAL'!AL87</f>
        <v>0</v>
      </c>
      <c r="AH85" s="24">
        <f>'RESUMEN TOTAL'!AM87</f>
        <v>0</v>
      </c>
      <c r="AI85" s="24">
        <f>'RESUMEN TOTAL'!AN87</f>
        <v>0</v>
      </c>
    </row>
    <row r="86" spans="1:35" x14ac:dyDescent="0.25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 t="str">
        <f>'RESUMEN TOTAL'!K88</f>
        <v>APAGADO</v>
      </c>
      <c r="G86" s="24">
        <f>'RESUMEN TOTAL'!L88</f>
        <v>0</v>
      </c>
      <c r="H86" s="24">
        <f>'RESUMEN TOTAL'!M88</f>
        <v>0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>
        <f>'RESUMEN TOTAL'!S88</f>
        <v>0</v>
      </c>
      <c r="O86" s="24">
        <f>'RESUMEN TOTAL'!T88</f>
        <v>0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>
        <f>'RESUMEN TOTAL'!AF88</f>
        <v>0</v>
      </c>
      <c r="AB86" s="24">
        <f>'RESUMEN TOTAL'!AG88</f>
        <v>0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>
        <f>'RESUMEN TOTAL'!AL88</f>
        <v>0</v>
      </c>
      <c r="AH86" s="24">
        <f>'RESUMEN TOTAL'!AM88</f>
        <v>0</v>
      </c>
      <c r="AI86" s="24">
        <f>'RESUMEN TOTAL'!AN88</f>
        <v>0</v>
      </c>
    </row>
    <row r="87" spans="1:35" x14ac:dyDescent="0.25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25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25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25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25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25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 t="str">
        <f>'RESUMEN TOTAL'!K94</f>
        <v>APAGADO</v>
      </c>
      <c r="G92" s="24" t="str">
        <f>'RESUMEN TOTAL'!L94</f>
        <v>APAGADO</v>
      </c>
      <c r="H92" s="24">
        <f>'RESUMEN TOTAL'!M94</f>
        <v>0</v>
      </c>
      <c r="I92" s="24">
        <f>'RESUMEN TOTAL'!N94</f>
        <v>0</v>
      </c>
      <c r="J92" s="24">
        <f>'RESUMEN TOTAL'!O94</f>
        <v>0</v>
      </c>
      <c r="K92" s="24">
        <f>'RESUMEN TOTAL'!P94</f>
        <v>0</v>
      </c>
      <c r="L92" s="24">
        <f>'RESUMEN TOTAL'!Q94</f>
        <v>0</v>
      </c>
      <c r="M92" s="24">
        <f>'RESUMEN TOTAL'!R94</f>
        <v>0</v>
      </c>
      <c r="N92" s="24">
        <f>'RESUMEN TOTAL'!S94</f>
        <v>0</v>
      </c>
      <c r="O92" s="24">
        <f>'RESUMEN TOTAL'!T94</f>
        <v>0</v>
      </c>
      <c r="P92" s="24">
        <f>'RESUMEN TOTAL'!U94</f>
        <v>0</v>
      </c>
      <c r="Q92" s="24">
        <f>'RESUMEN TOTAL'!V94</f>
        <v>0</v>
      </c>
      <c r="R92" s="24">
        <f>'RESUMEN TOTAL'!W94</f>
        <v>0</v>
      </c>
      <c r="S92" s="24">
        <f>'RESUMEN TOTAL'!X94</f>
        <v>0</v>
      </c>
      <c r="T92" s="24">
        <f>'RESUMEN TOTAL'!Y94</f>
        <v>0</v>
      </c>
      <c r="U92" s="24">
        <f>'RESUMEN TOTAL'!Z94</f>
        <v>0</v>
      </c>
      <c r="V92" s="24">
        <f>'RESUMEN TOTAL'!AA94</f>
        <v>0</v>
      </c>
      <c r="W92" s="24">
        <f>'RESUMEN TOTAL'!AB94</f>
        <v>0</v>
      </c>
      <c r="X92" s="24">
        <f>'RESUMEN TOTAL'!AC94</f>
        <v>0</v>
      </c>
      <c r="Y92" s="24">
        <f>'RESUMEN TOTAL'!AD94</f>
        <v>0</v>
      </c>
      <c r="Z92" s="24">
        <f>'RESUMEN TOTAL'!AE94</f>
        <v>0</v>
      </c>
      <c r="AA92" s="24">
        <f>'RESUMEN TOTAL'!AF94</f>
        <v>0</v>
      </c>
      <c r="AB92" s="24">
        <f>'RESUMEN TOTAL'!AG94</f>
        <v>0</v>
      </c>
      <c r="AC92" s="24">
        <f>'RESUMEN TOTAL'!AH94</f>
        <v>0</v>
      </c>
      <c r="AD92" s="24">
        <f>'RESUMEN TOTAL'!AI94</f>
        <v>0</v>
      </c>
      <c r="AE92" s="24">
        <f>'RESUMEN TOTAL'!AJ94</f>
        <v>0</v>
      </c>
      <c r="AF92" s="24">
        <f>'RESUMEN TOTAL'!AK94</f>
        <v>0</v>
      </c>
      <c r="AG92" s="24">
        <f>'RESUMEN TOTAL'!AL94</f>
        <v>0</v>
      </c>
      <c r="AH92" s="24">
        <f>'RESUMEN TOTAL'!AM94</f>
        <v>0</v>
      </c>
      <c r="AI92" s="24">
        <f>'RESUMEN TOTAL'!AN94</f>
        <v>0</v>
      </c>
    </row>
    <row r="93" spans="1:35" x14ac:dyDescent="0.25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>
        <f>'RESUMEN TOTAL'!M95</f>
        <v>0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25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25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25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 t="str">
        <f>'RESUMEN TOTAL'!K98</f>
        <v>APAGADO</v>
      </c>
      <c r="G96" s="24" t="str">
        <f>'RESUMEN TOTAL'!L98</f>
        <v>APAGADO</v>
      </c>
      <c r="H96" s="24">
        <f>'RESUMEN TOTAL'!M98</f>
        <v>0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>
        <f>'RESUMEN TOTAL'!AB98</f>
        <v>0</v>
      </c>
      <c r="X96" s="24">
        <f>'RESUMEN TOTAL'!AC98</f>
        <v>0</v>
      </c>
      <c r="Y96" s="24">
        <f>'RESUMEN TOTAL'!AD98</f>
        <v>0</v>
      </c>
      <c r="Z96" s="24">
        <f>'RESUMEN TOTAL'!AE98</f>
        <v>0</v>
      </c>
      <c r="AA96" s="24">
        <f>'RESUMEN TOTAL'!AF98</f>
        <v>0</v>
      </c>
      <c r="AB96" s="24">
        <f>'RESUMEN TOTAL'!AG98</f>
        <v>0</v>
      </c>
      <c r="AC96" s="24">
        <f>'RESUMEN TOTAL'!AH98</f>
        <v>0</v>
      </c>
      <c r="AD96" s="24">
        <f>'RESUMEN TOTAL'!AI98</f>
        <v>0</v>
      </c>
      <c r="AE96" s="24">
        <f>'RESUMEN TOTAL'!AJ98</f>
        <v>0</v>
      </c>
      <c r="AF96" s="24">
        <f>'RESUMEN TOTAL'!AK98</f>
        <v>0</v>
      </c>
      <c r="AG96" s="24">
        <f>'RESUMEN TOTAL'!AL98</f>
        <v>0</v>
      </c>
      <c r="AH96" s="24">
        <f>'RESUMEN TOTAL'!AM98</f>
        <v>0</v>
      </c>
      <c r="AI96" s="24">
        <f>'RESUMEN TOTAL'!AN98</f>
        <v>0</v>
      </c>
    </row>
    <row r="97" spans="1:35" x14ac:dyDescent="0.25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>
        <f>'RESUMEN TOTAL'!M99</f>
        <v>0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25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25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 t="str">
        <f>'RESUMEN TOTAL'!K101</f>
        <v>APAGADO</v>
      </c>
      <c r="G99" s="24" t="str">
        <f>'RESUMEN TOTAL'!L101</f>
        <v>APAGADO</v>
      </c>
      <c r="H99" s="24">
        <f>'RESUMEN TOTAL'!M101</f>
        <v>0</v>
      </c>
      <c r="I99" s="24">
        <f>'RESUMEN TOTAL'!N101</f>
        <v>0</v>
      </c>
      <c r="J99" s="24">
        <f>'RESUMEN TOTAL'!O101</f>
        <v>0</v>
      </c>
      <c r="K99" s="24">
        <f>'RESUMEN TOTAL'!P101</f>
        <v>0</v>
      </c>
      <c r="L99" s="24">
        <f>'RESUMEN TOTAL'!Q101</f>
        <v>0</v>
      </c>
      <c r="M99" s="24">
        <f>'RESUMEN TOTAL'!R101</f>
        <v>0</v>
      </c>
      <c r="N99" s="24">
        <f>'RESUMEN TOTAL'!S101</f>
        <v>0</v>
      </c>
      <c r="O99" s="24">
        <f>'RESUMEN TOTAL'!T101</f>
        <v>0</v>
      </c>
      <c r="P99" s="24">
        <f>'RESUMEN TOTAL'!U101</f>
        <v>0</v>
      </c>
      <c r="Q99" s="24">
        <f>'RESUMEN TOTAL'!V101</f>
        <v>0</v>
      </c>
      <c r="R99" s="24">
        <f>'RESUMEN TOTAL'!W101</f>
        <v>0</v>
      </c>
      <c r="S99" s="24">
        <f>'RESUMEN TOTAL'!X101</f>
        <v>0</v>
      </c>
      <c r="T99" s="24">
        <f>'RESUMEN TOTAL'!Y101</f>
        <v>0</v>
      </c>
      <c r="U99" s="24">
        <f>'RESUMEN TOTAL'!Z101</f>
        <v>0</v>
      </c>
      <c r="V99" s="24">
        <f>'RESUMEN TOTAL'!AA101</f>
        <v>0</v>
      </c>
      <c r="W99" s="24">
        <f>'RESUMEN TOTAL'!AB101</f>
        <v>0</v>
      </c>
      <c r="X99" s="24">
        <f>'RESUMEN TOTAL'!AC101</f>
        <v>0</v>
      </c>
      <c r="Y99" s="24">
        <f>'RESUMEN TOTAL'!AD101</f>
        <v>0</v>
      </c>
      <c r="Z99" s="24">
        <f>'RESUMEN TOTAL'!AE101</f>
        <v>0</v>
      </c>
      <c r="AA99" s="24">
        <f>'RESUMEN TOTAL'!AF101</f>
        <v>0</v>
      </c>
      <c r="AB99" s="24">
        <f>'RESUMEN TOTAL'!AG101</f>
        <v>0</v>
      </c>
      <c r="AC99" s="24">
        <f>'RESUMEN TOTAL'!AH101</f>
        <v>0</v>
      </c>
      <c r="AD99" s="24">
        <f>'RESUMEN TOTAL'!AI101</f>
        <v>0</v>
      </c>
      <c r="AE99" s="24">
        <f>'RESUMEN TOTAL'!AJ101</f>
        <v>0</v>
      </c>
      <c r="AF99" s="24">
        <f>'RESUMEN TOTAL'!AK101</f>
        <v>0</v>
      </c>
      <c r="AG99" s="24">
        <f>'RESUMEN TOTAL'!AL101</f>
        <v>0</v>
      </c>
      <c r="AH99" s="24">
        <f>'RESUMEN TOTAL'!AM101</f>
        <v>0</v>
      </c>
      <c r="AI99" s="24">
        <f>'RESUMEN TOTAL'!AN101</f>
        <v>0</v>
      </c>
    </row>
    <row r="100" spans="1:35" x14ac:dyDescent="0.25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 t="str">
        <f>'RESUMEN TOTAL'!K102</f>
        <v>APAGADO</v>
      </c>
      <c r="G100" s="24" t="str">
        <f>'RESUMEN TOTAL'!L102</f>
        <v>APAGADO</v>
      </c>
      <c r="H100" s="24">
        <f>'RESUMEN TOTAL'!M102</f>
        <v>0</v>
      </c>
      <c r="I100" s="24">
        <f>'RESUMEN TOTAL'!N102</f>
        <v>0</v>
      </c>
      <c r="J100" s="24">
        <f>'RESUMEN TOTAL'!O102</f>
        <v>0</v>
      </c>
      <c r="K100" s="24">
        <f>'RESUMEN TOTAL'!P102</f>
        <v>0</v>
      </c>
      <c r="L100" s="24">
        <f>'RESUMEN TOTAL'!Q102</f>
        <v>0</v>
      </c>
      <c r="M100" s="24">
        <f>'RESUMEN TOTAL'!R102</f>
        <v>0</v>
      </c>
      <c r="N100" s="24">
        <f>'RESUMEN TOTAL'!S102</f>
        <v>0</v>
      </c>
      <c r="O100" s="24">
        <f>'RESUMEN TOTAL'!T102</f>
        <v>0</v>
      </c>
      <c r="P100" s="24">
        <f>'RESUMEN TOTAL'!U102</f>
        <v>0</v>
      </c>
      <c r="Q100" s="24">
        <f>'RESUMEN TOTAL'!V102</f>
        <v>0</v>
      </c>
      <c r="R100" s="24">
        <f>'RESUMEN TOTAL'!W102</f>
        <v>0</v>
      </c>
      <c r="S100" s="24">
        <f>'RESUMEN TOTAL'!X102</f>
        <v>0</v>
      </c>
      <c r="T100" s="24">
        <f>'RESUMEN TOTAL'!Y102</f>
        <v>0</v>
      </c>
      <c r="U100" s="24">
        <f>'RESUMEN TOTAL'!Z102</f>
        <v>0</v>
      </c>
      <c r="V100" s="24">
        <f>'RESUMEN TOTAL'!AA102</f>
        <v>0</v>
      </c>
      <c r="W100" s="24">
        <f>'RESUMEN TOTAL'!AB102</f>
        <v>0</v>
      </c>
      <c r="X100" s="24">
        <f>'RESUMEN TOTAL'!AC102</f>
        <v>0</v>
      </c>
      <c r="Y100" s="24">
        <f>'RESUMEN TOTAL'!AD102</f>
        <v>0</v>
      </c>
      <c r="Z100" s="24">
        <f>'RESUMEN TOTAL'!AE102</f>
        <v>0</v>
      </c>
      <c r="AA100" s="24">
        <f>'RESUMEN TOTAL'!AF102</f>
        <v>0</v>
      </c>
      <c r="AB100" s="24">
        <f>'RESUMEN TOTAL'!AG102</f>
        <v>0</v>
      </c>
      <c r="AC100" s="24">
        <f>'RESUMEN TOTAL'!AH102</f>
        <v>0</v>
      </c>
      <c r="AD100" s="24">
        <f>'RESUMEN TOTAL'!AI102</f>
        <v>0</v>
      </c>
      <c r="AE100" s="24">
        <f>'RESUMEN TOTAL'!AJ102</f>
        <v>0</v>
      </c>
      <c r="AF100" s="24">
        <f>'RESUMEN TOTAL'!AK102</f>
        <v>0</v>
      </c>
      <c r="AG100" s="24">
        <f>'RESUMEN TOTAL'!AL102</f>
        <v>0</v>
      </c>
      <c r="AH100" s="24">
        <f>'RESUMEN TOTAL'!AM102</f>
        <v>0</v>
      </c>
      <c r="AI100" s="24">
        <f>'RESUMEN TOTAL'!AN102</f>
        <v>0</v>
      </c>
    </row>
    <row r="101" spans="1:35" x14ac:dyDescent="0.25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>
        <f>'RESUMEN TOTAL'!K103</f>
        <v>0</v>
      </c>
      <c r="G101" s="24">
        <f>'RESUMEN TOTAL'!L103</f>
        <v>0</v>
      </c>
      <c r="H101" s="24">
        <f>'RESUMEN TOTAL'!M103</f>
        <v>0</v>
      </c>
      <c r="I101" s="24">
        <f>'RESUMEN TOTAL'!N103</f>
        <v>0</v>
      </c>
      <c r="J101" s="24">
        <f>'RESUMEN TOTAL'!O103</f>
        <v>0</v>
      </c>
      <c r="K101" s="24">
        <f>'RESUMEN TOTAL'!P103</f>
        <v>0</v>
      </c>
      <c r="L101" s="24">
        <f>'RESUMEN TOTAL'!Q103</f>
        <v>0</v>
      </c>
      <c r="M101" s="24">
        <f>'RESUMEN TOTAL'!R103</f>
        <v>0</v>
      </c>
      <c r="N101" s="24">
        <f>'RESUMEN TOTAL'!S103</f>
        <v>0</v>
      </c>
      <c r="O101" s="24">
        <f>'RESUMEN TOTAL'!T103</f>
        <v>0</v>
      </c>
      <c r="P101" s="24">
        <f>'RESUMEN TOTAL'!U103</f>
        <v>0</v>
      </c>
      <c r="Q101" s="24">
        <f>'RESUMEN TOTAL'!V103</f>
        <v>0</v>
      </c>
      <c r="R101" s="24">
        <f>'RESUMEN TOTAL'!W103</f>
        <v>0</v>
      </c>
      <c r="S101" s="24">
        <f>'RESUMEN TOTAL'!X103</f>
        <v>0</v>
      </c>
      <c r="T101" s="24">
        <f>'RESUMEN TOTAL'!Y103</f>
        <v>0</v>
      </c>
      <c r="U101" s="24">
        <f>'RESUMEN TOTAL'!Z103</f>
        <v>0</v>
      </c>
      <c r="V101" s="24">
        <f>'RESUMEN TOTAL'!AA103</f>
        <v>0</v>
      </c>
      <c r="W101" s="24">
        <f>'RESUMEN TOTAL'!AB103</f>
        <v>0</v>
      </c>
      <c r="X101" s="24">
        <f>'RESUMEN TOTAL'!AC103</f>
        <v>0</v>
      </c>
      <c r="Y101" s="24">
        <f>'RESUMEN TOTAL'!AD103</f>
        <v>0</v>
      </c>
      <c r="Z101" s="24">
        <f>'RESUMEN TOTAL'!AE103</f>
        <v>0</v>
      </c>
      <c r="AA101" s="24">
        <f>'RESUMEN TOTAL'!AF103</f>
        <v>0</v>
      </c>
      <c r="AB101" s="24">
        <f>'RESUMEN TOTAL'!AG103</f>
        <v>0</v>
      </c>
      <c r="AC101" s="24">
        <f>'RESUMEN TOTAL'!AH103</f>
        <v>0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25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25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>
        <f>'RESUMEN TOTAL'!M105</f>
        <v>0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25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>
        <f>'RESUMEN TOTAL'!M106</f>
        <v>0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25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>
        <f>'RESUMEN TOTAL'!K107</f>
        <v>0</v>
      </c>
      <c r="G105" s="24">
        <f>'RESUMEN TOTAL'!L107</f>
        <v>0</v>
      </c>
      <c r="H105" s="24">
        <f>'RESUMEN TOTAL'!M107</f>
        <v>0</v>
      </c>
      <c r="I105" s="24">
        <f>'RESUMEN TOTAL'!N107</f>
        <v>0</v>
      </c>
      <c r="J105" s="24">
        <f>'RESUMEN TOTAL'!O107</f>
        <v>0</v>
      </c>
      <c r="K105" s="24">
        <f>'RESUMEN TOTAL'!P107</f>
        <v>0</v>
      </c>
      <c r="L105" s="24">
        <f>'RESUMEN TOTAL'!Q107</f>
        <v>0</v>
      </c>
      <c r="M105" s="24">
        <f>'RESUMEN TOTAL'!R107</f>
        <v>0</v>
      </c>
      <c r="N105" s="24">
        <f>'RESUMEN TOTAL'!S107</f>
        <v>0</v>
      </c>
      <c r="O105" s="24">
        <f>'RESUMEN TOTAL'!T107</f>
        <v>0</v>
      </c>
      <c r="P105" s="24">
        <f>'RESUMEN TOTAL'!U107</f>
        <v>0</v>
      </c>
      <c r="Q105" s="24">
        <f>'RESUMEN TOTAL'!V107</f>
        <v>0</v>
      </c>
      <c r="R105" s="24">
        <f>'RESUMEN TOTAL'!W107</f>
        <v>0</v>
      </c>
      <c r="S105" s="24">
        <f>'RESUMEN TOTAL'!X107</f>
        <v>0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25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25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25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>
        <f>'RESUMEN TOTAL'!M110</f>
        <v>0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25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>
        <f>'RESUMEN TOTAL'!AC111</f>
        <v>0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25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25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25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>
        <f>'RESUMEN TOTAL'!M114</f>
        <v>0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25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>
        <f>'RESUMEN TOTAL'!M115</f>
        <v>0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25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25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25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25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25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25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25">
      <c r="A120" s="44" t="str">
        <f>'RESUMEN TOTAL'!A129</f>
        <v>LA ESMERALDA</v>
      </c>
      <c r="B120" s="44" t="str">
        <f>'RESUMEN TOTAL'!B129</f>
        <v>ESM 08</v>
      </c>
      <c r="C120" s="44" t="str">
        <f>'RESUMEN TOTAL'!D129</f>
        <v>DAVINSON Y MORANCHEL</v>
      </c>
      <c r="D120" s="44" t="str">
        <f>'RESUMEN TOTAL'!E129</f>
        <v>FIJA</v>
      </c>
      <c r="E120" s="44" t="str">
        <f>'RESUMEN TOTAL'!F129</f>
        <v>Radio</v>
      </c>
      <c r="F120" s="24">
        <f>'RESUMEN TOTAL'!K129</f>
        <v>0</v>
      </c>
      <c r="G120" s="24">
        <f>'RESUMEN TOTAL'!L129</f>
        <v>0</v>
      </c>
      <c r="H120" s="24">
        <f>'RESUMEN TOTAL'!M129</f>
        <v>0</v>
      </c>
      <c r="I120" s="24">
        <f>'RESUMEN TOTAL'!N129</f>
        <v>0</v>
      </c>
      <c r="J120" s="24">
        <f>'RESUMEN TOTAL'!O129</f>
        <v>0</v>
      </c>
      <c r="K120" s="24">
        <f>'RESUMEN TOTAL'!P129</f>
        <v>0</v>
      </c>
      <c r="L120" s="24">
        <f>'RESUMEN TOTAL'!Q129</f>
        <v>0</v>
      </c>
      <c r="M120" s="24">
        <f>'RESUMEN TOTAL'!R129</f>
        <v>0</v>
      </c>
      <c r="N120" s="24">
        <f>'RESUMEN TOTAL'!S129</f>
        <v>0</v>
      </c>
      <c r="O120" s="24">
        <f>'RESUMEN TOTAL'!T129</f>
        <v>0</v>
      </c>
      <c r="P120" s="24">
        <f>'RESUMEN TOTAL'!U129</f>
        <v>0</v>
      </c>
      <c r="Q120" s="24">
        <f>'RESUMEN TOTAL'!V129</f>
        <v>0</v>
      </c>
      <c r="R120" s="24">
        <f>'RESUMEN TOTAL'!W129</f>
        <v>0</v>
      </c>
      <c r="S120" s="24">
        <f>'RESUMEN TOTAL'!X129</f>
        <v>0</v>
      </c>
      <c r="T120" s="24">
        <f>'RESUMEN TOTAL'!Y129</f>
        <v>0</v>
      </c>
      <c r="U120" s="24">
        <f>'RESUMEN TOTAL'!Z129</f>
        <v>0</v>
      </c>
      <c r="V120" s="24">
        <f>'RESUMEN TOTAL'!AA129</f>
        <v>0</v>
      </c>
      <c r="W120" s="24">
        <f>'RESUMEN TOTAL'!AB129</f>
        <v>0</v>
      </c>
      <c r="X120" s="24">
        <f>'RESUMEN TOTAL'!AC129</f>
        <v>0</v>
      </c>
      <c r="Y120" s="24">
        <f>'RESUMEN TOTAL'!AD129</f>
        <v>0</v>
      </c>
      <c r="Z120" s="24">
        <f>'RESUMEN TOTAL'!AE129</f>
        <v>0</v>
      </c>
      <c r="AA120" s="24">
        <f>'RESUMEN TOTAL'!AF129</f>
        <v>0</v>
      </c>
      <c r="AB120" s="24">
        <f>'RESUMEN TOTAL'!AG129</f>
        <v>0</v>
      </c>
      <c r="AC120" s="24">
        <f>'RESUMEN TOTAL'!AH129</f>
        <v>0</v>
      </c>
      <c r="AD120" s="24">
        <f>'RESUMEN TOTAL'!AI129</f>
        <v>0</v>
      </c>
      <c r="AE120" s="24">
        <f>'RESUMEN TOTAL'!AJ129</f>
        <v>0</v>
      </c>
      <c r="AF120" s="24">
        <f>'RESUMEN TOTAL'!AK129</f>
        <v>0</v>
      </c>
      <c r="AG120" s="24">
        <f>'RESUMEN TOTAL'!AL129</f>
        <v>0</v>
      </c>
      <c r="AH120" s="24">
        <f>'RESUMEN TOTAL'!AM129</f>
        <v>0</v>
      </c>
      <c r="AI120" s="24">
        <f>'RESUMEN TOTAL'!AN129</f>
        <v>0</v>
      </c>
    </row>
    <row r="121" spans="1:35" x14ac:dyDescent="0.25">
      <c r="A121" s="44" t="str">
        <f>'RESUMEN TOTAL'!A122</f>
        <v>LA ESMERALDA</v>
      </c>
      <c r="B121" s="44" t="str">
        <f>'RESUMEN TOTAL'!B122</f>
        <v>ESM01</v>
      </c>
      <c r="C121" s="44" t="str">
        <f>'RESUMEN TOTAL'!D122</f>
        <v>Cabello y Brasil</v>
      </c>
      <c r="D121" s="44" t="str">
        <f>'RESUMEN TOTAL'!E122</f>
        <v>Domo</v>
      </c>
      <c r="E121" s="44" t="str">
        <f>'RESUMEN TOTAL'!F122</f>
        <v>Radio</v>
      </c>
      <c r="F121" s="24">
        <f>'RESUMEN TOTAL'!K122</f>
        <v>0</v>
      </c>
      <c r="G121" s="24">
        <f>'RESUMEN TOTAL'!L122</f>
        <v>0</v>
      </c>
      <c r="H121" s="24">
        <f>'RESUMEN TOTAL'!M122</f>
        <v>0</v>
      </c>
      <c r="I121" s="24">
        <f>'RESUMEN TOTAL'!N122</f>
        <v>0</v>
      </c>
      <c r="J121" s="24">
        <f>'RESUMEN TOTAL'!O122</f>
        <v>0</v>
      </c>
      <c r="K121" s="24">
        <f>'RESUMEN TOTAL'!P122</f>
        <v>0</v>
      </c>
      <c r="L121" s="24">
        <f>'RESUMEN TOTAL'!Q122</f>
        <v>0</v>
      </c>
      <c r="M121" s="24">
        <f>'RESUMEN TOTAL'!R122</f>
        <v>0</v>
      </c>
      <c r="N121" s="24">
        <f>'RESUMEN TOTAL'!S122</f>
        <v>0</v>
      </c>
      <c r="O121" s="24">
        <f>'RESUMEN TOTAL'!T122</f>
        <v>0</v>
      </c>
      <c r="P121" s="24">
        <f>'RESUMEN TOTAL'!U122</f>
        <v>0</v>
      </c>
      <c r="Q121" s="24">
        <f>'RESUMEN TOTAL'!V122</f>
        <v>0</v>
      </c>
      <c r="R121" s="24">
        <f>'RESUMEN TOTAL'!W122</f>
        <v>0</v>
      </c>
      <c r="S121" s="24">
        <f>'RESUMEN TOTAL'!X122</f>
        <v>0</v>
      </c>
      <c r="T121" s="24">
        <f>'RESUMEN TOTAL'!Y122</f>
        <v>0</v>
      </c>
      <c r="U121" s="24">
        <f>'RESUMEN TOTAL'!Z122</f>
        <v>0</v>
      </c>
      <c r="V121" s="24">
        <f>'RESUMEN TOTAL'!AA122</f>
        <v>0</v>
      </c>
      <c r="W121" s="24">
        <f>'RESUMEN TOTAL'!AB122</f>
        <v>0</v>
      </c>
      <c r="X121" s="24">
        <f>'RESUMEN TOTAL'!AC122</f>
        <v>0</v>
      </c>
      <c r="Y121" s="24">
        <f>'RESUMEN TOTAL'!AD122</f>
        <v>0</v>
      </c>
      <c r="Z121" s="24">
        <f>'RESUMEN TOTAL'!AE122</f>
        <v>0</v>
      </c>
      <c r="AA121" s="24">
        <f>'RESUMEN TOTAL'!AF122</f>
        <v>0</v>
      </c>
      <c r="AB121" s="24">
        <f>'RESUMEN TOTAL'!AG122</f>
        <v>0</v>
      </c>
      <c r="AC121" s="24">
        <f>'RESUMEN TOTAL'!AH122</f>
        <v>0</v>
      </c>
      <c r="AD121" s="24">
        <f>'RESUMEN TOTAL'!AI122</f>
        <v>0</v>
      </c>
      <c r="AE121" s="24">
        <f>'RESUMEN TOTAL'!AJ122</f>
        <v>0</v>
      </c>
      <c r="AF121" s="24">
        <f>'RESUMEN TOTAL'!AK122</f>
        <v>0</v>
      </c>
      <c r="AG121" s="24">
        <f>'RESUMEN TOTAL'!AL122</f>
        <v>0</v>
      </c>
      <c r="AH121" s="24">
        <f>'RESUMEN TOTAL'!AM122</f>
        <v>0</v>
      </c>
      <c r="AI121" s="24">
        <f>'RESUMEN TOTAL'!AN122</f>
        <v>0</v>
      </c>
    </row>
    <row r="122" spans="1:35" x14ac:dyDescent="0.25">
      <c r="A122" s="44" t="str">
        <f>'RESUMEN TOTAL'!A123</f>
        <v>SAN JORGE</v>
      </c>
      <c r="B122" s="44" t="str">
        <f>'RESUMEN TOTAL'!B123</f>
        <v>ESM02</v>
      </c>
      <c r="C122" s="44" t="str">
        <f>'RESUMEN TOTAL'!D123</f>
        <v>Novak y Cabello</v>
      </c>
      <c r="D122" s="44" t="str">
        <f>'RESUMEN TOTAL'!E123</f>
        <v>Domo</v>
      </c>
      <c r="E122" s="44" t="str">
        <f>'RESUMEN TOTAL'!F123</f>
        <v>PTO A FO</v>
      </c>
      <c r="F122" s="24">
        <f>'RESUMEN TOTAL'!K123</f>
        <v>0</v>
      </c>
      <c r="G122" s="24">
        <f>'RESUMEN TOTAL'!L123</f>
        <v>0</v>
      </c>
      <c r="H122" s="24">
        <f>'RESUMEN TOTAL'!M123</f>
        <v>0</v>
      </c>
      <c r="I122" s="24">
        <f>'RESUMEN TOTAL'!N123</f>
        <v>0</v>
      </c>
      <c r="J122" s="24">
        <f>'RESUMEN TOTAL'!O123</f>
        <v>0</v>
      </c>
      <c r="K122" s="24">
        <f>'RESUMEN TOTAL'!P123</f>
        <v>0</v>
      </c>
      <c r="L122" s="24">
        <f>'RESUMEN TOTAL'!Q123</f>
        <v>0</v>
      </c>
      <c r="M122" s="24">
        <f>'RESUMEN TOTAL'!R123</f>
        <v>0</v>
      </c>
      <c r="N122" s="24">
        <f>'RESUMEN TOTAL'!S123</f>
        <v>0</v>
      </c>
      <c r="O122" s="24">
        <f>'RESUMEN TOTAL'!T123</f>
        <v>0</v>
      </c>
      <c r="P122" s="24">
        <f>'RESUMEN TOTAL'!U123</f>
        <v>0</v>
      </c>
      <c r="Q122" s="24">
        <f>'RESUMEN TOTAL'!V123</f>
        <v>0</v>
      </c>
      <c r="R122" s="24">
        <f>'RESUMEN TOTAL'!W123</f>
        <v>0</v>
      </c>
      <c r="S122" s="24">
        <f>'RESUMEN TOTAL'!X123</f>
        <v>0</v>
      </c>
      <c r="T122" s="24">
        <f>'RESUMEN TOTAL'!Y123</f>
        <v>0</v>
      </c>
      <c r="U122" s="24">
        <f>'RESUMEN TOTAL'!Z123</f>
        <v>0</v>
      </c>
      <c r="V122" s="24">
        <f>'RESUMEN TOTAL'!AA123</f>
        <v>0</v>
      </c>
      <c r="W122" s="24">
        <f>'RESUMEN TOTAL'!AB123</f>
        <v>0</v>
      </c>
      <c r="X122" s="24">
        <f>'RESUMEN TOTAL'!AC123</f>
        <v>0</v>
      </c>
      <c r="Y122" s="24">
        <f>'RESUMEN TOTAL'!AD123</f>
        <v>0</v>
      </c>
      <c r="Z122" s="24">
        <f>'RESUMEN TOTAL'!AE123</f>
        <v>0</v>
      </c>
      <c r="AA122" s="24">
        <f>'RESUMEN TOTAL'!AF123</f>
        <v>0</v>
      </c>
      <c r="AB122" s="24">
        <f>'RESUMEN TOTAL'!AG123</f>
        <v>0</v>
      </c>
      <c r="AC122" s="24">
        <f>'RESUMEN TOTAL'!AH123</f>
        <v>0</v>
      </c>
      <c r="AD122" s="24">
        <f>'RESUMEN TOTAL'!AI123</f>
        <v>0</v>
      </c>
      <c r="AE122" s="24">
        <f>'RESUMEN TOTAL'!AJ123</f>
        <v>0</v>
      </c>
      <c r="AF122" s="24">
        <f>'RESUMEN TOTAL'!AK123</f>
        <v>0</v>
      </c>
      <c r="AG122" s="24">
        <f>'RESUMEN TOTAL'!AL123</f>
        <v>0</v>
      </c>
      <c r="AH122" s="24">
        <f>'RESUMEN TOTAL'!AM123</f>
        <v>0</v>
      </c>
      <c r="AI122" s="24">
        <f>'RESUMEN TOTAL'!AN123</f>
        <v>0</v>
      </c>
    </row>
    <row r="123" spans="1:35" x14ac:dyDescent="0.25">
      <c r="A123" s="44" t="str">
        <f>'RESUMEN TOTAL'!A124</f>
        <v>LIBERTAD</v>
      </c>
      <c r="B123" s="44" t="str">
        <f>'RESUMEN TOTAL'!B124</f>
        <v>ESM03</v>
      </c>
      <c r="C123" s="44" t="str">
        <f>'RESUMEN TOTAL'!D124</f>
        <v>Novak y Humahuaca</v>
      </c>
      <c r="D123" s="44" t="str">
        <f>'RESUMEN TOTAL'!E124</f>
        <v>DOMO</v>
      </c>
      <c r="E123" s="44" t="str">
        <f>'RESUMEN TOTAL'!F124</f>
        <v>PTO A FO</v>
      </c>
      <c r="F123" s="24">
        <f>'RESUMEN TOTAL'!K124</f>
        <v>0</v>
      </c>
      <c r="G123" s="24">
        <f>'RESUMEN TOTAL'!L124</f>
        <v>0</v>
      </c>
      <c r="H123" s="24">
        <f>'RESUMEN TOTAL'!M124</f>
        <v>0</v>
      </c>
      <c r="I123" s="24">
        <f>'RESUMEN TOTAL'!N124</f>
        <v>0</v>
      </c>
      <c r="J123" s="24">
        <f>'RESUMEN TOTAL'!O124</f>
        <v>0</v>
      </c>
      <c r="K123" s="24">
        <f>'RESUMEN TOTAL'!P124</f>
        <v>0</v>
      </c>
      <c r="L123" s="24">
        <f>'RESUMEN TOTAL'!Q124</f>
        <v>0</v>
      </c>
      <c r="M123" s="24">
        <f>'RESUMEN TOTAL'!R124</f>
        <v>0</v>
      </c>
      <c r="N123" s="24">
        <f>'RESUMEN TOTAL'!S124</f>
        <v>0</v>
      </c>
      <c r="O123" s="24">
        <f>'RESUMEN TOTAL'!T124</f>
        <v>0</v>
      </c>
      <c r="P123" s="24">
        <f>'RESUMEN TOTAL'!U124</f>
        <v>0</v>
      </c>
      <c r="Q123" s="24">
        <f>'RESUMEN TOTAL'!V124</f>
        <v>0</v>
      </c>
      <c r="R123" s="24">
        <f>'RESUMEN TOTAL'!W124</f>
        <v>0</v>
      </c>
      <c r="S123" s="24">
        <f>'RESUMEN TOTAL'!X124</f>
        <v>0</v>
      </c>
      <c r="T123" s="24">
        <f>'RESUMEN TOTAL'!Y124</f>
        <v>0</v>
      </c>
      <c r="U123" s="24">
        <f>'RESUMEN TOTAL'!Z124</f>
        <v>0</v>
      </c>
      <c r="V123" s="24">
        <f>'RESUMEN TOTAL'!AA124</f>
        <v>0</v>
      </c>
      <c r="W123" s="24">
        <f>'RESUMEN TOTAL'!AB124</f>
        <v>0</v>
      </c>
      <c r="X123" s="24">
        <f>'RESUMEN TOTAL'!AC124</f>
        <v>0</v>
      </c>
      <c r="Y123" s="24">
        <f>'RESUMEN TOTAL'!AD124</f>
        <v>0</v>
      </c>
      <c r="Z123" s="24">
        <f>'RESUMEN TOTAL'!AE124</f>
        <v>0</v>
      </c>
      <c r="AA123" s="24">
        <f>'RESUMEN TOTAL'!AF124</f>
        <v>0</v>
      </c>
      <c r="AB123" s="24">
        <f>'RESUMEN TOTAL'!AG124</f>
        <v>0</v>
      </c>
      <c r="AC123" s="24">
        <f>'RESUMEN TOTAL'!AH124</f>
        <v>0</v>
      </c>
      <c r="AD123" s="24">
        <f>'RESUMEN TOTAL'!AI124</f>
        <v>0</v>
      </c>
      <c r="AE123" s="24">
        <f>'RESUMEN TOTAL'!AJ124</f>
        <v>0</v>
      </c>
      <c r="AF123" s="24">
        <f>'RESUMEN TOTAL'!AK124</f>
        <v>0</v>
      </c>
      <c r="AG123" s="24">
        <f>'RESUMEN TOTAL'!AL124</f>
        <v>0</v>
      </c>
      <c r="AH123" s="24">
        <f>'RESUMEN TOTAL'!AM124</f>
        <v>0</v>
      </c>
      <c r="AI123" s="24">
        <f>'RESUMEN TOTAL'!AN124</f>
        <v>0</v>
      </c>
    </row>
    <row r="124" spans="1:35" x14ac:dyDescent="0.25">
      <c r="A124" s="44" t="str">
        <f>'RESUMEN TOTAL'!A125</f>
        <v>LA ESMERALDA</v>
      </c>
      <c r="B124" s="44" t="str">
        <f>'RESUMEN TOTAL'!B125</f>
        <v>ESM04</v>
      </c>
      <c r="C124" s="44" t="str">
        <f>'RESUMEN TOTAL'!D125</f>
        <v>Basualdo y Bengochea</v>
      </c>
      <c r="D124" s="44" t="str">
        <f>'RESUMEN TOTAL'!E125</f>
        <v>Domo</v>
      </c>
      <c r="E124" s="44" t="str">
        <f>'RESUMEN TOTAL'!F125</f>
        <v>FIBRA OPTICA</v>
      </c>
      <c r="F124" s="24" t="str">
        <f>'RESUMEN TOTAL'!K125</f>
        <v>APAGADO</v>
      </c>
      <c r="G124" s="24" t="str">
        <f>'RESUMEN TOTAL'!L125</f>
        <v>APAGADO</v>
      </c>
      <c r="H124" s="24">
        <f>'RESUMEN TOTAL'!M125</f>
        <v>0</v>
      </c>
      <c r="I124" s="24">
        <f>'RESUMEN TOTAL'!N125</f>
        <v>0</v>
      </c>
      <c r="J124" s="24">
        <f>'RESUMEN TOTAL'!O125</f>
        <v>0</v>
      </c>
      <c r="K124" s="24">
        <f>'RESUMEN TOTAL'!P125</f>
        <v>0</v>
      </c>
      <c r="L124" s="24">
        <f>'RESUMEN TOTAL'!Q125</f>
        <v>0</v>
      </c>
      <c r="M124" s="24">
        <f>'RESUMEN TOTAL'!R125</f>
        <v>0</v>
      </c>
      <c r="N124" s="24">
        <f>'RESUMEN TOTAL'!S125</f>
        <v>0</v>
      </c>
      <c r="O124" s="24">
        <f>'RESUMEN TOTAL'!T125</f>
        <v>0</v>
      </c>
      <c r="P124" s="24">
        <f>'RESUMEN TOTAL'!U125</f>
        <v>0</v>
      </c>
      <c r="Q124" s="24">
        <f>'RESUMEN TOTAL'!V125</f>
        <v>0</v>
      </c>
      <c r="R124" s="24">
        <f>'RESUMEN TOTAL'!W125</f>
        <v>0</v>
      </c>
      <c r="S124" s="24">
        <f>'RESUMEN TOTAL'!X125</f>
        <v>0</v>
      </c>
      <c r="T124" s="24">
        <f>'RESUMEN TOTAL'!Y125</f>
        <v>0</v>
      </c>
      <c r="U124" s="24">
        <f>'RESUMEN TOTAL'!Z125</f>
        <v>0</v>
      </c>
      <c r="V124" s="24">
        <f>'RESUMEN TOTAL'!AA125</f>
        <v>0</v>
      </c>
      <c r="W124" s="24">
        <f>'RESUMEN TOTAL'!AB125</f>
        <v>0</v>
      </c>
      <c r="X124" s="24">
        <f>'RESUMEN TOTAL'!AC125</f>
        <v>0</v>
      </c>
      <c r="Y124" s="24">
        <f>'RESUMEN TOTAL'!AD125</f>
        <v>0</v>
      </c>
      <c r="Z124" s="24">
        <f>'RESUMEN TOTAL'!AE125</f>
        <v>0</v>
      </c>
      <c r="AA124" s="24">
        <f>'RESUMEN TOTAL'!AF125</f>
        <v>0</v>
      </c>
      <c r="AB124" s="24">
        <f>'RESUMEN TOTAL'!AG125</f>
        <v>0</v>
      </c>
      <c r="AC124" s="24">
        <f>'RESUMEN TOTAL'!AH125</f>
        <v>0</v>
      </c>
      <c r="AD124" s="24">
        <f>'RESUMEN TOTAL'!AI125</f>
        <v>0</v>
      </c>
      <c r="AE124" s="24">
        <f>'RESUMEN TOTAL'!AJ125</f>
        <v>0</v>
      </c>
      <c r="AF124" s="24">
        <f>'RESUMEN TOTAL'!AK125</f>
        <v>0</v>
      </c>
      <c r="AG124" s="24">
        <f>'RESUMEN TOTAL'!AL125</f>
        <v>0</v>
      </c>
      <c r="AH124" s="24">
        <f>'RESUMEN TOTAL'!AM125</f>
        <v>0</v>
      </c>
      <c r="AI124" s="24">
        <f>'RESUMEN TOTAL'!AN125</f>
        <v>0</v>
      </c>
    </row>
    <row r="125" spans="1:35" x14ac:dyDescent="0.25">
      <c r="A125" s="44" t="str">
        <f>'RESUMEN TOTAL'!A126</f>
        <v>LA ESMERALDA</v>
      </c>
      <c r="B125" s="44" t="str">
        <f>'RESUMEN TOTAL'!B126</f>
        <v>ESM05</v>
      </c>
      <c r="C125" s="44" t="str">
        <f>'RESUMEN TOTAL'!D126</f>
        <v>Aniceto Diaz y Villar</v>
      </c>
      <c r="D125" s="44" t="str">
        <f>'RESUMEN TOTAL'!E126</f>
        <v>Domo</v>
      </c>
      <c r="E125" s="44" t="str">
        <f>'RESUMEN TOTAL'!F126</f>
        <v>FIBRA OPTICA</v>
      </c>
      <c r="F125" s="24">
        <f>'RESUMEN TOTAL'!K126</f>
        <v>0</v>
      </c>
      <c r="G125" s="24">
        <f>'RESUMEN TOTAL'!L126</f>
        <v>0</v>
      </c>
      <c r="H125" s="24">
        <f>'RESUMEN TOTAL'!M126</f>
        <v>0</v>
      </c>
      <c r="I125" s="24">
        <f>'RESUMEN TOTAL'!N126</f>
        <v>0</v>
      </c>
      <c r="J125" s="24">
        <f>'RESUMEN TOTAL'!O126</f>
        <v>0</v>
      </c>
      <c r="K125" s="24">
        <f>'RESUMEN TOTAL'!P126</f>
        <v>0</v>
      </c>
      <c r="L125" s="24">
        <f>'RESUMEN TOTAL'!Q126</f>
        <v>0</v>
      </c>
      <c r="M125" s="24">
        <f>'RESUMEN TOTAL'!R126</f>
        <v>0</v>
      </c>
      <c r="N125" s="24">
        <f>'RESUMEN TOTAL'!S126</f>
        <v>0</v>
      </c>
      <c r="O125" s="24">
        <f>'RESUMEN TOTAL'!T126</f>
        <v>0</v>
      </c>
      <c r="P125" s="24">
        <f>'RESUMEN TOTAL'!U126</f>
        <v>0</v>
      </c>
      <c r="Q125" s="24">
        <f>'RESUMEN TOTAL'!V126</f>
        <v>0</v>
      </c>
      <c r="R125" s="24">
        <f>'RESUMEN TOTAL'!W126</f>
        <v>0</v>
      </c>
      <c r="S125" s="24">
        <f>'RESUMEN TOTAL'!X126</f>
        <v>0</v>
      </c>
      <c r="T125" s="24">
        <f>'RESUMEN TOTAL'!Y126</f>
        <v>0</v>
      </c>
      <c r="U125" s="24">
        <f>'RESUMEN TOTAL'!Z126</f>
        <v>0</v>
      </c>
      <c r="V125" s="24">
        <f>'RESUMEN TOTAL'!AA126</f>
        <v>0</v>
      </c>
      <c r="W125" s="24">
        <f>'RESUMEN TOTAL'!AB126</f>
        <v>0</v>
      </c>
      <c r="X125" s="24">
        <f>'RESUMEN TOTAL'!AC126</f>
        <v>0</v>
      </c>
      <c r="Y125" s="24">
        <f>'RESUMEN TOTAL'!AD126</f>
        <v>0</v>
      </c>
      <c r="Z125" s="24">
        <f>'RESUMEN TOTAL'!AE126</f>
        <v>0</v>
      </c>
      <c r="AA125" s="24">
        <f>'RESUMEN TOTAL'!AF126</f>
        <v>0</v>
      </c>
      <c r="AB125" s="24">
        <f>'RESUMEN TOTAL'!AG126</f>
        <v>0</v>
      </c>
      <c r="AC125" s="24">
        <f>'RESUMEN TOTAL'!AH126</f>
        <v>0</v>
      </c>
      <c r="AD125" s="24">
        <f>'RESUMEN TOTAL'!AI126</f>
        <v>0</v>
      </c>
      <c r="AE125" s="24">
        <f>'RESUMEN TOTAL'!AJ126</f>
        <v>0</v>
      </c>
      <c r="AF125" s="24">
        <f>'RESUMEN TOTAL'!AK126</f>
        <v>0</v>
      </c>
      <c r="AG125" s="24">
        <f>'RESUMEN TOTAL'!AL126</f>
        <v>0</v>
      </c>
      <c r="AH125" s="24">
        <f>'RESUMEN TOTAL'!AM126</f>
        <v>0</v>
      </c>
      <c r="AI125" s="24">
        <f>'RESUMEN TOTAL'!AN126</f>
        <v>0</v>
      </c>
    </row>
    <row r="126" spans="1:35" x14ac:dyDescent="0.25">
      <c r="A126" s="44" t="str">
        <f>'RESUMEN TOTAL'!A127</f>
        <v>LA ESMERALDA</v>
      </c>
      <c r="B126" s="44" t="str">
        <f>'RESUMEN TOTAL'!B127</f>
        <v>ESM06</v>
      </c>
      <c r="C126" s="44" t="str">
        <f>'RESUMEN TOTAL'!D127</f>
        <v>Roselli y Cabello</v>
      </c>
      <c r="D126" s="44" t="str">
        <f>'RESUMEN TOTAL'!E127</f>
        <v>Domo</v>
      </c>
      <c r="E126" s="44" t="str">
        <f>'RESUMEN TOTAL'!F127</f>
        <v>Radio</v>
      </c>
      <c r="F126" s="24">
        <f>'RESUMEN TOTAL'!K127</f>
        <v>0</v>
      </c>
      <c r="G126" s="24">
        <f>'RESUMEN TOTAL'!L127</f>
        <v>0</v>
      </c>
      <c r="H126" s="24">
        <f>'RESUMEN TOTAL'!M127</f>
        <v>0</v>
      </c>
      <c r="I126" s="24">
        <f>'RESUMEN TOTAL'!N127</f>
        <v>0</v>
      </c>
      <c r="J126" s="24">
        <f>'RESUMEN TOTAL'!O127</f>
        <v>0</v>
      </c>
      <c r="K126" s="24">
        <f>'RESUMEN TOTAL'!P127</f>
        <v>0</v>
      </c>
      <c r="L126" s="24">
        <f>'RESUMEN TOTAL'!Q127</f>
        <v>0</v>
      </c>
      <c r="M126" s="24">
        <f>'RESUMEN TOTAL'!R127</f>
        <v>0</v>
      </c>
      <c r="N126" s="24">
        <f>'RESUMEN TOTAL'!S127</f>
        <v>0</v>
      </c>
      <c r="O126" s="24">
        <f>'RESUMEN TOTAL'!T127</f>
        <v>0</v>
      </c>
      <c r="P126" s="24">
        <f>'RESUMEN TOTAL'!U127</f>
        <v>0</v>
      </c>
      <c r="Q126" s="24">
        <f>'RESUMEN TOTAL'!V127</f>
        <v>0</v>
      </c>
      <c r="R126" s="24">
        <f>'RESUMEN TOTAL'!W127</f>
        <v>0</v>
      </c>
      <c r="S126" s="24">
        <f>'RESUMEN TOTAL'!X127</f>
        <v>0</v>
      </c>
      <c r="T126" s="24">
        <f>'RESUMEN TOTAL'!Y127</f>
        <v>0</v>
      </c>
      <c r="U126" s="24">
        <f>'RESUMEN TOTAL'!Z127</f>
        <v>0</v>
      </c>
      <c r="V126" s="24">
        <f>'RESUMEN TOTAL'!AA127</f>
        <v>0</v>
      </c>
      <c r="W126" s="24">
        <f>'RESUMEN TOTAL'!AB127</f>
        <v>0</v>
      </c>
      <c r="X126" s="24">
        <f>'RESUMEN TOTAL'!AC127</f>
        <v>0</v>
      </c>
      <c r="Y126" s="24">
        <f>'RESUMEN TOTAL'!AD127</f>
        <v>0</v>
      </c>
      <c r="Z126" s="24">
        <f>'RESUMEN TOTAL'!AE127</f>
        <v>0</v>
      </c>
      <c r="AA126" s="24">
        <f>'RESUMEN TOTAL'!AF127</f>
        <v>0</v>
      </c>
      <c r="AB126" s="24">
        <f>'RESUMEN TOTAL'!AG127</f>
        <v>0</v>
      </c>
      <c r="AC126" s="24">
        <f>'RESUMEN TOTAL'!AH127</f>
        <v>0</v>
      </c>
      <c r="AD126" s="24">
        <f>'RESUMEN TOTAL'!AI127</f>
        <v>0</v>
      </c>
      <c r="AE126" s="24">
        <f>'RESUMEN TOTAL'!AJ127</f>
        <v>0</v>
      </c>
      <c r="AF126" s="24">
        <f>'RESUMEN TOTAL'!AK127</f>
        <v>0</v>
      </c>
      <c r="AG126" s="24">
        <f>'RESUMEN TOTAL'!AL127</f>
        <v>0</v>
      </c>
      <c r="AH126" s="24">
        <f>'RESUMEN TOTAL'!AM127</f>
        <v>0</v>
      </c>
      <c r="AI126" s="24">
        <f>'RESUMEN TOTAL'!AN127</f>
        <v>0</v>
      </c>
    </row>
    <row r="127" spans="1:35" x14ac:dyDescent="0.25">
      <c r="A127" s="44" t="str">
        <f>'RESUMEN TOTAL'!A128</f>
        <v>LA ESMERALDA</v>
      </c>
      <c r="B127" s="44" t="str">
        <f>'RESUMEN TOTAL'!B128</f>
        <v>ESM07</v>
      </c>
      <c r="C127" s="44" t="str">
        <f>'RESUMEN TOTAL'!D128</f>
        <v>AV. NOVAK Y SERRANO</v>
      </c>
      <c r="D127" s="44" t="str">
        <f>'RESUMEN TOTAL'!E128</f>
        <v>DOMO</v>
      </c>
      <c r="E127" s="44" t="str">
        <f>'RESUMEN TOTAL'!F128</f>
        <v>PTO A FO</v>
      </c>
      <c r="F127" s="24">
        <f>'RESUMEN TOTAL'!K128</f>
        <v>0</v>
      </c>
      <c r="G127" s="24">
        <f>'RESUMEN TOTAL'!L128</f>
        <v>0</v>
      </c>
      <c r="H127" s="24">
        <f>'RESUMEN TOTAL'!M128</f>
        <v>0</v>
      </c>
      <c r="I127" s="24">
        <f>'RESUMEN TOTAL'!N128</f>
        <v>0</v>
      </c>
      <c r="J127" s="24">
        <f>'RESUMEN TOTAL'!O128</f>
        <v>0</v>
      </c>
      <c r="K127" s="24">
        <f>'RESUMEN TOTAL'!P128</f>
        <v>0</v>
      </c>
      <c r="L127" s="24">
        <f>'RESUMEN TOTAL'!Q128</f>
        <v>0</v>
      </c>
      <c r="M127" s="24">
        <f>'RESUMEN TOTAL'!R128</f>
        <v>0</v>
      </c>
      <c r="N127" s="24">
        <f>'RESUMEN TOTAL'!S128</f>
        <v>0</v>
      </c>
      <c r="O127" s="24">
        <f>'RESUMEN TOTAL'!T128</f>
        <v>0</v>
      </c>
      <c r="P127" s="24">
        <f>'RESUMEN TOTAL'!U128</f>
        <v>0</v>
      </c>
      <c r="Q127" s="24">
        <f>'RESUMEN TOTAL'!V128</f>
        <v>0</v>
      </c>
      <c r="R127" s="24">
        <f>'RESUMEN TOTAL'!W128</f>
        <v>0</v>
      </c>
      <c r="S127" s="24">
        <f>'RESUMEN TOTAL'!X128</f>
        <v>0</v>
      </c>
      <c r="T127" s="24">
        <f>'RESUMEN TOTAL'!Y128</f>
        <v>0</v>
      </c>
      <c r="U127" s="24">
        <f>'RESUMEN TOTAL'!Z128</f>
        <v>0</v>
      </c>
      <c r="V127" s="24">
        <f>'RESUMEN TOTAL'!AA128</f>
        <v>0</v>
      </c>
      <c r="W127" s="24">
        <f>'RESUMEN TOTAL'!AB128</f>
        <v>0</v>
      </c>
      <c r="X127" s="24">
        <f>'RESUMEN TOTAL'!AC128</f>
        <v>0</v>
      </c>
      <c r="Y127" s="24">
        <f>'RESUMEN TOTAL'!AD128</f>
        <v>0</v>
      </c>
      <c r="Z127" s="24">
        <f>'RESUMEN TOTAL'!AE128</f>
        <v>0</v>
      </c>
      <c r="AA127" s="24">
        <f>'RESUMEN TOTAL'!AF128</f>
        <v>0</v>
      </c>
      <c r="AB127" s="24">
        <f>'RESUMEN TOTAL'!AG128</f>
        <v>0</v>
      </c>
      <c r="AC127" s="24">
        <f>'RESUMEN TOTAL'!AH128</f>
        <v>0</v>
      </c>
      <c r="AD127" s="24">
        <f>'RESUMEN TOTAL'!AI128</f>
        <v>0</v>
      </c>
      <c r="AE127" s="24">
        <f>'RESUMEN TOTAL'!AJ128</f>
        <v>0</v>
      </c>
      <c r="AF127" s="24">
        <f>'RESUMEN TOTAL'!AK128</f>
        <v>0</v>
      </c>
      <c r="AG127" s="24">
        <f>'RESUMEN TOTAL'!AL128</f>
        <v>0</v>
      </c>
      <c r="AH127" s="24">
        <f>'RESUMEN TOTAL'!AM128</f>
        <v>0</v>
      </c>
      <c r="AI127" s="24">
        <f>'RESUMEN TOTAL'!AN128</f>
        <v>0</v>
      </c>
    </row>
    <row r="128" spans="1:35" x14ac:dyDescent="0.25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>
        <f>'RESUMEN TOTAL'!AC130</f>
        <v>0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25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>
        <f>'RESUMEN TOTAL'!AC131</f>
        <v>0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25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25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25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>
        <f>'RESUMEN TOTAL'!M134</f>
        <v>0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25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>
        <f>'RESUMEN TOTAL'!M135</f>
        <v>0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25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 t="str">
        <f>'RESUMEN TOTAL'!K136</f>
        <v>APAGADO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>
        <f>'RESUMEN TOTAL'!AC136</f>
        <v>0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>
        <f>'RESUMEN TOTAL'!AJ136</f>
        <v>0</v>
      </c>
      <c r="AF134" s="24">
        <f>'RESUMEN TOTAL'!AK136</f>
        <v>0</v>
      </c>
      <c r="AG134" s="24">
        <f>'RESUMEN TOTAL'!AL136</f>
        <v>0</v>
      </c>
      <c r="AH134" s="24">
        <f>'RESUMEN TOTAL'!AM136</f>
        <v>0</v>
      </c>
      <c r="AI134" s="24">
        <f>'RESUMEN TOTAL'!AN136</f>
        <v>0</v>
      </c>
    </row>
    <row r="135" spans="1:35" x14ac:dyDescent="0.25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 t="str">
        <f>'RESUMEN TOTAL'!K137</f>
        <v>APAGADO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>
        <f>'RESUMEN TOTAL'!AC137</f>
        <v>0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>
        <f>'RESUMEN TOTAL'!AJ137</f>
        <v>0</v>
      </c>
      <c r="AF135" s="24">
        <f>'RESUMEN TOTAL'!AK137</f>
        <v>0</v>
      </c>
      <c r="AG135" s="24">
        <f>'RESUMEN TOTAL'!AL137</f>
        <v>0</v>
      </c>
      <c r="AH135" s="24">
        <f>'RESUMEN TOTAL'!AM137</f>
        <v>0</v>
      </c>
      <c r="AI135" s="24">
        <f>'RESUMEN TOTAL'!AN137</f>
        <v>0</v>
      </c>
    </row>
    <row r="136" spans="1:35" x14ac:dyDescent="0.25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>
        <f>'RESUMEN TOTAL'!AC138</f>
        <v>0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25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>
        <f>'RESUMEN TOTAL'!AC139</f>
        <v>0</v>
      </c>
      <c r="Y137" s="24">
        <f>'RESUMEN TOTAL'!AD139</f>
        <v>0</v>
      </c>
      <c r="Z137" s="24">
        <f>'RESUMEN TOTAL'!AE139</f>
        <v>0</v>
      </c>
      <c r="AA137" s="24">
        <f>'RESUMEN TOTAL'!AF139</f>
        <v>0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25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>
        <f>'RESUMEN TOTAL'!M140</f>
        <v>0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25">
      <c r="A139" s="44" t="str">
        <f>'RESUMEN TOTAL'!A147</f>
        <v>KM 26700 (JULIO A. COSTA)</v>
      </c>
      <c r="B139" s="44" t="str">
        <f>'RESUMEN TOTAL'!B147</f>
        <v>KM 07</v>
      </c>
      <c r="C139" s="44" t="str">
        <f>'RESUMEN TOTAL'!D147</f>
        <v>EL ALJIBE E/ EL ZONDA Y DON SEGUNDO SOMBRA</v>
      </c>
      <c r="D139" s="44" t="str">
        <f>'RESUMEN TOTAL'!E147</f>
        <v>DOMO</v>
      </c>
      <c r="E139" s="44" t="str">
        <f>'RESUMEN TOTAL'!F147</f>
        <v>Radio</v>
      </c>
      <c r="F139" s="24">
        <f>'RESUMEN TOTAL'!K147</f>
        <v>0</v>
      </c>
      <c r="G139" s="24">
        <f>'RESUMEN TOTAL'!L147</f>
        <v>0</v>
      </c>
      <c r="H139" s="24">
        <f>'RESUMEN TOTAL'!M147</f>
        <v>0</v>
      </c>
      <c r="I139" s="24">
        <f>'RESUMEN TOTAL'!N147</f>
        <v>0</v>
      </c>
      <c r="J139" s="24">
        <f>'RESUMEN TOTAL'!O147</f>
        <v>0</v>
      </c>
      <c r="K139" s="24">
        <f>'RESUMEN TOTAL'!P147</f>
        <v>0</v>
      </c>
      <c r="L139" s="24">
        <f>'RESUMEN TOTAL'!Q147</f>
        <v>0</v>
      </c>
      <c r="M139" s="24">
        <f>'RESUMEN TOTAL'!R147</f>
        <v>0</v>
      </c>
      <c r="N139" s="24">
        <f>'RESUMEN TOTAL'!S147</f>
        <v>0</v>
      </c>
      <c r="O139" s="24">
        <f>'RESUMEN TOTAL'!T147</f>
        <v>0</v>
      </c>
      <c r="P139" s="24">
        <f>'RESUMEN TOTAL'!U147</f>
        <v>0</v>
      </c>
      <c r="Q139" s="24">
        <f>'RESUMEN TOTAL'!V147</f>
        <v>0</v>
      </c>
      <c r="R139" s="24">
        <f>'RESUMEN TOTAL'!W147</f>
        <v>0</v>
      </c>
      <c r="S139" s="24">
        <f>'RESUMEN TOTAL'!X147</f>
        <v>0</v>
      </c>
      <c r="T139" s="24">
        <f>'RESUMEN TOTAL'!Y147</f>
        <v>0</v>
      </c>
      <c r="U139" s="24">
        <f>'RESUMEN TOTAL'!Z147</f>
        <v>0</v>
      </c>
      <c r="V139" s="24">
        <f>'RESUMEN TOTAL'!AA147</f>
        <v>0</v>
      </c>
      <c r="W139" s="24">
        <f>'RESUMEN TOTAL'!AB147</f>
        <v>0</v>
      </c>
      <c r="X139" s="24">
        <f>'RESUMEN TOTAL'!AC147</f>
        <v>0</v>
      </c>
      <c r="Y139" s="24">
        <f>'RESUMEN TOTAL'!AD147</f>
        <v>0</v>
      </c>
      <c r="Z139" s="24">
        <f>'RESUMEN TOTAL'!AE147</f>
        <v>0</v>
      </c>
      <c r="AA139" s="24">
        <f>'RESUMEN TOTAL'!AF147</f>
        <v>0</v>
      </c>
      <c r="AB139" s="24">
        <f>'RESUMEN TOTAL'!AG147</f>
        <v>0</v>
      </c>
      <c r="AC139" s="24">
        <f>'RESUMEN TOTAL'!AH147</f>
        <v>0</v>
      </c>
      <c r="AD139" s="24">
        <f>'RESUMEN TOTAL'!AI147</f>
        <v>0</v>
      </c>
      <c r="AE139" s="24">
        <f>'RESUMEN TOTAL'!AJ147</f>
        <v>0</v>
      </c>
      <c r="AF139" s="24">
        <f>'RESUMEN TOTAL'!AK147</f>
        <v>0</v>
      </c>
      <c r="AG139" s="24">
        <f>'RESUMEN TOTAL'!AL147</f>
        <v>0</v>
      </c>
      <c r="AH139" s="24">
        <f>'RESUMEN TOTAL'!AM147</f>
        <v>0</v>
      </c>
      <c r="AI139" s="24">
        <f>'RESUMEN TOTAL'!AN147</f>
        <v>0</v>
      </c>
    </row>
    <row r="140" spans="1:35" x14ac:dyDescent="0.25">
      <c r="A140" s="44" t="str">
        <f>'RESUMEN TOTAL'!A150</f>
        <v>KM 26700 (JULIO A. COSTA)</v>
      </c>
      <c r="B140" s="44" t="str">
        <f>'RESUMEN TOTAL'!B150</f>
        <v>KM 10 / UPA 2</v>
      </c>
      <c r="C140" s="44" t="str">
        <f>'RESUMEN TOTAL'!D150</f>
        <v>PLAYA DE ESTACIONAMIENTO INTERNA E/ HOSP. MODULAR Y UPA 11.</v>
      </c>
      <c r="D140" s="44" t="str">
        <f>'RESUMEN TOTAL'!E150</f>
        <v>DOMO</v>
      </c>
      <c r="E140" s="44" t="str">
        <f>'RESUMEN TOTAL'!F150</f>
        <v>Radio</v>
      </c>
      <c r="F140" s="24">
        <f>'RESUMEN TOTAL'!K150</f>
        <v>0</v>
      </c>
      <c r="G140" s="24">
        <f>'RESUMEN TOTAL'!L150</f>
        <v>0</v>
      </c>
      <c r="H140" s="24">
        <f>'RESUMEN TOTAL'!M150</f>
        <v>0</v>
      </c>
      <c r="I140" s="24">
        <f>'RESUMEN TOTAL'!N150</f>
        <v>0</v>
      </c>
      <c r="J140" s="24">
        <f>'RESUMEN TOTAL'!O150</f>
        <v>0</v>
      </c>
      <c r="K140" s="24">
        <f>'RESUMEN TOTAL'!P150</f>
        <v>0</v>
      </c>
      <c r="L140" s="24">
        <f>'RESUMEN TOTAL'!Q150</f>
        <v>0</v>
      </c>
      <c r="M140" s="24">
        <f>'RESUMEN TOTAL'!R150</f>
        <v>0</v>
      </c>
      <c r="N140" s="24">
        <f>'RESUMEN TOTAL'!S150</f>
        <v>0</v>
      </c>
      <c r="O140" s="24">
        <f>'RESUMEN TOTAL'!T150</f>
        <v>0</v>
      </c>
      <c r="P140" s="24">
        <f>'RESUMEN TOTAL'!U150</f>
        <v>0</v>
      </c>
      <c r="Q140" s="24">
        <f>'RESUMEN TOTAL'!V150</f>
        <v>0</v>
      </c>
      <c r="R140" s="24">
        <f>'RESUMEN TOTAL'!W150</f>
        <v>0</v>
      </c>
      <c r="S140" s="24">
        <f>'RESUMEN TOTAL'!X150</f>
        <v>0</v>
      </c>
      <c r="T140" s="24">
        <f>'RESUMEN TOTAL'!Y150</f>
        <v>0</v>
      </c>
      <c r="U140" s="24">
        <f>'RESUMEN TOTAL'!Z150</f>
        <v>0</v>
      </c>
      <c r="V140" s="24">
        <f>'RESUMEN TOTAL'!AA150</f>
        <v>0</v>
      </c>
      <c r="W140" s="24">
        <f>'RESUMEN TOTAL'!AB150</f>
        <v>0</v>
      </c>
      <c r="X140" s="24">
        <f>'RESUMEN TOTAL'!AC150</f>
        <v>0</v>
      </c>
      <c r="Y140" s="24">
        <f>'RESUMEN TOTAL'!AD150</f>
        <v>0</v>
      </c>
      <c r="Z140" s="24">
        <f>'RESUMEN TOTAL'!AE150</f>
        <v>0</v>
      </c>
      <c r="AA140" s="24">
        <f>'RESUMEN TOTAL'!AF150</f>
        <v>0</v>
      </c>
      <c r="AB140" s="24">
        <f>'RESUMEN TOTAL'!AG150</f>
        <v>0</v>
      </c>
      <c r="AC140" s="24">
        <f>'RESUMEN TOTAL'!AH150</f>
        <v>0</v>
      </c>
      <c r="AD140" s="24">
        <f>'RESUMEN TOTAL'!AI150</f>
        <v>0</v>
      </c>
      <c r="AE140" s="24">
        <f>'RESUMEN TOTAL'!AJ150</f>
        <v>0</v>
      </c>
      <c r="AF140" s="24">
        <f>'RESUMEN TOTAL'!AK150</f>
        <v>0</v>
      </c>
      <c r="AG140" s="24">
        <f>'RESUMEN TOTAL'!AL150</f>
        <v>0</v>
      </c>
      <c r="AH140" s="24">
        <f>'RESUMEN TOTAL'!AM150</f>
        <v>0</v>
      </c>
      <c r="AI140" s="24">
        <f>'RESUMEN TOTAL'!AN150</f>
        <v>0</v>
      </c>
    </row>
    <row r="141" spans="1:35" x14ac:dyDescent="0.25">
      <c r="A141" s="44" t="str">
        <f>'RESUMEN TOTAL'!A152</f>
        <v>KM 26700 (JULIO A. COSTA)</v>
      </c>
      <c r="B141" s="44" t="str">
        <f>'RESUMEN TOTAL'!B152</f>
        <v>KM 12 FIJA 1</v>
      </c>
      <c r="C141" s="44" t="str">
        <f>'RESUMEN TOTAL'!D152</f>
        <v>BLANDENGUES Y LA ZAMBA</v>
      </c>
      <c r="D141" s="44" t="str">
        <f>'RESUMEN TOTAL'!E152</f>
        <v>Fija</v>
      </c>
      <c r="E141" s="44" t="str">
        <f>'RESUMEN TOTAL'!F152</f>
        <v>PTO A FO</v>
      </c>
      <c r="F141" s="24">
        <f>'RESUMEN TOTAL'!K152</f>
        <v>0</v>
      </c>
      <c r="G141" s="24">
        <f>'RESUMEN TOTAL'!L152</f>
        <v>0</v>
      </c>
      <c r="H141" s="24">
        <f>'RESUMEN TOTAL'!M152</f>
        <v>0</v>
      </c>
      <c r="I141" s="24">
        <f>'RESUMEN TOTAL'!N152</f>
        <v>0</v>
      </c>
      <c r="J141" s="24">
        <f>'RESUMEN TOTAL'!O152</f>
        <v>0</v>
      </c>
      <c r="K141" s="24">
        <f>'RESUMEN TOTAL'!P152</f>
        <v>0</v>
      </c>
      <c r="L141" s="24">
        <f>'RESUMEN TOTAL'!Q152</f>
        <v>0</v>
      </c>
      <c r="M141" s="24">
        <f>'RESUMEN TOTAL'!R152</f>
        <v>0</v>
      </c>
      <c r="N141" s="24">
        <f>'RESUMEN TOTAL'!S152</f>
        <v>0</v>
      </c>
      <c r="O141" s="24">
        <f>'RESUMEN TOTAL'!T152</f>
        <v>0</v>
      </c>
      <c r="P141" s="24">
        <f>'RESUMEN TOTAL'!U152</f>
        <v>0</v>
      </c>
      <c r="Q141" s="24">
        <f>'RESUMEN TOTAL'!V152</f>
        <v>0</v>
      </c>
      <c r="R141" s="24">
        <f>'RESUMEN TOTAL'!W152</f>
        <v>0</v>
      </c>
      <c r="S141" s="24">
        <f>'RESUMEN TOTAL'!X152</f>
        <v>0</v>
      </c>
      <c r="T141" s="24">
        <f>'RESUMEN TOTAL'!Y152</f>
        <v>0</v>
      </c>
      <c r="U141" s="24">
        <f>'RESUMEN TOTAL'!Z152</f>
        <v>0</v>
      </c>
      <c r="V141" s="24">
        <f>'RESUMEN TOTAL'!AA152</f>
        <v>0</v>
      </c>
      <c r="W141" s="24">
        <f>'RESUMEN TOTAL'!AB152</f>
        <v>0</v>
      </c>
      <c r="X141" s="24">
        <f>'RESUMEN TOTAL'!AC152</f>
        <v>0</v>
      </c>
      <c r="Y141" s="24">
        <f>'RESUMEN TOTAL'!AD152</f>
        <v>0</v>
      </c>
      <c r="Z141" s="24">
        <f>'RESUMEN TOTAL'!AE152</f>
        <v>0</v>
      </c>
      <c r="AA141" s="24">
        <f>'RESUMEN TOTAL'!AF152</f>
        <v>0</v>
      </c>
      <c r="AB141" s="24">
        <f>'RESUMEN TOTAL'!AG152</f>
        <v>0</v>
      </c>
      <c r="AC141" s="24">
        <f>'RESUMEN TOTAL'!AH152</f>
        <v>0</v>
      </c>
      <c r="AD141" s="24">
        <f>'RESUMEN TOTAL'!AI152</f>
        <v>0</v>
      </c>
      <c r="AE141" s="24">
        <f>'RESUMEN TOTAL'!AJ152</f>
        <v>0</v>
      </c>
      <c r="AF141" s="24">
        <f>'RESUMEN TOTAL'!AK152</f>
        <v>0</v>
      </c>
      <c r="AG141" s="24">
        <f>'RESUMEN TOTAL'!AL152</f>
        <v>0</v>
      </c>
      <c r="AH141" s="24">
        <f>'RESUMEN TOTAL'!AM152</f>
        <v>0</v>
      </c>
      <c r="AI141" s="24">
        <f>'RESUMEN TOTAL'!AN152</f>
        <v>0</v>
      </c>
    </row>
    <row r="142" spans="1:35" x14ac:dyDescent="0.25">
      <c r="A142" s="44" t="str">
        <f>'RESUMEN TOTAL'!A153</f>
        <v>KM 26700 (JULIO A. COSTA)</v>
      </c>
      <c r="B142" s="44" t="str">
        <f>'RESUMEN TOTAL'!B153</f>
        <v>KM 13 FIJA 2</v>
      </c>
      <c r="C142" s="44" t="str">
        <f>'RESUMEN TOTAL'!D153</f>
        <v>BLANDENGUES Y LA ZAMBA</v>
      </c>
      <c r="D142" s="44" t="str">
        <f>'RESUMEN TOTAL'!E153</f>
        <v>Fija</v>
      </c>
      <c r="E142" s="44" t="str">
        <f>'RESUMEN TOTAL'!F153</f>
        <v>PTO A FO</v>
      </c>
      <c r="F142" s="24">
        <f>'RESUMEN TOTAL'!K153</f>
        <v>0</v>
      </c>
      <c r="G142" s="24">
        <f>'RESUMEN TOTAL'!L153</f>
        <v>0</v>
      </c>
      <c r="H142" s="24">
        <f>'RESUMEN TOTAL'!M153</f>
        <v>0</v>
      </c>
      <c r="I142" s="24">
        <f>'RESUMEN TOTAL'!N153</f>
        <v>0</v>
      </c>
      <c r="J142" s="24">
        <f>'RESUMEN TOTAL'!O153</f>
        <v>0</v>
      </c>
      <c r="K142" s="24">
        <f>'RESUMEN TOTAL'!P153</f>
        <v>0</v>
      </c>
      <c r="L142" s="24">
        <f>'RESUMEN TOTAL'!Q153</f>
        <v>0</v>
      </c>
      <c r="M142" s="24">
        <f>'RESUMEN TOTAL'!R153</f>
        <v>0</v>
      </c>
      <c r="N142" s="24">
        <f>'RESUMEN TOTAL'!S153</f>
        <v>0</v>
      </c>
      <c r="O142" s="24">
        <f>'RESUMEN TOTAL'!T153</f>
        <v>0</v>
      </c>
      <c r="P142" s="24">
        <f>'RESUMEN TOTAL'!U153</f>
        <v>0</v>
      </c>
      <c r="Q142" s="24">
        <f>'RESUMEN TOTAL'!V153</f>
        <v>0</v>
      </c>
      <c r="R142" s="24">
        <f>'RESUMEN TOTAL'!W153</f>
        <v>0</v>
      </c>
      <c r="S142" s="24">
        <f>'RESUMEN TOTAL'!X153</f>
        <v>0</v>
      </c>
      <c r="T142" s="24">
        <f>'RESUMEN TOTAL'!Y153</f>
        <v>0</v>
      </c>
      <c r="U142" s="24">
        <f>'RESUMEN TOTAL'!Z153</f>
        <v>0</v>
      </c>
      <c r="V142" s="24">
        <f>'RESUMEN TOTAL'!AA153</f>
        <v>0</v>
      </c>
      <c r="W142" s="24">
        <f>'RESUMEN TOTAL'!AB153</f>
        <v>0</v>
      </c>
      <c r="X142" s="24">
        <f>'RESUMEN TOTAL'!AC153</f>
        <v>0</v>
      </c>
      <c r="Y142" s="24">
        <f>'RESUMEN TOTAL'!AD153</f>
        <v>0</v>
      </c>
      <c r="Z142" s="24">
        <f>'RESUMEN TOTAL'!AE153</f>
        <v>0</v>
      </c>
      <c r="AA142" s="24">
        <f>'RESUMEN TOTAL'!AF153</f>
        <v>0</v>
      </c>
      <c r="AB142" s="24">
        <f>'RESUMEN TOTAL'!AG153</f>
        <v>0</v>
      </c>
      <c r="AC142" s="24">
        <f>'RESUMEN TOTAL'!AH153</f>
        <v>0</v>
      </c>
      <c r="AD142" s="24">
        <f>'RESUMEN TOTAL'!AI153</f>
        <v>0</v>
      </c>
      <c r="AE142" s="24">
        <f>'RESUMEN TOTAL'!AJ153</f>
        <v>0</v>
      </c>
      <c r="AF142" s="24">
        <f>'RESUMEN TOTAL'!AK153</f>
        <v>0</v>
      </c>
      <c r="AG142" s="24">
        <f>'RESUMEN TOTAL'!AL153</f>
        <v>0</v>
      </c>
      <c r="AH142" s="24">
        <f>'RESUMEN TOTAL'!AM153</f>
        <v>0</v>
      </c>
      <c r="AI142" s="24">
        <f>'RESUMEN TOTAL'!AN153</f>
        <v>0</v>
      </c>
    </row>
    <row r="143" spans="1:35" x14ac:dyDescent="0.25">
      <c r="A143" s="44" t="str">
        <f>'RESUMEN TOTAL'!A154</f>
        <v>KM 26700 (JULIO A. COSTA)</v>
      </c>
      <c r="B143" s="44" t="str">
        <f>'RESUMEN TOTAL'!B154</f>
        <v>KM 14 (fija 1)</v>
      </c>
      <c r="C143" s="44" t="str">
        <f>'RESUMEN TOTAL'!D154</f>
        <v>EL GAUCHO Y EL ZONDA</v>
      </c>
      <c r="D143" s="44" t="str">
        <f>'RESUMEN TOTAL'!E154</f>
        <v>Fija</v>
      </c>
      <c r="E143" s="44" t="str">
        <f>'RESUMEN TOTAL'!F154</f>
        <v>PTO A FO</v>
      </c>
      <c r="F143" s="24">
        <f>'RESUMEN TOTAL'!K154</f>
        <v>0</v>
      </c>
      <c r="G143" s="24">
        <f>'RESUMEN TOTAL'!L154</f>
        <v>0</v>
      </c>
      <c r="H143" s="24">
        <f>'RESUMEN TOTAL'!M154</f>
        <v>0</v>
      </c>
      <c r="I143" s="24">
        <f>'RESUMEN TOTAL'!N154</f>
        <v>0</v>
      </c>
      <c r="J143" s="24">
        <f>'RESUMEN TOTAL'!O154</f>
        <v>0</v>
      </c>
      <c r="K143" s="24">
        <f>'RESUMEN TOTAL'!P154</f>
        <v>0</v>
      </c>
      <c r="L143" s="24">
        <f>'RESUMEN TOTAL'!Q154</f>
        <v>0</v>
      </c>
      <c r="M143" s="24">
        <f>'RESUMEN TOTAL'!R154</f>
        <v>0</v>
      </c>
      <c r="N143" s="24">
        <f>'RESUMEN TOTAL'!S154</f>
        <v>0</v>
      </c>
      <c r="O143" s="24">
        <f>'RESUMEN TOTAL'!T154</f>
        <v>0</v>
      </c>
      <c r="P143" s="24">
        <f>'RESUMEN TOTAL'!U154</f>
        <v>0</v>
      </c>
      <c r="Q143" s="24">
        <f>'RESUMEN TOTAL'!V154</f>
        <v>0</v>
      </c>
      <c r="R143" s="24">
        <f>'RESUMEN TOTAL'!W154</f>
        <v>0</v>
      </c>
      <c r="S143" s="24">
        <f>'RESUMEN TOTAL'!X154</f>
        <v>0</v>
      </c>
      <c r="T143" s="24">
        <f>'RESUMEN TOTAL'!Y154</f>
        <v>0</v>
      </c>
      <c r="U143" s="24">
        <f>'RESUMEN TOTAL'!Z154</f>
        <v>0</v>
      </c>
      <c r="V143" s="24">
        <f>'RESUMEN TOTAL'!AA154</f>
        <v>0</v>
      </c>
      <c r="W143" s="24">
        <f>'RESUMEN TOTAL'!AB154</f>
        <v>0</v>
      </c>
      <c r="X143" s="24">
        <f>'RESUMEN TOTAL'!AC154</f>
        <v>0</v>
      </c>
      <c r="Y143" s="24">
        <f>'RESUMEN TOTAL'!AD154</f>
        <v>0</v>
      </c>
      <c r="Z143" s="24">
        <f>'RESUMEN TOTAL'!AE154</f>
        <v>0</v>
      </c>
      <c r="AA143" s="24">
        <f>'RESUMEN TOTAL'!AF154</f>
        <v>0</v>
      </c>
      <c r="AB143" s="24">
        <f>'RESUMEN TOTAL'!AG154</f>
        <v>0</v>
      </c>
      <c r="AC143" s="24">
        <f>'RESUMEN TOTAL'!AH154</f>
        <v>0</v>
      </c>
      <c r="AD143" s="24">
        <f>'RESUMEN TOTAL'!AI154</f>
        <v>0</v>
      </c>
      <c r="AE143" s="24">
        <f>'RESUMEN TOTAL'!AJ154</f>
        <v>0</v>
      </c>
      <c r="AF143" s="24">
        <f>'RESUMEN TOTAL'!AK154</f>
        <v>0</v>
      </c>
      <c r="AG143" s="24">
        <f>'RESUMEN TOTAL'!AL154</f>
        <v>0</v>
      </c>
      <c r="AH143" s="24">
        <f>'RESUMEN TOTAL'!AM154</f>
        <v>0</v>
      </c>
      <c r="AI143" s="24">
        <f>'RESUMEN TOTAL'!AN154</f>
        <v>0</v>
      </c>
    </row>
    <row r="144" spans="1:35" x14ac:dyDescent="0.25">
      <c r="A144" s="44" t="str">
        <f>'RESUMEN TOTAL'!A155</f>
        <v>KM 26700 (JULIO A. COSTA)</v>
      </c>
      <c r="B144" s="44" t="str">
        <f>'RESUMEN TOTAL'!B155</f>
        <v>KM 15 (fija 2)</v>
      </c>
      <c r="C144" s="44" t="str">
        <f>'RESUMEN TOTAL'!D155</f>
        <v>EL GAUCHO Y EL ZONDA</v>
      </c>
      <c r="D144" s="44" t="str">
        <f>'RESUMEN TOTAL'!E155</f>
        <v>Fija</v>
      </c>
      <c r="E144" s="44" t="str">
        <f>'RESUMEN TOTAL'!F155</f>
        <v>PTO A FO</v>
      </c>
      <c r="F144" s="24">
        <f>'RESUMEN TOTAL'!K155</f>
        <v>0</v>
      </c>
      <c r="G144" s="24">
        <f>'RESUMEN TOTAL'!L155</f>
        <v>0</v>
      </c>
      <c r="H144" s="24">
        <f>'RESUMEN TOTAL'!M155</f>
        <v>0</v>
      </c>
      <c r="I144" s="24">
        <f>'RESUMEN TOTAL'!N155</f>
        <v>0</v>
      </c>
      <c r="J144" s="24">
        <f>'RESUMEN TOTAL'!O155</f>
        <v>0</v>
      </c>
      <c r="K144" s="24">
        <f>'RESUMEN TOTAL'!P155</f>
        <v>0</v>
      </c>
      <c r="L144" s="24">
        <f>'RESUMEN TOTAL'!Q155</f>
        <v>0</v>
      </c>
      <c r="M144" s="24">
        <f>'RESUMEN TOTAL'!R155</f>
        <v>0</v>
      </c>
      <c r="N144" s="24">
        <f>'RESUMEN TOTAL'!S155</f>
        <v>0</v>
      </c>
      <c r="O144" s="24">
        <f>'RESUMEN TOTAL'!T155</f>
        <v>0</v>
      </c>
      <c r="P144" s="24">
        <f>'RESUMEN TOTAL'!U155</f>
        <v>0</v>
      </c>
      <c r="Q144" s="24">
        <f>'RESUMEN TOTAL'!V155</f>
        <v>0</v>
      </c>
      <c r="R144" s="24">
        <f>'RESUMEN TOTAL'!W155</f>
        <v>0</v>
      </c>
      <c r="S144" s="24">
        <f>'RESUMEN TOTAL'!X155</f>
        <v>0</v>
      </c>
      <c r="T144" s="24">
        <f>'RESUMEN TOTAL'!Y155</f>
        <v>0</v>
      </c>
      <c r="U144" s="24">
        <f>'RESUMEN TOTAL'!Z155</f>
        <v>0</v>
      </c>
      <c r="V144" s="24">
        <f>'RESUMEN TOTAL'!AA155</f>
        <v>0</v>
      </c>
      <c r="W144" s="24">
        <f>'RESUMEN TOTAL'!AB155</f>
        <v>0</v>
      </c>
      <c r="X144" s="24">
        <f>'RESUMEN TOTAL'!AC155</f>
        <v>0</v>
      </c>
      <c r="Y144" s="24">
        <f>'RESUMEN TOTAL'!AD155</f>
        <v>0</v>
      </c>
      <c r="Z144" s="24">
        <f>'RESUMEN TOTAL'!AE155</f>
        <v>0</v>
      </c>
      <c r="AA144" s="24">
        <f>'RESUMEN TOTAL'!AF155</f>
        <v>0</v>
      </c>
      <c r="AB144" s="24">
        <f>'RESUMEN TOTAL'!AG155</f>
        <v>0</v>
      </c>
      <c r="AC144" s="24">
        <f>'RESUMEN TOTAL'!AH155</f>
        <v>0</v>
      </c>
      <c r="AD144" s="24">
        <f>'RESUMEN TOTAL'!AI155</f>
        <v>0</v>
      </c>
      <c r="AE144" s="24">
        <f>'RESUMEN TOTAL'!AJ155</f>
        <v>0</v>
      </c>
      <c r="AF144" s="24">
        <f>'RESUMEN TOTAL'!AK155</f>
        <v>0</v>
      </c>
      <c r="AG144" s="24">
        <f>'RESUMEN TOTAL'!AL155</f>
        <v>0</v>
      </c>
      <c r="AH144" s="24">
        <f>'RESUMEN TOTAL'!AM155</f>
        <v>0</v>
      </c>
      <c r="AI144" s="24">
        <f>'RESUMEN TOTAL'!AN155</f>
        <v>0</v>
      </c>
    </row>
    <row r="145" spans="1:35" x14ac:dyDescent="0.25">
      <c r="A145" s="44" t="str">
        <f>'RESUMEN TOTAL'!A156</f>
        <v>KM 26700 (JULIO A. COSTA)</v>
      </c>
      <c r="B145" s="44" t="str">
        <f>'RESUMEN TOTAL'!B156</f>
        <v>KM 16 (fija 1)</v>
      </c>
      <c r="C145" s="44" t="str">
        <f>'RESUMEN TOTAL'!D156</f>
        <v>EL GAUCHO Y MARTIN FIERRO</v>
      </c>
      <c r="D145" s="44" t="str">
        <f>'RESUMEN TOTAL'!E156</f>
        <v>Fija</v>
      </c>
      <c r="E145" s="44" t="str">
        <f>'RESUMEN TOTAL'!F156</f>
        <v>PTO A FO</v>
      </c>
      <c r="F145" s="24">
        <f>'RESUMEN TOTAL'!K156</f>
        <v>0</v>
      </c>
      <c r="G145" s="24">
        <f>'RESUMEN TOTAL'!L156</f>
        <v>0</v>
      </c>
      <c r="H145" s="24">
        <f>'RESUMEN TOTAL'!M156</f>
        <v>0</v>
      </c>
      <c r="I145" s="24">
        <f>'RESUMEN TOTAL'!N156</f>
        <v>0</v>
      </c>
      <c r="J145" s="24">
        <f>'RESUMEN TOTAL'!O156</f>
        <v>0</v>
      </c>
      <c r="K145" s="24">
        <f>'RESUMEN TOTAL'!P156</f>
        <v>0</v>
      </c>
      <c r="L145" s="24">
        <f>'RESUMEN TOTAL'!Q156</f>
        <v>0</v>
      </c>
      <c r="M145" s="24">
        <f>'RESUMEN TOTAL'!R156</f>
        <v>0</v>
      </c>
      <c r="N145" s="24">
        <f>'RESUMEN TOTAL'!S156</f>
        <v>0</v>
      </c>
      <c r="O145" s="24">
        <f>'RESUMEN TOTAL'!T156</f>
        <v>0</v>
      </c>
      <c r="P145" s="24">
        <f>'RESUMEN TOTAL'!U156</f>
        <v>0</v>
      </c>
      <c r="Q145" s="24">
        <f>'RESUMEN TOTAL'!V156</f>
        <v>0</v>
      </c>
      <c r="R145" s="24">
        <f>'RESUMEN TOTAL'!W156</f>
        <v>0</v>
      </c>
      <c r="S145" s="24">
        <f>'RESUMEN TOTAL'!X156</f>
        <v>0</v>
      </c>
      <c r="T145" s="24">
        <f>'RESUMEN TOTAL'!Y156</f>
        <v>0</v>
      </c>
      <c r="U145" s="24">
        <f>'RESUMEN TOTAL'!Z156</f>
        <v>0</v>
      </c>
      <c r="V145" s="24">
        <f>'RESUMEN TOTAL'!AA156</f>
        <v>0</v>
      </c>
      <c r="W145" s="24">
        <f>'RESUMEN TOTAL'!AB156</f>
        <v>0</v>
      </c>
      <c r="X145" s="24">
        <f>'RESUMEN TOTAL'!AC156</f>
        <v>0</v>
      </c>
      <c r="Y145" s="24">
        <f>'RESUMEN TOTAL'!AD156</f>
        <v>0</v>
      </c>
      <c r="Z145" s="24">
        <f>'RESUMEN TOTAL'!AE156</f>
        <v>0</v>
      </c>
      <c r="AA145" s="24">
        <f>'RESUMEN TOTAL'!AF156</f>
        <v>0</v>
      </c>
      <c r="AB145" s="24">
        <f>'RESUMEN TOTAL'!AG156</f>
        <v>0</v>
      </c>
      <c r="AC145" s="24">
        <f>'RESUMEN TOTAL'!AH156</f>
        <v>0</v>
      </c>
      <c r="AD145" s="24">
        <f>'RESUMEN TOTAL'!AI156</f>
        <v>0</v>
      </c>
      <c r="AE145" s="24">
        <f>'RESUMEN TOTAL'!AJ156</f>
        <v>0</v>
      </c>
      <c r="AF145" s="24">
        <f>'RESUMEN TOTAL'!AK156</f>
        <v>0</v>
      </c>
      <c r="AG145" s="24">
        <f>'RESUMEN TOTAL'!AL156</f>
        <v>0</v>
      </c>
      <c r="AH145" s="24">
        <f>'RESUMEN TOTAL'!AM156</f>
        <v>0</v>
      </c>
      <c r="AI145" s="24">
        <f>'RESUMEN TOTAL'!AN156</f>
        <v>0</v>
      </c>
    </row>
    <row r="146" spans="1:35" x14ac:dyDescent="0.25">
      <c r="A146" s="44" t="str">
        <f>'RESUMEN TOTAL'!A157</f>
        <v>KM 26700 (JULIO A. COSTA)</v>
      </c>
      <c r="B146" s="44" t="str">
        <f>'RESUMEN TOTAL'!B157</f>
        <v>KM 17 (fija 2)</v>
      </c>
      <c r="C146" s="44" t="str">
        <f>'RESUMEN TOTAL'!D157</f>
        <v>EL GAUCHO Y MARTIN FIERRO</v>
      </c>
      <c r="D146" s="44" t="str">
        <f>'RESUMEN TOTAL'!E157</f>
        <v>Fija</v>
      </c>
      <c r="E146" s="44" t="str">
        <f>'RESUMEN TOTAL'!F157</f>
        <v>PTO A FO</v>
      </c>
      <c r="F146" s="24">
        <f>'RESUMEN TOTAL'!K157</f>
        <v>0</v>
      </c>
      <c r="G146" s="24">
        <f>'RESUMEN TOTAL'!L157</f>
        <v>0</v>
      </c>
      <c r="H146" s="24">
        <f>'RESUMEN TOTAL'!M157</f>
        <v>0</v>
      </c>
      <c r="I146" s="24">
        <f>'RESUMEN TOTAL'!N157</f>
        <v>0</v>
      </c>
      <c r="J146" s="24">
        <f>'RESUMEN TOTAL'!O157</f>
        <v>0</v>
      </c>
      <c r="K146" s="24">
        <f>'RESUMEN TOTAL'!P157</f>
        <v>0</v>
      </c>
      <c r="L146" s="24">
        <f>'RESUMEN TOTAL'!Q157</f>
        <v>0</v>
      </c>
      <c r="M146" s="24">
        <f>'RESUMEN TOTAL'!R157</f>
        <v>0</v>
      </c>
      <c r="N146" s="24">
        <f>'RESUMEN TOTAL'!S157</f>
        <v>0</v>
      </c>
      <c r="O146" s="24">
        <f>'RESUMEN TOTAL'!T157</f>
        <v>0</v>
      </c>
      <c r="P146" s="24">
        <f>'RESUMEN TOTAL'!U157</f>
        <v>0</v>
      </c>
      <c r="Q146" s="24">
        <f>'RESUMEN TOTAL'!V157</f>
        <v>0</v>
      </c>
      <c r="R146" s="24">
        <f>'RESUMEN TOTAL'!W157</f>
        <v>0</v>
      </c>
      <c r="S146" s="24">
        <f>'RESUMEN TOTAL'!X157</f>
        <v>0</v>
      </c>
      <c r="T146" s="24">
        <f>'RESUMEN TOTAL'!Y157</f>
        <v>0</v>
      </c>
      <c r="U146" s="24">
        <f>'RESUMEN TOTAL'!Z157</f>
        <v>0</v>
      </c>
      <c r="V146" s="24">
        <f>'RESUMEN TOTAL'!AA157</f>
        <v>0</v>
      </c>
      <c r="W146" s="24">
        <f>'RESUMEN TOTAL'!AB157</f>
        <v>0</v>
      </c>
      <c r="X146" s="24">
        <f>'RESUMEN TOTAL'!AC157</f>
        <v>0</v>
      </c>
      <c r="Y146" s="24">
        <f>'RESUMEN TOTAL'!AD157</f>
        <v>0</v>
      </c>
      <c r="Z146" s="24">
        <f>'RESUMEN TOTAL'!AE157</f>
        <v>0</v>
      </c>
      <c r="AA146" s="24">
        <f>'RESUMEN TOTAL'!AF157</f>
        <v>0</v>
      </c>
      <c r="AB146" s="24">
        <f>'RESUMEN TOTAL'!AG157</f>
        <v>0</v>
      </c>
      <c r="AC146" s="24">
        <f>'RESUMEN TOTAL'!AH157</f>
        <v>0</v>
      </c>
      <c r="AD146" s="24">
        <f>'RESUMEN TOTAL'!AI157</f>
        <v>0</v>
      </c>
      <c r="AE146" s="24">
        <f>'RESUMEN TOTAL'!AJ157</f>
        <v>0</v>
      </c>
      <c r="AF146" s="24">
        <f>'RESUMEN TOTAL'!AK157</f>
        <v>0</v>
      </c>
      <c r="AG146" s="24">
        <f>'RESUMEN TOTAL'!AL157</f>
        <v>0</v>
      </c>
      <c r="AH146" s="24">
        <f>'RESUMEN TOTAL'!AM157</f>
        <v>0</v>
      </c>
      <c r="AI146" s="24">
        <f>'RESUMEN TOTAL'!AN157</f>
        <v>0</v>
      </c>
    </row>
    <row r="147" spans="1:35" x14ac:dyDescent="0.25">
      <c r="A147" s="44" t="str">
        <f>'RESUMEN TOTAL'!A141</f>
        <v>VILLA ARGENTINA</v>
      </c>
      <c r="B147" s="44" t="str">
        <f>'RESUMEN TOTAL'!B141</f>
        <v>KM01</v>
      </c>
      <c r="C147" s="44" t="str">
        <f>'RESUMEN TOTAL'!D141</f>
        <v>Vias FFCC y La Pulperia</v>
      </c>
      <c r="D147" s="44" t="str">
        <f>'RESUMEN TOTAL'!E141</f>
        <v>DOMO</v>
      </c>
      <c r="E147" s="44" t="str">
        <f>'RESUMEN TOTAL'!F141</f>
        <v>Radio</v>
      </c>
      <c r="F147" s="24">
        <f>'RESUMEN TOTAL'!K141</f>
        <v>0</v>
      </c>
      <c r="G147" s="24">
        <f>'RESUMEN TOTAL'!L141</f>
        <v>0</v>
      </c>
      <c r="H147" s="24">
        <f>'RESUMEN TOTAL'!M141</f>
        <v>0</v>
      </c>
      <c r="I147" s="24">
        <f>'RESUMEN TOTAL'!N141</f>
        <v>0</v>
      </c>
      <c r="J147" s="24">
        <f>'RESUMEN TOTAL'!O141</f>
        <v>0</v>
      </c>
      <c r="K147" s="24">
        <f>'RESUMEN TOTAL'!P141</f>
        <v>0</v>
      </c>
      <c r="L147" s="24">
        <f>'RESUMEN TOTAL'!Q141</f>
        <v>0</v>
      </c>
      <c r="M147" s="24">
        <f>'RESUMEN TOTAL'!R141</f>
        <v>0</v>
      </c>
      <c r="N147" s="24">
        <f>'RESUMEN TOTAL'!S141</f>
        <v>0</v>
      </c>
      <c r="O147" s="24">
        <f>'RESUMEN TOTAL'!T141</f>
        <v>0</v>
      </c>
      <c r="P147" s="24">
        <f>'RESUMEN TOTAL'!U141</f>
        <v>0</v>
      </c>
      <c r="Q147" s="24">
        <f>'RESUMEN TOTAL'!V141</f>
        <v>0</v>
      </c>
      <c r="R147" s="24">
        <f>'RESUMEN TOTAL'!W141</f>
        <v>0</v>
      </c>
      <c r="S147" s="24">
        <f>'RESUMEN TOTAL'!X141</f>
        <v>0</v>
      </c>
      <c r="T147" s="24">
        <f>'RESUMEN TOTAL'!Y141</f>
        <v>0</v>
      </c>
      <c r="U147" s="24">
        <f>'RESUMEN TOTAL'!Z141</f>
        <v>0</v>
      </c>
      <c r="V147" s="24">
        <f>'RESUMEN TOTAL'!AA141</f>
        <v>0</v>
      </c>
      <c r="W147" s="24">
        <f>'RESUMEN TOTAL'!AB141</f>
        <v>0</v>
      </c>
      <c r="X147" s="24">
        <f>'RESUMEN TOTAL'!AC141</f>
        <v>0</v>
      </c>
      <c r="Y147" s="24">
        <f>'RESUMEN TOTAL'!AD141</f>
        <v>0</v>
      </c>
      <c r="Z147" s="24">
        <f>'RESUMEN TOTAL'!AE141</f>
        <v>0</v>
      </c>
      <c r="AA147" s="24">
        <f>'RESUMEN TOTAL'!AF141</f>
        <v>0</v>
      </c>
      <c r="AB147" s="24">
        <f>'RESUMEN TOTAL'!AG141</f>
        <v>0</v>
      </c>
      <c r="AC147" s="24">
        <f>'RESUMEN TOTAL'!AH141</f>
        <v>0</v>
      </c>
      <c r="AD147" s="24">
        <f>'RESUMEN TOTAL'!AI141</f>
        <v>0</v>
      </c>
      <c r="AE147" s="24">
        <f>'RESUMEN TOTAL'!AJ141</f>
        <v>0</v>
      </c>
      <c r="AF147" s="24">
        <f>'RESUMEN TOTAL'!AK141</f>
        <v>0</v>
      </c>
      <c r="AG147" s="24">
        <f>'RESUMEN TOTAL'!AL141</f>
        <v>0</v>
      </c>
      <c r="AH147" s="24">
        <f>'RESUMEN TOTAL'!AM141</f>
        <v>0</v>
      </c>
      <c r="AI147" s="24">
        <f>'RESUMEN TOTAL'!AN141</f>
        <v>0</v>
      </c>
    </row>
    <row r="148" spans="1:35" x14ac:dyDescent="0.25">
      <c r="A148" s="44" t="str">
        <f>'RESUMEN TOTAL'!A142</f>
        <v>CHACABUCO</v>
      </c>
      <c r="B148" s="44" t="str">
        <f>'RESUMEN TOTAL'!B142</f>
        <v>KM02</v>
      </c>
      <c r="C148" s="44" t="str">
        <f>'RESUMEN TOTAL'!D142</f>
        <v>Novak e/El Overo y el Mangrullo</v>
      </c>
      <c r="D148" s="44" t="str">
        <f>'RESUMEN TOTAL'!E142</f>
        <v>Domo</v>
      </c>
      <c r="E148" s="44" t="str">
        <f>'RESUMEN TOTAL'!F142</f>
        <v>Radio</v>
      </c>
      <c r="F148" s="24">
        <f>'RESUMEN TOTAL'!K142</f>
        <v>0</v>
      </c>
      <c r="G148" s="24">
        <f>'RESUMEN TOTAL'!L142</f>
        <v>0</v>
      </c>
      <c r="H148" s="24">
        <f>'RESUMEN TOTAL'!M142</f>
        <v>0</v>
      </c>
      <c r="I148" s="24">
        <f>'RESUMEN TOTAL'!N142</f>
        <v>0</v>
      </c>
      <c r="J148" s="24">
        <f>'RESUMEN TOTAL'!O142</f>
        <v>0</v>
      </c>
      <c r="K148" s="24">
        <f>'RESUMEN TOTAL'!P142</f>
        <v>0</v>
      </c>
      <c r="L148" s="24">
        <f>'RESUMEN TOTAL'!Q142</f>
        <v>0</v>
      </c>
      <c r="M148" s="24">
        <f>'RESUMEN TOTAL'!R142</f>
        <v>0</v>
      </c>
      <c r="N148" s="24">
        <f>'RESUMEN TOTAL'!S142</f>
        <v>0</v>
      </c>
      <c r="O148" s="24">
        <f>'RESUMEN TOTAL'!T142</f>
        <v>0</v>
      </c>
      <c r="P148" s="24">
        <f>'RESUMEN TOTAL'!U142</f>
        <v>0</v>
      </c>
      <c r="Q148" s="24">
        <f>'RESUMEN TOTAL'!V142</f>
        <v>0</v>
      </c>
      <c r="R148" s="24">
        <f>'RESUMEN TOTAL'!W142</f>
        <v>0</v>
      </c>
      <c r="S148" s="24">
        <f>'RESUMEN TOTAL'!X142</f>
        <v>0</v>
      </c>
      <c r="T148" s="24">
        <f>'RESUMEN TOTAL'!Y142</f>
        <v>0</v>
      </c>
      <c r="U148" s="24">
        <f>'RESUMEN TOTAL'!Z142</f>
        <v>0</v>
      </c>
      <c r="V148" s="24">
        <f>'RESUMEN TOTAL'!AA142</f>
        <v>0</v>
      </c>
      <c r="W148" s="24">
        <f>'RESUMEN TOTAL'!AB142</f>
        <v>0</v>
      </c>
      <c r="X148" s="24">
        <f>'RESUMEN TOTAL'!AC142</f>
        <v>0</v>
      </c>
      <c r="Y148" s="24">
        <f>'RESUMEN TOTAL'!AD142</f>
        <v>0</v>
      </c>
      <c r="Z148" s="24">
        <f>'RESUMEN TOTAL'!AE142</f>
        <v>0</v>
      </c>
      <c r="AA148" s="24">
        <f>'RESUMEN TOTAL'!AF142</f>
        <v>0</v>
      </c>
      <c r="AB148" s="24">
        <f>'RESUMEN TOTAL'!AG142</f>
        <v>0</v>
      </c>
      <c r="AC148" s="24">
        <f>'RESUMEN TOTAL'!AH142</f>
        <v>0</v>
      </c>
      <c r="AD148" s="24">
        <f>'RESUMEN TOTAL'!AI142</f>
        <v>0</v>
      </c>
      <c r="AE148" s="24">
        <f>'RESUMEN TOTAL'!AJ142</f>
        <v>0</v>
      </c>
      <c r="AF148" s="24">
        <f>'RESUMEN TOTAL'!AK142</f>
        <v>0</v>
      </c>
      <c r="AG148" s="24">
        <f>'RESUMEN TOTAL'!AL142</f>
        <v>0</v>
      </c>
      <c r="AH148" s="24">
        <f>'RESUMEN TOTAL'!AM142</f>
        <v>0</v>
      </c>
      <c r="AI148" s="24">
        <f>'RESUMEN TOTAL'!AN142</f>
        <v>0</v>
      </c>
    </row>
    <row r="149" spans="1:35" x14ac:dyDescent="0.25">
      <c r="A149" s="44" t="str">
        <f>'RESUMEN TOTAL'!A143</f>
        <v>KM 26700 (JULIO A. COSTA)</v>
      </c>
      <c r="B149" s="44" t="str">
        <f>'RESUMEN TOTAL'!B143</f>
        <v>KM03</v>
      </c>
      <c r="C149" s="44" t="str">
        <f>'RESUMEN TOTAL'!D143</f>
        <v>Novak y La Pulperia</v>
      </c>
      <c r="D149" s="44" t="str">
        <f>'RESUMEN TOTAL'!E143</f>
        <v>Domo</v>
      </c>
      <c r="E149" s="44" t="str">
        <f>'RESUMEN TOTAL'!F143</f>
        <v>Radio</v>
      </c>
      <c r="F149" s="24">
        <f>'RESUMEN TOTAL'!K143</f>
        <v>0</v>
      </c>
      <c r="G149" s="24">
        <f>'RESUMEN TOTAL'!L143</f>
        <v>0</v>
      </c>
      <c r="H149" s="24">
        <f>'RESUMEN TOTAL'!M143</f>
        <v>0</v>
      </c>
      <c r="I149" s="24">
        <f>'RESUMEN TOTAL'!N143</f>
        <v>0</v>
      </c>
      <c r="J149" s="24">
        <f>'RESUMEN TOTAL'!O143</f>
        <v>0</v>
      </c>
      <c r="K149" s="24">
        <f>'RESUMEN TOTAL'!P143</f>
        <v>0</v>
      </c>
      <c r="L149" s="24">
        <f>'RESUMEN TOTAL'!Q143</f>
        <v>0</v>
      </c>
      <c r="M149" s="24">
        <f>'RESUMEN TOTAL'!R143</f>
        <v>0</v>
      </c>
      <c r="N149" s="24">
        <f>'RESUMEN TOTAL'!S143</f>
        <v>0</v>
      </c>
      <c r="O149" s="24">
        <f>'RESUMEN TOTAL'!T143</f>
        <v>0</v>
      </c>
      <c r="P149" s="24">
        <f>'RESUMEN TOTAL'!U143</f>
        <v>0</v>
      </c>
      <c r="Q149" s="24">
        <f>'RESUMEN TOTAL'!V143</f>
        <v>0</v>
      </c>
      <c r="R149" s="24">
        <f>'RESUMEN TOTAL'!W143</f>
        <v>0</v>
      </c>
      <c r="S149" s="24">
        <f>'RESUMEN TOTAL'!X143</f>
        <v>0</v>
      </c>
      <c r="T149" s="24">
        <f>'RESUMEN TOTAL'!Y143</f>
        <v>0</v>
      </c>
      <c r="U149" s="24">
        <f>'RESUMEN TOTAL'!Z143</f>
        <v>0</v>
      </c>
      <c r="V149" s="24">
        <f>'RESUMEN TOTAL'!AA143</f>
        <v>0</v>
      </c>
      <c r="W149" s="24">
        <f>'RESUMEN TOTAL'!AB143</f>
        <v>0</v>
      </c>
      <c r="X149" s="24">
        <f>'RESUMEN TOTAL'!AC143</f>
        <v>0</v>
      </c>
      <c r="Y149" s="24">
        <f>'RESUMEN TOTAL'!AD143</f>
        <v>0</v>
      </c>
      <c r="Z149" s="24">
        <f>'RESUMEN TOTAL'!AE143</f>
        <v>0</v>
      </c>
      <c r="AA149" s="24">
        <f>'RESUMEN TOTAL'!AF143</f>
        <v>0</v>
      </c>
      <c r="AB149" s="24">
        <f>'RESUMEN TOTAL'!AG143</f>
        <v>0</v>
      </c>
      <c r="AC149" s="24">
        <f>'RESUMEN TOTAL'!AH143</f>
        <v>0</v>
      </c>
      <c r="AD149" s="24">
        <f>'RESUMEN TOTAL'!AI143</f>
        <v>0</v>
      </c>
      <c r="AE149" s="24">
        <f>'RESUMEN TOTAL'!AJ143</f>
        <v>0</v>
      </c>
      <c r="AF149" s="24">
        <f>'RESUMEN TOTAL'!AK143</f>
        <v>0</v>
      </c>
      <c r="AG149" s="24">
        <f>'RESUMEN TOTAL'!AL143</f>
        <v>0</v>
      </c>
      <c r="AH149" s="24">
        <f>'RESUMEN TOTAL'!AM143</f>
        <v>0</v>
      </c>
      <c r="AI149" s="24">
        <f>'RESUMEN TOTAL'!AN143</f>
        <v>0</v>
      </c>
    </row>
    <row r="150" spans="1:35" x14ac:dyDescent="0.25">
      <c r="A150" s="44" t="str">
        <f>'RESUMEN TOTAL'!A144</f>
        <v>KM 26700 (JULIO A. COSTA)</v>
      </c>
      <c r="B150" s="44" t="str">
        <f>'RESUMEN TOTAL'!B144</f>
        <v>KM04</v>
      </c>
      <c r="C150" s="44" t="str">
        <f>'RESUMEN TOTAL'!D144</f>
        <v>El Ombu y El Zonda</v>
      </c>
      <c r="D150" s="44" t="str">
        <f>'RESUMEN TOTAL'!E144</f>
        <v>Domo</v>
      </c>
      <c r="E150" s="44" t="str">
        <f>'RESUMEN TOTAL'!F144</f>
        <v>Radio</v>
      </c>
      <c r="F150" s="24">
        <f>'RESUMEN TOTAL'!K144</f>
        <v>0</v>
      </c>
      <c r="G150" s="24">
        <f>'RESUMEN TOTAL'!L144</f>
        <v>0</v>
      </c>
      <c r="H150" s="24">
        <f>'RESUMEN TOTAL'!M144</f>
        <v>0</v>
      </c>
      <c r="I150" s="24">
        <f>'RESUMEN TOTAL'!N144</f>
        <v>0</v>
      </c>
      <c r="J150" s="24">
        <f>'RESUMEN TOTAL'!O144</f>
        <v>0</v>
      </c>
      <c r="K150" s="24">
        <f>'RESUMEN TOTAL'!P144</f>
        <v>0</v>
      </c>
      <c r="L150" s="24">
        <f>'RESUMEN TOTAL'!Q144</f>
        <v>0</v>
      </c>
      <c r="M150" s="24">
        <f>'RESUMEN TOTAL'!R144</f>
        <v>0</v>
      </c>
      <c r="N150" s="24">
        <f>'RESUMEN TOTAL'!S144</f>
        <v>0</v>
      </c>
      <c r="O150" s="24">
        <f>'RESUMEN TOTAL'!T144</f>
        <v>0</v>
      </c>
      <c r="P150" s="24">
        <f>'RESUMEN TOTAL'!U144</f>
        <v>0</v>
      </c>
      <c r="Q150" s="24">
        <f>'RESUMEN TOTAL'!V144</f>
        <v>0</v>
      </c>
      <c r="R150" s="24">
        <f>'RESUMEN TOTAL'!W144</f>
        <v>0</v>
      </c>
      <c r="S150" s="24">
        <f>'RESUMEN TOTAL'!X144</f>
        <v>0</v>
      </c>
      <c r="T150" s="24">
        <f>'RESUMEN TOTAL'!Y144</f>
        <v>0</v>
      </c>
      <c r="U150" s="24">
        <f>'RESUMEN TOTAL'!Z144</f>
        <v>0</v>
      </c>
      <c r="V150" s="24">
        <f>'RESUMEN TOTAL'!AA144</f>
        <v>0</v>
      </c>
      <c r="W150" s="24">
        <f>'RESUMEN TOTAL'!AB144</f>
        <v>0</v>
      </c>
      <c r="X150" s="24">
        <f>'RESUMEN TOTAL'!AC144</f>
        <v>0</v>
      </c>
      <c r="Y150" s="24">
        <f>'RESUMEN TOTAL'!AD144</f>
        <v>0</v>
      </c>
      <c r="Z150" s="24">
        <f>'RESUMEN TOTAL'!AE144</f>
        <v>0</v>
      </c>
      <c r="AA150" s="24">
        <f>'RESUMEN TOTAL'!AF144</f>
        <v>0</v>
      </c>
      <c r="AB150" s="24">
        <f>'RESUMEN TOTAL'!AG144</f>
        <v>0</v>
      </c>
      <c r="AC150" s="24">
        <f>'RESUMEN TOTAL'!AH144</f>
        <v>0</v>
      </c>
      <c r="AD150" s="24">
        <f>'RESUMEN TOTAL'!AI144</f>
        <v>0</v>
      </c>
      <c r="AE150" s="24">
        <f>'RESUMEN TOTAL'!AJ144</f>
        <v>0</v>
      </c>
      <c r="AF150" s="24">
        <f>'RESUMEN TOTAL'!AK144</f>
        <v>0</v>
      </c>
      <c r="AG150" s="24">
        <f>'RESUMEN TOTAL'!AL144</f>
        <v>0</v>
      </c>
      <c r="AH150" s="24">
        <f>'RESUMEN TOTAL'!AM144</f>
        <v>0</v>
      </c>
      <c r="AI150" s="24">
        <f>'RESUMEN TOTAL'!AN144</f>
        <v>0</v>
      </c>
    </row>
    <row r="151" spans="1:35" x14ac:dyDescent="0.25">
      <c r="A151" s="44" t="str">
        <f>'RESUMEN TOTAL'!A145</f>
        <v>KM 26700 (JULIO A. COSTA)</v>
      </c>
      <c r="B151" s="44" t="str">
        <f>'RESUMEN TOTAL'!B145</f>
        <v>KM05</v>
      </c>
      <c r="C151" s="44" t="str">
        <f>'RESUMEN TOTAL'!D145</f>
        <v>El Ombu y Los Charruas</v>
      </c>
      <c r="D151" s="44" t="str">
        <f>'RESUMEN TOTAL'!E145</f>
        <v>Domo</v>
      </c>
      <c r="E151" s="44" t="str">
        <f>'RESUMEN TOTAL'!F145</f>
        <v>Radio</v>
      </c>
      <c r="F151" s="24">
        <f>'RESUMEN TOTAL'!K145</f>
        <v>0</v>
      </c>
      <c r="G151" s="24">
        <f>'RESUMEN TOTAL'!L145</f>
        <v>0</v>
      </c>
      <c r="H151" s="24">
        <f>'RESUMEN TOTAL'!M145</f>
        <v>0</v>
      </c>
      <c r="I151" s="24">
        <f>'RESUMEN TOTAL'!N145</f>
        <v>0</v>
      </c>
      <c r="J151" s="24">
        <f>'RESUMEN TOTAL'!O145</f>
        <v>0</v>
      </c>
      <c r="K151" s="24">
        <f>'RESUMEN TOTAL'!P145</f>
        <v>0</v>
      </c>
      <c r="L151" s="24">
        <f>'RESUMEN TOTAL'!Q145</f>
        <v>0</v>
      </c>
      <c r="M151" s="24">
        <f>'RESUMEN TOTAL'!R145</f>
        <v>0</v>
      </c>
      <c r="N151" s="24">
        <f>'RESUMEN TOTAL'!S145</f>
        <v>0</v>
      </c>
      <c r="O151" s="24">
        <f>'RESUMEN TOTAL'!T145</f>
        <v>0</v>
      </c>
      <c r="P151" s="24">
        <f>'RESUMEN TOTAL'!U145</f>
        <v>0</v>
      </c>
      <c r="Q151" s="24">
        <f>'RESUMEN TOTAL'!V145</f>
        <v>0</v>
      </c>
      <c r="R151" s="24">
        <f>'RESUMEN TOTAL'!W145</f>
        <v>0</v>
      </c>
      <c r="S151" s="24">
        <f>'RESUMEN TOTAL'!X145</f>
        <v>0</v>
      </c>
      <c r="T151" s="24">
        <f>'RESUMEN TOTAL'!Y145</f>
        <v>0</v>
      </c>
      <c r="U151" s="24">
        <f>'RESUMEN TOTAL'!Z145</f>
        <v>0</v>
      </c>
      <c r="V151" s="24">
        <f>'RESUMEN TOTAL'!AA145</f>
        <v>0</v>
      </c>
      <c r="W151" s="24">
        <f>'RESUMEN TOTAL'!AB145</f>
        <v>0</v>
      </c>
      <c r="X151" s="24">
        <f>'RESUMEN TOTAL'!AC145</f>
        <v>0</v>
      </c>
      <c r="Y151" s="24">
        <f>'RESUMEN TOTAL'!AD145</f>
        <v>0</v>
      </c>
      <c r="Z151" s="24">
        <f>'RESUMEN TOTAL'!AE145</f>
        <v>0</v>
      </c>
      <c r="AA151" s="24">
        <f>'RESUMEN TOTAL'!AF145</f>
        <v>0</v>
      </c>
      <c r="AB151" s="24">
        <f>'RESUMEN TOTAL'!AG145</f>
        <v>0</v>
      </c>
      <c r="AC151" s="24">
        <f>'RESUMEN TOTAL'!AH145</f>
        <v>0</v>
      </c>
      <c r="AD151" s="24">
        <f>'RESUMEN TOTAL'!AI145</f>
        <v>0</v>
      </c>
      <c r="AE151" s="24">
        <f>'RESUMEN TOTAL'!AJ145</f>
        <v>0</v>
      </c>
      <c r="AF151" s="24">
        <f>'RESUMEN TOTAL'!AK145</f>
        <v>0</v>
      </c>
      <c r="AG151" s="24">
        <f>'RESUMEN TOTAL'!AL145</f>
        <v>0</v>
      </c>
      <c r="AH151" s="24">
        <f>'RESUMEN TOTAL'!AM145</f>
        <v>0</v>
      </c>
      <c r="AI151" s="24">
        <f>'RESUMEN TOTAL'!AN145</f>
        <v>0</v>
      </c>
    </row>
    <row r="152" spans="1:35" x14ac:dyDescent="0.25">
      <c r="A152" s="44" t="str">
        <f>'RESUMEN TOTAL'!A146</f>
        <v>KM 26700 (JULIO A. COSTA)</v>
      </c>
      <c r="B152" s="44" t="str">
        <f>'RESUMEN TOTAL'!B146</f>
        <v>KM06</v>
      </c>
      <c r="C152" s="44" t="str">
        <f>'RESUMEN TOTAL'!D146</f>
        <v>El Ombu y La Cautiva</v>
      </c>
      <c r="D152" s="44" t="str">
        <f>'RESUMEN TOTAL'!E146</f>
        <v>DOMO</v>
      </c>
      <c r="E152" s="44" t="str">
        <f>'RESUMEN TOTAL'!F146</f>
        <v>Radio</v>
      </c>
      <c r="F152" s="24">
        <f>'RESUMEN TOTAL'!K146</f>
        <v>0</v>
      </c>
      <c r="G152" s="24">
        <f>'RESUMEN TOTAL'!L146</f>
        <v>0</v>
      </c>
      <c r="H152" s="24">
        <f>'RESUMEN TOTAL'!M146</f>
        <v>0</v>
      </c>
      <c r="I152" s="24">
        <f>'RESUMEN TOTAL'!N146</f>
        <v>0</v>
      </c>
      <c r="J152" s="24">
        <f>'RESUMEN TOTAL'!O146</f>
        <v>0</v>
      </c>
      <c r="K152" s="24">
        <f>'RESUMEN TOTAL'!P146</f>
        <v>0</v>
      </c>
      <c r="L152" s="24">
        <f>'RESUMEN TOTAL'!Q146</f>
        <v>0</v>
      </c>
      <c r="M152" s="24">
        <f>'RESUMEN TOTAL'!R146</f>
        <v>0</v>
      </c>
      <c r="N152" s="24">
        <f>'RESUMEN TOTAL'!S146</f>
        <v>0</v>
      </c>
      <c r="O152" s="24">
        <f>'RESUMEN TOTAL'!T146</f>
        <v>0</v>
      </c>
      <c r="P152" s="24">
        <f>'RESUMEN TOTAL'!U146</f>
        <v>0</v>
      </c>
      <c r="Q152" s="24">
        <f>'RESUMEN TOTAL'!V146</f>
        <v>0</v>
      </c>
      <c r="R152" s="24">
        <f>'RESUMEN TOTAL'!W146</f>
        <v>0</v>
      </c>
      <c r="S152" s="24">
        <f>'RESUMEN TOTAL'!X146</f>
        <v>0</v>
      </c>
      <c r="T152" s="24">
        <f>'RESUMEN TOTAL'!Y146</f>
        <v>0</v>
      </c>
      <c r="U152" s="24">
        <f>'RESUMEN TOTAL'!Z146</f>
        <v>0</v>
      </c>
      <c r="V152" s="24">
        <f>'RESUMEN TOTAL'!AA146</f>
        <v>0</v>
      </c>
      <c r="W152" s="24">
        <f>'RESUMEN TOTAL'!AB146</f>
        <v>0</v>
      </c>
      <c r="X152" s="24">
        <f>'RESUMEN TOTAL'!AC146</f>
        <v>0</v>
      </c>
      <c r="Y152" s="24">
        <f>'RESUMEN TOTAL'!AD146</f>
        <v>0</v>
      </c>
      <c r="Z152" s="24">
        <f>'RESUMEN TOTAL'!AE146</f>
        <v>0</v>
      </c>
      <c r="AA152" s="24">
        <f>'RESUMEN TOTAL'!AF146</f>
        <v>0</v>
      </c>
      <c r="AB152" s="24">
        <f>'RESUMEN TOTAL'!AG146</f>
        <v>0</v>
      </c>
      <c r="AC152" s="24">
        <f>'RESUMEN TOTAL'!AH146</f>
        <v>0</v>
      </c>
      <c r="AD152" s="24">
        <f>'RESUMEN TOTAL'!AI146</f>
        <v>0</v>
      </c>
      <c r="AE152" s="24">
        <f>'RESUMEN TOTAL'!AJ146</f>
        <v>0</v>
      </c>
      <c r="AF152" s="24">
        <f>'RESUMEN TOTAL'!AK146</f>
        <v>0</v>
      </c>
      <c r="AG152" s="24">
        <f>'RESUMEN TOTAL'!AL146</f>
        <v>0</v>
      </c>
      <c r="AH152" s="24">
        <f>'RESUMEN TOTAL'!AM146</f>
        <v>0</v>
      </c>
      <c r="AI152" s="24">
        <f>'RESUMEN TOTAL'!AN146</f>
        <v>0</v>
      </c>
    </row>
    <row r="153" spans="1:35" x14ac:dyDescent="0.25">
      <c r="A153" s="44" t="str">
        <f>'RESUMEN TOTAL'!A148</f>
        <v>KM 26700 (JULIO A. COSTA)</v>
      </c>
      <c r="B153" s="44" t="str">
        <f>'RESUMEN TOTAL'!B148</f>
        <v>KM08 / UPA 03</v>
      </c>
      <c r="C153" s="44" t="str">
        <f>'RESUMEN TOTAL'!D148</f>
        <v>LOS CHARRUAS Y BLANDENGUES</v>
      </c>
      <c r="D153" s="44" t="str">
        <f>'RESUMEN TOTAL'!E148</f>
        <v>DOMO</v>
      </c>
      <c r="E153" s="44" t="str">
        <f>'RESUMEN TOTAL'!F148</f>
        <v>Radio</v>
      </c>
      <c r="F153" s="24">
        <f>'RESUMEN TOTAL'!K148</f>
        <v>0</v>
      </c>
      <c r="G153" s="24">
        <f>'RESUMEN TOTAL'!L148</f>
        <v>0</v>
      </c>
      <c r="H153" s="24">
        <f>'RESUMEN TOTAL'!M148</f>
        <v>0</v>
      </c>
      <c r="I153" s="24">
        <f>'RESUMEN TOTAL'!N148</f>
        <v>0</v>
      </c>
      <c r="J153" s="24">
        <f>'RESUMEN TOTAL'!O148</f>
        <v>0</v>
      </c>
      <c r="K153" s="24">
        <f>'RESUMEN TOTAL'!P148</f>
        <v>0</v>
      </c>
      <c r="L153" s="24">
        <f>'RESUMEN TOTAL'!Q148</f>
        <v>0</v>
      </c>
      <c r="M153" s="24">
        <f>'RESUMEN TOTAL'!R148</f>
        <v>0</v>
      </c>
      <c r="N153" s="24">
        <f>'RESUMEN TOTAL'!S148</f>
        <v>0</v>
      </c>
      <c r="O153" s="24">
        <f>'RESUMEN TOTAL'!T148</f>
        <v>0</v>
      </c>
      <c r="P153" s="24">
        <f>'RESUMEN TOTAL'!U148</f>
        <v>0</v>
      </c>
      <c r="Q153" s="24">
        <f>'RESUMEN TOTAL'!V148</f>
        <v>0</v>
      </c>
      <c r="R153" s="24">
        <f>'RESUMEN TOTAL'!W148</f>
        <v>0</v>
      </c>
      <c r="S153" s="24">
        <f>'RESUMEN TOTAL'!X148</f>
        <v>0</v>
      </c>
      <c r="T153" s="24">
        <f>'RESUMEN TOTAL'!Y148</f>
        <v>0</v>
      </c>
      <c r="U153" s="24">
        <f>'RESUMEN TOTAL'!Z148</f>
        <v>0</v>
      </c>
      <c r="V153" s="24">
        <f>'RESUMEN TOTAL'!AA148</f>
        <v>0</v>
      </c>
      <c r="W153" s="24">
        <f>'RESUMEN TOTAL'!AB148</f>
        <v>0</v>
      </c>
      <c r="X153" s="24">
        <f>'RESUMEN TOTAL'!AC148</f>
        <v>0</v>
      </c>
      <c r="Y153" s="24">
        <f>'RESUMEN TOTAL'!AD148</f>
        <v>0</v>
      </c>
      <c r="Z153" s="24">
        <f>'RESUMEN TOTAL'!AE148</f>
        <v>0</v>
      </c>
      <c r="AA153" s="24">
        <f>'RESUMEN TOTAL'!AF148</f>
        <v>0</v>
      </c>
      <c r="AB153" s="24">
        <f>'RESUMEN TOTAL'!AG148</f>
        <v>0</v>
      </c>
      <c r="AC153" s="24">
        <f>'RESUMEN TOTAL'!AH148</f>
        <v>0</v>
      </c>
      <c r="AD153" s="24">
        <f>'RESUMEN TOTAL'!AI148</f>
        <v>0</v>
      </c>
      <c r="AE153" s="24">
        <f>'RESUMEN TOTAL'!AJ148</f>
        <v>0</v>
      </c>
      <c r="AF153" s="24">
        <f>'RESUMEN TOTAL'!AK148</f>
        <v>0</v>
      </c>
      <c r="AG153" s="24">
        <f>'RESUMEN TOTAL'!AL148</f>
        <v>0</v>
      </c>
      <c r="AH153" s="24">
        <f>'RESUMEN TOTAL'!AM148</f>
        <v>0</v>
      </c>
      <c r="AI153" s="24">
        <f>'RESUMEN TOTAL'!AN148</f>
        <v>0</v>
      </c>
    </row>
    <row r="154" spans="1:35" x14ac:dyDescent="0.25">
      <c r="A154" s="44" t="str">
        <f>'RESUMEN TOTAL'!A149</f>
        <v>KM 26700 (JULIO A. COSTA)</v>
      </c>
      <c r="B154" s="44" t="str">
        <f>'RESUMEN TOTAL'!B149</f>
        <v>KM09 / UPA 1</v>
      </c>
      <c r="C154" s="44" t="str">
        <f>'RESUMEN TOTAL'!D149</f>
        <v>NOVAK Y LA POSTA</v>
      </c>
      <c r="D154" s="44" t="str">
        <f>'RESUMEN TOTAL'!E149</f>
        <v>DOMO</v>
      </c>
      <c r="E154" s="44" t="str">
        <f>'RESUMEN TOTAL'!F149</f>
        <v>Radio</v>
      </c>
      <c r="F154" s="24">
        <f>'RESUMEN TOTAL'!K149</f>
        <v>0</v>
      </c>
      <c r="G154" s="24">
        <f>'RESUMEN TOTAL'!L149</f>
        <v>0</v>
      </c>
      <c r="H154" s="24">
        <f>'RESUMEN TOTAL'!M149</f>
        <v>0</v>
      </c>
      <c r="I154" s="24">
        <f>'RESUMEN TOTAL'!N149</f>
        <v>0</v>
      </c>
      <c r="J154" s="24">
        <f>'RESUMEN TOTAL'!O149</f>
        <v>0</v>
      </c>
      <c r="K154" s="24">
        <f>'RESUMEN TOTAL'!P149</f>
        <v>0</v>
      </c>
      <c r="L154" s="24">
        <f>'RESUMEN TOTAL'!Q149</f>
        <v>0</v>
      </c>
      <c r="M154" s="24">
        <f>'RESUMEN TOTAL'!R149</f>
        <v>0</v>
      </c>
      <c r="N154" s="24">
        <f>'RESUMEN TOTAL'!S149</f>
        <v>0</v>
      </c>
      <c r="O154" s="24">
        <f>'RESUMEN TOTAL'!T149</f>
        <v>0</v>
      </c>
      <c r="P154" s="24">
        <f>'RESUMEN TOTAL'!U149</f>
        <v>0</v>
      </c>
      <c r="Q154" s="24">
        <f>'RESUMEN TOTAL'!V149</f>
        <v>0</v>
      </c>
      <c r="R154" s="24">
        <f>'RESUMEN TOTAL'!W149</f>
        <v>0</v>
      </c>
      <c r="S154" s="24">
        <f>'RESUMEN TOTAL'!X149</f>
        <v>0</v>
      </c>
      <c r="T154" s="24">
        <f>'RESUMEN TOTAL'!Y149</f>
        <v>0</v>
      </c>
      <c r="U154" s="24">
        <f>'RESUMEN TOTAL'!Z149</f>
        <v>0</v>
      </c>
      <c r="V154" s="24">
        <f>'RESUMEN TOTAL'!AA149</f>
        <v>0</v>
      </c>
      <c r="W154" s="24">
        <f>'RESUMEN TOTAL'!AB149</f>
        <v>0</v>
      </c>
      <c r="X154" s="24">
        <f>'RESUMEN TOTAL'!AC149</f>
        <v>0</v>
      </c>
      <c r="Y154" s="24">
        <f>'RESUMEN TOTAL'!AD149</f>
        <v>0</v>
      </c>
      <c r="Z154" s="24">
        <f>'RESUMEN TOTAL'!AE149</f>
        <v>0</v>
      </c>
      <c r="AA154" s="24">
        <f>'RESUMEN TOTAL'!AF149</f>
        <v>0</v>
      </c>
      <c r="AB154" s="24">
        <f>'RESUMEN TOTAL'!AG149</f>
        <v>0</v>
      </c>
      <c r="AC154" s="24">
        <f>'RESUMEN TOTAL'!AH149</f>
        <v>0</v>
      </c>
      <c r="AD154" s="24">
        <f>'RESUMEN TOTAL'!AI149</f>
        <v>0</v>
      </c>
      <c r="AE154" s="24">
        <f>'RESUMEN TOTAL'!AJ149</f>
        <v>0</v>
      </c>
      <c r="AF154" s="24">
        <f>'RESUMEN TOTAL'!AK149</f>
        <v>0</v>
      </c>
      <c r="AG154" s="24">
        <f>'RESUMEN TOTAL'!AL149</f>
        <v>0</v>
      </c>
      <c r="AH154" s="24">
        <f>'RESUMEN TOTAL'!AM149</f>
        <v>0</v>
      </c>
      <c r="AI154" s="24">
        <f>'RESUMEN TOTAL'!AN149</f>
        <v>0</v>
      </c>
    </row>
    <row r="155" spans="1:35" x14ac:dyDescent="0.25">
      <c r="A155" s="44" t="str">
        <f>'RESUMEN TOTAL'!A151</f>
        <v>KM 26700 (JULIO A. COSTA)</v>
      </c>
      <c r="B155" s="44" t="str">
        <f>'RESUMEN TOTAL'!B151</f>
        <v>KM11</v>
      </c>
      <c r="C155" s="44" t="str">
        <f>'RESUMEN TOTAL'!D151</f>
        <v>NOVAK Y EL OVERO</v>
      </c>
      <c r="D155" s="44" t="str">
        <f>'RESUMEN TOTAL'!E151</f>
        <v>DOMO</v>
      </c>
      <c r="E155" s="44" t="str">
        <f>'RESUMEN TOTAL'!F151</f>
        <v>Fibra Optica</v>
      </c>
      <c r="F155" s="24">
        <f>'RESUMEN TOTAL'!K151</f>
        <v>0</v>
      </c>
      <c r="G155" s="24">
        <f>'RESUMEN TOTAL'!L151</f>
        <v>0</v>
      </c>
      <c r="H155" s="24">
        <f>'RESUMEN TOTAL'!M151</f>
        <v>0</v>
      </c>
      <c r="I155" s="24">
        <f>'RESUMEN TOTAL'!N151</f>
        <v>0</v>
      </c>
      <c r="J155" s="24">
        <f>'RESUMEN TOTAL'!O151</f>
        <v>0</v>
      </c>
      <c r="K155" s="24">
        <f>'RESUMEN TOTAL'!P151</f>
        <v>0</v>
      </c>
      <c r="L155" s="24">
        <f>'RESUMEN TOTAL'!Q151</f>
        <v>0</v>
      </c>
      <c r="M155" s="24">
        <f>'RESUMEN TOTAL'!R151</f>
        <v>0</v>
      </c>
      <c r="N155" s="24">
        <f>'RESUMEN TOTAL'!S151</f>
        <v>0</v>
      </c>
      <c r="O155" s="24">
        <f>'RESUMEN TOTAL'!T151</f>
        <v>0</v>
      </c>
      <c r="P155" s="24">
        <f>'RESUMEN TOTAL'!U151</f>
        <v>0</v>
      </c>
      <c r="Q155" s="24">
        <f>'RESUMEN TOTAL'!V151</f>
        <v>0</v>
      </c>
      <c r="R155" s="24">
        <f>'RESUMEN TOTAL'!W151</f>
        <v>0</v>
      </c>
      <c r="S155" s="24">
        <f>'RESUMEN TOTAL'!X151</f>
        <v>0</v>
      </c>
      <c r="T155" s="24">
        <f>'RESUMEN TOTAL'!Y151</f>
        <v>0</v>
      </c>
      <c r="U155" s="24">
        <f>'RESUMEN TOTAL'!Z151</f>
        <v>0</v>
      </c>
      <c r="V155" s="24">
        <f>'RESUMEN TOTAL'!AA151</f>
        <v>0</v>
      </c>
      <c r="W155" s="24">
        <f>'RESUMEN TOTAL'!AB151</f>
        <v>0</v>
      </c>
      <c r="X155" s="24">
        <f>'RESUMEN TOTAL'!AC151</f>
        <v>0</v>
      </c>
      <c r="Y155" s="24">
        <f>'RESUMEN TOTAL'!AD151</f>
        <v>0</v>
      </c>
      <c r="Z155" s="24">
        <f>'RESUMEN TOTAL'!AE151</f>
        <v>0</v>
      </c>
      <c r="AA155" s="24">
        <f>'RESUMEN TOTAL'!AF151</f>
        <v>0</v>
      </c>
      <c r="AB155" s="24">
        <f>'RESUMEN TOTAL'!AG151</f>
        <v>0</v>
      </c>
      <c r="AC155" s="24">
        <f>'RESUMEN TOTAL'!AH151</f>
        <v>0</v>
      </c>
      <c r="AD155" s="24">
        <f>'RESUMEN TOTAL'!AI151</f>
        <v>0</v>
      </c>
      <c r="AE155" s="24">
        <f>'RESUMEN TOTAL'!AJ151</f>
        <v>0</v>
      </c>
      <c r="AF155" s="24">
        <f>'RESUMEN TOTAL'!AK151</f>
        <v>0</v>
      </c>
      <c r="AG155" s="24">
        <f>'RESUMEN TOTAL'!AL151</f>
        <v>0</v>
      </c>
      <c r="AH155" s="24">
        <f>'RESUMEN TOTAL'!AM151</f>
        <v>0</v>
      </c>
      <c r="AI155" s="24">
        <f>'RESUMEN TOTAL'!AN151</f>
        <v>0</v>
      </c>
    </row>
    <row r="156" spans="1:35" x14ac:dyDescent="0.25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>
        <f>'RESUMEN TOTAL'!M158</f>
        <v>0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25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>
        <f>'RESUMEN TOTAL'!M159</f>
        <v>0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>
        <f>'RESUMEN TOTAL'!AG159</f>
        <v>0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25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>
        <f>'RESUMEN TOTAL'!M160</f>
        <v>0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>
        <f>'RESUMEN TOTAL'!Z160</f>
        <v>0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25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25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25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>
        <f>'RESUMEN TOTAL'!M163</f>
        <v>0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25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25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 t="str">
        <f>'RESUMEN TOTAL'!K165</f>
        <v>APAGADO</v>
      </c>
      <c r="G163" s="24" t="str">
        <f>'RESUMEN TOTAL'!L165</f>
        <v>APAGADO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>
        <f>'RESUMEN TOTAL'!S165</f>
        <v>0</v>
      </c>
      <c r="O163" s="24">
        <f>'RESUMEN TOTAL'!T165</f>
        <v>0</v>
      </c>
      <c r="P163" s="24">
        <f>'RESUMEN TOTAL'!U165</f>
        <v>0</v>
      </c>
      <c r="Q163" s="24">
        <f>'RESUMEN TOTAL'!V165</f>
        <v>0</v>
      </c>
      <c r="R163" s="24">
        <f>'RESUMEN TOTAL'!W165</f>
        <v>0</v>
      </c>
      <c r="S163" s="24">
        <f>'RESUMEN TOTAL'!X165</f>
        <v>0</v>
      </c>
      <c r="T163" s="24">
        <f>'RESUMEN TOTAL'!Y165</f>
        <v>0</v>
      </c>
      <c r="U163" s="24">
        <f>'RESUMEN TOTAL'!Z165</f>
        <v>0</v>
      </c>
      <c r="V163" s="24">
        <f>'RESUMEN TOTAL'!AA165</f>
        <v>0</v>
      </c>
      <c r="W163" s="24">
        <f>'RESUMEN TOTAL'!AB165</f>
        <v>0</v>
      </c>
      <c r="X163" s="24">
        <f>'RESUMEN TOTAL'!AC165</f>
        <v>0</v>
      </c>
      <c r="Y163" s="24">
        <f>'RESUMEN TOTAL'!AD165</f>
        <v>0</v>
      </c>
      <c r="Z163" s="24">
        <f>'RESUMEN TOTAL'!AE165</f>
        <v>0</v>
      </c>
      <c r="AA163" s="24">
        <f>'RESUMEN TOTAL'!AF165</f>
        <v>0</v>
      </c>
      <c r="AB163" s="24">
        <f>'RESUMEN TOTAL'!AG165</f>
        <v>0</v>
      </c>
      <c r="AC163" s="24">
        <f>'RESUMEN TOTAL'!AH165</f>
        <v>0</v>
      </c>
      <c r="AD163" s="24">
        <f>'RESUMEN TOTAL'!AI165</f>
        <v>0</v>
      </c>
      <c r="AE163" s="24">
        <f>'RESUMEN TOTAL'!AJ165</f>
        <v>0</v>
      </c>
      <c r="AF163" s="24">
        <f>'RESUMEN TOTAL'!AK165</f>
        <v>0</v>
      </c>
      <c r="AG163" s="24">
        <f>'RESUMEN TOTAL'!AL165</f>
        <v>0</v>
      </c>
      <c r="AH163" s="24">
        <f>'RESUMEN TOTAL'!AM165</f>
        <v>0</v>
      </c>
      <c r="AI163" s="24">
        <f>'RESUMEN TOTAL'!AN165</f>
        <v>0</v>
      </c>
    </row>
    <row r="164" spans="1:35" x14ac:dyDescent="0.25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 t="str">
        <f>'RESUMEN TOTAL'!K166</f>
        <v>APAGADO</v>
      </c>
      <c r="G164" s="24" t="str">
        <f>'RESUMEN TOTAL'!L166</f>
        <v>APAGADO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>
        <f>'RESUMEN TOTAL'!S166</f>
        <v>0</v>
      </c>
      <c r="O164" s="24">
        <f>'RESUMEN TOTAL'!T166</f>
        <v>0</v>
      </c>
      <c r="P164" s="24">
        <f>'RESUMEN TOTAL'!U166</f>
        <v>0</v>
      </c>
      <c r="Q164" s="24">
        <f>'RESUMEN TOTAL'!V166</f>
        <v>0</v>
      </c>
      <c r="R164" s="24">
        <f>'RESUMEN TOTAL'!W166</f>
        <v>0</v>
      </c>
      <c r="S164" s="24">
        <f>'RESUMEN TOTAL'!X166</f>
        <v>0</v>
      </c>
      <c r="T164" s="24">
        <f>'RESUMEN TOTAL'!Y166</f>
        <v>0</v>
      </c>
      <c r="U164" s="24">
        <f>'RESUMEN TOTAL'!Z166</f>
        <v>0</v>
      </c>
      <c r="V164" s="24">
        <f>'RESUMEN TOTAL'!AA166</f>
        <v>0</v>
      </c>
      <c r="W164" s="24">
        <f>'RESUMEN TOTAL'!AB166</f>
        <v>0</v>
      </c>
      <c r="X164" s="24">
        <f>'RESUMEN TOTAL'!AC166</f>
        <v>0</v>
      </c>
      <c r="Y164" s="24">
        <f>'RESUMEN TOTAL'!AD166</f>
        <v>0</v>
      </c>
      <c r="Z164" s="24">
        <f>'RESUMEN TOTAL'!AE166</f>
        <v>0</v>
      </c>
      <c r="AA164" s="24">
        <f>'RESUMEN TOTAL'!AF166</f>
        <v>0</v>
      </c>
      <c r="AB164" s="24">
        <f>'RESUMEN TOTAL'!AG166</f>
        <v>0</v>
      </c>
      <c r="AC164" s="24">
        <f>'RESUMEN TOTAL'!AH166</f>
        <v>0</v>
      </c>
      <c r="AD164" s="24">
        <f>'RESUMEN TOTAL'!AI166</f>
        <v>0</v>
      </c>
      <c r="AE164" s="24">
        <f>'RESUMEN TOTAL'!AJ166</f>
        <v>0</v>
      </c>
      <c r="AF164" s="24">
        <f>'RESUMEN TOTAL'!AK166</f>
        <v>0</v>
      </c>
      <c r="AG164" s="24">
        <f>'RESUMEN TOTAL'!AL166</f>
        <v>0</v>
      </c>
      <c r="AH164" s="24">
        <f>'RESUMEN TOTAL'!AM166</f>
        <v>0</v>
      </c>
      <c r="AI164" s="24">
        <f>'RESUMEN TOTAL'!AN166</f>
        <v>0</v>
      </c>
    </row>
    <row r="165" spans="1:35" x14ac:dyDescent="0.25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25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25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25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>
        <f>'RESUMEN TOTAL'!K170</f>
        <v>0</v>
      </c>
      <c r="G168" s="24">
        <f>'RESUMEN TOTAL'!L170</f>
        <v>0</v>
      </c>
      <c r="H168" s="24">
        <f>'RESUMEN TOTAL'!M170</f>
        <v>0</v>
      </c>
      <c r="I168" s="24">
        <f>'RESUMEN TOTAL'!N170</f>
        <v>0</v>
      </c>
      <c r="J168" s="24">
        <f>'RESUMEN TOTAL'!O170</f>
        <v>0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25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25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25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25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25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 t="str">
        <f>'RESUMEN TOTAL'!K175</f>
        <v>APAGADO</v>
      </c>
      <c r="G173" s="24" t="str">
        <f>'RESUMEN TOTAL'!L175</f>
        <v>APAGADO</v>
      </c>
      <c r="H173" s="24">
        <f>'RESUMEN TOTAL'!M175</f>
        <v>0</v>
      </c>
      <c r="I173" s="24">
        <f>'RESUMEN TOTAL'!N175</f>
        <v>0</v>
      </c>
      <c r="J173" s="24">
        <f>'RESUMEN TOTAL'!O175</f>
        <v>0</v>
      </c>
      <c r="K173" s="24">
        <f>'RESUMEN TOTAL'!P175</f>
        <v>0</v>
      </c>
      <c r="L173" s="24">
        <f>'RESUMEN TOTAL'!Q175</f>
        <v>0</v>
      </c>
      <c r="M173" s="24">
        <f>'RESUMEN TOTAL'!R175</f>
        <v>0</v>
      </c>
      <c r="N173" s="24">
        <f>'RESUMEN TOTAL'!S175</f>
        <v>0</v>
      </c>
      <c r="O173" s="24">
        <f>'RESUMEN TOTAL'!T175</f>
        <v>0</v>
      </c>
      <c r="P173" s="24">
        <f>'RESUMEN TOTAL'!U175</f>
        <v>0</v>
      </c>
      <c r="Q173" s="24">
        <f>'RESUMEN TOTAL'!V175</f>
        <v>0</v>
      </c>
      <c r="R173" s="24">
        <f>'RESUMEN TOTAL'!W175</f>
        <v>0</v>
      </c>
      <c r="S173" s="24">
        <f>'RESUMEN TOTAL'!X175</f>
        <v>0</v>
      </c>
      <c r="T173" s="24">
        <f>'RESUMEN TOTAL'!Y175</f>
        <v>0</v>
      </c>
      <c r="U173" s="24">
        <f>'RESUMEN TOTAL'!Z175</f>
        <v>0</v>
      </c>
      <c r="V173" s="24">
        <f>'RESUMEN TOTAL'!AA175</f>
        <v>0</v>
      </c>
      <c r="W173" s="24">
        <f>'RESUMEN TOTAL'!AB175</f>
        <v>0</v>
      </c>
      <c r="X173" s="24">
        <f>'RESUMEN TOTAL'!AC175</f>
        <v>0</v>
      </c>
      <c r="Y173" s="24">
        <f>'RESUMEN TOTAL'!AD175</f>
        <v>0</v>
      </c>
      <c r="Z173" s="24">
        <f>'RESUMEN TOTAL'!AE175</f>
        <v>0</v>
      </c>
      <c r="AA173" s="24">
        <f>'RESUMEN TOTAL'!AF175</f>
        <v>0</v>
      </c>
      <c r="AB173" s="24">
        <f>'RESUMEN TOTAL'!AG175</f>
        <v>0</v>
      </c>
      <c r="AC173" s="24">
        <f>'RESUMEN TOTAL'!AH175</f>
        <v>0</v>
      </c>
      <c r="AD173" s="24">
        <f>'RESUMEN TOTAL'!AI175</f>
        <v>0</v>
      </c>
      <c r="AE173" s="24">
        <f>'RESUMEN TOTAL'!AJ175</f>
        <v>0</v>
      </c>
      <c r="AF173" s="24">
        <f>'RESUMEN TOTAL'!AK175</f>
        <v>0</v>
      </c>
      <c r="AG173" s="24">
        <f>'RESUMEN TOTAL'!AL175</f>
        <v>0</v>
      </c>
      <c r="AH173" s="24">
        <f>'RESUMEN TOTAL'!AM175</f>
        <v>0</v>
      </c>
      <c r="AI173" s="24">
        <f>'RESUMEN TOTAL'!AN175</f>
        <v>0</v>
      </c>
    </row>
    <row r="174" spans="1:35" x14ac:dyDescent="0.25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25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 t="str">
        <f>'RESUMEN TOTAL'!K177</f>
        <v>APAGADO</v>
      </c>
      <c r="G175" s="24" t="str">
        <f>'RESUMEN TOTAL'!L177</f>
        <v>APAGADO</v>
      </c>
      <c r="H175" s="24">
        <f>'RESUMEN TOTAL'!M177</f>
        <v>0</v>
      </c>
      <c r="I175" s="24">
        <f>'RESUMEN TOTAL'!N177</f>
        <v>0</v>
      </c>
      <c r="J175" s="24">
        <f>'RESUMEN TOTAL'!O177</f>
        <v>0</v>
      </c>
      <c r="K175" s="24">
        <f>'RESUMEN TOTAL'!P177</f>
        <v>0</v>
      </c>
      <c r="L175" s="24">
        <f>'RESUMEN TOTAL'!Q177</f>
        <v>0</v>
      </c>
      <c r="M175" s="24">
        <f>'RESUMEN TOTAL'!R177</f>
        <v>0</v>
      </c>
      <c r="N175" s="24">
        <f>'RESUMEN TOTAL'!S177</f>
        <v>0</v>
      </c>
      <c r="O175" s="24">
        <f>'RESUMEN TOTAL'!T177</f>
        <v>0</v>
      </c>
      <c r="P175" s="24">
        <f>'RESUMEN TOTAL'!U177</f>
        <v>0</v>
      </c>
      <c r="Q175" s="24">
        <f>'RESUMEN TOTAL'!V177</f>
        <v>0</v>
      </c>
      <c r="R175" s="24">
        <f>'RESUMEN TOTAL'!W177</f>
        <v>0</v>
      </c>
      <c r="S175" s="24">
        <f>'RESUMEN TOTAL'!X177</f>
        <v>0</v>
      </c>
      <c r="T175" s="24">
        <f>'RESUMEN TOTAL'!Y177</f>
        <v>0</v>
      </c>
      <c r="U175" s="24">
        <f>'RESUMEN TOTAL'!Z177</f>
        <v>0</v>
      </c>
      <c r="V175" s="24">
        <f>'RESUMEN TOTAL'!AA177</f>
        <v>0</v>
      </c>
      <c r="W175" s="24">
        <f>'RESUMEN TOTAL'!AB177</f>
        <v>0</v>
      </c>
      <c r="X175" s="24">
        <f>'RESUMEN TOTAL'!AC177</f>
        <v>0</v>
      </c>
      <c r="Y175" s="24">
        <f>'RESUMEN TOTAL'!AD177</f>
        <v>0</v>
      </c>
      <c r="Z175" s="24">
        <f>'RESUMEN TOTAL'!AE177</f>
        <v>0</v>
      </c>
      <c r="AA175" s="24">
        <f>'RESUMEN TOTAL'!AF177</f>
        <v>0</v>
      </c>
      <c r="AB175" s="24">
        <f>'RESUMEN TOTAL'!AG177</f>
        <v>0</v>
      </c>
      <c r="AC175" s="24">
        <f>'RESUMEN TOTAL'!AH177</f>
        <v>0</v>
      </c>
      <c r="AD175" s="24">
        <f>'RESUMEN TOTAL'!AI177</f>
        <v>0</v>
      </c>
      <c r="AE175" s="24">
        <f>'RESUMEN TOTAL'!AJ177</f>
        <v>0</v>
      </c>
      <c r="AF175" s="24">
        <f>'RESUMEN TOTAL'!AK177</f>
        <v>0</v>
      </c>
      <c r="AG175" s="24">
        <f>'RESUMEN TOTAL'!AL177</f>
        <v>0</v>
      </c>
      <c r="AH175" s="24">
        <f>'RESUMEN TOTAL'!AM177</f>
        <v>0</v>
      </c>
      <c r="AI175" s="24">
        <f>'RESUMEN TOTAL'!AN177</f>
        <v>0</v>
      </c>
    </row>
    <row r="176" spans="1:35" x14ac:dyDescent="0.25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25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>
        <f>'RESUMEN TOTAL'!L179</f>
        <v>0</v>
      </c>
      <c r="H177" s="24">
        <f>'RESUMEN TOTAL'!M179</f>
        <v>0</v>
      </c>
      <c r="I177" s="24">
        <f>'RESUMEN TOTAL'!N179</f>
        <v>0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25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25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25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 t="str">
        <f>'RESUMEN TOTAL'!K182</f>
        <v>APAGADO</v>
      </c>
      <c r="G180" s="24" t="str">
        <f>'RESUMEN TOTAL'!L182</f>
        <v>APAGADO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>
        <f>'RESUMEN TOTAL'!Q182</f>
        <v>0</v>
      </c>
      <c r="M180" s="24">
        <f>'RESUMEN TOTAL'!R182</f>
        <v>0</v>
      </c>
      <c r="N180" s="24">
        <f>'RESUMEN TOTAL'!S182</f>
        <v>0</v>
      </c>
      <c r="O180" s="24">
        <f>'RESUMEN TOTAL'!T182</f>
        <v>0</v>
      </c>
      <c r="P180" s="24">
        <f>'RESUMEN TOTAL'!U182</f>
        <v>0</v>
      </c>
      <c r="Q180" s="24">
        <f>'RESUMEN TOTAL'!V182</f>
        <v>0</v>
      </c>
      <c r="R180" s="24">
        <f>'RESUMEN TOTAL'!W182</f>
        <v>0</v>
      </c>
      <c r="S180" s="24">
        <f>'RESUMEN TOTAL'!X182</f>
        <v>0</v>
      </c>
      <c r="T180" s="24">
        <f>'RESUMEN TOTAL'!Y182</f>
        <v>0</v>
      </c>
      <c r="U180" s="24">
        <f>'RESUMEN TOTAL'!Z182</f>
        <v>0</v>
      </c>
      <c r="V180" s="24">
        <f>'RESUMEN TOTAL'!AA182</f>
        <v>0</v>
      </c>
      <c r="W180" s="24">
        <f>'RESUMEN TOTAL'!AB182</f>
        <v>0</v>
      </c>
      <c r="X180" s="24">
        <f>'RESUMEN TOTAL'!AC182</f>
        <v>0</v>
      </c>
      <c r="Y180" s="24">
        <f>'RESUMEN TOTAL'!AD182</f>
        <v>0</v>
      </c>
      <c r="Z180" s="24">
        <f>'RESUMEN TOTAL'!AE182</f>
        <v>0</v>
      </c>
      <c r="AA180" s="24">
        <f>'RESUMEN TOTAL'!AF182</f>
        <v>0</v>
      </c>
      <c r="AB180" s="24">
        <f>'RESUMEN TOTAL'!AG182</f>
        <v>0</v>
      </c>
      <c r="AC180" s="24">
        <f>'RESUMEN TOTAL'!AH182</f>
        <v>0</v>
      </c>
      <c r="AD180" s="24">
        <f>'RESUMEN TOTAL'!AI182</f>
        <v>0</v>
      </c>
      <c r="AE180" s="24">
        <f>'RESUMEN TOTAL'!AJ182</f>
        <v>0</v>
      </c>
      <c r="AF180" s="24">
        <f>'RESUMEN TOTAL'!AK182</f>
        <v>0</v>
      </c>
      <c r="AG180" s="24">
        <f>'RESUMEN TOTAL'!AL182</f>
        <v>0</v>
      </c>
      <c r="AH180" s="24">
        <f>'RESUMEN TOTAL'!AM182</f>
        <v>0</v>
      </c>
      <c r="AI180" s="24">
        <f>'RESUMEN TOTAL'!AN182</f>
        <v>0</v>
      </c>
    </row>
    <row r="181" spans="1:35" x14ac:dyDescent="0.25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25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>
        <f>'RESUMEN TOTAL'!M184</f>
        <v>0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>
        <f>'RESUMEN TOTAL'!AD184</f>
        <v>0</v>
      </c>
      <c r="Z182" s="24">
        <f>'RESUMEN TOTAL'!AE184</f>
        <v>0</v>
      </c>
      <c r="AA182" s="24">
        <f>'RESUMEN TOTAL'!AF184</f>
        <v>0</v>
      </c>
      <c r="AB182" s="24">
        <f>'RESUMEN TOTAL'!AG184</f>
        <v>0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>
        <f>'RESUMEN TOTAL'!AN184</f>
        <v>0</v>
      </c>
    </row>
    <row r="183" spans="1:35" x14ac:dyDescent="0.25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 t="str">
        <f>'RESUMEN TOTAL'!K185</f>
        <v>APAGADO</v>
      </c>
      <c r="G183" s="24" t="str">
        <f>'RESUMEN TOTAL'!L185</f>
        <v>APAGADO</v>
      </c>
      <c r="H183" s="24">
        <f>'RESUMEN TOTAL'!M185</f>
        <v>0</v>
      </c>
      <c r="I183" s="24">
        <f>'RESUMEN TOTAL'!N185</f>
        <v>0</v>
      </c>
      <c r="J183" s="24">
        <f>'RESUMEN TOTAL'!O185</f>
        <v>0</v>
      </c>
      <c r="K183" s="24">
        <f>'RESUMEN TOTAL'!P185</f>
        <v>0</v>
      </c>
      <c r="L183" s="24">
        <f>'RESUMEN TOTAL'!Q185</f>
        <v>0</v>
      </c>
      <c r="M183" s="24">
        <f>'RESUMEN TOTAL'!R185</f>
        <v>0</v>
      </c>
      <c r="N183" s="24">
        <f>'RESUMEN TOTAL'!S185</f>
        <v>0</v>
      </c>
      <c r="O183" s="24">
        <f>'RESUMEN TOTAL'!T185</f>
        <v>0</v>
      </c>
      <c r="P183" s="24">
        <f>'RESUMEN TOTAL'!U185</f>
        <v>0</v>
      </c>
      <c r="Q183" s="24">
        <f>'RESUMEN TOTAL'!V185</f>
        <v>0</v>
      </c>
      <c r="R183" s="24">
        <f>'RESUMEN TOTAL'!W185</f>
        <v>0</v>
      </c>
      <c r="S183" s="24">
        <f>'RESUMEN TOTAL'!X185</f>
        <v>0</v>
      </c>
      <c r="T183" s="24">
        <f>'RESUMEN TOTAL'!Y185</f>
        <v>0</v>
      </c>
      <c r="U183" s="24">
        <f>'RESUMEN TOTAL'!Z185</f>
        <v>0</v>
      </c>
      <c r="V183" s="24">
        <f>'RESUMEN TOTAL'!AA185</f>
        <v>0</v>
      </c>
      <c r="W183" s="24">
        <f>'RESUMEN TOTAL'!AB185</f>
        <v>0</v>
      </c>
      <c r="X183" s="24">
        <f>'RESUMEN TOTAL'!AC185</f>
        <v>0</v>
      </c>
      <c r="Y183" s="24">
        <f>'RESUMEN TOTAL'!AD185</f>
        <v>0</v>
      </c>
      <c r="Z183" s="24">
        <f>'RESUMEN TOTAL'!AE185</f>
        <v>0</v>
      </c>
      <c r="AA183" s="24">
        <f>'RESUMEN TOTAL'!AF185</f>
        <v>0</v>
      </c>
      <c r="AB183" s="24">
        <f>'RESUMEN TOTAL'!AG185</f>
        <v>0</v>
      </c>
      <c r="AC183" s="24">
        <f>'RESUMEN TOTAL'!AH185</f>
        <v>0</v>
      </c>
      <c r="AD183" s="24">
        <f>'RESUMEN TOTAL'!AI185</f>
        <v>0</v>
      </c>
      <c r="AE183" s="24">
        <f>'RESUMEN TOTAL'!AJ185</f>
        <v>0</v>
      </c>
      <c r="AF183" s="24">
        <f>'RESUMEN TOTAL'!AK185</f>
        <v>0</v>
      </c>
      <c r="AG183" s="24">
        <f>'RESUMEN TOTAL'!AL185</f>
        <v>0</v>
      </c>
      <c r="AH183" s="24">
        <f>'RESUMEN TOTAL'!AM185</f>
        <v>0</v>
      </c>
      <c r="AI183" s="24">
        <f>'RESUMEN TOTAL'!AN185</f>
        <v>0</v>
      </c>
    </row>
    <row r="184" spans="1:35" x14ac:dyDescent="0.25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>
        <f>'RESUMEN TOTAL'!AC186</f>
        <v>0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>
        <f>'RESUMEN TOTAL'!AG186</f>
        <v>0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25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 t="str">
        <f>'RESUMEN TOTAL'!K187</f>
        <v>APAGADO</v>
      </c>
      <c r="G185" s="24" t="str">
        <f>'RESUMEN TOTAL'!L187</f>
        <v>APAGADO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25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25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25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>
        <f>'RESUMEN TOTAL'!AI190</f>
        <v>0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25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>
        <f>'RESUMEN TOTAL'!M191</f>
        <v>0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25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25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>
        <f>'RESUMEN TOTAL'!M193</f>
        <v>0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25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>
        <f>'RESUMEN TOTAL'!M194</f>
        <v>0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25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25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25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>
        <f>'RESUMEN TOTAL'!M197</f>
        <v>0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25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 t="str">
        <f>'RESUMEN TOTAL'!K198</f>
        <v>APAGADO</v>
      </c>
      <c r="G196" s="24" t="str">
        <f>'RESUMEN TOTAL'!L198</f>
        <v>APAGADO</v>
      </c>
      <c r="H196" s="24">
        <f>'RESUMEN TOTAL'!M198</f>
        <v>0</v>
      </c>
      <c r="I196" s="24">
        <f>'RESUMEN TOTAL'!N198</f>
        <v>0</v>
      </c>
      <c r="J196" s="24">
        <f>'RESUMEN TOTAL'!O198</f>
        <v>0</v>
      </c>
      <c r="K196" s="24">
        <f>'RESUMEN TOTAL'!P198</f>
        <v>0</v>
      </c>
      <c r="L196" s="24">
        <f>'RESUMEN TOTAL'!Q198</f>
        <v>0</v>
      </c>
      <c r="M196" s="24">
        <f>'RESUMEN TOTAL'!R198</f>
        <v>0</v>
      </c>
      <c r="N196" s="24">
        <f>'RESUMEN TOTAL'!S198</f>
        <v>0</v>
      </c>
      <c r="O196" s="24">
        <f>'RESUMEN TOTAL'!T198</f>
        <v>0</v>
      </c>
      <c r="P196" s="24">
        <f>'RESUMEN TOTAL'!U198</f>
        <v>0</v>
      </c>
      <c r="Q196" s="24">
        <f>'RESUMEN TOTAL'!V198</f>
        <v>0</v>
      </c>
      <c r="R196" s="24">
        <f>'RESUMEN TOTAL'!W198</f>
        <v>0</v>
      </c>
      <c r="S196" s="24">
        <f>'RESUMEN TOTAL'!X198</f>
        <v>0</v>
      </c>
      <c r="T196" s="24">
        <f>'RESUMEN TOTAL'!Y198</f>
        <v>0</v>
      </c>
      <c r="U196" s="24">
        <f>'RESUMEN TOTAL'!Z198</f>
        <v>0</v>
      </c>
      <c r="V196" s="24">
        <f>'RESUMEN TOTAL'!AA198</f>
        <v>0</v>
      </c>
      <c r="W196" s="24">
        <f>'RESUMEN TOTAL'!AB198</f>
        <v>0</v>
      </c>
      <c r="X196" s="24">
        <f>'RESUMEN TOTAL'!AC198</f>
        <v>0</v>
      </c>
      <c r="Y196" s="24">
        <f>'RESUMEN TOTAL'!AD198</f>
        <v>0</v>
      </c>
      <c r="Z196" s="24">
        <f>'RESUMEN TOTAL'!AE198</f>
        <v>0</v>
      </c>
      <c r="AA196" s="24">
        <f>'RESUMEN TOTAL'!AF198</f>
        <v>0</v>
      </c>
      <c r="AB196" s="24">
        <f>'RESUMEN TOTAL'!AG198</f>
        <v>0</v>
      </c>
      <c r="AC196" s="24">
        <f>'RESUMEN TOTAL'!AH198</f>
        <v>0</v>
      </c>
      <c r="AD196" s="24">
        <f>'RESUMEN TOTAL'!AI198</f>
        <v>0</v>
      </c>
      <c r="AE196" s="24">
        <f>'RESUMEN TOTAL'!AJ198</f>
        <v>0</v>
      </c>
      <c r="AF196" s="24">
        <f>'RESUMEN TOTAL'!AK198</f>
        <v>0</v>
      </c>
      <c r="AG196" s="24">
        <f>'RESUMEN TOTAL'!AL198</f>
        <v>0</v>
      </c>
      <c r="AH196" s="24">
        <f>'RESUMEN TOTAL'!AM198</f>
        <v>0</v>
      </c>
      <c r="AI196" s="24">
        <f>'RESUMEN TOTAL'!AN198</f>
        <v>0</v>
      </c>
    </row>
    <row r="197" spans="1:35" x14ac:dyDescent="0.25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>
        <f>'RESUMEN TOTAL'!M199</f>
        <v>0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25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>
        <f>'RESUMEN TOTAL'!M200</f>
        <v>0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25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>
        <f>'RESUMEN TOTAL'!M201</f>
        <v>0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>
        <f>'RESUMEN TOTAL'!AK201</f>
        <v>0</v>
      </c>
      <c r="AG199" s="24">
        <f>'RESUMEN TOTAL'!AL201</f>
        <v>0</v>
      </c>
      <c r="AH199" s="24">
        <f>'RESUMEN TOTAL'!AM201</f>
        <v>0</v>
      </c>
      <c r="AI199" s="24">
        <f>'RESUMEN TOTAL'!AN201</f>
        <v>0</v>
      </c>
    </row>
    <row r="200" spans="1:35" x14ac:dyDescent="0.25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>
        <f>'RESUMEN TOTAL'!M202</f>
        <v>0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25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>
        <f>'RESUMEN TOTAL'!M203</f>
        <v>0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25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>
        <f>'RESUMEN TOTAL'!M204</f>
        <v>0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25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>
        <f>'RESUMEN TOTAL'!M205</f>
        <v>0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25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>
        <f>'RESUMEN TOTAL'!M206</f>
        <v>0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25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>
        <f>'RESUMEN TOTAL'!M207</f>
        <v>0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25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>
        <f>'RESUMEN TOTAL'!M208</f>
        <v>0</v>
      </c>
      <c r="I206" s="24">
        <f>'RESUMEN TOTAL'!N208</f>
        <v>0</v>
      </c>
      <c r="J206" s="24">
        <f>'RESUMEN TOTAL'!O208</f>
        <v>0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25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>
        <f>'RESUMEN TOTAL'!M209</f>
        <v>0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>
        <f>'RESUMEN TOTAL'!S209</f>
        <v>0</v>
      </c>
      <c r="O207" s="24">
        <f>'RESUMEN TOTAL'!T209</f>
        <v>0</v>
      </c>
      <c r="P207" s="24">
        <f>'RESUMEN TOTAL'!U209</f>
        <v>0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>
        <f>'RESUMEN TOTAL'!Z209</f>
        <v>0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>
        <f>'RESUMEN TOTAL'!AF209</f>
        <v>0</v>
      </c>
      <c r="AB207" s="24">
        <f>'RESUMEN TOTAL'!AG209</f>
        <v>0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25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>
        <f>'RESUMEN TOTAL'!M210</f>
        <v>0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25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>
        <f>'RESUMEN TOTAL'!M211</f>
        <v>0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>
        <f>'RESUMEN TOTAL'!W211</f>
        <v>0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>
        <f>'RESUMEN TOTAL'!AL211</f>
        <v>0</v>
      </c>
      <c r="AH209" s="24">
        <f>'RESUMEN TOTAL'!AM211</f>
        <v>0</v>
      </c>
      <c r="AI209" s="24">
        <f>'RESUMEN TOTAL'!AN211</f>
        <v>0</v>
      </c>
    </row>
    <row r="210" spans="1:35" x14ac:dyDescent="0.25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25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>
        <f>'RESUMEN TOTAL'!M213</f>
        <v>0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>
        <f>'RESUMEN TOTAL'!Z213</f>
        <v>0</v>
      </c>
      <c r="V211" s="24">
        <f>'RESUMEN TOTAL'!AA213</f>
        <v>0</v>
      </c>
      <c r="W211" s="24">
        <f>'RESUMEN TOTAL'!AB213</f>
        <v>0</v>
      </c>
      <c r="X211" s="24">
        <f>'RESUMEN TOTAL'!AC213</f>
        <v>0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25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>
        <f>'RESUMEN TOTAL'!Z214</f>
        <v>0</v>
      </c>
      <c r="V212" s="24">
        <f>'RESUMEN TOTAL'!AA214</f>
        <v>0</v>
      </c>
      <c r="W212" s="24">
        <f>'RESUMEN TOTAL'!AB214</f>
        <v>0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25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>
        <f>'RESUMEN TOTAL'!Z215</f>
        <v>0</v>
      </c>
      <c r="V213" s="24">
        <f>'RESUMEN TOTAL'!AA215</f>
        <v>0</v>
      </c>
      <c r="W213" s="24">
        <f>'RESUMEN TOTAL'!AB215</f>
        <v>0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25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>
        <f>'RESUMEN TOTAL'!Z216</f>
        <v>0</v>
      </c>
      <c r="V214" s="24">
        <f>'RESUMEN TOTAL'!AA216</f>
        <v>0</v>
      </c>
      <c r="W214" s="24">
        <f>'RESUMEN TOTAL'!AB216</f>
        <v>0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25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>
        <f>'RESUMEN TOTAL'!Z217</f>
        <v>0</v>
      </c>
      <c r="V215" s="24">
        <f>'RESUMEN TOTAL'!AA217</f>
        <v>0</v>
      </c>
      <c r="W215" s="24">
        <f>'RESUMEN TOTAL'!AB217</f>
        <v>0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25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>
        <f>'RESUMEN TOTAL'!AC218</f>
        <v>0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25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>
        <f>'RESUMEN TOTAL'!M219</f>
        <v>0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>
        <f>'RESUMEN TOTAL'!AC219</f>
        <v>0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25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>
        <f>'RESUMEN TOTAL'!AC220</f>
        <v>0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25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>
        <f>'RESUMEN TOTAL'!AC221</f>
        <v>0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25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>
        <f>'RESUMEN TOTAL'!AC222</f>
        <v>0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25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>
        <f>'RESUMEN TOTAL'!AC223</f>
        <v>0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25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>
        <f>'RESUMEN TOTAL'!AC224</f>
        <v>0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25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>
        <f>'RESUMEN TOTAL'!AC225</f>
        <v>0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25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>
        <f>'RESUMEN TOTAL'!AC226</f>
        <v>0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>
        <f>'RESUMEN TOTAL'!AG226</f>
        <v>0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25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>
        <f>'RESUMEN TOTAL'!Z227</f>
        <v>0</v>
      </c>
      <c r="V225" s="24">
        <f>'RESUMEN TOTAL'!AA227</f>
        <v>0</v>
      </c>
      <c r="W225" s="24">
        <f>'RESUMEN TOTAL'!AB227</f>
        <v>0</v>
      </c>
      <c r="X225" s="24">
        <f>'RESUMEN TOTAL'!AC227</f>
        <v>0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25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>
        <f>'RESUMEN TOTAL'!Z228</f>
        <v>0</v>
      </c>
      <c r="V226" s="24">
        <f>'RESUMEN TOTAL'!AA228</f>
        <v>0</v>
      </c>
      <c r="W226" s="24">
        <f>'RESUMEN TOTAL'!AB228</f>
        <v>0</v>
      </c>
      <c r="X226" s="24">
        <f>'RESUMEN TOTAL'!AC228</f>
        <v>0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25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 t="str">
        <f>'RESUMEN TOTAL'!K229</f>
        <v>APAGADO</v>
      </c>
      <c r="G227" s="24" t="str">
        <f>'RESUMEN TOTAL'!L229</f>
        <v>APAGADO</v>
      </c>
      <c r="H227" s="24">
        <f>'RESUMEN TOTAL'!M229</f>
        <v>0</v>
      </c>
      <c r="I227" s="24">
        <f>'RESUMEN TOTAL'!N229</f>
        <v>0</v>
      </c>
      <c r="J227" s="24">
        <f>'RESUMEN TOTAL'!O229</f>
        <v>0</v>
      </c>
      <c r="K227" s="24">
        <f>'RESUMEN TOTAL'!P229</f>
        <v>0</v>
      </c>
      <c r="L227" s="24">
        <f>'RESUMEN TOTAL'!Q229</f>
        <v>0</v>
      </c>
      <c r="M227" s="24">
        <f>'RESUMEN TOTAL'!R229</f>
        <v>0</v>
      </c>
      <c r="N227" s="24">
        <f>'RESUMEN TOTAL'!S229</f>
        <v>0</v>
      </c>
      <c r="O227" s="24">
        <f>'RESUMEN TOTAL'!T229</f>
        <v>0</v>
      </c>
      <c r="P227" s="24">
        <f>'RESUMEN TOTAL'!U229</f>
        <v>0</v>
      </c>
      <c r="Q227" s="24">
        <f>'RESUMEN TOTAL'!V229</f>
        <v>0</v>
      </c>
      <c r="R227" s="24">
        <f>'RESUMEN TOTAL'!W229</f>
        <v>0</v>
      </c>
      <c r="S227" s="24">
        <f>'RESUMEN TOTAL'!X229</f>
        <v>0</v>
      </c>
      <c r="T227" s="24">
        <f>'RESUMEN TOTAL'!Y229</f>
        <v>0</v>
      </c>
      <c r="U227" s="24">
        <f>'RESUMEN TOTAL'!Z229</f>
        <v>0</v>
      </c>
      <c r="V227" s="24">
        <f>'RESUMEN TOTAL'!AA229</f>
        <v>0</v>
      </c>
      <c r="W227" s="24">
        <f>'RESUMEN TOTAL'!AB229</f>
        <v>0</v>
      </c>
      <c r="X227" s="24">
        <f>'RESUMEN TOTAL'!AC229</f>
        <v>0</v>
      </c>
      <c r="Y227" s="24">
        <f>'RESUMEN TOTAL'!AD229</f>
        <v>0</v>
      </c>
      <c r="Z227" s="24">
        <f>'RESUMEN TOTAL'!AE229</f>
        <v>0</v>
      </c>
      <c r="AA227" s="24">
        <f>'RESUMEN TOTAL'!AF229</f>
        <v>0</v>
      </c>
      <c r="AB227" s="24">
        <f>'RESUMEN TOTAL'!AG229</f>
        <v>0</v>
      </c>
      <c r="AC227" s="24">
        <f>'RESUMEN TOTAL'!AH229</f>
        <v>0</v>
      </c>
      <c r="AD227" s="24">
        <f>'RESUMEN TOTAL'!AI229</f>
        <v>0</v>
      </c>
      <c r="AE227" s="24">
        <f>'RESUMEN TOTAL'!AJ229</f>
        <v>0</v>
      </c>
      <c r="AF227" s="24">
        <f>'RESUMEN TOTAL'!AK229</f>
        <v>0</v>
      </c>
      <c r="AG227" s="24">
        <f>'RESUMEN TOTAL'!AL229</f>
        <v>0</v>
      </c>
      <c r="AH227" s="24">
        <f>'RESUMEN TOTAL'!AM229</f>
        <v>0</v>
      </c>
      <c r="AI227" s="24">
        <f>'RESUMEN TOTAL'!AN229</f>
        <v>0</v>
      </c>
    </row>
    <row r="228" spans="1:35" x14ac:dyDescent="0.25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>
        <f>'RESUMEN TOTAL'!AC230</f>
        <v>0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25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>
        <f>'RESUMEN TOTAL'!AC231</f>
        <v>0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25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>
        <f>'RESUMEN TOTAL'!M232</f>
        <v>0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>
        <f>'RESUMEN TOTAL'!Z232</f>
        <v>0</v>
      </c>
      <c r="V230" s="24">
        <f>'RESUMEN TOTAL'!AA232</f>
        <v>0</v>
      </c>
      <c r="W230" s="24">
        <f>'RESUMEN TOTAL'!AB232</f>
        <v>0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25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>
        <f>'RESUMEN TOTAL'!L233</f>
        <v>0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>
        <f>'RESUMEN TOTAL'!Z233</f>
        <v>0</v>
      </c>
      <c r="V231" s="24">
        <f>'RESUMEN TOTAL'!AA233</f>
        <v>0</v>
      </c>
      <c r="W231" s="24">
        <f>'RESUMEN TOTAL'!AB233</f>
        <v>0</v>
      </c>
      <c r="X231" s="24">
        <f>'RESUMEN TOTAL'!AC233</f>
        <v>0</v>
      </c>
      <c r="Y231" s="24">
        <f>'RESUMEN TOTAL'!AD233</f>
        <v>0</v>
      </c>
      <c r="Z231" s="24">
        <f>'RESUMEN TOTAL'!AE233</f>
        <v>0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25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>
        <f>'RESUMEN TOTAL'!Z234</f>
        <v>0</v>
      </c>
      <c r="V232" s="24">
        <f>'RESUMEN TOTAL'!AA234</f>
        <v>0</v>
      </c>
      <c r="W232" s="24">
        <f>'RESUMEN TOTAL'!AB234</f>
        <v>0</v>
      </c>
      <c r="X232" s="24">
        <f>'RESUMEN TOTAL'!AC234</f>
        <v>0</v>
      </c>
      <c r="Y232" s="24">
        <f>'RESUMEN TOTAL'!AD234</f>
        <v>0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25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>
        <f>'RESUMEN TOTAL'!Z235</f>
        <v>0</v>
      </c>
      <c r="V233" s="24">
        <f>'RESUMEN TOTAL'!AA235</f>
        <v>0</v>
      </c>
      <c r="W233" s="24">
        <f>'RESUMEN TOTAL'!AB235</f>
        <v>0</v>
      </c>
      <c r="X233" s="24">
        <f>'RESUMEN TOTAL'!AC235</f>
        <v>0</v>
      </c>
      <c r="Y233" s="24">
        <f>'RESUMEN TOTAL'!AD235</f>
        <v>0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25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 t="str">
        <f>'RESUMEN TOTAL'!K236</f>
        <v>APAGADO</v>
      </c>
      <c r="G234" s="24" t="str">
        <f>'RESUMEN TOTAL'!L236</f>
        <v>APAGADO</v>
      </c>
      <c r="H234" s="24">
        <f>'RESUMEN TOTAL'!M236</f>
        <v>0</v>
      </c>
      <c r="I234" s="24">
        <f>'RESUMEN TOTAL'!N236</f>
        <v>0</v>
      </c>
      <c r="J234" s="24">
        <f>'RESUMEN TOTAL'!O236</f>
        <v>0</v>
      </c>
      <c r="K234" s="24">
        <f>'RESUMEN TOTAL'!P236</f>
        <v>0</v>
      </c>
      <c r="L234" s="24">
        <f>'RESUMEN TOTAL'!Q236</f>
        <v>0</v>
      </c>
      <c r="M234" s="24">
        <f>'RESUMEN TOTAL'!R236</f>
        <v>0</v>
      </c>
      <c r="N234" s="24">
        <f>'RESUMEN TOTAL'!S236</f>
        <v>0</v>
      </c>
      <c r="O234" s="24">
        <f>'RESUMEN TOTAL'!T236</f>
        <v>0</v>
      </c>
      <c r="P234" s="24">
        <f>'RESUMEN TOTAL'!U236</f>
        <v>0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>
        <f>'RESUMEN TOTAL'!Y236</f>
        <v>0</v>
      </c>
      <c r="U234" s="24">
        <f>'RESUMEN TOTAL'!Z236</f>
        <v>0</v>
      </c>
      <c r="V234" s="24">
        <f>'RESUMEN TOTAL'!AA236</f>
        <v>0</v>
      </c>
      <c r="W234" s="24">
        <f>'RESUMEN TOTAL'!AB236</f>
        <v>0</v>
      </c>
      <c r="X234" s="24">
        <f>'RESUMEN TOTAL'!AC236</f>
        <v>0</v>
      </c>
      <c r="Y234" s="24">
        <f>'RESUMEN TOTAL'!AD236</f>
        <v>0</v>
      </c>
      <c r="Z234" s="24">
        <f>'RESUMEN TOTAL'!AE236</f>
        <v>0</v>
      </c>
      <c r="AA234" s="24">
        <f>'RESUMEN TOTAL'!AF236</f>
        <v>0</v>
      </c>
      <c r="AB234" s="24">
        <f>'RESUMEN TOTAL'!AG236</f>
        <v>0</v>
      </c>
      <c r="AC234" s="24">
        <f>'RESUMEN TOTAL'!AH236</f>
        <v>0</v>
      </c>
      <c r="AD234" s="24">
        <f>'RESUMEN TOTAL'!AI236</f>
        <v>0</v>
      </c>
      <c r="AE234" s="24">
        <f>'RESUMEN TOTAL'!AJ236</f>
        <v>0</v>
      </c>
      <c r="AF234" s="24">
        <f>'RESUMEN TOTAL'!AK236</f>
        <v>0</v>
      </c>
      <c r="AG234" s="24">
        <f>'RESUMEN TOTAL'!AL236</f>
        <v>0</v>
      </c>
      <c r="AH234" s="24">
        <f>'RESUMEN TOTAL'!AM236</f>
        <v>0</v>
      </c>
      <c r="AI234" s="24">
        <f>'RESUMEN TOTAL'!AN236</f>
        <v>0</v>
      </c>
    </row>
    <row r="235" spans="1:35" x14ac:dyDescent="0.25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>
        <f>'RESUMEN TOTAL'!AC237</f>
        <v>0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25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>
        <f>'RESUMEN TOTAL'!AC238</f>
        <v>0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25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>
        <f>'RESUMEN TOTAL'!W239</f>
        <v>0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>
        <f>'RESUMEN TOTAL'!AC239</f>
        <v>0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>
        <f>'RESUMEN TOTAL'!AG239</f>
        <v>0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25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>
        <f>'RESUMEN TOTAL'!AC240</f>
        <v>0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>
        <f>'RESUMEN TOTAL'!AG240</f>
        <v>0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25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>
        <f>'RESUMEN TOTAL'!U241</f>
        <v>0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>
        <f>'RESUMEN TOTAL'!Z241</f>
        <v>0</v>
      </c>
      <c r="V239" s="24">
        <f>'RESUMEN TOTAL'!AA241</f>
        <v>0</v>
      </c>
      <c r="W239" s="24">
        <f>'RESUMEN TOTAL'!AB241</f>
        <v>0</v>
      </c>
      <c r="X239" s="24">
        <f>'RESUMEN TOTAL'!AC241</f>
        <v>0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25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>
        <f>'RESUMEN TOTAL'!AC242</f>
        <v>0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25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>
        <f>'RESUMEN TOTAL'!Z243</f>
        <v>0</v>
      </c>
      <c r="V241" s="24">
        <f>'RESUMEN TOTAL'!AA243</f>
        <v>0</v>
      </c>
      <c r="W241" s="24">
        <f>'RESUMEN TOTAL'!AB243</f>
        <v>0</v>
      </c>
      <c r="X241" s="24">
        <f>'RESUMEN TOTAL'!AC243</f>
        <v>0</v>
      </c>
      <c r="Y241" s="24">
        <f>'RESUMEN TOTAL'!AD243</f>
        <v>0</v>
      </c>
      <c r="Z241" s="24">
        <f>'RESUMEN TOTAL'!AE243</f>
        <v>0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25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>
        <f>'RESUMEN TOTAL'!Z244</f>
        <v>0</v>
      </c>
      <c r="V242" s="24">
        <f>'RESUMEN TOTAL'!AA244</f>
        <v>0</v>
      </c>
      <c r="W242" s="24">
        <f>'RESUMEN TOTAL'!AB244</f>
        <v>0</v>
      </c>
      <c r="X242" s="24">
        <f>'RESUMEN TOTAL'!AC244</f>
        <v>0</v>
      </c>
      <c r="Y242" s="24">
        <f>'RESUMEN TOTAL'!AD244</f>
        <v>0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25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>
        <f>'RESUMEN TOTAL'!AC245</f>
        <v>0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25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25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25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25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25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25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>
        <f>'RESUMEN TOTAL'!M251</f>
        <v>0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25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25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25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25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>
        <f>'RESUMEN TOTAL'!M255</f>
        <v>0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25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 t="str">
        <f>'RESUMEN TOTAL'!K256</f>
        <v>APAGADO</v>
      </c>
      <c r="G254" s="24" t="str">
        <f>'RESUMEN TOTAL'!L256</f>
        <v>APAGADO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25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25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25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25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25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25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25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25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25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25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25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>
        <f>'RESUMEN TOTAL'!M268</f>
        <v>0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25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>
        <f>'RESUMEN TOTAL'!M269</f>
        <v>0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25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>
        <f>'RESUMEN TOTAL'!M270</f>
        <v>0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25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25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25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>
        <f>'RESUMEN TOTAL'!M273</f>
        <v>0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25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>
        <f>'RESUMEN TOTAL'!M274</f>
        <v>0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25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>
        <f>'RESUMEN TOTAL'!M275</f>
        <v>0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25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25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25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>
        <f>'RESUMEN TOTAL'!M278</f>
        <v>0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25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>
        <f>'RESUMEN TOTAL'!K279</f>
        <v>0</v>
      </c>
      <c r="G276" s="24">
        <f>'RESUMEN TOTAL'!L279</f>
        <v>0</v>
      </c>
      <c r="H276" s="24">
        <f>'RESUMEN TOTAL'!M279</f>
        <v>0</v>
      </c>
      <c r="I276" s="24">
        <f>'RESUMEN TOTAL'!N279</f>
        <v>0</v>
      </c>
      <c r="J276" s="24">
        <f>'RESUMEN TOTAL'!O279</f>
        <v>0</v>
      </c>
      <c r="K276" s="24">
        <f>'RESUMEN TOTAL'!P279</f>
        <v>0</v>
      </c>
      <c r="L276" s="24">
        <f>'RESUMEN TOTAL'!Q279</f>
        <v>0</v>
      </c>
      <c r="M276" s="24">
        <f>'RESUMEN TOTAL'!R279</f>
        <v>0</v>
      </c>
      <c r="N276" s="24">
        <f>'RESUMEN TOTAL'!S279</f>
        <v>0</v>
      </c>
      <c r="O276" s="24">
        <f>'RESUMEN TOTAL'!T279</f>
        <v>0</v>
      </c>
      <c r="P276" s="24">
        <f>'RESUMEN TOTAL'!U279</f>
        <v>0</v>
      </c>
      <c r="Q276" s="24">
        <f>'RESUMEN TOTAL'!V279</f>
        <v>0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25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>
        <f>'RESUMEN TOTAL'!Q280</f>
        <v>0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25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25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25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>
        <f>'RESUMEN TOTAL'!M283</f>
        <v>0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25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25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>
        <f>'RESUMEN TOTAL'!AM285</f>
        <v>0</v>
      </c>
      <c r="AI282" s="24">
        <f>'RESUMEN TOTAL'!AN285</f>
        <v>0</v>
      </c>
    </row>
    <row r="283" spans="1:35" x14ac:dyDescent="0.25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25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25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>
        <f>'RESUMEN TOTAL'!W288</f>
        <v>0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25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>
        <f>'RESUMEN TOTAL'!W289</f>
        <v>0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25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25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25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25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25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>
        <f>'RESUMEN TOTAL'!W294</f>
        <v>0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25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25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>
        <f>'RESUMEN TOTAL'!M296</f>
        <v>0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>
        <f>'RESUMEN TOTAL'!W296</f>
        <v>0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25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>
        <f>'RESUMEN TOTAL'!M297</f>
        <v>0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>
        <f>'RESUMEN TOTAL'!S297</f>
        <v>0</v>
      </c>
      <c r="O294" s="24">
        <f>'RESUMEN TOTAL'!T297</f>
        <v>0</v>
      </c>
      <c r="P294" s="24">
        <f>'RESUMEN TOTAL'!U297</f>
        <v>0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25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>
        <f>'RESUMEN TOTAL'!M298</f>
        <v>0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25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>
        <f>'RESUMEN TOTAL'!M299</f>
        <v>0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25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>
        <f>'RESUMEN TOTAL'!M300</f>
        <v>0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25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>
        <f>'RESUMEN TOTAL'!K301</f>
        <v>0</v>
      </c>
      <c r="G298" s="24">
        <f>'RESUMEN TOTAL'!L301</f>
        <v>0</v>
      </c>
      <c r="H298" s="24">
        <f>'RESUMEN TOTAL'!M301</f>
        <v>0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>
        <f>'RESUMEN TOTAL'!S301</f>
        <v>0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25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>
        <f>'RESUMEN TOTAL'!M302</f>
        <v>0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>
        <f>'RESUMEN TOTAL'!AD302</f>
        <v>0</v>
      </c>
      <c r="Z299" s="24">
        <f>'RESUMEN TOTAL'!AE302</f>
        <v>0</v>
      </c>
      <c r="AA299" s="24">
        <f>'RESUMEN TOTAL'!AF302</f>
        <v>0</v>
      </c>
      <c r="AB299" s="24">
        <f>'RESUMEN TOTAL'!AG302</f>
        <v>0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>
        <f>'RESUMEN TOTAL'!AM302</f>
        <v>0</v>
      </c>
      <c r="AI299" s="24">
        <f>'RESUMEN TOTAL'!AN302</f>
        <v>0</v>
      </c>
    </row>
    <row r="300" spans="1:35" x14ac:dyDescent="0.25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>
        <f>'RESUMEN TOTAL'!AC303</f>
        <v>0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25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>
        <f>'RESUMEN TOTAL'!AC304</f>
        <v>0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25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>
        <f>'RESUMEN TOTAL'!AC305</f>
        <v>0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25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>
        <f>'RESUMEN TOTAL'!AC306</f>
        <v>0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25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>
        <f>'RESUMEN TOTAL'!M307</f>
        <v>0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>
        <f>'RESUMEN TOTAL'!W307</f>
        <v>0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25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>
        <f>'RESUMEN TOTAL'!M308</f>
        <v>0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>
        <f>'RESUMEN TOTAL'!W308</f>
        <v>0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25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25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25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>
        <f>'RESUMEN TOTAL'!M311</f>
        <v>0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>
        <f>'RESUMEN TOTAL'!W311</f>
        <v>0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25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>
        <f>'RESUMEN TOTAL'!M312</f>
        <v>0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25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>
        <f>'RESUMEN TOTAL'!M313</f>
        <v>0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25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25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>
        <f>'RESUMEN TOTAL'!M315</f>
        <v>0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25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25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>
        <f>'RESUMEN TOTAL'!K317</f>
        <v>0</v>
      </c>
      <c r="G314" s="24">
        <f>'RESUMEN TOTAL'!L317</f>
        <v>0</v>
      </c>
      <c r="H314" s="24">
        <f>'RESUMEN TOTAL'!M317</f>
        <v>0</v>
      </c>
      <c r="I314" s="24">
        <f>'RESUMEN TOTAL'!N317</f>
        <v>0</v>
      </c>
      <c r="J314" s="24">
        <f>'RESUMEN TOTAL'!O317</f>
        <v>0</v>
      </c>
      <c r="K314" s="24">
        <f>'RESUMEN TOTAL'!P317</f>
        <v>0</v>
      </c>
      <c r="L314" s="24">
        <f>'RESUMEN TOTAL'!Q317</f>
        <v>0</v>
      </c>
      <c r="M314" s="24">
        <f>'RESUMEN TOTAL'!R317</f>
        <v>0</v>
      </c>
      <c r="N314" s="24">
        <f>'RESUMEN TOTAL'!S317</f>
        <v>0</v>
      </c>
      <c r="O314" s="24">
        <f>'RESUMEN TOTAL'!T317</f>
        <v>0</v>
      </c>
      <c r="P314" s="24">
        <f>'RESUMEN TOTAL'!U317</f>
        <v>0</v>
      </c>
      <c r="Q314" s="24">
        <f>'RESUMEN TOTAL'!V317</f>
        <v>0</v>
      </c>
      <c r="R314" s="24">
        <f>'RESUMEN TOTAL'!W317</f>
        <v>0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25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>
        <f>'RESUMEN TOTAL'!K318</f>
        <v>0</v>
      </c>
      <c r="G315" s="24">
        <f>'RESUMEN TOTAL'!L318</f>
        <v>0</v>
      </c>
      <c r="H315" s="24">
        <f>'RESUMEN TOTAL'!M318</f>
        <v>0</v>
      </c>
      <c r="I315" s="24">
        <f>'RESUMEN TOTAL'!N318</f>
        <v>0</v>
      </c>
      <c r="J315" s="24">
        <f>'RESUMEN TOTAL'!O318</f>
        <v>0</v>
      </c>
      <c r="K315" s="24">
        <f>'RESUMEN TOTAL'!P318</f>
        <v>0</v>
      </c>
      <c r="L315" s="24">
        <f>'RESUMEN TOTAL'!Q318</f>
        <v>0</v>
      </c>
      <c r="M315" s="24">
        <f>'RESUMEN TOTAL'!R318</f>
        <v>0</v>
      </c>
      <c r="N315" s="24">
        <f>'RESUMEN TOTAL'!S318</f>
        <v>0</v>
      </c>
      <c r="O315" s="24">
        <f>'RESUMEN TOTAL'!T318</f>
        <v>0</v>
      </c>
      <c r="P315" s="24">
        <f>'RESUMEN TOTAL'!U318</f>
        <v>0</v>
      </c>
      <c r="Q315" s="24">
        <f>'RESUMEN TOTAL'!V318</f>
        <v>0</v>
      </c>
      <c r="R315" s="24">
        <f>'RESUMEN TOTAL'!W318</f>
        <v>0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25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>
        <f>'RESUMEN TOTAL'!K319</f>
        <v>0</v>
      </c>
      <c r="G316" s="24">
        <f>'RESUMEN TOTAL'!L319</f>
        <v>0</v>
      </c>
      <c r="H316" s="24">
        <f>'RESUMEN TOTAL'!M319</f>
        <v>0</v>
      </c>
      <c r="I316" s="24">
        <f>'RESUMEN TOTAL'!N319</f>
        <v>0</v>
      </c>
      <c r="J316" s="24">
        <f>'RESUMEN TOTAL'!O319</f>
        <v>0</v>
      </c>
      <c r="K316" s="24">
        <f>'RESUMEN TOTAL'!P319</f>
        <v>0</v>
      </c>
      <c r="L316" s="24">
        <f>'RESUMEN TOTAL'!Q319</f>
        <v>0</v>
      </c>
      <c r="M316" s="24">
        <f>'RESUMEN TOTAL'!R319</f>
        <v>0</v>
      </c>
      <c r="N316" s="24">
        <f>'RESUMEN TOTAL'!S319</f>
        <v>0</v>
      </c>
      <c r="O316" s="24">
        <f>'RESUMEN TOTAL'!T319</f>
        <v>0</v>
      </c>
      <c r="P316" s="24">
        <f>'RESUMEN TOTAL'!U319</f>
        <v>0</v>
      </c>
      <c r="Q316" s="24">
        <f>'RESUMEN TOTAL'!V319</f>
        <v>0</v>
      </c>
      <c r="R316" s="24">
        <f>'RESUMEN TOTAL'!W319</f>
        <v>0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25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>
        <f>'RESUMEN TOTAL'!K320</f>
        <v>0</v>
      </c>
      <c r="G317" s="24">
        <f>'RESUMEN TOTAL'!L320</f>
        <v>0</v>
      </c>
      <c r="H317" s="24">
        <f>'RESUMEN TOTAL'!M320</f>
        <v>0</v>
      </c>
      <c r="I317" s="24">
        <f>'RESUMEN TOTAL'!N320</f>
        <v>0</v>
      </c>
      <c r="J317" s="24">
        <f>'RESUMEN TOTAL'!O320</f>
        <v>0</v>
      </c>
      <c r="K317" s="24">
        <f>'RESUMEN TOTAL'!P320</f>
        <v>0</v>
      </c>
      <c r="L317" s="24">
        <f>'RESUMEN TOTAL'!Q320</f>
        <v>0</v>
      </c>
      <c r="M317" s="24">
        <f>'RESUMEN TOTAL'!R320</f>
        <v>0</v>
      </c>
      <c r="N317" s="24">
        <f>'RESUMEN TOTAL'!S320</f>
        <v>0</v>
      </c>
      <c r="O317" s="24">
        <f>'RESUMEN TOTAL'!T320</f>
        <v>0</v>
      </c>
      <c r="P317" s="24">
        <f>'RESUMEN TOTAL'!U320</f>
        <v>0</v>
      </c>
      <c r="Q317" s="24">
        <f>'RESUMEN TOTAL'!V320</f>
        <v>0</v>
      </c>
      <c r="R317" s="24">
        <f>'RESUMEN TOTAL'!W320</f>
        <v>0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25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>
        <f>'RESUMEN TOTAL'!N321</f>
        <v>0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25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>
        <f>'RESUMEN TOTAL'!M322</f>
        <v>0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25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25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25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>
        <f>'RESUMEN TOTAL'!AF325</f>
        <v>0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>
        <f>'RESUMEN TOTAL'!AN325</f>
        <v>0</v>
      </c>
    </row>
    <row r="323" spans="1:35" x14ac:dyDescent="0.25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>
        <f>'RESUMEN TOTAL'!Z326</f>
        <v>0</v>
      </c>
      <c r="V323" s="24">
        <f>'RESUMEN TOTAL'!AA326</f>
        <v>0</v>
      </c>
      <c r="W323" s="24">
        <f>'RESUMEN TOTAL'!AB326</f>
        <v>0</v>
      </c>
      <c r="X323" s="24">
        <f>'RESUMEN TOTAL'!AC326</f>
        <v>0</v>
      </c>
      <c r="Y323" s="24">
        <f>'RESUMEN TOTAL'!AD326</f>
        <v>0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25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>
        <f>'RESUMEN TOTAL'!Z327</f>
        <v>0</v>
      </c>
      <c r="V324" s="24">
        <f>'RESUMEN TOTAL'!AA327</f>
        <v>0</v>
      </c>
      <c r="W324" s="24">
        <f>'RESUMEN TOTAL'!AB327</f>
        <v>0</v>
      </c>
      <c r="X324" s="24">
        <f>'RESUMEN TOTAL'!AC327</f>
        <v>0</v>
      </c>
      <c r="Y324" s="24">
        <f>'RESUMEN TOTAL'!AD327</f>
        <v>0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25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>
        <f>'RESUMEN TOTAL'!M328</f>
        <v>0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25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25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25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>
        <f>'RESUMEN TOTAL'!M331</f>
        <v>0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25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>
        <f>'RESUMEN TOTAL'!M332</f>
        <v>0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25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25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>
        <f>'RESUMEN TOTAL'!M334</f>
        <v>0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25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25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>
        <f>'RESUMEN TOTAL'!AD336</f>
        <v>0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25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25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25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25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25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25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>
        <f>'RESUMEN TOTAL'!M342</f>
        <v>0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25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25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>
        <f>'RESUMEN TOTAL'!Q344</f>
        <v>0</v>
      </c>
      <c r="M341" s="24">
        <f>'RESUMEN TOTAL'!R344</f>
        <v>0</v>
      </c>
      <c r="N341" s="24">
        <f>'RESUMEN TOTAL'!S344</f>
        <v>0</v>
      </c>
      <c r="O341" s="24">
        <f>'RESUMEN TOTAL'!T344</f>
        <v>0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25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>
        <f>'RESUMEN TOTAL'!K345</f>
        <v>0</v>
      </c>
      <c r="G342" s="24">
        <f>'RESUMEN TOTAL'!L345</f>
        <v>0</v>
      </c>
      <c r="H342" s="24">
        <f>'RESUMEN TOTAL'!M345</f>
        <v>0</v>
      </c>
      <c r="I342" s="24">
        <f>'RESUMEN TOTAL'!N345</f>
        <v>0</v>
      </c>
      <c r="J342" s="24">
        <f>'RESUMEN TOTAL'!O345</f>
        <v>0</v>
      </c>
      <c r="K342" s="24">
        <f>'RESUMEN TOTAL'!P345</f>
        <v>0</v>
      </c>
      <c r="L342" s="24">
        <f>'RESUMEN TOTAL'!Q345</f>
        <v>0</v>
      </c>
      <c r="M342" s="24">
        <f>'RESUMEN TOTAL'!R345</f>
        <v>0</v>
      </c>
      <c r="N342" s="24">
        <f>'RESUMEN TOTAL'!S345</f>
        <v>0</v>
      </c>
      <c r="O342" s="24">
        <f>'RESUMEN TOTAL'!T345</f>
        <v>0</v>
      </c>
      <c r="P342" s="24">
        <f>'RESUMEN TOTAL'!U345</f>
        <v>0</v>
      </c>
      <c r="Q342" s="24">
        <f>'RESUMEN TOTAL'!V345</f>
        <v>0</v>
      </c>
      <c r="R342" s="24">
        <f>'RESUMEN TOTAL'!W345</f>
        <v>0</v>
      </c>
      <c r="S342" s="24">
        <f>'RESUMEN TOTAL'!X345</f>
        <v>0</v>
      </c>
      <c r="T342" s="24">
        <f>'RESUMEN TOTAL'!Y345</f>
        <v>0</v>
      </c>
      <c r="U342" s="24">
        <f>'RESUMEN TOTAL'!Z345</f>
        <v>0</v>
      </c>
      <c r="V342" s="24">
        <f>'RESUMEN TOTAL'!AA345</f>
        <v>0</v>
      </c>
      <c r="W342" s="24">
        <f>'RESUMEN TOTAL'!AB345</f>
        <v>0</v>
      </c>
      <c r="X342" s="24">
        <f>'RESUMEN TOTAL'!AC345</f>
        <v>0</v>
      </c>
      <c r="Y342" s="24">
        <f>'RESUMEN TOTAL'!AD345</f>
        <v>0</v>
      </c>
      <c r="Z342" s="24">
        <f>'RESUMEN TOTAL'!AE345</f>
        <v>0</v>
      </c>
      <c r="AA342" s="24">
        <f>'RESUMEN TOTAL'!AF345</f>
        <v>0</v>
      </c>
      <c r="AB342" s="24">
        <f>'RESUMEN TOTAL'!AG345</f>
        <v>0</v>
      </c>
      <c r="AC342" s="24">
        <f>'RESUMEN TOTAL'!AH345</f>
        <v>0</v>
      </c>
      <c r="AD342" s="24">
        <f>'RESUMEN TOTAL'!AI345</f>
        <v>0</v>
      </c>
      <c r="AE342" s="24">
        <f>'RESUMEN TOTAL'!AJ345</f>
        <v>0</v>
      </c>
      <c r="AF342" s="24">
        <f>'RESUMEN TOTAL'!AK345</f>
        <v>0</v>
      </c>
      <c r="AG342" s="24">
        <f>'RESUMEN TOTAL'!AL345</f>
        <v>0</v>
      </c>
      <c r="AH342" s="24">
        <f>'RESUMEN TOTAL'!AM345</f>
        <v>0</v>
      </c>
      <c r="AI342" s="24">
        <f>'RESUMEN TOTAL'!AN345</f>
        <v>0</v>
      </c>
    </row>
    <row r="343" spans="1:35" x14ac:dyDescent="0.25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>
        <f>'RESUMEN TOTAL'!K346</f>
        <v>0</v>
      </c>
      <c r="G343" s="24">
        <f>'RESUMEN TOTAL'!L346</f>
        <v>0</v>
      </c>
      <c r="H343" s="24">
        <f>'RESUMEN TOTAL'!M346</f>
        <v>0</v>
      </c>
      <c r="I343" s="24">
        <f>'RESUMEN TOTAL'!N346</f>
        <v>0</v>
      </c>
      <c r="J343" s="24">
        <f>'RESUMEN TOTAL'!O346</f>
        <v>0</v>
      </c>
      <c r="K343" s="24">
        <f>'RESUMEN TOTAL'!P346</f>
        <v>0</v>
      </c>
      <c r="L343" s="24">
        <f>'RESUMEN TOTAL'!Q346</f>
        <v>0</v>
      </c>
      <c r="M343" s="24">
        <f>'RESUMEN TOTAL'!R346</f>
        <v>0</v>
      </c>
      <c r="N343" s="24">
        <f>'RESUMEN TOTAL'!S346</f>
        <v>0</v>
      </c>
      <c r="O343" s="24">
        <f>'RESUMEN TOTAL'!T346</f>
        <v>0</v>
      </c>
      <c r="P343" s="24">
        <f>'RESUMEN TOTAL'!U346</f>
        <v>0</v>
      </c>
      <c r="Q343" s="24">
        <f>'RESUMEN TOTAL'!V346</f>
        <v>0</v>
      </c>
      <c r="R343" s="24">
        <f>'RESUMEN TOTAL'!W346</f>
        <v>0</v>
      </c>
      <c r="S343" s="24">
        <f>'RESUMEN TOTAL'!X346</f>
        <v>0</v>
      </c>
      <c r="T343" s="24">
        <f>'RESUMEN TOTAL'!Y346</f>
        <v>0</v>
      </c>
      <c r="U343" s="24">
        <f>'RESUMEN TOTAL'!Z346</f>
        <v>0</v>
      </c>
      <c r="V343" s="24">
        <f>'RESUMEN TOTAL'!AA346</f>
        <v>0</v>
      </c>
      <c r="W343" s="24">
        <f>'RESUMEN TOTAL'!AB346</f>
        <v>0</v>
      </c>
      <c r="X343" s="24">
        <f>'RESUMEN TOTAL'!AC346</f>
        <v>0</v>
      </c>
      <c r="Y343" s="24">
        <f>'RESUMEN TOTAL'!AD346</f>
        <v>0</v>
      </c>
      <c r="Z343" s="24">
        <f>'RESUMEN TOTAL'!AE346</f>
        <v>0</v>
      </c>
      <c r="AA343" s="24">
        <f>'RESUMEN TOTAL'!AF346</f>
        <v>0</v>
      </c>
      <c r="AB343" s="24">
        <f>'RESUMEN TOTAL'!AG346</f>
        <v>0</v>
      </c>
      <c r="AC343" s="24">
        <f>'RESUMEN TOTAL'!AH346</f>
        <v>0</v>
      </c>
      <c r="AD343" s="24">
        <f>'RESUMEN TOTAL'!AI346</f>
        <v>0</v>
      </c>
      <c r="AE343" s="24">
        <f>'RESUMEN TOTAL'!AJ346</f>
        <v>0</v>
      </c>
      <c r="AF343" s="24">
        <f>'RESUMEN TOTAL'!AK346</f>
        <v>0</v>
      </c>
      <c r="AG343" s="24">
        <f>'RESUMEN TOTAL'!AL346</f>
        <v>0</v>
      </c>
      <c r="AH343" s="24">
        <f>'RESUMEN TOTAL'!AM346</f>
        <v>0</v>
      </c>
      <c r="AI343" s="24">
        <f>'RESUMEN TOTAL'!AN346</f>
        <v>0</v>
      </c>
    </row>
    <row r="344" spans="1:35" x14ac:dyDescent="0.25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>
        <f>'RESUMEN TOTAL'!K347</f>
        <v>0</v>
      </c>
      <c r="G344" s="24">
        <f>'RESUMEN TOTAL'!L347</f>
        <v>0</v>
      </c>
      <c r="H344" s="24">
        <f>'RESUMEN TOTAL'!M347</f>
        <v>0</v>
      </c>
      <c r="I344" s="24">
        <f>'RESUMEN TOTAL'!N347</f>
        <v>0</v>
      </c>
      <c r="J344" s="24">
        <f>'RESUMEN TOTAL'!O347</f>
        <v>0</v>
      </c>
      <c r="K344" s="24">
        <f>'RESUMEN TOTAL'!P347</f>
        <v>0</v>
      </c>
      <c r="L344" s="24">
        <f>'RESUMEN TOTAL'!Q347</f>
        <v>0</v>
      </c>
      <c r="M344" s="24">
        <f>'RESUMEN TOTAL'!R347</f>
        <v>0</v>
      </c>
      <c r="N344" s="24">
        <f>'RESUMEN TOTAL'!S347</f>
        <v>0</v>
      </c>
      <c r="O344" s="24">
        <f>'RESUMEN TOTAL'!T347</f>
        <v>0</v>
      </c>
      <c r="P344" s="24">
        <f>'RESUMEN TOTAL'!U347</f>
        <v>0</v>
      </c>
      <c r="Q344" s="24">
        <f>'RESUMEN TOTAL'!V347</f>
        <v>0</v>
      </c>
      <c r="R344" s="24">
        <f>'RESUMEN TOTAL'!W347</f>
        <v>0</v>
      </c>
      <c r="S344" s="24">
        <f>'RESUMEN TOTAL'!X347</f>
        <v>0</v>
      </c>
      <c r="T344" s="24">
        <f>'RESUMEN TOTAL'!Y347</f>
        <v>0</v>
      </c>
      <c r="U344" s="24">
        <f>'RESUMEN TOTAL'!Z347</f>
        <v>0</v>
      </c>
      <c r="V344" s="24">
        <f>'RESUMEN TOTAL'!AA347</f>
        <v>0</v>
      </c>
      <c r="W344" s="24">
        <f>'RESUMEN TOTAL'!AB347</f>
        <v>0</v>
      </c>
      <c r="X344" s="24">
        <f>'RESUMEN TOTAL'!AC347</f>
        <v>0</v>
      </c>
      <c r="Y344" s="24">
        <f>'RESUMEN TOTAL'!AD347</f>
        <v>0</v>
      </c>
      <c r="Z344" s="24">
        <f>'RESUMEN TOTAL'!AE347</f>
        <v>0</v>
      </c>
      <c r="AA344" s="24">
        <f>'RESUMEN TOTAL'!AF347</f>
        <v>0</v>
      </c>
      <c r="AB344" s="24">
        <f>'RESUMEN TOTAL'!AG347</f>
        <v>0</v>
      </c>
      <c r="AC344" s="24">
        <f>'RESUMEN TOTAL'!AH347</f>
        <v>0</v>
      </c>
      <c r="AD344" s="24">
        <f>'RESUMEN TOTAL'!AI347</f>
        <v>0</v>
      </c>
      <c r="AE344" s="24">
        <f>'RESUMEN TOTAL'!AJ347</f>
        <v>0</v>
      </c>
      <c r="AF344" s="24">
        <f>'RESUMEN TOTAL'!AK347</f>
        <v>0</v>
      </c>
      <c r="AG344" s="24">
        <f>'RESUMEN TOTAL'!AL347</f>
        <v>0</v>
      </c>
      <c r="AH344" s="24">
        <f>'RESUMEN TOTAL'!AM347</f>
        <v>0</v>
      </c>
      <c r="AI344" s="24">
        <f>'RESUMEN TOTAL'!AN347</f>
        <v>0</v>
      </c>
    </row>
    <row r="345" spans="1:35" x14ac:dyDescent="0.25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>
        <f>'RESUMEN TOTAL'!K348</f>
        <v>0</v>
      </c>
      <c r="G345" s="24">
        <f>'RESUMEN TOTAL'!L348</f>
        <v>0</v>
      </c>
      <c r="H345" s="24">
        <f>'RESUMEN TOTAL'!M348</f>
        <v>0</v>
      </c>
      <c r="I345" s="24">
        <f>'RESUMEN TOTAL'!N348</f>
        <v>0</v>
      </c>
      <c r="J345" s="24">
        <f>'RESUMEN TOTAL'!O348</f>
        <v>0</v>
      </c>
      <c r="K345" s="24">
        <f>'RESUMEN TOTAL'!P348</f>
        <v>0</v>
      </c>
      <c r="L345" s="24">
        <f>'RESUMEN TOTAL'!Q348</f>
        <v>0</v>
      </c>
      <c r="M345" s="24">
        <f>'RESUMEN TOTAL'!R348</f>
        <v>0</v>
      </c>
      <c r="N345" s="24">
        <f>'RESUMEN TOTAL'!S348</f>
        <v>0</v>
      </c>
      <c r="O345" s="24">
        <f>'RESUMEN TOTAL'!T348</f>
        <v>0</v>
      </c>
      <c r="P345" s="24">
        <f>'RESUMEN TOTAL'!U348</f>
        <v>0</v>
      </c>
      <c r="Q345" s="24">
        <f>'RESUMEN TOTAL'!V348</f>
        <v>0</v>
      </c>
      <c r="R345" s="24">
        <f>'RESUMEN TOTAL'!W348</f>
        <v>0</v>
      </c>
      <c r="S345" s="24">
        <f>'RESUMEN TOTAL'!X348</f>
        <v>0</v>
      </c>
      <c r="T345" s="24">
        <f>'RESUMEN TOTAL'!Y348</f>
        <v>0</v>
      </c>
      <c r="U345" s="24">
        <f>'RESUMEN TOTAL'!Z348</f>
        <v>0</v>
      </c>
      <c r="V345" s="24">
        <f>'RESUMEN TOTAL'!AA348</f>
        <v>0</v>
      </c>
      <c r="W345" s="24">
        <f>'RESUMEN TOTAL'!AB348</f>
        <v>0</v>
      </c>
      <c r="X345" s="24">
        <f>'RESUMEN TOTAL'!AC348</f>
        <v>0</v>
      </c>
      <c r="Y345" s="24">
        <f>'RESUMEN TOTAL'!AD348</f>
        <v>0</v>
      </c>
      <c r="Z345" s="24">
        <f>'RESUMEN TOTAL'!AE348</f>
        <v>0</v>
      </c>
      <c r="AA345" s="24">
        <f>'RESUMEN TOTAL'!AF348</f>
        <v>0</v>
      </c>
      <c r="AB345" s="24">
        <f>'RESUMEN TOTAL'!AG348</f>
        <v>0</v>
      </c>
      <c r="AC345" s="24">
        <f>'RESUMEN TOTAL'!AH348</f>
        <v>0</v>
      </c>
      <c r="AD345" s="24">
        <f>'RESUMEN TOTAL'!AI348</f>
        <v>0</v>
      </c>
      <c r="AE345" s="24">
        <f>'RESUMEN TOTAL'!AJ348</f>
        <v>0</v>
      </c>
      <c r="AF345" s="24">
        <f>'RESUMEN TOTAL'!AK348</f>
        <v>0</v>
      </c>
      <c r="AG345" s="24">
        <f>'RESUMEN TOTAL'!AL348</f>
        <v>0</v>
      </c>
      <c r="AH345" s="24">
        <f>'RESUMEN TOTAL'!AM348</f>
        <v>0</v>
      </c>
      <c r="AI345" s="24">
        <f>'RESUMEN TOTAL'!AN348</f>
        <v>0</v>
      </c>
    </row>
    <row r="346" spans="1:35" x14ac:dyDescent="0.25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>
        <f>'RESUMEN TOTAL'!K349</f>
        <v>0</v>
      </c>
      <c r="G346" s="24">
        <f>'RESUMEN TOTAL'!L349</f>
        <v>0</v>
      </c>
      <c r="H346" s="24">
        <f>'RESUMEN TOTAL'!M349</f>
        <v>0</v>
      </c>
      <c r="I346" s="24">
        <f>'RESUMEN TOTAL'!N349</f>
        <v>0</v>
      </c>
      <c r="J346" s="24">
        <f>'RESUMEN TOTAL'!O349</f>
        <v>0</v>
      </c>
      <c r="K346" s="24">
        <f>'RESUMEN TOTAL'!P349</f>
        <v>0</v>
      </c>
      <c r="L346" s="24">
        <f>'RESUMEN TOTAL'!Q349</f>
        <v>0</v>
      </c>
      <c r="M346" s="24">
        <f>'RESUMEN TOTAL'!R349</f>
        <v>0</v>
      </c>
      <c r="N346" s="24">
        <f>'RESUMEN TOTAL'!S349</f>
        <v>0</v>
      </c>
      <c r="O346" s="24">
        <f>'RESUMEN TOTAL'!T349</f>
        <v>0</v>
      </c>
      <c r="P346" s="24">
        <f>'RESUMEN TOTAL'!U349</f>
        <v>0</v>
      </c>
      <c r="Q346" s="24">
        <f>'RESUMEN TOTAL'!V349</f>
        <v>0</v>
      </c>
      <c r="R346" s="24">
        <f>'RESUMEN TOTAL'!W349</f>
        <v>0</v>
      </c>
      <c r="S346" s="24">
        <f>'RESUMEN TOTAL'!X349</f>
        <v>0</v>
      </c>
      <c r="T346" s="24">
        <f>'RESUMEN TOTAL'!Y349</f>
        <v>0</v>
      </c>
      <c r="U346" s="24">
        <f>'RESUMEN TOTAL'!Z349</f>
        <v>0</v>
      </c>
      <c r="V346" s="24">
        <f>'RESUMEN TOTAL'!AA349</f>
        <v>0</v>
      </c>
      <c r="W346" s="24">
        <f>'RESUMEN TOTAL'!AB349</f>
        <v>0</v>
      </c>
      <c r="X346" s="24">
        <f>'RESUMEN TOTAL'!AC349</f>
        <v>0</v>
      </c>
      <c r="Y346" s="24">
        <f>'RESUMEN TOTAL'!AD349</f>
        <v>0</v>
      </c>
      <c r="Z346" s="24">
        <f>'RESUMEN TOTAL'!AE349</f>
        <v>0</v>
      </c>
      <c r="AA346" s="24">
        <f>'RESUMEN TOTAL'!AF349</f>
        <v>0</v>
      </c>
      <c r="AB346" s="24">
        <f>'RESUMEN TOTAL'!AG349</f>
        <v>0</v>
      </c>
      <c r="AC346" s="24">
        <f>'RESUMEN TOTAL'!AH349</f>
        <v>0</v>
      </c>
      <c r="AD346" s="24">
        <f>'RESUMEN TOTAL'!AI349</f>
        <v>0</v>
      </c>
      <c r="AE346" s="24">
        <f>'RESUMEN TOTAL'!AJ349</f>
        <v>0</v>
      </c>
      <c r="AF346" s="24">
        <f>'RESUMEN TOTAL'!AK349</f>
        <v>0</v>
      </c>
      <c r="AG346" s="24">
        <f>'RESUMEN TOTAL'!AL349</f>
        <v>0</v>
      </c>
      <c r="AH346" s="24">
        <f>'RESUMEN TOTAL'!AM349</f>
        <v>0</v>
      </c>
      <c r="AI346" s="24">
        <f>'RESUMEN TOTAL'!AN349</f>
        <v>0</v>
      </c>
    </row>
    <row r="347" spans="1:35" x14ac:dyDescent="0.25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>
        <f>'RESUMEN TOTAL'!K350</f>
        <v>0</v>
      </c>
      <c r="G347" s="24">
        <f>'RESUMEN TOTAL'!L350</f>
        <v>0</v>
      </c>
      <c r="H347" s="24">
        <f>'RESUMEN TOTAL'!M350</f>
        <v>0</v>
      </c>
      <c r="I347" s="24">
        <f>'RESUMEN TOTAL'!N350</f>
        <v>0</v>
      </c>
      <c r="J347" s="24">
        <f>'RESUMEN TOTAL'!O350</f>
        <v>0</v>
      </c>
      <c r="K347" s="24">
        <f>'RESUMEN TOTAL'!P350</f>
        <v>0</v>
      </c>
      <c r="L347" s="24">
        <f>'RESUMEN TOTAL'!Q350</f>
        <v>0</v>
      </c>
      <c r="M347" s="24">
        <f>'RESUMEN TOTAL'!R350</f>
        <v>0</v>
      </c>
      <c r="N347" s="24">
        <f>'RESUMEN TOTAL'!S350</f>
        <v>0</v>
      </c>
      <c r="O347" s="24">
        <f>'RESUMEN TOTAL'!T350</f>
        <v>0</v>
      </c>
      <c r="P347" s="24">
        <f>'RESUMEN TOTAL'!U350</f>
        <v>0</v>
      </c>
      <c r="Q347" s="24">
        <f>'RESUMEN TOTAL'!V350</f>
        <v>0</v>
      </c>
      <c r="R347" s="24">
        <f>'RESUMEN TOTAL'!W350</f>
        <v>0</v>
      </c>
      <c r="S347" s="24">
        <f>'RESUMEN TOTAL'!X350</f>
        <v>0</v>
      </c>
      <c r="T347" s="24">
        <f>'RESUMEN TOTAL'!Y350</f>
        <v>0</v>
      </c>
      <c r="U347" s="24">
        <f>'RESUMEN TOTAL'!Z350</f>
        <v>0</v>
      </c>
      <c r="V347" s="24">
        <f>'RESUMEN TOTAL'!AA350</f>
        <v>0</v>
      </c>
      <c r="W347" s="24">
        <f>'RESUMEN TOTAL'!AB350</f>
        <v>0</v>
      </c>
      <c r="X347" s="24">
        <f>'RESUMEN TOTAL'!AC350</f>
        <v>0</v>
      </c>
      <c r="Y347" s="24">
        <f>'RESUMEN TOTAL'!AD350</f>
        <v>0</v>
      </c>
      <c r="Z347" s="24">
        <f>'RESUMEN TOTAL'!AE350</f>
        <v>0</v>
      </c>
      <c r="AA347" s="24">
        <f>'RESUMEN TOTAL'!AF350</f>
        <v>0</v>
      </c>
      <c r="AB347" s="24">
        <f>'RESUMEN TOTAL'!AG350</f>
        <v>0</v>
      </c>
      <c r="AC347" s="24">
        <f>'RESUMEN TOTAL'!AH350</f>
        <v>0</v>
      </c>
      <c r="AD347" s="24">
        <f>'RESUMEN TOTAL'!AI350</f>
        <v>0</v>
      </c>
      <c r="AE347" s="24">
        <f>'RESUMEN TOTAL'!AJ350</f>
        <v>0</v>
      </c>
      <c r="AF347" s="24">
        <f>'RESUMEN TOTAL'!AK350</f>
        <v>0</v>
      </c>
      <c r="AG347" s="24">
        <f>'RESUMEN TOTAL'!AL350</f>
        <v>0</v>
      </c>
      <c r="AH347" s="24">
        <f>'RESUMEN TOTAL'!AM350</f>
        <v>0</v>
      </c>
      <c r="AI347" s="24">
        <f>'RESUMEN TOTAL'!AN350</f>
        <v>0</v>
      </c>
    </row>
    <row r="348" spans="1:35" x14ac:dyDescent="0.25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>
        <f>'RESUMEN TOTAL'!K351</f>
        <v>0</v>
      </c>
      <c r="G348" s="24">
        <f>'RESUMEN TOTAL'!L351</f>
        <v>0</v>
      </c>
      <c r="H348" s="24">
        <f>'RESUMEN TOTAL'!M351</f>
        <v>0</v>
      </c>
      <c r="I348" s="24">
        <f>'RESUMEN TOTAL'!N351</f>
        <v>0</v>
      </c>
      <c r="J348" s="24">
        <f>'RESUMEN TOTAL'!O351</f>
        <v>0</v>
      </c>
      <c r="K348" s="24">
        <f>'RESUMEN TOTAL'!P351</f>
        <v>0</v>
      </c>
      <c r="L348" s="24">
        <f>'RESUMEN TOTAL'!Q351</f>
        <v>0</v>
      </c>
      <c r="M348" s="24">
        <f>'RESUMEN TOTAL'!R351</f>
        <v>0</v>
      </c>
      <c r="N348" s="24">
        <f>'RESUMEN TOTAL'!S351</f>
        <v>0</v>
      </c>
      <c r="O348" s="24">
        <f>'RESUMEN TOTAL'!T351</f>
        <v>0</v>
      </c>
      <c r="P348" s="24">
        <f>'RESUMEN TOTAL'!U351</f>
        <v>0</v>
      </c>
      <c r="Q348" s="24">
        <f>'RESUMEN TOTAL'!V351</f>
        <v>0</v>
      </c>
      <c r="R348" s="24">
        <f>'RESUMEN TOTAL'!W351</f>
        <v>0</v>
      </c>
      <c r="S348" s="24">
        <f>'RESUMEN TOTAL'!X351</f>
        <v>0</v>
      </c>
      <c r="T348" s="24">
        <f>'RESUMEN TOTAL'!Y351</f>
        <v>0</v>
      </c>
      <c r="U348" s="24">
        <f>'RESUMEN TOTAL'!Z351</f>
        <v>0</v>
      </c>
      <c r="V348" s="24">
        <f>'RESUMEN TOTAL'!AA351</f>
        <v>0</v>
      </c>
      <c r="W348" s="24">
        <f>'RESUMEN TOTAL'!AB351</f>
        <v>0</v>
      </c>
      <c r="X348" s="24">
        <f>'RESUMEN TOTAL'!AC351</f>
        <v>0</v>
      </c>
      <c r="Y348" s="24">
        <f>'RESUMEN TOTAL'!AD351</f>
        <v>0</v>
      </c>
      <c r="Z348" s="24">
        <f>'RESUMEN TOTAL'!AE351</f>
        <v>0</v>
      </c>
      <c r="AA348" s="24">
        <f>'RESUMEN TOTAL'!AF351</f>
        <v>0</v>
      </c>
      <c r="AB348" s="24">
        <f>'RESUMEN TOTAL'!AG351</f>
        <v>0</v>
      </c>
      <c r="AC348" s="24">
        <f>'RESUMEN TOTAL'!AH351</f>
        <v>0</v>
      </c>
      <c r="AD348" s="24">
        <f>'RESUMEN TOTAL'!AI351</f>
        <v>0</v>
      </c>
      <c r="AE348" s="24">
        <f>'RESUMEN TOTAL'!AJ351</f>
        <v>0</v>
      </c>
      <c r="AF348" s="24">
        <f>'RESUMEN TOTAL'!AK351</f>
        <v>0</v>
      </c>
      <c r="AG348" s="24">
        <f>'RESUMEN TOTAL'!AL351</f>
        <v>0</v>
      </c>
      <c r="AH348" s="24">
        <f>'RESUMEN TOTAL'!AM351</f>
        <v>0</v>
      </c>
      <c r="AI348" s="24">
        <f>'RESUMEN TOTAL'!AN351</f>
        <v>0</v>
      </c>
    </row>
    <row r="349" spans="1:35" x14ac:dyDescent="0.25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25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25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>
        <f>'RESUMEN TOTAL'!M354</f>
        <v>0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25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>
        <f>'RESUMEN TOTAL'!M355</f>
        <v>0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25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25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25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25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25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 t="str">
        <f>'RESUMEN TOTAL'!K360</f>
        <v>APAGADO</v>
      </c>
      <c r="G357" s="24" t="str">
        <f>'RESUMEN TOTAL'!L360</f>
        <v>APAGADO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>
        <f>'RESUMEN TOTAL'!Z360</f>
        <v>0</v>
      </c>
      <c r="V357" s="24">
        <f>'RESUMEN TOTAL'!AA360</f>
        <v>0</v>
      </c>
      <c r="W357" s="24">
        <f>'RESUMEN TOTAL'!AB360</f>
        <v>0</v>
      </c>
      <c r="X357" s="24">
        <f>'RESUMEN TOTAL'!AC360</f>
        <v>0</v>
      </c>
      <c r="Y357" s="24">
        <f>'RESUMEN TOTAL'!AD360</f>
        <v>0</v>
      </c>
      <c r="Z357" s="24">
        <f>'RESUMEN TOTAL'!AE360</f>
        <v>0</v>
      </c>
      <c r="AA357" s="24">
        <f>'RESUMEN TOTAL'!AF360</f>
        <v>0</v>
      </c>
      <c r="AB357" s="24">
        <f>'RESUMEN TOTAL'!AG360</f>
        <v>0</v>
      </c>
      <c r="AC357" s="24">
        <f>'RESUMEN TOTAL'!AH360</f>
        <v>0</v>
      </c>
      <c r="AD357" s="24">
        <f>'RESUMEN TOTAL'!AI360</f>
        <v>0</v>
      </c>
      <c r="AE357" s="24">
        <f>'RESUMEN TOTAL'!AJ360</f>
        <v>0</v>
      </c>
      <c r="AF357" s="24">
        <f>'RESUMEN TOTAL'!AK360</f>
        <v>0</v>
      </c>
      <c r="AG357" s="24">
        <f>'RESUMEN TOTAL'!AL360</f>
        <v>0</v>
      </c>
      <c r="AH357" s="24">
        <f>'RESUMEN TOTAL'!AM360</f>
        <v>0</v>
      </c>
      <c r="AI357" s="24">
        <f>'RESUMEN TOTAL'!AN360</f>
        <v>0</v>
      </c>
    </row>
    <row r="358" spans="1:35" x14ac:dyDescent="0.25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>
        <f>'RESUMEN TOTAL'!AC361</f>
        <v>0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25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>
        <f>'RESUMEN TOTAL'!AC362</f>
        <v>0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25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>
        <f>'RESUMEN TOTAL'!AC363</f>
        <v>0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25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>
        <f>'RESUMEN TOTAL'!AC364</f>
        <v>0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25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>
        <f>'RESUMEN TOTAL'!AB365</f>
        <v>0</v>
      </c>
      <c r="X362" s="24">
        <f>'RESUMEN TOTAL'!AC365</f>
        <v>0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25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>
        <f>'RESUMEN TOTAL'!AC366</f>
        <v>0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25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>
        <f>'RESUMEN TOTAL'!AC367</f>
        <v>0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25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25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>
        <f>'RESUMEN TOTAL'!M369</f>
        <v>0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>
        <f>'RESUMEN TOTAL'!Q369</f>
        <v>0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25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25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>
        <f>'RESUMEN TOTAL'!M371</f>
        <v>0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25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25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>
        <f>'RESUMEN TOTAL'!M373</f>
        <v>0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25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 t="str">
        <f>'RESUMEN TOTAL'!K374</f>
        <v>APAGADO</v>
      </c>
      <c r="G371" s="24">
        <f>'RESUMEN TOTAL'!L374</f>
        <v>0</v>
      </c>
      <c r="H371" s="24">
        <f>'RESUMEN TOTAL'!M374</f>
        <v>0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>
        <f>'RESUMEN TOTAL'!S374</f>
        <v>0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>
        <f>'RESUMEN TOTAL'!Z374</f>
        <v>0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>
        <f>'RESUMEN TOTAL'!AF374</f>
        <v>0</v>
      </c>
      <c r="AB371" s="24">
        <f>'RESUMEN TOTAL'!AG374</f>
        <v>0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>
        <f>'RESUMEN TOTAL'!AL374</f>
        <v>0</v>
      </c>
      <c r="AH371" s="24">
        <f>'RESUMEN TOTAL'!AM374</f>
        <v>0</v>
      </c>
      <c r="AI371" s="24">
        <f>'RESUMEN TOTAL'!AN374</f>
        <v>0</v>
      </c>
    </row>
    <row r="372" spans="1:35" x14ac:dyDescent="0.25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25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25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25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>
        <f>'RESUMEN TOTAL'!M378</f>
        <v>0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>
        <f>'RESUMEN TOTAL'!S378</f>
        <v>0</v>
      </c>
      <c r="O375" s="24">
        <f>'RESUMEN TOTAL'!T378</f>
        <v>0</v>
      </c>
      <c r="P375" s="24">
        <f>'RESUMEN TOTAL'!U378</f>
        <v>0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25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 t="str">
        <f>'RESUMEN TOTAL'!K379</f>
        <v>APAGADO</v>
      </c>
      <c r="G376" s="24" t="str">
        <f>'RESUMEN TOTAL'!L379</f>
        <v>APAGADO</v>
      </c>
      <c r="H376" s="24">
        <f>'RESUMEN TOTAL'!M379</f>
        <v>0</v>
      </c>
      <c r="I376" s="24">
        <f>'RESUMEN TOTAL'!N379</f>
        <v>0</v>
      </c>
      <c r="J376" s="24">
        <f>'RESUMEN TOTAL'!O379</f>
        <v>0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>
        <f>'RESUMEN TOTAL'!S379</f>
        <v>0</v>
      </c>
      <c r="O376" s="24">
        <f>'RESUMEN TOTAL'!T379</f>
        <v>0</v>
      </c>
      <c r="P376" s="24">
        <f>'RESUMEN TOTAL'!U379</f>
        <v>0</v>
      </c>
      <c r="Q376" s="24">
        <f>'RESUMEN TOTAL'!V379</f>
        <v>0</v>
      </c>
      <c r="R376" s="24">
        <f>'RESUMEN TOTAL'!W379</f>
        <v>0</v>
      </c>
      <c r="S376" s="24">
        <f>'RESUMEN TOTAL'!X379</f>
        <v>0</v>
      </c>
      <c r="T376" s="24">
        <f>'RESUMEN TOTAL'!Y379</f>
        <v>0</v>
      </c>
      <c r="U376" s="24">
        <f>'RESUMEN TOTAL'!Z379</f>
        <v>0</v>
      </c>
      <c r="V376" s="24">
        <f>'RESUMEN TOTAL'!AA379</f>
        <v>0</v>
      </c>
      <c r="W376" s="24">
        <f>'RESUMEN TOTAL'!AB379</f>
        <v>0</v>
      </c>
      <c r="X376" s="24">
        <f>'RESUMEN TOTAL'!AC379</f>
        <v>0</v>
      </c>
      <c r="Y376" s="24">
        <f>'RESUMEN TOTAL'!AD379</f>
        <v>0</v>
      </c>
      <c r="Z376" s="24">
        <f>'RESUMEN TOTAL'!AE379</f>
        <v>0</v>
      </c>
      <c r="AA376" s="24">
        <f>'RESUMEN TOTAL'!AF379</f>
        <v>0</v>
      </c>
      <c r="AB376" s="24">
        <f>'RESUMEN TOTAL'!AG379</f>
        <v>0</v>
      </c>
      <c r="AC376" s="24">
        <f>'RESUMEN TOTAL'!AH379</f>
        <v>0</v>
      </c>
      <c r="AD376" s="24">
        <f>'RESUMEN TOTAL'!AI379</f>
        <v>0</v>
      </c>
      <c r="AE376" s="24">
        <f>'RESUMEN TOTAL'!AJ379</f>
        <v>0</v>
      </c>
      <c r="AF376" s="24">
        <f>'RESUMEN TOTAL'!AK379</f>
        <v>0</v>
      </c>
      <c r="AG376" s="24">
        <f>'RESUMEN TOTAL'!AL379</f>
        <v>0</v>
      </c>
      <c r="AH376" s="24">
        <f>'RESUMEN TOTAL'!AM379</f>
        <v>0</v>
      </c>
      <c r="AI376" s="24">
        <f>'RESUMEN TOTAL'!AN379</f>
        <v>0</v>
      </c>
    </row>
    <row r="377" spans="1:35" x14ac:dyDescent="0.25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>
        <f>'RESUMEN TOTAL'!Y380</f>
        <v>0</v>
      </c>
      <c r="U377" s="24">
        <f>'RESUMEN TOTAL'!Z380</f>
        <v>0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>
        <f>'RESUMEN TOTAL'!AF380</f>
        <v>0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>
        <f>'RESUMEN TOTAL'!AK380</f>
        <v>0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25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>
        <f>'RESUMEN TOTAL'!S381</f>
        <v>0</v>
      </c>
      <c r="O378" s="24">
        <f>'RESUMEN TOTAL'!T381</f>
        <v>0</v>
      </c>
      <c r="P378" s="24">
        <f>'RESUMEN TOTAL'!U381</f>
        <v>0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25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>
        <f>'RESUMEN TOTAL'!M382</f>
        <v>0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25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>
        <f>'RESUMEN TOTAL'!M383</f>
        <v>0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25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25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25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 ca="1"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25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>
        <f>'RESUMEN TOTAL'!M387</f>
        <v>0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>
        <f>'RESUMEN TOTAL'!AF387</f>
        <v>0</v>
      </c>
      <c r="AB384" s="24">
        <f>'RESUMEN TOTAL'!AG387</f>
        <v>0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25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>
        <f>'RESUMEN TOTAL'!AM388</f>
        <v>0</v>
      </c>
      <c r="AI385" s="24">
        <f>'RESUMEN TOTAL'!AN388</f>
        <v>0</v>
      </c>
    </row>
    <row r="386" spans="1:35" x14ac:dyDescent="0.25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25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 t="str">
        <f>'RESUMEN TOTAL'!K390</f>
        <v>APAGADO</v>
      </c>
      <c r="G387" s="24">
        <f>'RESUMEN TOTAL'!L390</f>
        <v>0</v>
      </c>
      <c r="H387" s="24">
        <f>'RESUMEN TOTAL'!M390</f>
        <v>0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>
        <f>'RESUMEN TOTAL'!S390</f>
        <v>0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>
        <f>'RESUMEN TOTAL'!Z390</f>
        <v>0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>
        <f>'RESUMEN TOTAL'!AF390</f>
        <v>0</v>
      </c>
      <c r="AB387" s="24">
        <f>'RESUMEN TOTAL'!AG390</f>
        <v>0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>
        <f>'RESUMEN TOTAL'!AL390</f>
        <v>0</v>
      </c>
      <c r="AH387" s="24">
        <f>'RESUMEN TOTAL'!AM390</f>
        <v>0</v>
      </c>
      <c r="AI387" s="24">
        <f>'RESUMEN TOTAL'!AN390</f>
        <v>0</v>
      </c>
    </row>
    <row r="388" spans="1:35" x14ac:dyDescent="0.25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 t="str">
        <f>'RESUMEN TOTAL'!K391</f>
        <v>APAGADO</v>
      </c>
      <c r="G388" s="24">
        <f>'RESUMEN TOTAL'!L391</f>
        <v>0</v>
      </c>
      <c r="H388" s="24">
        <f>'RESUMEN TOTAL'!M391</f>
        <v>0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>
        <f>'RESUMEN TOTAL'!S391</f>
        <v>0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>
        <f>'RESUMEN TOTAL'!Z391</f>
        <v>0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>
        <f>'RESUMEN TOTAL'!AF391</f>
        <v>0</v>
      </c>
      <c r="AB388" s="24">
        <f>'RESUMEN TOTAL'!AG391</f>
        <v>0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>
        <f>'RESUMEN TOTAL'!AL391</f>
        <v>0</v>
      </c>
      <c r="AH388" s="24">
        <f>'RESUMEN TOTAL'!AM391</f>
        <v>0</v>
      </c>
      <c r="AI388" s="24">
        <f>'RESUMEN TOTAL'!AN391</f>
        <v>0</v>
      </c>
    </row>
    <row r="389" spans="1:35" x14ac:dyDescent="0.25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>
        <f>'RESUMEN TOTAL'!M392</f>
        <v>0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>
        <f>'RESUMEN TOTAL'!T392</f>
        <v>0</v>
      </c>
      <c r="P389" s="24">
        <f>'RESUMEN TOTAL'!U392</f>
        <v>0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25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>
        <f>'RESUMEN TOTAL'!M393</f>
        <v>0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>
        <f>'RESUMEN TOTAL'!T393</f>
        <v>0</v>
      </c>
      <c r="P390" s="24">
        <f>'RESUMEN TOTAL'!U393</f>
        <v>0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25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>
        <f>'RESUMEN TOTAL'!M394</f>
        <v>0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25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>
        <f>'RESUMEN TOTAL'!M395</f>
        <v>0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25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25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25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>
        <f>'RESUMEN TOTAL'!W398</f>
        <v>0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25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>
        <f>'RESUMEN TOTAL'!W399</f>
        <v>0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25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>
        <f>'RESUMEN TOTAL'!W400</f>
        <v>0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25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>
        <f>'RESUMEN TOTAL'!W401</f>
        <v>0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25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>
        <f>'RESUMEN TOTAL'!K402</f>
        <v>0</v>
      </c>
      <c r="G399" s="24">
        <f>'RESUMEN TOTAL'!L402</f>
        <v>0</v>
      </c>
      <c r="H399" s="24">
        <f>'RESUMEN TOTAL'!M402</f>
        <v>0</v>
      </c>
      <c r="I399" s="24">
        <f>'RESUMEN TOTAL'!N402</f>
        <v>0</v>
      </c>
      <c r="J399" s="24">
        <f>'RESUMEN TOTAL'!O402</f>
        <v>0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>
        <f>'RESUMEN TOTAL'!S402</f>
        <v>0</v>
      </c>
      <c r="O399" s="24">
        <f>'RESUMEN TOTAL'!T402</f>
        <v>0</v>
      </c>
      <c r="P399" s="24">
        <f>'RESUMEN TOTAL'!U402</f>
        <v>0</v>
      </c>
      <c r="Q399" s="24">
        <f>'RESUMEN TOTAL'!V402</f>
        <v>0</v>
      </c>
      <c r="R399" s="24">
        <f>'RESUMEN TOTAL'!W402</f>
        <v>0</v>
      </c>
      <c r="S399" s="24">
        <f>'RESUMEN TOTAL'!X402</f>
        <v>0</v>
      </c>
      <c r="T399" s="24">
        <f>'RESUMEN TOTAL'!Y402</f>
        <v>0</v>
      </c>
      <c r="U399" s="24">
        <f>'RESUMEN TOTAL'!Z402</f>
        <v>0</v>
      </c>
      <c r="V399" s="24">
        <f>'RESUMEN TOTAL'!AA402</f>
        <v>0</v>
      </c>
      <c r="W399" s="24">
        <f>'RESUMEN TOTAL'!AB402</f>
        <v>0</v>
      </c>
      <c r="X399" s="24">
        <f>'RESUMEN TOTAL'!AC402</f>
        <v>0</v>
      </c>
      <c r="Y399" s="24">
        <f>'RESUMEN TOTAL'!AD402</f>
        <v>0</v>
      </c>
      <c r="Z399" s="24">
        <f>'RESUMEN TOTAL'!AE402</f>
        <v>0</v>
      </c>
      <c r="AA399" s="24">
        <f>'RESUMEN TOTAL'!AF402</f>
        <v>0</v>
      </c>
      <c r="AB399" s="24">
        <f>'RESUMEN TOTAL'!AG402</f>
        <v>0</v>
      </c>
      <c r="AC399" s="24">
        <f>'RESUMEN TOTAL'!AH402</f>
        <v>0</v>
      </c>
      <c r="AD399" s="24">
        <f>'RESUMEN TOTAL'!AI402</f>
        <v>0</v>
      </c>
      <c r="AE399" s="24">
        <f>'RESUMEN TOTAL'!AJ402</f>
        <v>0</v>
      </c>
      <c r="AF399" s="24">
        <f>'RESUMEN TOTAL'!AK402</f>
        <v>0</v>
      </c>
      <c r="AG399" s="24">
        <f>'RESUMEN TOTAL'!AL402</f>
        <v>0</v>
      </c>
      <c r="AH399" s="24">
        <f>'RESUMEN TOTAL'!AM402</f>
        <v>0</v>
      </c>
      <c r="AI399" s="24">
        <f>'RESUMEN TOTAL'!AN402</f>
        <v>0</v>
      </c>
    </row>
    <row r="400" spans="1:35" x14ac:dyDescent="0.25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>
        <f>'RESUMEN TOTAL'!W403</f>
        <v>0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25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>
        <f>'RESUMEN TOTAL'!W404</f>
        <v>0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25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>
        <f>'RESUMEN TOTAL'!K405</f>
        <v>0</v>
      </c>
      <c r="G402" s="24">
        <f>'RESUMEN TOTAL'!L405</f>
        <v>0</v>
      </c>
      <c r="H402" s="24">
        <f>'RESUMEN TOTAL'!M405</f>
        <v>0</v>
      </c>
      <c r="I402" s="24">
        <f>'RESUMEN TOTAL'!N405</f>
        <v>0</v>
      </c>
      <c r="J402" s="24">
        <f>'RESUMEN TOTAL'!O405</f>
        <v>0</v>
      </c>
      <c r="K402" s="24">
        <f>'RESUMEN TOTAL'!P405</f>
        <v>0</v>
      </c>
      <c r="L402" s="24">
        <f>'RESUMEN TOTAL'!Q405</f>
        <v>0</v>
      </c>
      <c r="M402" s="24">
        <f>'RESUMEN TOTAL'!R405</f>
        <v>0</v>
      </c>
      <c r="N402" s="24">
        <f>'RESUMEN TOTAL'!S405</f>
        <v>0</v>
      </c>
      <c r="O402" s="24">
        <f>'RESUMEN TOTAL'!T405</f>
        <v>0</v>
      </c>
      <c r="P402" s="24">
        <f>'RESUMEN TOTAL'!U405</f>
        <v>0</v>
      </c>
      <c r="Q402" s="24">
        <f>'RESUMEN TOTAL'!V405</f>
        <v>0</v>
      </c>
      <c r="R402" s="24">
        <f>'RESUMEN TOTAL'!W405</f>
        <v>0</v>
      </c>
      <c r="S402" s="24">
        <f>'RESUMEN TOTAL'!X405</f>
        <v>0</v>
      </c>
      <c r="T402" s="24">
        <f>'RESUMEN TOTAL'!Y405</f>
        <v>0</v>
      </c>
      <c r="U402" s="24">
        <f>'RESUMEN TOTAL'!Z405</f>
        <v>0</v>
      </c>
      <c r="V402" s="24">
        <f>'RESUMEN TOTAL'!AA405</f>
        <v>0</v>
      </c>
      <c r="W402" s="24">
        <f>'RESUMEN TOTAL'!AB405</f>
        <v>0</v>
      </c>
      <c r="X402" s="24">
        <f>'RESUMEN TOTAL'!AC405</f>
        <v>0</v>
      </c>
      <c r="Y402" s="24">
        <f>'RESUMEN TOTAL'!AD405</f>
        <v>0</v>
      </c>
      <c r="Z402" s="24">
        <f>'RESUMEN TOTAL'!AE405</f>
        <v>0</v>
      </c>
      <c r="AA402" s="24">
        <f>'RESUMEN TOTAL'!AF405</f>
        <v>0</v>
      </c>
      <c r="AB402" s="24">
        <f>'RESUMEN TOTAL'!AG405</f>
        <v>0</v>
      </c>
      <c r="AC402" s="24">
        <f>'RESUMEN TOTAL'!AH405</f>
        <v>0</v>
      </c>
      <c r="AD402" s="24">
        <f>'RESUMEN TOTAL'!AI405</f>
        <v>0</v>
      </c>
      <c r="AE402" s="24">
        <f>'RESUMEN TOTAL'!AJ405</f>
        <v>0</v>
      </c>
      <c r="AF402" s="24">
        <f>'RESUMEN TOTAL'!AK405</f>
        <v>0</v>
      </c>
      <c r="AG402" s="24">
        <f>'RESUMEN TOTAL'!AL405</f>
        <v>0</v>
      </c>
      <c r="AH402" s="24">
        <f>'RESUMEN TOTAL'!AM405</f>
        <v>0</v>
      </c>
      <c r="AI402" s="24">
        <f>'RESUMEN TOTAL'!AN405</f>
        <v>0</v>
      </c>
    </row>
    <row r="403" spans="1:35" x14ac:dyDescent="0.25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>
        <f>'RESUMEN TOTAL'!W406</f>
        <v>0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25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 t="str">
        <f>'RESUMEN TOTAL'!K407</f>
        <v>APAGADO</v>
      </c>
      <c r="G404" s="24" t="str">
        <f>'RESUMEN TOTAL'!L407</f>
        <v>APAGADO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>
        <f>'RESUMEN TOTAL'!AD407</f>
        <v>0</v>
      </c>
      <c r="Z404" s="24">
        <f>'RESUMEN TOTAL'!AE407</f>
        <v>0</v>
      </c>
      <c r="AA404" s="24">
        <f>'RESUMEN TOTAL'!AF407</f>
        <v>0</v>
      </c>
      <c r="AB404" s="24">
        <f>'RESUMEN TOTAL'!AG407</f>
        <v>0</v>
      </c>
      <c r="AC404" s="24">
        <f>'RESUMEN TOTAL'!AH407</f>
        <v>0</v>
      </c>
      <c r="AD404" s="24">
        <f>'RESUMEN TOTAL'!AI407</f>
        <v>0</v>
      </c>
      <c r="AE404" s="24">
        <f>'RESUMEN TOTAL'!AJ407</f>
        <v>0</v>
      </c>
      <c r="AF404" s="24">
        <f>'RESUMEN TOTAL'!AK407</f>
        <v>0</v>
      </c>
      <c r="AG404" s="24">
        <f>'RESUMEN TOTAL'!AL407</f>
        <v>0</v>
      </c>
      <c r="AH404" s="24">
        <f>'RESUMEN TOTAL'!AM407</f>
        <v>0</v>
      </c>
      <c r="AI404" s="24">
        <f>'RESUMEN TOTAL'!AN407</f>
        <v>0</v>
      </c>
    </row>
    <row r="405" spans="1:35" x14ac:dyDescent="0.25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 t="str">
        <f>'RESUMEN TOTAL'!K408</f>
        <v>APAGADO</v>
      </c>
      <c r="G405" s="24" t="str">
        <f>'RESUMEN TOTAL'!L408</f>
        <v>APAGADO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>
        <f>'RESUMEN TOTAL'!AD408</f>
        <v>0</v>
      </c>
      <c r="Z405" s="24">
        <f>'RESUMEN TOTAL'!AE408</f>
        <v>0</v>
      </c>
      <c r="AA405" s="24">
        <f>'RESUMEN TOTAL'!AF408</f>
        <v>0</v>
      </c>
      <c r="AB405" s="24">
        <f>'RESUMEN TOTAL'!AG408</f>
        <v>0</v>
      </c>
      <c r="AC405" s="24">
        <f>'RESUMEN TOTAL'!AH408</f>
        <v>0</v>
      </c>
      <c r="AD405" s="24">
        <f>'RESUMEN TOTAL'!AI408</f>
        <v>0</v>
      </c>
      <c r="AE405" s="24">
        <f>'RESUMEN TOTAL'!AJ408</f>
        <v>0</v>
      </c>
      <c r="AF405" s="24">
        <f>'RESUMEN TOTAL'!AK408</f>
        <v>0</v>
      </c>
      <c r="AG405" s="24">
        <f>'RESUMEN TOTAL'!AL408</f>
        <v>0</v>
      </c>
      <c r="AH405" s="24">
        <f>'RESUMEN TOTAL'!AM408</f>
        <v>0</v>
      </c>
      <c r="AI405" s="24">
        <f>'RESUMEN TOTAL'!AN408</f>
        <v>0</v>
      </c>
    </row>
    <row r="406" spans="1:35" x14ac:dyDescent="0.25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>
        <f>'RESUMEN TOTAL'!W409</f>
        <v>0</v>
      </c>
      <c r="S406" s="24">
        <f>'RESUMEN TOTAL'!X409</f>
        <v>0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>
        <f>'RESUMEN TOTAL'!AF409</f>
        <v>0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>
        <f>'RESUMEN TOTAL'!AM409</f>
        <v>0</v>
      </c>
      <c r="AI406" s="24">
        <f>'RESUMEN TOTAL'!AN409</f>
        <v>0</v>
      </c>
    </row>
    <row r="407" spans="1:35" x14ac:dyDescent="0.25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>
        <f>'RESUMEN TOTAL'!W410</f>
        <v>0</v>
      </c>
      <c r="S407" s="24">
        <f>'RESUMEN TOTAL'!X410</f>
        <v>0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>
        <f>'RESUMEN TOTAL'!AF410</f>
        <v>0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>
        <f>'RESUMEN TOTAL'!AM410</f>
        <v>0</v>
      </c>
      <c r="AI407" s="24">
        <f>'RESUMEN TOTAL'!AN410</f>
        <v>0</v>
      </c>
    </row>
    <row r="408" spans="1:35" x14ac:dyDescent="0.25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25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25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25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25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25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25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25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25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25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 t="str">
        <f>'RESUMEN TOTAL'!K420</f>
        <v>APAGADO</v>
      </c>
      <c r="G417" s="24" t="str">
        <f>'RESUMEN TOTAL'!L420</f>
        <v>APAGADO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>
        <f>'RESUMEN TOTAL'!AD420</f>
        <v>0</v>
      </c>
      <c r="Z417" s="24">
        <f>'RESUMEN TOTAL'!AE420</f>
        <v>0</v>
      </c>
      <c r="AA417" s="24">
        <f>'RESUMEN TOTAL'!AF420</f>
        <v>0</v>
      </c>
      <c r="AB417" s="24">
        <f>'RESUMEN TOTAL'!AG420</f>
        <v>0</v>
      </c>
      <c r="AC417" s="24">
        <f>'RESUMEN TOTAL'!AH420</f>
        <v>0</v>
      </c>
      <c r="AD417" s="24">
        <f>'RESUMEN TOTAL'!AI420</f>
        <v>0</v>
      </c>
      <c r="AE417" s="24">
        <f>'RESUMEN TOTAL'!AJ420</f>
        <v>0</v>
      </c>
      <c r="AF417" s="24">
        <f>'RESUMEN TOTAL'!AK420</f>
        <v>0</v>
      </c>
      <c r="AG417" s="24">
        <f>'RESUMEN TOTAL'!AL420</f>
        <v>0</v>
      </c>
      <c r="AH417" s="24">
        <f>'RESUMEN TOTAL'!AM420</f>
        <v>0</v>
      </c>
      <c r="AI417" s="24">
        <f>'RESUMEN TOTAL'!AN420</f>
        <v>0</v>
      </c>
    </row>
    <row r="418" spans="1:35" x14ac:dyDescent="0.25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25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25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25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25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>
        <f>'RESUMEN TOTAL'!M425</f>
        <v>0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25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25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>
        <f>'RESUMEN TOTAL'!M427</f>
        <v>0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>
        <f>'RESUMEN TOTAL'!X427</f>
        <v>0</v>
      </c>
      <c r="T424" s="24">
        <f>'RESUMEN TOTAL'!Y427</f>
        <v>0</v>
      </c>
      <c r="U424" s="24">
        <f>'RESUMEN TOTAL'!Z427</f>
        <v>0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25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>
        <f>'RESUMEN TOTAL'!M428</f>
        <v>0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25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>
        <f>'RESUMEN TOTAL'!M429</f>
        <v>0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25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>
        <f>'RESUMEN TOTAL'!M430</f>
        <v>0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25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>
        <f>'RESUMEN TOTAL'!M431</f>
        <v>0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>
        <f>'RESUMEN TOTAL'!W431</f>
        <v>0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25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>
        <f>'RESUMEN TOTAL'!M432</f>
        <v>0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>
        <f>'RESUMEN TOTAL'!W432</f>
        <v>0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25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>
        <f>'RESUMEN TOTAL'!W433</f>
        <v>0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25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>
        <f>'RESUMEN TOTAL'!W434</f>
        <v>0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25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25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25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25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25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25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25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25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25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25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25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4"/>
  </cols>
  <sheetData>
    <row r="1" spans="1:35" ht="21" x14ac:dyDescent="0.35">
      <c r="E1" s="20" t="s">
        <v>619</v>
      </c>
      <c r="F1" s="20">
        <f>COUNTIF(F3:F400, "APAGADO")</f>
        <v>38</v>
      </c>
      <c r="G1" s="20">
        <f t="shared" ref="G1:AG1" si="0">COUNTIF(G3:G400, "APAGADO")</f>
        <v>29</v>
      </c>
      <c r="H1" s="20">
        <f t="shared" si="0"/>
        <v>0</v>
      </c>
      <c r="I1" s="20">
        <f t="shared" si="0"/>
        <v>0</v>
      </c>
      <c r="J1" s="20">
        <f t="shared" si="0"/>
        <v>0</v>
      </c>
      <c r="K1" s="20">
        <f t="shared" si="0"/>
        <v>0</v>
      </c>
      <c r="L1" s="20">
        <f t="shared" si="0"/>
        <v>0</v>
      </c>
      <c r="M1" s="20">
        <f t="shared" si="0"/>
        <v>0</v>
      </c>
      <c r="N1" s="20">
        <f t="shared" si="0"/>
        <v>0</v>
      </c>
      <c r="O1" s="20">
        <f t="shared" si="0"/>
        <v>0</v>
      </c>
      <c r="P1" s="20">
        <f t="shared" si="0"/>
        <v>0</v>
      </c>
      <c r="Q1" s="20">
        <f t="shared" si="0"/>
        <v>0</v>
      </c>
      <c r="R1" s="20">
        <f t="shared" si="0"/>
        <v>0</v>
      </c>
      <c r="S1" s="20">
        <f t="shared" si="0"/>
        <v>0</v>
      </c>
      <c r="T1" s="20">
        <f t="shared" si="0"/>
        <v>0</v>
      </c>
      <c r="U1" s="20">
        <f t="shared" si="0"/>
        <v>0</v>
      </c>
      <c r="V1" s="20">
        <f t="shared" si="0"/>
        <v>0</v>
      </c>
      <c r="W1" s="20">
        <f t="shared" si="0"/>
        <v>0</v>
      </c>
      <c r="X1" s="20">
        <f t="shared" ca="1" si="0"/>
        <v>1</v>
      </c>
      <c r="Y1" s="20">
        <f t="shared" si="0"/>
        <v>0</v>
      </c>
      <c r="Z1" s="20">
        <f t="shared" si="0"/>
        <v>0</v>
      </c>
      <c r="AA1" s="20">
        <f t="shared" si="0"/>
        <v>0</v>
      </c>
      <c r="AB1" s="20">
        <f t="shared" si="0"/>
        <v>0</v>
      </c>
      <c r="AC1" s="20">
        <f t="shared" si="0"/>
        <v>0</v>
      </c>
      <c r="AD1" s="20">
        <f t="shared" si="0"/>
        <v>0</v>
      </c>
      <c r="AE1" s="20">
        <f t="shared" si="0"/>
        <v>0</v>
      </c>
      <c r="AF1" s="20">
        <f t="shared" si="0"/>
        <v>0</v>
      </c>
      <c r="AG1" s="20">
        <f t="shared" si="0"/>
        <v>0</v>
      </c>
      <c r="AH1" s="20">
        <f t="shared" ref="AH1:AI1" si="1">COUNTIF(AH3:AH400, "APAGADO")</f>
        <v>0</v>
      </c>
      <c r="AI1" s="20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44866</v>
      </c>
      <c r="G2" s="49">
        <f>ESTADISTICA!G1</f>
        <v>44867</v>
      </c>
      <c r="H2" s="49">
        <f>ESTADISTICA!H1</f>
        <v>44868</v>
      </c>
      <c r="I2" s="49">
        <f>ESTADISTICA!I1</f>
        <v>44869</v>
      </c>
      <c r="J2" s="49">
        <f>ESTADISTICA!J1</f>
        <v>44870</v>
      </c>
      <c r="K2" s="49">
        <f>ESTADISTICA!K1</f>
        <v>44871</v>
      </c>
      <c r="L2" s="49">
        <f>ESTADISTICA!L1</f>
        <v>44872</v>
      </c>
      <c r="M2" s="49">
        <f>ESTADISTICA!M1</f>
        <v>44873</v>
      </c>
      <c r="N2" s="49">
        <f>ESTADISTICA!N1</f>
        <v>44874</v>
      </c>
      <c r="O2" s="49">
        <f>ESTADISTICA!O1</f>
        <v>44875</v>
      </c>
      <c r="P2" s="49">
        <f>ESTADISTICA!P1</f>
        <v>44876</v>
      </c>
      <c r="Q2" s="49">
        <f>ESTADISTICA!Q1</f>
        <v>44877</v>
      </c>
      <c r="R2" s="49">
        <f>ESTADISTICA!R1</f>
        <v>44878</v>
      </c>
      <c r="S2" s="49">
        <f>ESTADISTICA!S1</f>
        <v>44879</v>
      </c>
      <c r="T2" s="49">
        <f>ESTADISTICA!T1</f>
        <v>44880</v>
      </c>
      <c r="U2" s="49">
        <f>ESTADISTICA!U1</f>
        <v>44881</v>
      </c>
      <c r="V2" s="49">
        <f>ESTADISTICA!V1</f>
        <v>44882</v>
      </c>
      <c r="W2" s="49">
        <f>ESTADISTICA!W1</f>
        <v>44883</v>
      </c>
      <c r="X2" s="49">
        <f>ESTADISTICA!X1</f>
        <v>44884</v>
      </c>
      <c r="Y2" s="49">
        <f>ESTADISTICA!Y1</f>
        <v>44885</v>
      </c>
      <c r="Z2" s="49">
        <f>ESTADISTICA!Z1</f>
        <v>44886</v>
      </c>
      <c r="AA2" s="49">
        <f>ESTADISTICA!AA1</f>
        <v>44887</v>
      </c>
      <c r="AB2" s="49">
        <f>ESTADISTICA!AB1</f>
        <v>44888</v>
      </c>
      <c r="AC2" s="49">
        <f>ESTADISTICA!AC1</f>
        <v>44889</v>
      </c>
      <c r="AD2" s="49">
        <f>ESTADISTICA!AD1</f>
        <v>44890</v>
      </c>
      <c r="AE2" s="49">
        <f>ESTADISTICA!AE1</f>
        <v>44891</v>
      </c>
      <c r="AF2" s="49">
        <f>ESTADISTICA!AF1</f>
        <v>44892</v>
      </c>
      <c r="AG2" s="49">
        <f>ESTADISTICA!AG1</f>
        <v>44893</v>
      </c>
      <c r="AH2" s="49">
        <f>ESTADISTICA!AH1</f>
        <v>44894</v>
      </c>
      <c r="AI2" s="49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4">
        <f>ESTADISTICA!AH13</f>
        <v>0</v>
      </c>
      <c r="AI14" s="4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4">
        <f>ESTADISTICA!AH32</f>
        <v>0</v>
      </c>
      <c r="AI33" s="44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4">
        <f>ESTADISTICA!AH35</f>
        <v>0</v>
      </c>
      <c r="AI36" s="44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4">
        <f>ESTADISTICA!AH38</f>
        <v>0</v>
      </c>
      <c r="AI39" s="44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4">
        <f>ESTADISTICA!AH46</f>
        <v>0</v>
      </c>
      <c r="AI47" s="44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4">
        <f>ESTADISTICA!AH47</f>
        <v>0</v>
      </c>
      <c r="AI48" s="44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4">
        <f>ESTADISTICA!AH49</f>
        <v>0</v>
      </c>
      <c r="AI50" s="44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4">
        <f>ESTADISTICA!AH52</f>
        <v>0</v>
      </c>
      <c r="AI53" s="44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4">
        <f>ESTADISTICA!AH54</f>
        <v>0</v>
      </c>
      <c r="AI55" s="44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4">
        <f>ESTADISTICA!AH55</f>
        <v>0</v>
      </c>
      <c r="AI56" s="44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4">
        <f>ESTADISTICA!AH67</f>
        <v>0</v>
      </c>
      <c r="AI68" s="44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4">
        <f>ESTADISTICA!AH85</f>
        <v>0</v>
      </c>
      <c r="AI86" s="44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4">
        <f>ESTADISTICA!AH86</f>
        <v>0</v>
      </c>
      <c r="AI87" s="4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4">
        <f>ESTADISTICA!AH92</f>
        <v>0</v>
      </c>
      <c r="AI93" s="44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4">
        <f>ESTADISTICA!AH96</f>
        <v>0</v>
      </c>
      <c r="AI97" s="44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4">
        <f>ESTADISTICA!AH99</f>
        <v>0</v>
      </c>
      <c r="AI100" s="44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4">
        <f>ESTADISTICA!AH100</f>
        <v>0</v>
      </c>
      <c r="AI101" s="44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4">
        <f>ESTADISTICA!AH124</f>
        <v>0</v>
      </c>
      <c r="AI125" s="44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4">
        <f>ESTADISTICA!AH134</f>
        <v>0</v>
      </c>
      <c r="AI135" s="44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4">
        <f>ESTADISTICA!AH135</f>
        <v>0</v>
      </c>
      <c r="AI136" s="44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4">
        <f>ESTADISTICA!AH163</f>
        <v>0</v>
      </c>
      <c r="AI164" s="4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4">
        <f>ESTADISTICA!AH164</f>
        <v>0</v>
      </c>
      <c r="AI165" s="44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4">
        <f>ESTADISTICA!AH173</f>
        <v>0</v>
      </c>
      <c r="AI174" s="4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4">
        <f>ESTADISTICA!AH175</f>
        <v>0</v>
      </c>
      <c r="AI176" s="44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4">
        <f>ESTADISTICA!AH180</f>
        <v>0</v>
      </c>
      <c r="AI181" s="44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4">
        <f>ESTADISTICA!AH183</f>
        <v>0</v>
      </c>
      <c r="AI184" s="4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4">
        <f>ESTADISTICA!AH196</f>
        <v>0</v>
      </c>
      <c r="AI197" s="44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4">
        <f>ESTADISTICA!AH199</f>
        <v>0</v>
      </c>
      <c r="AI200" s="44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4">
        <f>ESTADISTICA!AH209</f>
        <v>0</v>
      </c>
      <c r="AI210" s="44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4">
        <f>ESTADISTICA!AH227</f>
        <v>0</v>
      </c>
      <c r="AI228" s="44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4">
        <f>ESTADISTICA!AH234</f>
        <v>0</v>
      </c>
      <c r="AI235" s="44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>
        <f>ESTADISTICA!AH282</f>
        <v>0</v>
      </c>
      <c r="AI283" s="44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>
        <f>ESTADISTICA!AH299</f>
        <v>0</v>
      </c>
      <c r="AI300" s="44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4">
        <f>ESTADISTICA!AH342</f>
        <v>0</v>
      </c>
      <c r="AI343" s="44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4">
        <f>ESTADISTICA!AH343</f>
        <v>0</v>
      </c>
      <c r="AI344" s="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4">
        <f>ESTADISTICA!AH344</f>
        <v>0</v>
      </c>
      <c r="AI345" s="44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4">
        <f>ESTADISTICA!AH345</f>
        <v>0</v>
      </c>
      <c r="AI346" s="44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4">
        <f>ESTADISTICA!AH346</f>
        <v>0</v>
      </c>
      <c r="AI347" s="44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4">
        <f>ESTADISTICA!AH347</f>
        <v>0</v>
      </c>
      <c r="AI348" s="44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4">
        <f>ESTADISTICA!AH348</f>
        <v>0</v>
      </c>
      <c r="AI349" s="44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4">
        <f>ESTADISTICA!AH357</f>
        <v>0</v>
      </c>
      <c r="AI358" s="44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4">
        <f>ESTADISTICA!AH371</f>
        <v>0</v>
      </c>
      <c r="AI372" s="44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4">
        <f>ESTADISTICA!AH376</f>
        <v>0</v>
      </c>
      <c r="AI377" s="44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25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>
        <f>ESTADISTICA!H379</f>
        <v>0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25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>
        <f>ESTADISTICA!H380</f>
        <v>0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25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25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25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 ca="1"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25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>
        <f>ESTADISTICA!H384</f>
        <v>0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>
        <f>ESTADISTICA!AA384</f>
        <v>0</v>
      </c>
      <c r="AB385" s="44">
        <f>ESTADISTICA!AB384</f>
        <v>0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25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>
        <f>ESTADISTICA!AH385</f>
        <v>0</v>
      </c>
      <c r="AI386" s="44">
        <f>ESTADISTICA!AI385</f>
        <v>0</v>
      </c>
    </row>
    <row r="387" spans="1:35" x14ac:dyDescent="0.25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25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 t="str">
        <f>ESTADISTICA!F387</f>
        <v>APAGADO</v>
      </c>
      <c r="G388" s="44">
        <f>ESTADISTICA!G387</f>
        <v>0</v>
      </c>
      <c r="H388" s="44">
        <f>ESTADISTICA!H387</f>
        <v>0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>
        <f>ESTADISTICA!N387</f>
        <v>0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>
        <f>ESTADISTICA!U387</f>
        <v>0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>
        <f>ESTADISTICA!AA387</f>
        <v>0</v>
      </c>
      <c r="AB388" s="44">
        <f>ESTADISTICA!AB387</f>
        <v>0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>
        <f>ESTADISTICA!AG387</f>
        <v>0</v>
      </c>
      <c r="AH388" s="44">
        <f>ESTADISTICA!AH387</f>
        <v>0</v>
      </c>
      <c r="AI388" s="44">
        <f>ESTADISTICA!AI387</f>
        <v>0</v>
      </c>
    </row>
    <row r="389" spans="1:35" x14ac:dyDescent="0.25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 t="str">
        <f>ESTADISTICA!F388</f>
        <v>APAGADO</v>
      </c>
      <c r="G389" s="44">
        <f>ESTADISTICA!G388</f>
        <v>0</v>
      </c>
      <c r="H389" s="44">
        <f>ESTADISTICA!H388</f>
        <v>0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>
        <f>ESTADISTICA!N388</f>
        <v>0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>
        <f>ESTADISTICA!U388</f>
        <v>0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>
        <f>ESTADISTICA!AA388</f>
        <v>0</v>
      </c>
      <c r="AB389" s="44">
        <f>ESTADISTICA!AB388</f>
        <v>0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>
        <f>ESTADISTICA!AG388</f>
        <v>0</v>
      </c>
      <c r="AH389" s="44">
        <f>ESTADISTICA!AH388</f>
        <v>0</v>
      </c>
      <c r="AI389" s="44">
        <f>ESTADISTICA!AI388</f>
        <v>0</v>
      </c>
    </row>
    <row r="390" spans="1:35" x14ac:dyDescent="0.25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>
        <f>ESTADISTICA!H389</f>
        <v>0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>
        <f>ESTADISTICA!O389</f>
        <v>0</v>
      </c>
      <c r="P390" s="44">
        <f>ESTADISTICA!P389</f>
        <v>0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25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>
        <f>ESTADISTICA!H390</f>
        <v>0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>
        <f>ESTADISTICA!O390</f>
        <v>0</v>
      </c>
      <c r="P391" s="44">
        <f>ESTADISTICA!P390</f>
        <v>0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25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>
        <f>ESTADISTICA!H391</f>
        <v>0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25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>
        <f>ESTADISTICA!H392</f>
        <v>0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25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25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25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>
        <f>ESTADISTICA!R395</f>
        <v>0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25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>
        <f>ESTADISTICA!R396</f>
        <v>0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25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>
        <f>ESTADISTICA!R397</f>
        <v>0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25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>
        <f>ESTADISTICA!R398</f>
        <v>0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25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>
        <f>ESTADISTICA!F399</f>
        <v>0</v>
      </c>
      <c r="G400" s="44">
        <f>ESTADISTICA!G399</f>
        <v>0</v>
      </c>
      <c r="H400" s="44">
        <f>ESTADISTICA!H399</f>
        <v>0</v>
      </c>
      <c r="I400" s="44">
        <f>ESTADISTICA!I399</f>
        <v>0</v>
      </c>
      <c r="J400" s="44">
        <f>ESTADISTICA!J399</f>
        <v>0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>
        <f>ESTADISTICA!N399</f>
        <v>0</v>
      </c>
      <c r="O400" s="44">
        <f>ESTADISTICA!O399</f>
        <v>0</v>
      </c>
      <c r="P400" s="44">
        <f>ESTADISTICA!P399</f>
        <v>0</v>
      </c>
      <c r="Q400" s="44">
        <f>ESTADISTICA!Q399</f>
        <v>0</v>
      </c>
      <c r="R400" s="44">
        <f>ESTADISTICA!R399</f>
        <v>0</v>
      </c>
      <c r="S400" s="44">
        <f>ESTADISTICA!S399</f>
        <v>0</v>
      </c>
      <c r="T400" s="44">
        <f>ESTADISTICA!T399</f>
        <v>0</v>
      </c>
      <c r="U400" s="44">
        <f>ESTADISTICA!U399</f>
        <v>0</v>
      </c>
      <c r="V400" s="44">
        <f>ESTADISTICA!V399</f>
        <v>0</v>
      </c>
      <c r="W400" s="44">
        <f>ESTADISTICA!W399</f>
        <v>0</v>
      </c>
      <c r="X400" s="44">
        <f>ESTADISTICA!X399</f>
        <v>0</v>
      </c>
      <c r="Y400" s="44">
        <f>ESTADISTICA!Y399</f>
        <v>0</v>
      </c>
      <c r="Z400" s="44">
        <f>ESTADISTICA!Z399</f>
        <v>0</v>
      </c>
      <c r="AA400" s="44">
        <f>ESTADISTICA!AA399</f>
        <v>0</v>
      </c>
      <c r="AB400" s="44">
        <f>ESTADISTICA!AB399</f>
        <v>0</v>
      </c>
      <c r="AC400" s="44">
        <f>ESTADISTICA!AC399</f>
        <v>0</v>
      </c>
      <c r="AD400" s="44">
        <f>ESTADISTICA!AD399</f>
        <v>0</v>
      </c>
      <c r="AE400" s="44">
        <f>ESTADISTICA!AE399</f>
        <v>0</v>
      </c>
      <c r="AF400" s="44">
        <f>ESTADISTICA!AF399</f>
        <v>0</v>
      </c>
      <c r="AG400" s="44">
        <f>ESTADISTICA!AG399</f>
        <v>0</v>
      </c>
      <c r="AH400" s="44">
        <f>ESTADISTICA!AH399</f>
        <v>0</v>
      </c>
      <c r="AI400" s="44">
        <f>ESTADISTICA!AI399</f>
        <v>0</v>
      </c>
    </row>
    <row r="401" spans="1:35" x14ac:dyDescent="0.25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>
        <f>ESTADISTICA!R400</f>
        <v>0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H3" sqref="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1" t="s">
        <v>986</v>
      </c>
      <c r="D1" s="42">
        <f>COUNTIFS(E4:E400,"=Fibra Optica")</f>
        <v>268</v>
      </c>
    </row>
    <row r="2" spans="1:35" ht="21" x14ac:dyDescent="0.35">
      <c r="E2" s="20" t="s">
        <v>619</v>
      </c>
      <c r="F2" s="20">
        <f>COUNTIFS(F4:F500, "=APAGADO",E4:E500,"=Fibra Optica")</f>
        <v>37</v>
      </c>
      <c r="G2" s="20">
        <f>COUNTIFS(G4:G500, "=APAGADO",E4:E500,"=Fibra Optica")</f>
        <v>29</v>
      </c>
      <c r="H2" s="20">
        <f>COUNTIFS(H4:H500, "=APAGADO",E4:E500,"=Fibra Optica")</f>
        <v>0</v>
      </c>
      <c r="I2" s="20">
        <f>COUNTIFS(I4:I400, "=APAGADO",E4:E400,"=Fibra Optica")</f>
        <v>0</v>
      </c>
      <c r="J2" s="20">
        <f>COUNTIFS(J4:J400, "=APAGADO",E4:E400,"=Fibra Optica")</f>
        <v>0</v>
      </c>
      <c r="K2" s="20">
        <f>COUNTIFS(K4:K400, "=APAGADO",E4:E400,"=Fibra Optica")</f>
        <v>0</v>
      </c>
      <c r="L2" s="20">
        <f>COUNTIFS(L4:L400, "=APAGADO",E4:E400,"=Fibra Optica")</f>
        <v>0</v>
      </c>
      <c r="M2" s="20">
        <f>COUNTIFS(M4:M400, "=APAGADO",E4:E400,"=Fibra Optica")</f>
        <v>0</v>
      </c>
      <c r="N2" s="20">
        <f>COUNTIFS(N4:N400, "=APAGADO",E4:E400,"=Fibra Optica")</f>
        <v>0</v>
      </c>
      <c r="O2" s="20">
        <f>COUNTIFS(O4:O400, "=APAGADO",E4:E400,"=Fibra Optica")</f>
        <v>0</v>
      </c>
      <c r="P2" s="20">
        <f>COUNTIFS(P4:P400, "=APAGADO",E4:E400,"=Fibra Optica")</f>
        <v>0</v>
      </c>
      <c r="Q2" s="20">
        <f>COUNTIFS(Q4:Q400, "=APAGADO",E4:E400,"=Fibra Optica")</f>
        <v>0</v>
      </c>
      <c r="R2" s="20">
        <f>COUNTIFS(R4:R400, "=APAGADO",E4:E400,"=Fibra Optica")</f>
        <v>0</v>
      </c>
      <c r="S2" s="20">
        <f>COUNTIFS(S4:S400, "=APAGADO",E4:E400,"=Fibra Optica")</f>
        <v>0</v>
      </c>
      <c r="T2" s="20">
        <f>COUNTIFS(T4:T400, "=APAGADO",E4:E400,"=Fibra Optica")</f>
        <v>0</v>
      </c>
      <c r="U2" s="20">
        <f>COUNTIFS(U4:U400, "=APAGADO",E4:E400,"=Fibra Optica")</f>
        <v>0</v>
      </c>
      <c r="V2" s="20">
        <f>COUNTIFS(V4:V400, "=APAGADO",E4:E400,"=Fibra Optica")</f>
        <v>0</v>
      </c>
      <c r="W2" s="20">
        <f>COUNTIFS(W4:W400, "=APAGADO",E4:E400,"=Fibra Optica")</f>
        <v>0</v>
      </c>
      <c r="X2" s="20">
        <f ca="1">COUNTIFS(X4:X400, "=APAGADO",E4:E400,"=Fibra Optica")</f>
        <v>0</v>
      </c>
      <c r="Y2" s="20">
        <f>COUNTIFS(Y4:Y400, "=APAGADO",E4:E400,"=Fibra Optica")</f>
        <v>0</v>
      </c>
      <c r="Z2" s="20">
        <f>COUNTIFS(Z4:Z400, "=APAGADO",E4:E400,"=Fibra Optica")</f>
        <v>0</v>
      </c>
      <c r="AA2" s="20">
        <f>COUNTIFS(AA4:AA400, "=APAGADO",E4:E400,"=Fibra Optica")</f>
        <v>0</v>
      </c>
      <c r="AB2" s="20">
        <f>COUNTIFS(AB4:AB400, "=APAGADO",E4:E400,"=Fibra Optica")</f>
        <v>0</v>
      </c>
      <c r="AC2" s="20">
        <f>COUNTIFS(AC4:AC400, "=APAGADO",E4:E400,"=Fibra Optica")</f>
        <v>0</v>
      </c>
      <c r="AD2" s="20">
        <f>COUNTIFS(AD4:AD400, "=APAGADO",E4:E400,"=Fibra Optica")</f>
        <v>0</v>
      </c>
      <c r="AE2" s="20">
        <f>COUNTIFS(AE4:AE500, "=APAGADO",E4:E500,"=Fibra Optica")</f>
        <v>0</v>
      </c>
      <c r="AF2" s="20">
        <f>COUNTIFS(AF4:AF500, "=APAGADO",E4:E500,"=Fibra Optica")</f>
        <v>0</v>
      </c>
      <c r="AG2" s="20">
        <f>COUNTIFS(AG4:AG500, "=APAGADO",E4:E500,"=Fibra Optica")</f>
        <v>0</v>
      </c>
      <c r="AH2" s="20">
        <f>COUNTIFS(AH4:AH400, "=APAGADO",E4:E400,"=Fibra Optica")</f>
        <v>0</v>
      </c>
      <c r="AI2" s="20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>
        <f>ESTADISTICA!H3</f>
        <v>0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25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25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>
        <f>ESTADISTICA!F5</f>
        <v>0</v>
      </c>
      <c r="G7" s="44">
        <f>ESTADISTICA!G5</f>
        <v>0</v>
      </c>
      <c r="H7" s="44">
        <f>ESTADISTICA!H5</f>
        <v>0</v>
      </c>
      <c r="I7" s="44">
        <f>ESTADISTICA!I5</f>
        <v>0</v>
      </c>
      <c r="J7" s="44">
        <f>ESTADISTICA!J5</f>
        <v>0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25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>
        <f>ESTADISTICA!F6</f>
        <v>0</v>
      </c>
      <c r="G8" s="44">
        <f>ESTADISTICA!G6</f>
        <v>0</v>
      </c>
      <c r="H8" s="44">
        <f>ESTADISTICA!H6</f>
        <v>0</v>
      </c>
      <c r="I8" s="44">
        <f>ESTADISTICA!I6</f>
        <v>0</v>
      </c>
      <c r="J8" s="44">
        <f>ESTADISTICA!J6</f>
        <v>0</v>
      </c>
      <c r="K8" s="44">
        <f>ESTADISTICA!K6</f>
        <v>0</v>
      </c>
      <c r="L8" s="44">
        <f>ESTADISTICA!L6</f>
        <v>0</v>
      </c>
      <c r="M8" s="44">
        <f>ESTADISTICA!M6</f>
        <v>0</v>
      </c>
      <c r="N8" s="44">
        <f>ESTADISTICA!N6</f>
        <v>0</v>
      </c>
      <c r="O8" s="44">
        <f>ESTADISTICA!O6</f>
        <v>0</v>
      </c>
      <c r="P8" s="44">
        <f>ESTADISTICA!P6</f>
        <v>0</v>
      </c>
      <c r="Q8" s="44">
        <f>ESTADISTICA!Q6</f>
        <v>0</v>
      </c>
      <c r="R8" s="44">
        <f>ESTADISTICA!R6</f>
        <v>0</v>
      </c>
      <c r="S8" s="44">
        <f>ESTADISTICA!S6</f>
        <v>0</v>
      </c>
      <c r="T8" s="44">
        <f>ESTADISTICA!T6</f>
        <v>0</v>
      </c>
      <c r="U8" s="44">
        <f>ESTADISTICA!U6</f>
        <v>0</v>
      </c>
      <c r="V8" s="44">
        <f>ESTADISTICA!V6</f>
        <v>0</v>
      </c>
      <c r="W8" s="44">
        <f>ESTADISTICA!W6</f>
        <v>0</v>
      </c>
      <c r="X8" s="44">
        <f>ESTADISTICA!X6</f>
        <v>0</v>
      </c>
      <c r="Y8" s="44">
        <f>ESTADISTICA!Y6</f>
        <v>0</v>
      </c>
      <c r="Z8" s="44">
        <f>ESTADISTICA!Z6</f>
        <v>0</v>
      </c>
      <c r="AA8" s="44">
        <f>ESTADISTICA!AA6</f>
        <v>0</v>
      </c>
      <c r="AB8" s="44">
        <f>ESTADISTICA!AB6</f>
        <v>0</v>
      </c>
      <c r="AC8" s="44">
        <f>ESTADISTICA!AC6</f>
        <v>0</v>
      </c>
      <c r="AD8" s="44">
        <f>ESTADISTICA!AD6</f>
        <v>0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25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>
        <f>ESTADISTICA!H7</f>
        <v>0</v>
      </c>
      <c r="I9" s="44">
        <f>ESTADISTICA!I7</f>
        <v>0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25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25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25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25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>
        <f>ESTADISTICA!F11</f>
        <v>0</v>
      </c>
      <c r="G13" s="44">
        <f>ESTADISTICA!G11</f>
        <v>0</v>
      </c>
      <c r="H13" s="44">
        <f>ESTADISTICA!H11</f>
        <v>0</v>
      </c>
      <c r="I13" s="44">
        <f>ESTADISTICA!I11</f>
        <v>0</v>
      </c>
      <c r="J13" s="44">
        <f>ESTADISTICA!J11</f>
        <v>0</v>
      </c>
      <c r="K13" s="44">
        <f>ESTADISTICA!K11</f>
        <v>0</v>
      </c>
      <c r="L13" s="44">
        <f>ESTADISTICA!L11</f>
        <v>0</v>
      </c>
      <c r="M13" s="44">
        <f>ESTADISTICA!M11</f>
        <v>0</v>
      </c>
      <c r="N13" s="44">
        <f>ESTADISTICA!N11</f>
        <v>0</v>
      </c>
      <c r="O13" s="44">
        <f>ESTADISTICA!O11</f>
        <v>0</v>
      </c>
      <c r="P13" s="44">
        <f>ESTADISTICA!P11</f>
        <v>0</v>
      </c>
      <c r="Q13" s="44">
        <f>ESTADISTICA!Q11</f>
        <v>0</v>
      </c>
      <c r="R13" s="44">
        <f>ESTADISTICA!R11</f>
        <v>0</v>
      </c>
      <c r="S13" s="44">
        <f>ESTADISTICA!S11</f>
        <v>0</v>
      </c>
      <c r="T13" s="44">
        <f>ESTADISTICA!T11</f>
        <v>0</v>
      </c>
      <c r="U13" s="44">
        <f>ESTADISTICA!U11</f>
        <v>0</v>
      </c>
      <c r="V13" s="44">
        <f>ESTADISTICA!V11</f>
        <v>0</v>
      </c>
      <c r="W13" s="44">
        <f>ESTADISTICA!W11</f>
        <v>0</v>
      </c>
      <c r="X13" s="44">
        <f>ESTADISTICA!X11</f>
        <v>0</v>
      </c>
      <c r="Y13" s="44">
        <f>ESTADISTICA!Y11</f>
        <v>0</v>
      </c>
      <c r="Z13" s="44">
        <f>ESTADISTICA!Z11</f>
        <v>0</v>
      </c>
      <c r="AA13" s="44">
        <f>ESTADISTICA!AA11</f>
        <v>0</v>
      </c>
      <c r="AB13" s="44">
        <f>ESTADISTICA!AB11</f>
        <v>0</v>
      </c>
      <c r="AC13" s="44">
        <f>ESTADISTICA!AC11</f>
        <v>0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25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>
        <f>ESTADISTICA!H12</f>
        <v>0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>
        <f>ESTADISTICA!X12</f>
        <v>0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25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 t="str">
        <f>ESTADISTICA!F13</f>
        <v>APAGADO</v>
      </c>
      <c r="G15" s="44" t="str">
        <f>ESTADISTICA!G13</f>
        <v>APAGADO</v>
      </c>
      <c r="H15" s="44">
        <f>ESTADISTICA!H13</f>
        <v>0</v>
      </c>
      <c r="I15" s="44">
        <f>ESTADISTICA!I13</f>
        <v>0</v>
      </c>
      <c r="J15" s="44">
        <f>ESTADISTICA!J13</f>
        <v>0</v>
      </c>
      <c r="K15" s="44">
        <f>ESTADISTICA!K13</f>
        <v>0</v>
      </c>
      <c r="L15" s="44">
        <f>ESTADISTICA!L13</f>
        <v>0</v>
      </c>
      <c r="M15" s="44">
        <f>ESTADISTICA!M13</f>
        <v>0</v>
      </c>
      <c r="N15" s="44">
        <f>ESTADISTICA!N13</f>
        <v>0</v>
      </c>
      <c r="O15" s="44">
        <f>ESTADISTICA!O13</f>
        <v>0</v>
      </c>
      <c r="P15" s="44">
        <f>ESTADISTICA!P13</f>
        <v>0</v>
      </c>
      <c r="Q15" s="44">
        <f>ESTADISTICA!Q13</f>
        <v>0</v>
      </c>
      <c r="R15" s="44">
        <f>ESTADISTICA!R13</f>
        <v>0</v>
      </c>
      <c r="S15" s="44">
        <f>ESTADISTICA!S13</f>
        <v>0</v>
      </c>
      <c r="T15" s="44">
        <f>ESTADISTICA!T13</f>
        <v>0</v>
      </c>
      <c r="U15" s="44">
        <f>ESTADISTICA!U13</f>
        <v>0</v>
      </c>
      <c r="V15" s="44">
        <f>ESTADISTICA!V13</f>
        <v>0</v>
      </c>
      <c r="W15" s="44">
        <f>ESTADISTICA!W13</f>
        <v>0</v>
      </c>
      <c r="X15" s="44">
        <f>ESTADISTICA!X13</f>
        <v>0</v>
      </c>
      <c r="Y15" s="44">
        <f>ESTADISTICA!Y13</f>
        <v>0</v>
      </c>
      <c r="Z15" s="44">
        <f>ESTADISTICA!Z13</f>
        <v>0</v>
      </c>
      <c r="AA15" s="44">
        <f>ESTADISTICA!AA13</f>
        <v>0</v>
      </c>
      <c r="AB15" s="44">
        <f>ESTADISTICA!AB13</f>
        <v>0</v>
      </c>
      <c r="AC15" s="44">
        <f>ESTADISTICA!AC13</f>
        <v>0</v>
      </c>
      <c r="AD15" s="44">
        <f>ESTADISTICA!AD13</f>
        <v>0</v>
      </c>
      <c r="AE15" s="44">
        <f>ESTADISTICA!AE13</f>
        <v>0</v>
      </c>
      <c r="AF15" s="44">
        <f>ESTADISTICA!AF13</f>
        <v>0</v>
      </c>
      <c r="AG15" s="44">
        <f>ESTADISTICA!AG13</f>
        <v>0</v>
      </c>
      <c r="AH15" s="44">
        <f>ESTADISTICA!AH13</f>
        <v>0</v>
      </c>
      <c r="AI15" s="44">
        <f>ESTADISTICA!AI13</f>
        <v>0</v>
      </c>
    </row>
    <row r="16" spans="1:35" hidden="1" x14ac:dyDescent="0.25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25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25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25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25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25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25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25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>
        <f>ESTADISTICA!H21</f>
        <v>0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25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>
        <f>ESTADISTICA!H22</f>
        <v>0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25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>
        <f>ESTADISTICA!H23</f>
        <v>0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25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25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>
        <f>ESTADISTICA!H25</f>
        <v>0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25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>
        <f>ESTADISTICA!H26</f>
        <v>0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25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>
        <f>ESTADISTICA!H27</f>
        <v>0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25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25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25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>
        <f>ESTADISTICA!H30</f>
        <v>0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25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25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 t="str">
        <f>ESTADISTICA!F32</f>
        <v>APAGADO</v>
      </c>
      <c r="G34" s="44" t="str">
        <f>ESTADISTICA!G32</f>
        <v>APAGADO</v>
      </c>
      <c r="H34" s="44">
        <f>ESTADISTICA!H32</f>
        <v>0</v>
      </c>
      <c r="I34" s="44">
        <f>ESTADISTICA!I32</f>
        <v>0</v>
      </c>
      <c r="J34" s="44">
        <f>ESTADISTICA!J32</f>
        <v>0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>
        <f>ESTADISTICA!R32</f>
        <v>0</v>
      </c>
      <c r="S34" s="44">
        <f>ESTADISTICA!S32</f>
        <v>0</v>
      </c>
      <c r="T34" s="44">
        <f>ESTADISTICA!T32</f>
        <v>0</v>
      </c>
      <c r="U34" s="44">
        <f>ESTADISTICA!U32</f>
        <v>0</v>
      </c>
      <c r="V34" s="44">
        <f>ESTADISTICA!V32</f>
        <v>0</v>
      </c>
      <c r="W34" s="44">
        <f>ESTADISTICA!W32</f>
        <v>0</v>
      </c>
      <c r="X34" s="44">
        <f>ESTADISTICA!X32</f>
        <v>0</v>
      </c>
      <c r="Y34" s="44">
        <f>ESTADISTICA!Y32</f>
        <v>0</v>
      </c>
      <c r="Z34" s="44">
        <f>ESTADISTICA!Z32</f>
        <v>0</v>
      </c>
      <c r="AA34" s="44">
        <f>ESTADISTICA!AA32</f>
        <v>0</v>
      </c>
      <c r="AB34" s="44">
        <f>ESTADISTICA!AB32</f>
        <v>0</v>
      </c>
      <c r="AC34" s="44">
        <f>ESTADISTICA!AC32</f>
        <v>0</v>
      </c>
      <c r="AD34" s="44">
        <f>ESTADISTICA!AD32</f>
        <v>0</v>
      </c>
      <c r="AE34" s="44">
        <f>ESTADISTICA!AE32</f>
        <v>0</v>
      </c>
      <c r="AF34" s="44">
        <f>ESTADISTICA!AF32</f>
        <v>0</v>
      </c>
      <c r="AG34" s="44">
        <f>ESTADISTICA!AG32</f>
        <v>0</v>
      </c>
      <c r="AH34" s="44">
        <f>ESTADISTICA!AH32</f>
        <v>0</v>
      </c>
      <c r="AI34" s="44">
        <f>ESTADISTICA!AI32</f>
        <v>0</v>
      </c>
    </row>
    <row r="35" spans="1:35" x14ac:dyDescent="0.25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>
        <f>ESTADISTICA!H33</f>
        <v>0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>
        <f>ESTADISTICA!L33</f>
        <v>0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>
        <f>ESTADISTICA!AF33</f>
        <v>0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25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25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 t="str">
        <f>ESTADISTICA!F35</f>
        <v>APAGADO</v>
      </c>
      <c r="G37" s="44">
        <f>ESTADISTICA!G35</f>
        <v>0</v>
      </c>
      <c r="H37" s="44">
        <f>ESTADISTICA!H35</f>
        <v>0</v>
      </c>
      <c r="I37" s="44">
        <f>ESTADISTICA!I35</f>
        <v>0</v>
      </c>
      <c r="J37" s="44">
        <f>ESTADISTICA!J35</f>
        <v>0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>
        <f>ESTADISTICA!N35</f>
        <v>0</v>
      </c>
      <c r="O37" s="44">
        <f>ESTADISTICA!O35</f>
        <v>0</v>
      </c>
      <c r="P37" s="44">
        <f>ESTADISTICA!P35</f>
        <v>0</v>
      </c>
      <c r="Q37" s="44">
        <f>ESTADISTICA!Q35</f>
        <v>0</v>
      </c>
      <c r="R37" s="44">
        <f>ESTADISTICA!R35</f>
        <v>0</v>
      </c>
      <c r="S37" s="44">
        <f>ESTADISTICA!S35</f>
        <v>0</v>
      </c>
      <c r="T37" s="44">
        <f>ESTADISTICA!T35</f>
        <v>0</v>
      </c>
      <c r="U37" s="44">
        <f>ESTADISTICA!U35</f>
        <v>0</v>
      </c>
      <c r="V37" s="44">
        <f>ESTADISTICA!V35</f>
        <v>0</v>
      </c>
      <c r="W37" s="44">
        <f>ESTADISTICA!W35</f>
        <v>0</v>
      </c>
      <c r="X37" s="44">
        <f>ESTADISTICA!X35</f>
        <v>0</v>
      </c>
      <c r="Y37" s="44">
        <f>ESTADISTICA!Y35</f>
        <v>0</v>
      </c>
      <c r="Z37" s="44">
        <f>ESTADISTICA!Z35</f>
        <v>0</v>
      </c>
      <c r="AA37" s="44">
        <f>ESTADISTICA!AA35</f>
        <v>0</v>
      </c>
      <c r="AB37" s="44">
        <f>ESTADISTICA!AB35</f>
        <v>0</v>
      </c>
      <c r="AC37" s="44">
        <f>ESTADISTICA!AC35</f>
        <v>0</v>
      </c>
      <c r="AD37" s="44">
        <f>ESTADISTICA!AD35</f>
        <v>0</v>
      </c>
      <c r="AE37" s="44">
        <f>ESTADISTICA!AE35</f>
        <v>0</v>
      </c>
      <c r="AF37" s="44">
        <f>ESTADISTICA!AF35</f>
        <v>0</v>
      </c>
      <c r="AG37" s="44">
        <f>ESTADISTICA!AG35</f>
        <v>0</v>
      </c>
      <c r="AH37" s="44">
        <f>ESTADISTICA!AH35</f>
        <v>0</v>
      </c>
      <c r="AI37" s="44">
        <f>ESTADISTICA!AI35</f>
        <v>0</v>
      </c>
    </row>
    <row r="38" spans="1:35" x14ac:dyDescent="0.25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>
        <f>ESTADISTICA!H36</f>
        <v>0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25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>
        <f>ESTADISTICA!H37</f>
        <v>0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25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 t="str">
        <f>ESTADISTICA!F38</f>
        <v>APAGADO</v>
      </c>
      <c r="G40" s="44" t="str">
        <f>ESTADISTICA!G38</f>
        <v>APAGADO</v>
      </c>
      <c r="H40" s="44">
        <f>ESTADISTICA!H38</f>
        <v>0</v>
      </c>
      <c r="I40" s="44">
        <f>ESTADISTICA!I38</f>
        <v>0</v>
      </c>
      <c r="J40" s="44">
        <f>ESTADISTICA!J38</f>
        <v>0</v>
      </c>
      <c r="K40" s="44">
        <f>ESTADISTICA!K38</f>
        <v>0</v>
      </c>
      <c r="L40" s="44">
        <f>ESTADISTICA!L38</f>
        <v>0</v>
      </c>
      <c r="M40" s="44">
        <f>ESTADISTICA!M38</f>
        <v>0</v>
      </c>
      <c r="N40" s="44">
        <f>ESTADISTICA!N38</f>
        <v>0</v>
      </c>
      <c r="O40" s="44">
        <f>ESTADISTICA!O38</f>
        <v>0</v>
      </c>
      <c r="P40" s="44">
        <f>ESTADISTICA!P38</f>
        <v>0</v>
      </c>
      <c r="Q40" s="44">
        <f>ESTADISTICA!Q38</f>
        <v>0</v>
      </c>
      <c r="R40" s="44">
        <f>ESTADISTICA!R38</f>
        <v>0</v>
      </c>
      <c r="S40" s="44">
        <f>ESTADISTICA!S38</f>
        <v>0</v>
      </c>
      <c r="T40" s="44">
        <f>ESTADISTICA!T38</f>
        <v>0</v>
      </c>
      <c r="U40" s="44">
        <f>ESTADISTICA!U38</f>
        <v>0</v>
      </c>
      <c r="V40" s="44">
        <f>ESTADISTICA!V38</f>
        <v>0</v>
      </c>
      <c r="W40" s="44">
        <f>ESTADISTICA!W38</f>
        <v>0</v>
      </c>
      <c r="X40" s="44">
        <f>ESTADISTICA!X38</f>
        <v>0</v>
      </c>
      <c r="Y40" s="44">
        <f>ESTADISTICA!Y38</f>
        <v>0</v>
      </c>
      <c r="Z40" s="44">
        <f>ESTADISTICA!Z38</f>
        <v>0</v>
      </c>
      <c r="AA40" s="44">
        <f>ESTADISTICA!AA38</f>
        <v>0</v>
      </c>
      <c r="AB40" s="44">
        <f>ESTADISTICA!AB38</f>
        <v>0</v>
      </c>
      <c r="AC40" s="44">
        <f>ESTADISTICA!AC38</f>
        <v>0</v>
      </c>
      <c r="AD40" s="44">
        <f>ESTADISTICA!AD38</f>
        <v>0</v>
      </c>
      <c r="AE40" s="44">
        <f>ESTADISTICA!AE38</f>
        <v>0</v>
      </c>
      <c r="AF40" s="44">
        <f>ESTADISTICA!AF38</f>
        <v>0</v>
      </c>
      <c r="AG40" s="44">
        <f>ESTADISTICA!AG38</f>
        <v>0</v>
      </c>
      <c r="AH40" s="44">
        <f>ESTADISTICA!AH38</f>
        <v>0</v>
      </c>
      <c r="AI40" s="44">
        <f>ESTADISTICA!AI38</f>
        <v>0</v>
      </c>
    </row>
    <row r="41" spans="1:35" x14ac:dyDescent="0.25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25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>
        <f>ESTADISTICA!F40</f>
        <v>0</v>
      </c>
      <c r="G42" s="44">
        <f>ESTADISTICA!G40</f>
        <v>0</v>
      </c>
      <c r="H42" s="44">
        <f>ESTADISTICA!H40</f>
        <v>0</v>
      </c>
      <c r="I42" s="44">
        <f>ESTADISTICA!I40</f>
        <v>0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25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>
        <f>ESTADISTICA!H41</f>
        <v>0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25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25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>
        <f>ESTADISTICA!H43</f>
        <v>0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25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>
        <f>ESTADISTICA!G44</f>
        <v>0</v>
      </c>
      <c r="H46" s="44">
        <f>ESTADISTICA!H44</f>
        <v>0</v>
      </c>
      <c r="I46" s="44">
        <f>ESTADISTICA!I44</f>
        <v>0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25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>
        <f>ESTADISTICA!H45</f>
        <v>0</v>
      </c>
      <c r="I47" s="44">
        <f>ESTADISTICA!I45</f>
        <v>0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25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 t="str">
        <f>ESTADISTICA!F46</f>
        <v>APAGADO</v>
      </c>
      <c r="G48" s="44" t="str">
        <f>ESTADISTICA!G46</f>
        <v>APAGADO</v>
      </c>
      <c r="H48" s="44">
        <f>ESTADISTICA!H46</f>
        <v>0</v>
      </c>
      <c r="I48" s="44">
        <f>ESTADISTICA!I46</f>
        <v>0</v>
      </c>
      <c r="J48" s="44">
        <f>ESTADISTICA!J46</f>
        <v>0</v>
      </c>
      <c r="K48" s="44">
        <f>ESTADISTICA!K46</f>
        <v>0</v>
      </c>
      <c r="L48" s="44">
        <f>ESTADISTICA!L46</f>
        <v>0</v>
      </c>
      <c r="M48" s="44">
        <f>ESTADISTICA!M46</f>
        <v>0</v>
      </c>
      <c r="N48" s="44">
        <f>ESTADISTICA!N46</f>
        <v>0</v>
      </c>
      <c r="O48" s="44">
        <f>ESTADISTICA!O46</f>
        <v>0</v>
      </c>
      <c r="P48" s="44">
        <f>ESTADISTICA!P46</f>
        <v>0</v>
      </c>
      <c r="Q48" s="44">
        <f>ESTADISTICA!Q46</f>
        <v>0</v>
      </c>
      <c r="R48" s="44">
        <f>ESTADISTICA!R46</f>
        <v>0</v>
      </c>
      <c r="S48" s="44">
        <f>ESTADISTICA!S46</f>
        <v>0</v>
      </c>
      <c r="T48" s="44">
        <f>ESTADISTICA!T46</f>
        <v>0</v>
      </c>
      <c r="U48" s="44">
        <f>ESTADISTICA!U46</f>
        <v>0</v>
      </c>
      <c r="V48" s="44">
        <f>ESTADISTICA!V46</f>
        <v>0</v>
      </c>
      <c r="W48" s="44">
        <f>ESTADISTICA!W46</f>
        <v>0</v>
      </c>
      <c r="X48" s="44">
        <f>ESTADISTICA!X46</f>
        <v>0</v>
      </c>
      <c r="Y48" s="44">
        <f>ESTADISTICA!Y46</f>
        <v>0</v>
      </c>
      <c r="Z48" s="44">
        <f>ESTADISTICA!Z46</f>
        <v>0</v>
      </c>
      <c r="AA48" s="44">
        <f>ESTADISTICA!AA46</f>
        <v>0</v>
      </c>
      <c r="AB48" s="44">
        <f>ESTADISTICA!AB46</f>
        <v>0</v>
      </c>
      <c r="AC48" s="44">
        <f>ESTADISTICA!AC46</f>
        <v>0</v>
      </c>
      <c r="AD48" s="44">
        <f>ESTADISTICA!AD46</f>
        <v>0</v>
      </c>
      <c r="AE48" s="44">
        <f>ESTADISTICA!AE46</f>
        <v>0</v>
      </c>
      <c r="AF48" s="44">
        <f>ESTADISTICA!AF46</f>
        <v>0</v>
      </c>
      <c r="AG48" s="44">
        <f>ESTADISTICA!AG46</f>
        <v>0</v>
      </c>
      <c r="AH48" s="44">
        <f>ESTADISTICA!AH46</f>
        <v>0</v>
      </c>
      <c r="AI48" s="44">
        <f>ESTADISTICA!AI46</f>
        <v>0</v>
      </c>
    </row>
    <row r="49" spans="1:35" x14ac:dyDescent="0.25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 t="str">
        <f>ESTADISTICA!F47</f>
        <v>APAGADO</v>
      </c>
      <c r="G49" s="44" t="str">
        <f>ESTADISTICA!G47</f>
        <v>APAGADO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>
        <f>ESTADISTICA!W47</f>
        <v>0</v>
      </c>
      <c r="X49" s="44">
        <f>ESTADISTICA!X47</f>
        <v>0</v>
      </c>
      <c r="Y49" s="44">
        <f>ESTADISTICA!Y47</f>
        <v>0</v>
      </c>
      <c r="Z49" s="44">
        <f>ESTADISTICA!Z47</f>
        <v>0</v>
      </c>
      <c r="AA49" s="44">
        <f>ESTADISTICA!AA47</f>
        <v>0</v>
      </c>
      <c r="AB49" s="44">
        <f>ESTADISTICA!AB47</f>
        <v>0</v>
      </c>
      <c r="AC49" s="44">
        <f>ESTADISTICA!AC47</f>
        <v>0</v>
      </c>
      <c r="AD49" s="44">
        <f>ESTADISTICA!AD47</f>
        <v>0</v>
      </c>
      <c r="AE49" s="44">
        <f>ESTADISTICA!AE47</f>
        <v>0</v>
      </c>
      <c r="AF49" s="44">
        <f>ESTADISTICA!AF47</f>
        <v>0</v>
      </c>
      <c r="AG49" s="44">
        <f>ESTADISTICA!AG47</f>
        <v>0</v>
      </c>
      <c r="AH49" s="44">
        <f>ESTADISTICA!AH47</f>
        <v>0</v>
      </c>
      <c r="AI49" s="44">
        <f>ESTADISTICA!AI47</f>
        <v>0</v>
      </c>
    </row>
    <row r="50" spans="1:35" x14ac:dyDescent="0.25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>
        <f>ESTADISTICA!H48</f>
        <v>0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25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 t="str">
        <f>ESTADISTICA!F49</f>
        <v>APAGADO</v>
      </c>
      <c r="G51" s="44" t="str">
        <f>ESTADISTICA!G49</f>
        <v>APAGADO</v>
      </c>
      <c r="H51" s="44">
        <f>ESTADISTICA!H49</f>
        <v>0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>
        <f>ESTADISTICA!W49</f>
        <v>0</v>
      </c>
      <c r="X51" s="44">
        <f>ESTADISTICA!X49</f>
        <v>0</v>
      </c>
      <c r="Y51" s="44">
        <f>ESTADISTICA!Y49</f>
        <v>0</v>
      </c>
      <c r="Z51" s="44">
        <f>ESTADISTICA!Z49</f>
        <v>0</v>
      </c>
      <c r="AA51" s="44">
        <f>ESTADISTICA!AA49</f>
        <v>0</v>
      </c>
      <c r="AB51" s="44">
        <f>ESTADISTICA!AB49</f>
        <v>0</v>
      </c>
      <c r="AC51" s="44">
        <f>ESTADISTICA!AC49</f>
        <v>0</v>
      </c>
      <c r="AD51" s="44">
        <f>ESTADISTICA!AD49</f>
        <v>0</v>
      </c>
      <c r="AE51" s="44">
        <f>ESTADISTICA!AE49</f>
        <v>0</v>
      </c>
      <c r="AF51" s="44">
        <f>ESTADISTICA!AF49</f>
        <v>0</v>
      </c>
      <c r="AG51" s="44">
        <f>ESTADISTICA!AG49</f>
        <v>0</v>
      </c>
      <c r="AH51" s="44">
        <f>ESTADISTICA!AH49</f>
        <v>0</v>
      </c>
      <c r="AI51" s="44">
        <f>ESTADISTICA!AI49</f>
        <v>0</v>
      </c>
    </row>
    <row r="52" spans="1:35" x14ac:dyDescent="0.25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>
        <f>ESTADISTICA!H50</f>
        <v>0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25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>
        <f>ESTADISTICA!H51</f>
        <v>0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25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 t="str">
        <f>ESTADISTICA!F52</f>
        <v>APAGADO</v>
      </c>
      <c r="G54" s="44" t="str">
        <f>ESTADISTICA!G52</f>
        <v>APAGADO</v>
      </c>
      <c r="H54" s="44">
        <f>ESTADISTICA!H52</f>
        <v>0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>
        <f>ESTADISTICA!W52</f>
        <v>0</v>
      </c>
      <c r="X54" s="44">
        <f>ESTADISTICA!X52</f>
        <v>0</v>
      </c>
      <c r="Y54" s="44">
        <f>ESTADISTICA!Y52</f>
        <v>0</v>
      </c>
      <c r="Z54" s="44">
        <f>ESTADISTICA!Z52</f>
        <v>0</v>
      </c>
      <c r="AA54" s="44">
        <f>ESTADISTICA!AA52</f>
        <v>0</v>
      </c>
      <c r="AB54" s="44">
        <f>ESTADISTICA!AB52</f>
        <v>0</v>
      </c>
      <c r="AC54" s="44">
        <f>ESTADISTICA!AC52</f>
        <v>0</v>
      </c>
      <c r="AD54" s="44">
        <f>ESTADISTICA!AD52</f>
        <v>0</v>
      </c>
      <c r="AE54" s="44">
        <f>ESTADISTICA!AE52</f>
        <v>0</v>
      </c>
      <c r="AF54" s="44">
        <f>ESTADISTICA!AF52</f>
        <v>0</v>
      </c>
      <c r="AG54" s="44">
        <f>ESTADISTICA!AG52</f>
        <v>0</v>
      </c>
      <c r="AH54" s="44">
        <f>ESTADISTICA!AH52</f>
        <v>0</v>
      </c>
      <c r="AI54" s="44">
        <f>ESTADISTICA!AI52</f>
        <v>0</v>
      </c>
    </row>
    <row r="55" spans="1:35" x14ac:dyDescent="0.25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>
        <f>ESTADISTICA!H53</f>
        <v>0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25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 t="str">
        <f>ESTADISTICA!F54</f>
        <v>APAGADO</v>
      </c>
      <c r="G56" s="44" t="str">
        <f>ESTADISTICA!G54</f>
        <v>APAGADO</v>
      </c>
      <c r="H56" s="44">
        <f>ESTADISTICA!H54</f>
        <v>0</v>
      </c>
      <c r="I56" s="44">
        <f>ESTADISTICA!I54</f>
        <v>0</v>
      </c>
      <c r="J56" s="44">
        <f>ESTADISTICA!J54</f>
        <v>0</v>
      </c>
      <c r="K56" s="44">
        <f>ESTADISTICA!K54</f>
        <v>0</v>
      </c>
      <c r="L56" s="44">
        <f>ESTADISTICA!L54</f>
        <v>0</v>
      </c>
      <c r="M56" s="44">
        <f>ESTADISTICA!M54</f>
        <v>0</v>
      </c>
      <c r="N56" s="44">
        <f>ESTADISTICA!N54</f>
        <v>0</v>
      </c>
      <c r="O56" s="44">
        <f>ESTADISTICA!O54</f>
        <v>0</v>
      </c>
      <c r="P56" s="44">
        <f>ESTADISTICA!P54</f>
        <v>0</v>
      </c>
      <c r="Q56" s="44">
        <f>ESTADISTICA!Q54</f>
        <v>0</v>
      </c>
      <c r="R56" s="44">
        <f>ESTADISTICA!R54</f>
        <v>0</v>
      </c>
      <c r="S56" s="44">
        <f>ESTADISTICA!S54</f>
        <v>0</v>
      </c>
      <c r="T56" s="44">
        <f>ESTADISTICA!T54</f>
        <v>0</v>
      </c>
      <c r="U56" s="44">
        <f>ESTADISTICA!U54</f>
        <v>0</v>
      </c>
      <c r="V56" s="44">
        <f>ESTADISTICA!V54</f>
        <v>0</v>
      </c>
      <c r="W56" s="44">
        <f>ESTADISTICA!W54</f>
        <v>0</v>
      </c>
      <c r="X56" s="44">
        <f>ESTADISTICA!X54</f>
        <v>0</v>
      </c>
      <c r="Y56" s="44">
        <f>ESTADISTICA!Y54</f>
        <v>0</v>
      </c>
      <c r="Z56" s="44">
        <f>ESTADISTICA!Z54</f>
        <v>0</v>
      </c>
      <c r="AA56" s="44">
        <f>ESTADISTICA!AA54</f>
        <v>0</v>
      </c>
      <c r="AB56" s="44">
        <f>ESTADISTICA!AB54</f>
        <v>0</v>
      </c>
      <c r="AC56" s="44">
        <f>ESTADISTICA!AC54</f>
        <v>0</v>
      </c>
      <c r="AD56" s="44">
        <f>ESTADISTICA!AD54</f>
        <v>0</v>
      </c>
      <c r="AE56" s="44">
        <f>ESTADISTICA!AE54</f>
        <v>0</v>
      </c>
      <c r="AF56" s="44">
        <f>ESTADISTICA!AF54</f>
        <v>0</v>
      </c>
      <c r="AG56" s="44">
        <f>ESTADISTICA!AG54</f>
        <v>0</v>
      </c>
      <c r="AH56" s="44">
        <f>ESTADISTICA!AH54</f>
        <v>0</v>
      </c>
      <c r="AI56" s="44">
        <f>ESTADISTICA!AI54</f>
        <v>0</v>
      </c>
    </row>
    <row r="57" spans="1:35" x14ac:dyDescent="0.25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>
        <f>ESTADISTICA!H55</f>
        <v>0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>
        <f>ESTADISTICA!AF55</f>
        <v>0</v>
      </c>
      <c r="AG57" s="44">
        <f>ESTADISTICA!AG55</f>
        <v>0</v>
      </c>
      <c r="AH57" s="44">
        <f>ESTADISTICA!AH55</f>
        <v>0</v>
      </c>
      <c r="AI57" s="44">
        <f>ESTADISTICA!AI55</f>
        <v>0</v>
      </c>
    </row>
    <row r="58" spans="1:35" x14ac:dyDescent="0.25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25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>
        <f>ESTADISTICA!H57</f>
        <v>0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25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25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>
        <f>ESTADISTICA!H59</f>
        <v>0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25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25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25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25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25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 t="str">
        <f>ESTADISTICA!F64</f>
        <v>APAGADO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>
        <f>ESTADISTICA!N64</f>
        <v>0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>
        <f>ESTADISTICA!U64</f>
        <v>0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25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25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25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 t="str">
        <f>ESTADISTICA!F67</f>
        <v>APAGADO</v>
      </c>
      <c r="G69" s="44" t="str">
        <f>ESTADISTICA!G67</f>
        <v>APAGADO</v>
      </c>
      <c r="H69" s="44">
        <f>ESTADISTICA!H67</f>
        <v>0</v>
      </c>
      <c r="I69" s="44">
        <f>ESTADISTICA!I67</f>
        <v>0</v>
      </c>
      <c r="J69" s="44">
        <f>ESTADISTICA!J67</f>
        <v>0</v>
      </c>
      <c r="K69" s="44">
        <f>ESTADISTICA!K67</f>
        <v>0</v>
      </c>
      <c r="L69" s="44">
        <f>ESTADISTICA!L67</f>
        <v>0</v>
      </c>
      <c r="M69" s="44">
        <f>ESTADISTICA!M67</f>
        <v>0</v>
      </c>
      <c r="N69" s="44">
        <f>ESTADISTICA!N67</f>
        <v>0</v>
      </c>
      <c r="O69" s="44">
        <f>ESTADISTICA!O67</f>
        <v>0</v>
      </c>
      <c r="P69" s="44">
        <f>ESTADISTICA!P67</f>
        <v>0</v>
      </c>
      <c r="Q69" s="44">
        <f>ESTADISTICA!Q67</f>
        <v>0</v>
      </c>
      <c r="R69" s="44">
        <f>ESTADISTICA!R67</f>
        <v>0</v>
      </c>
      <c r="S69" s="44">
        <f>ESTADISTICA!S67</f>
        <v>0</v>
      </c>
      <c r="T69" s="44">
        <f>ESTADISTICA!T67</f>
        <v>0</v>
      </c>
      <c r="U69" s="44">
        <f>ESTADISTICA!U67</f>
        <v>0</v>
      </c>
      <c r="V69" s="44">
        <f>ESTADISTICA!V67</f>
        <v>0</v>
      </c>
      <c r="W69" s="44">
        <f>ESTADISTICA!W67</f>
        <v>0</v>
      </c>
      <c r="X69" s="44">
        <f>ESTADISTICA!X67</f>
        <v>0</v>
      </c>
      <c r="Y69" s="44">
        <f>ESTADISTICA!Y67</f>
        <v>0</v>
      </c>
      <c r="Z69" s="44">
        <f>ESTADISTICA!Z67</f>
        <v>0</v>
      </c>
      <c r="AA69" s="44">
        <f>ESTADISTICA!AA67</f>
        <v>0</v>
      </c>
      <c r="AB69" s="44">
        <f>ESTADISTICA!AB67</f>
        <v>0</v>
      </c>
      <c r="AC69" s="44">
        <f>ESTADISTICA!AC67</f>
        <v>0</v>
      </c>
      <c r="AD69" s="44">
        <f>ESTADISTICA!AD67</f>
        <v>0</v>
      </c>
      <c r="AE69" s="44">
        <f>ESTADISTICA!AE67</f>
        <v>0</v>
      </c>
      <c r="AF69" s="44">
        <f>ESTADISTICA!AF67</f>
        <v>0</v>
      </c>
      <c r="AG69" s="44">
        <f>ESTADISTICA!AG67</f>
        <v>0</v>
      </c>
      <c r="AH69" s="44">
        <f>ESTADISTICA!AH67</f>
        <v>0</v>
      </c>
      <c r="AI69" s="44">
        <f>ESTADISTICA!AI67</f>
        <v>0</v>
      </c>
    </row>
    <row r="70" spans="1:35" hidden="1" x14ac:dyDescent="0.25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25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>
        <f>ESTADISTICA!H69</f>
        <v>0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25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>
        <f>ESTADISTICA!F70</f>
        <v>0</v>
      </c>
      <c r="G72" s="44">
        <f>ESTADISTICA!G70</f>
        <v>0</v>
      </c>
      <c r="H72" s="44">
        <f>ESTADISTICA!H70</f>
        <v>0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>
        <f>ESTADISTICA!AB70</f>
        <v>0</v>
      </c>
      <c r="AC72" s="44">
        <f>ESTADISTICA!AC70</f>
        <v>0</v>
      </c>
      <c r="AD72" s="44">
        <f>ESTADISTICA!AD70</f>
        <v>0</v>
      </c>
      <c r="AE72" s="44">
        <f>ESTADISTICA!AE70</f>
        <v>0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25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25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25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 t="str">
        <f>ESTADISTICA!F73</f>
        <v>APAGADO</v>
      </c>
      <c r="G75" s="44" t="str">
        <f>ESTADISTICA!G73</f>
        <v>APAGADO</v>
      </c>
      <c r="H75" s="44">
        <f>ESTADISTICA!H73</f>
        <v>0</v>
      </c>
      <c r="I75" s="44">
        <f>ESTADISTICA!I73</f>
        <v>0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>
        <f>ESTADISTICA!R73</f>
        <v>0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25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 t="str">
        <f>ESTADISTICA!G74</f>
        <v>APAGADO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>
        <f>ESTADISTICA!R74</f>
        <v>0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25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 t="str">
        <f>ESTADISTICA!F75</f>
        <v>APAGADO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>
        <f>ESTADISTICA!Q75</f>
        <v>0</v>
      </c>
      <c r="R77" s="44">
        <f>ESTADISTICA!R75</f>
        <v>0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>
        <f>ESTADISTICA!Y75</f>
        <v>0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25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25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25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25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25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>
        <f>ESTADISTICA!AF80</f>
        <v>0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25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>
        <f>ESTADISTICA!H81</f>
        <v>0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25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25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25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25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 t="str">
        <f>ESTADISTICA!F85</f>
        <v>APAGADO</v>
      </c>
      <c r="G87" s="44">
        <f>ESTADISTICA!G85</f>
        <v>0</v>
      </c>
      <c r="H87" s="44">
        <f>ESTADISTICA!H85</f>
        <v>0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>
        <f>ESTADISTICA!N85</f>
        <v>0</v>
      </c>
      <c r="O87" s="44">
        <f>ESTADISTICA!O85</f>
        <v>0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>
        <f>ESTADISTICA!AA85</f>
        <v>0</v>
      </c>
      <c r="AB87" s="44">
        <f>ESTADISTICA!AB85</f>
        <v>0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>
        <f>ESTADISTICA!AG85</f>
        <v>0</v>
      </c>
      <c r="AH87" s="44">
        <f>ESTADISTICA!AH85</f>
        <v>0</v>
      </c>
      <c r="AI87" s="44">
        <f>ESTADISTICA!AI85</f>
        <v>0</v>
      </c>
    </row>
    <row r="88" spans="1:35" x14ac:dyDescent="0.25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 t="str">
        <f>ESTADISTICA!F86</f>
        <v>APAGADO</v>
      </c>
      <c r="G88" s="44">
        <f>ESTADISTICA!G86</f>
        <v>0</v>
      </c>
      <c r="H88" s="44">
        <f>ESTADISTICA!H86</f>
        <v>0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>
        <f>ESTADISTICA!N86</f>
        <v>0</v>
      </c>
      <c r="O88" s="44">
        <f>ESTADISTICA!O86</f>
        <v>0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>
        <f>ESTADISTICA!AA86</f>
        <v>0</v>
      </c>
      <c r="AB88" s="44">
        <f>ESTADISTICA!AB86</f>
        <v>0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>
        <f>ESTADISTICA!AG86</f>
        <v>0</v>
      </c>
      <c r="AH88" s="44">
        <f>ESTADISTICA!AH86</f>
        <v>0</v>
      </c>
      <c r="AI88" s="44">
        <f>ESTADISTICA!AI86</f>
        <v>0</v>
      </c>
    </row>
    <row r="89" spans="1:35" x14ac:dyDescent="0.25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25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25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25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25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25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 t="str">
        <f>ESTADISTICA!F92</f>
        <v>APAGADO</v>
      </c>
      <c r="G94" s="44" t="str">
        <f>ESTADISTICA!G92</f>
        <v>APAGADO</v>
      </c>
      <c r="H94" s="44">
        <f>ESTADISTICA!H92</f>
        <v>0</v>
      </c>
      <c r="I94" s="44">
        <f>ESTADISTICA!I92</f>
        <v>0</v>
      </c>
      <c r="J94" s="44">
        <f>ESTADISTICA!J92</f>
        <v>0</v>
      </c>
      <c r="K94" s="44">
        <f>ESTADISTICA!K92</f>
        <v>0</v>
      </c>
      <c r="L94" s="44">
        <f>ESTADISTICA!L92</f>
        <v>0</v>
      </c>
      <c r="M94" s="44">
        <f>ESTADISTICA!M92</f>
        <v>0</v>
      </c>
      <c r="N94" s="44">
        <f>ESTADISTICA!N92</f>
        <v>0</v>
      </c>
      <c r="O94" s="44">
        <f>ESTADISTICA!O92</f>
        <v>0</v>
      </c>
      <c r="P94" s="44">
        <f>ESTADISTICA!P92</f>
        <v>0</v>
      </c>
      <c r="Q94" s="44">
        <f>ESTADISTICA!Q92</f>
        <v>0</v>
      </c>
      <c r="R94" s="44">
        <f>ESTADISTICA!R92</f>
        <v>0</v>
      </c>
      <c r="S94" s="44">
        <f>ESTADISTICA!S92</f>
        <v>0</v>
      </c>
      <c r="T94" s="44">
        <f>ESTADISTICA!T92</f>
        <v>0</v>
      </c>
      <c r="U94" s="44">
        <f>ESTADISTICA!U92</f>
        <v>0</v>
      </c>
      <c r="V94" s="44">
        <f>ESTADISTICA!V92</f>
        <v>0</v>
      </c>
      <c r="W94" s="44">
        <f>ESTADISTICA!W92</f>
        <v>0</v>
      </c>
      <c r="X94" s="44">
        <f>ESTADISTICA!X92</f>
        <v>0</v>
      </c>
      <c r="Y94" s="44">
        <f>ESTADISTICA!Y92</f>
        <v>0</v>
      </c>
      <c r="Z94" s="44">
        <f>ESTADISTICA!Z92</f>
        <v>0</v>
      </c>
      <c r="AA94" s="44">
        <f>ESTADISTICA!AA92</f>
        <v>0</v>
      </c>
      <c r="AB94" s="44">
        <f>ESTADISTICA!AB92</f>
        <v>0</v>
      </c>
      <c r="AC94" s="44">
        <f>ESTADISTICA!AC92</f>
        <v>0</v>
      </c>
      <c r="AD94" s="44">
        <f>ESTADISTICA!AD92</f>
        <v>0</v>
      </c>
      <c r="AE94" s="44">
        <f>ESTADISTICA!AE92</f>
        <v>0</v>
      </c>
      <c r="AF94" s="44">
        <f>ESTADISTICA!AF92</f>
        <v>0</v>
      </c>
      <c r="AG94" s="44">
        <f>ESTADISTICA!AG92</f>
        <v>0</v>
      </c>
      <c r="AH94" s="44">
        <f>ESTADISTICA!AH92</f>
        <v>0</v>
      </c>
      <c r="AI94" s="44">
        <f>ESTADISTICA!AI92</f>
        <v>0</v>
      </c>
    </row>
    <row r="95" spans="1:35" x14ac:dyDescent="0.25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>
        <f>ESTADISTICA!H93</f>
        <v>0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25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25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25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 t="str">
        <f>ESTADISTICA!F96</f>
        <v>APAGADO</v>
      </c>
      <c r="G98" s="44" t="str">
        <f>ESTADISTICA!G96</f>
        <v>APAGADO</v>
      </c>
      <c r="H98" s="44">
        <f>ESTADISTICA!H96</f>
        <v>0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>
        <f>ESTADISTICA!W96</f>
        <v>0</v>
      </c>
      <c r="X98" s="44">
        <f>ESTADISTICA!X96</f>
        <v>0</v>
      </c>
      <c r="Y98" s="44">
        <f>ESTADISTICA!Y96</f>
        <v>0</v>
      </c>
      <c r="Z98" s="44">
        <f>ESTADISTICA!Z96</f>
        <v>0</v>
      </c>
      <c r="AA98" s="44">
        <f>ESTADISTICA!AA96</f>
        <v>0</v>
      </c>
      <c r="AB98" s="44">
        <f>ESTADISTICA!AB96</f>
        <v>0</v>
      </c>
      <c r="AC98" s="44">
        <f>ESTADISTICA!AC96</f>
        <v>0</v>
      </c>
      <c r="AD98" s="44">
        <f>ESTADISTICA!AD96</f>
        <v>0</v>
      </c>
      <c r="AE98" s="44">
        <f>ESTADISTICA!AE96</f>
        <v>0</v>
      </c>
      <c r="AF98" s="44">
        <f>ESTADISTICA!AF96</f>
        <v>0</v>
      </c>
      <c r="AG98" s="44">
        <f>ESTADISTICA!AG96</f>
        <v>0</v>
      </c>
      <c r="AH98" s="44">
        <f>ESTADISTICA!AH96</f>
        <v>0</v>
      </c>
      <c r="AI98" s="44">
        <f>ESTADISTICA!AI96</f>
        <v>0</v>
      </c>
    </row>
    <row r="99" spans="1:35" x14ac:dyDescent="0.25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>
        <f>ESTADISTICA!H97</f>
        <v>0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25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25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 t="str">
        <f>ESTADISTICA!F99</f>
        <v>APAGADO</v>
      </c>
      <c r="G101" s="44" t="str">
        <f>ESTADISTICA!G99</f>
        <v>APAGADO</v>
      </c>
      <c r="H101" s="44">
        <f>ESTADISTICA!H99</f>
        <v>0</v>
      </c>
      <c r="I101" s="44">
        <f>ESTADISTICA!I99</f>
        <v>0</v>
      </c>
      <c r="J101" s="44">
        <f>ESTADISTICA!J99</f>
        <v>0</v>
      </c>
      <c r="K101" s="44">
        <f>ESTADISTICA!K99</f>
        <v>0</v>
      </c>
      <c r="L101" s="44">
        <f>ESTADISTICA!L99</f>
        <v>0</v>
      </c>
      <c r="M101" s="44">
        <f>ESTADISTICA!M99</f>
        <v>0</v>
      </c>
      <c r="N101" s="44">
        <f>ESTADISTICA!N99</f>
        <v>0</v>
      </c>
      <c r="O101" s="44">
        <f>ESTADISTICA!O99</f>
        <v>0</v>
      </c>
      <c r="P101" s="44">
        <f>ESTADISTICA!P99</f>
        <v>0</v>
      </c>
      <c r="Q101" s="44">
        <f>ESTADISTICA!Q99</f>
        <v>0</v>
      </c>
      <c r="R101" s="44">
        <f>ESTADISTICA!R99</f>
        <v>0</v>
      </c>
      <c r="S101" s="44">
        <f>ESTADISTICA!S99</f>
        <v>0</v>
      </c>
      <c r="T101" s="44">
        <f>ESTADISTICA!T99</f>
        <v>0</v>
      </c>
      <c r="U101" s="44">
        <f>ESTADISTICA!U99</f>
        <v>0</v>
      </c>
      <c r="V101" s="44">
        <f>ESTADISTICA!V99</f>
        <v>0</v>
      </c>
      <c r="W101" s="44">
        <f>ESTADISTICA!W99</f>
        <v>0</v>
      </c>
      <c r="X101" s="44">
        <f>ESTADISTICA!X99</f>
        <v>0</v>
      </c>
      <c r="Y101" s="44">
        <f>ESTADISTICA!Y99</f>
        <v>0</v>
      </c>
      <c r="Z101" s="44">
        <f>ESTADISTICA!Z99</f>
        <v>0</v>
      </c>
      <c r="AA101" s="44">
        <f>ESTADISTICA!AA99</f>
        <v>0</v>
      </c>
      <c r="AB101" s="44">
        <f>ESTADISTICA!AB99</f>
        <v>0</v>
      </c>
      <c r="AC101" s="44">
        <f>ESTADISTICA!AC99</f>
        <v>0</v>
      </c>
      <c r="AD101" s="44">
        <f>ESTADISTICA!AD99</f>
        <v>0</v>
      </c>
      <c r="AE101" s="44">
        <f>ESTADISTICA!AE99</f>
        <v>0</v>
      </c>
      <c r="AF101" s="44">
        <f>ESTADISTICA!AF99</f>
        <v>0</v>
      </c>
      <c r="AG101" s="44">
        <f>ESTADISTICA!AG99</f>
        <v>0</v>
      </c>
      <c r="AH101" s="44">
        <f>ESTADISTICA!AH99</f>
        <v>0</v>
      </c>
      <c r="AI101" s="44">
        <f>ESTADISTICA!AI99</f>
        <v>0</v>
      </c>
    </row>
    <row r="102" spans="1:35" x14ac:dyDescent="0.25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 t="str">
        <f>ESTADISTICA!F100</f>
        <v>APAGADO</v>
      </c>
      <c r="G102" s="44" t="str">
        <f>ESTADISTICA!G100</f>
        <v>APAGADO</v>
      </c>
      <c r="H102" s="44">
        <f>ESTADISTICA!H100</f>
        <v>0</v>
      </c>
      <c r="I102" s="44">
        <f>ESTADISTICA!I100</f>
        <v>0</v>
      </c>
      <c r="J102" s="44">
        <f>ESTADISTICA!J100</f>
        <v>0</v>
      </c>
      <c r="K102" s="44">
        <f>ESTADISTICA!K100</f>
        <v>0</v>
      </c>
      <c r="L102" s="44">
        <f>ESTADISTICA!L100</f>
        <v>0</v>
      </c>
      <c r="M102" s="44">
        <f>ESTADISTICA!M100</f>
        <v>0</v>
      </c>
      <c r="N102" s="44">
        <f>ESTADISTICA!N100</f>
        <v>0</v>
      </c>
      <c r="O102" s="44">
        <f>ESTADISTICA!O100</f>
        <v>0</v>
      </c>
      <c r="P102" s="44">
        <f>ESTADISTICA!P100</f>
        <v>0</v>
      </c>
      <c r="Q102" s="44">
        <f>ESTADISTICA!Q100</f>
        <v>0</v>
      </c>
      <c r="R102" s="44">
        <f>ESTADISTICA!R100</f>
        <v>0</v>
      </c>
      <c r="S102" s="44">
        <f>ESTADISTICA!S100</f>
        <v>0</v>
      </c>
      <c r="T102" s="44">
        <f>ESTADISTICA!T100</f>
        <v>0</v>
      </c>
      <c r="U102" s="44">
        <f>ESTADISTICA!U100</f>
        <v>0</v>
      </c>
      <c r="V102" s="44">
        <f>ESTADISTICA!V100</f>
        <v>0</v>
      </c>
      <c r="W102" s="44">
        <f>ESTADISTICA!W100</f>
        <v>0</v>
      </c>
      <c r="X102" s="44">
        <f>ESTADISTICA!X100</f>
        <v>0</v>
      </c>
      <c r="Y102" s="44">
        <f>ESTADISTICA!Y100</f>
        <v>0</v>
      </c>
      <c r="Z102" s="44">
        <f>ESTADISTICA!Z100</f>
        <v>0</v>
      </c>
      <c r="AA102" s="44">
        <f>ESTADISTICA!AA100</f>
        <v>0</v>
      </c>
      <c r="AB102" s="44">
        <f>ESTADISTICA!AB100</f>
        <v>0</v>
      </c>
      <c r="AC102" s="44">
        <f>ESTADISTICA!AC100</f>
        <v>0</v>
      </c>
      <c r="AD102" s="44">
        <f>ESTADISTICA!AD100</f>
        <v>0</v>
      </c>
      <c r="AE102" s="44">
        <f>ESTADISTICA!AE100</f>
        <v>0</v>
      </c>
      <c r="AF102" s="44">
        <f>ESTADISTICA!AF100</f>
        <v>0</v>
      </c>
      <c r="AG102" s="44">
        <f>ESTADISTICA!AG100</f>
        <v>0</v>
      </c>
      <c r="AH102" s="44">
        <f>ESTADISTICA!AH100</f>
        <v>0</v>
      </c>
      <c r="AI102" s="44">
        <f>ESTADISTICA!AI100</f>
        <v>0</v>
      </c>
    </row>
    <row r="103" spans="1:35" x14ac:dyDescent="0.25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>
        <f>ESTADISTICA!F101</f>
        <v>0</v>
      </c>
      <c r="G103" s="44">
        <f>ESTADISTICA!G101</f>
        <v>0</v>
      </c>
      <c r="H103" s="44">
        <f>ESTADISTICA!H101</f>
        <v>0</v>
      </c>
      <c r="I103" s="44">
        <f>ESTADISTICA!I101</f>
        <v>0</v>
      </c>
      <c r="J103" s="44">
        <f>ESTADISTICA!J101</f>
        <v>0</v>
      </c>
      <c r="K103" s="44">
        <f>ESTADISTICA!K101</f>
        <v>0</v>
      </c>
      <c r="L103" s="44">
        <f>ESTADISTICA!L101</f>
        <v>0</v>
      </c>
      <c r="M103" s="44">
        <f>ESTADISTICA!M101</f>
        <v>0</v>
      </c>
      <c r="N103" s="44">
        <f>ESTADISTICA!N101</f>
        <v>0</v>
      </c>
      <c r="O103" s="44">
        <f>ESTADISTICA!O101</f>
        <v>0</v>
      </c>
      <c r="P103" s="44">
        <f>ESTADISTICA!P101</f>
        <v>0</v>
      </c>
      <c r="Q103" s="44">
        <f>ESTADISTICA!Q101</f>
        <v>0</v>
      </c>
      <c r="R103" s="44">
        <f>ESTADISTICA!R101</f>
        <v>0</v>
      </c>
      <c r="S103" s="44">
        <f>ESTADISTICA!S101</f>
        <v>0</v>
      </c>
      <c r="T103" s="44">
        <f>ESTADISTICA!T101</f>
        <v>0</v>
      </c>
      <c r="U103" s="44">
        <f>ESTADISTICA!U101</f>
        <v>0</v>
      </c>
      <c r="V103" s="44">
        <f>ESTADISTICA!V101</f>
        <v>0</v>
      </c>
      <c r="W103" s="44">
        <f>ESTADISTICA!W101</f>
        <v>0</v>
      </c>
      <c r="X103" s="44">
        <f>ESTADISTICA!X101</f>
        <v>0</v>
      </c>
      <c r="Y103" s="44">
        <f>ESTADISTICA!Y101</f>
        <v>0</v>
      </c>
      <c r="Z103" s="44">
        <f>ESTADISTICA!Z101</f>
        <v>0</v>
      </c>
      <c r="AA103" s="44">
        <f>ESTADISTICA!AA101</f>
        <v>0</v>
      </c>
      <c r="AB103" s="44">
        <f>ESTADISTICA!AB101</f>
        <v>0</v>
      </c>
      <c r="AC103" s="44">
        <f>ESTADISTICA!AC101</f>
        <v>0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25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25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>
        <f>ESTADISTICA!H103</f>
        <v>0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25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>
        <f>ESTADISTICA!H104</f>
        <v>0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25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>
        <f>ESTADISTICA!F105</f>
        <v>0</v>
      </c>
      <c r="G107" s="44">
        <f>ESTADISTICA!G105</f>
        <v>0</v>
      </c>
      <c r="H107" s="44">
        <f>ESTADISTICA!H105</f>
        <v>0</v>
      </c>
      <c r="I107" s="44">
        <f>ESTADISTICA!I105</f>
        <v>0</v>
      </c>
      <c r="J107" s="44">
        <f>ESTADISTICA!J105</f>
        <v>0</v>
      </c>
      <c r="K107" s="44">
        <f>ESTADISTICA!K105</f>
        <v>0</v>
      </c>
      <c r="L107" s="44">
        <f>ESTADISTICA!L105</f>
        <v>0</v>
      </c>
      <c r="M107" s="44">
        <f>ESTADISTICA!M105</f>
        <v>0</v>
      </c>
      <c r="N107" s="44">
        <f>ESTADISTICA!N105</f>
        <v>0</v>
      </c>
      <c r="O107" s="44">
        <f>ESTADISTICA!O105</f>
        <v>0</v>
      </c>
      <c r="P107" s="44">
        <f>ESTADISTICA!P105</f>
        <v>0</v>
      </c>
      <c r="Q107" s="44">
        <f>ESTADISTICA!Q105</f>
        <v>0</v>
      </c>
      <c r="R107" s="44">
        <f>ESTADISTICA!R105</f>
        <v>0</v>
      </c>
      <c r="S107" s="44">
        <f>ESTADISTICA!S105</f>
        <v>0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25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25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25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>
        <f>ESTADISTICA!H108</f>
        <v>0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25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>
        <f>ESTADISTICA!X109</f>
        <v>0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25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25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25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>
        <f>ESTADISTICA!H112</f>
        <v>0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25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>
        <f>ESTADISTICA!H113</f>
        <v>0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25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25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25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25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25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25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25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>
        <f>ESTADISTICA!H120</f>
        <v>0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>
        <f>ESTADISTICA!X120</f>
        <v>0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25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>
        <f>ESTADISTICA!T121</f>
        <v>0</v>
      </c>
      <c r="U123" s="44">
        <f>ESTADISTICA!U121</f>
        <v>0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>
        <f>ESTADISTICA!Y121</f>
        <v>0</v>
      </c>
      <c r="Z123" s="44">
        <f>ESTADISTICA!Z121</f>
        <v>0</v>
      </c>
      <c r="AA123" s="44">
        <f>ESTADISTICA!AA121</f>
        <v>0</v>
      </c>
      <c r="AB123" s="44">
        <f>ESTADISTICA!AB121</f>
        <v>0</v>
      </c>
      <c r="AC123" s="44">
        <f>ESTADISTICA!AC121</f>
        <v>0</v>
      </c>
      <c r="AD123" s="44">
        <f>ESTADISTICA!AD121</f>
        <v>0</v>
      </c>
      <c r="AE123" s="44">
        <f>ESTADISTICA!AE121</f>
        <v>0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hidden="1" x14ac:dyDescent="0.25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25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>
        <f>ESTADISTICA!H123</f>
        <v>0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25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 t="str">
        <f>ESTADISTICA!F124</f>
        <v>APAGADO</v>
      </c>
      <c r="G126" s="44" t="str">
        <f>ESTADISTICA!G124</f>
        <v>APAGADO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>
        <f>ESTADISTICA!X124</f>
        <v>0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>
        <f>ESTADISTICA!AG124</f>
        <v>0</v>
      </c>
      <c r="AH126" s="44">
        <f>ESTADISTICA!AH124</f>
        <v>0</v>
      </c>
      <c r="AI126" s="44">
        <f>ESTADISTICA!AI124</f>
        <v>0</v>
      </c>
    </row>
    <row r="127" spans="1:35" x14ac:dyDescent="0.25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>
        <f>ESTADISTICA!H125</f>
        <v>0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>
        <f>ESTADISTICA!X125</f>
        <v>0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>
        <f>ESTADISTICA!AF125</f>
        <v>0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25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>
        <f>ESTADISTICA!H126</f>
        <v>0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>
        <f>ESTADISTICA!X126</f>
        <v>0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25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>
        <f>ESTADISTICA!H127</f>
        <v>0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25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>
        <f>ESTADISTICA!X128</f>
        <v>0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25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>
        <f>ESTADISTICA!X129</f>
        <v>0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25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25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25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>
        <f>ESTADISTICA!H132</f>
        <v>0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25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>
        <f>ESTADISTICA!H133</f>
        <v>0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25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 t="str">
        <f>ESTADISTICA!F134</f>
        <v>APAGADO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>
        <f>ESTADISTICA!X134</f>
        <v>0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>
        <f>ESTADISTICA!AE134</f>
        <v>0</v>
      </c>
      <c r="AF136" s="44">
        <f>ESTADISTICA!AF134</f>
        <v>0</v>
      </c>
      <c r="AG136" s="44">
        <f>ESTADISTICA!AG134</f>
        <v>0</v>
      </c>
      <c r="AH136" s="44">
        <f>ESTADISTICA!AH134</f>
        <v>0</v>
      </c>
      <c r="AI136" s="44">
        <f>ESTADISTICA!AI134</f>
        <v>0</v>
      </c>
    </row>
    <row r="137" spans="1:35" x14ac:dyDescent="0.25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 t="str">
        <f>ESTADISTICA!F135</f>
        <v>APAGADO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>
        <f>ESTADISTICA!X135</f>
        <v>0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>
        <f>ESTADISTICA!AE135</f>
        <v>0</v>
      </c>
      <c r="AF137" s="44">
        <f>ESTADISTICA!AF135</f>
        <v>0</v>
      </c>
      <c r="AG137" s="44">
        <f>ESTADISTICA!AG135</f>
        <v>0</v>
      </c>
      <c r="AH137" s="44">
        <f>ESTADISTICA!AH135</f>
        <v>0</v>
      </c>
      <c r="AI137" s="44">
        <f>ESTADISTICA!AI135</f>
        <v>0</v>
      </c>
    </row>
    <row r="138" spans="1:35" x14ac:dyDescent="0.25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>
        <f>ESTADISTICA!X136</f>
        <v>0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25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>
        <f>ESTADISTICA!X137</f>
        <v>0</v>
      </c>
      <c r="Y139" s="44">
        <f>ESTADISTICA!Y137</f>
        <v>0</v>
      </c>
      <c r="Z139" s="44">
        <f>ESTADISTICA!Z137</f>
        <v>0</v>
      </c>
      <c r="AA139" s="44">
        <f>ESTADISTICA!AA137</f>
        <v>0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25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>
        <f>ESTADISTICA!H138</f>
        <v>0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25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25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25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>
        <f>ESTADISTICA!X141</f>
        <v>0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25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>
        <f>ESTADISTICA!X142</f>
        <v>0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25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>
        <f>ESTADISTICA!X143</f>
        <v>0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25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>
        <f>ESTADISTICA!X144</f>
        <v>0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25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>
        <f>ESTADISTICA!X145</f>
        <v>0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25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>
        <f>ESTADISTICA!X146</f>
        <v>0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25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>
        <f>ESTADISTICA!H147</f>
        <v>0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>
        <f>ESTADISTICA!U147</f>
        <v>0</v>
      </c>
      <c r="V149" s="44">
        <f>ESTADISTICA!V147</f>
        <v>0</v>
      </c>
      <c r="W149" s="44">
        <f>ESTADISTICA!W147</f>
        <v>0</v>
      </c>
      <c r="X149" s="44">
        <f>ESTADISTICA!X147</f>
        <v>0</v>
      </c>
      <c r="Y149" s="44">
        <f>ESTADISTICA!Y147</f>
        <v>0</v>
      </c>
      <c r="Z149" s="44">
        <f>ESTADISTICA!Z147</f>
        <v>0</v>
      </c>
      <c r="AA149" s="44">
        <f>ESTADISTICA!AA147</f>
        <v>0</v>
      </c>
      <c r="AB149" s="44">
        <f>ESTADISTICA!AB147</f>
        <v>0</v>
      </c>
      <c r="AC149" s="44">
        <f>ESTADISTICA!AC147</f>
        <v>0</v>
      </c>
      <c r="AD149" s="44">
        <f>ESTADISTICA!AD147</f>
        <v>0</v>
      </c>
      <c r="AE149" s="44">
        <f>ESTADISTICA!AE147</f>
        <v>0</v>
      </c>
      <c r="AF149" s="44">
        <f>ESTADISTICA!AF147</f>
        <v>0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25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>
        <f>ESTADISTICA!H148</f>
        <v>0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>
        <f>ESTADISTICA!AF148</f>
        <v>0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25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25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>
        <f>ESTADISTICA!P150</f>
        <v>0</v>
      </c>
      <c r="Q152" s="44">
        <f>ESTADISTICA!Q150</f>
        <v>0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>
        <f>ESTADISTICA!W150</f>
        <v>0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>
        <f>ESTADISTICA!AB150</f>
        <v>0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25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>
        <f>ESTADISTICA!H151</f>
        <v>0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25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>
        <f>ESTADISTICA!N152</f>
        <v>0</v>
      </c>
      <c r="O154" s="44">
        <f>ESTADISTICA!O152</f>
        <v>0</v>
      </c>
      <c r="P154" s="44">
        <f>ESTADISTICA!P152</f>
        <v>0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>
        <f>ESTADISTICA!AB152</f>
        <v>0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25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25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25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25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>
        <f>ESTADISTICA!H156</f>
        <v>0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25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>
        <f>ESTADISTICA!H157</f>
        <v>0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>
        <f>ESTADISTICA!AB157</f>
        <v>0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25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>
        <f>ESTADISTICA!H158</f>
        <v>0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>
        <f>ESTADISTICA!U158</f>
        <v>0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25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25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25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>
        <f>ESTADISTICA!H161</f>
        <v>0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25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25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 t="str">
        <f>ESTADISTICA!F163</f>
        <v>APAGADO</v>
      </c>
      <c r="G165" s="44" t="str">
        <f>ESTADISTICA!G163</f>
        <v>APAGADO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>
        <f>ESTADISTICA!N163</f>
        <v>0</v>
      </c>
      <c r="O165" s="44">
        <f>ESTADISTICA!O163</f>
        <v>0</v>
      </c>
      <c r="P165" s="44">
        <f>ESTADISTICA!P163</f>
        <v>0</v>
      </c>
      <c r="Q165" s="44">
        <f>ESTADISTICA!Q163</f>
        <v>0</v>
      </c>
      <c r="R165" s="44">
        <f>ESTADISTICA!R163</f>
        <v>0</v>
      </c>
      <c r="S165" s="44">
        <f>ESTADISTICA!S163</f>
        <v>0</v>
      </c>
      <c r="T165" s="44">
        <f>ESTADISTICA!T163</f>
        <v>0</v>
      </c>
      <c r="U165" s="44">
        <f>ESTADISTICA!U163</f>
        <v>0</v>
      </c>
      <c r="V165" s="44">
        <f>ESTADISTICA!V163</f>
        <v>0</v>
      </c>
      <c r="W165" s="44">
        <f>ESTADISTICA!W163</f>
        <v>0</v>
      </c>
      <c r="X165" s="44">
        <f>ESTADISTICA!X163</f>
        <v>0</v>
      </c>
      <c r="Y165" s="44">
        <f>ESTADISTICA!Y163</f>
        <v>0</v>
      </c>
      <c r="Z165" s="44">
        <f>ESTADISTICA!Z163</f>
        <v>0</v>
      </c>
      <c r="AA165" s="44">
        <f>ESTADISTICA!AA163</f>
        <v>0</v>
      </c>
      <c r="AB165" s="44">
        <f>ESTADISTICA!AB163</f>
        <v>0</v>
      </c>
      <c r="AC165" s="44">
        <f>ESTADISTICA!AC163</f>
        <v>0</v>
      </c>
      <c r="AD165" s="44">
        <f>ESTADISTICA!AD163</f>
        <v>0</v>
      </c>
      <c r="AE165" s="44">
        <f>ESTADISTICA!AE163</f>
        <v>0</v>
      </c>
      <c r="AF165" s="44">
        <f>ESTADISTICA!AF163</f>
        <v>0</v>
      </c>
      <c r="AG165" s="44">
        <f>ESTADISTICA!AG163</f>
        <v>0</v>
      </c>
      <c r="AH165" s="44">
        <f>ESTADISTICA!AH163</f>
        <v>0</v>
      </c>
      <c r="AI165" s="44">
        <f>ESTADISTICA!AI163</f>
        <v>0</v>
      </c>
    </row>
    <row r="166" spans="1:35" x14ac:dyDescent="0.25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 t="str">
        <f>ESTADISTICA!F164</f>
        <v>APAGADO</v>
      </c>
      <c r="G166" s="44" t="str">
        <f>ESTADISTICA!G164</f>
        <v>APAGADO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>
        <f>ESTADISTICA!N164</f>
        <v>0</v>
      </c>
      <c r="O166" s="44">
        <f>ESTADISTICA!O164</f>
        <v>0</v>
      </c>
      <c r="P166" s="44">
        <f>ESTADISTICA!P164</f>
        <v>0</v>
      </c>
      <c r="Q166" s="44">
        <f>ESTADISTICA!Q164</f>
        <v>0</v>
      </c>
      <c r="R166" s="44">
        <f>ESTADISTICA!R164</f>
        <v>0</v>
      </c>
      <c r="S166" s="44">
        <f>ESTADISTICA!S164</f>
        <v>0</v>
      </c>
      <c r="T166" s="44">
        <f>ESTADISTICA!T164</f>
        <v>0</v>
      </c>
      <c r="U166" s="44">
        <f>ESTADISTICA!U164</f>
        <v>0</v>
      </c>
      <c r="V166" s="44">
        <f>ESTADISTICA!V164</f>
        <v>0</v>
      </c>
      <c r="W166" s="44">
        <f>ESTADISTICA!W164</f>
        <v>0</v>
      </c>
      <c r="X166" s="44">
        <f>ESTADISTICA!X164</f>
        <v>0</v>
      </c>
      <c r="Y166" s="44">
        <f>ESTADISTICA!Y164</f>
        <v>0</v>
      </c>
      <c r="Z166" s="44">
        <f>ESTADISTICA!Z164</f>
        <v>0</v>
      </c>
      <c r="AA166" s="44">
        <f>ESTADISTICA!AA164</f>
        <v>0</v>
      </c>
      <c r="AB166" s="44">
        <f>ESTADISTICA!AB164</f>
        <v>0</v>
      </c>
      <c r="AC166" s="44">
        <f>ESTADISTICA!AC164</f>
        <v>0</v>
      </c>
      <c r="AD166" s="44">
        <f>ESTADISTICA!AD164</f>
        <v>0</v>
      </c>
      <c r="AE166" s="44">
        <f>ESTADISTICA!AE164</f>
        <v>0</v>
      </c>
      <c r="AF166" s="44">
        <f>ESTADISTICA!AF164</f>
        <v>0</v>
      </c>
      <c r="AG166" s="44">
        <f>ESTADISTICA!AG164</f>
        <v>0</v>
      </c>
      <c r="AH166" s="44">
        <f>ESTADISTICA!AH164</f>
        <v>0</v>
      </c>
      <c r="AI166" s="44">
        <f>ESTADISTICA!AI164</f>
        <v>0</v>
      </c>
    </row>
    <row r="167" spans="1:35" x14ac:dyDescent="0.25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25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25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25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>
        <f>ESTADISTICA!F168</f>
        <v>0</v>
      </c>
      <c r="G170" s="44">
        <f>ESTADISTICA!G168</f>
        <v>0</v>
      </c>
      <c r="H170" s="44">
        <f>ESTADISTICA!H168</f>
        <v>0</v>
      </c>
      <c r="I170" s="44">
        <f>ESTADISTICA!I168</f>
        <v>0</v>
      </c>
      <c r="J170" s="44">
        <f>ESTADISTICA!J168</f>
        <v>0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25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25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25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25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25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 t="str">
        <f>ESTADISTICA!F173</f>
        <v>APAGADO</v>
      </c>
      <c r="G175" s="44" t="str">
        <f>ESTADISTICA!G173</f>
        <v>APAGADO</v>
      </c>
      <c r="H175" s="44">
        <f>ESTADISTICA!H173</f>
        <v>0</v>
      </c>
      <c r="I175" s="44">
        <f>ESTADISTICA!I173</f>
        <v>0</v>
      </c>
      <c r="J175" s="44">
        <f>ESTADISTICA!J173</f>
        <v>0</v>
      </c>
      <c r="K175" s="44">
        <f>ESTADISTICA!K173</f>
        <v>0</v>
      </c>
      <c r="L175" s="44">
        <f>ESTADISTICA!L173</f>
        <v>0</v>
      </c>
      <c r="M175" s="44">
        <f>ESTADISTICA!M173</f>
        <v>0</v>
      </c>
      <c r="N175" s="44">
        <f>ESTADISTICA!N173</f>
        <v>0</v>
      </c>
      <c r="O175" s="44">
        <f>ESTADISTICA!O173</f>
        <v>0</v>
      </c>
      <c r="P175" s="44">
        <f>ESTADISTICA!P173</f>
        <v>0</v>
      </c>
      <c r="Q175" s="44">
        <f>ESTADISTICA!Q173</f>
        <v>0</v>
      </c>
      <c r="R175" s="44">
        <f>ESTADISTICA!R173</f>
        <v>0</v>
      </c>
      <c r="S175" s="44">
        <f>ESTADISTICA!S173</f>
        <v>0</v>
      </c>
      <c r="T175" s="44">
        <f>ESTADISTICA!T173</f>
        <v>0</v>
      </c>
      <c r="U175" s="44">
        <f>ESTADISTICA!U173</f>
        <v>0</v>
      </c>
      <c r="V175" s="44">
        <f>ESTADISTICA!V173</f>
        <v>0</v>
      </c>
      <c r="W175" s="44">
        <f>ESTADISTICA!W173</f>
        <v>0</v>
      </c>
      <c r="X175" s="44">
        <f>ESTADISTICA!X173</f>
        <v>0</v>
      </c>
      <c r="Y175" s="44">
        <f>ESTADISTICA!Y173</f>
        <v>0</v>
      </c>
      <c r="Z175" s="44">
        <f>ESTADISTICA!Z173</f>
        <v>0</v>
      </c>
      <c r="AA175" s="44">
        <f>ESTADISTICA!AA173</f>
        <v>0</v>
      </c>
      <c r="AB175" s="44">
        <f>ESTADISTICA!AB173</f>
        <v>0</v>
      </c>
      <c r="AC175" s="44">
        <f>ESTADISTICA!AC173</f>
        <v>0</v>
      </c>
      <c r="AD175" s="44">
        <f>ESTADISTICA!AD173</f>
        <v>0</v>
      </c>
      <c r="AE175" s="44">
        <f>ESTADISTICA!AE173</f>
        <v>0</v>
      </c>
      <c r="AF175" s="44">
        <f>ESTADISTICA!AF173</f>
        <v>0</v>
      </c>
      <c r="AG175" s="44">
        <f>ESTADISTICA!AG173</f>
        <v>0</v>
      </c>
      <c r="AH175" s="44">
        <f>ESTADISTICA!AH173</f>
        <v>0</v>
      </c>
      <c r="AI175" s="44">
        <f>ESTADISTICA!AI173</f>
        <v>0</v>
      </c>
    </row>
    <row r="176" spans="1:35" x14ac:dyDescent="0.25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25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 t="str">
        <f>ESTADISTICA!F175</f>
        <v>APAGADO</v>
      </c>
      <c r="G177" s="44" t="str">
        <f>ESTADISTICA!G175</f>
        <v>APAGADO</v>
      </c>
      <c r="H177" s="44">
        <f>ESTADISTICA!H175</f>
        <v>0</v>
      </c>
      <c r="I177" s="44">
        <f>ESTADISTICA!I175</f>
        <v>0</v>
      </c>
      <c r="J177" s="44">
        <f>ESTADISTICA!J175</f>
        <v>0</v>
      </c>
      <c r="K177" s="44">
        <f>ESTADISTICA!K175</f>
        <v>0</v>
      </c>
      <c r="L177" s="44">
        <f>ESTADISTICA!L175</f>
        <v>0</v>
      </c>
      <c r="M177" s="44">
        <f>ESTADISTICA!M175</f>
        <v>0</v>
      </c>
      <c r="N177" s="44">
        <f>ESTADISTICA!N175</f>
        <v>0</v>
      </c>
      <c r="O177" s="44">
        <f>ESTADISTICA!O175</f>
        <v>0</v>
      </c>
      <c r="P177" s="44">
        <f>ESTADISTICA!P175</f>
        <v>0</v>
      </c>
      <c r="Q177" s="44">
        <f>ESTADISTICA!Q175</f>
        <v>0</v>
      </c>
      <c r="R177" s="44">
        <f>ESTADISTICA!R175</f>
        <v>0</v>
      </c>
      <c r="S177" s="44">
        <f>ESTADISTICA!S175</f>
        <v>0</v>
      </c>
      <c r="T177" s="44">
        <f>ESTADISTICA!T175</f>
        <v>0</v>
      </c>
      <c r="U177" s="44">
        <f>ESTADISTICA!U175</f>
        <v>0</v>
      </c>
      <c r="V177" s="44">
        <f>ESTADISTICA!V175</f>
        <v>0</v>
      </c>
      <c r="W177" s="44">
        <f>ESTADISTICA!W175</f>
        <v>0</v>
      </c>
      <c r="X177" s="44">
        <f>ESTADISTICA!X175</f>
        <v>0</v>
      </c>
      <c r="Y177" s="44">
        <f>ESTADISTICA!Y175</f>
        <v>0</v>
      </c>
      <c r="Z177" s="44">
        <f>ESTADISTICA!Z175</f>
        <v>0</v>
      </c>
      <c r="AA177" s="44">
        <f>ESTADISTICA!AA175</f>
        <v>0</v>
      </c>
      <c r="AB177" s="44">
        <f>ESTADISTICA!AB175</f>
        <v>0</v>
      </c>
      <c r="AC177" s="44">
        <f>ESTADISTICA!AC175</f>
        <v>0</v>
      </c>
      <c r="AD177" s="44">
        <f>ESTADISTICA!AD175</f>
        <v>0</v>
      </c>
      <c r="AE177" s="44">
        <f>ESTADISTICA!AE175</f>
        <v>0</v>
      </c>
      <c r="AF177" s="44">
        <f>ESTADISTICA!AF175</f>
        <v>0</v>
      </c>
      <c r="AG177" s="44">
        <f>ESTADISTICA!AG175</f>
        <v>0</v>
      </c>
      <c r="AH177" s="44">
        <f>ESTADISTICA!AH175</f>
        <v>0</v>
      </c>
      <c r="AI177" s="44">
        <f>ESTADISTICA!AI175</f>
        <v>0</v>
      </c>
    </row>
    <row r="178" spans="1:35" x14ac:dyDescent="0.25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25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>
        <f>ESTADISTICA!G177</f>
        <v>0</v>
      </c>
      <c r="H179" s="44">
        <f>ESTADISTICA!H177</f>
        <v>0</v>
      </c>
      <c r="I179" s="44">
        <f>ESTADISTICA!I177</f>
        <v>0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25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25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25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 t="str">
        <f>ESTADISTICA!F180</f>
        <v>APAGADO</v>
      </c>
      <c r="G182" s="44" t="str">
        <f>ESTADISTICA!G180</f>
        <v>APAGADO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>
        <f>ESTADISTICA!L180</f>
        <v>0</v>
      </c>
      <c r="M182" s="44">
        <f>ESTADISTICA!M180</f>
        <v>0</v>
      </c>
      <c r="N182" s="44">
        <f>ESTADISTICA!N180</f>
        <v>0</v>
      </c>
      <c r="O182" s="44">
        <f>ESTADISTICA!O180</f>
        <v>0</v>
      </c>
      <c r="P182" s="44">
        <f>ESTADISTICA!P180</f>
        <v>0</v>
      </c>
      <c r="Q182" s="44">
        <f>ESTADISTICA!Q180</f>
        <v>0</v>
      </c>
      <c r="R182" s="44">
        <f>ESTADISTICA!R180</f>
        <v>0</v>
      </c>
      <c r="S182" s="44">
        <f>ESTADISTICA!S180</f>
        <v>0</v>
      </c>
      <c r="T182" s="44">
        <f>ESTADISTICA!T180</f>
        <v>0</v>
      </c>
      <c r="U182" s="44">
        <f>ESTADISTICA!U180</f>
        <v>0</v>
      </c>
      <c r="V182" s="44">
        <f>ESTADISTICA!V180</f>
        <v>0</v>
      </c>
      <c r="W182" s="44">
        <f>ESTADISTICA!W180</f>
        <v>0</v>
      </c>
      <c r="X182" s="44">
        <f>ESTADISTICA!X180</f>
        <v>0</v>
      </c>
      <c r="Y182" s="44">
        <f>ESTADISTICA!Y180</f>
        <v>0</v>
      </c>
      <c r="Z182" s="44">
        <f>ESTADISTICA!Z180</f>
        <v>0</v>
      </c>
      <c r="AA182" s="44">
        <f>ESTADISTICA!AA180</f>
        <v>0</v>
      </c>
      <c r="AB182" s="44">
        <f>ESTADISTICA!AB180</f>
        <v>0</v>
      </c>
      <c r="AC182" s="44">
        <f>ESTADISTICA!AC180</f>
        <v>0</v>
      </c>
      <c r="AD182" s="44">
        <f>ESTADISTICA!AD180</f>
        <v>0</v>
      </c>
      <c r="AE182" s="44">
        <f>ESTADISTICA!AE180</f>
        <v>0</v>
      </c>
      <c r="AF182" s="44">
        <f>ESTADISTICA!AF180</f>
        <v>0</v>
      </c>
      <c r="AG182" s="44">
        <f>ESTADISTICA!AG180</f>
        <v>0</v>
      </c>
      <c r="AH182" s="44">
        <f>ESTADISTICA!AH180</f>
        <v>0</v>
      </c>
      <c r="AI182" s="44">
        <f>ESTADISTICA!AI180</f>
        <v>0</v>
      </c>
    </row>
    <row r="183" spans="1:35" x14ac:dyDescent="0.25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25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>
        <f>ESTADISTICA!H182</f>
        <v>0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>
        <f>ESTADISTICA!Y182</f>
        <v>0</v>
      </c>
      <c r="Z184" s="44">
        <f>ESTADISTICA!Z182</f>
        <v>0</v>
      </c>
      <c r="AA184" s="44">
        <f>ESTADISTICA!AA182</f>
        <v>0</v>
      </c>
      <c r="AB184" s="44">
        <f>ESTADISTICA!AB182</f>
        <v>0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25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 t="str">
        <f>ESTADISTICA!F183</f>
        <v>APAGADO</v>
      </c>
      <c r="G185" s="44" t="str">
        <f>ESTADISTICA!G183</f>
        <v>APAGADO</v>
      </c>
      <c r="H185" s="44">
        <f>ESTADISTICA!H183</f>
        <v>0</v>
      </c>
      <c r="I185" s="44">
        <f>ESTADISTICA!I183</f>
        <v>0</v>
      </c>
      <c r="J185" s="44">
        <f>ESTADISTICA!J183</f>
        <v>0</v>
      </c>
      <c r="K185" s="44">
        <f>ESTADISTICA!K183</f>
        <v>0</v>
      </c>
      <c r="L185" s="44">
        <f>ESTADISTICA!L183</f>
        <v>0</v>
      </c>
      <c r="M185" s="44">
        <f>ESTADISTICA!M183</f>
        <v>0</v>
      </c>
      <c r="N185" s="44">
        <f>ESTADISTICA!N183</f>
        <v>0</v>
      </c>
      <c r="O185" s="44">
        <f>ESTADISTICA!O183</f>
        <v>0</v>
      </c>
      <c r="P185" s="44">
        <f>ESTADISTICA!P183</f>
        <v>0</v>
      </c>
      <c r="Q185" s="44">
        <f>ESTADISTICA!Q183</f>
        <v>0</v>
      </c>
      <c r="R185" s="44">
        <f>ESTADISTICA!R183</f>
        <v>0</v>
      </c>
      <c r="S185" s="44">
        <f>ESTADISTICA!S183</f>
        <v>0</v>
      </c>
      <c r="T185" s="44">
        <f>ESTADISTICA!T183</f>
        <v>0</v>
      </c>
      <c r="U185" s="44">
        <f>ESTADISTICA!U183</f>
        <v>0</v>
      </c>
      <c r="V185" s="44">
        <f>ESTADISTICA!V183</f>
        <v>0</v>
      </c>
      <c r="W185" s="44">
        <f>ESTADISTICA!W183</f>
        <v>0</v>
      </c>
      <c r="X185" s="44">
        <f>ESTADISTICA!X183</f>
        <v>0</v>
      </c>
      <c r="Y185" s="44">
        <f>ESTADISTICA!Y183</f>
        <v>0</v>
      </c>
      <c r="Z185" s="44">
        <f>ESTADISTICA!Z183</f>
        <v>0</v>
      </c>
      <c r="AA185" s="44">
        <f>ESTADISTICA!AA183</f>
        <v>0</v>
      </c>
      <c r="AB185" s="44">
        <f>ESTADISTICA!AB183</f>
        <v>0</v>
      </c>
      <c r="AC185" s="44">
        <f>ESTADISTICA!AC183</f>
        <v>0</v>
      </c>
      <c r="AD185" s="44">
        <f>ESTADISTICA!AD183</f>
        <v>0</v>
      </c>
      <c r="AE185" s="44">
        <f>ESTADISTICA!AE183</f>
        <v>0</v>
      </c>
      <c r="AF185" s="44">
        <f>ESTADISTICA!AF183</f>
        <v>0</v>
      </c>
      <c r="AG185" s="44">
        <f>ESTADISTICA!AG183</f>
        <v>0</v>
      </c>
      <c r="AH185" s="44">
        <f>ESTADISTICA!AH183</f>
        <v>0</v>
      </c>
      <c r="AI185" s="44">
        <f>ESTADISTICA!AI183</f>
        <v>0</v>
      </c>
    </row>
    <row r="186" spans="1:35" x14ac:dyDescent="0.25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>
        <f>ESTADISTICA!X184</f>
        <v>0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>
        <f>ESTADISTICA!AB184</f>
        <v>0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25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 t="str">
        <f>ESTADISTICA!F185</f>
        <v>APAGADO</v>
      </c>
      <c r="G187" s="44" t="str">
        <f>ESTADISTICA!G185</f>
        <v>APAGADO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25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25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25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>
        <f>ESTADISTICA!AD188</f>
        <v>0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25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>
        <f>ESTADISTICA!H189</f>
        <v>0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25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25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>
        <f>ESTADISTICA!H191</f>
        <v>0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25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>
        <f>ESTADISTICA!H192</f>
        <v>0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25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25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25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>
        <f>ESTADISTICA!H195</f>
        <v>0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25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 t="str">
        <f>ESTADISTICA!F196</f>
        <v>APAGADO</v>
      </c>
      <c r="G198" s="44" t="str">
        <f>ESTADISTICA!G196</f>
        <v>APAGADO</v>
      </c>
      <c r="H198" s="44">
        <f>ESTADISTICA!H196</f>
        <v>0</v>
      </c>
      <c r="I198" s="44">
        <f>ESTADISTICA!I196</f>
        <v>0</v>
      </c>
      <c r="J198" s="44">
        <f>ESTADISTICA!J196</f>
        <v>0</v>
      </c>
      <c r="K198" s="44">
        <f>ESTADISTICA!K196</f>
        <v>0</v>
      </c>
      <c r="L198" s="44">
        <f>ESTADISTICA!L196</f>
        <v>0</v>
      </c>
      <c r="M198" s="44">
        <f>ESTADISTICA!M196</f>
        <v>0</v>
      </c>
      <c r="N198" s="44">
        <f>ESTADISTICA!N196</f>
        <v>0</v>
      </c>
      <c r="O198" s="44">
        <f>ESTADISTICA!O196</f>
        <v>0</v>
      </c>
      <c r="P198" s="44">
        <f>ESTADISTICA!P196</f>
        <v>0</v>
      </c>
      <c r="Q198" s="44">
        <f>ESTADISTICA!Q196</f>
        <v>0</v>
      </c>
      <c r="R198" s="44">
        <f>ESTADISTICA!R196</f>
        <v>0</v>
      </c>
      <c r="S198" s="44">
        <f>ESTADISTICA!S196</f>
        <v>0</v>
      </c>
      <c r="T198" s="44">
        <f>ESTADISTICA!T196</f>
        <v>0</v>
      </c>
      <c r="U198" s="44">
        <f>ESTADISTICA!U196</f>
        <v>0</v>
      </c>
      <c r="V198" s="44">
        <f>ESTADISTICA!V196</f>
        <v>0</v>
      </c>
      <c r="W198" s="44">
        <f>ESTADISTICA!W196</f>
        <v>0</v>
      </c>
      <c r="X198" s="44">
        <f>ESTADISTICA!X196</f>
        <v>0</v>
      </c>
      <c r="Y198" s="44">
        <f>ESTADISTICA!Y196</f>
        <v>0</v>
      </c>
      <c r="Z198" s="44">
        <f>ESTADISTICA!Z196</f>
        <v>0</v>
      </c>
      <c r="AA198" s="44">
        <f>ESTADISTICA!AA196</f>
        <v>0</v>
      </c>
      <c r="AB198" s="44">
        <f>ESTADISTICA!AB196</f>
        <v>0</v>
      </c>
      <c r="AC198" s="44">
        <f>ESTADISTICA!AC196</f>
        <v>0</v>
      </c>
      <c r="AD198" s="44">
        <f>ESTADISTICA!AD196</f>
        <v>0</v>
      </c>
      <c r="AE198" s="44">
        <f>ESTADISTICA!AE196</f>
        <v>0</v>
      </c>
      <c r="AF198" s="44">
        <f>ESTADISTICA!AF196</f>
        <v>0</v>
      </c>
      <c r="AG198" s="44">
        <f>ESTADISTICA!AG196</f>
        <v>0</v>
      </c>
      <c r="AH198" s="44">
        <f>ESTADISTICA!AH196</f>
        <v>0</v>
      </c>
      <c r="AI198" s="44">
        <f>ESTADISTICA!AI196</f>
        <v>0</v>
      </c>
    </row>
    <row r="199" spans="1:35" x14ac:dyDescent="0.25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>
        <f>ESTADISTICA!H197</f>
        <v>0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25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>
        <f>ESTADISTICA!H198</f>
        <v>0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25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>
        <f>ESTADISTICA!H199</f>
        <v>0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>
        <f>ESTADISTICA!AF199</f>
        <v>0</v>
      </c>
      <c r="AG201" s="44">
        <f>ESTADISTICA!AG199</f>
        <v>0</v>
      </c>
      <c r="AH201" s="44">
        <f>ESTADISTICA!AH199</f>
        <v>0</v>
      </c>
      <c r="AI201" s="44">
        <f>ESTADISTICA!AI199</f>
        <v>0</v>
      </c>
    </row>
    <row r="202" spans="1:35" hidden="1" x14ac:dyDescent="0.25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>
        <f>ESTADISTICA!H200</f>
        <v>0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25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>
        <f>ESTADISTICA!H201</f>
        <v>0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25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>
        <f>ESTADISTICA!H202</f>
        <v>0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25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>
        <f>ESTADISTICA!H203</f>
        <v>0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25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>
        <f>ESTADISTICA!H204</f>
        <v>0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25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>
        <f>ESTADISTICA!H205</f>
        <v>0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25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>
        <f>ESTADISTICA!H206</f>
        <v>0</v>
      </c>
      <c r="I208" s="44">
        <f>ESTADISTICA!I206</f>
        <v>0</v>
      </c>
      <c r="J208" s="44">
        <f>ESTADISTICA!J206</f>
        <v>0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25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>
        <f>ESTADISTICA!H207</f>
        <v>0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>
        <f>ESTADISTICA!N207</f>
        <v>0</v>
      </c>
      <c r="O209" s="44">
        <f>ESTADISTICA!O207</f>
        <v>0</v>
      </c>
      <c r="P209" s="44">
        <f>ESTADISTICA!P207</f>
        <v>0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>
        <f>ESTADISTICA!U207</f>
        <v>0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>
        <f>ESTADISTICA!AA207</f>
        <v>0</v>
      </c>
      <c r="AB209" s="44">
        <f>ESTADISTICA!AB207</f>
        <v>0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25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>
        <f>ESTADISTICA!H208</f>
        <v>0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25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>
        <f>ESTADISTICA!H209</f>
        <v>0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>
        <f>ESTADISTICA!R209</f>
        <v>0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>
        <f>ESTADISTICA!AG209</f>
        <v>0</v>
      </c>
      <c r="AH211" s="44">
        <f>ESTADISTICA!AH209</f>
        <v>0</v>
      </c>
      <c r="AI211" s="44">
        <f>ESTADISTICA!AI209</f>
        <v>0</v>
      </c>
    </row>
    <row r="212" spans="1:35" x14ac:dyDescent="0.25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25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>
        <f>ESTADISTICA!H211</f>
        <v>0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>
        <f>ESTADISTICA!U211</f>
        <v>0</v>
      </c>
      <c r="V213" s="44">
        <f>ESTADISTICA!V211</f>
        <v>0</v>
      </c>
      <c r="W213" s="44">
        <f>ESTADISTICA!W211</f>
        <v>0</v>
      </c>
      <c r="X213" s="44">
        <f>ESTADISTICA!X211</f>
        <v>0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25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>
        <f>ESTADISTICA!U212</f>
        <v>0</v>
      </c>
      <c r="V214" s="44">
        <f>ESTADISTICA!V212</f>
        <v>0</v>
      </c>
      <c r="W214" s="44">
        <f>ESTADISTICA!W212</f>
        <v>0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25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>
        <f>ESTADISTICA!U213</f>
        <v>0</v>
      </c>
      <c r="V215" s="44">
        <f>ESTADISTICA!V213</f>
        <v>0</v>
      </c>
      <c r="W215" s="44">
        <f>ESTADISTICA!W213</f>
        <v>0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25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>
        <f>ESTADISTICA!U214</f>
        <v>0</v>
      </c>
      <c r="V216" s="44">
        <f>ESTADISTICA!V214</f>
        <v>0</v>
      </c>
      <c r="W216" s="44">
        <f>ESTADISTICA!W214</f>
        <v>0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25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>
        <f>ESTADISTICA!U215</f>
        <v>0</v>
      </c>
      <c r="V217" s="44">
        <f>ESTADISTICA!V215</f>
        <v>0</v>
      </c>
      <c r="W217" s="44">
        <f>ESTADISTICA!W215</f>
        <v>0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25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>
        <f>ESTADISTICA!X216</f>
        <v>0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25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>
        <f>ESTADISTICA!H217</f>
        <v>0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>
        <f>ESTADISTICA!X217</f>
        <v>0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25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>
        <f>ESTADISTICA!X218</f>
        <v>0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25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>
        <f>ESTADISTICA!X219</f>
        <v>0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25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>
        <f>ESTADISTICA!X220</f>
        <v>0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25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>
        <f>ESTADISTICA!X221</f>
        <v>0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25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>
        <f>ESTADISTICA!X222</f>
        <v>0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25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>
        <f>ESTADISTICA!X223</f>
        <v>0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25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>
        <f>ESTADISTICA!X224</f>
        <v>0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>
        <f>ESTADISTICA!AB224</f>
        <v>0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25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>
        <f>ESTADISTICA!U225</f>
        <v>0</v>
      </c>
      <c r="V227" s="44">
        <f>ESTADISTICA!V225</f>
        <v>0</v>
      </c>
      <c r="W227" s="44">
        <f>ESTADISTICA!W225</f>
        <v>0</v>
      </c>
      <c r="X227" s="44">
        <f>ESTADISTICA!X225</f>
        <v>0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25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>
        <f>ESTADISTICA!U226</f>
        <v>0</v>
      </c>
      <c r="V228" s="44">
        <f>ESTADISTICA!V226</f>
        <v>0</v>
      </c>
      <c r="W228" s="44">
        <f>ESTADISTICA!W226</f>
        <v>0</v>
      </c>
      <c r="X228" s="44">
        <f>ESTADISTICA!X226</f>
        <v>0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25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 t="str">
        <f>ESTADISTICA!F227</f>
        <v>APAGADO</v>
      </c>
      <c r="G229" s="44" t="str">
        <f>ESTADISTICA!G227</f>
        <v>APAGADO</v>
      </c>
      <c r="H229" s="44">
        <f>ESTADISTICA!H227</f>
        <v>0</v>
      </c>
      <c r="I229" s="44">
        <f>ESTADISTICA!I227</f>
        <v>0</v>
      </c>
      <c r="J229" s="44">
        <f>ESTADISTICA!J227</f>
        <v>0</v>
      </c>
      <c r="K229" s="44">
        <f>ESTADISTICA!K227</f>
        <v>0</v>
      </c>
      <c r="L229" s="44">
        <f>ESTADISTICA!L227</f>
        <v>0</v>
      </c>
      <c r="M229" s="44">
        <f>ESTADISTICA!M227</f>
        <v>0</v>
      </c>
      <c r="N229" s="44">
        <f>ESTADISTICA!N227</f>
        <v>0</v>
      </c>
      <c r="O229" s="44">
        <f>ESTADISTICA!O227</f>
        <v>0</v>
      </c>
      <c r="P229" s="44">
        <f>ESTADISTICA!P227</f>
        <v>0</v>
      </c>
      <c r="Q229" s="44">
        <f>ESTADISTICA!Q227</f>
        <v>0</v>
      </c>
      <c r="R229" s="44">
        <f>ESTADISTICA!R227</f>
        <v>0</v>
      </c>
      <c r="S229" s="44">
        <f>ESTADISTICA!S227</f>
        <v>0</v>
      </c>
      <c r="T229" s="44">
        <f>ESTADISTICA!T227</f>
        <v>0</v>
      </c>
      <c r="U229" s="44">
        <f>ESTADISTICA!U227</f>
        <v>0</v>
      </c>
      <c r="V229" s="44">
        <f>ESTADISTICA!V227</f>
        <v>0</v>
      </c>
      <c r="W229" s="44">
        <f>ESTADISTICA!W227</f>
        <v>0</v>
      </c>
      <c r="X229" s="44">
        <f>ESTADISTICA!X227</f>
        <v>0</v>
      </c>
      <c r="Y229" s="44">
        <f>ESTADISTICA!Y227</f>
        <v>0</v>
      </c>
      <c r="Z229" s="44">
        <f>ESTADISTICA!Z227</f>
        <v>0</v>
      </c>
      <c r="AA229" s="44">
        <f>ESTADISTICA!AA227</f>
        <v>0</v>
      </c>
      <c r="AB229" s="44">
        <f>ESTADISTICA!AB227</f>
        <v>0</v>
      </c>
      <c r="AC229" s="44">
        <f>ESTADISTICA!AC227</f>
        <v>0</v>
      </c>
      <c r="AD229" s="44">
        <f>ESTADISTICA!AD227</f>
        <v>0</v>
      </c>
      <c r="AE229" s="44">
        <f>ESTADISTICA!AE227</f>
        <v>0</v>
      </c>
      <c r="AF229" s="44">
        <f>ESTADISTICA!AF227</f>
        <v>0</v>
      </c>
      <c r="AG229" s="44">
        <f>ESTADISTICA!AG227</f>
        <v>0</v>
      </c>
      <c r="AH229" s="44">
        <f>ESTADISTICA!AH227</f>
        <v>0</v>
      </c>
      <c r="AI229" s="44">
        <f>ESTADISTICA!AI227</f>
        <v>0</v>
      </c>
    </row>
    <row r="230" spans="1:35" hidden="1" x14ac:dyDescent="0.25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>
        <f>ESTADISTICA!X228</f>
        <v>0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25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>
        <f>ESTADISTICA!X229</f>
        <v>0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25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>
        <f>ESTADISTICA!H230</f>
        <v>0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>
        <f>ESTADISTICA!U230</f>
        <v>0</v>
      </c>
      <c r="V232" s="44">
        <f>ESTADISTICA!V230</f>
        <v>0</v>
      </c>
      <c r="W232" s="44">
        <f>ESTADISTICA!W230</f>
        <v>0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25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>
        <f>ESTADISTICA!G231</f>
        <v>0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>
        <f>ESTADISTICA!U231</f>
        <v>0</v>
      </c>
      <c r="V233" s="44">
        <f>ESTADISTICA!V231</f>
        <v>0</v>
      </c>
      <c r="W233" s="44">
        <f>ESTADISTICA!W231</f>
        <v>0</v>
      </c>
      <c r="X233" s="44">
        <f>ESTADISTICA!X231</f>
        <v>0</v>
      </c>
      <c r="Y233" s="44">
        <f>ESTADISTICA!Y231</f>
        <v>0</v>
      </c>
      <c r="Z233" s="44">
        <f>ESTADISTICA!Z231</f>
        <v>0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25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>
        <f>ESTADISTICA!U232</f>
        <v>0</v>
      </c>
      <c r="V234" s="44">
        <f>ESTADISTICA!V232</f>
        <v>0</v>
      </c>
      <c r="W234" s="44">
        <f>ESTADISTICA!W232</f>
        <v>0</v>
      </c>
      <c r="X234" s="44">
        <f>ESTADISTICA!X232</f>
        <v>0</v>
      </c>
      <c r="Y234" s="44">
        <f>ESTADISTICA!Y232</f>
        <v>0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25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>
        <f>ESTADISTICA!U233</f>
        <v>0</v>
      </c>
      <c r="V235" s="44">
        <f>ESTADISTICA!V233</f>
        <v>0</v>
      </c>
      <c r="W235" s="44">
        <f>ESTADISTICA!W233</f>
        <v>0</v>
      </c>
      <c r="X235" s="44">
        <f>ESTADISTICA!X233</f>
        <v>0</v>
      </c>
      <c r="Y235" s="44">
        <f>ESTADISTICA!Y233</f>
        <v>0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25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 t="str">
        <f>ESTADISTICA!F234</f>
        <v>APAGADO</v>
      </c>
      <c r="G236" s="44" t="str">
        <f>ESTADISTICA!G234</f>
        <v>APAGADO</v>
      </c>
      <c r="H236" s="44">
        <f>ESTADISTICA!H234</f>
        <v>0</v>
      </c>
      <c r="I236" s="44">
        <f>ESTADISTICA!I234</f>
        <v>0</v>
      </c>
      <c r="J236" s="44">
        <f>ESTADISTICA!J234</f>
        <v>0</v>
      </c>
      <c r="K236" s="44">
        <f>ESTADISTICA!K234</f>
        <v>0</v>
      </c>
      <c r="L236" s="44">
        <f>ESTADISTICA!L234</f>
        <v>0</v>
      </c>
      <c r="M236" s="44">
        <f>ESTADISTICA!M234</f>
        <v>0</v>
      </c>
      <c r="N236" s="44">
        <f>ESTADISTICA!N234</f>
        <v>0</v>
      </c>
      <c r="O236" s="44">
        <f>ESTADISTICA!O234</f>
        <v>0</v>
      </c>
      <c r="P236" s="44">
        <f>ESTADISTICA!P234</f>
        <v>0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>
        <f>ESTADISTICA!T234</f>
        <v>0</v>
      </c>
      <c r="U236" s="44">
        <f>ESTADISTICA!U234</f>
        <v>0</v>
      </c>
      <c r="V236" s="44">
        <f>ESTADISTICA!V234</f>
        <v>0</v>
      </c>
      <c r="W236" s="44">
        <f>ESTADISTICA!W234</f>
        <v>0</v>
      </c>
      <c r="X236" s="44">
        <f>ESTADISTICA!X234</f>
        <v>0</v>
      </c>
      <c r="Y236" s="44">
        <f>ESTADISTICA!Y234</f>
        <v>0</v>
      </c>
      <c r="Z236" s="44">
        <f>ESTADISTICA!Z234</f>
        <v>0</v>
      </c>
      <c r="AA236" s="44">
        <f>ESTADISTICA!AA234</f>
        <v>0</v>
      </c>
      <c r="AB236" s="44">
        <f>ESTADISTICA!AB234</f>
        <v>0</v>
      </c>
      <c r="AC236" s="44">
        <f>ESTADISTICA!AC234</f>
        <v>0</v>
      </c>
      <c r="AD236" s="44">
        <f>ESTADISTICA!AD234</f>
        <v>0</v>
      </c>
      <c r="AE236" s="44">
        <f>ESTADISTICA!AE234</f>
        <v>0</v>
      </c>
      <c r="AF236" s="44">
        <f>ESTADISTICA!AF234</f>
        <v>0</v>
      </c>
      <c r="AG236" s="44">
        <f>ESTADISTICA!AG234</f>
        <v>0</v>
      </c>
      <c r="AH236" s="44">
        <f>ESTADISTICA!AH234</f>
        <v>0</v>
      </c>
      <c r="AI236" s="44">
        <f>ESTADISTICA!AI234</f>
        <v>0</v>
      </c>
    </row>
    <row r="237" spans="1:35" x14ac:dyDescent="0.25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>
        <f>ESTADISTICA!X235</f>
        <v>0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25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>
        <f>ESTADISTICA!X236</f>
        <v>0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25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>
        <f>ESTADISTICA!R237</f>
        <v>0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>
        <f>ESTADISTICA!X237</f>
        <v>0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>
        <f>ESTADISTICA!AB237</f>
        <v>0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25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>
        <f>ESTADISTICA!X238</f>
        <v>0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>
        <f>ESTADISTICA!AB238</f>
        <v>0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25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>
        <f>ESTADISTICA!P239</f>
        <v>0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>
        <f>ESTADISTICA!U239</f>
        <v>0</v>
      </c>
      <c r="V241" s="44">
        <f>ESTADISTICA!V239</f>
        <v>0</v>
      </c>
      <c r="W241" s="44">
        <f>ESTADISTICA!W239</f>
        <v>0</v>
      </c>
      <c r="X241" s="44">
        <f>ESTADISTICA!X239</f>
        <v>0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25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>
        <f>ESTADISTICA!X240</f>
        <v>0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25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>
        <f>ESTADISTICA!U241</f>
        <v>0</v>
      </c>
      <c r="V243" s="44">
        <f>ESTADISTICA!V241</f>
        <v>0</v>
      </c>
      <c r="W243" s="44">
        <f>ESTADISTICA!W241</f>
        <v>0</v>
      </c>
      <c r="X243" s="44">
        <f>ESTADISTICA!X241</f>
        <v>0</v>
      </c>
      <c r="Y243" s="44">
        <f>ESTADISTICA!Y241</f>
        <v>0</v>
      </c>
      <c r="Z243" s="44">
        <f>ESTADISTICA!Z241</f>
        <v>0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25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>
        <f>ESTADISTICA!U242</f>
        <v>0</v>
      </c>
      <c r="V244" s="44">
        <f>ESTADISTICA!V242</f>
        <v>0</v>
      </c>
      <c r="W244" s="44">
        <f>ESTADISTICA!W242</f>
        <v>0</v>
      </c>
      <c r="X244" s="44">
        <f>ESTADISTICA!X242</f>
        <v>0</v>
      </c>
      <c r="Y244" s="44">
        <f>ESTADISTICA!Y242</f>
        <v>0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25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>
        <f>ESTADISTICA!X243</f>
        <v>0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25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25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25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25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25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25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>
        <f>ESTADISTICA!H249</f>
        <v>0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25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25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25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25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>
        <f>ESTADISTICA!H253</f>
        <v>0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25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 t="str">
        <f>ESTADISTICA!F254</f>
        <v>APAGADO</v>
      </c>
      <c r="G256" s="44" t="str">
        <f>ESTADISTICA!G254</f>
        <v>APAGADO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25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25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25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25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25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25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25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25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25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25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25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>
        <f>ESTADISTICA!H265</f>
        <v>0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25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>
        <f>ESTADISTICA!H266</f>
        <v>0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25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>
        <f>ESTADISTICA!H267</f>
        <v>0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25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25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25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>
        <f>ESTADISTICA!H270</f>
        <v>0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25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>
        <f>ESTADISTICA!H271</f>
        <v>0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25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>
        <f>ESTADISTICA!H272</f>
        <v>0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25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25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25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>
        <f>ESTADISTICA!H275</f>
        <v>0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25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>
        <f>ESTADISTICA!F276</f>
        <v>0</v>
      </c>
      <c r="G278" s="44">
        <f>ESTADISTICA!G276</f>
        <v>0</v>
      </c>
      <c r="H278" s="44">
        <f>ESTADISTICA!H276</f>
        <v>0</v>
      </c>
      <c r="I278" s="44">
        <f>ESTADISTICA!I276</f>
        <v>0</v>
      </c>
      <c r="J278" s="44">
        <f>ESTADISTICA!J276</f>
        <v>0</v>
      </c>
      <c r="K278" s="44">
        <f>ESTADISTICA!K276</f>
        <v>0</v>
      </c>
      <c r="L278" s="44">
        <f>ESTADISTICA!L276</f>
        <v>0</v>
      </c>
      <c r="M278" s="44">
        <f>ESTADISTICA!M276</f>
        <v>0</v>
      </c>
      <c r="N278" s="44">
        <f>ESTADISTICA!N276</f>
        <v>0</v>
      </c>
      <c r="O278" s="44">
        <f>ESTADISTICA!O276</f>
        <v>0</v>
      </c>
      <c r="P278" s="44">
        <f>ESTADISTICA!P276</f>
        <v>0</v>
      </c>
      <c r="Q278" s="44">
        <f>ESTADISTICA!Q276</f>
        <v>0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25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>
        <f>ESTADISTICA!L277</f>
        <v>0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25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25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25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>
        <f>ESTADISTICA!H280</f>
        <v>0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25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25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>
        <f>ESTADISTICA!AH282</f>
        <v>0</v>
      </c>
      <c r="AI284" s="44">
        <f>ESTADISTICA!AI282</f>
        <v>0</v>
      </c>
    </row>
    <row r="285" spans="1:35" x14ac:dyDescent="0.25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25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25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>
        <f>ESTADISTICA!R285</f>
        <v>0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25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>
        <f>ESTADISTICA!R286</f>
        <v>0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25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25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25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25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25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>
        <f>ESTADISTICA!R291</f>
        <v>0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25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25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>
        <f>ESTADISTICA!H293</f>
        <v>0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>
        <f>ESTADISTICA!R293</f>
        <v>0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25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>
        <f>ESTADISTICA!H294</f>
        <v>0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>
        <f>ESTADISTICA!N294</f>
        <v>0</v>
      </c>
      <c r="O296" s="44">
        <f>ESTADISTICA!O294</f>
        <v>0</v>
      </c>
      <c r="P296" s="44">
        <f>ESTADISTICA!P294</f>
        <v>0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25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>
        <f>ESTADISTICA!H295</f>
        <v>0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25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>
        <f>ESTADISTICA!H296</f>
        <v>0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25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>
        <f>ESTADISTICA!H297</f>
        <v>0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25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>
        <f>ESTADISTICA!F298</f>
        <v>0</v>
      </c>
      <c r="G300" s="44">
        <f>ESTADISTICA!G298</f>
        <v>0</v>
      </c>
      <c r="H300" s="44">
        <f>ESTADISTICA!H298</f>
        <v>0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>
        <f>ESTADISTICA!N298</f>
        <v>0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25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>
        <f>ESTADISTICA!H299</f>
        <v>0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>
        <f>ESTADISTICA!Y299</f>
        <v>0</v>
      </c>
      <c r="Z301" s="44">
        <f>ESTADISTICA!Z299</f>
        <v>0</v>
      </c>
      <c r="AA301" s="44">
        <f>ESTADISTICA!AA299</f>
        <v>0</v>
      </c>
      <c r="AB301" s="44">
        <f>ESTADISTICA!AB299</f>
        <v>0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>
        <f>ESTADISTICA!AH299</f>
        <v>0</v>
      </c>
      <c r="AI301" s="44">
        <f>ESTADISTICA!AI299</f>
        <v>0</v>
      </c>
    </row>
    <row r="302" spans="1:35" x14ac:dyDescent="0.25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>
        <f>ESTADISTICA!X300</f>
        <v>0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25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>
        <f>ESTADISTICA!X301</f>
        <v>0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25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>
        <f>ESTADISTICA!X302</f>
        <v>0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25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>
        <f>ESTADISTICA!X303</f>
        <v>0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25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>
        <f>ESTADISTICA!H304</f>
        <v>0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>
        <f>ESTADISTICA!R304</f>
        <v>0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25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>
        <f>ESTADISTICA!H305</f>
        <v>0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>
        <f>ESTADISTICA!R305</f>
        <v>0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25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25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25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>
        <f>ESTADISTICA!H308</f>
        <v>0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>
        <f>ESTADISTICA!R308</f>
        <v>0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25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>
        <f>ESTADISTICA!H309</f>
        <v>0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25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>
        <f>ESTADISTICA!H310</f>
        <v>0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25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25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>
        <f>ESTADISTICA!H312</f>
        <v>0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25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25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>
        <f>ESTADISTICA!F314</f>
        <v>0</v>
      </c>
      <c r="G316" s="44">
        <f>ESTADISTICA!G314</f>
        <v>0</v>
      </c>
      <c r="H316" s="44">
        <f>ESTADISTICA!H314</f>
        <v>0</v>
      </c>
      <c r="I316" s="44">
        <f>ESTADISTICA!I314</f>
        <v>0</v>
      </c>
      <c r="J316" s="44">
        <f>ESTADISTICA!J314</f>
        <v>0</v>
      </c>
      <c r="K316" s="44">
        <f>ESTADISTICA!K314</f>
        <v>0</v>
      </c>
      <c r="L316" s="44">
        <f>ESTADISTICA!L314</f>
        <v>0</v>
      </c>
      <c r="M316" s="44">
        <f>ESTADISTICA!M314</f>
        <v>0</v>
      </c>
      <c r="N316" s="44">
        <f>ESTADISTICA!N314</f>
        <v>0</v>
      </c>
      <c r="O316" s="44">
        <f>ESTADISTICA!O314</f>
        <v>0</v>
      </c>
      <c r="P316" s="44">
        <f>ESTADISTICA!P314</f>
        <v>0</v>
      </c>
      <c r="Q316" s="44">
        <f>ESTADISTICA!Q314</f>
        <v>0</v>
      </c>
      <c r="R316" s="44">
        <f>ESTADISTICA!R314</f>
        <v>0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25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>
        <f>ESTADISTICA!F315</f>
        <v>0</v>
      </c>
      <c r="G317" s="44">
        <f>ESTADISTICA!G315</f>
        <v>0</v>
      </c>
      <c r="H317" s="44">
        <f>ESTADISTICA!H315</f>
        <v>0</v>
      </c>
      <c r="I317" s="44">
        <f>ESTADISTICA!I315</f>
        <v>0</v>
      </c>
      <c r="J317" s="44">
        <f>ESTADISTICA!J315</f>
        <v>0</v>
      </c>
      <c r="K317" s="44">
        <f>ESTADISTICA!K315</f>
        <v>0</v>
      </c>
      <c r="L317" s="44">
        <f>ESTADISTICA!L315</f>
        <v>0</v>
      </c>
      <c r="M317" s="44">
        <f>ESTADISTICA!M315</f>
        <v>0</v>
      </c>
      <c r="N317" s="44">
        <f>ESTADISTICA!N315</f>
        <v>0</v>
      </c>
      <c r="O317" s="44">
        <f>ESTADISTICA!O315</f>
        <v>0</v>
      </c>
      <c r="P317" s="44">
        <f>ESTADISTICA!P315</f>
        <v>0</v>
      </c>
      <c r="Q317" s="44">
        <f>ESTADISTICA!Q315</f>
        <v>0</v>
      </c>
      <c r="R317" s="44">
        <f>ESTADISTICA!R315</f>
        <v>0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25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>
        <f>ESTADISTICA!F316</f>
        <v>0</v>
      </c>
      <c r="G318" s="44">
        <f>ESTADISTICA!G316</f>
        <v>0</v>
      </c>
      <c r="H318" s="44">
        <f>ESTADISTICA!H316</f>
        <v>0</v>
      </c>
      <c r="I318" s="44">
        <f>ESTADISTICA!I316</f>
        <v>0</v>
      </c>
      <c r="J318" s="44">
        <f>ESTADISTICA!J316</f>
        <v>0</v>
      </c>
      <c r="K318" s="44">
        <f>ESTADISTICA!K316</f>
        <v>0</v>
      </c>
      <c r="L318" s="44">
        <f>ESTADISTICA!L316</f>
        <v>0</v>
      </c>
      <c r="M318" s="44">
        <f>ESTADISTICA!M316</f>
        <v>0</v>
      </c>
      <c r="N318" s="44">
        <f>ESTADISTICA!N316</f>
        <v>0</v>
      </c>
      <c r="O318" s="44">
        <f>ESTADISTICA!O316</f>
        <v>0</v>
      </c>
      <c r="P318" s="44">
        <f>ESTADISTICA!P316</f>
        <v>0</v>
      </c>
      <c r="Q318" s="44">
        <f>ESTADISTICA!Q316</f>
        <v>0</v>
      </c>
      <c r="R318" s="44">
        <f>ESTADISTICA!R316</f>
        <v>0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25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>
        <f>ESTADISTICA!F317</f>
        <v>0</v>
      </c>
      <c r="G319" s="44">
        <f>ESTADISTICA!G317</f>
        <v>0</v>
      </c>
      <c r="H319" s="44">
        <f>ESTADISTICA!H317</f>
        <v>0</v>
      </c>
      <c r="I319" s="44">
        <f>ESTADISTICA!I317</f>
        <v>0</v>
      </c>
      <c r="J319" s="44">
        <f>ESTADISTICA!J317</f>
        <v>0</v>
      </c>
      <c r="K319" s="44">
        <f>ESTADISTICA!K317</f>
        <v>0</v>
      </c>
      <c r="L319" s="44">
        <f>ESTADISTICA!L317</f>
        <v>0</v>
      </c>
      <c r="M319" s="44">
        <f>ESTADISTICA!M317</f>
        <v>0</v>
      </c>
      <c r="N319" s="44">
        <f>ESTADISTICA!N317</f>
        <v>0</v>
      </c>
      <c r="O319" s="44">
        <f>ESTADISTICA!O317</f>
        <v>0</v>
      </c>
      <c r="P319" s="44">
        <f>ESTADISTICA!P317</f>
        <v>0</v>
      </c>
      <c r="Q319" s="44">
        <f>ESTADISTICA!Q317</f>
        <v>0</v>
      </c>
      <c r="R319" s="44">
        <f>ESTADISTICA!R317</f>
        <v>0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25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>
        <f>ESTADISTICA!I318</f>
        <v>0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25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>
        <f>ESTADISTICA!H319</f>
        <v>0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25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25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25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>
        <f>ESTADISTICA!AA322</f>
        <v>0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25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>
        <f>ESTADISTICA!U323</f>
        <v>0</v>
      </c>
      <c r="V325" s="44">
        <f>ESTADISTICA!V323</f>
        <v>0</v>
      </c>
      <c r="W325" s="44">
        <f>ESTADISTICA!W323</f>
        <v>0</v>
      </c>
      <c r="X325" s="44">
        <f>ESTADISTICA!X323</f>
        <v>0</v>
      </c>
      <c r="Y325" s="44">
        <f>ESTADISTICA!Y323</f>
        <v>0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25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>
        <f>ESTADISTICA!U324</f>
        <v>0</v>
      </c>
      <c r="V326" s="44">
        <f>ESTADISTICA!V324</f>
        <v>0</v>
      </c>
      <c r="W326" s="44">
        <f>ESTADISTICA!W324</f>
        <v>0</v>
      </c>
      <c r="X326" s="44">
        <f>ESTADISTICA!X324</f>
        <v>0</v>
      </c>
      <c r="Y326" s="44">
        <f>ESTADISTICA!Y324</f>
        <v>0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25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>
        <f>ESTADISTICA!H325</f>
        <v>0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25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25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25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>
        <f>ESTADISTICA!H328</f>
        <v>0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25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>
        <f>ESTADISTICA!H329</f>
        <v>0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25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25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>
        <f>ESTADISTICA!H331</f>
        <v>0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25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25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>
        <f>ESTADISTICA!Y333</f>
        <v>0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25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25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25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25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25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25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>
        <f>ESTADISTICA!H339</f>
        <v>0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25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25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>
        <f>ESTADISTICA!L341</f>
        <v>0</v>
      </c>
      <c r="M343" s="44">
        <f>ESTADISTICA!M341</f>
        <v>0</v>
      </c>
      <c r="N343" s="44">
        <f>ESTADISTICA!N341</f>
        <v>0</v>
      </c>
      <c r="O343" s="44">
        <f>ESTADISTICA!O341</f>
        <v>0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25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>
        <f>ESTADISTICA!F342</f>
        <v>0</v>
      </c>
      <c r="G344" s="44">
        <f>ESTADISTICA!G342</f>
        <v>0</v>
      </c>
      <c r="H344" s="44">
        <f>ESTADISTICA!H342</f>
        <v>0</v>
      </c>
      <c r="I344" s="44">
        <f>ESTADISTICA!I342</f>
        <v>0</v>
      </c>
      <c r="J344" s="44">
        <f>ESTADISTICA!J342</f>
        <v>0</v>
      </c>
      <c r="K344" s="44">
        <f>ESTADISTICA!K342</f>
        <v>0</v>
      </c>
      <c r="L344" s="44">
        <f>ESTADISTICA!L342</f>
        <v>0</v>
      </c>
      <c r="M344" s="44">
        <f>ESTADISTICA!M342</f>
        <v>0</v>
      </c>
      <c r="N344" s="44">
        <f>ESTADISTICA!N342</f>
        <v>0</v>
      </c>
      <c r="O344" s="44">
        <f>ESTADISTICA!O342</f>
        <v>0</v>
      </c>
      <c r="P344" s="44">
        <f>ESTADISTICA!P342</f>
        <v>0</v>
      </c>
      <c r="Q344" s="44">
        <f>ESTADISTICA!Q342</f>
        <v>0</v>
      </c>
      <c r="R344" s="44">
        <f>ESTADISTICA!R342</f>
        <v>0</v>
      </c>
      <c r="S344" s="44">
        <f>ESTADISTICA!S342</f>
        <v>0</v>
      </c>
      <c r="T344" s="44">
        <f>ESTADISTICA!T342</f>
        <v>0</v>
      </c>
      <c r="U344" s="44">
        <f>ESTADISTICA!U342</f>
        <v>0</v>
      </c>
      <c r="V344" s="44">
        <f>ESTADISTICA!V342</f>
        <v>0</v>
      </c>
      <c r="W344" s="44">
        <f>ESTADISTICA!W342</f>
        <v>0</v>
      </c>
      <c r="X344" s="44">
        <f>ESTADISTICA!X342</f>
        <v>0</v>
      </c>
      <c r="Y344" s="44">
        <f>ESTADISTICA!Y342</f>
        <v>0</v>
      </c>
      <c r="Z344" s="44">
        <f>ESTADISTICA!Z342</f>
        <v>0</v>
      </c>
      <c r="AA344" s="44">
        <f>ESTADISTICA!AA342</f>
        <v>0</v>
      </c>
      <c r="AB344" s="44">
        <f>ESTADISTICA!AB342</f>
        <v>0</v>
      </c>
      <c r="AC344" s="44">
        <f>ESTADISTICA!AC342</f>
        <v>0</v>
      </c>
      <c r="AD344" s="44">
        <f>ESTADISTICA!AD342</f>
        <v>0</v>
      </c>
      <c r="AE344" s="44">
        <f>ESTADISTICA!AE342</f>
        <v>0</v>
      </c>
      <c r="AF344" s="44">
        <f>ESTADISTICA!AF342</f>
        <v>0</v>
      </c>
      <c r="AG344" s="44">
        <f>ESTADISTICA!AG342</f>
        <v>0</v>
      </c>
      <c r="AH344" s="44">
        <f>ESTADISTICA!AH342</f>
        <v>0</v>
      </c>
      <c r="AI344" s="44">
        <f>ESTADISTICA!AI342</f>
        <v>0</v>
      </c>
    </row>
    <row r="345" spans="1:35" x14ac:dyDescent="0.25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>
        <f>ESTADISTICA!F343</f>
        <v>0</v>
      </c>
      <c r="G345" s="44">
        <f>ESTADISTICA!G343</f>
        <v>0</v>
      </c>
      <c r="H345" s="44">
        <f>ESTADISTICA!H343</f>
        <v>0</v>
      </c>
      <c r="I345" s="44">
        <f>ESTADISTICA!I343</f>
        <v>0</v>
      </c>
      <c r="J345" s="44">
        <f>ESTADISTICA!J343</f>
        <v>0</v>
      </c>
      <c r="K345" s="44">
        <f>ESTADISTICA!K343</f>
        <v>0</v>
      </c>
      <c r="L345" s="44">
        <f>ESTADISTICA!L343</f>
        <v>0</v>
      </c>
      <c r="M345" s="44">
        <f>ESTADISTICA!M343</f>
        <v>0</v>
      </c>
      <c r="N345" s="44">
        <f>ESTADISTICA!N343</f>
        <v>0</v>
      </c>
      <c r="O345" s="44">
        <f>ESTADISTICA!O343</f>
        <v>0</v>
      </c>
      <c r="P345" s="44">
        <f>ESTADISTICA!P343</f>
        <v>0</v>
      </c>
      <c r="Q345" s="44">
        <f>ESTADISTICA!Q343</f>
        <v>0</v>
      </c>
      <c r="R345" s="44">
        <f>ESTADISTICA!R343</f>
        <v>0</v>
      </c>
      <c r="S345" s="44">
        <f>ESTADISTICA!S343</f>
        <v>0</v>
      </c>
      <c r="T345" s="44">
        <f>ESTADISTICA!T343</f>
        <v>0</v>
      </c>
      <c r="U345" s="44">
        <f>ESTADISTICA!U343</f>
        <v>0</v>
      </c>
      <c r="V345" s="44">
        <f>ESTADISTICA!V343</f>
        <v>0</v>
      </c>
      <c r="W345" s="44">
        <f>ESTADISTICA!W343</f>
        <v>0</v>
      </c>
      <c r="X345" s="44">
        <f>ESTADISTICA!X343</f>
        <v>0</v>
      </c>
      <c r="Y345" s="44">
        <f>ESTADISTICA!Y343</f>
        <v>0</v>
      </c>
      <c r="Z345" s="44">
        <f>ESTADISTICA!Z343</f>
        <v>0</v>
      </c>
      <c r="AA345" s="44">
        <f>ESTADISTICA!AA343</f>
        <v>0</v>
      </c>
      <c r="AB345" s="44">
        <f>ESTADISTICA!AB343</f>
        <v>0</v>
      </c>
      <c r="AC345" s="44">
        <f>ESTADISTICA!AC343</f>
        <v>0</v>
      </c>
      <c r="AD345" s="44">
        <f>ESTADISTICA!AD343</f>
        <v>0</v>
      </c>
      <c r="AE345" s="44">
        <f>ESTADISTICA!AE343</f>
        <v>0</v>
      </c>
      <c r="AF345" s="44">
        <f>ESTADISTICA!AF343</f>
        <v>0</v>
      </c>
      <c r="AG345" s="44">
        <f>ESTADISTICA!AG343</f>
        <v>0</v>
      </c>
      <c r="AH345" s="44">
        <f>ESTADISTICA!AH343</f>
        <v>0</v>
      </c>
      <c r="AI345" s="44">
        <f>ESTADISTICA!AI343</f>
        <v>0</v>
      </c>
    </row>
    <row r="346" spans="1:35" x14ac:dyDescent="0.25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>
        <f>ESTADISTICA!F344</f>
        <v>0</v>
      </c>
      <c r="G346" s="44">
        <f>ESTADISTICA!G344</f>
        <v>0</v>
      </c>
      <c r="H346" s="44">
        <f>ESTADISTICA!H344</f>
        <v>0</v>
      </c>
      <c r="I346" s="44">
        <f>ESTADISTICA!I344</f>
        <v>0</v>
      </c>
      <c r="J346" s="44">
        <f>ESTADISTICA!J344</f>
        <v>0</v>
      </c>
      <c r="K346" s="44">
        <f>ESTADISTICA!K344</f>
        <v>0</v>
      </c>
      <c r="L346" s="44">
        <f>ESTADISTICA!L344</f>
        <v>0</v>
      </c>
      <c r="M346" s="44">
        <f>ESTADISTICA!M344</f>
        <v>0</v>
      </c>
      <c r="N346" s="44">
        <f>ESTADISTICA!N344</f>
        <v>0</v>
      </c>
      <c r="O346" s="44">
        <f>ESTADISTICA!O344</f>
        <v>0</v>
      </c>
      <c r="P346" s="44">
        <f>ESTADISTICA!P344</f>
        <v>0</v>
      </c>
      <c r="Q346" s="44">
        <f>ESTADISTICA!Q344</f>
        <v>0</v>
      </c>
      <c r="R346" s="44">
        <f>ESTADISTICA!R344</f>
        <v>0</v>
      </c>
      <c r="S346" s="44">
        <f>ESTADISTICA!S344</f>
        <v>0</v>
      </c>
      <c r="T346" s="44">
        <f>ESTADISTICA!T344</f>
        <v>0</v>
      </c>
      <c r="U346" s="44">
        <f>ESTADISTICA!U344</f>
        <v>0</v>
      </c>
      <c r="V346" s="44">
        <f>ESTADISTICA!V344</f>
        <v>0</v>
      </c>
      <c r="W346" s="44">
        <f>ESTADISTICA!W344</f>
        <v>0</v>
      </c>
      <c r="X346" s="44">
        <f>ESTADISTICA!X344</f>
        <v>0</v>
      </c>
      <c r="Y346" s="44">
        <f>ESTADISTICA!Y344</f>
        <v>0</v>
      </c>
      <c r="Z346" s="44">
        <f>ESTADISTICA!Z344</f>
        <v>0</v>
      </c>
      <c r="AA346" s="44">
        <f>ESTADISTICA!AA344</f>
        <v>0</v>
      </c>
      <c r="AB346" s="44">
        <f>ESTADISTICA!AB344</f>
        <v>0</v>
      </c>
      <c r="AC346" s="44">
        <f>ESTADISTICA!AC344</f>
        <v>0</v>
      </c>
      <c r="AD346" s="44">
        <f>ESTADISTICA!AD344</f>
        <v>0</v>
      </c>
      <c r="AE346" s="44">
        <f>ESTADISTICA!AE344</f>
        <v>0</v>
      </c>
      <c r="AF346" s="44">
        <f>ESTADISTICA!AF344</f>
        <v>0</v>
      </c>
      <c r="AG346" s="44">
        <f>ESTADISTICA!AG344</f>
        <v>0</v>
      </c>
      <c r="AH346" s="44">
        <f>ESTADISTICA!AH344</f>
        <v>0</v>
      </c>
      <c r="AI346" s="44">
        <f>ESTADISTICA!AI344</f>
        <v>0</v>
      </c>
    </row>
    <row r="347" spans="1:35" x14ac:dyDescent="0.25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>
        <f>ESTADISTICA!F345</f>
        <v>0</v>
      </c>
      <c r="G347" s="44">
        <f>ESTADISTICA!G345</f>
        <v>0</v>
      </c>
      <c r="H347" s="44">
        <f>ESTADISTICA!H345</f>
        <v>0</v>
      </c>
      <c r="I347" s="44">
        <f>ESTADISTICA!I345</f>
        <v>0</v>
      </c>
      <c r="J347" s="44">
        <f>ESTADISTICA!J345</f>
        <v>0</v>
      </c>
      <c r="K347" s="44">
        <f>ESTADISTICA!K345</f>
        <v>0</v>
      </c>
      <c r="L347" s="44">
        <f>ESTADISTICA!L345</f>
        <v>0</v>
      </c>
      <c r="M347" s="44">
        <f>ESTADISTICA!M345</f>
        <v>0</v>
      </c>
      <c r="N347" s="44">
        <f>ESTADISTICA!N345</f>
        <v>0</v>
      </c>
      <c r="O347" s="44">
        <f>ESTADISTICA!O345</f>
        <v>0</v>
      </c>
      <c r="P347" s="44">
        <f>ESTADISTICA!P345</f>
        <v>0</v>
      </c>
      <c r="Q347" s="44">
        <f>ESTADISTICA!Q345</f>
        <v>0</v>
      </c>
      <c r="R347" s="44">
        <f>ESTADISTICA!R345</f>
        <v>0</v>
      </c>
      <c r="S347" s="44">
        <f>ESTADISTICA!S345</f>
        <v>0</v>
      </c>
      <c r="T347" s="44">
        <f>ESTADISTICA!T345</f>
        <v>0</v>
      </c>
      <c r="U347" s="44">
        <f>ESTADISTICA!U345</f>
        <v>0</v>
      </c>
      <c r="V347" s="44">
        <f>ESTADISTICA!V345</f>
        <v>0</v>
      </c>
      <c r="W347" s="44">
        <f>ESTADISTICA!W345</f>
        <v>0</v>
      </c>
      <c r="X347" s="44">
        <f>ESTADISTICA!X345</f>
        <v>0</v>
      </c>
      <c r="Y347" s="44">
        <f>ESTADISTICA!Y345</f>
        <v>0</v>
      </c>
      <c r="Z347" s="44">
        <f>ESTADISTICA!Z345</f>
        <v>0</v>
      </c>
      <c r="AA347" s="44">
        <f>ESTADISTICA!AA345</f>
        <v>0</v>
      </c>
      <c r="AB347" s="44">
        <f>ESTADISTICA!AB345</f>
        <v>0</v>
      </c>
      <c r="AC347" s="44">
        <f>ESTADISTICA!AC345</f>
        <v>0</v>
      </c>
      <c r="AD347" s="44">
        <f>ESTADISTICA!AD345</f>
        <v>0</v>
      </c>
      <c r="AE347" s="44">
        <f>ESTADISTICA!AE345</f>
        <v>0</v>
      </c>
      <c r="AF347" s="44">
        <f>ESTADISTICA!AF345</f>
        <v>0</v>
      </c>
      <c r="AG347" s="44">
        <f>ESTADISTICA!AG345</f>
        <v>0</v>
      </c>
      <c r="AH347" s="44">
        <f>ESTADISTICA!AH345</f>
        <v>0</v>
      </c>
      <c r="AI347" s="44">
        <f>ESTADISTICA!AI345</f>
        <v>0</v>
      </c>
    </row>
    <row r="348" spans="1:35" x14ac:dyDescent="0.25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>
        <f>ESTADISTICA!F346</f>
        <v>0</v>
      </c>
      <c r="G348" s="44">
        <f>ESTADISTICA!G346</f>
        <v>0</v>
      </c>
      <c r="H348" s="44">
        <f>ESTADISTICA!H346</f>
        <v>0</v>
      </c>
      <c r="I348" s="44">
        <f>ESTADISTICA!I346</f>
        <v>0</v>
      </c>
      <c r="J348" s="44">
        <f>ESTADISTICA!J346</f>
        <v>0</v>
      </c>
      <c r="K348" s="44">
        <f>ESTADISTICA!K346</f>
        <v>0</v>
      </c>
      <c r="L348" s="44">
        <f>ESTADISTICA!L346</f>
        <v>0</v>
      </c>
      <c r="M348" s="44">
        <f>ESTADISTICA!M346</f>
        <v>0</v>
      </c>
      <c r="N348" s="44">
        <f>ESTADISTICA!N346</f>
        <v>0</v>
      </c>
      <c r="O348" s="44">
        <f>ESTADISTICA!O346</f>
        <v>0</v>
      </c>
      <c r="P348" s="44">
        <f>ESTADISTICA!P346</f>
        <v>0</v>
      </c>
      <c r="Q348" s="44">
        <f>ESTADISTICA!Q346</f>
        <v>0</v>
      </c>
      <c r="R348" s="44">
        <f>ESTADISTICA!R346</f>
        <v>0</v>
      </c>
      <c r="S348" s="44">
        <f>ESTADISTICA!S346</f>
        <v>0</v>
      </c>
      <c r="T348" s="44">
        <f>ESTADISTICA!T346</f>
        <v>0</v>
      </c>
      <c r="U348" s="44">
        <f>ESTADISTICA!U346</f>
        <v>0</v>
      </c>
      <c r="V348" s="44">
        <f>ESTADISTICA!V346</f>
        <v>0</v>
      </c>
      <c r="W348" s="44">
        <f>ESTADISTICA!W346</f>
        <v>0</v>
      </c>
      <c r="X348" s="44">
        <f>ESTADISTICA!X346</f>
        <v>0</v>
      </c>
      <c r="Y348" s="44">
        <f>ESTADISTICA!Y346</f>
        <v>0</v>
      </c>
      <c r="Z348" s="44">
        <f>ESTADISTICA!Z346</f>
        <v>0</v>
      </c>
      <c r="AA348" s="44">
        <f>ESTADISTICA!AA346</f>
        <v>0</v>
      </c>
      <c r="AB348" s="44">
        <f>ESTADISTICA!AB346</f>
        <v>0</v>
      </c>
      <c r="AC348" s="44">
        <f>ESTADISTICA!AC346</f>
        <v>0</v>
      </c>
      <c r="AD348" s="44">
        <f>ESTADISTICA!AD346</f>
        <v>0</v>
      </c>
      <c r="AE348" s="44">
        <f>ESTADISTICA!AE346</f>
        <v>0</v>
      </c>
      <c r="AF348" s="44">
        <f>ESTADISTICA!AF346</f>
        <v>0</v>
      </c>
      <c r="AG348" s="44">
        <f>ESTADISTICA!AG346</f>
        <v>0</v>
      </c>
      <c r="AH348" s="44">
        <f>ESTADISTICA!AH346</f>
        <v>0</v>
      </c>
      <c r="AI348" s="44">
        <f>ESTADISTICA!AI346</f>
        <v>0</v>
      </c>
    </row>
    <row r="349" spans="1:35" x14ac:dyDescent="0.25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>
        <f>ESTADISTICA!F347</f>
        <v>0</v>
      </c>
      <c r="G349" s="44">
        <f>ESTADISTICA!G347</f>
        <v>0</v>
      </c>
      <c r="H349" s="44">
        <f>ESTADISTICA!H347</f>
        <v>0</v>
      </c>
      <c r="I349" s="44">
        <f>ESTADISTICA!I347</f>
        <v>0</v>
      </c>
      <c r="J349" s="44">
        <f>ESTADISTICA!J347</f>
        <v>0</v>
      </c>
      <c r="K349" s="44">
        <f>ESTADISTICA!K347</f>
        <v>0</v>
      </c>
      <c r="L349" s="44">
        <f>ESTADISTICA!L347</f>
        <v>0</v>
      </c>
      <c r="M349" s="44">
        <f>ESTADISTICA!M347</f>
        <v>0</v>
      </c>
      <c r="N349" s="44">
        <f>ESTADISTICA!N347</f>
        <v>0</v>
      </c>
      <c r="O349" s="44">
        <f>ESTADISTICA!O347</f>
        <v>0</v>
      </c>
      <c r="P349" s="44">
        <f>ESTADISTICA!P347</f>
        <v>0</v>
      </c>
      <c r="Q349" s="44">
        <f>ESTADISTICA!Q347</f>
        <v>0</v>
      </c>
      <c r="R349" s="44">
        <f>ESTADISTICA!R347</f>
        <v>0</v>
      </c>
      <c r="S349" s="44">
        <f>ESTADISTICA!S347</f>
        <v>0</v>
      </c>
      <c r="T349" s="44">
        <f>ESTADISTICA!T347</f>
        <v>0</v>
      </c>
      <c r="U349" s="44">
        <f>ESTADISTICA!U347</f>
        <v>0</v>
      </c>
      <c r="V349" s="44">
        <f>ESTADISTICA!V347</f>
        <v>0</v>
      </c>
      <c r="W349" s="44">
        <f>ESTADISTICA!W347</f>
        <v>0</v>
      </c>
      <c r="X349" s="44">
        <f>ESTADISTICA!X347</f>
        <v>0</v>
      </c>
      <c r="Y349" s="44">
        <f>ESTADISTICA!Y347</f>
        <v>0</v>
      </c>
      <c r="Z349" s="44">
        <f>ESTADISTICA!Z347</f>
        <v>0</v>
      </c>
      <c r="AA349" s="44">
        <f>ESTADISTICA!AA347</f>
        <v>0</v>
      </c>
      <c r="AB349" s="44">
        <f>ESTADISTICA!AB347</f>
        <v>0</v>
      </c>
      <c r="AC349" s="44">
        <f>ESTADISTICA!AC347</f>
        <v>0</v>
      </c>
      <c r="AD349" s="44">
        <f>ESTADISTICA!AD347</f>
        <v>0</v>
      </c>
      <c r="AE349" s="44">
        <f>ESTADISTICA!AE347</f>
        <v>0</v>
      </c>
      <c r="AF349" s="44">
        <f>ESTADISTICA!AF347</f>
        <v>0</v>
      </c>
      <c r="AG349" s="44">
        <f>ESTADISTICA!AG347</f>
        <v>0</v>
      </c>
      <c r="AH349" s="44">
        <f>ESTADISTICA!AH347</f>
        <v>0</v>
      </c>
      <c r="AI349" s="44">
        <f>ESTADISTICA!AI347</f>
        <v>0</v>
      </c>
    </row>
    <row r="350" spans="1:35" hidden="1" x14ac:dyDescent="0.25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>
        <f>ESTADISTICA!F348</f>
        <v>0</v>
      </c>
      <c r="G350" s="44">
        <f>ESTADISTICA!G348</f>
        <v>0</v>
      </c>
      <c r="H350" s="44">
        <f>ESTADISTICA!H348</f>
        <v>0</v>
      </c>
      <c r="I350" s="44">
        <f>ESTADISTICA!I348</f>
        <v>0</v>
      </c>
      <c r="J350" s="44">
        <f>ESTADISTICA!J348</f>
        <v>0</v>
      </c>
      <c r="K350" s="44">
        <f>ESTADISTICA!K348</f>
        <v>0</v>
      </c>
      <c r="L350" s="44">
        <f>ESTADISTICA!L348</f>
        <v>0</v>
      </c>
      <c r="M350" s="44">
        <f>ESTADISTICA!M348</f>
        <v>0</v>
      </c>
      <c r="N350" s="44">
        <f>ESTADISTICA!N348</f>
        <v>0</v>
      </c>
      <c r="O350" s="44">
        <f>ESTADISTICA!O348</f>
        <v>0</v>
      </c>
      <c r="P350" s="44">
        <f>ESTADISTICA!P348</f>
        <v>0</v>
      </c>
      <c r="Q350" s="44">
        <f>ESTADISTICA!Q348</f>
        <v>0</v>
      </c>
      <c r="R350" s="44">
        <f>ESTADISTICA!R348</f>
        <v>0</v>
      </c>
      <c r="S350" s="44">
        <f>ESTADISTICA!S348</f>
        <v>0</v>
      </c>
      <c r="T350" s="44">
        <f>ESTADISTICA!T348</f>
        <v>0</v>
      </c>
      <c r="U350" s="44">
        <f>ESTADISTICA!U348</f>
        <v>0</v>
      </c>
      <c r="V350" s="44">
        <f>ESTADISTICA!V348</f>
        <v>0</v>
      </c>
      <c r="W350" s="44">
        <f>ESTADISTICA!W348</f>
        <v>0</v>
      </c>
      <c r="X350" s="44">
        <f>ESTADISTICA!X348</f>
        <v>0</v>
      </c>
      <c r="Y350" s="44">
        <f>ESTADISTICA!Y348</f>
        <v>0</v>
      </c>
      <c r="Z350" s="44">
        <f>ESTADISTICA!Z348</f>
        <v>0</v>
      </c>
      <c r="AA350" s="44">
        <f>ESTADISTICA!AA348</f>
        <v>0</v>
      </c>
      <c r="AB350" s="44">
        <f>ESTADISTICA!AB348</f>
        <v>0</v>
      </c>
      <c r="AC350" s="44">
        <f>ESTADISTICA!AC348</f>
        <v>0</v>
      </c>
      <c r="AD350" s="44">
        <f>ESTADISTICA!AD348</f>
        <v>0</v>
      </c>
      <c r="AE350" s="44">
        <f>ESTADISTICA!AE348</f>
        <v>0</v>
      </c>
      <c r="AF350" s="44">
        <f>ESTADISTICA!AF348</f>
        <v>0</v>
      </c>
      <c r="AG350" s="44">
        <f>ESTADISTICA!AG348</f>
        <v>0</v>
      </c>
      <c r="AH350" s="44">
        <f>ESTADISTICA!AH348</f>
        <v>0</v>
      </c>
      <c r="AI350" s="44">
        <f>ESTADISTICA!AI348</f>
        <v>0</v>
      </c>
    </row>
    <row r="351" spans="1:35" x14ac:dyDescent="0.25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25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25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>
        <f>ESTADISTICA!H351</f>
        <v>0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25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>
        <f>ESTADISTICA!H352</f>
        <v>0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25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25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25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25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25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 t="str">
        <f>ESTADISTICA!F357</f>
        <v>APAGADO</v>
      </c>
      <c r="G359" s="44" t="str">
        <f>ESTADISTICA!G357</f>
        <v>APAGADO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>
        <f>ESTADISTICA!U357</f>
        <v>0</v>
      </c>
      <c r="V359" s="44">
        <f>ESTADISTICA!V357</f>
        <v>0</v>
      </c>
      <c r="W359" s="44">
        <f>ESTADISTICA!W357</f>
        <v>0</v>
      </c>
      <c r="X359" s="44">
        <f>ESTADISTICA!X357</f>
        <v>0</v>
      </c>
      <c r="Y359" s="44">
        <f>ESTADISTICA!Y357</f>
        <v>0</v>
      </c>
      <c r="Z359" s="44">
        <f>ESTADISTICA!Z357</f>
        <v>0</v>
      </c>
      <c r="AA359" s="44">
        <f>ESTADISTICA!AA357</f>
        <v>0</v>
      </c>
      <c r="AB359" s="44">
        <f>ESTADISTICA!AB357</f>
        <v>0</v>
      </c>
      <c r="AC359" s="44">
        <f>ESTADISTICA!AC357</f>
        <v>0</v>
      </c>
      <c r="AD359" s="44">
        <f>ESTADISTICA!AD357</f>
        <v>0</v>
      </c>
      <c r="AE359" s="44">
        <f>ESTADISTICA!AE357</f>
        <v>0</v>
      </c>
      <c r="AF359" s="44">
        <f>ESTADISTICA!AF357</f>
        <v>0</v>
      </c>
      <c r="AG359" s="44">
        <f>ESTADISTICA!AG357</f>
        <v>0</v>
      </c>
      <c r="AH359" s="44">
        <f>ESTADISTICA!AH357</f>
        <v>0</v>
      </c>
      <c r="AI359" s="44">
        <f>ESTADISTICA!AI357</f>
        <v>0</v>
      </c>
    </row>
    <row r="360" spans="1:35" x14ac:dyDescent="0.25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>
        <f>ESTADISTICA!X358</f>
        <v>0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25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>
        <f>ESTADISTICA!X359</f>
        <v>0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25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>
        <f>ESTADISTICA!X360</f>
        <v>0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25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>
        <f>ESTADISTICA!X361</f>
        <v>0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25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>
        <f>ESTADISTICA!W362</f>
        <v>0</v>
      </c>
      <c r="X364" s="44">
        <f>ESTADISTICA!X362</f>
        <v>0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25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>
        <f>ESTADISTICA!X363</f>
        <v>0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25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>
        <f>ESTADISTICA!X364</f>
        <v>0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25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25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>
        <f>ESTADISTICA!H366</f>
        <v>0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>
        <f>ESTADISTICA!L366</f>
        <v>0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25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 t="str">
        <f>ESTADISTICA!F371</f>
        <v>APAGADO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 t="str">
        <f>ESTADISTICA!F376</f>
        <v>APAGADO</v>
      </c>
      <c r="G378" s="44" t="str">
        <f>ESTADISTICA!G376</f>
        <v>APAGADO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 t="str">
        <f>ESTADISTICA!F387</f>
        <v>APAGADO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 t="str">
        <f>ESTADISTICA!F388</f>
        <v>APAGADO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 t="str">
        <f>ESTADISTICA!F404</f>
        <v>APAGADO</v>
      </c>
      <c r="G406" s="44" t="str">
        <f>ESTADISTICA!G404</f>
        <v>APAGADO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 t="str">
        <f>ESTADISTICA!F405</f>
        <v>APAGADO</v>
      </c>
      <c r="G407" s="44" t="str">
        <f>ESTADISTICA!G405</f>
        <v>APAGADO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 t="str">
        <f>ESTADISTICA!F417</f>
        <v>APAGADO</v>
      </c>
      <c r="G419" s="44" t="str">
        <f>ESTADISTICA!G417</f>
        <v>APAGADO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H3" sqref="H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43" t="s">
        <v>1161</v>
      </c>
      <c r="D1" s="43"/>
    </row>
    <row r="2" spans="1:35" ht="21" x14ac:dyDescent="0.35">
      <c r="E2" s="20" t="s">
        <v>619</v>
      </c>
      <c r="F2" s="20">
        <f>COUNTIFS(F4:F500, "=APAGADO",E4:E500,"=PTO A FO")</f>
        <v>2</v>
      </c>
      <c r="G2" s="20">
        <f>COUNTIFS(G4:G500, "=APAGADO",E4:E500,"=PTO A FO")</f>
        <v>1</v>
      </c>
      <c r="H2" s="20">
        <f>COUNTIFS(H4:H500, "=APAGADO",E4:E500,"=PTO A FO")</f>
        <v>0</v>
      </c>
      <c r="I2" s="20">
        <f>COUNTIFS(I4:I400, "=APAGADO",E4:E400,"=PTO A FO")</f>
        <v>0</v>
      </c>
      <c r="J2" s="20">
        <f>COUNTIFS(J4:J400, "=APAGADO",E4:E400,"=PTO A FO")</f>
        <v>0</v>
      </c>
      <c r="K2" s="20">
        <f>COUNTIFS(K4:K400, "=APAGADO",E4:E400,"=PTO A FO")</f>
        <v>0</v>
      </c>
      <c r="L2" s="20">
        <f>COUNTIFS(L4:L400, "=APAGADO",E4:E400,"=PTO A FO")</f>
        <v>0</v>
      </c>
      <c r="M2" s="20">
        <f>COUNTIFS(M4:M400, "=APAGADO",E4:E400,"=PTO A FO")</f>
        <v>0</v>
      </c>
      <c r="N2" s="20">
        <f>COUNTIFS(N4:N400, "=APAGADO",E4:E400,"=PTO A FO")</f>
        <v>0</v>
      </c>
      <c r="O2" s="20">
        <f>COUNTIFS(O4:O500, "=APAGADO",E4:E500,"=PTO A FO")</f>
        <v>0</v>
      </c>
      <c r="P2" s="20">
        <f>COUNTIFS(P4:P400, "=APAGADO",E4:E400,"=PTO A FO")</f>
        <v>0</v>
      </c>
      <c r="Q2" s="20">
        <f>COUNTIFS(Q4:Q400, "=APAGADO",E4:E400,"=PTO A FO")</f>
        <v>0</v>
      </c>
      <c r="R2" s="20">
        <f>COUNTIFS(R4:R400, "=APAGADO",E4:E400,"=PTO A FO")</f>
        <v>0</v>
      </c>
      <c r="S2" s="20">
        <f>COUNTIFS(S4:S400, "=APAGADO",E4:E400,"=PTO A FO")</f>
        <v>0</v>
      </c>
      <c r="T2" s="20">
        <f>COUNTIFS(T4:T400, "=APAGADO",E4:E400,"=PTO A FO")</f>
        <v>0</v>
      </c>
      <c r="U2" s="20">
        <f>COUNTIFS(U4:U400, "=APAGADO",E4:E400,"=PTO A FO")</f>
        <v>0</v>
      </c>
      <c r="V2" s="20">
        <f>COUNTIFS(V4:V400, "=APAGADO",E4:E400,"=PTO A FO")</f>
        <v>0</v>
      </c>
      <c r="W2" s="20">
        <f>COUNTIFS(W4:W400, "=APAGADO",E4:E400,"=PTO A FO")</f>
        <v>0</v>
      </c>
      <c r="X2" s="20">
        <f ca="1">COUNTIFS(X4:X400, "=APAGADO",E4:E400,"=PTO A FO")</f>
        <v>0</v>
      </c>
      <c r="Y2" s="20">
        <f>COUNTIFS(Y4:Y400, "=APAGADO",E4:E400,"=PTO A FO")</f>
        <v>0</v>
      </c>
      <c r="Z2" s="20">
        <f>COUNTIFS(Z4:Z400, "=APAGADO",E4:E400,"=PTO A FO")</f>
        <v>0</v>
      </c>
      <c r="AA2" s="20">
        <f>COUNTIFS(AA4:AA400, "=APAGADO",E4:E400,"=PTO A FO")</f>
        <v>0</v>
      </c>
      <c r="AB2" s="20">
        <f>COUNTIFS(AB4:AB400, "=APAGADO",E4:E400,"=PTO A FO")</f>
        <v>0</v>
      </c>
      <c r="AC2" s="20">
        <f>COUNTIFS(AC4:AC400, "=APAGADO",E4:E400,"=PTO A FO")</f>
        <v>0</v>
      </c>
      <c r="AD2" s="20">
        <f>COUNTIFS(AD4:AD400, "=APAGADO",E4:E400,"=PTO A FO")</f>
        <v>0</v>
      </c>
      <c r="AE2" s="20">
        <f>COUNTIFS(AE4:AE500, "=APAGADO",E4:E500,"=PTO A FO")</f>
        <v>0</v>
      </c>
      <c r="AF2" s="20">
        <f>COUNTIFS(AF4:AF500, "=APAGADO",E4:E500,"=PTO A FO")</f>
        <v>0</v>
      </c>
      <c r="AG2" s="20">
        <f>COUNTIFS(AG4:AG500, "=APAGADO",E4:E500,"=PTO A FO")</f>
        <v>0</v>
      </c>
      <c r="AH2" s="20">
        <f>COUNTIFS(AH4:AH400, "=APAGADO",E4:E400,"=PTO A FO")</f>
        <v>0</v>
      </c>
      <c r="AI2" s="20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 t="str">
        <f>ESTADISTICA!F371</f>
        <v>APAGADO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 t="str">
        <f>ESTADISTICA!F376</f>
        <v>APAGADO</v>
      </c>
      <c r="G378" s="44" t="str">
        <f>ESTADISTICA!G376</f>
        <v>APAGADO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 t="str">
        <f>ESTADISTICA!F387</f>
        <v>APAGADO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 t="str">
        <f>ESTADISTICA!F388</f>
        <v>APAGADO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 t="str">
        <f>ESTADISTICA!F404</f>
        <v>APAGADO</v>
      </c>
      <c r="G406" s="44" t="str">
        <f>ESTADISTICA!G404</f>
        <v>APAGADO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 t="str">
        <f>ESTADISTICA!F405</f>
        <v>APAGADO</v>
      </c>
      <c r="G407" s="44" t="str">
        <f>ESTADISTICA!G405</f>
        <v>APAGADO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 t="str">
        <f>ESTADISTICA!F417</f>
        <v>APAGADO</v>
      </c>
      <c r="G419" s="44" t="str">
        <f>ESTADISTICA!G417</f>
        <v>APAGADO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25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25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25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25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25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25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25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25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25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25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25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25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25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25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25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25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25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3" t="s">
        <v>987</v>
      </c>
      <c r="D1" s="43">
        <f>COUNTIFS(E4:E400,"=radio")</f>
        <v>93</v>
      </c>
    </row>
    <row r="2" spans="1:35" ht="21" x14ac:dyDescent="0.35">
      <c r="E2" s="20" t="s">
        <v>619</v>
      </c>
      <c r="F2" s="20">
        <f>COUNTIFS(F4:F500, "=APAGADO",E4:E500,"=radio")</f>
        <v>2</v>
      </c>
      <c r="G2" s="20">
        <f>COUNTIFS(G4:G500, "=APAGADO",E4:E500,"=radio")</f>
        <v>2</v>
      </c>
      <c r="H2" s="20">
        <f>COUNTIFS(H4:H500, "=APAGADO",E4:E500,"=radio")</f>
        <v>0</v>
      </c>
      <c r="I2" s="20">
        <f>COUNTIFS(I4:I500, "=APAGADO",E4:E500,"=radio")</f>
        <v>0</v>
      </c>
      <c r="J2" s="20">
        <f>COUNTIFS(J4:J500, "=APAGADO",E4:E500,"=radio")</f>
        <v>0</v>
      </c>
      <c r="K2" s="20">
        <f>COUNTIFS(K4:K500, "=APAGADO",E4:E500,"=radio")</f>
        <v>0</v>
      </c>
      <c r="L2" s="20">
        <f>COUNTIFS(L4:L500, "=APAGADO",E4:E500,"=radio")</f>
        <v>0</v>
      </c>
      <c r="M2" s="20">
        <f>COUNTIFS(M4:M500, "=APAGADO",E4:E500,"=radio")</f>
        <v>0</v>
      </c>
      <c r="N2" s="20">
        <f>COUNTIFS(N4:N500, "=APAGADO",E4:E500,"=radio")</f>
        <v>0</v>
      </c>
      <c r="O2" s="20">
        <f>COUNTIFS(O4:O500, "=APAGADO",E4:E500,"=radio")</f>
        <v>0</v>
      </c>
      <c r="P2" s="20">
        <f>COUNTIFS(P4:P500, "=APAGADO",E4:E500,"=radio")</f>
        <v>0</v>
      </c>
      <c r="Q2" s="20">
        <f>COUNTIFS(Q4:Q367, "=APAGADO",E4:E367,"=radio")</f>
        <v>0</v>
      </c>
      <c r="R2" s="20">
        <f>COUNTIFS(R4:R367, "=APAGADO",E4:E367,"=radio")</f>
        <v>0</v>
      </c>
      <c r="S2" s="20">
        <f>COUNTIFS(S4:S367, "=APAGADO",E4:E367,"=radio")</f>
        <v>0</v>
      </c>
      <c r="T2" s="20">
        <f>COUNTIFS(T4:T367, "=APAGADO",E4:E367,"=radio")</f>
        <v>0</v>
      </c>
      <c r="U2" s="20">
        <f>COUNTIFS(U4:U367, "=APAGADO",E4:E367,"=radio")</f>
        <v>0</v>
      </c>
      <c r="V2" s="20">
        <f>COUNTIFS(V4:V367, "=APAGADO",E4:E367,"=radio")</f>
        <v>0</v>
      </c>
      <c r="W2" s="20">
        <f>COUNTIFS(W4:W367, "=APAGADO",E4:E367,"=radio")</f>
        <v>0</v>
      </c>
      <c r="X2" s="20">
        <f>COUNTIFS(X4:X367, "=APAGADO",E4:E367,"=radio")</f>
        <v>0</v>
      </c>
      <c r="Y2" s="20">
        <f>COUNTIFS(Y4:Y367, "=APAGADO",E4:E367,"=radio")</f>
        <v>0</v>
      </c>
      <c r="Z2" s="20">
        <f>COUNTIFS(Z4:Z367, "=APAGADO",E4:E367,"=radio")</f>
        <v>0</v>
      </c>
      <c r="AA2" s="20">
        <f>COUNTIFS(AA4:AA367, "=APAGADO",E4:E367,"=radio")</f>
        <v>0</v>
      </c>
      <c r="AB2" s="20">
        <f>COUNTIFS(AB4:AB367, "=APAGADO",E4:E367,"=radio")</f>
        <v>0</v>
      </c>
      <c r="AC2" s="20">
        <f>COUNTIFS(AC4:AC367, "=APAGADO",E4:E367,"=radio")</f>
        <v>0</v>
      </c>
      <c r="AD2" s="20">
        <f>COUNTIFS(AD4:AD367, "=APAGADO",E4:E367,"=radio")</f>
        <v>0</v>
      </c>
      <c r="AE2" s="20">
        <f>COUNTIFS(AE4:AE500, "=APAGADO",E4:E500,"=radio")</f>
        <v>0</v>
      </c>
      <c r="AF2" s="20">
        <f>COUNTIFS(AF4:AF500, "=APAGADO",E4:E500,"=radio")</f>
        <v>0</v>
      </c>
      <c r="AG2" s="20">
        <f>COUNTIFS(AG4:AG500, "=APAGADO",E4:E500,"=radio")</f>
        <v>0</v>
      </c>
      <c r="AH2" s="20">
        <f>COUNTIFS(AH4:AH400, "=APAGADO",E4:E400,"=radio")</f>
        <v>0</v>
      </c>
      <c r="AI2" s="20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 t="str">
        <f>ESTADISTICA!F371</f>
        <v>APAGADO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 t="str">
        <f>ESTADISTICA!F376</f>
        <v>APAGADO</v>
      </c>
      <c r="G378" s="44" t="str">
        <f>ESTADISTICA!G376</f>
        <v>APAGADO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 t="str">
        <f>ESTADISTICA!F387</f>
        <v>APAGADO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 t="str">
        <f>ESTADISTICA!F388</f>
        <v>APAGADO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 t="str">
        <f>ESTADISTICA!F404</f>
        <v>APAGADO</v>
      </c>
      <c r="G406" s="44" t="str">
        <f>ESTADISTICA!G404</f>
        <v>APAGADO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 t="str">
        <f>ESTADISTICA!F405</f>
        <v>APAGADO</v>
      </c>
      <c r="G407" s="44" t="str">
        <f>ESTADISTICA!G405</f>
        <v>APAGADO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 t="str">
        <f>ESTADISTICA!F417</f>
        <v>APAGADO</v>
      </c>
      <c r="G419" s="44" t="str">
        <f>ESTADISTICA!G417</f>
        <v>APAGADO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" sqref="A2:E6"/>
    </sheetView>
  </sheetViews>
  <sheetFormatPr baseColWidth="10" defaultColWidth="11.5703125" defaultRowHeight="15" x14ac:dyDescent="0.25"/>
  <cols>
    <col min="1" max="1" width="20.28515625" style="76" bestFit="1" customWidth="1"/>
    <col min="2" max="2" width="11.5703125" style="129"/>
    <col min="3" max="3" width="11.5703125" style="77"/>
    <col min="4" max="4" width="11.5703125" style="78"/>
    <col min="5" max="6" width="11.5703125" style="76"/>
    <col min="7" max="7" width="30.7109375" style="76" bestFit="1" customWidth="1"/>
    <col min="8" max="8" width="33.7109375" style="76" bestFit="1" customWidth="1"/>
    <col min="9" max="10" width="11.5703125" style="76"/>
    <col min="11" max="12" width="13.7109375" style="76" bestFit="1" customWidth="1"/>
    <col min="13" max="16384" width="11.5703125" style="76"/>
  </cols>
  <sheetData>
    <row r="1" spans="1:13" ht="15.75" thickBot="1" x14ac:dyDescent="0.3">
      <c r="B1" s="77" t="s">
        <v>1002</v>
      </c>
      <c r="D1" s="78" t="s">
        <v>1003</v>
      </c>
    </row>
    <row r="2" spans="1:13" ht="16.5" thickTop="1" thickBot="1" x14ac:dyDescent="0.3">
      <c r="A2" s="79" t="s">
        <v>999</v>
      </c>
      <c r="B2" s="80">
        <v>430</v>
      </c>
      <c r="C2" s="81"/>
      <c r="D2" s="82"/>
      <c r="E2" s="132">
        <v>44866</v>
      </c>
    </row>
    <row r="3" spans="1:13" ht="15" customHeight="1" thickTop="1" x14ac:dyDescent="0.25">
      <c r="A3" s="83" t="s">
        <v>6</v>
      </c>
      <c r="B3" s="84">
        <v>41</v>
      </c>
      <c r="C3" s="85">
        <v>41</v>
      </c>
      <c r="D3" s="86">
        <f>C3/B2</f>
        <v>9.5348837209302331E-2</v>
      </c>
      <c r="E3" s="133"/>
      <c r="G3" s="87"/>
      <c r="H3" s="88"/>
      <c r="I3" s="88"/>
      <c r="J3" s="88"/>
      <c r="K3" s="89"/>
      <c r="L3" s="90"/>
      <c r="M3" s="137"/>
    </row>
    <row r="4" spans="1:13" x14ac:dyDescent="0.25">
      <c r="A4" s="83" t="s">
        <v>1001</v>
      </c>
      <c r="B4" s="84">
        <v>8</v>
      </c>
      <c r="C4" s="85">
        <f>C3-B4</f>
        <v>33</v>
      </c>
      <c r="D4" s="86">
        <f>C4/B2</f>
        <v>7.6744186046511634E-2</v>
      </c>
      <c r="E4" s="133"/>
      <c r="G4" s="91"/>
      <c r="H4" s="92"/>
      <c r="I4" s="92"/>
      <c r="J4" s="92"/>
      <c r="K4" s="93"/>
      <c r="L4" s="94"/>
      <c r="M4" s="138"/>
    </row>
    <row r="5" spans="1:13" x14ac:dyDescent="0.25">
      <c r="A5" s="83" t="s">
        <v>1000</v>
      </c>
      <c r="B5" s="84">
        <v>1</v>
      </c>
      <c r="C5" s="85">
        <f>C4-B5</f>
        <v>32</v>
      </c>
      <c r="D5" s="86">
        <f>C5/B2</f>
        <v>7.441860465116279E-2</v>
      </c>
      <c r="E5" s="133"/>
      <c r="G5" s="91"/>
      <c r="H5" s="92"/>
      <c r="I5" s="92"/>
      <c r="J5" s="92"/>
      <c r="K5" s="93"/>
      <c r="L5" s="94"/>
      <c r="M5" s="138"/>
    </row>
    <row r="6" spans="1:13" ht="15.75" thickBot="1" x14ac:dyDescent="0.3">
      <c r="A6" s="95" t="s">
        <v>16</v>
      </c>
      <c r="B6" s="96">
        <v>2</v>
      </c>
      <c r="C6" s="97">
        <f>C5-B6</f>
        <v>30</v>
      </c>
      <c r="D6" s="86">
        <f>C6/B2</f>
        <v>6.9767441860465115E-2</v>
      </c>
      <c r="E6" s="134"/>
      <c r="G6" s="91"/>
      <c r="H6" s="92"/>
      <c r="I6" s="92"/>
      <c r="J6" s="92"/>
      <c r="K6" s="93"/>
      <c r="L6" s="94"/>
      <c r="M6" s="138"/>
    </row>
    <row r="7" spans="1:13" ht="15" customHeight="1" thickTop="1" x14ac:dyDescent="0.25">
      <c r="A7" s="79"/>
      <c r="B7" s="80"/>
      <c r="C7" s="81"/>
      <c r="D7" s="82"/>
      <c r="E7" s="132"/>
      <c r="G7" s="91"/>
      <c r="H7" s="92"/>
      <c r="I7" s="92"/>
      <c r="J7" s="92"/>
      <c r="K7" s="93"/>
      <c r="L7" s="94"/>
      <c r="M7" s="138"/>
    </row>
    <row r="8" spans="1:13" ht="15.75" thickBot="1" x14ac:dyDescent="0.3">
      <c r="A8" s="83"/>
      <c r="B8" s="84"/>
      <c r="C8" s="85"/>
      <c r="D8" s="86"/>
      <c r="E8" s="133"/>
      <c r="G8" s="99"/>
      <c r="H8" s="100"/>
      <c r="I8" s="100"/>
      <c r="J8" s="100"/>
      <c r="K8" s="101"/>
      <c r="L8" s="102"/>
      <c r="M8" s="140"/>
    </row>
    <row r="9" spans="1:13" ht="16.5" thickTop="1" thickBot="1" x14ac:dyDescent="0.3">
      <c r="A9" s="83"/>
      <c r="B9" s="84"/>
      <c r="C9" s="85"/>
      <c r="D9" s="86"/>
      <c r="E9" s="133"/>
      <c r="G9" s="103"/>
      <c r="H9" s="104"/>
      <c r="I9" s="104"/>
      <c r="J9" s="104"/>
      <c r="K9" s="105"/>
      <c r="L9" s="104"/>
      <c r="M9" s="106"/>
    </row>
    <row r="10" spans="1:13" ht="15.75" thickTop="1" x14ac:dyDescent="0.25">
      <c r="A10" s="83"/>
      <c r="B10" s="84"/>
      <c r="C10" s="85"/>
      <c r="D10" s="86"/>
      <c r="E10" s="133"/>
      <c r="G10" s="107"/>
      <c r="H10" s="108"/>
      <c r="I10" s="108"/>
      <c r="J10" s="108"/>
      <c r="K10" s="109"/>
      <c r="L10" s="110"/>
      <c r="M10" s="137"/>
    </row>
    <row r="11" spans="1:13" ht="15.75" thickBot="1" x14ac:dyDescent="0.3">
      <c r="A11" s="95"/>
      <c r="B11" s="96"/>
      <c r="C11" s="97"/>
      <c r="D11" s="86"/>
      <c r="E11" s="134"/>
      <c r="G11" s="111"/>
      <c r="H11" s="104"/>
      <c r="I11" s="104"/>
      <c r="J11" s="104"/>
      <c r="K11" s="105"/>
      <c r="L11" s="112"/>
      <c r="M11" s="138"/>
    </row>
    <row r="12" spans="1:13" ht="15.75" thickTop="1" x14ac:dyDescent="0.25">
      <c r="A12" s="79"/>
      <c r="B12" s="80"/>
      <c r="C12" s="81"/>
      <c r="D12" s="82"/>
      <c r="E12" s="132"/>
      <c r="G12" s="111"/>
      <c r="H12" s="104"/>
      <c r="I12" s="104"/>
      <c r="J12" s="104"/>
      <c r="K12" s="105"/>
      <c r="L12" s="112"/>
      <c r="M12" s="138"/>
    </row>
    <row r="13" spans="1:13" x14ac:dyDescent="0.25">
      <c r="A13" s="83"/>
      <c r="B13" s="84"/>
      <c r="C13" s="85"/>
      <c r="D13" s="86"/>
      <c r="E13" s="133"/>
      <c r="G13" s="111"/>
      <c r="H13" s="104"/>
      <c r="I13" s="104"/>
      <c r="J13" s="104"/>
      <c r="K13" s="105"/>
      <c r="L13" s="112"/>
      <c r="M13" s="138"/>
    </row>
    <row r="14" spans="1:13" x14ac:dyDescent="0.25">
      <c r="A14" s="83"/>
      <c r="B14" s="84"/>
      <c r="C14" s="85"/>
      <c r="D14" s="86"/>
      <c r="E14" s="133"/>
      <c r="G14" s="111"/>
      <c r="H14" s="104"/>
      <c r="I14" s="104"/>
      <c r="J14" s="104"/>
      <c r="K14" s="105"/>
      <c r="L14" s="112"/>
      <c r="M14" s="138"/>
    </row>
    <row r="15" spans="1:13" ht="15" customHeight="1" thickBot="1" x14ac:dyDescent="0.3">
      <c r="A15" s="83"/>
      <c r="B15" s="84"/>
      <c r="C15" s="85"/>
      <c r="D15" s="86"/>
      <c r="E15" s="133"/>
      <c r="G15" s="113"/>
      <c r="H15" s="114"/>
      <c r="I15" s="114"/>
      <c r="J15" s="114"/>
      <c r="K15" s="114"/>
      <c r="L15" s="115"/>
      <c r="M15" s="139"/>
    </row>
    <row r="16" spans="1:13" ht="16.5" thickTop="1" thickBot="1" x14ac:dyDescent="0.3">
      <c r="A16" s="95"/>
      <c r="B16" s="96"/>
      <c r="C16" s="97"/>
      <c r="D16" s="86"/>
      <c r="E16" s="134"/>
      <c r="G16" s="116"/>
      <c r="H16" s="117"/>
      <c r="I16" s="117"/>
      <c r="J16" s="117"/>
      <c r="K16" s="118"/>
      <c r="L16" s="119"/>
      <c r="M16" s="137"/>
    </row>
    <row r="17" spans="1:14" ht="15.75" thickTop="1" x14ac:dyDescent="0.25">
      <c r="A17" s="79"/>
      <c r="B17" s="80"/>
      <c r="C17" s="81"/>
      <c r="D17" s="82"/>
      <c r="E17" s="132"/>
      <c r="G17" s="120"/>
      <c r="H17" s="104"/>
      <c r="I17" s="104"/>
      <c r="J17" s="104"/>
      <c r="K17" s="105"/>
      <c r="L17" s="121"/>
      <c r="M17" s="138"/>
    </row>
    <row r="18" spans="1:14" x14ac:dyDescent="0.25">
      <c r="A18" s="83"/>
      <c r="B18" s="84"/>
      <c r="C18" s="85"/>
      <c r="D18" s="86"/>
      <c r="E18" s="133"/>
      <c r="G18" s="120"/>
      <c r="H18" s="104"/>
      <c r="I18" s="104"/>
      <c r="J18" s="104"/>
      <c r="K18" s="105"/>
      <c r="L18" s="121"/>
      <c r="M18" s="138"/>
    </row>
    <row r="19" spans="1:14" x14ac:dyDescent="0.25">
      <c r="A19" s="83"/>
      <c r="B19" s="84"/>
      <c r="C19" s="85"/>
      <c r="D19" s="86"/>
      <c r="E19" s="133"/>
      <c r="G19" s="120"/>
      <c r="H19" s="104"/>
      <c r="I19" s="104"/>
      <c r="J19" s="104"/>
      <c r="K19" s="105"/>
      <c r="L19" s="121"/>
      <c r="M19" s="138"/>
    </row>
    <row r="20" spans="1:14" x14ac:dyDescent="0.25">
      <c r="A20" s="83"/>
      <c r="B20" s="84"/>
      <c r="C20" s="85"/>
      <c r="D20" s="86"/>
      <c r="E20" s="133"/>
      <c r="G20" s="120"/>
      <c r="H20" s="104"/>
      <c r="I20" s="104"/>
      <c r="J20" s="104"/>
      <c r="K20" s="105"/>
      <c r="L20" s="121"/>
      <c r="M20" s="138"/>
    </row>
    <row r="21" spans="1:14" ht="15.75" thickBot="1" x14ac:dyDescent="0.3">
      <c r="A21" s="95"/>
      <c r="B21" s="96"/>
      <c r="C21" s="97"/>
      <c r="D21" s="86"/>
      <c r="E21" s="134"/>
      <c r="G21" s="113"/>
      <c r="H21" s="114"/>
      <c r="I21" s="114"/>
      <c r="J21" s="114"/>
      <c r="K21" s="114"/>
      <c r="L21" s="115"/>
      <c r="M21" s="139"/>
    </row>
    <row r="22" spans="1:14" ht="15.75" thickTop="1" x14ac:dyDescent="0.25">
      <c r="A22" s="79" t="s">
        <v>999</v>
      </c>
      <c r="B22" s="80"/>
      <c r="C22" s="81"/>
      <c r="D22" s="82"/>
      <c r="E22" s="132"/>
    </row>
    <row r="23" spans="1:14" ht="15.75" thickBot="1" x14ac:dyDescent="0.3">
      <c r="A23" s="83" t="s">
        <v>6</v>
      </c>
      <c r="B23" s="84"/>
      <c r="C23" s="85"/>
      <c r="D23" s="86"/>
      <c r="E23" s="133"/>
    </row>
    <row r="24" spans="1:14" ht="15.75" thickTop="1" x14ac:dyDescent="0.25">
      <c r="A24" s="83" t="s">
        <v>1001</v>
      </c>
      <c r="B24" s="84"/>
      <c r="C24" s="85"/>
      <c r="D24" s="86"/>
      <c r="E24" s="133"/>
      <c r="G24" s="107"/>
      <c r="H24" s="108"/>
      <c r="I24" s="108"/>
      <c r="J24" s="108"/>
      <c r="K24" s="109"/>
      <c r="L24" s="110"/>
      <c r="M24" s="137"/>
    </row>
    <row r="25" spans="1:14" x14ac:dyDescent="0.25">
      <c r="A25" s="83" t="s">
        <v>1000</v>
      </c>
      <c r="B25" s="84"/>
      <c r="C25" s="85"/>
      <c r="D25" s="86"/>
      <c r="E25" s="133"/>
      <c r="G25" s="111"/>
      <c r="H25" s="104"/>
      <c r="I25" s="104"/>
      <c r="J25" s="104"/>
      <c r="K25" s="105"/>
      <c r="L25" s="112"/>
      <c r="M25" s="138"/>
    </row>
    <row r="26" spans="1:14" ht="15.75" thickBot="1" x14ac:dyDescent="0.3">
      <c r="A26" s="95" t="s">
        <v>16</v>
      </c>
      <c r="B26" s="96"/>
      <c r="C26" s="97"/>
      <c r="D26" s="98"/>
      <c r="E26" s="134"/>
      <c r="G26" s="111"/>
      <c r="H26" s="104"/>
      <c r="I26" s="104"/>
      <c r="J26" s="104"/>
      <c r="K26" s="105"/>
      <c r="L26" s="112"/>
      <c r="M26" s="138"/>
    </row>
    <row r="27" spans="1:14" ht="15.75" thickTop="1" x14ac:dyDescent="0.25">
      <c r="A27" s="79" t="s">
        <v>999</v>
      </c>
      <c r="B27" s="80"/>
      <c r="C27" s="81"/>
      <c r="D27" s="82"/>
      <c r="E27" s="132"/>
      <c r="G27" s="111"/>
      <c r="H27" s="104"/>
      <c r="I27" s="104"/>
      <c r="J27" s="104"/>
      <c r="K27" s="105"/>
      <c r="L27" s="112"/>
      <c r="M27" s="138"/>
    </row>
    <row r="28" spans="1:14" x14ac:dyDescent="0.25">
      <c r="A28" s="83" t="s">
        <v>6</v>
      </c>
      <c r="B28" s="84"/>
      <c r="C28" s="85"/>
      <c r="D28" s="86"/>
      <c r="E28" s="133"/>
      <c r="G28" s="111"/>
      <c r="H28" s="104"/>
      <c r="I28" s="104"/>
      <c r="J28" s="104"/>
      <c r="K28" s="105"/>
      <c r="L28" s="112"/>
      <c r="M28" s="138"/>
    </row>
    <row r="29" spans="1:14" ht="15.75" thickBot="1" x14ac:dyDescent="0.3">
      <c r="A29" s="83" t="s">
        <v>1001</v>
      </c>
      <c r="B29" s="84"/>
      <c r="C29" s="85"/>
      <c r="D29" s="86"/>
      <c r="E29" s="133"/>
      <c r="G29" s="113"/>
      <c r="H29" s="114"/>
      <c r="I29" s="114"/>
      <c r="J29" s="114"/>
      <c r="K29" s="114"/>
      <c r="L29" s="115"/>
      <c r="M29" s="139"/>
    </row>
    <row r="30" spans="1:14" ht="16.5" thickTop="1" thickBot="1" x14ac:dyDescent="0.3">
      <c r="A30" s="83" t="s">
        <v>1000</v>
      </c>
      <c r="B30" s="84"/>
      <c r="C30" s="85"/>
      <c r="D30" s="86"/>
      <c r="E30" s="133"/>
    </row>
    <row r="31" spans="1:14" ht="16.5" thickTop="1" thickBot="1" x14ac:dyDescent="0.3">
      <c r="A31" s="95" t="s">
        <v>16</v>
      </c>
      <c r="B31" s="96"/>
      <c r="C31" s="97"/>
      <c r="D31" s="98"/>
      <c r="E31" s="134"/>
      <c r="G31" s="116"/>
      <c r="H31" s="122"/>
      <c r="I31" s="117"/>
      <c r="J31" s="117"/>
      <c r="K31" s="117"/>
      <c r="L31" s="118"/>
      <c r="M31" s="119"/>
      <c r="N31" s="135"/>
    </row>
    <row r="32" spans="1:14" ht="15.75" thickTop="1" x14ac:dyDescent="0.25">
      <c r="A32" s="79" t="s">
        <v>999</v>
      </c>
      <c r="B32" s="80"/>
      <c r="C32" s="81"/>
      <c r="D32" s="82"/>
      <c r="E32" s="132"/>
      <c r="G32" s="120"/>
      <c r="H32" s="103"/>
      <c r="I32" s="104"/>
      <c r="J32" s="104"/>
      <c r="K32" s="104"/>
      <c r="L32" s="105"/>
      <c r="M32" s="121"/>
      <c r="N32" s="136"/>
    </row>
    <row r="33" spans="1:14" ht="15.75" thickBot="1" x14ac:dyDescent="0.3">
      <c r="A33" s="83" t="s">
        <v>6</v>
      </c>
      <c r="B33" s="84"/>
      <c r="C33" s="85"/>
      <c r="D33" s="86"/>
      <c r="E33" s="133"/>
      <c r="G33" s="123"/>
      <c r="H33" s="124"/>
      <c r="I33" s="114"/>
      <c r="J33" s="114"/>
      <c r="K33" s="114"/>
      <c r="L33" s="125"/>
      <c r="M33" s="115"/>
      <c r="N33" s="136"/>
    </row>
    <row r="34" spans="1:14" ht="15.75" thickTop="1" x14ac:dyDescent="0.25">
      <c r="A34" s="83" t="s">
        <v>1001</v>
      </c>
      <c r="B34" s="84"/>
      <c r="C34" s="85"/>
      <c r="D34" s="86"/>
      <c r="E34" s="133"/>
      <c r="G34" s="126"/>
      <c r="K34" s="127"/>
    </row>
    <row r="35" spans="1:14" x14ac:dyDescent="0.25">
      <c r="A35" s="83" t="s">
        <v>1000</v>
      </c>
      <c r="B35" s="84"/>
      <c r="C35" s="85"/>
      <c r="D35" s="86"/>
      <c r="E35" s="133"/>
      <c r="G35" s="126"/>
      <c r="K35" s="127"/>
    </row>
    <row r="36" spans="1:14" ht="15.75" thickBot="1" x14ac:dyDescent="0.3">
      <c r="A36" s="95" t="s">
        <v>16</v>
      </c>
      <c r="B36" s="96"/>
      <c r="C36" s="97"/>
      <c r="D36" s="98"/>
      <c r="E36" s="134"/>
      <c r="G36" s="126"/>
      <c r="K36" s="127"/>
    </row>
    <row r="37" spans="1:14" ht="15.75" thickTop="1" x14ac:dyDescent="0.25">
      <c r="A37" s="79" t="s">
        <v>999</v>
      </c>
      <c r="B37" s="80"/>
      <c r="C37" s="81"/>
      <c r="D37" s="82"/>
      <c r="E37" s="132"/>
      <c r="G37" s="126"/>
      <c r="K37" s="127"/>
    </row>
    <row r="38" spans="1:14" x14ac:dyDescent="0.25">
      <c r="A38" s="83" t="s">
        <v>6</v>
      </c>
      <c r="B38" s="84"/>
      <c r="C38" s="85"/>
      <c r="D38" s="86"/>
      <c r="E38" s="133"/>
      <c r="G38" s="126"/>
      <c r="K38" s="127"/>
      <c r="L38" s="128"/>
    </row>
    <row r="39" spans="1:14" ht="15.75" thickBot="1" x14ac:dyDescent="0.3">
      <c r="A39" s="83" t="s">
        <v>1001</v>
      </c>
      <c r="B39" s="84"/>
      <c r="C39" s="85"/>
      <c r="D39" s="86"/>
      <c r="E39" s="133"/>
    </row>
    <row r="40" spans="1:14" ht="15.75" thickTop="1" x14ac:dyDescent="0.25">
      <c r="A40" s="83" t="s">
        <v>1000</v>
      </c>
      <c r="B40" s="84"/>
      <c r="C40" s="85"/>
      <c r="D40" s="86"/>
      <c r="E40" s="133"/>
      <c r="G40" s="107"/>
      <c r="H40" s="108"/>
      <c r="I40" s="108"/>
      <c r="J40" s="108"/>
      <c r="K40" s="109"/>
      <c r="L40" s="110"/>
      <c r="M40" s="137"/>
    </row>
    <row r="41" spans="1:14" ht="15.75" thickBot="1" x14ac:dyDescent="0.3">
      <c r="A41" s="95" t="s">
        <v>16</v>
      </c>
      <c r="B41" s="96"/>
      <c r="C41" s="97"/>
      <c r="D41" s="98"/>
      <c r="E41" s="134"/>
      <c r="G41" s="111"/>
      <c r="H41" s="104"/>
      <c r="I41" s="104"/>
      <c r="J41" s="104"/>
      <c r="K41" s="105"/>
      <c r="L41" s="112"/>
      <c r="M41" s="138"/>
    </row>
    <row r="42" spans="1:14" ht="15" customHeight="1" thickTop="1" x14ac:dyDescent="0.25">
      <c r="A42" s="79" t="s">
        <v>999</v>
      </c>
      <c r="B42" s="80"/>
      <c r="C42" s="81"/>
      <c r="D42" s="82"/>
      <c r="E42" s="132"/>
      <c r="G42" s="111"/>
      <c r="H42" s="104"/>
      <c r="I42" s="104"/>
      <c r="J42" s="104"/>
      <c r="K42" s="105"/>
      <c r="L42" s="112"/>
      <c r="M42" s="138"/>
    </row>
    <row r="43" spans="1:14" x14ac:dyDescent="0.25">
      <c r="A43" s="83" t="s">
        <v>6</v>
      </c>
      <c r="B43" s="84"/>
      <c r="C43" s="85"/>
      <c r="D43" s="86"/>
      <c r="E43" s="133"/>
      <c r="G43" s="111"/>
      <c r="H43" s="104"/>
      <c r="I43" s="104"/>
      <c r="J43" s="104"/>
      <c r="K43" s="105"/>
      <c r="L43" s="112"/>
      <c r="M43" s="138"/>
    </row>
    <row r="44" spans="1:14" x14ac:dyDescent="0.25">
      <c r="A44" s="83" t="s">
        <v>1001</v>
      </c>
      <c r="B44" s="84"/>
      <c r="C44" s="85"/>
      <c r="D44" s="86"/>
      <c r="E44" s="133"/>
      <c r="G44" s="111"/>
      <c r="H44" s="104"/>
      <c r="I44" s="104"/>
      <c r="J44" s="104"/>
      <c r="K44" s="105"/>
      <c r="L44" s="112"/>
      <c r="M44" s="138"/>
    </row>
    <row r="45" spans="1:14" ht="15.75" thickBot="1" x14ac:dyDescent="0.3">
      <c r="A45" s="83" t="s">
        <v>1000</v>
      </c>
      <c r="B45" s="84"/>
      <c r="C45" s="85"/>
      <c r="D45" s="86"/>
      <c r="E45" s="133"/>
      <c r="G45" s="113"/>
      <c r="H45" s="114"/>
      <c r="I45" s="114"/>
      <c r="J45" s="114"/>
      <c r="K45" s="114"/>
      <c r="L45" s="115"/>
      <c r="M45" s="139"/>
    </row>
    <row r="46" spans="1:14" ht="16.5" thickTop="1" thickBot="1" x14ac:dyDescent="0.3">
      <c r="A46" s="95" t="s">
        <v>16</v>
      </c>
      <c r="B46" s="96"/>
      <c r="C46" s="97"/>
      <c r="D46" s="98"/>
      <c r="E46" s="134"/>
    </row>
    <row r="47" spans="1:14" ht="15.75" thickTop="1" x14ac:dyDescent="0.25">
      <c r="A47" s="79" t="s">
        <v>999</v>
      </c>
      <c r="B47" s="80"/>
      <c r="C47" s="81"/>
      <c r="D47" s="82"/>
      <c r="E47" s="132"/>
      <c r="G47" s="126"/>
      <c r="K47" s="127"/>
    </row>
    <row r="48" spans="1:14" x14ac:dyDescent="0.25">
      <c r="A48" s="83" t="s">
        <v>6</v>
      </c>
      <c r="B48" s="84"/>
      <c r="C48" s="85"/>
      <c r="D48" s="86"/>
      <c r="E48" s="133"/>
      <c r="G48" s="126"/>
      <c r="K48" s="127"/>
    </row>
    <row r="49" spans="1:11" x14ac:dyDescent="0.25">
      <c r="A49" s="83" t="s">
        <v>1001</v>
      </c>
      <c r="B49" s="84"/>
      <c r="C49" s="85"/>
      <c r="D49" s="86"/>
      <c r="E49" s="133"/>
      <c r="G49" s="126"/>
      <c r="K49" s="127"/>
    </row>
    <row r="50" spans="1:11" x14ac:dyDescent="0.25">
      <c r="A50" s="83" t="s">
        <v>1000</v>
      </c>
      <c r="B50" s="84"/>
      <c r="C50" s="85"/>
      <c r="D50" s="86"/>
      <c r="E50" s="133"/>
      <c r="G50" s="126"/>
      <c r="K50" s="127"/>
    </row>
    <row r="51" spans="1:11" ht="15.75" thickBot="1" x14ac:dyDescent="0.3">
      <c r="A51" s="95" t="s">
        <v>16</v>
      </c>
      <c r="B51" s="96"/>
      <c r="C51" s="97"/>
      <c r="D51" s="98"/>
      <c r="E51" s="134"/>
      <c r="G51" s="126"/>
      <c r="K51" s="127"/>
    </row>
    <row r="52" spans="1:11" ht="15.75" thickTop="1" x14ac:dyDescent="0.25">
      <c r="A52" s="79" t="s">
        <v>999</v>
      </c>
      <c r="B52" s="80"/>
      <c r="C52" s="81"/>
      <c r="D52" s="82"/>
      <c r="E52" s="132"/>
      <c r="G52" s="126"/>
      <c r="K52" s="127"/>
    </row>
    <row r="53" spans="1:11" x14ac:dyDescent="0.25">
      <c r="A53" s="83" t="s">
        <v>6</v>
      </c>
      <c r="B53" s="84"/>
      <c r="C53" s="85"/>
      <c r="D53" s="86"/>
      <c r="E53" s="133"/>
      <c r="G53" s="126"/>
      <c r="K53" s="127"/>
    </row>
    <row r="54" spans="1:11" x14ac:dyDescent="0.25">
      <c r="A54" s="83" t="s">
        <v>1001</v>
      </c>
      <c r="B54" s="84"/>
      <c r="C54" s="85"/>
      <c r="D54" s="86"/>
      <c r="E54" s="133"/>
    </row>
    <row r="55" spans="1:11" x14ac:dyDescent="0.25">
      <c r="A55" s="83" t="s">
        <v>1000</v>
      </c>
      <c r="B55" s="84"/>
      <c r="C55" s="85"/>
      <c r="D55" s="86"/>
      <c r="E55" s="133"/>
    </row>
    <row r="56" spans="1:11" ht="15.75" thickBot="1" x14ac:dyDescent="0.3">
      <c r="A56" s="95" t="s">
        <v>16</v>
      </c>
      <c r="B56" s="96"/>
      <c r="C56" s="97"/>
      <c r="D56" s="98"/>
      <c r="E56" s="134"/>
    </row>
    <row r="57" spans="1:11" ht="15.75" thickTop="1" x14ac:dyDescent="0.25">
      <c r="A57" s="79" t="s">
        <v>999</v>
      </c>
      <c r="B57" s="80"/>
      <c r="C57" s="81"/>
      <c r="D57" s="82"/>
      <c r="E57" s="132"/>
    </row>
    <row r="58" spans="1:11" x14ac:dyDescent="0.25">
      <c r="A58" s="83" t="s">
        <v>6</v>
      </c>
      <c r="B58" s="84"/>
      <c r="C58" s="85"/>
      <c r="D58" s="86"/>
      <c r="E58" s="133"/>
    </row>
    <row r="59" spans="1:11" x14ac:dyDescent="0.25">
      <c r="A59" s="83" t="s">
        <v>1001</v>
      </c>
      <c r="B59" s="84"/>
      <c r="C59" s="85"/>
      <c r="D59" s="86"/>
      <c r="E59" s="133"/>
    </row>
    <row r="60" spans="1:11" x14ac:dyDescent="0.25">
      <c r="A60" s="83" t="s">
        <v>1000</v>
      </c>
      <c r="B60" s="84"/>
      <c r="C60" s="85"/>
      <c r="D60" s="86"/>
      <c r="E60" s="133"/>
    </row>
    <row r="61" spans="1:11" ht="15.75" thickBot="1" x14ac:dyDescent="0.3">
      <c r="A61" s="95" t="s">
        <v>16</v>
      </c>
      <c r="B61" s="96"/>
      <c r="C61" s="97"/>
      <c r="D61" s="98"/>
      <c r="E61" s="134"/>
    </row>
    <row r="62" spans="1:11" ht="15.75" thickTop="1" x14ac:dyDescent="0.25">
      <c r="A62" s="79" t="s">
        <v>999</v>
      </c>
      <c r="B62" s="80"/>
      <c r="C62" s="81"/>
      <c r="D62" s="82"/>
      <c r="E62" s="132"/>
    </row>
    <row r="63" spans="1:11" x14ac:dyDescent="0.25">
      <c r="A63" s="83" t="s">
        <v>6</v>
      </c>
      <c r="B63" s="84"/>
      <c r="C63" s="85"/>
      <c r="D63" s="86"/>
      <c r="E63" s="133"/>
    </row>
    <row r="64" spans="1:11" x14ac:dyDescent="0.25">
      <c r="A64" s="83" t="s">
        <v>1001</v>
      </c>
      <c r="B64" s="84"/>
      <c r="C64" s="85"/>
      <c r="D64" s="86"/>
      <c r="E64" s="133"/>
    </row>
    <row r="65" spans="1:5" x14ac:dyDescent="0.25">
      <c r="A65" s="83" t="s">
        <v>1000</v>
      </c>
      <c r="B65" s="84"/>
      <c r="C65" s="85"/>
      <c r="D65" s="86"/>
      <c r="E65" s="133"/>
    </row>
    <row r="66" spans="1:5" ht="15.75" thickBot="1" x14ac:dyDescent="0.3">
      <c r="A66" s="95" t="s">
        <v>16</v>
      </c>
      <c r="B66" s="96"/>
      <c r="C66" s="97"/>
      <c r="D66" s="98"/>
      <c r="E66" s="134"/>
    </row>
    <row r="67" spans="1:5" ht="15.75" thickTop="1" x14ac:dyDescent="0.25">
      <c r="A67" s="79" t="s">
        <v>999</v>
      </c>
      <c r="B67" s="80"/>
      <c r="C67" s="81"/>
      <c r="D67" s="82"/>
      <c r="E67" s="132"/>
    </row>
    <row r="68" spans="1:5" x14ac:dyDescent="0.25">
      <c r="A68" s="83" t="s">
        <v>6</v>
      </c>
      <c r="B68" s="84"/>
      <c r="C68" s="85"/>
      <c r="D68" s="86"/>
      <c r="E68" s="133"/>
    </row>
    <row r="69" spans="1:5" x14ac:dyDescent="0.25">
      <c r="A69" s="83" t="s">
        <v>1001</v>
      </c>
      <c r="B69" s="84"/>
      <c r="C69" s="85"/>
      <c r="D69" s="86"/>
      <c r="E69" s="133"/>
    </row>
    <row r="70" spans="1:5" x14ac:dyDescent="0.25">
      <c r="A70" s="83" t="s">
        <v>1000</v>
      </c>
      <c r="B70" s="84"/>
      <c r="C70" s="85"/>
      <c r="D70" s="86"/>
      <c r="E70" s="133"/>
    </row>
    <row r="71" spans="1:5" ht="15.75" thickBot="1" x14ac:dyDescent="0.3">
      <c r="A71" s="95" t="s">
        <v>16</v>
      </c>
      <c r="B71" s="96"/>
      <c r="C71" s="97"/>
      <c r="D71" s="98"/>
      <c r="E71" s="134"/>
    </row>
    <row r="72" spans="1:5" ht="15.75" thickTop="1" x14ac:dyDescent="0.25">
      <c r="A72" s="79" t="s">
        <v>999</v>
      </c>
      <c r="B72" s="80"/>
      <c r="C72" s="81"/>
      <c r="D72" s="82"/>
      <c r="E72" s="132"/>
    </row>
    <row r="73" spans="1:5" x14ac:dyDescent="0.25">
      <c r="A73" s="83" t="s">
        <v>6</v>
      </c>
      <c r="B73" s="84"/>
      <c r="C73" s="85"/>
      <c r="D73" s="86"/>
      <c r="E73" s="133"/>
    </row>
    <row r="74" spans="1:5" x14ac:dyDescent="0.25">
      <c r="A74" s="83" t="s">
        <v>1001</v>
      </c>
      <c r="B74" s="84"/>
      <c r="C74" s="85"/>
      <c r="D74" s="86"/>
      <c r="E74" s="133"/>
    </row>
    <row r="75" spans="1:5" x14ac:dyDescent="0.25">
      <c r="A75" s="83" t="s">
        <v>1000</v>
      </c>
      <c r="B75" s="84"/>
      <c r="C75" s="85"/>
      <c r="D75" s="86"/>
      <c r="E75" s="133"/>
    </row>
    <row r="76" spans="1:5" ht="15.75" thickBot="1" x14ac:dyDescent="0.3">
      <c r="A76" s="95" t="s">
        <v>16</v>
      </c>
      <c r="B76" s="96"/>
      <c r="C76" s="97"/>
      <c r="D76" s="98"/>
      <c r="E76" s="134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5" sqref="E25"/>
    </sheetView>
  </sheetViews>
  <sheetFormatPr baseColWidth="10" defaultRowHeight="15" x14ac:dyDescent="0.25"/>
  <cols>
    <col min="5" max="5" width="15.7109375" bestFit="1" customWidth="1"/>
    <col min="7" max="7" width="11.5703125" style="48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25">
      <c r="A2" s="19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8">
        <f t="shared" ref="G2" si="1">E2/F2</f>
        <v>9.5348837209302331E-2</v>
      </c>
    </row>
    <row r="3" spans="1:7" x14ac:dyDescent="0.25">
      <c r="A3" s="19">
        <f>'APAGADOS RADIO'!G3</f>
        <v>44867</v>
      </c>
      <c r="B3" s="44"/>
      <c r="C3" s="44"/>
      <c r="D3" s="44"/>
      <c r="E3" s="44"/>
      <c r="F3" s="44"/>
    </row>
    <row r="4" spans="1:7" x14ac:dyDescent="0.25">
      <c r="A4" s="19">
        <f>'APAGADOS RADIO'!H3</f>
        <v>44868</v>
      </c>
      <c r="B4" s="44"/>
      <c r="C4" s="44"/>
      <c r="D4" s="44"/>
      <c r="E4" s="44"/>
      <c r="F4" s="44"/>
    </row>
    <row r="5" spans="1:7" x14ac:dyDescent="0.25">
      <c r="A5" s="19">
        <f>'APAGADOS RADIO'!I3</f>
        <v>44869</v>
      </c>
      <c r="B5" s="44"/>
      <c r="C5" s="44"/>
      <c r="D5" s="44"/>
      <c r="E5" s="44"/>
      <c r="F5" s="44"/>
    </row>
    <row r="6" spans="1:7" x14ac:dyDescent="0.25">
      <c r="A6" s="19">
        <f>'APAGADOS RADIO'!J3</f>
        <v>44870</v>
      </c>
      <c r="B6" s="44"/>
      <c r="C6" s="44"/>
      <c r="D6" s="44"/>
      <c r="E6" s="44"/>
      <c r="F6" s="44"/>
    </row>
    <row r="7" spans="1:7" x14ac:dyDescent="0.25">
      <c r="A7" s="19">
        <f>'APAGADOS RADIO'!K3</f>
        <v>44871</v>
      </c>
      <c r="B7" s="44"/>
      <c r="C7" s="44"/>
      <c r="D7" s="44"/>
      <c r="E7" s="44"/>
      <c r="F7" s="44"/>
    </row>
    <row r="8" spans="1:7" x14ac:dyDescent="0.25">
      <c r="A8" s="19">
        <f>'APAGADOS RADIO'!L3</f>
        <v>44872</v>
      </c>
      <c r="B8" s="44"/>
      <c r="C8" s="44"/>
      <c r="D8" s="44"/>
      <c r="E8" s="44"/>
      <c r="F8" s="44"/>
    </row>
    <row r="9" spans="1:7" x14ac:dyDescent="0.25">
      <c r="A9" s="19">
        <f>'APAGADOS RADIO'!M3</f>
        <v>44873</v>
      </c>
      <c r="B9" s="44"/>
      <c r="C9" s="44"/>
      <c r="D9" s="44"/>
      <c r="E9" s="44"/>
      <c r="F9" s="44"/>
    </row>
    <row r="10" spans="1:7" x14ac:dyDescent="0.25">
      <c r="A10" s="19">
        <f>'APAGADOS RADIO'!N3</f>
        <v>44874</v>
      </c>
      <c r="B10" s="44"/>
      <c r="C10" s="44"/>
      <c r="D10" s="44"/>
      <c r="E10" s="44"/>
      <c r="F10" s="44"/>
    </row>
    <row r="11" spans="1:7" x14ac:dyDescent="0.25">
      <c r="A11" s="19">
        <f>'APAGADOS RADIO'!O3</f>
        <v>44875</v>
      </c>
      <c r="B11" s="44"/>
      <c r="C11" s="44"/>
      <c r="D11" s="44"/>
      <c r="E11" s="44"/>
      <c r="F11" s="44"/>
    </row>
    <row r="12" spans="1:7" x14ac:dyDescent="0.25">
      <c r="A12" s="19">
        <f>'APAGADOS RADIO'!P3</f>
        <v>44876</v>
      </c>
      <c r="B12" s="44"/>
      <c r="C12" s="44"/>
      <c r="D12" s="44"/>
      <c r="E12" s="44"/>
      <c r="F12" s="44"/>
    </row>
    <row r="13" spans="1:7" x14ac:dyDescent="0.25">
      <c r="A13" s="19">
        <f>'APAGADOS RADIO'!Q3</f>
        <v>44877</v>
      </c>
      <c r="B13" s="44"/>
      <c r="C13" s="44"/>
      <c r="D13" s="44"/>
      <c r="E13" s="44"/>
      <c r="F13" s="44"/>
    </row>
    <row r="14" spans="1:7" x14ac:dyDescent="0.25">
      <c r="A14" s="19">
        <f>'APAGADOS RADIO'!R3</f>
        <v>44878</v>
      </c>
      <c r="B14" s="44"/>
      <c r="C14" s="44"/>
      <c r="D14" s="44"/>
      <c r="E14" s="44"/>
      <c r="F14" s="44"/>
    </row>
    <row r="15" spans="1:7" x14ac:dyDescent="0.25">
      <c r="A15" s="19">
        <f>'APAGADOS RADIO'!S3</f>
        <v>44879</v>
      </c>
      <c r="B15" s="44"/>
      <c r="C15" s="44"/>
      <c r="D15" s="44"/>
      <c r="E15" s="44"/>
      <c r="F15" s="44"/>
    </row>
    <row r="16" spans="1:7" x14ac:dyDescent="0.25">
      <c r="A16" s="19">
        <f>'APAGADOS RADIO'!T3</f>
        <v>44880</v>
      </c>
      <c r="B16" s="44"/>
      <c r="C16" s="44"/>
      <c r="D16" s="44"/>
      <c r="E16" s="44"/>
      <c r="F16" s="44"/>
    </row>
    <row r="17" spans="1:6" x14ac:dyDescent="0.25">
      <c r="A17" s="19">
        <f>'APAGADOS RADIO'!U3</f>
        <v>44881</v>
      </c>
      <c r="B17" s="44"/>
      <c r="C17" s="44"/>
      <c r="D17" s="44"/>
      <c r="E17" s="44"/>
      <c r="F17" s="44"/>
    </row>
    <row r="18" spans="1:6" x14ac:dyDescent="0.25">
      <c r="A18" s="19">
        <f>'APAGADOS RADIO'!V3</f>
        <v>44882</v>
      </c>
      <c r="B18" s="44"/>
      <c r="C18" s="44"/>
      <c r="D18" s="44"/>
      <c r="E18" s="44"/>
      <c r="F18" s="44"/>
    </row>
    <row r="19" spans="1:6" x14ac:dyDescent="0.25">
      <c r="A19" s="19">
        <f>'APAGADOS RADIO'!W3</f>
        <v>44883</v>
      </c>
      <c r="B19" s="44"/>
      <c r="C19" s="44"/>
      <c r="D19" s="44"/>
      <c r="E19" s="44"/>
      <c r="F19" s="44"/>
    </row>
    <row r="20" spans="1:6" x14ac:dyDescent="0.25">
      <c r="A20" s="19">
        <f>'APAGADOS RADIO'!X3</f>
        <v>44884</v>
      </c>
      <c r="B20" s="44"/>
      <c r="C20" s="44"/>
      <c r="D20" s="44"/>
      <c r="E20" s="44"/>
      <c r="F20" s="44"/>
    </row>
    <row r="21" spans="1:6" x14ac:dyDescent="0.25">
      <c r="A21" s="19">
        <f>'APAGADOS RADIO'!Y3</f>
        <v>44885</v>
      </c>
      <c r="B21" s="44"/>
      <c r="C21" s="44"/>
      <c r="D21" s="44"/>
      <c r="E21" s="44"/>
      <c r="F21" s="44"/>
    </row>
    <row r="22" spans="1:6" x14ac:dyDescent="0.25">
      <c r="A22" s="19">
        <f>'APAGADOS RADIO'!Z3</f>
        <v>44886</v>
      </c>
      <c r="B22" s="44"/>
      <c r="C22" s="44"/>
      <c r="D22" s="44"/>
      <c r="E22" s="44"/>
      <c r="F22" s="44"/>
    </row>
    <row r="23" spans="1:6" x14ac:dyDescent="0.25">
      <c r="A23" s="19">
        <f>'APAGADOS RADIO'!AA3</f>
        <v>44887</v>
      </c>
      <c r="B23" s="44"/>
      <c r="C23" s="44"/>
      <c r="D23" s="44"/>
      <c r="E23" s="44"/>
      <c r="F23" s="44"/>
    </row>
    <row r="24" spans="1:6" x14ac:dyDescent="0.25">
      <c r="A24" s="19">
        <f>'APAGADOS RADIO'!AB3</f>
        <v>44888</v>
      </c>
      <c r="B24" s="44"/>
      <c r="C24" s="44"/>
      <c r="D24" s="44"/>
      <c r="E24" s="44"/>
      <c r="F24" s="44"/>
    </row>
    <row r="25" spans="1:6" x14ac:dyDescent="0.25">
      <c r="A25" s="19">
        <f>'APAGADOS RADIO'!AC3</f>
        <v>44889</v>
      </c>
      <c r="B25" s="44"/>
      <c r="C25" s="44"/>
      <c r="D25" s="44"/>
      <c r="E25" s="44"/>
      <c r="F25" s="44"/>
    </row>
    <row r="26" spans="1:6" x14ac:dyDescent="0.25">
      <c r="A26" s="19">
        <f>'APAGADOS RADIO'!AD3</f>
        <v>44890</v>
      </c>
      <c r="B26" s="44"/>
      <c r="C26" s="44"/>
      <c r="D26" s="44"/>
      <c r="E26" s="44"/>
      <c r="F26" s="44"/>
    </row>
    <row r="27" spans="1:6" x14ac:dyDescent="0.25">
      <c r="A27" s="19">
        <f>'APAGADOS RADIO'!AE3</f>
        <v>44891</v>
      </c>
      <c r="B27" s="44"/>
      <c r="C27" s="44"/>
      <c r="D27" s="44"/>
      <c r="E27" s="44"/>
      <c r="F27" s="44"/>
    </row>
    <row r="28" spans="1:6" x14ac:dyDescent="0.25">
      <c r="A28" s="19">
        <f>'APAGADOS RADIO'!AF3</f>
        <v>44892</v>
      </c>
      <c r="B28" s="44"/>
      <c r="C28" s="44"/>
      <c r="D28" s="44"/>
      <c r="E28" s="44"/>
      <c r="F28" s="44"/>
    </row>
    <row r="29" spans="1:6" x14ac:dyDescent="0.25">
      <c r="A29" s="19">
        <f>'APAGADOS RADIO'!AG3</f>
        <v>44893</v>
      </c>
      <c r="B29" s="44"/>
      <c r="C29" s="44"/>
      <c r="D29" s="44"/>
      <c r="E29" s="44"/>
      <c r="F29" s="44"/>
    </row>
    <row r="30" spans="1:6" x14ac:dyDescent="0.25">
      <c r="A30" s="19">
        <f>'APAGADOS RADIO'!AH3</f>
        <v>44894</v>
      </c>
      <c r="B30" s="44"/>
      <c r="C30" s="44"/>
      <c r="D30" s="44"/>
      <c r="E30" s="44"/>
      <c r="F30" s="44"/>
    </row>
    <row r="31" spans="1:6" x14ac:dyDescent="0.25">
      <c r="A31" s="19">
        <f>'APAGADOS RADIO'!AI3</f>
        <v>44895</v>
      </c>
      <c r="B31" s="44"/>
      <c r="C31" s="44"/>
      <c r="D31" s="44"/>
      <c r="E31" s="44"/>
      <c r="F31" s="44"/>
    </row>
    <row r="32" spans="1:6" x14ac:dyDescent="0.25">
      <c r="A32" s="19"/>
      <c r="B32" s="44"/>
      <c r="C32" s="44"/>
      <c r="D32" s="44"/>
      <c r="E32" s="44"/>
      <c r="F32" s="44"/>
    </row>
    <row r="33" spans="1:30" x14ac:dyDescent="0.25">
      <c r="A33" s="25"/>
      <c r="B33" s="25"/>
      <c r="C33" s="25"/>
      <c r="D33" s="25"/>
      <c r="E33" s="25"/>
      <c r="F33" s="25"/>
    </row>
    <row r="34" spans="1:30" x14ac:dyDescent="0.25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25">
      <c r="G35" s="48"/>
    </row>
    <row r="36" spans="1:30" s="24" customFormat="1" x14ac:dyDescent="0.25">
      <c r="A36" s="14"/>
      <c r="B36" s="14"/>
      <c r="C36" s="14"/>
      <c r="D36" s="14"/>
      <c r="E36" s="14"/>
      <c r="F36" s="14"/>
      <c r="G36" s="48"/>
    </row>
    <row r="37" spans="1:30" s="14" customFormat="1" x14ac:dyDescent="0.25">
      <c r="A37"/>
      <c r="B37"/>
      <c r="C37"/>
      <c r="D37"/>
      <c r="E37"/>
      <c r="F37"/>
      <c r="G37" s="48"/>
    </row>
    <row r="39" spans="1:30" x14ac:dyDescent="0.25">
      <c r="A39" s="44"/>
      <c r="B39" s="44"/>
    </row>
    <row r="40" spans="1:30" x14ac:dyDescent="0.25">
      <c r="A40" s="44"/>
      <c r="B40" s="44"/>
      <c r="D40" s="19"/>
      <c r="E40" s="48"/>
    </row>
    <row r="41" spans="1:30" x14ac:dyDescent="0.25">
      <c r="A41" s="44"/>
      <c r="B41" s="44"/>
      <c r="D41" s="19"/>
      <c r="E41" s="48"/>
    </row>
    <row r="42" spans="1:30" x14ac:dyDescent="0.25">
      <c r="A42" s="44"/>
      <c r="B42" s="44"/>
      <c r="D42" s="19"/>
      <c r="E42" s="48"/>
    </row>
    <row r="43" spans="1:30" x14ac:dyDescent="0.25">
      <c r="A43" s="44"/>
      <c r="B43" s="44"/>
      <c r="D43" s="19"/>
      <c r="E43" s="48"/>
    </row>
    <row r="44" spans="1:30" x14ac:dyDescent="0.25">
      <c r="A44" s="44"/>
      <c r="B44" s="44"/>
      <c r="D44" s="19"/>
      <c r="E44" s="48"/>
    </row>
    <row r="45" spans="1:30" x14ac:dyDescent="0.25">
      <c r="A45" s="44"/>
      <c r="B45" s="44"/>
      <c r="D45" s="19"/>
      <c r="E45" s="48"/>
    </row>
    <row r="46" spans="1:30" x14ac:dyDescent="0.25">
      <c r="A46" s="44"/>
      <c r="B46" s="44"/>
      <c r="D46" s="19"/>
      <c r="E46" s="48"/>
    </row>
    <row r="47" spans="1:30" x14ac:dyDescent="0.25">
      <c r="A47" s="44"/>
      <c r="B47" s="44"/>
      <c r="D47" s="19"/>
      <c r="E47" s="48"/>
    </row>
    <row r="48" spans="1:30" x14ac:dyDescent="0.25">
      <c r="A48" s="44"/>
      <c r="B48" s="44"/>
      <c r="D48" s="19"/>
      <c r="E48" s="48"/>
    </row>
    <row r="49" spans="1:5" x14ac:dyDescent="0.25">
      <c r="A49" s="44"/>
      <c r="B49" s="44"/>
      <c r="D49" s="19"/>
      <c r="E49" s="48"/>
    </row>
    <row r="50" spans="1:5" x14ac:dyDescent="0.25">
      <c r="A50" s="44"/>
      <c r="B50" s="44"/>
      <c r="D50" s="19"/>
      <c r="E50" s="48"/>
    </row>
    <row r="51" spans="1:5" x14ac:dyDescent="0.25">
      <c r="A51" s="44"/>
      <c r="B51" s="44"/>
      <c r="D51" s="19"/>
      <c r="E51" s="48"/>
    </row>
    <row r="52" spans="1:5" x14ac:dyDescent="0.25">
      <c r="A52" s="44"/>
      <c r="B52" s="44"/>
      <c r="D52" s="19"/>
      <c r="E52" s="48"/>
    </row>
    <row r="53" spans="1:5" x14ac:dyDescent="0.25">
      <c r="A53" s="44"/>
      <c r="B53" s="44"/>
      <c r="D53" s="19"/>
      <c r="E53" s="48"/>
    </row>
    <row r="54" spans="1:5" x14ac:dyDescent="0.25">
      <c r="A54" s="44"/>
      <c r="B54" s="44"/>
      <c r="D54" s="19"/>
      <c r="E54" s="48"/>
    </row>
    <row r="55" spans="1:5" x14ac:dyDescent="0.25">
      <c r="A55" s="44"/>
      <c r="B55" s="44"/>
      <c r="D55" s="19"/>
      <c r="E55" s="48"/>
    </row>
    <row r="56" spans="1:5" x14ac:dyDescent="0.25">
      <c r="A56" s="44"/>
      <c r="B56" s="44"/>
      <c r="D56" s="19"/>
      <c r="E56" s="48"/>
    </row>
    <row r="57" spans="1:5" x14ac:dyDescent="0.25">
      <c r="A57" s="44"/>
      <c r="B57" s="44"/>
      <c r="D57" s="19"/>
      <c r="E57" s="48"/>
    </row>
    <row r="58" spans="1:5" x14ac:dyDescent="0.25">
      <c r="A58" s="44"/>
      <c r="B58" s="44"/>
      <c r="D58" s="19"/>
      <c r="E58" s="48"/>
    </row>
    <row r="59" spans="1:5" x14ac:dyDescent="0.25">
      <c r="A59" s="44"/>
      <c r="B59" s="44"/>
      <c r="D59" s="19"/>
      <c r="E59" s="48"/>
    </row>
    <row r="60" spans="1:5" x14ac:dyDescent="0.25">
      <c r="A60" s="44"/>
      <c r="B60" s="44"/>
      <c r="D60" s="19"/>
    </row>
    <row r="61" spans="1:5" x14ac:dyDescent="0.25">
      <c r="A61" s="44"/>
      <c r="B61" s="44"/>
      <c r="D61" s="19"/>
    </row>
    <row r="62" spans="1:5" x14ac:dyDescent="0.25">
      <c r="A62" s="44"/>
      <c r="B62" s="44"/>
      <c r="D62" s="19"/>
    </row>
    <row r="63" spans="1:5" x14ac:dyDescent="0.25">
      <c r="A63" s="44"/>
      <c r="B63" s="44"/>
      <c r="D63" s="19"/>
    </row>
    <row r="64" spans="1:5" x14ac:dyDescent="0.25">
      <c r="A64" s="44"/>
      <c r="B64" s="44"/>
      <c r="D64" s="19"/>
    </row>
    <row r="65" spans="1:4" x14ac:dyDescent="0.25">
      <c r="A65" s="44"/>
      <c r="B65" s="44"/>
      <c r="D65" s="19"/>
    </row>
    <row r="66" spans="1:4" x14ac:dyDescent="0.25">
      <c r="A66" s="44"/>
      <c r="B66" s="44"/>
      <c r="D66" s="19"/>
    </row>
    <row r="67" spans="1:4" x14ac:dyDescent="0.25">
      <c r="A67" s="44"/>
      <c r="B67" s="44"/>
      <c r="D67" s="19"/>
    </row>
    <row r="68" spans="1:4" x14ac:dyDescent="0.25">
      <c r="A68" s="44"/>
      <c r="B68" s="44"/>
      <c r="D68" s="19"/>
    </row>
    <row r="69" spans="1:4" x14ac:dyDescent="0.25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0"/>
      <c r="C3" s="64" t="s">
        <v>1168</v>
      </c>
      <c r="D3" s="55">
        <v>44835</v>
      </c>
    </row>
    <row r="4" spans="2:4" ht="15.75" thickTop="1" x14ac:dyDescent="0.25">
      <c r="B4" s="72" t="s">
        <v>1159</v>
      </c>
      <c r="C4" s="61">
        <f>COUNTIFS('RESUMEN TOTAL'!C5:C501,"=BONOMO")</f>
        <v>225</v>
      </c>
      <c r="D4" s="68">
        <v>29</v>
      </c>
    </row>
    <row r="5" spans="2:4" ht="15.75" thickBot="1" x14ac:dyDescent="0.3">
      <c r="B5" s="62"/>
      <c r="C5" s="63"/>
      <c r="D5" s="75">
        <v>0.12888888888888889</v>
      </c>
    </row>
    <row r="6" spans="2:4" ht="15.75" thickTop="1" x14ac:dyDescent="0.25">
      <c r="B6" s="71" t="s">
        <v>1160</v>
      </c>
      <c r="C6" s="61">
        <f>COUNTIFS('RESUMEN TOTAL'!C5:C501,"=COSEIDI")</f>
        <v>205</v>
      </c>
      <c r="D6" s="70">
        <v>12</v>
      </c>
    </row>
    <row r="7" spans="2:4" ht="15.75" thickBot="1" x14ac:dyDescent="0.3">
      <c r="B7" s="62"/>
      <c r="C7" s="63"/>
      <c r="D7" s="56">
        <v>5.8536585365853662E-2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2" sqref="F2:F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6.5" thickTop="1" thickBot="1" x14ac:dyDescent="0.3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6.5" thickTop="1" thickBot="1" x14ac:dyDescent="0.3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29</v>
      </c>
      <c r="G3" s="67">
        <f>COUNTIFS('RESUMEN TOTAL'!C7:C501, "=BONOMO",'RESUMEN TOTAL'!L7:L501,"=APAGADO")</f>
        <v>22</v>
      </c>
      <c r="H3" s="67">
        <f>COUNTIFS('RESUMEN TOTAL'!C7:C501, "=BONOMO",'RESUMEN TOTAL'!M7:M501,"=APAGADO")</f>
        <v>0</v>
      </c>
      <c r="I3" s="67">
        <f>COUNTIFS('RESUMEN TOTAL'!C7:C501, "=BONOMO",'RESUMEN TOTAL'!N7:N501,"=APAGADO")</f>
        <v>0</v>
      </c>
      <c r="J3" s="67">
        <f>COUNTIFS('RESUMEN TOTAL'!C7:C501, "=BONOMO",'RESUMEN TOTAL'!O7:O501,"=APAGADO")</f>
        <v>0</v>
      </c>
      <c r="K3" s="67">
        <f>COUNTIFS('RESUMEN TOTAL'!D7:D501, "=BONOMO",'RESUMEN TOTAL'!P7:P501,"=APAGADO")</f>
        <v>0</v>
      </c>
      <c r="L3" s="67">
        <f>COUNTIFS('RESUMEN TOTAL'!C7:C501, "=BONOMO",'RESUMEN TOTAL'!Q7:Q501,"=APAGADO")</f>
        <v>0</v>
      </c>
      <c r="M3" s="67">
        <f>COUNTIFS('RESUMEN TOTAL'!D7:D501, "=BONOMO",'RESUMEN TOTAL'!R7:R501,"=APAGADO")</f>
        <v>0</v>
      </c>
      <c r="N3" s="67">
        <f>COUNTIFS('RESUMEN TOTAL'!C7:C501, "=BONOMO",'RESUMEN TOTAL'!S7:S501,"=APAGADO")</f>
        <v>0</v>
      </c>
      <c r="O3" s="67">
        <f>COUNTIFS('RESUMEN TOTAL'!C7:C501, "=BONOMO",'RESUMEN TOTAL'!T7:T501,"=APAGADO")</f>
        <v>0</v>
      </c>
      <c r="P3" s="68">
        <f>COUNTIFS('RESUMEN TOTAL'!C7:C501, "=BONOMO",'RESUMEN TOTAL'!U7:U501,"=APAGADO")</f>
        <v>0</v>
      </c>
      <c r="Q3" s="68">
        <f>COUNTIFS('RESUMEN TOTAL'!C7:C501, "=BONOMO",'RESUMEN TOTAL'!V7:V501,"=APAGADO")</f>
        <v>0</v>
      </c>
      <c r="R3" s="68">
        <f>COUNTIFS('RESUMEN TOTAL'!C7:C501, "=BONOMO",'RESUMEN TOTAL'!W7:W501,"=APAGADO")</f>
        <v>0</v>
      </c>
      <c r="S3" s="68">
        <f>COUNTIFS('RESUMEN TOTAL'!C7:C501, "=BONOMO",'RESUMEN TOTAL'!X7:X501,"=APAGADO")</f>
        <v>0</v>
      </c>
      <c r="T3" s="68">
        <f>COUNTIFS('RESUMEN TOTAL'!C7:C501, "=BONOMO",'RESUMEN TOTAL'!Y7:Y501,"=APAGADO")</f>
        <v>0</v>
      </c>
      <c r="U3" s="68">
        <f>COUNTIFS('RESUMEN TOTAL'!C7:C501, "=BONOMO",'RESUMEN TOTAL'!Z7:Z501,"=APAGADO")</f>
        <v>0</v>
      </c>
      <c r="V3" s="68">
        <f>COUNTIFS('RESUMEN TOTAL'!D7:D501, "=BONOMO",'RESUMEN TOTAL'!AA7:AA501,"=APAGADO")</f>
        <v>0</v>
      </c>
      <c r="W3" s="68">
        <f>COUNTIFS('RESUMEN TOTAL'!C7:C501, "=BONOMO",'RESUMEN TOTAL'!AB7:AB501,"=APAGADO")</f>
        <v>0</v>
      </c>
      <c r="X3" s="68">
        <f>COUNTIFS('RESUMEN TOTAL'!C7:C501, "=BONOMO",'RESUMEN TOTAL'!AC7:AC501,"=APAGADO")</f>
        <v>0</v>
      </c>
      <c r="Y3" s="68">
        <f>COUNTIFS('RESUMEN TOTAL'!C7:C501, "=BONOMO",'RESUMEN TOTAL'!AD7:AD501,"=APAGADO")</f>
        <v>0</v>
      </c>
      <c r="Z3" s="68">
        <f>COUNTIFS('RESUMEN TOTAL'!C7:C501, "=BONOMO",'RESUMEN TOTAL'!AE7:AE501,"=APAGADO")</f>
        <v>0</v>
      </c>
      <c r="AA3" s="68">
        <f>COUNTIFS('RESUMEN TOTAL'!C7:C501, "=BONOMO",'RESUMEN TOTAL'!AF7:AF501,"=APAGADO")</f>
        <v>0</v>
      </c>
      <c r="AB3" s="68">
        <f>COUNTIFS('RESUMEN TOTAL'!C7:C501, "=BONOMO",'RESUMEN TOTAL'!AG7:AG501,"=APAGADO")</f>
        <v>0</v>
      </c>
      <c r="AC3" s="68">
        <f>COUNTIFS('RESUMEN TOTAL'!C7:C501, "=BONOMO",'RESUMEN TOTAL'!AH7:AH501,"=APAGADO")</f>
        <v>0</v>
      </c>
      <c r="AD3" s="68">
        <f>COUNTIFS('RESUMEN TOTAL'!C7:C501, "=BONOMO",'RESUMEN TOTAL'!AI7:AI501,"=APAGADO")</f>
        <v>0</v>
      </c>
      <c r="AE3" s="68">
        <f>COUNTIFS('RESUMEN TOTAL'!C7:C501, "=BONOMO",'RESUMEN TOTAL'!AJ7:AJ501,"=APAGADO")</f>
        <v>0</v>
      </c>
      <c r="AF3" s="68">
        <f>COUNTIFS('RESUMEN TOTAL'!C7:C501, "=BONOMO",'RESUMEN TOTAL'!AK7:AK501,"=APAGADO")</f>
        <v>0</v>
      </c>
      <c r="AG3" s="68">
        <f>COUNTIFS('RESUMEN TOTAL'!C7:C501, "=BONOMO",'RESUMEN TOTAL'!AL7:AL501,"=APAGADO")</f>
        <v>0</v>
      </c>
      <c r="AH3" s="68">
        <f>COUNTIFS('RESUMEN TOTAL'!C7:C501, "=BONOMO",'RESUMEN TOTAL'!AM7:AM501,"=APAGADO")</f>
        <v>0</v>
      </c>
      <c r="AI3" s="68">
        <f>COUNTIFS('RESUMEN TOTAL'!C7:C501, "=BONOMO",'RESUMEN TOTAL'!AN7:AN501,"=APAGADO")</f>
        <v>0</v>
      </c>
    </row>
    <row r="4" spans="1:35" s="44" customFormat="1" ht="16.5" thickTop="1" thickBot="1" x14ac:dyDescent="0.3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0.12888888888888889</v>
      </c>
      <c r="G4" s="74">
        <f t="shared" si="0"/>
        <v>9.7777777777777783E-2</v>
      </c>
      <c r="H4" s="74">
        <f t="shared" si="0"/>
        <v>0</v>
      </c>
      <c r="I4" s="74">
        <f t="shared" si="0"/>
        <v>0</v>
      </c>
      <c r="J4" s="74">
        <f t="shared" si="0"/>
        <v>0</v>
      </c>
      <c r="K4" s="74">
        <f t="shared" ref="K4" si="1">K3/BONOMOcam</f>
        <v>0</v>
      </c>
      <c r="L4" s="74">
        <f t="shared" si="0"/>
        <v>0</v>
      </c>
      <c r="M4" s="74">
        <f t="shared" ref="M4" si="2">M3/BONOMOcam</f>
        <v>0</v>
      </c>
      <c r="N4" s="74">
        <f t="shared" si="0"/>
        <v>0</v>
      </c>
      <c r="O4" s="74">
        <f t="shared" si="0"/>
        <v>0</v>
      </c>
      <c r="P4" s="75">
        <f t="shared" si="0"/>
        <v>0</v>
      </c>
      <c r="Q4" s="75">
        <f t="shared" ref="Q4" si="3">Q3/BONOMOcam</f>
        <v>0</v>
      </c>
      <c r="R4" s="75">
        <f t="shared" si="0"/>
        <v>0</v>
      </c>
      <c r="S4" s="75">
        <f t="shared" si="0"/>
        <v>0</v>
      </c>
      <c r="T4" s="75">
        <f t="shared" si="0"/>
        <v>0</v>
      </c>
      <c r="U4" s="75">
        <f t="shared" si="0"/>
        <v>0</v>
      </c>
      <c r="V4" s="75">
        <f t="shared" ref="V4" si="4">V3/BONOMOcam</f>
        <v>0</v>
      </c>
      <c r="W4" s="75">
        <f t="shared" si="0"/>
        <v>0</v>
      </c>
      <c r="X4" s="75">
        <f t="shared" si="0"/>
        <v>0</v>
      </c>
      <c r="Y4" s="75">
        <f t="shared" si="0"/>
        <v>0</v>
      </c>
      <c r="Z4" s="75">
        <f t="shared" si="0"/>
        <v>0</v>
      </c>
      <c r="AA4" s="75">
        <f t="shared" si="0"/>
        <v>0</v>
      </c>
      <c r="AB4" s="75">
        <f t="shared" si="0"/>
        <v>0</v>
      </c>
      <c r="AC4" s="75">
        <f t="shared" si="0"/>
        <v>0</v>
      </c>
      <c r="AD4" s="75">
        <f t="shared" si="0"/>
        <v>0</v>
      </c>
      <c r="AE4" s="75">
        <f t="shared" si="0"/>
        <v>0</v>
      </c>
      <c r="AF4" s="75">
        <f t="shared" si="0"/>
        <v>0</v>
      </c>
      <c r="AG4" s="75">
        <f t="shared" si="0"/>
        <v>0</v>
      </c>
      <c r="AH4" s="75">
        <f t="shared" si="0"/>
        <v>0</v>
      </c>
      <c r="AI4" s="75">
        <f t="shared" si="0"/>
        <v>0</v>
      </c>
    </row>
    <row r="5" spans="1:35" ht="16.5" thickTop="1" thickBot="1" x14ac:dyDescent="0.3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12</v>
      </c>
      <c r="G5" s="70">
        <f>COUNTIFS('RESUMEN TOTAL'!C10:C421, "=COSEIDI",'RESUMEN TOTAL'!L10:L421,"=APAGADO")</f>
        <v>10</v>
      </c>
      <c r="H5" s="70">
        <f>COUNTIFS('RESUMEN TOTAL'!C10:C421, "=COSEIDI",'RESUMEN TOTAL'!M10:M421,"=APAGADO")</f>
        <v>0</v>
      </c>
      <c r="I5" s="70">
        <f>COUNTIFS('RESUMEN TOTAL'!C10:C421, "=COSEIDI",'RESUMEN TOTAL'!N10:N421,"=APAGADO")</f>
        <v>0</v>
      </c>
      <c r="J5" s="70">
        <f>COUNTIFS('RESUMEN TOTAL'!C10:C421, "=COSEIDI",'RESUMEN TOTAL'!O10:O421,"=APAGADO")</f>
        <v>0</v>
      </c>
      <c r="K5" s="70">
        <f>COUNTIFS('RESUMEN TOTAL'!D10:D421, "=COSEIDI",'RESUMEN TOTAL'!P10:P421,"=APAGADO")</f>
        <v>0</v>
      </c>
      <c r="L5" s="70">
        <f>COUNTIFS('RESUMEN TOTAL'!C10:C421, "=COSEIDI",'RESUMEN TOTAL'!Q10:Q421,"=APAGADO")</f>
        <v>0</v>
      </c>
      <c r="M5" s="70">
        <f>COUNTIFS('RESUMEN TOTAL'!D10:D421, "=COSEIDI",'RESUMEN TOTAL'!R10:R421,"=APAGADO")</f>
        <v>0</v>
      </c>
      <c r="N5" s="70">
        <f>COUNTIFS('RESUMEN TOTAL'!C10:C421, "=COSEIDI",'RESUMEN TOTAL'!S10:S421,"=APAGADO")</f>
        <v>0</v>
      </c>
      <c r="O5" s="70">
        <f>COUNTIFS('RESUMEN TOTAL'!C10:C421, "=COSEIDI",'RESUMEN TOTAL'!T10:T421,"=APAGADO")</f>
        <v>0</v>
      </c>
      <c r="P5" s="70">
        <f>COUNTIFS('RESUMEN TOTAL'!C10:C421, "=COSEIDI",'RESUMEN TOTAL'!U10:U421,"=APAGADO")</f>
        <v>0</v>
      </c>
      <c r="Q5" s="70">
        <f>COUNTIFS('RESUMEN TOTAL'!C10:C421, "=COSEIDI",'RESUMEN TOTAL'!V10:V421,"=APAGADO")</f>
        <v>0</v>
      </c>
      <c r="R5" s="70">
        <f>COUNTIFS('RESUMEN TOTAL'!C10:C421, "=COSEIDI",'RESUMEN TOTAL'!W10:W421,"=APAGADO")</f>
        <v>0</v>
      </c>
      <c r="S5" s="70">
        <f>COUNTIFS('RESUMEN TOTAL'!C10:C421, "=COSEIDI",'RESUMEN TOTAL'!X10:X421,"=APAGADO")</f>
        <v>0</v>
      </c>
      <c r="T5" s="70">
        <f>COUNTIFS('RESUMEN TOTAL'!C10:C421, "=COSEIDI",'RESUMEN TOTAL'!Y10:Y421,"=APAGADO")</f>
        <v>0</v>
      </c>
      <c r="U5" s="70">
        <f>COUNTIFS('RESUMEN TOTAL'!C10:C421, "=COSEIDI",'RESUMEN TOTAL'!Z10:Z421,"=APAGADO")</f>
        <v>0</v>
      </c>
      <c r="V5" s="70">
        <f>COUNTIFS('RESUMEN TOTAL'!D10:D421, "=COSEIDI",'RESUMEN TOTAL'!AA10:AA421,"=APAGADO")</f>
        <v>0</v>
      </c>
      <c r="W5" s="70">
        <f>COUNTIFS('RESUMEN TOTAL'!C10:C421, "=COSEIDI",'RESUMEN TOTAL'!AB10:AB421,"=APAGADO")</f>
        <v>0</v>
      </c>
      <c r="X5" s="70">
        <f ca="1">COUNTIFS('RESUMEN TOTAL'!C10:C421, "=COSEIDI",'RESUMEN TOTAL'!AC10:AC421,"=APAGADO")</f>
        <v>0</v>
      </c>
      <c r="Y5" s="70">
        <f>COUNTIFS('RESUMEN TOTAL'!C10:C421, "=COSEIDI",'RESUMEN TOTAL'!AD10:AD421,"=APAGADO")</f>
        <v>0</v>
      </c>
      <c r="Z5" s="70">
        <f>COUNTIFS('RESUMEN TOTAL'!C10:C421, "=COSEIDI",'RESUMEN TOTAL'!AE10:AE421,"=APAGADO")</f>
        <v>0</v>
      </c>
      <c r="AA5" s="70">
        <f>COUNTIFS('RESUMEN TOTAL'!C10:C421, "=COSEIDI",'RESUMEN TOTAL'!AF10:AF421,"=APAGADO")</f>
        <v>0</v>
      </c>
      <c r="AB5" s="70">
        <f>COUNTIFS('RESUMEN TOTAL'!C10:C421, "=COSEIDI",'RESUMEN TOTAL'!AG10:AG421,"=APAGADO")</f>
        <v>0</v>
      </c>
      <c r="AC5" s="70">
        <f>COUNTIFS('RESUMEN TOTAL'!C10:C421, "=COSEIDI",'RESUMEN TOTAL'!AH10:AH421,"=APAGADO")</f>
        <v>0</v>
      </c>
      <c r="AD5" s="70">
        <f>COUNTIFS('RESUMEN TOTAL'!C10:C421, "=COSEIDI",'RESUMEN TOTAL'!AI10:AI421,"=APAGADO")</f>
        <v>0</v>
      </c>
      <c r="AE5" s="70">
        <f>COUNTIFS('RESUMEN TOTAL'!C10:C421, "=COSEIDI",'RESUMEN TOTAL'!AJ10:AJ421,"=APAGADO")</f>
        <v>0</v>
      </c>
      <c r="AF5" s="70">
        <f>COUNTIFS('RESUMEN TOTAL'!C10:C421, "=COSEIDI",'RESUMEN TOTAL'!AK10:AK421,"=APAGADO")</f>
        <v>0</v>
      </c>
      <c r="AG5" s="70">
        <f>COUNTIFS('RESUMEN TOTAL'!C10:C421, "=COSEIDI",'RESUMEN TOTAL'!AL10:AL421,"=APAGADO")</f>
        <v>0</v>
      </c>
      <c r="AH5" s="70">
        <f>COUNTIFS('RESUMEN TOTAL'!C10:C421, "=COSEIDI",'RESUMEN TOTAL'!AM10:AM421,"=APAGADO")</f>
        <v>0</v>
      </c>
      <c r="AI5" s="70">
        <f>COUNTIFS('RESUMEN TOTAL'!C10:C421, "=COSEIDI",'RESUMEN TOTAL'!AN10:AN421,"=APAGADO")</f>
        <v>0</v>
      </c>
    </row>
    <row r="6" spans="1:35" ht="16.5" thickTop="1" thickBot="1" x14ac:dyDescent="0.3">
      <c r="D6" s="59"/>
      <c r="E6" s="57" t="s">
        <v>1172</v>
      </c>
      <c r="F6" s="74">
        <f t="shared" ref="F6:AI6" si="5">F5/COSEIDIcam</f>
        <v>5.8536585365853662E-2</v>
      </c>
      <c r="G6" s="74">
        <f t="shared" si="5"/>
        <v>4.878048780487805E-2</v>
      </c>
      <c r="H6" s="74">
        <f t="shared" si="5"/>
        <v>0</v>
      </c>
      <c r="I6" s="74">
        <f t="shared" si="5"/>
        <v>0</v>
      </c>
      <c r="J6" s="74">
        <f t="shared" si="5"/>
        <v>0</v>
      </c>
      <c r="K6" s="74">
        <f t="shared" ref="K6" si="6">K5/COSEIDIcam</f>
        <v>0</v>
      </c>
      <c r="L6" s="74">
        <f t="shared" si="5"/>
        <v>0</v>
      </c>
      <c r="M6" s="74">
        <f t="shared" ref="M6" si="7">M5/COSEIDIcam</f>
        <v>0</v>
      </c>
      <c r="N6" s="74">
        <f t="shared" si="5"/>
        <v>0</v>
      </c>
      <c r="O6" s="74">
        <f t="shared" si="5"/>
        <v>0</v>
      </c>
      <c r="P6" s="74">
        <f t="shared" si="5"/>
        <v>0</v>
      </c>
      <c r="Q6" s="74">
        <f t="shared" ref="Q6" si="8">Q5/COSEIDIcam</f>
        <v>0</v>
      </c>
      <c r="R6" s="74">
        <f t="shared" si="5"/>
        <v>0</v>
      </c>
      <c r="S6" s="74">
        <f t="shared" si="5"/>
        <v>0</v>
      </c>
      <c r="T6" s="74">
        <f t="shared" si="5"/>
        <v>0</v>
      </c>
      <c r="U6" s="74">
        <f t="shared" si="5"/>
        <v>0</v>
      </c>
      <c r="V6" s="74">
        <f t="shared" ref="V6" si="9">V5/COSEIDIcam</f>
        <v>0</v>
      </c>
      <c r="W6" s="74">
        <f t="shared" si="5"/>
        <v>0</v>
      </c>
      <c r="X6" s="74">
        <f t="shared" ca="1" si="5"/>
        <v>0</v>
      </c>
      <c r="Y6" s="74">
        <f t="shared" si="5"/>
        <v>0</v>
      </c>
      <c r="Z6" s="74">
        <f t="shared" si="5"/>
        <v>0</v>
      </c>
      <c r="AA6" s="74">
        <f t="shared" si="5"/>
        <v>0</v>
      </c>
      <c r="AB6" s="74">
        <f t="shared" si="5"/>
        <v>0</v>
      </c>
      <c r="AC6" s="74">
        <f t="shared" si="5"/>
        <v>0</v>
      </c>
      <c r="AD6" s="74">
        <f t="shared" si="5"/>
        <v>0</v>
      </c>
      <c r="AE6" s="74">
        <f t="shared" si="5"/>
        <v>0</v>
      </c>
      <c r="AF6" s="56">
        <f t="shared" si="5"/>
        <v>0</v>
      </c>
      <c r="AG6" s="56">
        <f t="shared" si="5"/>
        <v>0</v>
      </c>
      <c r="AH6" s="56">
        <f t="shared" si="5"/>
        <v>0</v>
      </c>
      <c r="AI6" s="56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2022-11-02T11:16:12Z</dcterms:modified>
</cp:coreProperties>
</file>