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D76D028B-1B37-40CE-8BA1-5B659B3DAC34}" xr6:coauthVersionLast="47" xr6:coauthVersionMax="47" xr10:uidLastSave="{00000000-0000-0000-0000-000000000000}"/>
  <bookViews>
    <workbookView xWindow="-108" yWindow="-108" windowWidth="23256" windowHeight="13176" firstSheet="4" activeTab="8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95" i="9" l="1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V396" i="10" s="1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AS3" i="2"/>
  <c r="AS2" i="2"/>
  <c r="M378" i="2"/>
  <c r="M379" i="2"/>
  <c r="L378" i="2"/>
  <c r="L379" i="2"/>
  <c r="O2" i="2"/>
  <c r="P2" i="2"/>
  <c r="Q2" i="2"/>
  <c r="R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E381" i="11" l="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N385" i="2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N387" i="2"/>
  <c r="N386" i="2"/>
  <c r="AS1" i="2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Q3" i="2"/>
  <c r="AR3" i="2"/>
  <c r="AI365" i="21" l="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T3" i="2"/>
  <c r="T1" i="2" s="1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P1" i="2"/>
  <c r="AH1" i="2"/>
  <c r="AF1" i="2"/>
  <c r="AD1" i="2"/>
  <c r="AA1" i="2"/>
  <c r="Z1" i="2"/>
  <c r="Y1" i="2"/>
  <c r="R1" i="2"/>
  <c r="X1" i="2"/>
  <c r="B1" i="2"/>
  <c r="F10" i="14" s="1"/>
  <c r="AI2" i="21" l="1"/>
  <c r="AH2" i="21"/>
  <c r="AC2" i="21"/>
  <c r="U2" i="21"/>
  <c r="M2" i="21"/>
  <c r="D9" i="14" s="1"/>
  <c r="D1" i="2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X2" i="21"/>
  <c r="P2" i="21"/>
  <c r="H2" i="21"/>
  <c r="D4" i="14" s="1"/>
  <c r="W2" i="21"/>
  <c r="O2" i="21"/>
  <c r="G2" i="21"/>
  <c r="D3" i="14" s="1"/>
  <c r="AD2" i="21"/>
  <c r="V2" i="2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K2" i="11" l="1"/>
  <c r="G2" i="1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O2" i="11"/>
  <c r="AG2" i="11"/>
  <c r="R2" i="11"/>
  <c r="P2" i="11"/>
  <c r="AB2" i="11"/>
  <c r="V2" i="11"/>
  <c r="B3" i="14"/>
  <c r="Q2" i="11"/>
  <c r="AA2" i="11"/>
  <c r="AC2" i="11"/>
  <c r="U2" i="11"/>
  <c r="AE2" i="11"/>
  <c r="AF2" i="11"/>
  <c r="X2" i="11"/>
  <c r="AD2" i="11"/>
  <c r="Y2" i="11"/>
  <c r="Z2" i="11"/>
  <c r="S2" i="11"/>
  <c r="B9" i="14"/>
  <c r="B4" i="14"/>
  <c r="T2" i="11"/>
  <c r="W2" i="11"/>
  <c r="E10" i="14" l="1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<sst xmlns="http://schemas.openxmlformats.org/spreadsheetml/2006/main" count="3640" uniqueCount="1402">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</sst>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W5" activePane="bottomRight" state="frozen"/>
      <selection pane="topRight" activeCell="M1" sqref="M1"/>
      <selection pane="bottomLeft" activeCell="A5" sqref="A5"/>
      <selection pane="bottomRight" activeCell="F109" sqref="F109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14.109375" style="22" bestFit="1" customWidth="1"/>
    <col min="45" max="45" width="14.109375" bestFit="1" customWidth="1"/>
  </cols>
  <sheetData>
    <row r="1" spans="1:45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0.10026385224274406</v>
      </c>
      <c r="P1" s="4">
        <f t="shared" si="0"/>
        <v>0.10817941952506596</v>
      </c>
      <c r="Q1" s="4">
        <f t="shared" si="0"/>
        <v>8.1794195250659632E-2</v>
      </c>
      <c r="R1" s="4">
        <f t="shared" si="0"/>
        <v>8.9709762532981532E-2</v>
      </c>
      <c r="S1" s="4"/>
      <c r="T1" s="4">
        <f>(T3)/(T2+T3)</f>
        <v>0.13720316622691292</v>
      </c>
      <c r="U1" s="4">
        <f t="shared" si="0"/>
        <v>0.19261213720316622</v>
      </c>
      <c r="V1" s="4">
        <f t="shared" si="0"/>
        <v>0.13192612137203166</v>
      </c>
      <c r="W1" s="4">
        <f t="shared" si="0"/>
        <v>0.13456464379947231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3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341</v>
      </c>
      <c r="P2" s="10">
        <f t="shared" si="3"/>
        <v>338</v>
      </c>
      <c r="Q2" s="10">
        <f t="shared" si="3"/>
        <v>348</v>
      </c>
      <c r="R2" s="10">
        <f t="shared" si="3"/>
        <v>345</v>
      </c>
      <c r="S2" s="10"/>
      <c r="T2" s="10">
        <f t="shared" si="3"/>
        <v>327</v>
      </c>
      <c r="U2" s="10">
        <f t="shared" si="3"/>
        <v>306</v>
      </c>
      <c r="V2" s="10">
        <f t="shared" si="3"/>
        <v>329</v>
      </c>
      <c r="W2" s="10">
        <f t="shared" si="3"/>
        <v>328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38</v>
      </c>
      <c r="P3" s="14">
        <f t="shared" ref="P3:AP3" si="5">COUNTIF(P4:P447, "apagado")</f>
        <v>41</v>
      </c>
      <c r="Q3" s="14">
        <f t="shared" si="5"/>
        <v>31</v>
      </c>
      <c r="R3" s="14">
        <f t="shared" si="5"/>
        <v>34</v>
      </c>
      <c r="S3" s="14"/>
      <c r="T3" s="14">
        <f t="shared" si="5"/>
        <v>52</v>
      </c>
      <c r="U3" s="14">
        <f t="shared" si="5"/>
        <v>73</v>
      </c>
      <c r="V3" s="14">
        <f t="shared" si="5"/>
        <v>50</v>
      </c>
      <c r="W3" s="14">
        <f t="shared" si="5"/>
        <v>51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0.6" thickTop="1" thickBot="1" x14ac:dyDescent="0.4">
      <c r="A4" t="s">
        <v>7</v>
      </c>
      <c r="B4" s="45" t="s">
        <v>8</v>
      </c>
      <c r="C4" s="102" t="s">
        <v>1390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44774</v>
      </c>
      <c r="P4" s="15">
        <v>44775</v>
      </c>
      <c r="Q4" s="15">
        <v>44776</v>
      </c>
      <c r="R4" s="15">
        <v>44777</v>
      </c>
      <c r="S4" s="15">
        <v>44778</v>
      </c>
      <c r="T4" s="15">
        <v>44779</v>
      </c>
      <c r="U4" s="15">
        <v>44780</v>
      </c>
      <c r="V4" s="15">
        <v>44781</v>
      </c>
      <c r="W4" s="15">
        <v>44782</v>
      </c>
      <c r="X4" s="15">
        <v>44783</v>
      </c>
      <c r="Y4" s="15">
        <v>44784</v>
      </c>
      <c r="Z4" s="15">
        <v>44785</v>
      </c>
      <c r="AA4" s="15">
        <v>44786</v>
      </c>
      <c r="AB4" s="15">
        <v>44787</v>
      </c>
      <c r="AC4" s="15">
        <v>44788</v>
      </c>
      <c r="AD4" s="15">
        <v>44789</v>
      </c>
      <c r="AE4" s="15">
        <v>44790</v>
      </c>
      <c r="AF4" s="15">
        <v>44791</v>
      </c>
      <c r="AG4" s="15">
        <v>44792</v>
      </c>
      <c r="AH4" s="15">
        <v>44793</v>
      </c>
      <c r="AI4" s="15">
        <v>44794</v>
      </c>
      <c r="AJ4" s="15">
        <v>44795</v>
      </c>
      <c r="AK4" s="15">
        <v>44796</v>
      </c>
      <c r="AL4" s="15">
        <v>44797</v>
      </c>
      <c r="AM4" s="15">
        <v>44798</v>
      </c>
      <c r="AN4" s="15">
        <v>44799</v>
      </c>
      <c r="AO4" s="15">
        <v>44800</v>
      </c>
      <c r="AP4" s="15">
        <v>44801</v>
      </c>
      <c r="AQ4" s="15">
        <v>44802</v>
      </c>
      <c r="AR4" s="15">
        <v>44803</v>
      </c>
      <c r="AS4" s="15">
        <v>44804</v>
      </c>
    </row>
    <row r="5" spans="1:45" ht="15.6" thickTop="1" thickBot="1" x14ac:dyDescent="0.35">
      <c r="A5" s="51" t="s">
        <v>34</v>
      </c>
      <c r="B5" s="51" t="s">
        <v>1214</v>
      </c>
      <c r="C5" s="51" t="s">
        <v>1391</v>
      </c>
      <c r="D5" s="51" t="s">
        <v>44</v>
      </c>
      <c r="E5" s="51" t="s">
        <v>24</v>
      </c>
      <c r="F5" s="51" t="s">
        <v>1383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26</v>
      </c>
      <c r="M5" s="17">
        <f t="shared" ref="M5:M68" si="8">COUNTIF(O5:AP5,"APAGADO")</f>
        <v>4</v>
      </c>
      <c r="N5" s="18">
        <f t="shared" ref="N5:N68" si="9">(L5)/(M5+L5)</f>
        <v>0.8666666666666667</v>
      </c>
      <c r="O5" s="29"/>
      <c r="P5" s="19"/>
      <c r="Q5" s="19"/>
      <c r="R5" s="19"/>
      <c r="S5" s="29"/>
      <c r="T5" s="29" t="s">
        <v>1209</v>
      </c>
      <c r="U5" s="19" t="s">
        <v>1209</v>
      </c>
      <c r="V5" s="19" t="s">
        <v>1209</v>
      </c>
      <c r="W5" s="19" t="s">
        <v>1209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s="51" t="s">
        <v>34</v>
      </c>
      <c r="B6" s="51" t="s">
        <v>1215</v>
      </c>
      <c r="C6" s="51" t="s">
        <v>1391</v>
      </c>
      <c r="D6" s="51" t="s">
        <v>46</v>
      </c>
      <c r="E6" s="51" t="s">
        <v>24</v>
      </c>
      <c r="F6" s="51" t="s">
        <v>1383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26</v>
      </c>
      <c r="M6" s="17">
        <f t="shared" si="8"/>
        <v>4</v>
      </c>
      <c r="N6" s="18">
        <f t="shared" si="9"/>
        <v>0.8666666666666667</v>
      </c>
      <c r="O6" s="27"/>
      <c r="P6" s="8"/>
      <c r="Q6" s="8"/>
      <c r="R6" s="8"/>
      <c r="S6" s="27"/>
      <c r="T6" s="27" t="s">
        <v>1209</v>
      </c>
      <c r="U6" s="8" t="s">
        <v>1209</v>
      </c>
      <c r="V6" s="8" t="s">
        <v>1209</v>
      </c>
      <c r="W6" s="8" t="s">
        <v>1209</v>
      </c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A7" s="51" t="s">
        <v>34</v>
      </c>
      <c r="B7" s="51" t="s">
        <v>1216</v>
      </c>
      <c r="C7" s="51" t="s">
        <v>1391</v>
      </c>
      <c r="D7" s="51" t="s">
        <v>35</v>
      </c>
      <c r="E7" s="51" t="s">
        <v>24</v>
      </c>
      <c r="F7" s="51" t="s">
        <v>1384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26</v>
      </c>
      <c r="M7" s="17">
        <f t="shared" si="8"/>
        <v>4</v>
      </c>
      <c r="N7" s="18">
        <f t="shared" si="9"/>
        <v>0.8666666666666667</v>
      </c>
      <c r="O7" s="27"/>
      <c r="P7" s="8"/>
      <c r="Q7" s="8"/>
      <c r="R7" s="8"/>
      <c r="S7" s="27"/>
      <c r="T7" s="27" t="s">
        <v>1209</v>
      </c>
      <c r="U7" s="8" t="s">
        <v>1209</v>
      </c>
      <c r="V7" s="8" t="s">
        <v>1209</v>
      </c>
      <c r="W7" s="8" t="s">
        <v>1209</v>
      </c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s="51" t="s">
        <v>34</v>
      </c>
      <c r="B8" s="51" t="s">
        <v>1217</v>
      </c>
      <c r="C8" s="51" t="s">
        <v>1391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26</v>
      </c>
      <c r="M8" s="17">
        <f t="shared" si="8"/>
        <v>4</v>
      </c>
      <c r="N8" s="18">
        <f t="shared" si="9"/>
        <v>0.8666666666666667</v>
      </c>
      <c r="O8" s="27"/>
      <c r="P8" s="8"/>
      <c r="Q8" s="8"/>
      <c r="R8" s="8"/>
      <c r="S8" s="27"/>
      <c r="T8" s="27" t="s">
        <v>1209</v>
      </c>
      <c r="U8" s="8" t="s">
        <v>1209</v>
      </c>
      <c r="V8" s="8" t="s">
        <v>1209</v>
      </c>
      <c r="W8" s="8" t="s">
        <v>1209</v>
      </c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A9" s="51" t="s">
        <v>34</v>
      </c>
      <c r="B9" s="51" t="s">
        <v>1218</v>
      </c>
      <c r="C9" s="51" t="s">
        <v>1391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26</v>
      </c>
      <c r="M9" s="17">
        <f t="shared" si="8"/>
        <v>4</v>
      </c>
      <c r="N9" s="18">
        <f t="shared" si="9"/>
        <v>0.8666666666666667</v>
      </c>
      <c r="O9" s="27"/>
      <c r="P9" s="8"/>
      <c r="Q9" s="8"/>
      <c r="R9" s="8"/>
      <c r="S9" s="27"/>
      <c r="T9" s="27" t="s">
        <v>1209</v>
      </c>
      <c r="U9" s="8" t="s">
        <v>1209</v>
      </c>
      <c r="V9" s="8" t="s">
        <v>1209</v>
      </c>
      <c r="W9" s="8" t="s">
        <v>1209</v>
      </c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s="51" t="s">
        <v>34</v>
      </c>
      <c r="B10" s="51" t="s">
        <v>1219</v>
      </c>
      <c r="C10" s="51" t="s">
        <v>1391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s="51" t="s">
        <v>34</v>
      </c>
      <c r="B11" s="51" t="s">
        <v>38</v>
      </c>
      <c r="C11" s="51" t="s">
        <v>1391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s="51" t="s">
        <v>34</v>
      </c>
      <c r="B12" s="51" t="s">
        <v>41</v>
      </c>
      <c r="C12" s="51" t="s">
        <v>1391</v>
      </c>
      <c r="D12" s="51" t="s">
        <v>42</v>
      </c>
      <c r="E12" s="51" t="s">
        <v>24</v>
      </c>
      <c r="F12" s="51" t="s">
        <v>1384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s="51" t="s">
        <v>34</v>
      </c>
      <c r="B13" s="51" t="s">
        <v>48</v>
      </c>
      <c r="C13" s="51" t="s">
        <v>1391</v>
      </c>
      <c r="D13" s="51" t="s">
        <v>49</v>
      </c>
      <c r="E13" s="51" t="s">
        <v>24</v>
      </c>
      <c r="F13" s="51" t="s">
        <v>1384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A14" s="51" t="s">
        <v>34</v>
      </c>
      <c r="B14" s="51" t="s">
        <v>51</v>
      </c>
      <c r="C14" s="51" t="s">
        <v>1391</v>
      </c>
      <c r="D14" s="51" t="s">
        <v>52</v>
      </c>
      <c r="E14" s="51" t="s">
        <v>19</v>
      </c>
      <c r="F14" s="51" t="s">
        <v>1384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s="51" t="s">
        <v>58</v>
      </c>
      <c r="B15" s="51" t="s">
        <v>1221</v>
      </c>
      <c r="C15" s="51" t="s">
        <v>1392</v>
      </c>
      <c r="D15" s="51" t="s">
        <v>59</v>
      </c>
      <c r="E15" s="51" t="s">
        <v>24</v>
      </c>
      <c r="F15" s="51" t="s">
        <v>1383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28</v>
      </c>
      <c r="M15" s="17">
        <f t="shared" si="8"/>
        <v>2</v>
      </c>
      <c r="N15" s="18">
        <f t="shared" si="9"/>
        <v>0.93333333333333335</v>
      </c>
      <c r="O15" s="27"/>
      <c r="P15" s="8" t="s">
        <v>1209</v>
      </c>
      <c r="Q15" s="8"/>
      <c r="R15" s="8"/>
      <c r="S15" s="27"/>
      <c r="T15" s="27" t="s">
        <v>1209</v>
      </c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s="51" t="s">
        <v>61</v>
      </c>
      <c r="B16" s="51" t="s">
        <v>1222</v>
      </c>
      <c r="C16" s="51" t="s">
        <v>1391</v>
      </c>
      <c r="D16" s="51" t="s">
        <v>62</v>
      </c>
      <c r="E16" s="51" t="s">
        <v>19</v>
      </c>
      <c r="F16" s="51" t="s">
        <v>1383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29</v>
      </c>
      <c r="M16" s="17">
        <f t="shared" si="8"/>
        <v>1</v>
      </c>
      <c r="N16" s="18">
        <f t="shared" si="9"/>
        <v>0.96666666666666667</v>
      </c>
      <c r="O16" s="27"/>
      <c r="P16" s="8" t="s">
        <v>1209</v>
      </c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s="51" t="s">
        <v>72</v>
      </c>
      <c r="B17" s="51" t="s">
        <v>1223</v>
      </c>
      <c r="C17" s="51" t="s">
        <v>1391</v>
      </c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s="51" t="s">
        <v>72</v>
      </c>
      <c r="B18" s="51" t="s">
        <v>1225</v>
      </c>
      <c r="C18" s="51" t="s">
        <v>1391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s="51" t="s">
        <v>72</v>
      </c>
      <c r="B19" s="51" t="s">
        <v>1226</v>
      </c>
      <c r="C19" s="51" t="s">
        <v>1391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s="51" t="s">
        <v>72</v>
      </c>
      <c r="B20" s="51" t="s">
        <v>1227</v>
      </c>
      <c r="C20" s="51" t="s">
        <v>1391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s="51" t="s">
        <v>72</v>
      </c>
      <c r="B21" s="51" t="s">
        <v>1228</v>
      </c>
      <c r="C21" s="51" t="s">
        <v>1391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A22" s="51" t="s">
        <v>72</v>
      </c>
      <c r="B22" s="51" t="s">
        <v>1229</v>
      </c>
      <c r="C22" s="51" t="s">
        <v>1391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A23" s="51" t="s">
        <v>72</v>
      </c>
      <c r="B23" s="51" t="s">
        <v>1230</v>
      </c>
      <c r="C23" s="51" t="s">
        <v>1391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A24" s="51" t="s">
        <v>72</v>
      </c>
      <c r="B24" s="51" t="s">
        <v>68</v>
      </c>
      <c r="C24" s="51" t="s">
        <v>1391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A25" s="51" t="s">
        <v>72</v>
      </c>
      <c r="B25" s="51" t="s">
        <v>70</v>
      </c>
      <c r="C25" s="51" t="s">
        <v>1391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s="51" t="s">
        <v>72</v>
      </c>
      <c r="B26" s="51" t="s">
        <v>73</v>
      </c>
      <c r="C26" s="51" t="s">
        <v>1391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29</v>
      </c>
      <c r="M26" s="17">
        <f t="shared" si="8"/>
        <v>1</v>
      </c>
      <c r="N26" s="18">
        <f t="shared" si="9"/>
        <v>0.96666666666666667</v>
      </c>
      <c r="O26" s="27"/>
      <c r="P26" s="8"/>
      <c r="Q26" s="8"/>
      <c r="R26" s="8"/>
      <c r="S26" s="27"/>
      <c r="T26" s="27" t="s">
        <v>1209</v>
      </c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A27" s="51" t="s">
        <v>72</v>
      </c>
      <c r="B27" s="51" t="s">
        <v>76</v>
      </c>
      <c r="C27" s="51" t="s">
        <v>1391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A28" s="51" t="s">
        <v>72</v>
      </c>
      <c r="B28" s="51" t="s">
        <v>78</v>
      </c>
      <c r="C28" s="51" t="s">
        <v>1391</v>
      </c>
      <c r="D28" s="51" t="s">
        <v>79</v>
      </c>
      <c r="E28" s="51" t="s">
        <v>19</v>
      </c>
      <c r="F28" s="51" t="s">
        <v>1383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A29" s="51" t="s">
        <v>72</v>
      </c>
      <c r="B29" s="51" t="s">
        <v>83</v>
      </c>
      <c r="C29" s="51" t="s">
        <v>1391</v>
      </c>
      <c r="D29" s="51" t="s">
        <v>84</v>
      </c>
      <c r="E29" s="51" t="s">
        <v>19</v>
      </c>
      <c r="F29" s="51" t="s">
        <v>1384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s="51" t="s">
        <v>72</v>
      </c>
      <c r="B30" s="51" t="s">
        <v>86</v>
      </c>
      <c r="C30" s="51" t="s">
        <v>1391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s="51" t="s">
        <v>72</v>
      </c>
      <c r="B31" s="51" t="s">
        <v>1231</v>
      </c>
      <c r="C31" s="51" t="s">
        <v>1391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1387</v>
      </c>
      <c r="L31" s="53">
        <f t="shared" si="10"/>
        <v>22</v>
      </c>
      <c r="M31" s="17">
        <f t="shared" si="8"/>
        <v>8</v>
      </c>
      <c r="N31" s="18">
        <f t="shared" si="9"/>
        <v>0.73333333333333328</v>
      </c>
      <c r="O31" s="27" t="s">
        <v>1209</v>
      </c>
      <c r="P31" s="8" t="s">
        <v>1209</v>
      </c>
      <c r="Q31" s="8" t="s">
        <v>1209</v>
      </c>
      <c r="R31" s="8" t="s">
        <v>1209</v>
      </c>
      <c r="S31" s="27"/>
      <c r="T31" s="27" t="s">
        <v>1209</v>
      </c>
      <c r="U31" s="8" t="s">
        <v>1209</v>
      </c>
      <c r="V31" s="8" t="s">
        <v>1209</v>
      </c>
      <c r="W31" s="8" t="s">
        <v>1209</v>
      </c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s="51" t="s">
        <v>72</v>
      </c>
      <c r="B32" s="51" t="s">
        <v>92</v>
      </c>
      <c r="C32" s="51" t="s">
        <v>1391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s="51" t="s">
        <v>72</v>
      </c>
      <c r="B33" s="51" t="s">
        <v>95</v>
      </c>
      <c r="C33" s="51" t="s">
        <v>1391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s="51" t="s">
        <v>72</v>
      </c>
      <c r="B34" s="51" t="s">
        <v>97</v>
      </c>
      <c r="C34" s="51" t="s">
        <v>1391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21</v>
      </c>
      <c r="M34" s="17">
        <f t="shared" si="8"/>
        <v>9</v>
      </c>
      <c r="N34" s="18">
        <f t="shared" si="9"/>
        <v>0.7</v>
      </c>
      <c r="O34" s="27" t="s">
        <v>1209</v>
      </c>
      <c r="P34" s="8" t="s">
        <v>1209</v>
      </c>
      <c r="Q34" s="8" t="s">
        <v>1209</v>
      </c>
      <c r="R34" s="8" t="s">
        <v>1209</v>
      </c>
      <c r="S34" s="27" t="s">
        <v>1209</v>
      </c>
      <c r="T34" s="27" t="s">
        <v>1209</v>
      </c>
      <c r="U34" s="8" t="s">
        <v>1209</v>
      </c>
      <c r="V34" s="8" t="s">
        <v>1209</v>
      </c>
      <c r="W34" s="8" t="s">
        <v>1209</v>
      </c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s="51" t="s">
        <v>72</v>
      </c>
      <c r="B35" s="51" t="s">
        <v>1232</v>
      </c>
      <c r="C35" s="51" t="s">
        <v>1391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s="51" t="s">
        <v>72</v>
      </c>
      <c r="B36" s="51" t="s">
        <v>1234</v>
      </c>
      <c r="C36" s="51" t="s">
        <v>1391</v>
      </c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30</v>
      </c>
      <c r="M36" s="17">
        <f t="shared" si="8"/>
        <v>0</v>
      </c>
      <c r="N36" s="18">
        <f t="shared" si="9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s="51" t="s">
        <v>72</v>
      </c>
      <c r="B37" s="51" t="s">
        <v>100</v>
      </c>
      <c r="C37" s="51" t="s">
        <v>1391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s="51" t="s">
        <v>72</v>
      </c>
      <c r="B38" s="51" t="s">
        <v>104</v>
      </c>
      <c r="C38" s="51" t="s">
        <v>1391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s="51" t="s">
        <v>72</v>
      </c>
      <c r="B39" s="51" t="s">
        <v>107</v>
      </c>
      <c r="C39" s="51" t="s">
        <v>1391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s="51" t="s">
        <v>72</v>
      </c>
      <c r="B40" s="51" t="s">
        <v>110</v>
      </c>
      <c r="C40" s="51" t="s">
        <v>1391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s="51" t="s">
        <v>72</v>
      </c>
      <c r="B41" s="51" t="s">
        <v>115</v>
      </c>
      <c r="C41" s="51" t="s">
        <v>1391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s="51" t="s">
        <v>72</v>
      </c>
      <c r="B42" s="51" t="s">
        <v>118</v>
      </c>
      <c r="C42" s="51" t="s">
        <v>1391</v>
      </c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s="51" t="s">
        <v>72</v>
      </c>
      <c r="B43" s="51" t="s">
        <v>121</v>
      </c>
      <c r="C43" s="51" t="s">
        <v>1391</v>
      </c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s="51" t="s">
        <v>72</v>
      </c>
      <c r="B44" s="51" t="s">
        <v>123</v>
      </c>
      <c r="C44" s="51" t="s">
        <v>1391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s="51" t="s">
        <v>72</v>
      </c>
      <c r="B45" s="51" t="s">
        <v>126</v>
      </c>
      <c r="C45" s="51" t="s">
        <v>1391</v>
      </c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s="51" t="s">
        <v>72</v>
      </c>
      <c r="B46" s="51" t="s">
        <v>128</v>
      </c>
      <c r="C46" s="51" t="s">
        <v>1391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s="51" t="s">
        <v>72</v>
      </c>
      <c r="B47" s="51" t="s">
        <v>135</v>
      </c>
      <c r="C47" s="51" t="s">
        <v>1391</v>
      </c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s="51" t="s">
        <v>72</v>
      </c>
      <c r="B48" s="51" t="s">
        <v>137</v>
      </c>
      <c r="C48" s="51" t="s">
        <v>1391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s="51" t="s">
        <v>72</v>
      </c>
      <c r="B49" s="51" t="s">
        <v>140</v>
      </c>
      <c r="C49" s="51" t="s">
        <v>1391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s="51"/>
      <c r="B50" s="51" t="s">
        <v>144</v>
      </c>
      <c r="C50" s="51" t="s">
        <v>1391</v>
      </c>
      <c r="D50" s="51" t="s">
        <v>145</v>
      </c>
      <c r="E50" s="51" t="s">
        <v>24</v>
      </c>
      <c r="F50" s="51" t="s">
        <v>1384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s="51" t="s">
        <v>72</v>
      </c>
      <c r="B51" s="51" t="s">
        <v>148</v>
      </c>
      <c r="C51" s="51" t="s">
        <v>1391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s="51" t="s">
        <v>72</v>
      </c>
      <c r="B52" s="51" t="s">
        <v>151</v>
      </c>
      <c r="C52" s="51" t="s">
        <v>1391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A53" s="51" t="s">
        <v>152</v>
      </c>
      <c r="B53" s="51" t="s">
        <v>153</v>
      </c>
      <c r="C53" s="51" t="s">
        <v>1391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s="51" t="s">
        <v>72</v>
      </c>
      <c r="B54" s="51" t="s">
        <v>156</v>
      </c>
      <c r="C54" s="51" t="s">
        <v>1391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s="51" t="s">
        <v>72</v>
      </c>
      <c r="B55" s="51" t="s">
        <v>158</v>
      </c>
      <c r="C55" s="51" t="s">
        <v>1391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s="51" t="s">
        <v>72</v>
      </c>
      <c r="B56" s="51" t="s">
        <v>161</v>
      </c>
      <c r="C56" s="51" t="s">
        <v>1391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s="51" t="s">
        <v>72</v>
      </c>
      <c r="B57" s="51" t="s">
        <v>164</v>
      </c>
      <c r="C57" s="51" t="s">
        <v>1391</v>
      </c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s="51" t="s">
        <v>72</v>
      </c>
      <c r="B58" s="51" t="s">
        <v>166</v>
      </c>
      <c r="C58" s="51" t="s">
        <v>1391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s="51" t="s">
        <v>72</v>
      </c>
      <c r="B59" s="51" t="s">
        <v>169</v>
      </c>
      <c r="C59" s="51" t="s">
        <v>1391</v>
      </c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s="51" t="s">
        <v>72</v>
      </c>
      <c r="B60" s="51" t="s">
        <v>171</v>
      </c>
      <c r="C60" s="51" t="s">
        <v>1391</v>
      </c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s="51" t="s">
        <v>72</v>
      </c>
      <c r="B61" s="51" t="s">
        <v>172</v>
      </c>
      <c r="C61" s="51" t="s">
        <v>1391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s="51" t="s">
        <v>72</v>
      </c>
      <c r="B62" s="51" t="s">
        <v>174</v>
      </c>
      <c r="C62" s="51" t="s">
        <v>1391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s="51" t="s">
        <v>72</v>
      </c>
      <c r="B63" s="51" t="s">
        <v>176</v>
      </c>
      <c r="C63" s="51" t="s">
        <v>1391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s="51" t="s">
        <v>72</v>
      </c>
      <c r="B64" s="51" t="s">
        <v>179</v>
      </c>
      <c r="C64" s="51" t="s">
        <v>1391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s="51" t="s">
        <v>72</v>
      </c>
      <c r="B65" s="51" t="s">
        <v>182</v>
      </c>
      <c r="C65" s="51" t="s">
        <v>1391</v>
      </c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s="51" t="s">
        <v>72</v>
      </c>
      <c r="B66" s="51" t="s">
        <v>183</v>
      </c>
      <c r="C66" s="51" t="s">
        <v>1391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s="51" t="s">
        <v>72</v>
      </c>
      <c r="B67" s="51" t="s">
        <v>185</v>
      </c>
      <c r="C67" s="51" t="s">
        <v>1391</v>
      </c>
      <c r="D67" s="51" t="s">
        <v>1397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21</v>
      </c>
      <c r="M67" s="17">
        <f t="shared" si="8"/>
        <v>9</v>
      </c>
      <c r="N67" s="18">
        <f t="shared" si="9"/>
        <v>0.7</v>
      </c>
      <c r="O67" s="27" t="s">
        <v>1209</v>
      </c>
      <c r="P67" s="8" t="s">
        <v>1209</v>
      </c>
      <c r="Q67" s="8" t="s">
        <v>1209</v>
      </c>
      <c r="R67" s="8" t="s">
        <v>1209</v>
      </c>
      <c r="S67" s="27" t="s">
        <v>1209</v>
      </c>
      <c r="T67" s="27" t="s">
        <v>1209</v>
      </c>
      <c r="U67" s="8" t="s">
        <v>1209</v>
      </c>
      <c r="V67" s="8" t="s">
        <v>1209</v>
      </c>
      <c r="W67" s="8" t="s">
        <v>1209</v>
      </c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s="51" t="s">
        <v>72</v>
      </c>
      <c r="B68" s="51" t="s">
        <v>186</v>
      </c>
      <c r="C68" s="51" t="s">
        <v>1391</v>
      </c>
      <c r="D68" s="51" t="s">
        <v>1398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s="51" t="s">
        <v>72</v>
      </c>
      <c r="B69" s="51" t="s">
        <v>187</v>
      </c>
      <c r="C69" s="51" t="s">
        <v>1391</v>
      </c>
      <c r="D69" s="51" t="s">
        <v>1399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s="51" t="s">
        <v>72</v>
      </c>
      <c r="B70" s="51" t="s">
        <v>189</v>
      </c>
      <c r="C70" s="51" t="s">
        <v>1391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s="51" t="s">
        <v>72</v>
      </c>
      <c r="B71" s="51" t="s">
        <v>191</v>
      </c>
      <c r="C71" s="51" t="s">
        <v>1391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s="51" t="s">
        <v>72</v>
      </c>
      <c r="B72" s="51" t="s">
        <v>194</v>
      </c>
      <c r="C72" s="51" t="s">
        <v>1391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s="51" t="s">
        <v>72</v>
      </c>
      <c r="B73" s="51" t="s">
        <v>196</v>
      </c>
      <c r="C73" s="51" t="s">
        <v>1391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s="51" t="s">
        <v>72</v>
      </c>
      <c r="B74" s="51" t="s">
        <v>199</v>
      </c>
      <c r="C74" s="51" t="s">
        <v>1391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30</v>
      </c>
      <c r="M74" s="17">
        <f t="shared" si="11"/>
        <v>0</v>
      </c>
      <c r="N74" s="18">
        <f t="shared" si="12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s="51" t="s">
        <v>72</v>
      </c>
      <c r="B75" s="51" t="s">
        <v>201</v>
      </c>
      <c r="C75" s="51" t="s">
        <v>1391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s="51" t="s">
        <v>72</v>
      </c>
      <c r="B76" s="51" t="s">
        <v>204</v>
      </c>
      <c r="C76" s="51" t="s">
        <v>1391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s="51" t="s">
        <v>72</v>
      </c>
      <c r="B77" s="51" t="s">
        <v>206</v>
      </c>
      <c r="C77" s="51" t="s">
        <v>1391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s="51" t="s">
        <v>72</v>
      </c>
      <c r="B78" s="51" t="s">
        <v>208</v>
      </c>
      <c r="C78" s="51" t="s">
        <v>1391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s="51" t="s">
        <v>72</v>
      </c>
      <c r="B79" s="51" t="s">
        <v>209</v>
      </c>
      <c r="C79" s="51" t="s">
        <v>1391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s="51" t="s">
        <v>72</v>
      </c>
      <c r="B80" s="51" t="s">
        <v>211</v>
      </c>
      <c r="C80" s="51" t="s">
        <v>1391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29</v>
      </c>
      <c r="M80" s="17">
        <f t="shared" si="11"/>
        <v>1</v>
      </c>
      <c r="N80" s="18">
        <f t="shared" si="12"/>
        <v>0.96666666666666667</v>
      </c>
      <c r="O80" s="27"/>
      <c r="P80" s="8"/>
      <c r="Q80" s="8"/>
      <c r="R80" s="8"/>
      <c r="S80" s="27"/>
      <c r="T80" s="27"/>
      <c r="U80" s="8"/>
      <c r="V80" s="8" t="s">
        <v>1209</v>
      </c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s="51" t="s">
        <v>72</v>
      </c>
      <c r="B81" s="51" t="s">
        <v>215</v>
      </c>
      <c r="C81" s="51" t="s">
        <v>1391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s="51" t="s">
        <v>72</v>
      </c>
      <c r="B82" s="51" t="s">
        <v>221</v>
      </c>
      <c r="C82" s="51" t="s">
        <v>1391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s="51" t="s">
        <v>72</v>
      </c>
      <c r="B83" s="51" t="s">
        <v>1244</v>
      </c>
      <c r="C83" s="51" t="s">
        <v>1391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s="51" t="s">
        <v>72</v>
      </c>
      <c r="B84" s="51" t="s">
        <v>1245</v>
      </c>
      <c r="C84" s="51" t="s">
        <v>1391</v>
      </c>
      <c r="D84" s="51" t="s">
        <v>1246</v>
      </c>
      <c r="E84" s="51" t="s">
        <v>19</v>
      </c>
      <c r="F84" s="51" t="s">
        <v>1384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s="51" t="s">
        <v>72</v>
      </c>
      <c r="B85" s="51" t="s">
        <v>1247</v>
      </c>
      <c r="C85" s="51" t="s">
        <v>1391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s="51" t="s">
        <v>72</v>
      </c>
      <c r="B86" s="51" t="s">
        <v>224</v>
      </c>
      <c r="C86" s="51" t="s">
        <v>1391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A87" s="51" t="s">
        <v>72</v>
      </c>
      <c r="B87" s="51" t="s">
        <v>227</v>
      </c>
      <c r="C87" s="51" t="s">
        <v>1391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22</v>
      </c>
      <c r="M87" s="17">
        <f t="shared" si="11"/>
        <v>8</v>
      </c>
      <c r="N87" s="18">
        <f t="shared" si="12"/>
        <v>0.73333333333333328</v>
      </c>
      <c r="O87" s="27" t="s">
        <v>1209</v>
      </c>
      <c r="P87" s="8" t="s">
        <v>1209</v>
      </c>
      <c r="Q87" s="8" t="s">
        <v>1209</v>
      </c>
      <c r="R87" s="8" t="s">
        <v>1209</v>
      </c>
      <c r="S87" s="27"/>
      <c r="T87" s="27" t="s">
        <v>1209</v>
      </c>
      <c r="U87" s="8" t="s">
        <v>1209</v>
      </c>
      <c r="V87" s="8" t="s">
        <v>1209</v>
      </c>
      <c r="W87" s="8" t="s">
        <v>1209</v>
      </c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s="51" t="s">
        <v>72</v>
      </c>
      <c r="B88" s="51" t="s">
        <v>228</v>
      </c>
      <c r="C88" s="51" t="s">
        <v>1391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s="51" t="s">
        <v>72</v>
      </c>
      <c r="B89" s="51" t="s">
        <v>231</v>
      </c>
      <c r="C89" s="51" t="s">
        <v>1391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s="51" t="s">
        <v>72</v>
      </c>
      <c r="B90" s="51" t="s">
        <v>232</v>
      </c>
      <c r="C90" s="51" t="s">
        <v>1391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s="51" t="s">
        <v>72</v>
      </c>
      <c r="B91" s="51" t="s">
        <v>235</v>
      </c>
      <c r="C91" s="51" t="s">
        <v>1391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s="51" t="s">
        <v>72</v>
      </c>
      <c r="B92" s="51" t="s">
        <v>238</v>
      </c>
      <c r="C92" s="51" t="s">
        <v>1391</v>
      </c>
      <c r="D92" s="51" t="s">
        <v>239</v>
      </c>
      <c r="E92" s="51" t="s">
        <v>24</v>
      </c>
      <c r="F92" s="51" t="s">
        <v>1383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s="51" t="s">
        <v>240</v>
      </c>
      <c r="B93" s="51" t="s">
        <v>241</v>
      </c>
      <c r="C93" s="51" t="s">
        <v>1391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s="51" t="s">
        <v>243</v>
      </c>
      <c r="B94" s="51" t="s">
        <v>244</v>
      </c>
      <c r="C94" s="51" t="s">
        <v>1391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s="51" t="s">
        <v>243</v>
      </c>
      <c r="B95" s="51" t="s">
        <v>247</v>
      </c>
      <c r="C95" s="51" t="s">
        <v>1391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s="51" t="s">
        <v>243</v>
      </c>
      <c r="B96" s="51" t="s">
        <v>250</v>
      </c>
      <c r="C96" s="51" t="s">
        <v>1391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29</v>
      </c>
      <c r="M96" s="17">
        <f t="shared" si="11"/>
        <v>1</v>
      </c>
      <c r="N96" s="18">
        <f t="shared" si="12"/>
        <v>0.96666666666666667</v>
      </c>
      <c r="O96" s="27"/>
      <c r="P96" s="8"/>
      <c r="Q96" s="8"/>
      <c r="R96" s="8"/>
      <c r="S96" s="27"/>
      <c r="T96" s="27"/>
      <c r="U96" s="8"/>
      <c r="V96" s="8"/>
      <c r="W96" s="8" t="s">
        <v>1209</v>
      </c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s="51" t="s">
        <v>256</v>
      </c>
      <c r="B97" s="51" t="s">
        <v>1248</v>
      </c>
      <c r="C97" s="51" t="s">
        <v>1392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29</v>
      </c>
      <c r="M97" s="17">
        <f t="shared" si="11"/>
        <v>1</v>
      </c>
      <c r="N97" s="18">
        <f t="shared" si="12"/>
        <v>0.96666666666666667</v>
      </c>
      <c r="O97" s="27"/>
      <c r="P97" s="8"/>
      <c r="Q97" s="8"/>
      <c r="R97" s="8"/>
      <c r="S97" s="27"/>
      <c r="T97" s="27"/>
      <c r="U97" s="8" t="s">
        <v>1209</v>
      </c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s="51" t="s">
        <v>253</v>
      </c>
      <c r="B98" s="51" t="s">
        <v>254</v>
      </c>
      <c r="C98" s="51" t="s">
        <v>1392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s="51" t="s">
        <v>256</v>
      </c>
      <c r="B99" s="51" t="s">
        <v>257</v>
      </c>
      <c r="C99" s="51" t="s">
        <v>1392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s="51" t="s">
        <v>264</v>
      </c>
      <c r="B100" s="51" t="s">
        <v>1249</v>
      </c>
      <c r="C100" s="51" t="s">
        <v>1391</v>
      </c>
      <c r="D100" s="51" t="s">
        <v>265</v>
      </c>
      <c r="E100" s="51" t="s">
        <v>102</v>
      </c>
      <c r="F100" s="51" t="s">
        <v>1384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s="51" t="s">
        <v>264</v>
      </c>
      <c r="B101" s="51" t="s">
        <v>1250</v>
      </c>
      <c r="C101" s="51" t="s">
        <v>1391</v>
      </c>
      <c r="D101" s="51" t="s">
        <v>265</v>
      </c>
      <c r="E101" s="51" t="s">
        <v>102</v>
      </c>
      <c r="F101" s="51" t="s">
        <v>1384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s="51" t="s">
        <v>264</v>
      </c>
      <c r="B102" s="51" t="s">
        <v>1251</v>
      </c>
      <c r="C102" s="51" t="s">
        <v>1391</v>
      </c>
      <c r="D102" s="51" t="s">
        <v>1252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A103" s="51" t="s">
        <v>264</v>
      </c>
      <c r="B103" s="51" t="s">
        <v>1253</v>
      </c>
      <c r="C103" s="51" t="s">
        <v>1391</v>
      </c>
      <c r="D103" s="51" t="s">
        <v>1252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s="51" t="s">
        <v>264</v>
      </c>
      <c r="B104" s="51" t="s">
        <v>262</v>
      </c>
      <c r="C104" s="51" t="s">
        <v>1391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s="51" t="s">
        <v>268</v>
      </c>
      <c r="B105" s="51" t="s">
        <v>1254</v>
      </c>
      <c r="C105" s="51" t="s">
        <v>1392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s="51" t="s">
        <v>268</v>
      </c>
      <c r="B106" s="51" t="s">
        <v>1255</v>
      </c>
      <c r="C106" s="51" t="s">
        <v>1392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s="51" t="s">
        <v>268</v>
      </c>
      <c r="B107" s="51" t="s">
        <v>1256</v>
      </c>
      <c r="C107" s="51" t="s">
        <v>1392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s="51" t="s">
        <v>268</v>
      </c>
      <c r="B108" s="51" t="s">
        <v>1257</v>
      </c>
      <c r="C108" s="51" t="s">
        <v>1392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s="51" t="s">
        <v>276</v>
      </c>
      <c r="B109" s="51" t="s">
        <v>279</v>
      </c>
      <c r="C109" s="51" t="s">
        <v>1392</v>
      </c>
      <c r="D109" s="51" t="s">
        <v>1258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s="51" t="s">
        <v>276</v>
      </c>
      <c r="B110" s="51" t="s">
        <v>281</v>
      </c>
      <c r="C110" s="51" t="s">
        <v>1392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s="51" t="s">
        <v>283</v>
      </c>
      <c r="B111" s="51" t="s">
        <v>284</v>
      </c>
      <c r="C111" s="51" t="s">
        <v>1392</v>
      </c>
      <c r="D111" s="51" t="s">
        <v>285</v>
      </c>
      <c r="E111" s="51" t="s">
        <v>24</v>
      </c>
      <c r="F111" s="51" t="s">
        <v>1384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30</v>
      </c>
      <c r="M111" s="17">
        <f t="shared" si="11"/>
        <v>0</v>
      </c>
      <c r="N111" s="18">
        <f t="shared" si="12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s="51" t="s">
        <v>286</v>
      </c>
      <c r="B112" s="51" t="s">
        <v>287</v>
      </c>
      <c r="C112" s="51" t="s">
        <v>1392</v>
      </c>
      <c r="D112" s="51" t="s">
        <v>288</v>
      </c>
      <c r="E112" s="51" t="s">
        <v>19</v>
      </c>
      <c r="F112" s="51" t="s">
        <v>1384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s="51" t="s">
        <v>276</v>
      </c>
      <c r="B113" s="51" t="s">
        <v>290</v>
      </c>
      <c r="C113" s="51" t="s">
        <v>1392</v>
      </c>
      <c r="D113" s="51" t="s">
        <v>291</v>
      </c>
      <c r="E113" s="51" t="s">
        <v>24</v>
      </c>
      <c r="F113" s="51" t="s">
        <v>1383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30</v>
      </c>
      <c r="M113" s="17">
        <f t="shared" si="11"/>
        <v>0</v>
      </c>
      <c r="N113" s="18">
        <f t="shared" si="12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s="51" t="s">
        <v>276</v>
      </c>
      <c r="B114" s="51" t="s">
        <v>292</v>
      </c>
      <c r="C114" s="51" t="s">
        <v>1392</v>
      </c>
      <c r="D114" s="51" t="s">
        <v>293</v>
      </c>
      <c r="E114" s="51" t="s">
        <v>24</v>
      </c>
      <c r="F114" s="51" t="s">
        <v>1383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s="51" t="s">
        <v>276</v>
      </c>
      <c r="B115" s="51" t="s">
        <v>295</v>
      </c>
      <c r="C115" s="51" t="s">
        <v>1392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s="51" t="s">
        <v>276</v>
      </c>
      <c r="B116" s="51" t="s">
        <v>1259</v>
      </c>
      <c r="C116" s="51" t="s">
        <v>1392</v>
      </c>
      <c r="D116" s="51" t="s">
        <v>277</v>
      </c>
      <c r="E116" s="51" t="s">
        <v>19</v>
      </c>
      <c r="F116" s="51" t="s">
        <v>1384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s="51" t="s">
        <v>276</v>
      </c>
      <c r="B117" s="51" t="s">
        <v>298</v>
      </c>
      <c r="C117" s="51" t="s">
        <v>1392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s="51" t="s">
        <v>276</v>
      </c>
      <c r="B118" s="51" t="s">
        <v>301</v>
      </c>
      <c r="C118" s="51" t="s">
        <v>1392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s="51" t="s">
        <v>276</v>
      </c>
      <c r="B119" s="51" t="s">
        <v>303</v>
      </c>
      <c r="C119" s="51" t="s">
        <v>1392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s="51" t="s">
        <v>276</v>
      </c>
      <c r="B120" s="51" t="s">
        <v>305</v>
      </c>
      <c r="C120" s="51" t="s">
        <v>1392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30</v>
      </c>
      <c r="M120" s="17">
        <f t="shared" si="11"/>
        <v>0</v>
      </c>
      <c r="N120" s="18">
        <f t="shared" si="12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5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s="51" t="s">
        <v>306</v>
      </c>
      <c r="B121" s="51" t="s">
        <v>1260</v>
      </c>
      <c r="C121" s="51" t="s">
        <v>1392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30</v>
      </c>
      <c r="M121" s="17">
        <f t="shared" si="11"/>
        <v>0</v>
      </c>
      <c r="N121" s="18">
        <f t="shared" si="12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s="51" t="s">
        <v>306</v>
      </c>
      <c r="B122" s="51" t="s">
        <v>1261</v>
      </c>
      <c r="C122" s="51" t="s">
        <v>1392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s="51" t="s">
        <v>309</v>
      </c>
      <c r="B123" s="51" t="s">
        <v>1262</v>
      </c>
      <c r="C123" s="51" t="s">
        <v>1392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s="51" t="s">
        <v>312</v>
      </c>
      <c r="B124" s="51" t="s">
        <v>313</v>
      </c>
      <c r="C124" s="51" t="s">
        <v>1391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s="51" t="s">
        <v>312</v>
      </c>
      <c r="B125" s="51" t="s">
        <v>320</v>
      </c>
      <c r="C125" s="51" t="s">
        <v>1391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s="51" t="s">
        <v>312</v>
      </c>
      <c r="B126" s="51" t="s">
        <v>323</v>
      </c>
      <c r="C126" s="51" t="s">
        <v>1391</v>
      </c>
      <c r="D126" s="51" t="s">
        <v>324</v>
      </c>
      <c r="E126" s="51" t="s">
        <v>102</v>
      </c>
      <c r="F126" s="51" t="s">
        <v>1384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s="51" t="s">
        <v>312</v>
      </c>
      <c r="B127" s="51" t="s">
        <v>325</v>
      </c>
      <c r="C127" s="51" t="s">
        <v>1391</v>
      </c>
      <c r="D127" s="51" t="s">
        <v>324</v>
      </c>
      <c r="E127" s="51" t="s">
        <v>102</v>
      </c>
      <c r="F127" s="51" t="s">
        <v>1384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s="51" t="s">
        <v>312</v>
      </c>
      <c r="B128" s="51" t="s">
        <v>1263</v>
      </c>
      <c r="C128" s="51" t="s">
        <v>1391</v>
      </c>
      <c r="D128" s="51" t="s">
        <v>346</v>
      </c>
      <c r="E128" s="51" t="s">
        <v>102</v>
      </c>
      <c r="F128" s="51" t="s">
        <v>1384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24</v>
      </c>
      <c r="M128" s="17">
        <f t="shared" si="11"/>
        <v>6</v>
      </c>
      <c r="N128" s="18">
        <f t="shared" si="12"/>
        <v>0.8</v>
      </c>
      <c r="O128" s="27" t="s">
        <v>1209</v>
      </c>
      <c r="P128" s="8" t="s">
        <v>1209</v>
      </c>
      <c r="Q128" s="8" t="s">
        <v>1209</v>
      </c>
      <c r="R128" s="8" t="s">
        <v>1209</v>
      </c>
      <c r="S128" s="27" t="s">
        <v>1209</v>
      </c>
      <c r="T128" s="27" t="s">
        <v>1209</v>
      </c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s="51" t="s">
        <v>312</v>
      </c>
      <c r="B129" s="51" t="s">
        <v>1264</v>
      </c>
      <c r="C129" s="51" t="s">
        <v>1391</v>
      </c>
      <c r="D129" s="51" t="s">
        <v>346</v>
      </c>
      <c r="E129" s="51" t="s">
        <v>102</v>
      </c>
      <c r="F129" s="51" t="s">
        <v>1384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25</v>
      </c>
      <c r="M129" s="17">
        <f t="shared" si="11"/>
        <v>5</v>
      </c>
      <c r="N129" s="18">
        <f t="shared" si="12"/>
        <v>0.83333333333333337</v>
      </c>
      <c r="O129" s="27" t="s">
        <v>1209</v>
      </c>
      <c r="P129" s="8" t="s">
        <v>1209</v>
      </c>
      <c r="Q129" s="8" t="s">
        <v>1209</v>
      </c>
      <c r="R129" s="8" t="s">
        <v>1209</v>
      </c>
      <c r="S129" s="27" t="s">
        <v>1209</v>
      </c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s="51" t="s">
        <v>312</v>
      </c>
      <c r="B130" s="51" t="s">
        <v>1265</v>
      </c>
      <c r="C130" s="51" t="s">
        <v>1391</v>
      </c>
      <c r="D130" s="51" t="s">
        <v>349</v>
      </c>
      <c r="E130" s="51" t="s">
        <v>102</v>
      </c>
      <c r="F130" s="51" t="s">
        <v>1384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s="51" t="s">
        <v>312</v>
      </c>
      <c r="B131" s="51" t="s">
        <v>1266</v>
      </c>
      <c r="C131" s="51" t="s">
        <v>1391</v>
      </c>
      <c r="D131" s="51" t="s">
        <v>349</v>
      </c>
      <c r="E131" s="51" t="s">
        <v>102</v>
      </c>
      <c r="F131" s="51" t="s">
        <v>1384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s="51" t="s">
        <v>326</v>
      </c>
      <c r="B132" s="51" t="s">
        <v>327</v>
      </c>
      <c r="C132" s="51" t="s">
        <v>1391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s="51" t="s">
        <v>243</v>
      </c>
      <c r="B133" s="51" t="s">
        <v>330</v>
      </c>
      <c r="C133" s="51" t="s">
        <v>1391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30</v>
      </c>
      <c r="M133" s="17">
        <f t="shared" ref="M133:M196" si="14">COUNTIF(O133:AP133,"APAGADO")</f>
        <v>0</v>
      </c>
      <c r="N133" s="18">
        <f t="shared" ref="N133:N196" si="15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s="51" t="s">
        <v>312</v>
      </c>
      <c r="B134" s="51" t="s">
        <v>333</v>
      </c>
      <c r="C134" s="51" t="s">
        <v>1391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21</v>
      </c>
      <c r="M134" s="17">
        <f t="shared" si="14"/>
        <v>9</v>
      </c>
      <c r="N134" s="18">
        <f t="shared" si="15"/>
        <v>0.7</v>
      </c>
      <c r="O134" s="27" t="s">
        <v>1209</v>
      </c>
      <c r="P134" s="8" t="s">
        <v>1209</v>
      </c>
      <c r="Q134" s="8" t="s">
        <v>1209</v>
      </c>
      <c r="R134" s="8" t="s">
        <v>1209</v>
      </c>
      <c r="S134" s="27" t="s">
        <v>1209</v>
      </c>
      <c r="T134" s="27" t="s">
        <v>1209</v>
      </c>
      <c r="U134" s="8" t="s">
        <v>1209</v>
      </c>
      <c r="V134" s="8" t="s">
        <v>1209</v>
      </c>
      <c r="W134" s="8" t="s">
        <v>1209</v>
      </c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s="51" t="s">
        <v>312</v>
      </c>
      <c r="B135" s="51" t="s">
        <v>336</v>
      </c>
      <c r="C135" s="51" t="s">
        <v>1391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s="51" t="s">
        <v>312</v>
      </c>
      <c r="B136" s="51" t="s">
        <v>339</v>
      </c>
      <c r="C136" s="51" t="s">
        <v>1391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30</v>
      </c>
      <c r="M136" s="17">
        <f t="shared" si="14"/>
        <v>0</v>
      </c>
      <c r="N136" s="18">
        <f t="shared" si="15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s="51" t="s">
        <v>312</v>
      </c>
      <c r="B137" s="51" t="s">
        <v>341</v>
      </c>
      <c r="C137" s="51" t="s">
        <v>1391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s="51" t="s">
        <v>312</v>
      </c>
      <c r="B138" s="51" t="s">
        <v>1267</v>
      </c>
      <c r="C138" s="51" t="s">
        <v>1391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s="51" t="s">
        <v>312</v>
      </c>
      <c r="B139" s="51" t="s">
        <v>1268</v>
      </c>
      <c r="C139" s="51" t="s">
        <v>1391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s="51" t="s">
        <v>312</v>
      </c>
      <c r="B140" s="51" t="s">
        <v>344</v>
      </c>
      <c r="C140" s="51" t="s">
        <v>1391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s="51" t="s">
        <v>152</v>
      </c>
      <c r="B141" s="51" t="s">
        <v>351</v>
      </c>
      <c r="C141" s="51" t="s">
        <v>1391</v>
      </c>
      <c r="D141" s="51" t="s">
        <v>352</v>
      </c>
      <c r="E141" s="51" t="s">
        <v>19</v>
      </c>
      <c r="F141" s="51" t="s">
        <v>1384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s="51" t="s">
        <v>152</v>
      </c>
      <c r="B142" s="51" t="s">
        <v>354</v>
      </c>
      <c r="C142" s="51" t="s">
        <v>1391</v>
      </c>
      <c r="D142" s="51" t="s">
        <v>355</v>
      </c>
      <c r="E142" s="51" t="s">
        <v>19</v>
      </c>
      <c r="F142" s="51" t="s">
        <v>1384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s="51" t="s">
        <v>152</v>
      </c>
      <c r="B143" s="51" t="s">
        <v>356</v>
      </c>
      <c r="C143" s="51" t="s">
        <v>1391</v>
      </c>
      <c r="D143" s="51" t="s">
        <v>357</v>
      </c>
      <c r="E143" s="51" t="s">
        <v>19</v>
      </c>
      <c r="F143" s="51" t="s">
        <v>1384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s="51" t="s">
        <v>243</v>
      </c>
      <c r="B144" s="51" t="s">
        <v>1269</v>
      </c>
      <c r="C144" s="51" t="s">
        <v>1391</v>
      </c>
      <c r="D144" s="51" t="s">
        <v>1270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s="51" t="s">
        <v>243</v>
      </c>
      <c r="B145" s="51" t="s">
        <v>358</v>
      </c>
      <c r="C145" s="51" t="s">
        <v>1391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A146" s="51" t="s">
        <v>362</v>
      </c>
      <c r="B146" s="51" t="s">
        <v>363</v>
      </c>
      <c r="C146" s="51" t="s">
        <v>1391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s="51" t="s">
        <v>362</v>
      </c>
      <c r="B147" s="51" t="s">
        <v>365</v>
      </c>
      <c r="C147" s="51" t="s">
        <v>1391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s="51" t="s">
        <v>366</v>
      </c>
      <c r="B148" s="51" t="s">
        <v>1271</v>
      </c>
      <c r="C148" s="51" t="s">
        <v>1392</v>
      </c>
      <c r="D148" s="51" t="s">
        <v>367</v>
      </c>
      <c r="E148" s="51" t="s">
        <v>19</v>
      </c>
      <c r="F148" s="51" t="s">
        <v>1383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s="51" t="s">
        <v>366</v>
      </c>
      <c r="B149" s="51" t="s">
        <v>368</v>
      </c>
      <c r="C149" s="51" t="s">
        <v>1392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s="51" t="s">
        <v>366</v>
      </c>
      <c r="B150" s="51" t="s">
        <v>370</v>
      </c>
      <c r="C150" s="51" t="s">
        <v>1392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s="51" t="s">
        <v>377</v>
      </c>
      <c r="B151" s="51" t="s">
        <v>1272</v>
      </c>
      <c r="C151" s="51" t="s">
        <v>1391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A152" s="51" t="s">
        <v>377</v>
      </c>
      <c r="B152" s="51" t="s">
        <v>1273</v>
      </c>
      <c r="C152" s="51" t="s">
        <v>1391</v>
      </c>
      <c r="D152" s="51" t="s">
        <v>1274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s="51" t="s">
        <v>377</v>
      </c>
      <c r="B153" s="51" t="s">
        <v>1275</v>
      </c>
      <c r="C153" s="51" t="s">
        <v>1391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s="51" t="s">
        <v>377</v>
      </c>
      <c r="B154" s="51" t="s">
        <v>1276</v>
      </c>
      <c r="C154" s="51" t="s">
        <v>1391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s="51" t="s">
        <v>377</v>
      </c>
      <c r="B155" s="51" t="s">
        <v>1277</v>
      </c>
      <c r="C155" s="51" t="s">
        <v>1391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s="51" t="s">
        <v>377</v>
      </c>
      <c r="B156" s="51" t="s">
        <v>1278</v>
      </c>
      <c r="C156" s="51" t="s">
        <v>1391</v>
      </c>
      <c r="D156" s="51" t="s">
        <v>372</v>
      </c>
      <c r="E156" s="51" t="s">
        <v>65</v>
      </c>
      <c r="F156" s="51" t="s">
        <v>1383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21</v>
      </c>
      <c r="M156" s="17">
        <f t="shared" si="14"/>
        <v>9</v>
      </c>
      <c r="N156" s="18">
        <f t="shared" si="15"/>
        <v>0.7</v>
      </c>
      <c r="O156" s="27" t="s">
        <v>1209</v>
      </c>
      <c r="P156" s="8" t="s">
        <v>1209</v>
      </c>
      <c r="Q156" s="8" t="s">
        <v>1209</v>
      </c>
      <c r="R156" s="8" t="s">
        <v>1209</v>
      </c>
      <c r="S156" s="27" t="s">
        <v>1209</v>
      </c>
      <c r="T156" s="27" t="s">
        <v>1209</v>
      </c>
      <c r="U156" s="8" t="s">
        <v>1209</v>
      </c>
      <c r="V156" s="8" t="s">
        <v>1209</v>
      </c>
      <c r="W156" s="8" t="s">
        <v>1209</v>
      </c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s="51" t="s">
        <v>374</v>
      </c>
      <c r="B157" s="51" t="s">
        <v>375</v>
      </c>
      <c r="C157" s="51" t="s">
        <v>1391</v>
      </c>
      <c r="D157" s="51" t="s">
        <v>376</v>
      </c>
      <c r="E157" s="51" t="s">
        <v>24</v>
      </c>
      <c r="F157" s="51" t="s">
        <v>1383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21</v>
      </c>
      <c r="M157" s="17">
        <f t="shared" si="14"/>
        <v>9</v>
      </c>
      <c r="N157" s="18">
        <f t="shared" si="15"/>
        <v>0.7</v>
      </c>
      <c r="O157" s="27" t="s">
        <v>1209</v>
      </c>
      <c r="P157" s="8" t="s">
        <v>1209</v>
      </c>
      <c r="Q157" s="8" t="s">
        <v>1209</v>
      </c>
      <c r="R157" s="8" t="s">
        <v>1209</v>
      </c>
      <c r="S157" s="27" t="s">
        <v>1209</v>
      </c>
      <c r="T157" s="27" t="s">
        <v>1209</v>
      </c>
      <c r="U157" s="8" t="s">
        <v>1209</v>
      </c>
      <c r="V157" s="8" t="s">
        <v>1209</v>
      </c>
      <c r="W157" s="8" t="s">
        <v>1209</v>
      </c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s="51" t="s">
        <v>377</v>
      </c>
      <c r="B158" s="51" t="s">
        <v>378</v>
      </c>
      <c r="C158" s="51" t="s">
        <v>1391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21</v>
      </c>
      <c r="M158" s="17">
        <f t="shared" si="14"/>
        <v>9</v>
      </c>
      <c r="N158" s="18">
        <f t="shared" si="15"/>
        <v>0.7</v>
      </c>
      <c r="O158" s="27" t="s">
        <v>1209</v>
      </c>
      <c r="P158" s="8" t="s">
        <v>1209</v>
      </c>
      <c r="Q158" s="8" t="s">
        <v>1209</v>
      </c>
      <c r="R158" s="8" t="s">
        <v>1209</v>
      </c>
      <c r="S158" s="27" t="s">
        <v>1209</v>
      </c>
      <c r="T158" s="27" t="s">
        <v>1209</v>
      </c>
      <c r="U158" s="8" t="s">
        <v>1209</v>
      </c>
      <c r="V158" s="8" t="s">
        <v>1209</v>
      </c>
      <c r="W158" s="8" t="s">
        <v>1209</v>
      </c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s="51" t="s">
        <v>377</v>
      </c>
      <c r="B159" s="51" t="s">
        <v>380</v>
      </c>
      <c r="C159" s="51" t="s">
        <v>1391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s="51" t="s">
        <v>374</v>
      </c>
      <c r="B160" s="51" t="s">
        <v>384</v>
      </c>
      <c r="C160" s="51" t="s">
        <v>1391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28</v>
      </c>
      <c r="M160" s="17">
        <f t="shared" si="14"/>
        <v>2</v>
      </c>
      <c r="N160" s="18">
        <f t="shared" si="15"/>
        <v>0.93333333333333335</v>
      </c>
      <c r="O160" s="27"/>
      <c r="P160" s="8"/>
      <c r="Q160" s="8"/>
      <c r="R160" s="8"/>
      <c r="S160" s="27"/>
      <c r="T160" s="27" t="s">
        <v>1209</v>
      </c>
      <c r="U160" s="8" t="s">
        <v>1209</v>
      </c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s="51" t="s">
        <v>377</v>
      </c>
      <c r="B161" s="51" t="s">
        <v>387</v>
      </c>
      <c r="C161" s="51" t="s">
        <v>1391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s="51" t="s">
        <v>377</v>
      </c>
      <c r="B162" s="51" t="s">
        <v>389</v>
      </c>
      <c r="C162" s="51" t="s">
        <v>1391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28</v>
      </c>
      <c r="M162" s="17">
        <f t="shared" si="14"/>
        <v>2</v>
      </c>
      <c r="N162" s="18">
        <f t="shared" si="15"/>
        <v>0.93333333333333335</v>
      </c>
      <c r="O162" s="27" t="s">
        <v>1209</v>
      </c>
      <c r="P162" s="8"/>
      <c r="Q162" s="8"/>
      <c r="R162" s="8"/>
      <c r="S162" s="27"/>
      <c r="T162" s="27" t="s">
        <v>1209</v>
      </c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s="51" t="s">
        <v>377</v>
      </c>
      <c r="B163" s="51" t="s">
        <v>392</v>
      </c>
      <c r="C163" s="51" t="s">
        <v>1391</v>
      </c>
      <c r="D163" s="51" t="s">
        <v>393</v>
      </c>
      <c r="E163" s="51" t="s">
        <v>24</v>
      </c>
      <c r="F163" s="51" t="s">
        <v>1383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21</v>
      </c>
      <c r="M163" s="17">
        <f t="shared" si="14"/>
        <v>9</v>
      </c>
      <c r="N163" s="18">
        <f t="shared" si="15"/>
        <v>0.7</v>
      </c>
      <c r="O163" s="27" t="s">
        <v>1209</v>
      </c>
      <c r="P163" s="8" t="s">
        <v>1209</v>
      </c>
      <c r="Q163" s="8" t="s">
        <v>1209</v>
      </c>
      <c r="R163" s="8" t="s">
        <v>1209</v>
      </c>
      <c r="S163" s="27" t="s">
        <v>1209</v>
      </c>
      <c r="T163" s="27" t="s">
        <v>1209</v>
      </c>
      <c r="U163" s="8" t="s">
        <v>1209</v>
      </c>
      <c r="V163" s="8" t="s">
        <v>1209</v>
      </c>
      <c r="W163" s="8" t="s">
        <v>1209</v>
      </c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s="51" t="s">
        <v>377</v>
      </c>
      <c r="B164" s="51" t="s">
        <v>397</v>
      </c>
      <c r="C164" s="51" t="s">
        <v>1391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s="51" t="s">
        <v>402</v>
      </c>
      <c r="B165" s="51" t="s">
        <v>1279</v>
      </c>
      <c r="C165" s="51" t="s">
        <v>1391</v>
      </c>
      <c r="D165" s="51" t="s">
        <v>1280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s="51" t="s">
        <v>326</v>
      </c>
      <c r="B166" s="51" t="s">
        <v>399</v>
      </c>
      <c r="C166" s="51" t="s">
        <v>1392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1396</v>
      </c>
      <c r="L166" s="53">
        <f t="shared" si="16"/>
        <v>21</v>
      </c>
      <c r="M166" s="17">
        <f t="shared" si="14"/>
        <v>9</v>
      </c>
      <c r="N166" s="18">
        <f t="shared" si="15"/>
        <v>0.7</v>
      </c>
      <c r="O166" s="27" t="s">
        <v>1209</v>
      </c>
      <c r="P166" s="8" t="s">
        <v>1209</v>
      </c>
      <c r="Q166" s="8" t="s">
        <v>1209</v>
      </c>
      <c r="R166" s="8" t="s">
        <v>1209</v>
      </c>
      <c r="S166" s="27" t="s">
        <v>1209</v>
      </c>
      <c r="T166" s="27" t="s">
        <v>1209</v>
      </c>
      <c r="U166" s="8" t="s">
        <v>1209</v>
      </c>
      <c r="V166" s="8" t="s">
        <v>1209</v>
      </c>
      <c r="W166" s="8" t="s">
        <v>1209</v>
      </c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s="51" t="s">
        <v>402</v>
      </c>
      <c r="B167" s="51" t="s">
        <v>403</v>
      </c>
      <c r="C167" s="51" t="s">
        <v>1392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s="51" t="s">
        <v>16</v>
      </c>
      <c r="B168" s="99" t="s">
        <v>17</v>
      </c>
      <c r="C168" s="51" t="s">
        <v>1392</v>
      </c>
      <c r="D168" s="51" t="s">
        <v>18</v>
      </c>
      <c r="E168" s="51" t="s">
        <v>19</v>
      </c>
      <c r="F168" s="51" t="s">
        <v>1383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 t="s">
        <v>1209</v>
      </c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s="51" t="s">
        <v>518</v>
      </c>
      <c r="B169" s="51" t="s">
        <v>1281</v>
      </c>
      <c r="C169" s="51" t="s">
        <v>1392</v>
      </c>
      <c r="D169" s="51" t="s">
        <v>1282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29</v>
      </c>
      <c r="M169" s="17">
        <f t="shared" si="14"/>
        <v>1</v>
      </c>
      <c r="N169" s="18">
        <f t="shared" si="15"/>
        <v>0.96666666666666667</v>
      </c>
      <c r="O169" s="27"/>
      <c r="P169" s="8"/>
      <c r="Q169" s="8"/>
      <c r="R169" s="8"/>
      <c r="S169" s="27"/>
      <c r="T169" s="27"/>
      <c r="U169" s="8" t="s">
        <v>1209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s="51" t="s">
        <v>1283</v>
      </c>
      <c r="B170" s="51" t="s">
        <v>1284</v>
      </c>
      <c r="C170" s="51" t="s">
        <v>1392</v>
      </c>
      <c r="D170" s="51" t="s">
        <v>1282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29</v>
      </c>
      <c r="M170" s="17">
        <f t="shared" si="14"/>
        <v>1</v>
      </c>
      <c r="N170" s="18">
        <f t="shared" si="15"/>
        <v>0.96666666666666667</v>
      </c>
      <c r="O170" s="27"/>
      <c r="P170" s="8"/>
      <c r="Q170" s="8"/>
      <c r="R170" s="8"/>
      <c r="S170" s="27"/>
      <c r="T170" s="27"/>
      <c r="U170" s="8" t="s">
        <v>1209</v>
      </c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s="51" t="s">
        <v>22</v>
      </c>
      <c r="B171" s="99" t="s">
        <v>23</v>
      </c>
      <c r="C171" s="51" t="s">
        <v>1392</v>
      </c>
      <c r="D171" s="51" t="s">
        <v>1285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s="51" t="s">
        <v>22</v>
      </c>
      <c r="B172" s="99" t="s">
        <v>27</v>
      </c>
      <c r="C172" s="51" t="s">
        <v>1392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A173" s="51" t="s">
        <v>22</v>
      </c>
      <c r="B173" s="99" t="s">
        <v>29</v>
      </c>
      <c r="C173" s="51" t="s">
        <v>1392</v>
      </c>
      <c r="D173" s="51" t="s">
        <v>1286</v>
      </c>
      <c r="E173" s="51" t="s">
        <v>19</v>
      </c>
      <c r="F173" s="51" t="s">
        <v>1384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s="51" t="s">
        <v>22</v>
      </c>
      <c r="B174" s="99" t="s">
        <v>31</v>
      </c>
      <c r="C174" s="51" t="s">
        <v>1392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s="51" t="s">
        <v>406</v>
      </c>
      <c r="B175" s="51" t="s">
        <v>1287</v>
      </c>
      <c r="C175" s="51" t="s">
        <v>1391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26</v>
      </c>
      <c r="M175" s="17">
        <f t="shared" si="14"/>
        <v>4</v>
      </c>
      <c r="N175" s="18">
        <f t="shared" si="15"/>
        <v>0.8666666666666667</v>
      </c>
      <c r="O175" s="27"/>
      <c r="P175" s="8"/>
      <c r="Q175" s="8"/>
      <c r="R175" s="8"/>
      <c r="S175" s="27"/>
      <c r="T175" s="27" t="s">
        <v>1209</v>
      </c>
      <c r="U175" s="8" t="s">
        <v>1209</v>
      </c>
      <c r="V175" s="8" t="s">
        <v>1209</v>
      </c>
      <c r="W175" s="8" t="s">
        <v>1209</v>
      </c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s="51" t="s">
        <v>411</v>
      </c>
      <c r="B176" s="51" t="s">
        <v>1288</v>
      </c>
      <c r="C176" s="51" t="s">
        <v>1391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26</v>
      </c>
      <c r="M176" s="17">
        <f t="shared" si="14"/>
        <v>4</v>
      </c>
      <c r="N176" s="18">
        <f t="shared" si="15"/>
        <v>0.8666666666666667</v>
      </c>
      <c r="O176" s="27"/>
      <c r="P176" s="8"/>
      <c r="Q176" s="8"/>
      <c r="R176" s="8"/>
      <c r="S176" s="27"/>
      <c r="T176" s="27" t="s">
        <v>1209</v>
      </c>
      <c r="U176" s="8" t="s">
        <v>1209</v>
      </c>
      <c r="V176" s="8" t="s">
        <v>1209</v>
      </c>
      <c r="W176" s="8" t="s">
        <v>1209</v>
      </c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s="51" t="s">
        <v>411</v>
      </c>
      <c r="B177" s="51" t="s">
        <v>1289</v>
      </c>
      <c r="C177" s="51" t="s">
        <v>1391</v>
      </c>
      <c r="D177" s="51" t="s">
        <v>417</v>
      </c>
      <c r="E177" s="51" t="s">
        <v>24</v>
      </c>
      <c r="F177" s="51" t="s">
        <v>1383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26</v>
      </c>
      <c r="M177" s="17">
        <f t="shared" si="14"/>
        <v>4</v>
      </c>
      <c r="N177" s="18">
        <f t="shared" si="15"/>
        <v>0.8666666666666667</v>
      </c>
      <c r="O177" s="27"/>
      <c r="P177" s="8"/>
      <c r="Q177" s="8"/>
      <c r="R177" s="8"/>
      <c r="S177" s="27"/>
      <c r="T177" s="27" t="s">
        <v>1209</v>
      </c>
      <c r="U177" s="8" t="s">
        <v>1209</v>
      </c>
      <c r="V177" s="8" t="s">
        <v>1209</v>
      </c>
      <c r="W177" s="8" t="s">
        <v>1209</v>
      </c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s="51" t="s">
        <v>377</v>
      </c>
      <c r="B178" s="51" t="s">
        <v>409</v>
      </c>
      <c r="C178" s="51" t="s">
        <v>1391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1388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s="51" t="s">
        <v>406</v>
      </c>
      <c r="B179" s="51" t="s">
        <v>414</v>
      </c>
      <c r="C179" s="51" t="s">
        <v>1391</v>
      </c>
      <c r="D179" s="51" t="s">
        <v>415</v>
      </c>
      <c r="E179" s="51" t="s">
        <v>24</v>
      </c>
      <c r="F179" s="51" t="s">
        <v>1383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s="51" t="s">
        <v>411</v>
      </c>
      <c r="B180" s="51" t="s">
        <v>419</v>
      </c>
      <c r="C180" s="51" t="s">
        <v>1391</v>
      </c>
      <c r="D180" s="51" t="s">
        <v>420</v>
      </c>
      <c r="E180" s="51" t="s">
        <v>19</v>
      </c>
      <c r="F180" s="51" t="s">
        <v>1383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26</v>
      </c>
      <c r="M180" s="17">
        <f t="shared" si="14"/>
        <v>4</v>
      </c>
      <c r="N180" s="18">
        <f t="shared" si="15"/>
        <v>0.8666666666666667</v>
      </c>
      <c r="O180" s="27"/>
      <c r="P180" s="8"/>
      <c r="Q180" s="8"/>
      <c r="R180" s="8"/>
      <c r="S180" s="27"/>
      <c r="T180" s="27" t="s">
        <v>1209</v>
      </c>
      <c r="U180" s="8" t="s">
        <v>1209</v>
      </c>
      <c r="V180" s="8" t="s">
        <v>1209</v>
      </c>
      <c r="W180" s="8" t="s">
        <v>1209</v>
      </c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A181" s="51" t="s">
        <v>422</v>
      </c>
      <c r="B181" s="51" t="s">
        <v>423</v>
      </c>
      <c r="C181" s="51" t="s">
        <v>1391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s="51" t="s">
        <v>422</v>
      </c>
      <c r="B182" s="51" t="s">
        <v>425</v>
      </c>
      <c r="C182" s="51" t="s">
        <v>1391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30</v>
      </c>
      <c r="M182" s="17">
        <f t="shared" si="14"/>
        <v>0</v>
      </c>
      <c r="N182" s="18">
        <f t="shared" si="15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s="51" t="s">
        <v>422</v>
      </c>
      <c r="B183" s="51" t="s">
        <v>428</v>
      </c>
      <c r="C183" s="51" t="s">
        <v>1391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s="51" t="s">
        <v>422</v>
      </c>
      <c r="B184" s="51" t="s">
        <v>430</v>
      </c>
      <c r="C184" s="51" t="s">
        <v>1391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s="51" t="s">
        <v>433</v>
      </c>
      <c r="B185" s="51" t="s">
        <v>1290</v>
      </c>
      <c r="C185" s="51" t="s">
        <v>1391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s="51" t="s">
        <v>433</v>
      </c>
      <c r="B186" s="51" t="s">
        <v>434</v>
      </c>
      <c r="C186" s="51" t="s">
        <v>1391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A187" s="51" t="s">
        <v>433</v>
      </c>
      <c r="B187" s="51" t="s">
        <v>438</v>
      </c>
      <c r="C187" s="51" t="s">
        <v>1391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30</v>
      </c>
      <c r="M187" s="17">
        <f t="shared" si="14"/>
        <v>0</v>
      </c>
      <c r="N187" s="18">
        <f t="shared" si="15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A188" s="51" t="s">
        <v>433</v>
      </c>
      <c r="B188" s="51" t="s">
        <v>441</v>
      </c>
      <c r="C188" s="51" t="s">
        <v>1391</v>
      </c>
      <c r="D188" s="51" t="s">
        <v>442</v>
      </c>
      <c r="E188" s="51" t="s">
        <v>24</v>
      </c>
      <c r="F188" s="51" t="s">
        <v>1384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30</v>
      </c>
      <c r="M188" s="17">
        <f t="shared" si="14"/>
        <v>0</v>
      </c>
      <c r="N188" s="18">
        <f t="shared" si="15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s="51" t="s">
        <v>433</v>
      </c>
      <c r="B189" s="51" t="s">
        <v>445</v>
      </c>
      <c r="C189" s="51" t="s">
        <v>1391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s="51" t="s">
        <v>447</v>
      </c>
      <c r="B190" s="51" t="s">
        <v>448</v>
      </c>
      <c r="C190" s="51" t="s">
        <v>1391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1389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s="51" t="s">
        <v>72</v>
      </c>
      <c r="B191" s="51" t="s">
        <v>450</v>
      </c>
      <c r="C191" s="51" t="s">
        <v>1391</v>
      </c>
      <c r="D191" s="51" t="s">
        <v>451</v>
      </c>
      <c r="E191" s="51" t="s">
        <v>24</v>
      </c>
      <c r="F191" s="51" t="s">
        <v>1383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28</v>
      </c>
      <c r="M191" s="17">
        <f t="shared" si="14"/>
        <v>2</v>
      </c>
      <c r="N191" s="18">
        <f t="shared" si="15"/>
        <v>0.93333333333333335</v>
      </c>
      <c r="O191" s="27" t="s">
        <v>1209</v>
      </c>
      <c r="P191" s="8" t="s">
        <v>1209</v>
      </c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s="51" t="s">
        <v>433</v>
      </c>
      <c r="B192" s="51" t="s">
        <v>452</v>
      </c>
      <c r="C192" s="51" t="s">
        <v>1391</v>
      </c>
      <c r="D192" s="51" t="s">
        <v>453</v>
      </c>
      <c r="E192" s="51" t="s">
        <v>24</v>
      </c>
      <c r="F192" s="51" t="s">
        <v>1383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30</v>
      </c>
      <c r="M192" s="17">
        <f t="shared" si="14"/>
        <v>0</v>
      </c>
      <c r="N192" s="18">
        <f t="shared" si="15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s="51" t="s">
        <v>433</v>
      </c>
      <c r="B193" s="51" t="s">
        <v>455</v>
      </c>
      <c r="C193" s="51" t="s">
        <v>1391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s="51" t="s">
        <v>460</v>
      </c>
      <c r="B194" s="51" t="s">
        <v>458</v>
      </c>
      <c r="C194" s="51" t="s">
        <v>1392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s="51" t="s">
        <v>460</v>
      </c>
      <c r="B195" s="51" t="s">
        <v>461</v>
      </c>
      <c r="C195" s="51" t="s">
        <v>1392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s="51" t="s">
        <v>460</v>
      </c>
      <c r="B196" s="51" t="s">
        <v>464</v>
      </c>
      <c r="C196" s="51" t="s">
        <v>1392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s="51" t="s">
        <v>460</v>
      </c>
      <c r="B197" s="51" t="s">
        <v>465</v>
      </c>
      <c r="C197" s="51" t="s">
        <v>1392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s="51" t="s">
        <v>460</v>
      </c>
      <c r="B198" s="51" t="s">
        <v>468</v>
      </c>
      <c r="C198" s="51" t="s">
        <v>1392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s="51" t="s">
        <v>58</v>
      </c>
      <c r="B199" s="51" t="s">
        <v>470</v>
      </c>
      <c r="C199" s="51" t="s">
        <v>1392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28</v>
      </c>
      <c r="M199" s="17">
        <f t="shared" si="17"/>
        <v>2</v>
      </c>
      <c r="N199" s="18">
        <f t="shared" si="18"/>
        <v>0.93333333333333335</v>
      </c>
      <c r="O199" s="27"/>
      <c r="P199" s="8" t="s">
        <v>1209</v>
      </c>
      <c r="Q199" s="8"/>
      <c r="R199" s="8"/>
      <c r="S199" s="27"/>
      <c r="T199" s="27" t="s">
        <v>1209</v>
      </c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s="51" t="s">
        <v>58</v>
      </c>
      <c r="B200" s="51" t="s">
        <v>473</v>
      </c>
      <c r="C200" s="51" t="s">
        <v>1392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28</v>
      </c>
      <c r="M200" s="17">
        <f t="shared" si="17"/>
        <v>2</v>
      </c>
      <c r="N200" s="18">
        <f t="shared" si="18"/>
        <v>0.93333333333333335</v>
      </c>
      <c r="O200" s="27"/>
      <c r="P200" s="8" t="s">
        <v>1209</v>
      </c>
      <c r="Q200" s="8"/>
      <c r="R200" s="8"/>
      <c r="S200" s="27"/>
      <c r="T200" s="27" t="s">
        <v>1209</v>
      </c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s="51" t="s">
        <v>268</v>
      </c>
      <c r="B201" s="51" t="s">
        <v>474</v>
      </c>
      <c r="C201" s="51" t="s">
        <v>1392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s="51" t="s">
        <v>268</v>
      </c>
      <c r="B202" s="51" t="s">
        <v>477</v>
      </c>
      <c r="C202" s="51" t="s">
        <v>1392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s="51" t="s">
        <v>306</v>
      </c>
      <c r="B203" s="51" t="s">
        <v>479</v>
      </c>
      <c r="C203" s="51" t="s">
        <v>1392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s="51" t="s">
        <v>306</v>
      </c>
      <c r="B204" s="51" t="s">
        <v>481</v>
      </c>
      <c r="C204" s="51" t="s">
        <v>1392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s="51" t="s">
        <v>326</v>
      </c>
      <c r="B205" s="51" t="s">
        <v>1291</v>
      </c>
      <c r="C205" s="51" t="s">
        <v>1392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s="51" t="s">
        <v>326</v>
      </c>
      <c r="B206" s="51" t="s">
        <v>483</v>
      </c>
      <c r="C206" s="51" t="s">
        <v>1392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29</v>
      </c>
      <c r="M206" s="17">
        <f t="shared" si="17"/>
        <v>1</v>
      </c>
      <c r="N206" s="18">
        <f t="shared" si="18"/>
        <v>0.96666666666666667</v>
      </c>
      <c r="O206" s="27"/>
      <c r="P206" s="8"/>
      <c r="Q206" s="8"/>
      <c r="R206" s="8"/>
      <c r="S206" s="27"/>
      <c r="T206" s="27"/>
      <c r="U206" s="8" t="s">
        <v>1209</v>
      </c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s="51" t="s">
        <v>402</v>
      </c>
      <c r="B207" s="51" t="s">
        <v>485</v>
      </c>
      <c r="C207" s="51" t="s">
        <v>1391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30</v>
      </c>
      <c r="M207" s="17">
        <f t="shared" si="17"/>
        <v>0</v>
      </c>
      <c r="N207" s="18">
        <f t="shared" si="18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s="51" t="s">
        <v>488</v>
      </c>
      <c r="B208" s="51" t="s">
        <v>489</v>
      </c>
      <c r="C208" s="51" t="s">
        <v>1392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29</v>
      </c>
      <c r="M208" s="17">
        <f t="shared" si="17"/>
        <v>1</v>
      </c>
      <c r="N208" s="18">
        <f t="shared" si="18"/>
        <v>0.96666666666666667</v>
      </c>
      <c r="O208" s="27"/>
      <c r="P208" s="8"/>
      <c r="Q208" s="8"/>
      <c r="R208" s="8"/>
      <c r="S208" s="27"/>
      <c r="T208" s="27"/>
      <c r="U208" s="8"/>
      <c r="V208" s="8" t="s">
        <v>1209</v>
      </c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s="51" t="s">
        <v>488</v>
      </c>
      <c r="B209" s="51" t="s">
        <v>491</v>
      </c>
      <c r="C209" s="51" t="s">
        <v>1392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29</v>
      </c>
      <c r="M209" s="17">
        <f t="shared" si="17"/>
        <v>1</v>
      </c>
      <c r="N209" s="18">
        <f t="shared" si="18"/>
        <v>0.96666666666666667</v>
      </c>
      <c r="O209" s="27"/>
      <c r="P209" s="8"/>
      <c r="Q209" s="8"/>
      <c r="R209" s="8"/>
      <c r="S209" s="27"/>
      <c r="T209" s="27"/>
      <c r="U209" s="8"/>
      <c r="V209" s="8" t="s">
        <v>1209</v>
      </c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s="51" t="s">
        <v>492</v>
      </c>
      <c r="B210" s="51" t="s">
        <v>1292</v>
      </c>
      <c r="C210" s="51" t="s">
        <v>1392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21</v>
      </c>
      <c r="M210" s="17">
        <f t="shared" si="17"/>
        <v>9</v>
      </c>
      <c r="N210" s="18">
        <f t="shared" si="18"/>
        <v>0.7</v>
      </c>
      <c r="O210" s="27" t="s">
        <v>1209</v>
      </c>
      <c r="P210" s="8" t="s">
        <v>1209</v>
      </c>
      <c r="Q210" s="8" t="s">
        <v>1209</v>
      </c>
      <c r="R210" s="8" t="s">
        <v>1209</v>
      </c>
      <c r="S210" s="27" t="s">
        <v>1209</v>
      </c>
      <c r="T210" s="27" t="s">
        <v>1209</v>
      </c>
      <c r="U210" s="8" t="s">
        <v>1209</v>
      </c>
      <c r="V210" s="8" t="s">
        <v>1209</v>
      </c>
      <c r="W210" s="8" t="s">
        <v>1209</v>
      </c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s="51" t="s">
        <v>283</v>
      </c>
      <c r="B211" s="51" t="s">
        <v>494</v>
      </c>
      <c r="C211" s="51" t="s">
        <v>1392</v>
      </c>
      <c r="D211" s="51" t="s">
        <v>495</v>
      </c>
      <c r="E211" s="51" t="s">
        <v>19</v>
      </c>
      <c r="F211" s="51" t="s">
        <v>1384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30</v>
      </c>
      <c r="M211" s="17">
        <f t="shared" si="17"/>
        <v>0</v>
      </c>
      <c r="N211" s="18">
        <f t="shared" si="18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s="51" t="s">
        <v>283</v>
      </c>
      <c r="B212" s="51" t="s">
        <v>497</v>
      </c>
      <c r="C212" s="51" t="s">
        <v>1392</v>
      </c>
      <c r="D212" s="51" t="s">
        <v>495</v>
      </c>
      <c r="E212" s="51" t="s">
        <v>102</v>
      </c>
      <c r="F212" s="51" t="s">
        <v>1384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30</v>
      </c>
      <c r="M212" s="17">
        <f t="shared" si="17"/>
        <v>0</v>
      </c>
      <c r="N212" s="18">
        <f t="shared" si="18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s="51" t="s">
        <v>498</v>
      </c>
      <c r="B213" s="51" t="s">
        <v>499</v>
      </c>
      <c r="C213" s="51" t="s">
        <v>1392</v>
      </c>
      <c r="D213" s="51" t="s">
        <v>1293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24</v>
      </c>
      <c r="M213" s="17">
        <f t="shared" si="17"/>
        <v>6</v>
      </c>
      <c r="N213" s="18">
        <f t="shared" si="18"/>
        <v>0.8</v>
      </c>
      <c r="O213" s="27"/>
      <c r="P213" s="8"/>
      <c r="Q213" s="8"/>
      <c r="R213" s="8" t="s">
        <v>1209</v>
      </c>
      <c r="S213" s="27" t="s">
        <v>1209</v>
      </c>
      <c r="T213" s="27" t="s">
        <v>1209</v>
      </c>
      <c r="U213" s="8" t="s">
        <v>1209</v>
      </c>
      <c r="V213" s="8" t="s">
        <v>1209</v>
      </c>
      <c r="W213" s="8" t="s">
        <v>1209</v>
      </c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s="51" t="s">
        <v>498</v>
      </c>
      <c r="B214" s="51" t="s">
        <v>500</v>
      </c>
      <c r="C214" s="51" t="s">
        <v>1392</v>
      </c>
      <c r="D214" s="51" t="s">
        <v>1293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24</v>
      </c>
      <c r="M214" s="17">
        <f t="shared" si="17"/>
        <v>6</v>
      </c>
      <c r="N214" s="18">
        <f t="shared" si="18"/>
        <v>0.8</v>
      </c>
      <c r="O214" s="27"/>
      <c r="P214" s="8"/>
      <c r="Q214" s="8"/>
      <c r="R214" s="8" t="s">
        <v>1209</v>
      </c>
      <c r="S214" s="27" t="s">
        <v>1209</v>
      </c>
      <c r="T214" s="27" t="s">
        <v>1209</v>
      </c>
      <c r="U214" s="8" t="s">
        <v>1209</v>
      </c>
      <c r="V214" s="8" t="s">
        <v>1209</v>
      </c>
      <c r="W214" s="8" t="s">
        <v>1209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s="51" t="s">
        <v>488</v>
      </c>
      <c r="B215" s="51" t="s">
        <v>501</v>
      </c>
      <c r="C215" s="51" t="s">
        <v>1392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21</v>
      </c>
      <c r="M215" s="17">
        <f t="shared" si="17"/>
        <v>9</v>
      </c>
      <c r="N215" s="18">
        <f t="shared" si="18"/>
        <v>0.7</v>
      </c>
      <c r="O215" s="27" t="s">
        <v>1209</v>
      </c>
      <c r="P215" s="8" t="s">
        <v>1209</v>
      </c>
      <c r="Q215" s="8" t="s">
        <v>1209</v>
      </c>
      <c r="R215" s="8" t="s">
        <v>1209</v>
      </c>
      <c r="S215" s="27" t="s">
        <v>1209</v>
      </c>
      <c r="T215" s="27" t="s">
        <v>1209</v>
      </c>
      <c r="U215" s="8" t="s">
        <v>1209</v>
      </c>
      <c r="V215" s="8" t="s">
        <v>1209</v>
      </c>
      <c r="W215" s="8" t="s">
        <v>1209</v>
      </c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s="51" t="s">
        <v>488</v>
      </c>
      <c r="B216" s="51" t="s">
        <v>503</v>
      </c>
      <c r="C216" s="51" t="s">
        <v>1392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21</v>
      </c>
      <c r="M216" s="17">
        <f t="shared" si="17"/>
        <v>9</v>
      </c>
      <c r="N216" s="18">
        <f t="shared" si="18"/>
        <v>0.7</v>
      </c>
      <c r="O216" s="27" t="s">
        <v>1209</v>
      </c>
      <c r="P216" s="8" t="s">
        <v>1209</v>
      </c>
      <c r="Q216" s="8" t="s">
        <v>1209</v>
      </c>
      <c r="R216" s="8" t="s">
        <v>1209</v>
      </c>
      <c r="S216" s="27" t="s">
        <v>1209</v>
      </c>
      <c r="T216" s="27" t="s">
        <v>1209</v>
      </c>
      <c r="U216" s="8" t="s">
        <v>1209</v>
      </c>
      <c r="V216" s="8" t="s">
        <v>1209</v>
      </c>
      <c r="W216" s="8" t="s">
        <v>1209</v>
      </c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s="51" t="s">
        <v>264</v>
      </c>
      <c r="B217" s="51" t="s">
        <v>1294</v>
      </c>
      <c r="C217" s="51" t="s">
        <v>1391</v>
      </c>
      <c r="D217" s="51" t="s">
        <v>1295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23</v>
      </c>
      <c r="M217" s="17">
        <f t="shared" si="17"/>
        <v>7</v>
      </c>
      <c r="N217" s="18">
        <f t="shared" si="18"/>
        <v>0.76666666666666672</v>
      </c>
      <c r="O217" s="27"/>
      <c r="P217" s="8" t="s">
        <v>1209</v>
      </c>
      <c r="Q217" s="8"/>
      <c r="R217" s="8" t="s">
        <v>1209</v>
      </c>
      <c r="S217" s="27" t="s">
        <v>1209</v>
      </c>
      <c r="T217" s="27" t="s">
        <v>1209</v>
      </c>
      <c r="U217" s="8" t="s">
        <v>1209</v>
      </c>
      <c r="V217" s="8" t="s">
        <v>1209</v>
      </c>
      <c r="W217" s="8" t="s">
        <v>1209</v>
      </c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s="51" t="s">
        <v>268</v>
      </c>
      <c r="B218" s="51" t="s">
        <v>1296</v>
      </c>
      <c r="C218" s="51" t="s">
        <v>1392</v>
      </c>
      <c r="D218" s="51" t="s">
        <v>1297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s="51" t="s">
        <v>306</v>
      </c>
      <c r="B219" s="51" t="s">
        <v>1298</v>
      </c>
      <c r="C219" s="51" t="s">
        <v>1392</v>
      </c>
      <c r="D219" s="51" t="s">
        <v>1299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s="51" t="s">
        <v>402</v>
      </c>
      <c r="B220" s="51" t="s">
        <v>504</v>
      </c>
      <c r="C220" s="51" t="s">
        <v>1392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s="51" t="s">
        <v>402</v>
      </c>
      <c r="B221" s="51" t="s">
        <v>1300</v>
      </c>
      <c r="C221" s="51" t="s">
        <v>1392</v>
      </c>
      <c r="D221" s="51" t="s">
        <v>1301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s="51" t="s">
        <v>488</v>
      </c>
      <c r="B222" s="51" t="s">
        <v>1302</v>
      </c>
      <c r="C222" s="51" t="s">
        <v>1392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29</v>
      </c>
      <c r="M222" s="17">
        <f t="shared" si="17"/>
        <v>1</v>
      </c>
      <c r="N222" s="18">
        <f t="shared" si="18"/>
        <v>0.96666666666666667</v>
      </c>
      <c r="O222" s="27"/>
      <c r="P222" s="8"/>
      <c r="Q222" s="8"/>
      <c r="R222" s="8"/>
      <c r="S222" s="27"/>
      <c r="T222" s="27"/>
      <c r="U222" s="8"/>
      <c r="V222" s="8" t="s">
        <v>1209</v>
      </c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s="51" t="s">
        <v>283</v>
      </c>
      <c r="B223" s="51" t="s">
        <v>1303</v>
      </c>
      <c r="C223" s="51" t="s">
        <v>1392</v>
      </c>
      <c r="D223" s="51" t="s">
        <v>1304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s="51" t="s">
        <v>498</v>
      </c>
      <c r="B224" s="51" t="s">
        <v>1305</v>
      </c>
      <c r="C224" s="51" t="s">
        <v>1392</v>
      </c>
      <c r="D224" s="51" t="s">
        <v>1306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24</v>
      </c>
      <c r="M224" s="17">
        <f t="shared" si="17"/>
        <v>6</v>
      </c>
      <c r="N224" s="18">
        <f t="shared" si="18"/>
        <v>0.8</v>
      </c>
      <c r="O224" s="27"/>
      <c r="P224" s="8"/>
      <c r="Q224" s="8"/>
      <c r="R224" s="8" t="s">
        <v>1209</v>
      </c>
      <c r="S224" s="27" t="s">
        <v>1209</v>
      </c>
      <c r="T224" s="27" t="s">
        <v>1209</v>
      </c>
      <c r="U224" s="8" t="s">
        <v>1209</v>
      </c>
      <c r="V224" s="8" t="s">
        <v>1209</v>
      </c>
      <c r="W224" s="8" t="s">
        <v>1209</v>
      </c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s="51" t="s">
        <v>488</v>
      </c>
      <c r="B225" s="51" t="s">
        <v>1307</v>
      </c>
      <c r="C225" s="51" t="s">
        <v>1392</v>
      </c>
      <c r="D225" s="51" t="s">
        <v>1308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28</v>
      </c>
      <c r="M225" s="17">
        <f t="shared" si="17"/>
        <v>2</v>
      </c>
      <c r="N225" s="18">
        <f t="shared" si="18"/>
        <v>0.93333333333333335</v>
      </c>
      <c r="O225" s="27" t="s">
        <v>1209</v>
      </c>
      <c r="P225" s="8"/>
      <c r="Q225" s="8" t="s">
        <v>1209</v>
      </c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s="51" t="s">
        <v>326</v>
      </c>
      <c r="B226" s="51" t="s">
        <v>1309</v>
      </c>
      <c r="C226" s="51" t="s">
        <v>1392</v>
      </c>
      <c r="D226" s="51" t="s">
        <v>1310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s="51" t="s">
        <v>505</v>
      </c>
      <c r="B227" s="51" t="s">
        <v>506</v>
      </c>
      <c r="C227" s="51" t="s">
        <v>1392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29</v>
      </c>
      <c r="M227" s="17">
        <f t="shared" si="17"/>
        <v>1</v>
      </c>
      <c r="N227" s="18">
        <f t="shared" si="18"/>
        <v>0.96666666666666667</v>
      </c>
      <c r="O227" s="27"/>
      <c r="P227" s="8"/>
      <c r="Q227" s="8"/>
      <c r="R227" s="8"/>
      <c r="S227" s="27"/>
      <c r="T227" s="27"/>
      <c r="U227" s="8" t="s">
        <v>1209</v>
      </c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s="51" t="s">
        <v>505</v>
      </c>
      <c r="B228" s="51" t="s">
        <v>1311</v>
      </c>
      <c r="C228" s="51" t="s">
        <v>1392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29</v>
      </c>
      <c r="M228" s="17">
        <f t="shared" si="17"/>
        <v>1</v>
      </c>
      <c r="N228" s="18">
        <f t="shared" si="18"/>
        <v>0.96666666666666667</v>
      </c>
      <c r="O228" s="27"/>
      <c r="P228" s="8"/>
      <c r="Q228" s="8"/>
      <c r="R228" s="8"/>
      <c r="S228" s="27"/>
      <c r="T228" s="27"/>
      <c r="U228" s="8" t="s">
        <v>1209</v>
      </c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s="51" t="s">
        <v>505</v>
      </c>
      <c r="B229" s="51" t="s">
        <v>510</v>
      </c>
      <c r="C229" s="51" t="s">
        <v>1392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29</v>
      </c>
      <c r="M229" s="17">
        <f t="shared" si="17"/>
        <v>1</v>
      </c>
      <c r="N229" s="18">
        <f t="shared" si="18"/>
        <v>0.96666666666666667</v>
      </c>
      <c r="O229" s="27"/>
      <c r="P229" s="8"/>
      <c r="Q229" s="8"/>
      <c r="R229" s="8"/>
      <c r="S229" s="27"/>
      <c r="T229" s="27"/>
      <c r="U229" s="8" t="s">
        <v>1209</v>
      </c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s="51" t="s">
        <v>505</v>
      </c>
      <c r="B230" s="51" t="s">
        <v>513</v>
      </c>
      <c r="C230" s="51" t="s">
        <v>1392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29</v>
      </c>
      <c r="M230" s="17">
        <f t="shared" si="17"/>
        <v>1</v>
      </c>
      <c r="N230" s="18">
        <f t="shared" si="18"/>
        <v>0.96666666666666667</v>
      </c>
      <c r="O230" s="27"/>
      <c r="P230" s="8"/>
      <c r="Q230" s="8"/>
      <c r="R230" s="8"/>
      <c r="S230" s="27"/>
      <c r="T230" s="27"/>
      <c r="U230" s="8" t="s">
        <v>1209</v>
      </c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s="51" t="s">
        <v>505</v>
      </c>
      <c r="B231" s="51" t="s">
        <v>514</v>
      </c>
      <c r="C231" s="51" t="s">
        <v>1392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29</v>
      </c>
      <c r="M231" s="17">
        <f t="shared" si="17"/>
        <v>1</v>
      </c>
      <c r="N231" s="18">
        <f t="shared" si="18"/>
        <v>0.96666666666666667</v>
      </c>
      <c r="O231" s="27"/>
      <c r="P231" s="8"/>
      <c r="Q231" s="8"/>
      <c r="R231" s="8"/>
      <c r="S231" s="27"/>
      <c r="T231" s="27"/>
      <c r="U231" s="8" t="s">
        <v>1209</v>
      </c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s="51" t="s">
        <v>505</v>
      </c>
      <c r="B232" s="51" t="s">
        <v>516</v>
      </c>
      <c r="C232" s="51" t="s">
        <v>1392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29</v>
      </c>
      <c r="M232" s="17">
        <f t="shared" si="17"/>
        <v>1</v>
      </c>
      <c r="N232" s="18">
        <f t="shared" si="18"/>
        <v>0.96666666666666667</v>
      </c>
      <c r="O232" s="27"/>
      <c r="P232" s="8"/>
      <c r="Q232" s="8"/>
      <c r="R232" s="8"/>
      <c r="S232" s="27"/>
      <c r="T232" s="27"/>
      <c r="U232" s="8" t="s">
        <v>1209</v>
      </c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s="51" t="s">
        <v>518</v>
      </c>
      <c r="B233" s="51" t="s">
        <v>1312</v>
      </c>
      <c r="C233" s="51" t="s">
        <v>1392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29</v>
      </c>
      <c r="M233" s="17">
        <f t="shared" si="17"/>
        <v>1</v>
      </c>
      <c r="N233" s="18">
        <f t="shared" si="18"/>
        <v>0.96666666666666667</v>
      </c>
      <c r="O233" s="27"/>
      <c r="P233" s="8"/>
      <c r="Q233" s="8"/>
      <c r="R233" s="8"/>
      <c r="S233" s="27"/>
      <c r="T233" s="27"/>
      <c r="U233" s="8" t="s">
        <v>1209</v>
      </c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A234" s="51" t="s">
        <v>518</v>
      </c>
      <c r="B234" s="51" t="s">
        <v>1313</v>
      </c>
      <c r="C234" s="51" t="s">
        <v>1392</v>
      </c>
      <c r="D234" s="51" t="s">
        <v>1314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29</v>
      </c>
      <c r="M234" s="17">
        <f t="shared" si="17"/>
        <v>1</v>
      </c>
      <c r="N234" s="18">
        <f t="shared" si="18"/>
        <v>0.96666666666666667</v>
      </c>
      <c r="O234" s="27"/>
      <c r="P234" s="8"/>
      <c r="Q234" s="8"/>
      <c r="R234" s="8"/>
      <c r="S234" s="27"/>
      <c r="T234" s="27"/>
      <c r="U234" s="8" t="s">
        <v>1209</v>
      </c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s="51" t="s">
        <v>518</v>
      </c>
      <c r="B235" s="51" t="s">
        <v>1315</v>
      </c>
      <c r="C235" s="51" t="s">
        <v>1392</v>
      </c>
      <c r="D235" s="51" t="s">
        <v>1316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29</v>
      </c>
      <c r="M235" s="17">
        <f t="shared" si="17"/>
        <v>1</v>
      </c>
      <c r="N235" s="18">
        <f t="shared" si="18"/>
        <v>0.96666666666666667</v>
      </c>
      <c r="O235" s="27"/>
      <c r="P235" s="8"/>
      <c r="Q235" s="8"/>
      <c r="R235" s="8"/>
      <c r="S235" s="27"/>
      <c r="T235" s="27"/>
      <c r="U235" s="8" t="s">
        <v>1209</v>
      </c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s="51" t="s">
        <v>518</v>
      </c>
      <c r="B236" s="51" t="s">
        <v>1317</v>
      </c>
      <c r="C236" s="51" t="s">
        <v>1392</v>
      </c>
      <c r="D236" s="51" t="s">
        <v>1318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29</v>
      </c>
      <c r="M236" s="17">
        <f t="shared" si="17"/>
        <v>1</v>
      </c>
      <c r="N236" s="18">
        <f t="shared" si="18"/>
        <v>0.96666666666666667</v>
      </c>
      <c r="O236" s="27"/>
      <c r="P236" s="8"/>
      <c r="Q236" s="8"/>
      <c r="R236" s="8"/>
      <c r="S236" s="27"/>
      <c r="T236" s="27"/>
      <c r="U236" s="8" t="s">
        <v>1209</v>
      </c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s="51" t="s">
        <v>518</v>
      </c>
      <c r="B237" s="51" t="s">
        <v>1319</v>
      </c>
      <c r="C237" s="51" t="s">
        <v>1392</v>
      </c>
      <c r="D237" s="51" t="s">
        <v>1320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29</v>
      </c>
      <c r="M237" s="17">
        <f t="shared" si="17"/>
        <v>1</v>
      </c>
      <c r="N237" s="18">
        <f t="shared" si="18"/>
        <v>0.96666666666666667</v>
      </c>
      <c r="O237" s="27"/>
      <c r="P237" s="8"/>
      <c r="Q237" s="8"/>
      <c r="R237" s="8"/>
      <c r="S237" s="27"/>
      <c r="T237" s="27"/>
      <c r="U237" s="8" t="s">
        <v>1209</v>
      </c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s="51" t="s">
        <v>518</v>
      </c>
      <c r="B238" s="51" t="s">
        <v>1321</v>
      </c>
      <c r="C238" s="51" t="s">
        <v>1392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29</v>
      </c>
      <c r="M238" s="17">
        <f t="shared" si="17"/>
        <v>1</v>
      </c>
      <c r="N238" s="18">
        <f t="shared" si="18"/>
        <v>0.96666666666666667</v>
      </c>
      <c r="O238" s="27"/>
      <c r="P238" s="8"/>
      <c r="Q238" s="8"/>
      <c r="R238" s="8"/>
      <c r="S238" s="27"/>
      <c r="T238" s="27"/>
      <c r="U238" s="8" t="s">
        <v>1209</v>
      </c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s="51" t="s">
        <v>518</v>
      </c>
      <c r="B239" s="51" t="s">
        <v>1322</v>
      </c>
      <c r="C239" s="51" t="s">
        <v>1392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/>
      <c r="P239" s="8"/>
      <c r="Q239" s="8"/>
      <c r="R239" s="8"/>
      <c r="S239" s="27"/>
      <c r="T239" s="27"/>
      <c r="U239" s="8" t="s">
        <v>1209</v>
      </c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s="51" t="s">
        <v>518</v>
      </c>
      <c r="B240" s="51" t="s">
        <v>521</v>
      </c>
      <c r="C240" s="51" t="s">
        <v>1392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/>
      <c r="P240" s="8"/>
      <c r="Q240" s="8"/>
      <c r="R240" s="8"/>
      <c r="S240" s="27"/>
      <c r="T240" s="27"/>
      <c r="U240" s="8" t="s">
        <v>1209</v>
      </c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s="51" t="s">
        <v>518</v>
      </c>
      <c r="B241" s="51" t="s">
        <v>523</v>
      </c>
      <c r="C241" s="51" t="s">
        <v>1392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29</v>
      </c>
      <c r="M241" s="17">
        <f t="shared" si="17"/>
        <v>1</v>
      </c>
      <c r="N241" s="18">
        <f t="shared" si="18"/>
        <v>0.96666666666666667</v>
      </c>
      <c r="O241" s="27"/>
      <c r="P241" s="8"/>
      <c r="Q241" s="8"/>
      <c r="R241" s="8"/>
      <c r="S241" s="27"/>
      <c r="T241" s="27"/>
      <c r="U241" s="8" t="s">
        <v>1209</v>
      </c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s="51" t="s">
        <v>1187</v>
      </c>
      <c r="B242" s="51" t="s">
        <v>1323</v>
      </c>
      <c r="C242" s="51" t="s">
        <v>1392</v>
      </c>
      <c r="D242" s="51" t="s">
        <v>1324</v>
      </c>
      <c r="E242" s="51" t="s">
        <v>1385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27</v>
      </c>
      <c r="M242" s="17">
        <f t="shared" si="17"/>
        <v>3</v>
      </c>
      <c r="N242" s="18">
        <f t="shared" si="18"/>
        <v>0.9</v>
      </c>
      <c r="O242" s="27"/>
      <c r="P242" s="8"/>
      <c r="Q242" s="8"/>
      <c r="R242" s="8"/>
      <c r="S242" s="27"/>
      <c r="T242" s="27"/>
      <c r="U242" s="8" t="s">
        <v>1209</v>
      </c>
      <c r="V242" s="8" t="s">
        <v>1209</v>
      </c>
      <c r="W242" s="8" t="s">
        <v>1209</v>
      </c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s="51" t="s">
        <v>1187</v>
      </c>
      <c r="B243" s="51" t="s">
        <v>1186</v>
      </c>
      <c r="C243" s="51" t="s">
        <v>1392</v>
      </c>
      <c r="D243" s="51" t="s">
        <v>1324</v>
      </c>
      <c r="E243" s="51" t="s">
        <v>1386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26</v>
      </c>
      <c r="M243" s="17">
        <f t="shared" si="17"/>
        <v>4</v>
      </c>
      <c r="N243" s="18">
        <f t="shared" si="18"/>
        <v>0.8666666666666667</v>
      </c>
      <c r="O243" s="27"/>
      <c r="P243" s="8"/>
      <c r="Q243" s="8"/>
      <c r="R243" s="8"/>
      <c r="S243" s="27"/>
      <c r="T243" s="27" t="s">
        <v>1209</v>
      </c>
      <c r="U243" s="8" t="s">
        <v>1209</v>
      </c>
      <c r="V243" s="8" t="s">
        <v>1209</v>
      </c>
      <c r="W243" s="8" t="s">
        <v>1209</v>
      </c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s="51" t="s">
        <v>374</v>
      </c>
      <c r="B244" s="51" t="s">
        <v>1325</v>
      </c>
      <c r="C244" s="51" t="s">
        <v>1391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21</v>
      </c>
      <c r="M244" s="17">
        <f t="shared" si="17"/>
        <v>9</v>
      </c>
      <c r="N244" s="18">
        <f t="shared" si="18"/>
        <v>0.7</v>
      </c>
      <c r="O244" s="27" t="s">
        <v>1209</v>
      </c>
      <c r="P244" s="8" t="s">
        <v>1209</v>
      </c>
      <c r="Q244" s="8" t="s">
        <v>1209</v>
      </c>
      <c r="R244" s="8" t="s">
        <v>1209</v>
      </c>
      <c r="S244" s="27" t="s">
        <v>1209</v>
      </c>
      <c r="T244" s="27" t="s">
        <v>1209</v>
      </c>
      <c r="U244" s="8" t="s">
        <v>1209</v>
      </c>
      <c r="V244" s="8" t="s">
        <v>1209</v>
      </c>
      <c r="W244" s="8" t="s">
        <v>1209</v>
      </c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s="51" t="s">
        <v>374</v>
      </c>
      <c r="B245" s="51" t="s">
        <v>1326</v>
      </c>
      <c r="C245" s="51" t="s">
        <v>1391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21</v>
      </c>
      <c r="M245" s="17">
        <f t="shared" si="17"/>
        <v>9</v>
      </c>
      <c r="N245" s="18">
        <f t="shared" si="18"/>
        <v>0.7</v>
      </c>
      <c r="O245" s="27" t="s">
        <v>1209</v>
      </c>
      <c r="P245" s="27" t="s">
        <v>1209</v>
      </c>
      <c r="Q245" s="27" t="s">
        <v>1209</v>
      </c>
      <c r="R245" s="27" t="s">
        <v>1209</v>
      </c>
      <c r="S245" s="27" t="s">
        <v>1209</v>
      </c>
      <c r="T245" s="27" t="s">
        <v>1209</v>
      </c>
      <c r="U245" s="27" t="s">
        <v>1209</v>
      </c>
      <c r="V245" s="27" t="s">
        <v>1209</v>
      </c>
      <c r="W245" s="27" t="s">
        <v>1209</v>
      </c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s="51" t="s">
        <v>374</v>
      </c>
      <c r="B246" s="51" t="s">
        <v>1327</v>
      </c>
      <c r="C246" s="51" t="s">
        <v>1391</v>
      </c>
      <c r="D246" s="51" t="s">
        <v>1328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s="51" t="s">
        <v>374</v>
      </c>
      <c r="B247" s="51" t="s">
        <v>1329</v>
      </c>
      <c r="C247" s="51" t="s">
        <v>1391</v>
      </c>
      <c r="D247" s="51" t="s">
        <v>1330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s="51" t="s">
        <v>374</v>
      </c>
      <c r="B248" s="51" t="s">
        <v>527</v>
      </c>
      <c r="C248" s="51" t="s">
        <v>1391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s="51" t="s">
        <v>530</v>
      </c>
      <c r="B249" s="51" t="s">
        <v>531</v>
      </c>
      <c r="C249" s="51" t="s">
        <v>1391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s="51" t="s">
        <v>530</v>
      </c>
      <c r="B250" s="51" t="s">
        <v>534</v>
      </c>
      <c r="C250" s="51" t="s">
        <v>1391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s="51" t="s">
        <v>537</v>
      </c>
      <c r="B251" s="51" t="s">
        <v>538</v>
      </c>
      <c r="C251" s="51" t="s">
        <v>1391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s="51" t="s">
        <v>411</v>
      </c>
      <c r="B252" s="51" t="s">
        <v>1331</v>
      </c>
      <c r="C252" s="51" t="s">
        <v>1391</v>
      </c>
      <c r="D252" s="51" t="s">
        <v>543</v>
      </c>
      <c r="E252" s="51" t="s">
        <v>24</v>
      </c>
      <c r="F252" s="51" t="s">
        <v>1383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26</v>
      </c>
      <c r="M252" s="17">
        <f t="shared" si="17"/>
        <v>4</v>
      </c>
      <c r="N252" s="18">
        <f t="shared" si="18"/>
        <v>0.8666666666666667</v>
      </c>
      <c r="O252" s="27"/>
      <c r="P252" s="8"/>
      <c r="Q252" s="8"/>
      <c r="R252" s="8"/>
      <c r="S252" s="27"/>
      <c r="T252" s="27" t="s">
        <v>1209</v>
      </c>
      <c r="U252" s="8" t="s">
        <v>1209</v>
      </c>
      <c r="V252" s="8" t="s">
        <v>1209</v>
      </c>
      <c r="W252" s="8" t="s">
        <v>1209</v>
      </c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s="51" t="s">
        <v>411</v>
      </c>
      <c r="B253" s="51" t="s">
        <v>540</v>
      </c>
      <c r="C253" s="51" t="s">
        <v>1391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s="51" t="s">
        <v>411</v>
      </c>
      <c r="B254" s="51" t="s">
        <v>545</v>
      </c>
      <c r="C254" s="51" t="s">
        <v>1391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21</v>
      </c>
      <c r="M254" s="17">
        <f t="shared" si="17"/>
        <v>9</v>
      </c>
      <c r="N254" s="18">
        <f t="shared" si="18"/>
        <v>0.7</v>
      </c>
      <c r="O254" s="27" t="s">
        <v>1209</v>
      </c>
      <c r="P254" s="8" t="s">
        <v>1209</v>
      </c>
      <c r="Q254" s="8" t="s">
        <v>1209</v>
      </c>
      <c r="R254" s="8" t="s">
        <v>1209</v>
      </c>
      <c r="S254" s="27" t="s">
        <v>1209</v>
      </c>
      <c r="T254" s="27" t="s">
        <v>1209</v>
      </c>
      <c r="U254" s="8" t="s">
        <v>1209</v>
      </c>
      <c r="V254" s="8" t="s">
        <v>1209</v>
      </c>
      <c r="W254" s="8" t="s">
        <v>1209</v>
      </c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s="51" t="s">
        <v>411</v>
      </c>
      <c r="B255" s="51" t="s">
        <v>547</v>
      </c>
      <c r="C255" s="51" t="s">
        <v>1391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21</v>
      </c>
      <c r="M255" s="17">
        <f t="shared" si="17"/>
        <v>9</v>
      </c>
      <c r="N255" s="18">
        <f t="shared" si="18"/>
        <v>0.7</v>
      </c>
      <c r="O255" s="27" t="s">
        <v>1209</v>
      </c>
      <c r="P255" s="8" t="s">
        <v>1209</v>
      </c>
      <c r="Q255" s="8" t="s">
        <v>1209</v>
      </c>
      <c r="R255" s="8" t="s">
        <v>1209</v>
      </c>
      <c r="S255" s="27" t="s">
        <v>1209</v>
      </c>
      <c r="T255" s="27" t="s">
        <v>1209</v>
      </c>
      <c r="U255" s="8" t="s">
        <v>1209</v>
      </c>
      <c r="V255" s="8" t="s">
        <v>1209</v>
      </c>
      <c r="W255" s="8" t="s">
        <v>1209</v>
      </c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A256" s="51" t="s">
        <v>530</v>
      </c>
      <c r="B256" s="51" t="s">
        <v>548</v>
      </c>
      <c r="C256" s="51" t="s">
        <v>1391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s="51" t="s">
        <v>530</v>
      </c>
      <c r="B257" s="51" t="s">
        <v>550</v>
      </c>
      <c r="C257" s="51" t="s">
        <v>1391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s="51" t="s">
        <v>552</v>
      </c>
      <c r="B258" s="51" t="s">
        <v>553</v>
      </c>
      <c r="C258" s="51" t="s">
        <v>1391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s="51" t="s">
        <v>552</v>
      </c>
      <c r="B259" s="51" t="s">
        <v>556</v>
      </c>
      <c r="C259" s="51" t="s">
        <v>1391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s="51" t="s">
        <v>552</v>
      </c>
      <c r="B260" s="51" t="s">
        <v>558</v>
      </c>
      <c r="C260" s="51" t="s">
        <v>1391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s="51" t="s">
        <v>562</v>
      </c>
      <c r="B261" s="51" t="s">
        <v>1192</v>
      </c>
      <c r="C261" s="51" t="s">
        <v>1391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s="51" t="s">
        <v>552</v>
      </c>
      <c r="B262" s="51" t="s">
        <v>1194</v>
      </c>
      <c r="C262" s="51" t="s">
        <v>1391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29</v>
      </c>
      <c r="M262" s="17">
        <f t="shared" si="17"/>
        <v>1</v>
      </c>
      <c r="N262" s="18">
        <f t="shared" si="18"/>
        <v>0.96666666666666667</v>
      </c>
      <c r="O262" s="27"/>
      <c r="P262" s="8" t="s">
        <v>1209</v>
      </c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s="51" t="s">
        <v>552</v>
      </c>
      <c r="B263" s="51" t="s">
        <v>1332</v>
      </c>
      <c r="C263" s="51" t="s">
        <v>1391</v>
      </c>
      <c r="D263" s="51" t="s">
        <v>1333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s="51" t="s">
        <v>552</v>
      </c>
      <c r="B264" s="51" t="s">
        <v>559</v>
      </c>
      <c r="C264" s="51" t="s">
        <v>1391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s="51" t="s">
        <v>562</v>
      </c>
      <c r="B265" s="51" t="s">
        <v>563</v>
      </c>
      <c r="C265" s="51" t="s">
        <v>1391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s="51" t="s">
        <v>562</v>
      </c>
      <c r="B266" s="51" t="s">
        <v>565</v>
      </c>
      <c r="C266" s="51" t="s">
        <v>1391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s="51" t="s">
        <v>552</v>
      </c>
      <c r="B267" s="51" t="s">
        <v>566</v>
      </c>
      <c r="C267" s="51" t="s">
        <v>1391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29</v>
      </c>
      <c r="M267" s="17">
        <f t="shared" si="21"/>
        <v>1</v>
      </c>
      <c r="N267" s="18">
        <f t="shared" si="22"/>
        <v>0.96666666666666667</v>
      </c>
      <c r="O267" s="27"/>
      <c r="P267" s="8" t="s">
        <v>1209</v>
      </c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s="51" t="s">
        <v>552</v>
      </c>
      <c r="B268" s="51" t="s">
        <v>569</v>
      </c>
      <c r="C268" s="51" t="s">
        <v>1391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29</v>
      </c>
      <c r="M268" s="17">
        <f t="shared" si="21"/>
        <v>1</v>
      </c>
      <c r="N268" s="18">
        <f t="shared" si="22"/>
        <v>0.96666666666666667</v>
      </c>
      <c r="O268" s="27"/>
      <c r="P268" s="8" t="s">
        <v>1209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s="51" t="s">
        <v>552</v>
      </c>
      <c r="B269" s="51" t="s">
        <v>570</v>
      </c>
      <c r="C269" s="51" t="s">
        <v>1391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29</v>
      </c>
      <c r="M269" s="17">
        <f t="shared" si="21"/>
        <v>1</v>
      </c>
      <c r="N269" s="18">
        <f t="shared" si="22"/>
        <v>0.96666666666666667</v>
      </c>
      <c r="O269" s="27"/>
      <c r="P269" s="8" t="s">
        <v>1209</v>
      </c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s="51" t="s">
        <v>552</v>
      </c>
      <c r="B270" s="51" t="s">
        <v>573</v>
      </c>
      <c r="C270" s="51" t="s">
        <v>1391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29</v>
      </c>
      <c r="M270" s="17">
        <f t="shared" si="21"/>
        <v>1</v>
      </c>
      <c r="N270" s="18">
        <f t="shared" si="22"/>
        <v>0.96666666666666667</v>
      </c>
      <c r="O270" s="27"/>
      <c r="P270" s="8" t="s">
        <v>1209</v>
      </c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s="51" t="s">
        <v>283</v>
      </c>
      <c r="B271" s="51" t="s">
        <v>574</v>
      </c>
      <c r="C271" s="51" t="s">
        <v>1392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s="51" t="s">
        <v>283</v>
      </c>
      <c r="B272" s="51" t="s">
        <v>577</v>
      </c>
      <c r="C272" s="51" t="s">
        <v>1392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s="51" t="s">
        <v>283</v>
      </c>
      <c r="B273" s="51" t="s">
        <v>1334</v>
      </c>
      <c r="C273" s="51" t="s">
        <v>1392</v>
      </c>
      <c r="D273" s="51" t="s">
        <v>1335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s="51" t="s">
        <v>283</v>
      </c>
      <c r="B274" s="51" t="s">
        <v>1336</v>
      </c>
      <c r="C274" s="51" t="s">
        <v>1392</v>
      </c>
      <c r="D274" s="51" t="s">
        <v>1335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s="51" t="s">
        <v>283</v>
      </c>
      <c r="B275" s="51" t="s">
        <v>579</v>
      </c>
      <c r="C275" s="51" t="s">
        <v>1392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s="51" t="s">
        <v>283</v>
      </c>
      <c r="B276" s="51" t="s">
        <v>581</v>
      </c>
      <c r="C276" s="51" t="s">
        <v>1392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s="51" t="s">
        <v>283</v>
      </c>
      <c r="B277" s="51" t="s">
        <v>584</v>
      </c>
      <c r="C277" s="51" t="s">
        <v>1392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s="51" t="s">
        <v>283</v>
      </c>
      <c r="B278" s="51" t="s">
        <v>586</v>
      </c>
      <c r="C278" s="51" t="s">
        <v>1392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s="51" t="s">
        <v>283</v>
      </c>
      <c r="B279" s="51" t="s">
        <v>587</v>
      </c>
      <c r="C279" s="51" t="s">
        <v>1392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s="51" t="s">
        <v>283</v>
      </c>
      <c r="B280" s="51" t="s">
        <v>589</v>
      </c>
      <c r="C280" s="51" t="s">
        <v>1392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s="51" t="s">
        <v>590</v>
      </c>
      <c r="B281" s="51" t="s">
        <v>591</v>
      </c>
      <c r="C281" s="51" t="s">
        <v>1392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s="51" t="s">
        <v>597</v>
      </c>
      <c r="B282" s="51" t="s">
        <v>595</v>
      </c>
      <c r="C282" s="51" t="s">
        <v>1392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s="51" t="s">
        <v>597</v>
      </c>
      <c r="B283" s="51" t="s">
        <v>598</v>
      </c>
      <c r="C283" s="51" t="s">
        <v>1392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30</v>
      </c>
      <c r="M283" s="17">
        <f t="shared" si="21"/>
        <v>0</v>
      </c>
      <c r="N283" s="18">
        <f t="shared" si="22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s="51" t="s">
        <v>597</v>
      </c>
      <c r="B284" s="51" t="s">
        <v>602</v>
      </c>
      <c r="C284" s="51" t="s">
        <v>1392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s="51" t="s">
        <v>597</v>
      </c>
      <c r="B285" s="51" t="s">
        <v>604</v>
      </c>
      <c r="C285" s="51" t="s">
        <v>1392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s="51" t="s">
        <v>597</v>
      </c>
      <c r="B286" s="51" t="s">
        <v>606</v>
      </c>
      <c r="C286" s="51" t="s">
        <v>1392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s="51" t="s">
        <v>597</v>
      </c>
      <c r="B287" s="51" t="s">
        <v>608</v>
      </c>
      <c r="C287" s="51" t="s">
        <v>1392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s="51" t="s">
        <v>597</v>
      </c>
      <c r="B288" s="51" t="s">
        <v>610</v>
      </c>
      <c r="C288" s="51" t="s">
        <v>1392</v>
      </c>
      <c r="D288" s="51" t="s">
        <v>611</v>
      </c>
      <c r="E288" s="51" t="s">
        <v>19</v>
      </c>
      <c r="F288" s="51" t="s">
        <v>1384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s="51" t="s">
        <v>240</v>
      </c>
      <c r="B289" s="51" t="s">
        <v>1337</v>
      </c>
      <c r="C289" s="51" t="s">
        <v>1391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27</v>
      </c>
      <c r="M289" s="17">
        <f t="shared" si="21"/>
        <v>3</v>
      </c>
      <c r="N289" s="18">
        <f t="shared" si="22"/>
        <v>0.9</v>
      </c>
      <c r="O289" s="27" t="s">
        <v>1209</v>
      </c>
      <c r="P289" s="8" t="s">
        <v>1209</v>
      </c>
      <c r="Q289" s="8"/>
      <c r="R289" s="8"/>
      <c r="S289" s="27"/>
      <c r="T289" s="27"/>
      <c r="U289" s="8"/>
      <c r="V289" s="8"/>
      <c r="W289" s="8" t="s">
        <v>1209</v>
      </c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s="51" t="s">
        <v>240</v>
      </c>
      <c r="B290" s="51" t="s">
        <v>1338</v>
      </c>
      <c r="C290" s="51" t="s">
        <v>1391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27</v>
      </c>
      <c r="M290" s="17">
        <f t="shared" si="21"/>
        <v>3</v>
      </c>
      <c r="N290" s="18">
        <f t="shared" si="22"/>
        <v>0.9</v>
      </c>
      <c r="O290" s="27" t="s">
        <v>1209</v>
      </c>
      <c r="P290" s="8" t="s">
        <v>1209</v>
      </c>
      <c r="Q290" s="8"/>
      <c r="R290" s="8"/>
      <c r="S290" s="27"/>
      <c r="T290" s="27"/>
      <c r="U290" s="8"/>
      <c r="V290" s="8"/>
      <c r="W290" s="8" t="s">
        <v>1209</v>
      </c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s="51" t="s">
        <v>240</v>
      </c>
      <c r="B291" s="51" t="s">
        <v>613</v>
      </c>
      <c r="C291" s="51" t="s">
        <v>1391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27</v>
      </c>
      <c r="M291" s="17">
        <f t="shared" si="21"/>
        <v>3</v>
      </c>
      <c r="N291" s="18">
        <f t="shared" si="22"/>
        <v>0.9</v>
      </c>
      <c r="O291" s="27" t="s">
        <v>1209</v>
      </c>
      <c r="P291" s="8" t="s">
        <v>1209</v>
      </c>
      <c r="Q291" s="8"/>
      <c r="R291" s="8"/>
      <c r="S291" s="27"/>
      <c r="T291" s="27"/>
      <c r="U291" s="8"/>
      <c r="V291" s="8"/>
      <c r="W291" s="8" t="s">
        <v>1209</v>
      </c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s="51" t="s">
        <v>240</v>
      </c>
      <c r="B292" s="51" t="s">
        <v>616</v>
      </c>
      <c r="C292" s="51" t="s">
        <v>1391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27</v>
      </c>
      <c r="M292" s="17">
        <f t="shared" si="21"/>
        <v>3</v>
      </c>
      <c r="N292" s="18">
        <f t="shared" si="22"/>
        <v>0.9</v>
      </c>
      <c r="O292" s="27" t="s">
        <v>1209</v>
      </c>
      <c r="P292" s="8" t="s">
        <v>1209</v>
      </c>
      <c r="Q292" s="8"/>
      <c r="R292" s="8"/>
      <c r="S292" s="27"/>
      <c r="T292" s="27"/>
      <c r="U292" s="8"/>
      <c r="V292" s="8"/>
      <c r="W292" s="8" t="s">
        <v>1209</v>
      </c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s="51" t="s">
        <v>618</v>
      </c>
      <c r="B293" s="51" t="s">
        <v>1339</v>
      </c>
      <c r="C293" s="51" t="s">
        <v>1392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s="51" t="s">
        <v>618</v>
      </c>
      <c r="B294" s="51" t="s">
        <v>623</v>
      </c>
      <c r="C294" s="51" t="s">
        <v>1392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s="51" t="s">
        <v>618</v>
      </c>
      <c r="B295" s="51" t="s">
        <v>1340</v>
      </c>
      <c r="C295" s="51" t="s">
        <v>1392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s="51" t="s">
        <v>488</v>
      </c>
      <c r="B296" s="51" t="s">
        <v>1341</v>
      </c>
      <c r="C296" s="51" t="s">
        <v>1392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s="51" t="s">
        <v>488</v>
      </c>
      <c r="B297" s="51" t="s">
        <v>1342</v>
      </c>
      <c r="C297" s="51" t="s">
        <v>1392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s="51" t="s">
        <v>618</v>
      </c>
      <c r="B298" s="51" t="s">
        <v>1343</v>
      </c>
      <c r="C298" s="51" t="s">
        <v>1392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s="51" t="s">
        <v>618</v>
      </c>
      <c r="B299" s="51" t="s">
        <v>1344</v>
      </c>
      <c r="C299" s="51" t="s">
        <v>1392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30</v>
      </c>
      <c r="M299" s="17">
        <f t="shared" si="21"/>
        <v>0</v>
      </c>
      <c r="N299" s="18">
        <f t="shared" si="22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s="51" t="s">
        <v>618</v>
      </c>
      <c r="B300" s="51" t="s">
        <v>631</v>
      </c>
      <c r="C300" s="51" t="s">
        <v>1392</v>
      </c>
      <c r="D300" s="51" t="s">
        <v>1345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30</v>
      </c>
      <c r="M300" s="17">
        <f t="shared" si="21"/>
        <v>0</v>
      </c>
      <c r="N300" s="18">
        <f t="shared" si="22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s="51" t="s">
        <v>488</v>
      </c>
      <c r="B301" s="51" t="s">
        <v>632</v>
      </c>
      <c r="C301" s="51" t="s">
        <v>1392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s="51" t="s">
        <v>618</v>
      </c>
      <c r="B302" s="51" t="s">
        <v>634</v>
      </c>
      <c r="C302" s="51" t="s">
        <v>1392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28</v>
      </c>
      <c r="M302" s="17">
        <f t="shared" si="21"/>
        <v>2</v>
      </c>
      <c r="N302" s="18">
        <f t="shared" si="22"/>
        <v>0.93333333333333335</v>
      </c>
      <c r="O302" s="27" t="s">
        <v>1209</v>
      </c>
      <c r="P302" s="8" t="s">
        <v>1209</v>
      </c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s="51" t="s">
        <v>618</v>
      </c>
      <c r="B303" s="51" t="s">
        <v>1346</v>
      </c>
      <c r="C303" s="51" t="s">
        <v>1392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30</v>
      </c>
      <c r="M303" s="17">
        <f t="shared" si="21"/>
        <v>0</v>
      </c>
      <c r="N303" s="18">
        <f t="shared" si="22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s="51" t="s">
        <v>618</v>
      </c>
      <c r="B304" s="51" t="s">
        <v>1347</v>
      </c>
      <c r="C304" s="51" t="s">
        <v>1392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s="51" t="s">
        <v>618</v>
      </c>
      <c r="B305" s="51" t="s">
        <v>1348</v>
      </c>
      <c r="C305" s="51" t="s">
        <v>1392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s="51" t="s">
        <v>618</v>
      </c>
      <c r="B306" s="51" t="s">
        <v>1349</v>
      </c>
      <c r="C306" s="51" t="s">
        <v>1392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s="51" t="s">
        <v>618</v>
      </c>
      <c r="B307" s="51" t="s">
        <v>1350</v>
      </c>
      <c r="C307" s="51" t="s">
        <v>1392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A308" s="51" t="s">
        <v>618</v>
      </c>
      <c r="B308" s="51" t="s">
        <v>641</v>
      </c>
      <c r="C308" s="51" t="s">
        <v>1392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30</v>
      </c>
      <c r="M308" s="17">
        <f t="shared" si="21"/>
        <v>0</v>
      </c>
      <c r="N308" s="18">
        <f t="shared" si="22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s="51" t="s">
        <v>618</v>
      </c>
      <c r="B309" s="51" t="s">
        <v>644</v>
      </c>
      <c r="C309" s="51" t="s">
        <v>1392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A310" s="51" t="s">
        <v>618</v>
      </c>
      <c r="B310" s="51" t="s">
        <v>1351</v>
      </c>
      <c r="C310" s="51" t="s">
        <v>1392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s="51" t="s">
        <v>618</v>
      </c>
      <c r="B311" s="51" t="s">
        <v>1352</v>
      </c>
      <c r="C311" s="51" t="s">
        <v>1392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s="51" t="s">
        <v>498</v>
      </c>
      <c r="B312" s="51" t="s">
        <v>649</v>
      </c>
      <c r="C312" s="51" t="s">
        <v>1392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29</v>
      </c>
      <c r="M312" s="17">
        <f t="shared" si="21"/>
        <v>1</v>
      </c>
      <c r="N312" s="18">
        <f t="shared" si="22"/>
        <v>0.96666666666666667</v>
      </c>
      <c r="O312" s="27"/>
      <c r="P312" s="8"/>
      <c r="Q312" s="8"/>
      <c r="R312" s="8"/>
      <c r="S312" s="27"/>
      <c r="T312" s="27"/>
      <c r="U312" s="8" t="s">
        <v>1209</v>
      </c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s="51" t="s">
        <v>498</v>
      </c>
      <c r="B313" s="51" t="s">
        <v>651</v>
      </c>
      <c r="C313" s="51" t="s">
        <v>1392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29</v>
      </c>
      <c r="M313" s="17">
        <f t="shared" si="21"/>
        <v>1</v>
      </c>
      <c r="N313" s="18">
        <f t="shared" si="22"/>
        <v>0.96666666666666667</v>
      </c>
      <c r="O313" s="27"/>
      <c r="P313" s="8"/>
      <c r="Q313" s="8"/>
      <c r="R313" s="8"/>
      <c r="S313" s="27"/>
      <c r="T313" s="27"/>
      <c r="U313" s="8" t="s">
        <v>1209</v>
      </c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s="51" t="s">
        <v>374</v>
      </c>
      <c r="B314" s="51" t="s">
        <v>1353</v>
      </c>
      <c r="C314" s="51" t="s">
        <v>1391</v>
      </c>
      <c r="D314" s="51" t="s">
        <v>674</v>
      </c>
      <c r="E314" s="51" t="s">
        <v>24</v>
      </c>
      <c r="F314" s="51" t="s">
        <v>1384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s="51" t="s">
        <v>652</v>
      </c>
      <c r="B315" s="51" t="s">
        <v>653</v>
      </c>
      <c r="C315" s="51" t="s">
        <v>1391</v>
      </c>
      <c r="D315" s="51" t="s">
        <v>654</v>
      </c>
      <c r="E315" s="51" t="s">
        <v>24</v>
      </c>
      <c r="F315" s="51" t="s">
        <v>1384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s="51" t="s">
        <v>652</v>
      </c>
      <c r="B316" s="51" t="s">
        <v>656</v>
      </c>
      <c r="C316" s="51" t="s">
        <v>1391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s="51" t="s">
        <v>658</v>
      </c>
      <c r="B317" s="51" t="s">
        <v>659</v>
      </c>
      <c r="C317" s="51" t="s">
        <v>1391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s="51" t="s">
        <v>652</v>
      </c>
      <c r="B318" s="51" t="s">
        <v>661</v>
      </c>
      <c r="C318" s="51" t="s">
        <v>1391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s="51" t="s">
        <v>652</v>
      </c>
      <c r="B319" s="51" t="s">
        <v>665</v>
      </c>
      <c r="C319" s="51" t="s">
        <v>1391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s="51" t="s">
        <v>652</v>
      </c>
      <c r="B320" s="51" t="s">
        <v>667</v>
      </c>
      <c r="C320" s="51" t="s">
        <v>1391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s="51" t="s">
        <v>652</v>
      </c>
      <c r="B321" s="51" t="s">
        <v>670</v>
      </c>
      <c r="C321" s="51" t="s">
        <v>1391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s="51" t="s">
        <v>652</v>
      </c>
      <c r="B322" s="51" t="s">
        <v>672</v>
      </c>
      <c r="C322" s="51" t="s">
        <v>1391</v>
      </c>
      <c r="D322" s="51" t="s">
        <v>673</v>
      </c>
      <c r="E322" s="51" t="s">
        <v>24</v>
      </c>
      <c r="F322" s="51" t="s">
        <v>1384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s="51" t="s">
        <v>326</v>
      </c>
      <c r="B323" s="51" t="s">
        <v>675</v>
      </c>
      <c r="C323" s="51" t="s">
        <v>1392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s="51" t="s">
        <v>326</v>
      </c>
      <c r="B324" s="51" t="s">
        <v>678</v>
      </c>
      <c r="C324" s="51" t="s">
        <v>1392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s="51" t="s">
        <v>326</v>
      </c>
      <c r="B325" s="51" t="s">
        <v>1354</v>
      </c>
      <c r="C325" s="51" t="s">
        <v>1392</v>
      </c>
      <c r="D325" s="51" t="s">
        <v>688</v>
      </c>
      <c r="E325" s="51" t="s">
        <v>102</v>
      </c>
      <c r="F325" s="51" t="s">
        <v>1383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s="51" t="s">
        <v>326</v>
      </c>
      <c r="B326" s="51" t="s">
        <v>1355</v>
      </c>
      <c r="C326" s="51" t="s">
        <v>1392</v>
      </c>
      <c r="D326" s="51" t="s">
        <v>688</v>
      </c>
      <c r="E326" s="51" t="s">
        <v>102</v>
      </c>
      <c r="F326" s="51" t="s">
        <v>1383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A327" s="51" t="s">
        <v>326</v>
      </c>
      <c r="B327" s="51" t="s">
        <v>680</v>
      </c>
      <c r="C327" s="51" t="s">
        <v>1392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21</v>
      </c>
      <c r="M327" s="17">
        <f t="shared" ref="M327:M372" si="24">COUNTIF(O327:AP327,"APAGADO")</f>
        <v>9</v>
      </c>
      <c r="N327" s="18">
        <f t="shared" ref="N327:N372" si="25">(L327)/(M327+L327)</f>
        <v>0.7</v>
      </c>
      <c r="O327" s="27" t="s">
        <v>1209</v>
      </c>
      <c r="P327" s="8" t="s">
        <v>1209</v>
      </c>
      <c r="Q327" s="8" t="s">
        <v>1209</v>
      </c>
      <c r="R327" s="8" t="s">
        <v>1209</v>
      </c>
      <c r="S327" s="27" t="s">
        <v>1209</v>
      </c>
      <c r="T327" s="27" t="s">
        <v>1209</v>
      </c>
      <c r="U327" s="8" t="s">
        <v>1209</v>
      </c>
      <c r="V327" s="8" t="s">
        <v>1209</v>
      </c>
      <c r="W327" s="8" t="s">
        <v>1209</v>
      </c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s="51" t="s">
        <v>326</v>
      </c>
      <c r="B328" s="51" t="s">
        <v>682</v>
      </c>
      <c r="C328" s="51" t="s">
        <v>1392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21</v>
      </c>
      <c r="M328" s="17">
        <f t="shared" si="24"/>
        <v>9</v>
      </c>
      <c r="N328" s="18">
        <f t="shared" si="25"/>
        <v>0.7</v>
      </c>
      <c r="O328" s="27" t="s">
        <v>1209</v>
      </c>
      <c r="P328" s="8" t="s">
        <v>1209</v>
      </c>
      <c r="Q328" s="8" t="s">
        <v>1209</v>
      </c>
      <c r="R328" s="8" t="s">
        <v>1209</v>
      </c>
      <c r="S328" s="27" t="s">
        <v>1209</v>
      </c>
      <c r="T328" s="27" t="s">
        <v>1209</v>
      </c>
      <c r="U328" s="8" t="s">
        <v>1209</v>
      </c>
      <c r="V328" s="8" t="s">
        <v>1209</v>
      </c>
      <c r="W328" s="8" t="s">
        <v>1209</v>
      </c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s="51" t="s">
        <v>326</v>
      </c>
      <c r="B329" s="51" t="s">
        <v>683</v>
      </c>
      <c r="C329" s="51" t="s">
        <v>1392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s="51" t="s">
        <v>326</v>
      </c>
      <c r="B330" s="51" t="s">
        <v>685</v>
      </c>
      <c r="C330" s="51" t="s">
        <v>1392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s="51" t="s">
        <v>326</v>
      </c>
      <c r="B331" s="51" t="s">
        <v>686</v>
      </c>
      <c r="C331" s="51" t="s">
        <v>1392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s="51" t="s">
        <v>326</v>
      </c>
      <c r="B332" s="51" t="s">
        <v>690</v>
      </c>
      <c r="C332" s="51" t="s">
        <v>1392</v>
      </c>
      <c r="D332" s="51" t="s">
        <v>691</v>
      </c>
      <c r="E332" s="51" t="s">
        <v>102</v>
      </c>
      <c r="F332" s="51" t="s">
        <v>1383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s="51" t="s">
        <v>326</v>
      </c>
      <c r="B333" s="51" t="s">
        <v>693</v>
      </c>
      <c r="C333" s="51" t="s">
        <v>1392</v>
      </c>
      <c r="D333" s="51" t="s">
        <v>691</v>
      </c>
      <c r="E333" s="51" t="s">
        <v>102</v>
      </c>
      <c r="F333" s="51" t="s">
        <v>1383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s="51" t="s">
        <v>697</v>
      </c>
      <c r="B334" s="51" t="s">
        <v>1356</v>
      </c>
      <c r="C334" s="51" t="s">
        <v>1392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s="51" t="s">
        <v>703</v>
      </c>
      <c r="B335" s="51" t="s">
        <v>1357</v>
      </c>
      <c r="C335" s="51" t="s">
        <v>1392</v>
      </c>
      <c r="D335" s="51" t="s">
        <v>735</v>
      </c>
      <c r="E335" s="51" t="s">
        <v>19</v>
      </c>
      <c r="F335" s="51" t="s">
        <v>1383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25</v>
      </c>
      <c r="M335" s="17">
        <f t="shared" si="24"/>
        <v>5</v>
      </c>
      <c r="N335" s="18">
        <f t="shared" si="25"/>
        <v>0.83333333333333337</v>
      </c>
      <c r="O335" s="27"/>
      <c r="P335" s="8"/>
      <c r="Q335" s="8"/>
      <c r="R335" s="8"/>
      <c r="S335" s="27" t="s">
        <v>1209</v>
      </c>
      <c r="T335" s="27" t="s">
        <v>1209</v>
      </c>
      <c r="U335" s="8" t="s">
        <v>1209</v>
      </c>
      <c r="V335" s="8" t="s">
        <v>1209</v>
      </c>
      <c r="W335" s="8" t="s">
        <v>1209</v>
      </c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s="51" t="s">
        <v>703</v>
      </c>
      <c r="B336" s="51" t="s">
        <v>700</v>
      </c>
      <c r="C336" s="51" t="s">
        <v>1392</v>
      </c>
      <c r="D336" s="51" t="s">
        <v>701</v>
      </c>
      <c r="E336" s="51" t="s">
        <v>19</v>
      </c>
      <c r="F336" s="51" t="s">
        <v>1384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30</v>
      </c>
      <c r="M336" s="17">
        <f t="shared" si="24"/>
        <v>0</v>
      </c>
      <c r="N336" s="18">
        <f t="shared" si="25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s="51" t="s">
        <v>703</v>
      </c>
      <c r="B337" s="51" t="s">
        <v>704</v>
      </c>
      <c r="C337" s="51" t="s">
        <v>1392</v>
      </c>
      <c r="D337" s="51" t="s">
        <v>705</v>
      </c>
      <c r="E337" s="51" t="s">
        <v>19</v>
      </c>
      <c r="F337" s="51" t="s">
        <v>1384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30</v>
      </c>
      <c r="M337" s="17">
        <f t="shared" si="24"/>
        <v>0</v>
      </c>
      <c r="N337" s="18">
        <f t="shared" si="25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s="51" t="s">
        <v>703</v>
      </c>
      <c r="B338" s="51" t="s">
        <v>707</v>
      </c>
      <c r="C338" s="51" t="s">
        <v>1392</v>
      </c>
      <c r="D338" s="51" t="s">
        <v>1358</v>
      </c>
      <c r="E338" s="51" t="s">
        <v>19</v>
      </c>
      <c r="F338" s="51" t="s">
        <v>1384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30</v>
      </c>
      <c r="M338" s="17">
        <f t="shared" si="24"/>
        <v>0</v>
      </c>
      <c r="N338" s="18">
        <f t="shared" si="25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s="51" t="s">
        <v>703</v>
      </c>
      <c r="B339" s="51" t="s">
        <v>710</v>
      </c>
      <c r="C339" s="51" t="s">
        <v>1392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s="51" t="s">
        <v>697</v>
      </c>
      <c r="B340" s="51" t="s">
        <v>1359</v>
      </c>
      <c r="C340" s="51" t="s">
        <v>1392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s="51" t="s">
        <v>697</v>
      </c>
      <c r="B341" s="51" t="s">
        <v>1360</v>
      </c>
      <c r="C341" s="51" t="s">
        <v>1392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s="51" t="s">
        <v>703</v>
      </c>
      <c r="B342" s="51" t="s">
        <v>712</v>
      </c>
      <c r="C342" s="51" t="s">
        <v>1392</v>
      </c>
      <c r="D342" s="51" t="s">
        <v>1361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s="51" t="s">
        <v>697</v>
      </c>
      <c r="B343" s="51" t="s">
        <v>714</v>
      </c>
      <c r="C343" s="51" t="s">
        <v>1392</v>
      </c>
      <c r="D343" s="51" t="s">
        <v>1362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s="51" t="s">
        <v>697</v>
      </c>
      <c r="B344" s="51" t="s">
        <v>715</v>
      </c>
      <c r="C344" s="51" t="s">
        <v>1392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s="51" t="s">
        <v>697</v>
      </c>
      <c r="B345" s="51" t="s">
        <v>718</v>
      </c>
      <c r="C345" s="51" t="s">
        <v>1392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s="51" t="s">
        <v>697</v>
      </c>
      <c r="B346" s="51" t="s">
        <v>721</v>
      </c>
      <c r="C346" s="51" t="s">
        <v>1392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s="51" t="s">
        <v>697</v>
      </c>
      <c r="B347" s="51" t="s">
        <v>724</v>
      </c>
      <c r="C347" s="51" t="s">
        <v>1392</v>
      </c>
      <c r="D347" s="51" t="s">
        <v>1401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s="51" t="s">
        <v>697</v>
      </c>
      <c r="B348" s="51" t="s">
        <v>725</v>
      </c>
      <c r="C348" s="51" t="s">
        <v>1391</v>
      </c>
      <c r="D348" s="51" t="s">
        <v>1400</v>
      </c>
      <c r="E348" s="51"/>
      <c r="F348" s="51" t="s">
        <v>1384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23</v>
      </c>
      <c r="M348" s="17">
        <f t="shared" si="24"/>
        <v>7</v>
      </c>
      <c r="N348" s="18">
        <f t="shared" si="25"/>
        <v>0.76666666666666672</v>
      </c>
      <c r="O348" s="27" t="s">
        <v>1209</v>
      </c>
      <c r="P348" s="8"/>
      <c r="Q348" s="8" t="s">
        <v>1209</v>
      </c>
      <c r="R348" s="8" t="s">
        <v>1209</v>
      </c>
      <c r="S348" s="27"/>
      <c r="T348" s="27" t="s">
        <v>1209</v>
      </c>
      <c r="U348" s="8" t="s">
        <v>1209</v>
      </c>
      <c r="V348" s="8" t="s">
        <v>1209</v>
      </c>
      <c r="W348" s="8" t="s">
        <v>1209</v>
      </c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s="51" t="s">
        <v>703</v>
      </c>
      <c r="B349" s="51" t="s">
        <v>727</v>
      </c>
      <c r="C349" s="51" t="s">
        <v>1392</v>
      </c>
      <c r="D349" s="51" t="s">
        <v>728</v>
      </c>
      <c r="E349" s="51" t="s">
        <v>24</v>
      </c>
      <c r="F349" s="51" t="s">
        <v>1383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s="51" t="s">
        <v>703</v>
      </c>
      <c r="B350" s="51" t="s">
        <v>729</v>
      </c>
      <c r="C350" s="51" t="s">
        <v>1392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s="51" t="s">
        <v>703</v>
      </c>
      <c r="B351" s="51" t="s">
        <v>733</v>
      </c>
      <c r="C351" s="51" t="s">
        <v>1392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s="51" t="s">
        <v>703</v>
      </c>
      <c r="B352" s="51" t="s">
        <v>1363</v>
      </c>
      <c r="C352" s="51" t="s">
        <v>1392</v>
      </c>
      <c r="D352" s="51" t="s">
        <v>695</v>
      </c>
      <c r="E352" s="51" t="s">
        <v>19</v>
      </c>
      <c r="F352" s="51" t="s">
        <v>1384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30</v>
      </c>
      <c r="M352" s="17">
        <f t="shared" si="24"/>
        <v>0</v>
      </c>
      <c r="N352" s="18">
        <f t="shared" si="25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s="51" t="s">
        <v>697</v>
      </c>
      <c r="B353" s="51" t="s">
        <v>1364</v>
      </c>
      <c r="C353" s="51" t="s">
        <v>1392</v>
      </c>
      <c r="D353" s="51" t="s">
        <v>698</v>
      </c>
      <c r="E353" s="51" t="s">
        <v>24</v>
      </c>
      <c r="F353" s="51" t="s">
        <v>1384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s="51" t="s">
        <v>697</v>
      </c>
      <c r="B354" s="51" t="s">
        <v>1365</v>
      </c>
      <c r="C354" s="51" t="s">
        <v>1392</v>
      </c>
      <c r="D354" s="51" t="s">
        <v>708</v>
      </c>
      <c r="E354" s="51" t="s">
        <v>19</v>
      </c>
      <c r="F354" s="51" t="s">
        <v>1384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A355" s="51" t="s">
        <v>697</v>
      </c>
      <c r="B355" s="51" t="s">
        <v>1366</v>
      </c>
      <c r="C355" s="51" t="s">
        <v>1392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s="51" t="s">
        <v>697</v>
      </c>
      <c r="B356" s="51" t="s">
        <v>739</v>
      </c>
      <c r="C356" s="51" t="s">
        <v>1391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23</v>
      </c>
      <c r="M356" s="17">
        <f t="shared" si="24"/>
        <v>7</v>
      </c>
      <c r="N356" s="18">
        <f t="shared" si="25"/>
        <v>0.76666666666666672</v>
      </c>
      <c r="O356" s="27" t="s">
        <v>1209</v>
      </c>
      <c r="P356" s="8"/>
      <c r="Q356" s="8" t="s">
        <v>1209</v>
      </c>
      <c r="R356" s="8" t="s">
        <v>1209</v>
      </c>
      <c r="S356" s="27"/>
      <c r="T356" s="27" t="s">
        <v>1209</v>
      </c>
      <c r="U356" s="8" t="s">
        <v>1209</v>
      </c>
      <c r="V356" s="8" t="s">
        <v>1209</v>
      </c>
      <c r="W356" s="8" t="s">
        <v>1209</v>
      </c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s="51" t="s">
        <v>697</v>
      </c>
      <c r="B357" s="51" t="s">
        <v>741</v>
      </c>
      <c r="C357" s="51" t="s">
        <v>1391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23</v>
      </c>
      <c r="M357" s="17">
        <f t="shared" si="24"/>
        <v>7</v>
      </c>
      <c r="N357" s="18">
        <f t="shared" si="25"/>
        <v>0.76666666666666672</v>
      </c>
      <c r="O357" s="27" t="s">
        <v>1209</v>
      </c>
      <c r="P357" s="8"/>
      <c r="Q357" s="8" t="s">
        <v>1209</v>
      </c>
      <c r="R357" s="8" t="s">
        <v>1209</v>
      </c>
      <c r="S357" s="27"/>
      <c r="T357" s="27" t="s">
        <v>1209</v>
      </c>
      <c r="U357" s="8" t="s">
        <v>1209</v>
      </c>
      <c r="V357" s="8" t="s">
        <v>1209</v>
      </c>
      <c r="W357" s="8" t="s">
        <v>1209</v>
      </c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s="51" t="s">
        <v>562</v>
      </c>
      <c r="B358" s="51" t="s">
        <v>1367</v>
      </c>
      <c r="C358" s="51" t="s">
        <v>1391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s="51" t="s">
        <v>411</v>
      </c>
      <c r="B359" s="51" t="s">
        <v>1368</v>
      </c>
      <c r="C359" s="51" t="s">
        <v>1391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30</v>
      </c>
      <c r="M359" s="17">
        <f t="shared" si="24"/>
        <v>0</v>
      </c>
      <c r="N359" s="18">
        <f t="shared" si="25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s="51" t="s">
        <v>562</v>
      </c>
      <c r="B360" s="51" t="s">
        <v>742</v>
      </c>
      <c r="C360" s="51" t="s">
        <v>1391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30</v>
      </c>
      <c r="M360" s="17">
        <f t="shared" si="24"/>
        <v>0</v>
      </c>
      <c r="N360" s="18">
        <f t="shared" si="25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s="51" t="s">
        <v>562</v>
      </c>
      <c r="B361" s="51" t="s">
        <v>749</v>
      </c>
      <c r="C361" s="51" t="s">
        <v>1391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22</v>
      </c>
      <c r="M361" s="17">
        <f t="shared" si="24"/>
        <v>8</v>
      </c>
      <c r="N361" s="18">
        <f t="shared" si="25"/>
        <v>0.73333333333333328</v>
      </c>
      <c r="O361" s="27" t="s">
        <v>1209</v>
      </c>
      <c r="P361" s="8"/>
      <c r="Q361" s="8" t="s">
        <v>1209</v>
      </c>
      <c r="R361" s="8" t="s">
        <v>1209</v>
      </c>
      <c r="S361" s="27" t="s">
        <v>1209</v>
      </c>
      <c r="T361" s="27" t="s">
        <v>1209</v>
      </c>
      <c r="U361" s="8" t="s">
        <v>1209</v>
      </c>
      <c r="V361" s="8" t="s">
        <v>1209</v>
      </c>
      <c r="W361" s="8" t="s">
        <v>1209</v>
      </c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s="51" t="s">
        <v>562</v>
      </c>
      <c r="B362" s="51" t="s">
        <v>751</v>
      </c>
      <c r="C362" s="51" t="s">
        <v>1391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22</v>
      </c>
      <c r="M362" s="17">
        <f t="shared" si="24"/>
        <v>8</v>
      </c>
      <c r="N362" s="18">
        <f t="shared" si="25"/>
        <v>0.73333333333333328</v>
      </c>
      <c r="O362" s="27" t="s">
        <v>1209</v>
      </c>
      <c r="P362" s="8"/>
      <c r="Q362" s="8" t="s">
        <v>1209</v>
      </c>
      <c r="R362" s="8" t="s">
        <v>1209</v>
      </c>
      <c r="S362" s="27" t="s">
        <v>1209</v>
      </c>
      <c r="T362" s="27" t="s">
        <v>1209</v>
      </c>
      <c r="U362" s="8" t="s">
        <v>1209</v>
      </c>
      <c r="V362" s="8" t="s">
        <v>1209</v>
      </c>
      <c r="W362" s="8" t="s">
        <v>1209</v>
      </c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s="51" t="s">
        <v>562</v>
      </c>
      <c r="B363" s="51" t="s">
        <v>752</v>
      </c>
      <c r="C363" s="51" t="s">
        <v>1391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30</v>
      </c>
      <c r="M363" s="17">
        <f t="shared" si="24"/>
        <v>0</v>
      </c>
      <c r="N363" s="18">
        <f t="shared" si="25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s="51" t="s">
        <v>562</v>
      </c>
      <c r="B364" s="51" t="s">
        <v>755</v>
      </c>
      <c r="C364" s="51" t="s">
        <v>1391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s="51" t="s">
        <v>562</v>
      </c>
      <c r="B365" s="51" t="s">
        <v>756</v>
      </c>
      <c r="C365" s="51" t="s">
        <v>1391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s="51" t="s">
        <v>658</v>
      </c>
      <c r="B366" s="51" t="s">
        <v>758</v>
      </c>
      <c r="C366" s="51" t="s">
        <v>1391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A367" s="51" t="s">
        <v>658</v>
      </c>
      <c r="B367" s="51" t="s">
        <v>760</v>
      </c>
      <c r="C367" s="51" t="s">
        <v>1391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s="51" t="s">
        <v>658</v>
      </c>
      <c r="B368" s="51" t="s">
        <v>763</v>
      </c>
      <c r="C368" s="51" t="s">
        <v>1391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s="51" t="s">
        <v>658</v>
      </c>
      <c r="B369" s="51" t="s">
        <v>765</v>
      </c>
      <c r="C369" s="51" t="s">
        <v>1391</v>
      </c>
      <c r="D369" s="51" t="s">
        <v>766</v>
      </c>
      <c r="E369" s="51" t="s">
        <v>24</v>
      </c>
      <c r="F369" s="51" t="s">
        <v>1384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A370" s="51" t="s">
        <v>652</v>
      </c>
      <c r="B370" s="51" t="s">
        <v>767</v>
      </c>
      <c r="C370" s="51" t="s">
        <v>1391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26</v>
      </c>
      <c r="M370" s="17">
        <f t="shared" si="24"/>
        <v>4</v>
      </c>
      <c r="N370" s="18">
        <f t="shared" si="25"/>
        <v>0.8666666666666667</v>
      </c>
      <c r="O370" s="27"/>
      <c r="P370" s="8"/>
      <c r="Q370" s="8"/>
      <c r="R370" s="8"/>
      <c r="S370" s="27"/>
      <c r="T370" s="27" t="s">
        <v>1209</v>
      </c>
      <c r="U370" s="8" t="s">
        <v>1209</v>
      </c>
      <c r="V370" s="8" t="s">
        <v>1209</v>
      </c>
      <c r="W370" s="8" t="s">
        <v>1209</v>
      </c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s="51" t="s">
        <v>770</v>
      </c>
      <c r="B371" s="51" t="s">
        <v>771</v>
      </c>
      <c r="C371" s="51" t="s">
        <v>1392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29</v>
      </c>
      <c r="M371" s="17">
        <f t="shared" si="24"/>
        <v>1</v>
      </c>
      <c r="N371" s="18">
        <f t="shared" si="25"/>
        <v>0.96666666666666667</v>
      </c>
      <c r="O371" s="27"/>
      <c r="P371" s="27"/>
      <c r="Q371" s="27"/>
      <c r="R371" s="27"/>
      <c r="S371" s="27"/>
      <c r="T371" s="27"/>
      <c r="U371" s="27" t="s">
        <v>1209</v>
      </c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s="51" t="s">
        <v>770</v>
      </c>
      <c r="B372" s="51" t="s">
        <v>773</v>
      </c>
      <c r="C372" s="51" t="s">
        <v>1392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29</v>
      </c>
      <c r="M372" s="17">
        <f t="shared" si="24"/>
        <v>1</v>
      </c>
      <c r="N372" s="18">
        <f t="shared" si="25"/>
        <v>0.96666666666666667</v>
      </c>
      <c r="O372" s="27"/>
      <c r="P372" s="27"/>
      <c r="Q372" s="27"/>
      <c r="R372" s="27"/>
      <c r="S372" s="27"/>
      <c r="T372" s="27"/>
      <c r="U372" s="27" t="s">
        <v>1209</v>
      </c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" thickBot="1" x14ac:dyDescent="0.35">
      <c r="A373" s="51" t="s">
        <v>770</v>
      </c>
      <c r="B373" s="51" t="s">
        <v>1369</v>
      </c>
      <c r="C373" s="51" t="s">
        <v>1392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 t="s">
        <v>1209</v>
      </c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" thickBot="1" x14ac:dyDescent="0.35">
      <c r="A374" s="51" t="s">
        <v>770</v>
      </c>
      <c r="B374" s="51" t="s">
        <v>1370</v>
      </c>
      <c r="C374" s="51" t="s">
        <v>1392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 t="s">
        <v>1209</v>
      </c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" thickBot="1" x14ac:dyDescent="0.35">
      <c r="A375" s="51" t="s">
        <v>776</v>
      </c>
      <c r="B375" s="51" t="s">
        <v>1371</v>
      </c>
      <c r="C375" s="51" t="s">
        <v>1392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30</v>
      </c>
      <c r="M375" s="53">
        <f t="shared" si="26"/>
        <v>0</v>
      </c>
      <c r="N375" s="54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" thickBot="1" x14ac:dyDescent="0.35">
      <c r="A376" s="51" t="s">
        <v>776</v>
      </c>
      <c r="B376" s="51" t="s">
        <v>1372</v>
      </c>
      <c r="C376" s="51" t="s">
        <v>1392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30</v>
      </c>
      <c r="M376" s="53">
        <f t="shared" si="26"/>
        <v>0</v>
      </c>
      <c r="N376" s="54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" thickBot="1" x14ac:dyDescent="0.35">
      <c r="A377" s="51" t="s">
        <v>776</v>
      </c>
      <c r="B377" s="51" t="s">
        <v>780</v>
      </c>
      <c r="C377" s="51" t="s">
        <v>1392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" thickBot="1" x14ac:dyDescent="0.35">
      <c r="A378" s="51" t="s">
        <v>776</v>
      </c>
      <c r="B378" s="51" t="s">
        <v>783</v>
      </c>
      <c r="C378" s="51" t="s">
        <v>1392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30</v>
      </c>
      <c r="M378" s="53">
        <f t="shared" si="26"/>
        <v>0</v>
      </c>
      <c r="N378" s="54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" thickBot="1" x14ac:dyDescent="0.35">
      <c r="A379" s="51" t="s">
        <v>776</v>
      </c>
      <c r="B379" s="51" t="s">
        <v>785</v>
      </c>
      <c r="C379" s="51" t="s">
        <v>1392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30</v>
      </c>
      <c r="M379" s="53">
        <f t="shared" si="26"/>
        <v>0</v>
      </c>
      <c r="N379" s="54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" thickBot="1" x14ac:dyDescent="0.35">
      <c r="A380" s="51" t="s">
        <v>253</v>
      </c>
      <c r="B380" s="51" t="s">
        <v>787</v>
      </c>
      <c r="C380" s="51" t="s">
        <v>1392</v>
      </c>
      <c r="D380" s="51" t="s">
        <v>1373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30</v>
      </c>
      <c r="M380" s="53">
        <f t="shared" ref="M380:M396" si="29">COUNTIF(O380:AP380,"APAGADO")</f>
        <v>0</v>
      </c>
      <c r="N380" s="54">
        <f t="shared" ref="N380:N396" si="30">(L380)/(M380+L380)</f>
        <v>1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" thickBot="1" x14ac:dyDescent="0.35">
      <c r="A381" s="51" t="s">
        <v>253</v>
      </c>
      <c r="B381" s="51" t="s">
        <v>1374</v>
      </c>
      <c r="C381" s="51" t="s">
        <v>1392</v>
      </c>
      <c r="D381" s="51" t="s">
        <v>1375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30</v>
      </c>
      <c r="M381" s="53">
        <f t="shared" si="29"/>
        <v>0</v>
      </c>
      <c r="N381" s="54">
        <f t="shared" si="30"/>
        <v>1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" thickBot="1" x14ac:dyDescent="0.35">
      <c r="A382" s="51" t="s">
        <v>253</v>
      </c>
      <c r="B382" s="51" t="s">
        <v>1376</v>
      </c>
      <c r="C382" s="51" t="s">
        <v>1392</v>
      </c>
      <c r="D382" s="51" t="s">
        <v>1375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30</v>
      </c>
      <c r="M382" s="53">
        <f t="shared" si="29"/>
        <v>0</v>
      </c>
      <c r="N382" s="54">
        <f t="shared" si="30"/>
        <v>1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" thickBot="1" x14ac:dyDescent="0.35">
      <c r="A383" s="51" t="s">
        <v>253</v>
      </c>
      <c r="B383" s="51" t="s">
        <v>1377</v>
      </c>
      <c r="C383" s="51" t="s">
        <v>1392</v>
      </c>
      <c r="D383" s="51" t="s">
        <v>1378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30</v>
      </c>
      <c r="M383" s="53">
        <f t="shared" si="29"/>
        <v>0</v>
      </c>
      <c r="N383" s="54">
        <f t="shared" si="30"/>
        <v>1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" thickBot="1" x14ac:dyDescent="0.35">
      <c r="A384" s="51" t="s">
        <v>253</v>
      </c>
      <c r="B384" s="51" t="s">
        <v>788</v>
      </c>
      <c r="C384" s="51" t="s">
        <v>1392</v>
      </c>
      <c r="D384" s="51" t="s">
        <v>1379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30</v>
      </c>
      <c r="M384" s="53">
        <f t="shared" si="29"/>
        <v>0</v>
      </c>
      <c r="N384" s="54">
        <f t="shared" si="30"/>
        <v>1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" thickBot="1" x14ac:dyDescent="0.35">
      <c r="A385" s="51" t="s">
        <v>794</v>
      </c>
      <c r="B385" s="51" t="s">
        <v>1380</v>
      </c>
      <c r="C385" s="51" t="s">
        <v>1392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21</v>
      </c>
      <c r="M385" s="53">
        <f t="shared" si="29"/>
        <v>9</v>
      </c>
      <c r="N385" s="54">
        <f t="shared" si="30"/>
        <v>0.7</v>
      </c>
      <c r="O385" s="27" t="s">
        <v>1209</v>
      </c>
      <c r="P385" s="27" t="s">
        <v>1209</v>
      </c>
      <c r="Q385" s="27" t="s">
        <v>1209</v>
      </c>
      <c r="R385" s="27" t="s">
        <v>1209</v>
      </c>
      <c r="S385" s="27" t="s">
        <v>1209</v>
      </c>
      <c r="T385" s="27" t="s">
        <v>1209</v>
      </c>
      <c r="U385" s="27" t="s">
        <v>1209</v>
      </c>
      <c r="V385" s="27" t="s">
        <v>1209</v>
      </c>
      <c r="W385" s="27" t="s">
        <v>1209</v>
      </c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" thickBot="1" x14ac:dyDescent="0.35">
      <c r="A386" s="51" t="s">
        <v>794</v>
      </c>
      <c r="B386" s="51" t="s">
        <v>1381</v>
      </c>
      <c r="C386" s="51" t="s">
        <v>1392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21</v>
      </c>
      <c r="M386" s="53">
        <f t="shared" si="29"/>
        <v>9</v>
      </c>
      <c r="N386" s="54">
        <f t="shared" si="30"/>
        <v>0.7</v>
      </c>
      <c r="O386" s="27" t="s">
        <v>1209</v>
      </c>
      <c r="P386" s="27" t="s">
        <v>1209</v>
      </c>
      <c r="Q386" s="27" t="s">
        <v>1209</v>
      </c>
      <c r="R386" s="27" t="s">
        <v>1209</v>
      </c>
      <c r="S386" s="27" t="s">
        <v>1209</v>
      </c>
      <c r="T386" s="27" t="s">
        <v>1209</v>
      </c>
      <c r="U386" s="27" t="s">
        <v>1209</v>
      </c>
      <c r="V386" s="27" t="s">
        <v>1209</v>
      </c>
      <c r="W386" s="27" t="s">
        <v>1209</v>
      </c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" thickBot="1" x14ac:dyDescent="0.35">
      <c r="A387" s="51" t="s">
        <v>794</v>
      </c>
      <c r="B387" s="51" t="s">
        <v>795</v>
      </c>
      <c r="C387" s="51" t="s">
        <v>1392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21</v>
      </c>
      <c r="M387" s="53">
        <f t="shared" si="29"/>
        <v>9</v>
      </c>
      <c r="N387" s="54">
        <f t="shared" si="30"/>
        <v>0.7</v>
      </c>
      <c r="O387" s="27" t="s">
        <v>1209</v>
      </c>
      <c r="P387" s="27" t="s">
        <v>1209</v>
      </c>
      <c r="Q387" s="27" t="s">
        <v>1209</v>
      </c>
      <c r="R387" s="27" t="s">
        <v>1209</v>
      </c>
      <c r="S387" s="27" t="s">
        <v>1209</v>
      </c>
      <c r="T387" s="27" t="s">
        <v>1209</v>
      </c>
      <c r="U387" s="27" t="s">
        <v>1209</v>
      </c>
      <c r="V387" s="27" t="s">
        <v>1209</v>
      </c>
      <c r="W387" s="27" t="s">
        <v>1209</v>
      </c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" thickBot="1" x14ac:dyDescent="0.35">
      <c r="A388" s="51" t="s">
        <v>794</v>
      </c>
      <c r="B388" s="51" t="s">
        <v>799</v>
      </c>
      <c r="C388" s="51" t="s">
        <v>1392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21</v>
      </c>
      <c r="M388" s="53">
        <f t="shared" si="29"/>
        <v>9</v>
      </c>
      <c r="N388" s="54">
        <f t="shared" si="30"/>
        <v>0.7</v>
      </c>
      <c r="O388" s="27" t="s">
        <v>1209</v>
      </c>
      <c r="P388" s="27" t="s">
        <v>1209</v>
      </c>
      <c r="Q388" s="27" t="s">
        <v>1209</v>
      </c>
      <c r="R388" s="27" t="s">
        <v>1209</v>
      </c>
      <c r="S388" s="27" t="s">
        <v>1209</v>
      </c>
      <c r="T388" s="27" t="s">
        <v>1209</v>
      </c>
      <c r="U388" s="27" t="s">
        <v>1209</v>
      </c>
      <c r="V388" s="27" t="s">
        <v>1209</v>
      </c>
      <c r="W388" s="27" t="s">
        <v>1209</v>
      </c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" thickBot="1" x14ac:dyDescent="0.35">
      <c r="A389" s="51" t="s">
        <v>800</v>
      </c>
      <c r="B389" s="51" t="s">
        <v>801</v>
      </c>
      <c r="C389" s="51" t="s">
        <v>1392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30</v>
      </c>
      <c r="M389" s="53">
        <f t="shared" si="29"/>
        <v>0</v>
      </c>
      <c r="N389" s="54">
        <f t="shared" si="30"/>
        <v>1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" thickBot="1" x14ac:dyDescent="0.35">
      <c r="A390" s="51" t="s">
        <v>803</v>
      </c>
      <c r="B390" s="51" t="s">
        <v>805</v>
      </c>
      <c r="C390" s="51" t="s">
        <v>1392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30</v>
      </c>
      <c r="M390" s="53">
        <f t="shared" si="29"/>
        <v>0</v>
      </c>
      <c r="N390" s="54">
        <f t="shared" si="30"/>
        <v>1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" thickBot="1" x14ac:dyDescent="0.35">
      <c r="A391" s="51" t="s">
        <v>803</v>
      </c>
      <c r="B391" s="51" t="s">
        <v>808</v>
      </c>
      <c r="C391" s="51" t="s">
        <v>1392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30</v>
      </c>
      <c r="M391" s="53">
        <f t="shared" si="29"/>
        <v>0</v>
      </c>
      <c r="N391" s="54">
        <f t="shared" si="30"/>
        <v>1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" thickBot="1" x14ac:dyDescent="0.35">
      <c r="A392" s="51" t="s">
        <v>803</v>
      </c>
      <c r="B392" s="51" t="s">
        <v>1382</v>
      </c>
      <c r="C392" s="51" t="s">
        <v>1392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30</v>
      </c>
      <c r="M392" s="53">
        <f t="shared" si="29"/>
        <v>0</v>
      </c>
      <c r="N392" s="54">
        <f t="shared" si="30"/>
        <v>1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" thickBot="1" x14ac:dyDescent="0.35">
      <c r="A393" s="51" t="s">
        <v>812</v>
      </c>
      <c r="B393" s="51" t="s">
        <v>810</v>
      </c>
      <c r="C393" s="51" t="s">
        <v>1392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30</v>
      </c>
      <c r="M393" s="53">
        <f t="shared" si="29"/>
        <v>0</v>
      </c>
      <c r="N393" s="54">
        <f t="shared" si="30"/>
        <v>1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" thickBot="1" x14ac:dyDescent="0.35">
      <c r="A394" s="51" t="s">
        <v>812</v>
      </c>
      <c r="B394" s="51" t="s">
        <v>813</v>
      </c>
      <c r="C394" s="51" t="s">
        <v>1392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30</v>
      </c>
      <c r="M394" s="53">
        <f t="shared" si="29"/>
        <v>0</v>
      </c>
      <c r="N394" s="54">
        <f t="shared" si="30"/>
        <v>1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" thickBot="1" x14ac:dyDescent="0.35">
      <c r="A395" s="51" t="s">
        <v>433</v>
      </c>
      <c r="B395" s="51" t="s">
        <v>815</v>
      </c>
      <c r="C395" s="51" t="s">
        <v>1392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30</v>
      </c>
      <c r="M395" s="53">
        <f t="shared" si="29"/>
        <v>0</v>
      </c>
      <c r="N395" s="54">
        <f t="shared" si="30"/>
        <v>1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" thickBot="1" x14ac:dyDescent="0.35">
      <c r="A396" s="51" t="s">
        <v>812</v>
      </c>
      <c r="B396" s="51" t="s">
        <v>817</v>
      </c>
      <c r="C396" s="51" t="s">
        <v>1392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30</v>
      </c>
      <c r="M396" s="53">
        <f t="shared" si="29"/>
        <v>0</v>
      </c>
      <c r="N396" s="54">
        <f t="shared" si="30"/>
        <v>1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44774</v>
      </c>
      <c r="G1" s="25">
        <f>'RESUMEN TOTAL'!P4</f>
        <v>44775</v>
      </c>
      <c r="H1" s="25">
        <f>'RESUMEN TOTAL'!Q4</f>
        <v>44776</v>
      </c>
      <c r="I1" s="25">
        <f>'RESUMEN TOTAL'!R4</f>
        <v>44777</v>
      </c>
      <c r="J1" s="25">
        <f>'RESUMEN TOTAL'!S4</f>
        <v>44778</v>
      </c>
      <c r="K1" s="25">
        <f>'RESUMEN TOTAL'!T4</f>
        <v>44779</v>
      </c>
      <c r="L1" s="25">
        <f>'RESUMEN TOTAL'!U4</f>
        <v>44780</v>
      </c>
      <c r="M1" s="25">
        <f>'RESUMEN TOTAL'!V4</f>
        <v>44781</v>
      </c>
      <c r="N1" s="25">
        <f>'RESUMEN TOTAL'!W4</f>
        <v>44782</v>
      </c>
      <c r="O1" s="25">
        <f>'RESUMEN TOTAL'!X4</f>
        <v>44783</v>
      </c>
      <c r="P1" s="25">
        <f>'RESUMEN TOTAL'!Y4</f>
        <v>44784</v>
      </c>
      <c r="Q1" s="25">
        <f>'RESUMEN TOTAL'!Z4</f>
        <v>44785</v>
      </c>
      <c r="R1" s="25">
        <f>'RESUMEN TOTAL'!AA4</f>
        <v>44786</v>
      </c>
      <c r="S1" s="25">
        <f>'RESUMEN TOTAL'!AB4</f>
        <v>44787</v>
      </c>
      <c r="T1" s="25">
        <f>'RESUMEN TOTAL'!AC4</f>
        <v>44788</v>
      </c>
      <c r="U1" s="25">
        <f>'RESUMEN TOTAL'!AD4</f>
        <v>44789</v>
      </c>
      <c r="V1" s="25">
        <f>'RESUMEN TOTAL'!AE4</f>
        <v>44790</v>
      </c>
      <c r="W1" s="25">
        <f>'RESUMEN TOTAL'!AF4</f>
        <v>44791</v>
      </c>
      <c r="X1" s="25">
        <f>'RESUMEN TOTAL'!AG4</f>
        <v>44792</v>
      </c>
      <c r="Y1" s="25">
        <f>'RESUMEN TOTAL'!AH4</f>
        <v>44793</v>
      </c>
      <c r="Z1" s="25">
        <f>'RESUMEN TOTAL'!AI4</f>
        <v>44794</v>
      </c>
      <c r="AA1" s="25">
        <f>'RESUMEN TOTAL'!AJ4</f>
        <v>44795</v>
      </c>
      <c r="AB1" s="25">
        <f>'RESUMEN TOTAL'!AK4</f>
        <v>44796</v>
      </c>
      <c r="AC1" s="25">
        <f>'RESUMEN TOTAL'!AL4</f>
        <v>44797</v>
      </c>
      <c r="AD1" s="25">
        <f>'RESUMEN TOTAL'!AM4</f>
        <v>44798</v>
      </c>
      <c r="AE1" s="25">
        <f>'RESUMEN TOTAL'!AN4</f>
        <v>44799</v>
      </c>
      <c r="AF1" s="25">
        <f>'RESUMEN TOTAL'!AO4</f>
        <v>44800</v>
      </c>
      <c r="AG1" s="25">
        <f>'RESUMEN TOTAL'!AP4</f>
        <v>44801</v>
      </c>
      <c r="AH1" s="25">
        <f>'RESUMEN TOTAL'!AQ4</f>
        <v>44802</v>
      </c>
      <c r="AI1" s="25">
        <f>'RESUMEN TOTAL'!AR4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 t="str">
        <f>'RESUMEN TOTAL'!T6</f>
        <v>APAGADO</v>
      </c>
      <c r="L3" t="str">
        <f>'RESUMEN TOTAL'!U6</f>
        <v>APAGADO</v>
      </c>
      <c r="M3" t="str">
        <f>'RESUMEN TOTAL'!V6</f>
        <v>APAGADO</v>
      </c>
      <c r="N3" t="str">
        <f>'RESUMEN TOTAL'!W6</f>
        <v>APAGADO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 t="str">
        <f>'RESUMEN TOTAL'!T8</f>
        <v>APAGADO</v>
      </c>
      <c r="L5" t="str">
        <f>'RESUMEN TOTAL'!U8</f>
        <v>APAGADO</v>
      </c>
      <c r="M5" t="str">
        <f>'RESUMEN TOTAL'!V8</f>
        <v>APAGADO</v>
      </c>
      <c r="N5" t="str">
        <f>'RESUMEN TOTAL'!W8</f>
        <v>APAGADO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 t="str">
        <f>'RESUMEN TOTAL'!T9</f>
        <v>APAGADO</v>
      </c>
      <c r="L6" t="str">
        <f>'RESUMEN TOTAL'!U9</f>
        <v>APAGADO</v>
      </c>
      <c r="M6" t="str">
        <f>'RESUMEN TOTAL'!V9</f>
        <v>APAGADO</v>
      </c>
      <c r="N6" t="str">
        <f>'RESUMEN TOTAL'!W9</f>
        <v>APAGADO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 t="str">
        <f>'RESUMEN TOTAL'!P15</f>
        <v>APAGADO</v>
      </c>
      <c r="H12">
        <f>'RESUMEN TOTAL'!Q15</f>
        <v>0</v>
      </c>
      <c r="I12">
        <f>'RESUMEN TOTAL'!R15</f>
        <v>0</v>
      </c>
      <c r="J12">
        <f>'RESUMEN TOTAL'!S15</f>
        <v>0</v>
      </c>
      <c r="K12" t="str">
        <f>'RESUMEN TOTAL'!T15</f>
        <v>APAGADO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 t="str">
        <f>'RESUMEN TOTAL'!P16</f>
        <v>APAGADO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 t="str">
        <f>'RESUMEN TOTAL'!T26</f>
        <v>APAGADO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TOTAL'!O31</f>
        <v>APAGADO</v>
      </c>
      <c r="G28" t="str">
        <f>'RESUMEN TOTAL'!P31</f>
        <v>APAGADO</v>
      </c>
      <c r="H28" t="str">
        <f>'RESUMEN TOTAL'!Q31</f>
        <v>APAGADO</v>
      </c>
      <c r="I28" t="str">
        <f>'RESUMEN TOTAL'!R31</f>
        <v>APAGADO</v>
      </c>
      <c r="J28">
        <f>'RESUMEN TOTAL'!S31</f>
        <v>0</v>
      </c>
      <c r="K28" t="str">
        <f>'RESUMEN TOTAL'!T31</f>
        <v>APAGADO</v>
      </c>
      <c r="L28" t="str">
        <f>'RESUMEN TOTAL'!U31</f>
        <v>APAGADO</v>
      </c>
      <c r="M28" t="str">
        <f>'RESUMEN TOTAL'!V31</f>
        <v>APAGADO</v>
      </c>
      <c r="N28" t="str">
        <f>'RESUMEN TOTAL'!W31</f>
        <v>APAGADO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TOTAL'!O34</f>
        <v>APAGADO</v>
      </c>
      <c r="G31" t="str">
        <f>'RESUMEN TOTAL'!P34</f>
        <v>APAGADO</v>
      </c>
      <c r="H31" t="str">
        <f>'RESUMEN TOTAL'!Q34</f>
        <v>APAGADO</v>
      </c>
      <c r="I31" t="str">
        <f>'RESUMEN TOTAL'!R34</f>
        <v>APAGADO</v>
      </c>
      <c r="J31" t="str">
        <f>'RESUMEN TOTAL'!S34</f>
        <v>APAGADO</v>
      </c>
      <c r="K31" t="str">
        <f>'RESUMEN TOTAL'!T34</f>
        <v>APAGADO</v>
      </c>
      <c r="L31" t="str">
        <f>'RESUMEN TOTAL'!U34</f>
        <v>APAGADO</v>
      </c>
      <c r="M31" t="str">
        <f>'RESUMEN TOTAL'!V34</f>
        <v>APAGADO</v>
      </c>
      <c r="N31" t="str">
        <f>'RESUMEN TOTAL'!W34</f>
        <v>APAGADO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TOTAL'!O67</f>
        <v>APAGADO</v>
      </c>
      <c r="G64" t="str">
        <f>'RESUMEN TOTAL'!P67</f>
        <v>APAGADO</v>
      </c>
      <c r="H64" t="str">
        <f>'RESUMEN TOTAL'!Q67</f>
        <v>APAGADO</v>
      </c>
      <c r="I64" t="str">
        <f>'RESUMEN TOTAL'!R67</f>
        <v>APAGADO</v>
      </c>
      <c r="J64" t="str">
        <f>'RESUMEN TOTAL'!S67</f>
        <v>APAGADO</v>
      </c>
      <c r="K64" t="str">
        <f>'RESUMEN TOTAL'!T67</f>
        <v>APAGADO</v>
      </c>
      <c r="L64" t="str">
        <f>'RESUMEN TOTAL'!U67</f>
        <v>APAGADO</v>
      </c>
      <c r="M64" t="str">
        <f>'RESUMEN TOTAL'!V67</f>
        <v>APAGADO</v>
      </c>
      <c r="N64" t="str">
        <f>'RESUMEN TOTAL'!W67</f>
        <v>APAGADO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 t="str">
        <f>'RESUMEN TOTAL'!V80</f>
        <v>APAGADO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TOTAL'!O87</f>
        <v>APAGADO</v>
      </c>
      <c r="G84" t="str">
        <f>'RESUMEN TOTAL'!P87</f>
        <v>APAGADO</v>
      </c>
      <c r="H84" t="str">
        <f>'RESUMEN TOTAL'!Q87</f>
        <v>APAGADO</v>
      </c>
      <c r="I84" t="str">
        <f>'RESUMEN TOTAL'!R87</f>
        <v>APAGADO</v>
      </c>
      <c r="J84">
        <f>'RESUMEN TOTAL'!S87</f>
        <v>0</v>
      </c>
      <c r="K84" t="str">
        <f>'RESUMEN TOTAL'!T87</f>
        <v>APAGADO</v>
      </c>
      <c r="L84" t="str">
        <f>'RESUMEN TOTAL'!U87</f>
        <v>APAGADO</v>
      </c>
      <c r="M84" t="str">
        <f>'RESUMEN TOTAL'!V87</f>
        <v>APAGADO</v>
      </c>
      <c r="N84" t="str">
        <f>'RESUMEN TOTAL'!W87</f>
        <v>APAGADO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 t="str">
        <f>'RESUMEN TOTAL'!W96</f>
        <v>APAGADO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TOTAL'!O128</f>
        <v>APAGADO</v>
      </c>
      <c r="G125" t="str">
        <f>'RESUMEN TOTAL'!P128</f>
        <v>APAGADO</v>
      </c>
      <c r="H125" t="str">
        <f>'RESUMEN TOTAL'!Q128</f>
        <v>APAGADO</v>
      </c>
      <c r="I125" t="str">
        <f>'RESUMEN TOTAL'!R128</f>
        <v>APAGADO</v>
      </c>
      <c r="J125" t="str">
        <f>'RESUMEN TOTAL'!S128</f>
        <v>APAGADO</v>
      </c>
      <c r="K125" t="str">
        <f>'RESUMEN TOTAL'!T128</f>
        <v>APAGADO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TOTAL'!O129</f>
        <v>APAGADO</v>
      </c>
      <c r="G126" t="str">
        <f>'RESUMEN TOTAL'!P129</f>
        <v>APAGADO</v>
      </c>
      <c r="H126" t="str">
        <f>'RESUMEN TOTAL'!Q129</f>
        <v>APAGADO</v>
      </c>
      <c r="I126" t="str">
        <f>'RESUMEN TOTAL'!R129</f>
        <v>APAGADO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TOTAL'!O134</f>
        <v>APAGADO</v>
      </c>
      <c r="G131" t="str">
        <f>'RESUMEN TOTAL'!P134</f>
        <v>APAGADO</v>
      </c>
      <c r="H131" t="str">
        <f>'RESUMEN TOTAL'!Q134</f>
        <v>APAGADO</v>
      </c>
      <c r="I131" t="str">
        <f>'RESUMEN TOTAL'!R134</f>
        <v>APAGADO</v>
      </c>
      <c r="J131" t="str">
        <f>'RESUMEN TOTAL'!S134</f>
        <v>APAGADO</v>
      </c>
      <c r="K131" t="str">
        <f>'RESUMEN TOTAL'!T134</f>
        <v>APAGADO</v>
      </c>
      <c r="L131" t="str">
        <f>'RESUMEN TOTAL'!U134</f>
        <v>APAGADO</v>
      </c>
      <c r="M131" t="str">
        <f>'RESUMEN TOTAL'!V134</f>
        <v>APAGADO</v>
      </c>
      <c r="N131" t="str">
        <f>'RESUMEN TOTAL'!W134</f>
        <v>APAGADO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TOTAL'!O157</f>
        <v>APAGADO</v>
      </c>
      <c r="G154" t="str">
        <f>'RESUMEN TOTAL'!P157</f>
        <v>APAGADO</v>
      </c>
      <c r="H154" t="str">
        <f>'RESUMEN TOTAL'!Q157</f>
        <v>APAGADO</v>
      </c>
      <c r="I154" t="str">
        <f>'RESUMEN TOTAL'!R157</f>
        <v>APAGADO</v>
      </c>
      <c r="J154" t="str">
        <f>'RESUMEN TOTAL'!S157</f>
        <v>APAGADO</v>
      </c>
      <c r="K154" t="str">
        <f>'RESUMEN TOTAL'!T157</f>
        <v>APAGADO</v>
      </c>
      <c r="L154" t="str">
        <f>'RESUMEN TOTAL'!U157</f>
        <v>APAGADO</v>
      </c>
      <c r="M154" t="str">
        <f>'RESUMEN TOTAL'!V157</f>
        <v>APAGADO</v>
      </c>
      <c r="N154" t="str">
        <f>'RESUMEN TOTAL'!W157</f>
        <v>APAGADO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TOTAL'!O158</f>
        <v>APAGADO</v>
      </c>
      <c r="G155" t="str">
        <f>'RESUMEN TOTAL'!P158</f>
        <v>APAGADO</v>
      </c>
      <c r="H155" t="str">
        <f>'RESUMEN TOTAL'!Q158</f>
        <v>APAGADO</v>
      </c>
      <c r="I155" t="str">
        <f>'RESUMEN TOTAL'!R158</f>
        <v>APAGADO</v>
      </c>
      <c r="J155" t="str">
        <f>'RESUMEN TOTAL'!S158</f>
        <v>APAGADO</v>
      </c>
      <c r="K155" t="str">
        <f>'RESUMEN TOTAL'!T158</f>
        <v>APAGADO</v>
      </c>
      <c r="L155" t="str">
        <f>'RESUMEN TOTAL'!U158</f>
        <v>APAGADO</v>
      </c>
      <c r="M155" t="str">
        <f>'RESUMEN TOTAL'!V158</f>
        <v>APAGADO</v>
      </c>
      <c r="N155" t="str">
        <f>'RESUMEN TOTAL'!W158</f>
        <v>APAGADO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 t="str">
        <f>'RESUMEN TOTAL'!T160</f>
        <v>APAGADO</v>
      </c>
      <c r="L157" t="str">
        <f>'RESUMEN TOTAL'!U160</f>
        <v>APAGADO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TOTAL'!O162</f>
        <v>APAGADO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 t="str">
        <f>'RESUMEN TOTAL'!T162</f>
        <v>APAGADO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TOTAL'!O163</f>
        <v>APAGADO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 t="str">
        <f>'RESUMEN TOTAL'!U168</f>
        <v>APAGADO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 t="str">
        <f>'RESUMEN TOTAL'!T175</f>
        <v>APAGADO</v>
      </c>
      <c r="L172" t="str">
        <f>'RESUMEN TOTAL'!U175</f>
        <v>APAGADO</v>
      </c>
      <c r="M172" t="str">
        <f>'RESUMEN TOTAL'!V175</f>
        <v>APAGADO</v>
      </c>
      <c r="N172" t="str">
        <f>'RESUMEN TOTAL'!W175</f>
        <v>APAGADO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 t="str">
        <f>'RESUMEN TOTAL'!T176</f>
        <v>APAGADO</v>
      </c>
      <c r="L173" t="str">
        <f>'RESUMEN TOTAL'!U176</f>
        <v>APAGADO</v>
      </c>
      <c r="M173" t="str">
        <f>'RESUMEN TOTAL'!V176</f>
        <v>APAGADO</v>
      </c>
      <c r="N173" t="str">
        <f>'RESUMEN TOTAL'!W176</f>
        <v>APAGADO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 t="str">
        <f>'RESUMEN TOTAL'!T180</f>
        <v>APAGADO</v>
      </c>
      <c r="L177" t="str">
        <f>'RESUMEN TOTAL'!U180</f>
        <v>APAGADO</v>
      </c>
      <c r="M177" t="str">
        <f>'RESUMEN TOTAL'!V180</f>
        <v>APAGADO</v>
      </c>
      <c r="N177" t="str">
        <f>'RESUMEN TOTAL'!W180</f>
        <v>APAGADO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 t="str">
        <f>'RESUMEN TOTAL'!P199</f>
        <v>APAGADO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 t="str">
        <f>'RESUMEN TOTAL'!T199</f>
        <v>APAGADO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 t="str">
        <f>'RESUMEN TOTAL'!P200</f>
        <v>APAGADO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 t="str">
        <f>'RESUMEN TOTAL'!T200</f>
        <v>APAGADO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 t="str">
        <f>'RESUMEN TOTAL'!U206</f>
        <v>APAGADO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 t="str">
        <f>'RESUMEN TOTAL'!V208</f>
        <v>APAGADO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 t="str">
        <f>'RESUMEN TOTAL'!V209</f>
        <v>APAGADO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TOTAL'!O210</f>
        <v>APAGADO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 t="str">
        <f>'RESUMEN TOTAL'!W213</f>
        <v>APAGADO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 t="str">
        <f>'RESUMEN TOTAL'!S214</f>
        <v>APAGADO</v>
      </c>
      <c r="K211" t="str">
        <f>'RESUMEN TOTAL'!T214</f>
        <v>APAGADO</v>
      </c>
      <c r="L211" t="str">
        <f>'RESUMEN TOTAL'!U214</f>
        <v>APAGADO</v>
      </c>
      <c r="M211" t="str">
        <f>'RESUMEN TOTAL'!V214</f>
        <v>APAGADO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TOTAL'!O215</f>
        <v>APAGADO</v>
      </c>
      <c r="G212" t="str">
        <f>'RESUMEN TOTAL'!P215</f>
        <v>APAGADO</v>
      </c>
      <c r="H212" t="str">
        <f>'RESUMEN TOTAL'!Q215</f>
        <v>APAGADO</v>
      </c>
      <c r="I212" t="str">
        <f>'RESUMEN TOTAL'!R215</f>
        <v>APAGADO</v>
      </c>
      <c r="J212" t="str">
        <f>'RESUMEN TOTAL'!S215</f>
        <v>APAGADO</v>
      </c>
      <c r="K212" t="str">
        <f>'RESUMEN TOTAL'!T215</f>
        <v>APAGADO</v>
      </c>
      <c r="L212" t="str">
        <f>'RESUMEN TOTAL'!U215</f>
        <v>APAGADO</v>
      </c>
      <c r="M212" t="str">
        <f>'RESUMEN TOTAL'!V215</f>
        <v>APAGADO</v>
      </c>
      <c r="N212" t="str">
        <f>'RESUMEN TOTAL'!W215</f>
        <v>APAGADO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TOTAL'!O216</f>
        <v>APAGADO</v>
      </c>
      <c r="G213" t="str">
        <f>'RESUMEN TOTAL'!P216</f>
        <v>APAGADO</v>
      </c>
      <c r="H213" t="str">
        <f>'RESUMEN TOTAL'!Q216</f>
        <v>APAGADO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 t="str">
        <f>'RESUMEN TOTAL'!V222</f>
        <v>APAGADO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TOTAL'!O225</f>
        <v>APAGADO</v>
      </c>
      <c r="G222">
        <f>'RESUMEN TOTAL'!P225</f>
        <v>0</v>
      </c>
      <c r="H222" t="str">
        <f>'RESUMEN TOTAL'!Q225</f>
        <v>APAGADO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 t="str">
        <f>'RESUMEN TOTAL'!U227</f>
        <v>APAGADO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 t="str">
        <f>'RESUMEN TOTAL'!U228</f>
        <v>APAGADO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 t="str">
        <f>'RESUMEN TOTAL'!U231</f>
        <v>APAGADO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 t="str">
        <f>'RESUMEN TOTAL'!U232</f>
        <v>APAGADO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 t="str">
        <f>'RESUMEN TOTAL'!U233</f>
        <v>APAGADO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 t="str">
        <f>'RESUMEN TOTAL'!U234</f>
        <v>APAGADO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 t="str">
        <f>'RESUMEN TOTAL'!U235</f>
        <v>APAGADO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 t="str">
        <f>'RESUMEN TOTAL'!U236</f>
        <v>APAGADO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 t="str">
        <f>'RESUMEN TOTAL'!U237</f>
        <v>APAGADO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 t="str">
        <f>'RESUMEN TOTAL'!U238</f>
        <v>APAGADO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 t="str">
        <f>'RESUMEN TOTAL'!U239</f>
        <v>APAGADO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 t="str">
        <f>'RESUMEN TOTAL'!U240</f>
        <v>APAGADO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 t="str">
        <f>'RESUMEN TOTAL'!U241</f>
        <v>APAGADO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 t="str">
        <f>'RESUMEN TOTAL'!U242</f>
        <v>APAGADO</v>
      </c>
      <c r="M239" t="str">
        <f>'RESUMEN TOTAL'!V242</f>
        <v>APAGADO</v>
      </c>
      <c r="N239" t="str">
        <f>'RESUMEN TOTAL'!W242</f>
        <v>APAGADO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 t="str">
        <f>'RESUMEN TOTAL'!T243</f>
        <v>APAGADO</v>
      </c>
      <c r="L240" t="str">
        <f>'RESUMEN TOTAL'!U243</f>
        <v>APAGADO</v>
      </c>
      <c r="M240" t="str">
        <f>'RESUMEN TOTAL'!V243</f>
        <v>APAGADO</v>
      </c>
      <c r="N240" t="str">
        <f>'RESUMEN TOTAL'!W243</f>
        <v>APAGADO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TOTAL'!O244</f>
        <v>APAGADO</v>
      </c>
      <c r="G241" t="str">
        <f>'RESUMEN TOTAL'!P244</f>
        <v>APAGADO</v>
      </c>
      <c r="H241" t="str">
        <f>'RESUMEN TOTAL'!Q244</f>
        <v>APAGADO</v>
      </c>
      <c r="I241" t="str">
        <f>'RESUMEN TOTAL'!R244</f>
        <v>APAGADO</v>
      </c>
      <c r="J241" t="str">
        <f>'RESUMEN TOTAL'!S244</f>
        <v>APAGADO</v>
      </c>
      <c r="K241" t="str">
        <f>'RESUMEN TOTAL'!T244</f>
        <v>APAGADO</v>
      </c>
      <c r="L241" t="str">
        <f>'RESUMEN TOTAL'!U244</f>
        <v>APAGADO</v>
      </c>
      <c r="M241" t="str">
        <f>'RESUMEN TOTAL'!V244</f>
        <v>APAGADO</v>
      </c>
      <c r="N241" t="str">
        <f>'RESUMEN TOTAL'!W244</f>
        <v>APAGADO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 t="str">
        <f>'RESUMEN TOTAL'!P245</f>
        <v>APAGADO</v>
      </c>
      <c r="H242" t="str">
        <f>'RESUMEN TOTAL'!Q245</f>
        <v>APAGADO</v>
      </c>
      <c r="I242" t="str">
        <f>'RESUMEN TOTAL'!R245</f>
        <v>APAGADO</v>
      </c>
      <c r="J242" t="str">
        <f>'RESUMEN TOTAL'!S245</f>
        <v>APAGADO</v>
      </c>
      <c r="K242" t="str">
        <f>'RESUMEN TOTAL'!T245</f>
        <v>APAGADO</v>
      </c>
      <c r="L242" t="str">
        <f>'RESUMEN TOTAL'!U245</f>
        <v>APAGADO</v>
      </c>
      <c r="M242" t="str">
        <f>'RESUMEN TOTAL'!V245</f>
        <v>APAGADO</v>
      </c>
      <c r="N242" t="str">
        <f>'RESUMEN TOTAL'!W245</f>
        <v>APAGADO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TOTAL'!O255</f>
        <v>APAGADO</v>
      </c>
      <c r="G252" t="str">
        <f>'RESUMEN TOTAL'!P255</f>
        <v>APAGADO</v>
      </c>
      <c r="H252" t="str">
        <f>'RESUMEN TOTAL'!Q255</f>
        <v>APAGADO</v>
      </c>
      <c r="I252" t="str">
        <f>'RESUMEN TOTAL'!R255</f>
        <v>APAGADO</v>
      </c>
      <c r="J252" t="str">
        <f>'RESUMEN TOTAL'!S255</f>
        <v>APAGADO</v>
      </c>
      <c r="K252" t="str">
        <f>'RESUMEN TOTAL'!T255</f>
        <v>APAGADO</v>
      </c>
      <c r="L252" t="str">
        <f>'RESUMEN TOTAL'!U255</f>
        <v>APAGADO</v>
      </c>
      <c r="M252" t="str">
        <f>'RESUMEN TOTAL'!V255</f>
        <v>APAGADO</v>
      </c>
      <c r="N252" t="str">
        <f>'RESUMEN TOTAL'!W255</f>
        <v>APAGADO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 t="str">
        <f>'RESUMEN TOTAL'!P262</f>
        <v>APAGADO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 t="str">
        <f>'RESUMEN TOTAL'!P267</f>
        <v>APAGADO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 t="str">
        <f>'RESUMEN TOTAL'!P269</f>
        <v>APAGADO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 t="str">
        <f>'RESUMEN TOTAL'!P270</f>
        <v>APAGADO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 t="str">
        <f>'RESUMEN TOTAL'!W289</f>
        <v>APAGADO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TOTAL'!O290</f>
        <v>APAGADO</v>
      </c>
      <c r="G287" t="str">
        <f>'RESUMEN TOTAL'!P290</f>
        <v>APAGADO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 t="str">
        <f>'RESUMEN TOTAL'!W290</f>
        <v>APAGADO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TOTAL'!O291</f>
        <v>APAGADO</v>
      </c>
      <c r="G288" t="str">
        <f>'RESUMEN TOTAL'!P291</f>
        <v>APAGADO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 t="str">
        <f>'RESUMEN TOTAL'!W291</f>
        <v>APAGADO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TOTAL'!O292</f>
        <v>APAGADO</v>
      </c>
      <c r="G289" t="str">
        <f>'RESUMEN TOTAL'!P292</f>
        <v>APAGADO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 t="str">
        <f>'RESUMEN TOTAL'!W292</f>
        <v>APAGADO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TOTAL'!O302</f>
        <v>APAGADO</v>
      </c>
      <c r="G299" t="str">
        <f>'RESUMEN TOTAL'!P302</f>
        <v>APAGADO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 t="str">
        <f>'RESUMEN TOTAL'!U312</f>
        <v>APAGADO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 t="str">
        <f>'RESUMEN TOTAL'!U313</f>
        <v>APAGADO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 t="str">
        <f>'RESUMEN TOTAL'!S327</f>
        <v>APAGADO</v>
      </c>
      <c r="K324" t="str">
        <f>'RESUMEN TOTAL'!T327</f>
        <v>APAGADO</v>
      </c>
      <c r="L324" t="str">
        <f>'RESUMEN TOTAL'!U327</f>
        <v>APAGADO</v>
      </c>
      <c r="M324" t="str">
        <f>'RESUMEN TOTAL'!V327</f>
        <v>APAGADO</v>
      </c>
      <c r="N324" t="str">
        <f>'RESUMEN TOTAL'!W327</f>
        <v>APAGADO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 t="str">
        <f>'RESUMEN TOTAL'!T328</f>
        <v>APAGADO</v>
      </c>
      <c r="L325" t="str">
        <f>'RESUMEN TOTAL'!U328</f>
        <v>APAGADO</v>
      </c>
      <c r="M325" t="str">
        <f>'RESUMEN TOTAL'!V328</f>
        <v>APAGADO</v>
      </c>
      <c r="N325" t="str">
        <f>'RESUMEN TOTAL'!W328</f>
        <v>APAGADO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 t="str">
        <f>'RESUMEN TOTAL'!S335</f>
        <v>APAGADO</v>
      </c>
      <c r="K332" t="str">
        <f>'RESUMEN TOTAL'!T335</f>
        <v>APAGADO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TOTAL'!O348</f>
        <v>APAGADO</v>
      </c>
      <c r="G345">
        <f>'RESUMEN TOTAL'!P348</f>
        <v>0</v>
      </c>
      <c r="H345" t="str">
        <f>'RESUMEN TOTAL'!Q348</f>
        <v>APAGADO</v>
      </c>
      <c r="I345" t="str">
        <f>'RESUMEN TOTAL'!R348</f>
        <v>APAGADO</v>
      </c>
      <c r="J345">
        <f>'RESUMEN TOTAL'!S348</f>
        <v>0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TOTAL'!O356</f>
        <v>APAGADO</v>
      </c>
      <c r="G353">
        <f>'RESUMEN TOTAL'!P356</f>
        <v>0</v>
      </c>
      <c r="H353" t="str">
        <f>'RESUMEN TOTAL'!Q356</f>
        <v>APAGADO</v>
      </c>
      <c r="I353" t="str">
        <f>'RESUMEN TOTAL'!R356</f>
        <v>APAGADO</v>
      </c>
      <c r="J353">
        <f>'RESUMEN TOTAL'!S356</f>
        <v>0</v>
      </c>
      <c r="K353" t="str">
        <f>'RESUMEN TOTAL'!T356</f>
        <v>APAGADO</v>
      </c>
      <c r="L353" t="str">
        <f>'RESUMEN TOTAL'!U356</f>
        <v>APAGADO</v>
      </c>
      <c r="M353" t="str">
        <f>'RESUMEN TOTAL'!V356</f>
        <v>APAGADO</v>
      </c>
      <c r="N353" t="str">
        <f>'RESUMEN TOTAL'!W356</f>
        <v>APAGADO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TOTAL'!O357</f>
        <v>APAGADO</v>
      </c>
      <c r="G354">
        <f>'RESUMEN TOTAL'!P357</f>
        <v>0</v>
      </c>
      <c r="H354" t="str">
        <f>'RESUMEN TOTAL'!Q357</f>
        <v>APAGADO</v>
      </c>
      <c r="I354" t="str">
        <f>'RESUMEN TOTAL'!R357</f>
        <v>APAGADO</v>
      </c>
      <c r="J354">
        <f>'RESUMEN TOTAL'!S357</f>
        <v>0</v>
      </c>
      <c r="K354" t="str">
        <f>'RESUMEN TOTAL'!T357</f>
        <v>APAGADO</v>
      </c>
      <c r="L354" t="str">
        <f>'RESUMEN TOTAL'!U357</f>
        <v>APAGADO</v>
      </c>
      <c r="M354" t="str">
        <f>'RESUMEN TOTAL'!V357</f>
        <v>APAGADO</v>
      </c>
      <c r="N354" t="str">
        <f>'RESUMEN TOTAL'!W357</f>
        <v>APAGADO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>
        <f>'RESUMEN TOTAL'!P361</f>
        <v>0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>
        <f>'RESUMEN TOTAL'!P362</f>
        <v>0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 t="str">
        <f>'RESUMEN TOTAL'!T370</f>
        <v>APAGADO</v>
      </c>
      <c r="L367" t="str">
        <f>'RESUMEN TOTAL'!U370</f>
        <v>APAGADO</v>
      </c>
      <c r="M367" t="str">
        <f>'RESUMEN TOTAL'!V370</f>
        <v>APAGADO</v>
      </c>
      <c r="N367" t="str">
        <f>'RESUMEN TOTAL'!W370</f>
        <v>APAGADO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 t="str">
        <f>'RESUMEN TOTAL'!U371</f>
        <v>APAGADO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 t="str">
        <f>'RESUMEN TOTAL'!U372</f>
        <v>APAGADO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 t="str">
        <f>'RESUMEN TOTAL'!U373</f>
        <v>APAGADO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 t="str">
        <f>'RESUMEN TOTAL'!U374</f>
        <v>APAGADO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>
        <f>'RESUMEN TOTAL'!AE378</f>
        <v>0</v>
      </c>
      <c r="W375" s="51">
        <f>'RESUMEN TOTAL'!AF378</f>
        <v>0</v>
      </c>
      <c r="X375" s="51">
        <f>'RESUMEN TOTAL'!AG378</f>
        <v>0</v>
      </c>
      <c r="Y375" s="51">
        <f>'RESUMEN TOTAL'!AH378</f>
        <v>0</v>
      </c>
      <c r="Z375" s="51">
        <f>'RESUMEN TOTAL'!AI378</f>
        <v>0</v>
      </c>
      <c r="AA375" s="51">
        <f>'RESUMEN TOTAL'!AJ378</f>
        <v>0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>
        <f>'RESUMEN TOTAL'!AE379</f>
        <v>0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>
        <f>'RESUMEN TOTAL'!AE380</f>
        <v>0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>
        <f>'RESUMEN TOTAL'!AE381</f>
        <v>0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>
        <f>'RESUMEN TOTAL'!AE382</f>
        <v>0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>
        <f>'RESUMEN TOTAL'!AE383</f>
        <v>0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>
        <f>'RESUMEN TOTAL'!AE384</f>
        <v>0</v>
      </c>
      <c r="W381" s="51">
        <f>'RESUMEN TOTAL'!AF384</f>
        <v>0</v>
      </c>
      <c r="X381" s="51">
        <f>'RESUMEN TOTAL'!AG384</f>
        <v>0</v>
      </c>
      <c r="Y381" s="51">
        <f>'RESUMEN TOTAL'!AH384</f>
        <v>0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TOTAL'!O385</f>
        <v>APAGADO</v>
      </c>
      <c r="G382" s="51" t="str">
        <f>'RESUMEN TOTAL'!P385</f>
        <v>APAGADO</v>
      </c>
      <c r="H382" s="51" t="str">
        <f>'RESUMEN TOTAL'!Q385</f>
        <v>APAGADO</v>
      </c>
      <c r="I382" s="51" t="str">
        <f>'RESUMEN TOTAL'!R385</f>
        <v>APAGADO</v>
      </c>
      <c r="J382" s="51" t="str">
        <f>'RESUMEN TOTAL'!S385</f>
        <v>APAGADO</v>
      </c>
      <c r="K382" s="51" t="str">
        <f>'RESUMEN TOTAL'!T385</f>
        <v>APAGADO</v>
      </c>
      <c r="L382" s="51" t="str">
        <f>'RESUMEN TOTAL'!U385</f>
        <v>APAGADO</v>
      </c>
      <c r="M382" s="51" t="str">
        <f>'RESUMEN TOTAL'!V385</f>
        <v>APAGADO</v>
      </c>
      <c r="N382" s="51" t="str">
        <f>'RESUMEN TOTAL'!W385</f>
        <v>APAGADO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>
        <f>'RESUMEN TOTAL'!AE385</f>
        <v>0</v>
      </c>
      <c r="W382" s="51">
        <f>'RESUMEN TOTAL'!AF385</f>
        <v>0</v>
      </c>
      <c r="X382" s="51">
        <f>'RESUMEN TOTAL'!AG385</f>
        <v>0</v>
      </c>
      <c r="Y382" s="51">
        <f>'RESUMEN TOTAL'!AH385</f>
        <v>0</v>
      </c>
      <c r="Z382" s="51">
        <f>'RESUMEN TOTAL'!AI385</f>
        <v>0</v>
      </c>
      <c r="AA382" s="51">
        <f>'RESUMEN TOTAL'!AJ385</f>
        <v>0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TOTAL'!O386</f>
        <v>APAGADO</v>
      </c>
      <c r="G383" s="51" t="str">
        <f>'RESUMEN TOTAL'!P386</f>
        <v>APAGADO</v>
      </c>
      <c r="H383" s="51" t="str">
        <f>'RESUMEN TOTAL'!Q386</f>
        <v>APAGADO</v>
      </c>
      <c r="I383" s="51" t="str">
        <f>'RESUMEN TOTAL'!R386</f>
        <v>APAGADO</v>
      </c>
      <c r="J383" s="51" t="str">
        <f>'RESUMEN TOTAL'!S386</f>
        <v>APAGADO</v>
      </c>
      <c r="K383" s="51" t="str">
        <f>'RESUMEN TOTAL'!T386</f>
        <v>APAGADO</v>
      </c>
      <c r="L383" s="51" t="str">
        <f>'RESUMEN TOTAL'!U386</f>
        <v>APAGADO</v>
      </c>
      <c r="M383" s="51" t="str">
        <f>'RESUMEN TOTAL'!V386</f>
        <v>APAGADO</v>
      </c>
      <c r="N383" s="51" t="str">
        <f>'RESUMEN TOTAL'!W386</f>
        <v>APAGADO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>
        <f>'RESUMEN TOTAL'!AE386</f>
        <v>0</v>
      </c>
      <c r="W383" s="51">
        <f>'RESUMEN TOTAL'!AF386</f>
        <v>0</v>
      </c>
      <c r="X383" s="51">
        <f>'RESUMEN TOTAL'!AG386</f>
        <v>0</v>
      </c>
      <c r="Y383" s="51">
        <f>'RESUMEN TOTAL'!AH386</f>
        <v>0</v>
      </c>
      <c r="Z383" s="51">
        <f>'RESUMEN TOTAL'!AI386</f>
        <v>0</v>
      </c>
      <c r="AA383" s="51">
        <f>'RESUMEN TOTAL'!AJ386</f>
        <v>0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TOTAL'!O387</f>
        <v>APAGADO</v>
      </c>
      <c r="G384" s="51" t="str">
        <f>'RESUMEN TOTAL'!P387</f>
        <v>APAGADO</v>
      </c>
      <c r="H384" s="51" t="str">
        <f>'RESUMEN TOTAL'!Q387</f>
        <v>APAGADO</v>
      </c>
      <c r="I384" s="51" t="str">
        <f>'RESUMEN TOTAL'!R387</f>
        <v>APAGADO</v>
      </c>
      <c r="J384" s="51" t="str">
        <f>'RESUMEN TOTAL'!S387</f>
        <v>APAGADO</v>
      </c>
      <c r="K384" s="51" t="str">
        <f>'RESUMEN TOTAL'!T387</f>
        <v>APAGADO</v>
      </c>
      <c r="L384" s="51" t="str">
        <f>'RESUMEN TOTAL'!U387</f>
        <v>APAGADO</v>
      </c>
      <c r="M384" s="51" t="str">
        <f>'RESUMEN TOTAL'!V387</f>
        <v>APAGADO</v>
      </c>
      <c r="N384" s="51" t="str">
        <f>'RESUMEN TOTAL'!W387</f>
        <v>APAGADO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>
        <f>'RESUMEN TOTAL'!AE387</f>
        <v>0</v>
      </c>
      <c r="W384" s="51">
        <f>'RESUMEN TOTAL'!AF387</f>
        <v>0</v>
      </c>
      <c r="X384" s="51">
        <f>'RESUMEN TOTAL'!AG387</f>
        <v>0</v>
      </c>
      <c r="Y384" s="51">
        <f>'RESUMEN TOTAL'!AH387</f>
        <v>0</v>
      </c>
      <c r="Z384" s="51">
        <f>'RESUMEN TOTAL'!AI387</f>
        <v>0</v>
      </c>
      <c r="AA384" s="51">
        <f>'RESUMEN TOTAL'!AJ387</f>
        <v>0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TOTAL'!O388</f>
        <v>APAGADO</v>
      </c>
      <c r="G385" s="51" t="str">
        <f>'RESUMEN TOTAL'!P388</f>
        <v>APAGADO</v>
      </c>
      <c r="H385" s="51" t="str">
        <f>'RESUMEN TOTAL'!Q388</f>
        <v>APAGADO</v>
      </c>
      <c r="I385" s="51" t="str">
        <f>'RESUMEN TOTAL'!R388</f>
        <v>APAGADO</v>
      </c>
      <c r="J385" s="51" t="str">
        <f>'RESUMEN TOTAL'!S388</f>
        <v>APAGADO</v>
      </c>
      <c r="K385" s="51" t="str">
        <f>'RESUMEN TOTAL'!T388</f>
        <v>APAGADO</v>
      </c>
      <c r="L385" s="51" t="str">
        <f>'RESUMEN TOTAL'!U388</f>
        <v>APAGADO</v>
      </c>
      <c r="M385" s="51" t="str">
        <f>'RESUMEN TOTAL'!V388</f>
        <v>APAGADO</v>
      </c>
      <c r="N385" s="51" t="str">
        <f>'RESUMEN TOTAL'!W388</f>
        <v>APAGADO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>
        <f>'RESUMEN TOTAL'!AE388</f>
        <v>0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>
        <f>'RESUMEN TOTAL'!AI388</f>
        <v>0</v>
      </c>
      <c r="AA385" s="51">
        <f>'RESUMEN TOTAL'!AJ388</f>
        <v>0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>
        <f>'RESUMEN TOTAL'!AE389</f>
        <v>0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>
        <f>'RESUMEN TOTAL'!AE390</f>
        <v>0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>
        <f>'RESUMEN TOTAL'!AE391</f>
        <v>0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>
        <f>'RESUMEN TOTAL'!AE392</f>
        <v>0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>
        <f>'RESUMEN TOTAL'!AE393</f>
        <v>0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>
        <f>'RESUMEN TOTAL'!AE394</f>
        <v>0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>
        <f>'RESUMEN TOTAL'!AE395</f>
        <v>0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>
        <f>'RESUMEN TOTAL'!AE396</f>
        <v>0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K1" sqref="K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821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2" sqref="F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1190</v>
      </c>
      <c r="D1" s="49">
        <f>COUNTIFS(E4:E400,"=Fibra Optica")</f>
        <v>261</v>
      </c>
    </row>
    <row r="2" spans="1:35" ht="21" x14ac:dyDescent="0.4">
      <c r="E2" s="26" t="s">
        <v>821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0</v>
      </c>
      <c r="P2" s="26">
        <f>COUNTIFS(P4:P400, "=APAGADO",E4:E400,"=Fibra Optica")</f>
        <v>0</v>
      </c>
      <c r="Q2" s="26">
        <f>COUNTIFS(Q4:Q400, "=APAGADO",E4:E400,"=Fibra Optica")</f>
        <v>0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3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N463" sqref="N46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1393</v>
      </c>
      <c r="D1" s="50">
        <f>COUNTIFS(E4:E400,"=PTo A FO")</f>
        <v>37</v>
      </c>
    </row>
    <row r="2" spans="1:35" ht="21" x14ac:dyDescent="0.4">
      <c r="E2" s="26" t="s">
        <v>821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COUNTIFS(O4:O400, "=APAGADO",E4:E400,"=PTO A FO")</f>
        <v>0</v>
      </c>
      <c r="P2" s="26">
        <f>COUNTIFS(P4:P400, "=APAGADO",E4:E400,"=PTO A FO")</f>
        <v>0</v>
      </c>
      <c r="Q2" s="26">
        <f>COUNTIFS(Q4:Q400, "=APAGADO",E4:E400,"=PTO A FO")</f>
        <v>0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N3" sqref="N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1191</v>
      </c>
      <c r="D1" s="50">
        <f>COUNTIFS(E4:E400,"=radio")</f>
        <v>94</v>
      </c>
    </row>
    <row r="2" spans="1:35" ht="21" x14ac:dyDescent="0.4">
      <c r="E2" s="26" t="s">
        <v>821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11" sqref="F11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/>
      <c r="C11" s="51"/>
      <c r="D11" s="51"/>
      <c r="E11" s="51"/>
      <c r="F11" s="51"/>
    </row>
    <row r="12" spans="1:7" x14ac:dyDescent="0.3">
      <c r="A12" s="25">
        <f>'APAGADOS RADIO'!P3</f>
        <v>44784</v>
      </c>
      <c r="B12" s="51"/>
      <c r="C12" s="51"/>
      <c r="D12" s="51"/>
      <c r="E12" s="51"/>
      <c r="F12" s="51"/>
    </row>
    <row r="13" spans="1:7" x14ac:dyDescent="0.3">
      <c r="A13" s="25">
        <f>'APAGADOS RADIO'!Q3</f>
        <v>44785</v>
      </c>
      <c r="B13" s="51"/>
      <c r="C13" s="51"/>
      <c r="D13" s="51"/>
      <c r="E13" s="51"/>
      <c r="F13" s="51"/>
    </row>
    <row r="14" spans="1:7" x14ac:dyDescent="0.3">
      <c r="A14" s="25">
        <f>'APAGADOS RADIO'!R3</f>
        <v>44786</v>
      </c>
      <c r="B14" s="51"/>
      <c r="C14" s="51"/>
      <c r="D14" s="51"/>
      <c r="E14" s="51"/>
      <c r="F14" s="51"/>
    </row>
    <row r="15" spans="1:7" x14ac:dyDescent="0.3">
      <c r="A15" s="25">
        <f>'APAGADOS RADIO'!S3</f>
        <v>44787</v>
      </c>
      <c r="B15" s="51"/>
      <c r="C15" s="51"/>
      <c r="D15" s="51"/>
      <c r="E15" s="51"/>
      <c r="F15" s="51"/>
    </row>
    <row r="16" spans="1:7" x14ac:dyDescent="0.3">
      <c r="A16" s="25">
        <f>'APAGADOS RADIO'!T3</f>
        <v>44788</v>
      </c>
      <c r="B16" s="51"/>
      <c r="C16" s="51"/>
      <c r="D16" s="51"/>
      <c r="E16" s="51"/>
      <c r="F16" s="51"/>
    </row>
    <row r="17" spans="1:6" x14ac:dyDescent="0.3">
      <c r="A17" s="25">
        <f>'APAGADOS RADIO'!U3</f>
        <v>44789</v>
      </c>
      <c r="B17" s="51"/>
      <c r="C17" s="51"/>
      <c r="D17" s="51"/>
      <c r="E17" s="51"/>
      <c r="F17" s="51"/>
    </row>
    <row r="18" spans="1:6" x14ac:dyDescent="0.3">
      <c r="A18" s="25">
        <f>'APAGADOS RADIO'!V3</f>
        <v>44790</v>
      </c>
      <c r="B18" s="51"/>
      <c r="C18" s="51"/>
      <c r="D18" s="51"/>
      <c r="E18" s="51"/>
      <c r="F18" s="51"/>
    </row>
    <row r="19" spans="1:6" x14ac:dyDescent="0.3">
      <c r="A19" s="25">
        <f>'APAGADOS RADIO'!W3</f>
        <v>44791</v>
      </c>
      <c r="B19" s="51"/>
      <c r="C19" s="51"/>
      <c r="D19" s="51"/>
      <c r="E19" s="51"/>
      <c r="F19" s="51"/>
    </row>
    <row r="20" spans="1:6" x14ac:dyDescent="0.3">
      <c r="A20" s="25">
        <f>'APAGADOS RADIO'!X3</f>
        <v>44792</v>
      </c>
      <c r="B20" s="51"/>
      <c r="C20" s="51"/>
      <c r="D20" s="51"/>
      <c r="E20" s="51"/>
      <c r="F20" s="51"/>
    </row>
    <row r="21" spans="1:6" x14ac:dyDescent="0.3">
      <c r="A21" s="25">
        <f>'APAGADOS RADIO'!Y3</f>
        <v>44793</v>
      </c>
      <c r="B21" s="51"/>
      <c r="C21" s="51"/>
      <c r="D21" s="51"/>
      <c r="E21" s="51"/>
      <c r="F21" s="51"/>
    </row>
    <row r="22" spans="1:6" x14ac:dyDescent="0.3">
      <c r="A22" s="25">
        <f>'APAGADOS RADIO'!Z3</f>
        <v>44794</v>
      </c>
      <c r="B22" s="51"/>
      <c r="C22" s="51"/>
      <c r="D22" s="51"/>
      <c r="E22" s="51"/>
      <c r="F22" s="51"/>
    </row>
    <row r="23" spans="1:6" x14ac:dyDescent="0.3">
      <c r="A23" s="25">
        <f>'APAGADOS RADIO'!AA3</f>
        <v>44795</v>
      </c>
      <c r="B23" s="51"/>
      <c r="C23" s="51"/>
      <c r="D23" s="51"/>
      <c r="E23" s="51"/>
      <c r="F23" s="51"/>
    </row>
    <row r="24" spans="1:6" x14ac:dyDescent="0.3">
      <c r="A24" s="25">
        <f>'APAGADOS RADIO'!AB3</f>
        <v>44796</v>
      </c>
      <c r="B24" s="51"/>
      <c r="C24" s="51"/>
      <c r="D24" s="51"/>
      <c r="E24" s="51"/>
      <c r="F24" s="51"/>
    </row>
    <row r="25" spans="1:6" x14ac:dyDescent="0.3">
      <c r="A25" s="25">
        <f>'APAGADOS RADIO'!AC3</f>
        <v>44797</v>
      </c>
      <c r="B25" s="51"/>
      <c r="C25" s="51"/>
      <c r="D25" s="51"/>
      <c r="E25" s="51"/>
      <c r="F25" s="51"/>
    </row>
    <row r="26" spans="1:6" x14ac:dyDescent="0.3">
      <c r="A26" s="25">
        <f>'APAGADOS RADIO'!AD3</f>
        <v>44798</v>
      </c>
      <c r="B26" s="51"/>
      <c r="C26" s="51"/>
      <c r="D26" s="51"/>
      <c r="E26" s="51"/>
      <c r="F26" s="51"/>
    </row>
    <row r="27" spans="1:6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6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6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6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6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2" sqref="A2:E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1206</v>
      </c>
      <c r="D1" s="61" t="s">
        <v>1207</v>
      </c>
    </row>
    <row r="2" spans="1:13" ht="15.6" thickTop="1" thickBot="1" x14ac:dyDescent="0.35">
      <c r="A2" s="58" t="s">
        <v>1203</v>
      </c>
      <c r="B2" s="69">
        <v>392</v>
      </c>
      <c r="C2" s="65"/>
      <c r="D2" s="62"/>
      <c r="E2" s="113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3">
      <c r="A4" s="59" t="s">
        <v>1205</v>
      </c>
      <c r="B4" s="70">
        <v>2</v>
      </c>
      <c r="C4" s="66">
        <f>B3-B4</f>
        <v>49</v>
      </c>
      <c r="D4" s="63">
        <f>C4/B2</f>
        <v>0.125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3">
      <c r="A5" s="59" t="s">
        <v>1204</v>
      </c>
      <c r="B5" s="70">
        <v>2</v>
      </c>
      <c r="C5" s="66">
        <f>C4-B5</f>
        <v>47</v>
      </c>
      <c r="D5" s="63">
        <f>C5/B2</f>
        <v>0.11989795918367346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" thickBot="1" x14ac:dyDescent="0.35">
      <c r="A6" s="60" t="s">
        <v>20</v>
      </c>
      <c r="B6" s="71">
        <v>4</v>
      </c>
      <c r="C6" s="67">
        <f>C5-B6</f>
        <v>43</v>
      </c>
      <c r="D6" s="64">
        <f>C6/B2</f>
        <v>0.10969387755102041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3">
      <c r="A7" s="58"/>
      <c r="B7" s="69"/>
      <c r="C7" s="65"/>
      <c r="D7" s="62"/>
      <c r="E7" s="113"/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" thickBot="1" x14ac:dyDescent="0.35">
      <c r="A8" s="59"/>
      <c r="B8" s="70"/>
      <c r="C8" s="66"/>
      <c r="D8" s="63"/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5.6" thickTop="1" thickBot="1" x14ac:dyDescent="0.35">
      <c r="A9" s="59"/>
      <c r="B9" s="70"/>
      <c r="C9" s="66"/>
      <c r="D9" s="63"/>
      <c r="E9" s="11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/>
      <c r="B10" s="70"/>
      <c r="C10" s="66"/>
      <c r="D10" s="63"/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" thickBot="1" x14ac:dyDescent="0.35">
      <c r="A11" s="60"/>
      <c r="B11" s="71"/>
      <c r="C11" s="67"/>
      <c r="D11" s="64"/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" thickTop="1" x14ac:dyDescent="0.3">
      <c r="A12" s="58"/>
      <c r="B12" s="69"/>
      <c r="C12" s="65"/>
      <c r="D12" s="62"/>
      <c r="E12" s="113"/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3">
      <c r="A13" s="59"/>
      <c r="B13" s="70"/>
      <c r="C13" s="66"/>
      <c r="D13" s="63"/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3">
      <c r="A14" s="59"/>
      <c r="B14" s="70"/>
      <c r="C14" s="66"/>
      <c r="D14" s="63"/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5">
      <c r="A15" s="59"/>
      <c r="B15" s="70"/>
      <c r="C15" s="66"/>
      <c r="D15" s="63"/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5.6" thickTop="1" thickBot="1" x14ac:dyDescent="0.35">
      <c r="A16" s="60"/>
      <c r="B16" s="71"/>
      <c r="C16" s="67"/>
      <c r="D16" s="64"/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1394</v>
      </c>
      <c r="M16" s="110">
        <v>44763</v>
      </c>
    </row>
    <row r="17" spans="1:13" ht="15" thickTop="1" x14ac:dyDescent="0.3">
      <c r="A17" s="58"/>
      <c r="B17" s="69"/>
      <c r="C17" s="65"/>
      <c r="D17" s="62"/>
      <c r="E17" s="113"/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3">
      <c r="A18" s="59"/>
      <c r="B18" s="70"/>
      <c r="C18" s="66"/>
      <c r="D18" s="63"/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1395</v>
      </c>
      <c r="M18" s="111"/>
    </row>
    <row r="19" spans="1:13" x14ac:dyDescent="0.3">
      <c r="A19" s="59"/>
      <c r="B19" s="70"/>
      <c r="C19" s="66"/>
      <c r="D19" s="63"/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3">
      <c r="A20" s="59"/>
      <c r="B20" s="70"/>
      <c r="C20" s="66"/>
      <c r="D20" s="63"/>
      <c r="E20" s="114"/>
      <c r="G20" s="107"/>
      <c r="H20" s="77"/>
      <c r="I20" s="77"/>
      <c r="J20" s="77"/>
      <c r="K20" s="78"/>
      <c r="L20" s="109"/>
      <c r="M20" s="111"/>
    </row>
    <row r="21" spans="1:13" ht="15" thickBot="1" x14ac:dyDescent="0.35">
      <c r="A21" s="60"/>
      <c r="B21" s="71"/>
      <c r="C21" s="67"/>
      <c r="D21" s="64"/>
      <c r="E21" s="115"/>
      <c r="G21" s="80"/>
      <c r="H21" s="81"/>
      <c r="I21" s="81"/>
      <c r="J21" s="81"/>
      <c r="K21" s="81"/>
      <c r="L21" s="82"/>
      <c r="M21" s="112"/>
    </row>
    <row r="22" spans="1:13" ht="15" thickTop="1" x14ac:dyDescent="0.3">
      <c r="A22" s="58"/>
      <c r="B22" s="69"/>
      <c r="C22" s="65"/>
      <c r="D22" s="62"/>
      <c r="E22" s="113"/>
    </row>
    <row r="23" spans="1:13" ht="15" thickBot="1" x14ac:dyDescent="0.35">
      <c r="A23" s="59"/>
      <c r="B23" s="70"/>
      <c r="C23" s="66"/>
      <c r="D23" s="63"/>
      <c r="E23" s="114"/>
    </row>
    <row r="24" spans="1:13" ht="15" thickTop="1" x14ac:dyDescent="0.3">
      <c r="A24" s="59"/>
      <c r="B24" s="70"/>
      <c r="C24" s="66"/>
      <c r="D24" s="63"/>
      <c r="E24" s="114"/>
      <c r="G24" s="72"/>
      <c r="H24" s="73"/>
      <c r="I24" s="73"/>
      <c r="J24" s="73"/>
      <c r="K24" s="74"/>
      <c r="L24" s="75"/>
      <c r="M24" s="110"/>
    </row>
    <row r="25" spans="1:13" x14ac:dyDescent="0.3">
      <c r="A25" s="59"/>
      <c r="B25" s="70"/>
      <c r="C25" s="66"/>
      <c r="D25" s="63"/>
      <c r="E25" s="114"/>
      <c r="G25" s="76"/>
      <c r="H25" s="77"/>
      <c r="I25" s="77"/>
      <c r="J25" s="77"/>
      <c r="K25" s="78"/>
      <c r="L25" s="79"/>
      <c r="M25" s="111"/>
    </row>
    <row r="26" spans="1:13" ht="15" thickBot="1" x14ac:dyDescent="0.35">
      <c r="A26" s="60"/>
      <c r="B26" s="71"/>
      <c r="C26" s="67"/>
      <c r="D26" s="64"/>
      <c r="E26" s="115"/>
      <c r="G26" s="76"/>
      <c r="H26" s="77"/>
      <c r="I26" s="77"/>
      <c r="J26" s="77"/>
      <c r="K26" s="78"/>
      <c r="L26" s="79"/>
      <c r="M26" s="111"/>
    </row>
    <row r="27" spans="1:13" ht="15" thickTop="1" x14ac:dyDescent="0.3">
      <c r="A27" s="58"/>
      <c r="B27" s="69"/>
      <c r="C27" s="65"/>
      <c r="D27" s="62"/>
      <c r="E27" s="113"/>
      <c r="G27" s="76"/>
      <c r="H27" s="77"/>
      <c r="I27" s="77"/>
      <c r="J27" s="77"/>
      <c r="K27" s="78"/>
      <c r="L27" s="79"/>
      <c r="M27" s="111"/>
    </row>
    <row r="28" spans="1:13" x14ac:dyDescent="0.3">
      <c r="A28" s="59"/>
      <c r="B28" s="70"/>
      <c r="C28" s="66"/>
      <c r="D28" s="63"/>
      <c r="E28" s="114"/>
      <c r="G28" s="76"/>
      <c r="H28" s="77"/>
      <c r="I28" s="77"/>
      <c r="J28" s="77"/>
      <c r="K28" s="78"/>
      <c r="L28" s="79"/>
      <c r="M28" s="111"/>
    </row>
    <row r="29" spans="1:13" ht="15" thickBot="1" x14ac:dyDescent="0.35">
      <c r="A29" s="59"/>
      <c r="B29" s="70"/>
      <c r="C29" s="66"/>
      <c r="D29" s="63"/>
      <c r="E29" s="114"/>
      <c r="G29" s="80"/>
      <c r="H29" s="81"/>
      <c r="I29" s="81"/>
      <c r="J29" s="81"/>
      <c r="K29" s="81"/>
      <c r="L29" s="82"/>
      <c r="M29" s="112"/>
    </row>
    <row r="30" spans="1:13" ht="15" thickTop="1" x14ac:dyDescent="0.3">
      <c r="A30" s="59"/>
      <c r="B30" s="70"/>
      <c r="C30" s="66"/>
      <c r="D30" s="63"/>
      <c r="E30" s="114"/>
    </row>
    <row r="31" spans="1:13" ht="15" thickBot="1" x14ac:dyDescent="0.35">
      <c r="A31" s="60"/>
      <c r="B31" s="71"/>
      <c r="C31" s="67"/>
      <c r="D31" s="64"/>
      <c r="E31" s="115"/>
    </row>
    <row r="32" spans="1:13" ht="15" thickTop="1" x14ac:dyDescent="0.3">
      <c r="A32" s="58"/>
      <c r="B32" s="69"/>
      <c r="C32" s="65"/>
      <c r="D32" s="62"/>
      <c r="E32" s="113"/>
      <c r="G32" s="52"/>
      <c r="H32" s="51"/>
      <c r="I32" s="51"/>
      <c r="J32" s="51"/>
      <c r="K32" s="16"/>
      <c r="L32" s="83"/>
    </row>
    <row r="33" spans="1:13" x14ac:dyDescent="0.3">
      <c r="A33" s="59"/>
      <c r="B33" s="70"/>
      <c r="C33" s="66"/>
      <c r="D33" s="63"/>
      <c r="E33" s="114"/>
      <c r="G33" s="52"/>
      <c r="H33" s="51"/>
      <c r="I33" s="51"/>
      <c r="J33" s="51"/>
      <c r="K33" s="16"/>
      <c r="L33" s="83"/>
    </row>
    <row r="34" spans="1:13" x14ac:dyDescent="0.3">
      <c r="A34" s="59"/>
      <c r="B34" s="70"/>
      <c r="C34" s="66"/>
      <c r="D34" s="63"/>
      <c r="E34" s="114"/>
      <c r="G34" s="52"/>
      <c r="H34" s="51"/>
      <c r="I34" s="51"/>
      <c r="J34" s="51"/>
      <c r="K34" s="16"/>
      <c r="L34" s="83"/>
    </row>
    <row r="35" spans="1:13" x14ac:dyDescent="0.3">
      <c r="A35" s="59"/>
      <c r="B35" s="70"/>
      <c r="C35" s="66"/>
      <c r="D35" s="63"/>
      <c r="E35" s="114"/>
      <c r="G35" s="52"/>
      <c r="H35" s="51"/>
      <c r="I35" s="51"/>
      <c r="J35" s="51"/>
      <c r="K35" s="16"/>
      <c r="L35" s="83"/>
    </row>
    <row r="36" spans="1:13" ht="15" thickBot="1" x14ac:dyDescent="0.35">
      <c r="A36" s="60"/>
      <c r="B36" s="71"/>
      <c r="C36" s="67"/>
      <c r="D36" s="64"/>
      <c r="E36" s="115"/>
      <c r="G36" s="52"/>
      <c r="H36" s="51"/>
      <c r="I36" s="51"/>
      <c r="J36" s="51"/>
      <c r="K36" s="16"/>
      <c r="L36" s="83"/>
    </row>
    <row r="37" spans="1:13" ht="15" thickTop="1" x14ac:dyDescent="0.3">
      <c r="A37" s="58"/>
      <c r="B37" s="69"/>
      <c r="C37" s="65"/>
      <c r="D37" s="62"/>
      <c r="E37" s="113"/>
      <c r="G37" s="52"/>
      <c r="H37" s="51"/>
      <c r="I37" s="51"/>
      <c r="J37" s="51"/>
      <c r="K37" s="16"/>
      <c r="L37" s="83"/>
    </row>
    <row r="38" spans="1:13" x14ac:dyDescent="0.3">
      <c r="A38" s="59"/>
      <c r="B38" s="70"/>
      <c r="C38" s="66"/>
      <c r="D38" s="63"/>
      <c r="E38" s="114"/>
      <c r="G38" s="52"/>
      <c r="H38" s="51"/>
      <c r="I38" s="51"/>
      <c r="J38" s="51"/>
      <c r="K38" s="16"/>
      <c r="L38" s="84"/>
    </row>
    <row r="39" spans="1:13" ht="15" thickBot="1" x14ac:dyDescent="0.35">
      <c r="A39" s="59"/>
      <c r="B39" s="70"/>
      <c r="C39" s="66"/>
      <c r="D39" s="63"/>
      <c r="E39" s="114"/>
    </row>
    <row r="40" spans="1:13" ht="15" thickTop="1" x14ac:dyDescent="0.3">
      <c r="A40" s="59"/>
      <c r="B40" s="70"/>
      <c r="C40" s="66"/>
      <c r="D40" s="63"/>
      <c r="E40" s="114"/>
      <c r="G40" s="72"/>
      <c r="H40" s="73"/>
      <c r="I40" s="73"/>
      <c r="J40" s="73"/>
      <c r="K40" s="74"/>
      <c r="L40" s="75"/>
      <c r="M40" s="110"/>
    </row>
    <row r="41" spans="1:13" ht="15" thickBot="1" x14ac:dyDescent="0.35">
      <c r="A41" s="60"/>
      <c r="B41" s="71"/>
      <c r="C41" s="67"/>
      <c r="D41" s="64"/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3">
      <c r="A42" s="58"/>
      <c r="B42" s="69"/>
      <c r="C42" s="65"/>
      <c r="D42" s="62"/>
      <c r="E42" s="113"/>
      <c r="G42" s="76"/>
      <c r="H42" s="77"/>
      <c r="I42" s="77"/>
      <c r="J42" s="77"/>
      <c r="K42" s="78"/>
      <c r="L42" s="79"/>
      <c r="M42" s="111"/>
    </row>
    <row r="43" spans="1:13" x14ac:dyDescent="0.3">
      <c r="A43" s="59"/>
      <c r="B43" s="70"/>
      <c r="C43" s="66"/>
      <c r="D43" s="63"/>
      <c r="E43" s="114"/>
      <c r="G43" s="76"/>
      <c r="H43" s="77"/>
      <c r="I43" s="77"/>
      <c r="J43" s="77"/>
      <c r="K43" s="78"/>
      <c r="L43" s="79"/>
      <c r="M43" s="111"/>
    </row>
    <row r="44" spans="1:13" x14ac:dyDescent="0.3">
      <c r="A44" s="59"/>
      <c r="B44" s="70"/>
      <c r="C44" s="66"/>
      <c r="D44" s="63"/>
      <c r="E44" s="114"/>
      <c r="G44" s="76"/>
      <c r="H44" s="77"/>
      <c r="I44" s="77"/>
      <c r="J44" s="77"/>
      <c r="K44" s="78"/>
      <c r="L44" s="79"/>
      <c r="M44" s="111"/>
    </row>
    <row r="45" spans="1:13" ht="15" thickBot="1" x14ac:dyDescent="0.35">
      <c r="A45" s="59"/>
      <c r="B45" s="70"/>
      <c r="C45" s="66"/>
      <c r="D45" s="63"/>
      <c r="E45" s="114"/>
      <c r="G45" s="80"/>
      <c r="H45" s="81"/>
      <c r="I45" s="81"/>
      <c r="J45" s="81"/>
      <c r="K45" s="81"/>
      <c r="L45" s="82"/>
      <c r="M45" s="112"/>
    </row>
    <row r="46" spans="1:13" ht="15.6" thickTop="1" thickBot="1" x14ac:dyDescent="0.35">
      <c r="A46" s="60"/>
      <c r="B46" s="71"/>
      <c r="C46" s="67"/>
      <c r="D46" s="64"/>
      <c r="E46" s="115"/>
    </row>
    <row r="47" spans="1:13" ht="15" thickTop="1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2022-08-09T16:54:35Z</dcterms:modified>
</cp:coreProperties>
</file>