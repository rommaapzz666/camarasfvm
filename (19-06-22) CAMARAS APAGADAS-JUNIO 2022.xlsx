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869F02A6-A721-48BF-BA14-92E3F86A85E8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4" l="1"/>
  <c r="F13" i="14"/>
  <c r="F12" i="14"/>
  <c r="D14" i="14"/>
  <c r="B14" i="14" s="1"/>
  <c r="D13" i="14"/>
  <c r="D12" i="14"/>
  <c r="B12" i="14" s="1"/>
  <c r="C14" i="14"/>
  <c r="C13" i="14"/>
  <c r="C12" i="14"/>
  <c r="B13" i="14"/>
  <c r="D23" i="24"/>
  <c r="C24" i="24"/>
  <c r="C25" i="24" s="1"/>
  <c r="F11" i="14"/>
  <c r="F10" i="14"/>
  <c r="D10" i="14"/>
  <c r="C10" i="14"/>
  <c r="B10" i="14"/>
  <c r="D18" i="24"/>
  <c r="C19" i="24"/>
  <c r="C20" i="24" s="1"/>
  <c r="F9" i="14"/>
  <c r="D9" i="14"/>
  <c r="C9" i="14"/>
  <c r="B9" i="14"/>
  <c r="E9" i="14" s="1"/>
  <c r="D13" i="24"/>
  <c r="C14" i="24"/>
  <c r="C15" i="24" s="1"/>
  <c r="F8" i="14"/>
  <c r="D8" i="14"/>
  <c r="C8" i="14"/>
  <c r="B8" i="14"/>
  <c r="E8" i="14" s="1"/>
  <c r="D8" i="24"/>
  <c r="C9" i="24"/>
  <c r="D9" i="24" s="1"/>
  <c r="F7" i="14"/>
  <c r="F6" i="14"/>
  <c r="F5" i="14"/>
  <c r="D7" i="14"/>
  <c r="B7" i="14" s="1"/>
  <c r="E7" i="14" s="1"/>
  <c r="D6" i="14"/>
  <c r="B6" i="14" s="1"/>
  <c r="D5" i="14"/>
  <c r="B5" i="14" s="1"/>
  <c r="C7" i="14"/>
  <c r="C6" i="14"/>
  <c r="C5" i="14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E13" i="14" l="1"/>
  <c r="G13" i="14" s="1"/>
  <c r="E14" i="14"/>
  <c r="G14" i="14" s="1"/>
  <c r="E12" i="14"/>
  <c r="G12" i="14" s="1"/>
  <c r="D24" i="24"/>
  <c r="D25" i="24"/>
  <c r="C26" i="24"/>
  <c r="D26" i="24" s="1"/>
  <c r="E10" i="14"/>
  <c r="G10" i="14" s="1"/>
  <c r="D19" i="24"/>
  <c r="D20" i="24"/>
  <c r="C21" i="24"/>
  <c r="D21" i="24" s="1"/>
  <c r="G9" i="14"/>
  <c r="D14" i="24"/>
  <c r="D15" i="24"/>
  <c r="C16" i="24"/>
  <c r="D16" i="24" s="1"/>
  <c r="G8" i="14"/>
  <c r="C10" i="24"/>
  <c r="G7" i="14"/>
  <c r="E5" i="14"/>
  <c r="G5" i="14" s="1"/>
  <c r="E6" i="14"/>
  <c r="G6" i="14" s="1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Y374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10" i="24" l="1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C11" i="14" s="1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E4" i="14" s="1"/>
  <c r="G4" i="14" s="1"/>
  <c r="T2" i="11"/>
  <c r="N2" i="11"/>
  <c r="I2" i="11"/>
  <c r="J2" i="11"/>
  <c r="W2" i="11"/>
  <c r="I2" i="10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1" i="14" l="1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<sst xmlns="http://schemas.openxmlformats.org/spreadsheetml/2006/main" count="3851" uniqueCount="1366">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</sst>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47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4" zoomScaleNormal="84" workbookViewId="0">
      <pane xSplit="14" ySplit="4" topLeftCell="AG203" activePane="bottomRight" state="frozen"/>
      <selection pane="topRight" activeCell="M1" sqref="M1"/>
      <selection pane="bottomLeft" activeCell="A5" sqref="A5"/>
      <selection pane="bottomRight" activeCell="AG207" sqref="AG207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4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9.3333333333333338E-2</v>
      </c>
      <c r="X1" s="4">
        <f t="shared" si="0"/>
        <v>0.13600000000000001</v>
      </c>
      <c r="Y1" s="4">
        <f t="shared" si="0"/>
        <v>0.14133333333333334</v>
      </c>
      <c r="Z1" s="4">
        <f t="shared" si="0"/>
        <v>0.13866666666666666</v>
      </c>
      <c r="AA1" s="4">
        <f t="shared" si="0"/>
        <v>0.14666666666666667</v>
      </c>
      <c r="AB1" s="4">
        <f t="shared" si="0"/>
        <v>0.104</v>
      </c>
      <c r="AC1" s="4">
        <f>(AC3)/(AC2+AC3)</f>
        <v>0.10666666666666667</v>
      </c>
      <c r="AD1" s="4">
        <f t="shared" si="0"/>
        <v>0.15733333333333333</v>
      </c>
      <c r="AE1" s="4">
        <f t="shared" si="0"/>
        <v>0</v>
      </c>
      <c r="AF1" s="4">
        <f t="shared" si="0"/>
        <v>0.10133333333333333</v>
      </c>
      <c r="AG1" s="4">
        <f t="shared" si="0"/>
        <v>8.533333333333333E-2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340</v>
      </c>
      <c r="X2" s="10">
        <f t="shared" si="2"/>
        <v>324</v>
      </c>
      <c r="Y2" s="10">
        <f t="shared" si="2"/>
        <v>322</v>
      </c>
      <c r="Z2" s="10">
        <f t="shared" si="2"/>
        <v>323</v>
      </c>
      <c r="AA2" s="10">
        <f t="shared" si="2"/>
        <v>320</v>
      </c>
      <c r="AB2" s="10">
        <f t="shared" si="2"/>
        <v>336</v>
      </c>
      <c r="AC2" s="10">
        <f t="shared" si="2"/>
        <v>335</v>
      </c>
      <c r="AD2" s="10">
        <f t="shared" si="2"/>
        <v>316</v>
      </c>
      <c r="AE2" s="10">
        <f t="shared" si="2"/>
        <v>375</v>
      </c>
      <c r="AF2" s="10">
        <f t="shared" si="2"/>
        <v>337</v>
      </c>
      <c r="AG2" s="10">
        <f t="shared" si="2"/>
        <v>343</v>
      </c>
      <c r="AH2" s="10">
        <f t="shared" si="2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35</v>
      </c>
      <c r="X3" s="14">
        <f t="shared" si="4"/>
        <v>51</v>
      </c>
      <c r="Y3" s="14">
        <f t="shared" si="4"/>
        <v>53</v>
      </c>
      <c r="Z3" s="14">
        <f t="shared" si="4"/>
        <v>52</v>
      </c>
      <c r="AA3" s="14">
        <f t="shared" si="4"/>
        <v>55</v>
      </c>
      <c r="AB3" s="14">
        <f t="shared" si="4"/>
        <v>39</v>
      </c>
      <c r="AC3" s="14">
        <f t="shared" si="4"/>
        <v>40</v>
      </c>
      <c r="AD3" s="14">
        <f t="shared" si="4"/>
        <v>59</v>
      </c>
      <c r="AE3" s="14">
        <f t="shared" si="4"/>
        <v>0</v>
      </c>
      <c r="AF3" s="14">
        <f t="shared" si="4"/>
        <v>38</v>
      </c>
      <c r="AG3" s="14">
        <f t="shared" si="4"/>
        <v>32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t="s">
        <v>1321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1105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1355</v>
      </c>
      <c r="P5" s="19" t="s">
        <v>1355</v>
      </c>
      <c r="Q5" s="19" t="s">
        <v>1355</v>
      </c>
      <c r="R5" s="19" t="s">
        <v>1355</v>
      </c>
      <c r="S5" s="29" t="s">
        <v>1355</v>
      </c>
      <c r="T5" s="29" t="s">
        <v>1355</v>
      </c>
      <c r="U5" s="19" t="s">
        <v>1355</v>
      </c>
      <c r="V5" s="19" t="s">
        <v>1355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B6" s="62"/>
      <c r="C6" s="61" t="s">
        <v>23</v>
      </c>
      <c r="D6" s="62" t="s">
        <v>920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1106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1053</v>
      </c>
      <c r="L7" s="57">
        <f t="shared" si="8"/>
        <v>12</v>
      </c>
      <c r="M7" s="17">
        <f t="shared" si="6"/>
        <v>18</v>
      </c>
      <c r="N7" s="18">
        <f t="shared" si="7"/>
        <v>0.4</v>
      </c>
      <c r="O7" s="27" t="s">
        <v>1355</v>
      </c>
      <c r="P7" s="8" t="s">
        <v>1355</v>
      </c>
      <c r="Q7" s="8" t="s">
        <v>1355</v>
      </c>
      <c r="R7" s="8" t="s">
        <v>1355</v>
      </c>
      <c r="S7" s="27" t="s">
        <v>1355</v>
      </c>
      <c r="T7" s="27" t="s">
        <v>1355</v>
      </c>
      <c r="U7" s="8" t="s">
        <v>1355</v>
      </c>
      <c r="V7" s="8" t="s">
        <v>1355</v>
      </c>
      <c r="W7" s="8" t="s">
        <v>1355</v>
      </c>
      <c r="X7" s="27" t="s">
        <v>1355</v>
      </c>
      <c r="Y7" s="27" t="s">
        <v>1355</v>
      </c>
      <c r="Z7" s="27" t="s">
        <v>1355</v>
      </c>
      <c r="AA7" s="27" t="s">
        <v>1355</v>
      </c>
      <c r="AB7" s="27" t="s">
        <v>1355</v>
      </c>
      <c r="AC7" s="27" t="s">
        <v>1355</v>
      </c>
      <c r="AD7" s="27" t="s">
        <v>1355</v>
      </c>
      <c r="AE7" s="27"/>
      <c r="AF7" s="27" t="s">
        <v>1355</v>
      </c>
      <c r="AG7" s="27" t="s">
        <v>1355</v>
      </c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B8" s="62"/>
      <c r="C8" s="61" t="s">
        <v>29</v>
      </c>
      <c r="D8" s="62" t="s">
        <v>911</v>
      </c>
      <c r="E8" t="s">
        <v>19</v>
      </c>
      <c r="F8" t="s">
        <v>942</v>
      </c>
      <c r="G8"/>
      <c r="H8" t="s">
        <v>30</v>
      </c>
      <c r="I8" s="16">
        <v>-348230700000</v>
      </c>
      <c r="J8" s="16">
        <v>-582702540000</v>
      </c>
      <c r="K8" s="16" t="s">
        <v>1107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1108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B10" s="62"/>
      <c r="C10" s="63" t="s">
        <v>947</v>
      </c>
      <c r="D10" s="62" t="s">
        <v>35</v>
      </c>
      <c r="E10" t="s">
        <v>24</v>
      </c>
      <c r="F10" t="s">
        <v>942</v>
      </c>
      <c r="G10"/>
      <c r="H10" t="s">
        <v>37</v>
      </c>
      <c r="I10" s="16">
        <v>-347738090000</v>
      </c>
      <c r="J10" s="16">
        <v>-582721410000</v>
      </c>
      <c r="K10" s="16" t="s">
        <v>948</v>
      </c>
      <c r="L10" s="57">
        <f t="shared" si="8"/>
        <v>29</v>
      </c>
      <c r="M10" s="17">
        <f t="shared" si="6"/>
        <v>1</v>
      </c>
      <c r="N10" s="18">
        <f t="shared" si="7"/>
        <v>0.96666666666666667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 t="s">
        <v>1355</v>
      </c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941</v>
      </c>
      <c r="L11" s="57">
        <f t="shared" si="8"/>
        <v>27</v>
      </c>
      <c r="M11" s="17">
        <f t="shared" si="6"/>
        <v>3</v>
      </c>
      <c r="N11" s="18">
        <f t="shared" si="7"/>
        <v>0.9</v>
      </c>
      <c r="O11" s="27" t="s">
        <v>1355</v>
      </c>
      <c r="P11" s="8" t="s">
        <v>1355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 t="s">
        <v>1355</v>
      </c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942</v>
      </c>
      <c r="G12" t="s">
        <v>43</v>
      </c>
      <c r="H12"/>
      <c r="I12" s="16">
        <v>-347718470000</v>
      </c>
      <c r="J12" s="16">
        <v>-582688560000</v>
      </c>
      <c r="K12" s="16" t="s">
        <v>943</v>
      </c>
      <c r="L12" s="57">
        <f t="shared" si="8"/>
        <v>29</v>
      </c>
      <c r="M12" s="17">
        <f t="shared" si="6"/>
        <v>1</v>
      </c>
      <c r="N12" s="18">
        <f t="shared" si="7"/>
        <v>0.96666666666666667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 t="s">
        <v>1355</v>
      </c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944</v>
      </c>
      <c r="L13" s="57">
        <f t="shared" si="8"/>
        <v>27</v>
      </c>
      <c r="M13" s="17">
        <f t="shared" si="6"/>
        <v>3</v>
      </c>
      <c r="N13" s="18">
        <f t="shared" si="7"/>
        <v>0.9</v>
      </c>
      <c r="O13" s="27"/>
      <c r="P13" s="8"/>
      <c r="Q13" s="8"/>
      <c r="R13" s="8"/>
      <c r="S13" s="27"/>
      <c r="T13" s="27"/>
      <c r="U13" s="8"/>
      <c r="V13" s="8"/>
      <c r="W13" s="8" t="s">
        <v>1355</v>
      </c>
      <c r="X13" s="27" t="s">
        <v>1355</v>
      </c>
      <c r="Y13" s="27"/>
      <c r="Z13" s="27"/>
      <c r="AA13" s="27"/>
      <c r="AB13" s="27"/>
      <c r="AC13" s="27"/>
      <c r="AD13" s="27" t="s">
        <v>1355</v>
      </c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945</v>
      </c>
      <c r="L14" s="57">
        <f t="shared" si="8"/>
        <v>24</v>
      </c>
      <c r="M14" s="17">
        <f t="shared" si="6"/>
        <v>6</v>
      </c>
      <c r="N14" s="18">
        <f t="shared" si="7"/>
        <v>0.8</v>
      </c>
      <c r="O14" s="27" t="s">
        <v>1355</v>
      </c>
      <c r="P14" s="8" t="s">
        <v>1355</v>
      </c>
      <c r="Q14" s="8" t="s">
        <v>1355</v>
      </c>
      <c r="R14" s="8"/>
      <c r="S14" s="27" t="s">
        <v>1355</v>
      </c>
      <c r="T14" s="27"/>
      <c r="U14" s="8" t="s">
        <v>1355</v>
      </c>
      <c r="V14" s="8"/>
      <c r="W14" s="8"/>
      <c r="X14" s="27"/>
      <c r="Y14" s="27"/>
      <c r="Z14" s="27"/>
      <c r="AA14" s="27"/>
      <c r="AB14" s="27"/>
      <c r="AC14" s="27"/>
      <c r="AD14" s="27" t="s">
        <v>1355</v>
      </c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942</v>
      </c>
      <c r="G15" t="s">
        <v>52</v>
      </c>
      <c r="H15"/>
      <c r="I15" s="16">
        <v>-347708370000</v>
      </c>
      <c r="J15" s="16">
        <v>-582698000000</v>
      </c>
      <c r="K15" s="16" t="s">
        <v>946</v>
      </c>
      <c r="L15" s="57">
        <f t="shared" si="8"/>
        <v>29</v>
      </c>
      <c r="M15" s="17">
        <f t="shared" si="6"/>
        <v>1</v>
      </c>
      <c r="N15" s="18">
        <f t="shared" si="7"/>
        <v>0.96666666666666667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 t="s">
        <v>1355</v>
      </c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942</v>
      </c>
      <c r="G16"/>
      <c r="H16" t="s">
        <v>55</v>
      </c>
      <c r="I16" s="16">
        <v>-347737570000</v>
      </c>
      <c r="J16" s="16">
        <v>-582676650000</v>
      </c>
      <c r="K16" s="16" t="s">
        <v>950</v>
      </c>
      <c r="L16" s="57">
        <f t="shared" si="8"/>
        <v>29</v>
      </c>
      <c r="M16" s="17">
        <f t="shared" si="6"/>
        <v>1</v>
      </c>
      <c r="N16" s="18">
        <f t="shared" si="7"/>
        <v>0.96666666666666667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 t="s">
        <v>1355</v>
      </c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951</v>
      </c>
      <c r="L17" s="57">
        <f t="shared" si="8"/>
        <v>29</v>
      </c>
      <c r="M17" s="17">
        <f t="shared" si="6"/>
        <v>1</v>
      </c>
      <c r="N17" s="18">
        <f t="shared" si="7"/>
        <v>0.96666666666666667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 t="s">
        <v>1355</v>
      </c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952</v>
      </c>
      <c r="L18" s="57">
        <f t="shared" si="8"/>
        <v>29</v>
      </c>
      <c r="M18" s="17">
        <f t="shared" si="6"/>
        <v>1</v>
      </c>
      <c r="N18" s="18">
        <f t="shared" si="7"/>
        <v>0.96666666666666667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 t="s">
        <v>1355</v>
      </c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955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B20" s="62"/>
      <c r="C20" s="63" t="s">
        <v>953</v>
      </c>
      <c r="D20" s="62" t="s">
        <v>66</v>
      </c>
      <c r="E20" t="s">
        <v>19</v>
      </c>
      <c r="F20" t="s">
        <v>942</v>
      </c>
      <c r="G20"/>
      <c r="H20" t="s">
        <v>67</v>
      </c>
      <c r="I20" s="16">
        <v>-347689160000</v>
      </c>
      <c r="J20" s="16">
        <v>-582717100000</v>
      </c>
      <c r="K20" s="16" t="s">
        <v>954</v>
      </c>
      <c r="L20" s="57">
        <f t="shared" si="8"/>
        <v>29</v>
      </c>
      <c r="M20" s="17">
        <f t="shared" si="6"/>
        <v>1</v>
      </c>
      <c r="N20" s="18">
        <f t="shared" si="7"/>
        <v>0.96666666666666667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 t="s">
        <v>1355</v>
      </c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956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B22" s="62"/>
      <c r="C22" s="63" t="s">
        <v>1006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1007</v>
      </c>
      <c r="L22" s="57">
        <f t="shared" si="8"/>
        <v>19</v>
      </c>
      <c r="M22" s="17">
        <f t="shared" si="6"/>
        <v>11</v>
      </c>
      <c r="N22" s="18">
        <f t="shared" si="7"/>
        <v>0.6333333333333333</v>
      </c>
      <c r="O22" s="27" t="s">
        <v>1355</v>
      </c>
      <c r="P22" s="8" t="s">
        <v>1355</v>
      </c>
      <c r="Q22" s="8" t="s">
        <v>1355</v>
      </c>
      <c r="R22" s="8" t="s">
        <v>1355</v>
      </c>
      <c r="S22" s="27" t="s">
        <v>1355</v>
      </c>
      <c r="T22" s="27" t="s">
        <v>1355</v>
      </c>
      <c r="U22" s="8" t="s">
        <v>1355</v>
      </c>
      <c r="V22" s="8"/>
      <c r="W22" s="8"/>
      <c r="X22" s="27" t="s">
        <v>1355</v>
      </c>
      <c r="Y22" s="27" t="s">
        <v>1355</v>
      </c>
      <c r="Z22" s="27" t="s">
        <v>1355</v>
      </c>
      <c r="AA22" s="27" t="s">
        <v>1355</v>
      </c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B23" s="62"/>
      <c r="C23" s="63" t="s">
        <v>1009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1010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1011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1012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1013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1014</v>
      </c>
      <c r="L27" s="57">
        <f t="shared" si="8"/>
        <v>29</v>
      </c>
      <c r="M27" s="17">
        <f t="shared" si="6"/>
        <v>1</v>
      </c>
      <c r="N27" s="18">
        <f t="shared" si="7"/>
        <v>0.96666666666666667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 t="s">
        <v>1355</v>
      </c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1015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1016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942</v>
      </c>
      <c r="G30"/>
      <c r="H30" t="s">
        <v>94</v>
      </c>
      <c r="I30" s="16">
        <v>-347999170000</v>
      </c>
      <c r="J30" s="16">
        <v>-582863530000</v>
      </c>
      <c r="K30" s="16" t="s">
        <v>1017</v>
      </c>
      <c r="L30" s="57">
        <f t="shared" si="8"/>
        <v>19</v>
      </c>
      <c r="M30" s="17">
        <f t="shared" si="6"/>
        <v>11</v>
      </c>
      <c r="N30" s="18">
        <f t="shared" si="7"/>
        <v>0.6333333333333333</v>
      </c>
      <c r="O30" s="27" t="s">
        <v>1355</v>
      </c>
      <c r="P30" s="8" t="s">
        <v>1355</v>
      </c>
      <c r="Q30" s="8" t="s">
        <v>1355</v>
      </c>
      <c r="R30" s="8" t="s">
        <v>1355</v>
      </c>
      <c r="S30" s="27" t="s">
        <v>1355</v>
      </c>
      <c r="T30" s="27" t="s">
        <v>1355</v>
      </c>
      <c r="U30" s="8" t="s">
        <v>1355</v>
      </c>
      <c r="V30" s="8"/>
      <c r="W30" s="8"/>
      <c r="X30" s="27" t="s">
        <v>1355</v>
      </c>
      <c r="Y30" s="27" t="s">
        <v>1355</v>
      </c>
      <c r="Z30" s="27" t="s">
        <v>1355</v>
      </c>
      <c r="AA30" s="27" t="s">
        <v>1355</v>
      </c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1018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B32" s="62"/>
      <c r="C32" s="63" t="s">
        <v>98</v>
      </c>
      <c r="D32" s="62" t="s">
        <v>919</v>
      </c>
      <c r="E32" t="s">
        <v>19</v>
      </c>
      <c r="F32" t="s">
        <v>942</v>
      </c>
      <c r="G32"/>
      <c r="H32" t="s">
        <v>99</v>
      </c>
      <c r="I32" s="16">
        <v>-348038200000</v>
      </c>
      <c r="J32" s="16">
        <v>-582766160000</v>
      </c>
      <c r="K32" s="16" t="s">
        <v>1019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1020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1029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1030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1355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1031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1355</v>
      </c>
      <c r="V36" s="8" t="s">
        <v>1355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957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949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958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959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B41" s="62"/>
      <c r="C41" s="63" t="s">
        <v>124</v>
      </c>
      <c r="D41" s="62" t="s">
        <v>940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960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961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B43" s="62"/>
      <c r="C43" s="63" t="s">
        <v>130</v>
      </c>
      <c r="D43" s="62" t="s">
        <v>939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962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B44" s="62"/>
      <c r="C44" s="63" t="s">
        <v>133</v>
      </c>
      <c r="D44" s="62" t="s">
        <v>938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963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964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B46" s="62"/>
      <c r="C46" s="63" t="s">
        <v>138</v>
      </c>
      <c r="D46" s="62" t="s">
        <v>1365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965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966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967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1355</v>
      </c>
      <c r="P48" s="8" t="s">
        <v>1355</v>
      </c>
      <c r="Q48" s="8" t="s">
        <v>1355</v>
      </c>
      <c r="R48" s="8" t="s">
        <v>1355</v>
      </c>
      <c r="S48" s="27" t="s">
        <v>1355</v>
      </c>
      <c r="T48" s="27" t="s">
        <v>1355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968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B50" s="62"/>
      <c r="C50" s="63" t="s">
        <v>149</v>
      </c>
      <c r="D50" s="62" t="s">
        <v>1323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969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970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1355</v>
      </c>
      <c r="P51" s="8" t="s">
        <v>1355</v>
      </c>
      <c r="Q51" s="8" t="s">
        <v>1355</v>
      </c>
      <c r="R51" s="8" t="s">
        <v>1355</v>
      </c>
      <c r="S51" s="27" t="s">
        <v>1355</v>
      </c>
      <c r="T51" s="27" t="s">
        <v>1355</v>
      </c>
      <c r="U51" s="8" t="s">
        <v>1355</v>
      </c>
      <c r="V51" s="8" t="s">
        <v>1355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971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942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972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973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1355</v>
      </c>
      <c r="P54" s="8" t="s">
        <v>1355</v>
      </c>
      <c r="Q54" s="8" t="s">
        <v>1355</v>
      </c>
      <c r="R54" s="8" t="s">
        <v>1355</v>
      </c>
      <c r="S54" s="27" t="s">
        <v>1355</v>
      </c>
      <c r="T54" s="27" t="s">
        <v>1355</v>
      </c>
      <c r="U54" s="8" t="s">
        <v>1355</v>
      </c>
      <c r="V54" s="8" t="s">
        <v>1355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974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975</v>
      </c>
      <c r="L56" s="57">
        <f t="shared" si="8"/>
        <v>20</v>
      </c>
      <c r="M56" s="17">
        <f t="shared" si="6"/>
        <v>10</v>
      </c>
      <c r="N56" s="18">
        <f t="shared" si="7"/>
        <v>0.66666666666666663</v>
      </c>
      <c r="O56" s="27" t="s">
        <v>1355</v>
      </c>
      <c r="P56" s="8" t="s">
        <v>1355</v>
      </c>
      <c r="Q56" s="8" t="s">
        <v>1355</v>
      </c>
      <c r="R56" s="8" t="s">
        <v>1355</v>
      </c>
      <c r="S56" s="27" t="s">
        <v>1355</v>
      </c>
      <c r="T56" s="27" t="s">
        <v>1355</v>
      </c>
      <c r="U56" s="8"/>
      <c r="V56" s="8"/>
      <c r="W56" s="8"/>
      <c r="X56" s="27" t="s">
        <v>1355</v>
      </c>
      <c r="Y56" s="27" t="s">
        <v>1355</v>
      </c>
      <c r="Z56" s="27" t="s">
        <v>1355</v>
      </c>
      <c r="AA56" s="27" t="s">
        <v>1355</v>
      </c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976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1355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977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978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B60" s="62"/>
      <c r="C60" s="63" t="s">
        <v>178</v>
      </c>
      <c r="D60" s="62" t="s">
        <v>915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979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980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B62" s="62"/>
      <c r="C62" s="63" t="s">
        <v>183</v>
      </c>
      <c r="D62" s="62" t="s">
        <v>913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981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B63" s="62"/>
      <c r="C63" s="63" t="s">
        <v>185</v>
      </c>
      <c r="D63" s="62" t="s">
        <v>912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982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983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984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985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986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B68" s="62"/>
      <c r="C68" s="63" t="s">
        <v>196</v>
      </c>
      <c r="D68" s="62" t="s">
        <v>914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987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988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B70" s="62"/>
      <c r="C70" s="63" t="s">
        <v>199</v>
      </c>
      <c r="D70" s="62" t="s">
        <v>916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989</v>
      </c>
      <c r="L70" s="57">
        <f t="shared" ref="L70:L133" si="11">COUNTIF(O70:AR70,"")</f>
        <v>23</v>
      </c>
      <c r="M70" s="17">
        <f t="shared" si="9"/>
        <v>7</v>
      </c>
      <c r="N70" s="18">
        <f t="shared" si="10"/>
        <v>0.76666666666666672</v>
      </c>
      <c r="O70" s="27"/>
      <c r="P70" s="8"/>
      <c r="Q70" s="8"/>
      <c r="R70" s="8" t="s">
        <v>1355</v>
      </c>
      <c r="S70" s="27" t="s">
        <v>1355</v>
      </c>
      <c r="T70" s="27"/>
      <c r="U70" s="8"/>
      <c r="V70" s="8"/>
      <c r="W70" s="8"/>
      <c r="X70" s="27"/>
      <c r="Y70" s="27" t="s">
        <v>1355</v>
      </c>
      <c r="Z70" s="27" t="s">
        <v>1355</v>
      </c>
      <c r="AA70" s="27" t="s">
        <v>1355</v>
      </c>
      <c r="AB70" s="27"/>
      <c r="AC70" s="27" t="s">
        <v>1355</v>
      </c>
      <c r="AD70" s="27" t="s">
        <v>1355</v>
      </c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B71" s="62"/>
      <c r="C71" s="63" t="s">
        <v>200</v>
      </c>
      <c r="D71" s="62" t="s">
        <v>917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990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B72" s="62"/>
      <c r="C72" s="63" t="s">
        <v>201</v>
      </c>
      <c r="D72" s="62" t="s">
        <v>918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991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992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993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994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995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996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997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1355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998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999</v>
      </c>
      <c r="L80" s="57">
        <f t="shared" si="11"/>
        <v>15</v>
      </c>
      <c r="M80" s="17">
        <f t="shared" si="9"/>
        <v>15</v>
      </c>
      <c r="N80" s="18">
        <f t="shared" si="10"/>
        <v>0.5</v>
      </c>
      <c r="O80" s="27"/>
      <c r="P80" s="8" t="s">
        <v>1355</v>
      </c>
      <c r="Q80" s="8" t="s">
        <v>1355</v>
      </c>
      <c r="R80" s="8" t="s">
        <v>1355</v>
      </c>
      <c r="S80" s="27" t="s">
        <v>1355</v>
      </c>
      <c r="T80" s="27" t="s">
        <v>1355</v>
      </c>
      <c r="U80" s="8" t="s">
        <v>1355</v>
      </c>
      <c r="V80" s="8" t="s">
        <v>1355</v>
      </c>
      <c r="W80" s="8" t="s">
        <v>1355</v>
      </c>
      <c r="X80" s="27" t="s">
        <v>1355</v>
      </c>
      <c r="Y80" s="27" t="s">
        <v>1355</v>
      </c>
      <c r="Z80" s="27" t="s">
        <v>1355</v>
      </c>
      <c r="AA80" s="27" t="s">
        <v>1355</v>
      </c>
      <c r="AB80" s="27" t="s">
        <v>1355</v>
      </c>
      <c r="AC80" s="27" t="s">
        <v>1355</v>
      </c>
      <c r="AD80" s="27" t="s">
        <v>1355</v>
      </c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1000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1001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1002</v>
      </c>
      <c r="L83" s="57">
        <f t="shared" si="11"/>
        <v>16</v>
      </c>
      <c r="M83" s="17">
        <f t="shared" si="9"/>
        <v>14</v>
      </c>
      <c r="N83" s="18">
        <f t="shared" si="10"/>
        <v>0.53333333333333333</v>
      </c>
      <c r="O83" s="27" t="s">
        <v>1355</v>
      </c>
      <c r="P83" s="8" t="s">
        <v>1355</v>
      </c>
      <c r="Q83" s="8" t="s">
        <v>1355</v>
      </c>
      <c r="R83" s="8" t="s">
        <v>1355</v>
      </c>
      <c r="S83" s="27" t="s">
        <v>1355</v>
      </c>
      <c r="T83" s="27" t="s">
        <v>1355</v>
      </c>
      <c r="U83" s="8" t="s">
        <v>1355</v>
      </c>
      <c r="V83" s="8" t="s">
        <v>1355</v>
      </c>
      <c r="W83" s="8"/>
      <c r="X83" s="27" t="s">
        <v>1355</v>
      </c>
      <c r="Y83" s="27" t="s">
        <v>1355</v>
      </c>
      <c r="Z83" s="27" t="s">
        <v>1355</v>
      </c>
      <c r="AA83" s="27" t="s">
        <v>1355</v>
      </c>
      <c r="AB83" s="27" t="s">
        <v>1355</v>
      </c>
      <c r="AC83" s="27" t="s">
        <v>1355</v>
      </c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1003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1355</v>
      </c>
      <c r="P84" s="8" t="s">
        <v>1355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1004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1005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1008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1021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1340</v>
      </c>
      <c r="L89" s="57">
        <f t="shared" si="11"/>
        <v>21</v>
      </c>
      <c r="M89" s="17">
        <f t="shared" si="9"/>
        <v>9</v>
      </c>
      <c r="N89" s="18">
        <f t="shared" si="10"/>
        <v>0.7</v>
      </c>
      <c r="O89" s="27"/>
      <c r="P89" s="8"/>
      <c r="Q89" s="8"/>
      <c r="R89" s="8"/>
      <c r="S89" s="27"/>
      <c r="T89" s="27"/>
      <c r="U89" s="8" t="s">
        <v>1355</v>
      </c>
      <c r="V89" s="8" t="s">
        <v>1355</v>
      </c>
      <c r="W89" s="8" t="s">
        <v>1355</v>
      </c>
      <c r="X89" s="27" t="s">
        <v>1355</v>
      </c>
      <c r="Y89" s="27" t="s">
        <v>1355</v>
      </c>
      <c r="Z89" s="27" t="s">
        <v>1355</v>
      </c>
      <c r="AA89" s="27" t="s">
        <v>1355</v>
      </c>
      <c r="AB89" s="27" t="s">
        <v>1355</v>
      </c>
      <c r="AC89" s="27" t="s">
        <v>1355</v>
      </c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1022</v>
      </c>
      <c r="L90" s="57">
        <f t="shared" si="11"/>
        <v>19</v>
      </c>
      <c r="M90" s="17">
        <f t="shared" si="9"/>
        <v>11</v>
      </c>
      <c r="N90" s="18">
        <f t="shared" si="10"/>
        <v>0.6333333333333333</v>
      </c>
      <c r="O90" s="27" t="s">
        <v>1355</v>
      </c>
      <c r="P90" s="8"/>
      <c r="Q90" s="8" t="s">
        <v>1355</v>
      </c>
      <c r="R90" s="8"/>
      <c r="S90" s="27"/>
      <c r="T90" s="27"/>
      <c r="U90" s="8" t="s">
        <v>1355</v>
      </c>
      <c r="V90" s="8" t="s">
        <v>1355</v>
      </c>
      <c r="W90" s="8" t="s">
        <v>1355</v>
      </c>
      <c r="X90" s="27" t="s">
        <v>1355</v>
      </c>
      <c r="Y90" s="27" t="s">
        <v>1355</v>
      </c>
      <c r="Z90" s="27" t="s">
        <v>1355</v>
      </c>
      <c r="AA90" s="27" t="s">
        <v>1355</v>
      </c>
      <c r="AB90" s="27" t="s">
        <v>1355</v>
      </c>
      <c r="AC90" s="27" t="s">
        <v>1355</v>
      </c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1026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1027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1028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1032</v>
      </c>
      <c r="L94" s="57">
        <f t="shared" si="11"/>
        <v>20</v>
      </c>
      <c r="M94" s="17">
        <f t="shared" si="9"/>
        <v>10</v>
      </c>
      <c r="N94" s="18">
        <f t="shared" si="10"/>
        <v>0.66666666666666663</v>
      </c>
      <c r="O94" s="27" t="s">
        <v>1355</v>
      </c>
      <c r="P94" s="8" t="s">
        <v>1355</v>
      </c>
      <c r="Q94" s="8" t="s">
        <v>1355</v>
      </c>
      <c r="R94" s="8" t="s">
        <v>1355</v>
      </c>
      <c r="S94" s="27" t="s">
        <v>1355</v>
      </c>
      <c r="T94" s="27" t="s">
        <v>1355</v>
      </c>
      <c r="U94" s="8"/>
      <c r="V94" s="8"/>
      <c r="W94" s="8"/>
      <c r="X94" s="27" t="s">
        <v>1355</v>
      </c>
      <c r="Y94" s="27" t="s">
        <v>1355</v>
      </c>
      <c r="Z94" s="27" t="s">
        <v>1355</v>
      </c>
      <c r="AA94" s="27" t="s">
        <v>1355</v>
      </c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1033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1034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1035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1036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1037</v>
      </c>
      <c r="L99" s="57">
        <f t="shared" si="11"/>
        <v>21</v>
      </c>
      <c r="M99" s="17">
        <f t="shared" si="9"/>
        <v>9</v>
      </c>
      <c r="N99" s="18">
        <f t="shared" si="10"/>
        <v>0.7</v>
      </c>
      <c r="O99" s="27" t="s">
        <v>1355</v>
      </c>
      <c r="P99" s="8" t="s">
        <v>1355</v>
      </c>
      <c r="Q99" s="8" t="s">
        <v>1355</v>
      </c>
      <c r="R99" s="8" t="s">
        <v>1355</v>
      </c>
      <c r="S99" s="27" t="s">
        <v>1355</v>
      </c>
      <c r="T99" s="27" t="s">
        <v>1355</v>
      </c>
      <c r="U99" s="8"/>
      <c r="V99" s="8"/>
      <c r="W99" s="8"/>
      <c r="X99" s="27" t="s">
        <v>1355</v>
      </c>
      <c r="Y99" s="27" t="s">
        <v>1355</v>
      </c>
      <c r="Z99" s="27"/>
      <c r="AA99" s="27" t="s">
        <v>1355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1038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937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1039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1040</v>
      </c>
      <c r="L102" s="57">
        <f t="shared" si="11"/>
        <v>29</v>
      </c>
      <c r="M102" s="17">
        <f t="shared" si="9"/>
        <v>1</v>
      </c>
      <c r="N102" s="18">
        <f t="shared" si="10"/>
        <v>0.96666666666666667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 t="s">
        <v>1355</v>
      </c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1041</v>
      </c>
      <c r="L103" s="57">
        <f t="shared" si="11"/>
        <v>29</v>
      </c>
      <c r="M103" s="17">
        <f t="shared" si="9"/>
        <v>1</v>
      </c>
      <c r="N103" s="18">
        <f t="shared" si="10"/>
        <v>0.96666666666666667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 t="s">
        <v>1355</v>
      </c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942</v>
      </c>
      <c r="G104"/>
      <c r="H104" t="s">
        <v>285</v>
      </c>
      <c r="I104" s="16">
        <v>-347971580000</v>
      </c>
      <c r="J104" s="16">
        <v>-583070820000</v>
      </c>
      <c r="K104" s="16" t="s">
        <v>1042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1355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942</v>
      </c>
      <c r="G105"/>
      <c r="H105" t="s">
        <v>287</v>
      </c>
      <c r="I105" s="16">
        <v>-347971580000</v>
      </c>
      <c r="J105" s="16">
        <v>-583070820000</v>
      </c>
      <c r="K105" s="16" t="s">
        <v>1043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1355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1044</v>
      </c>
      <c r="L106" s="57">
        <f t="shared" si="11"/>
        <v>22</v>
      </c>
      <c r="M106" s="17">
        <f t="shared" si="9"/>
        <v>8</v>
      </c>
      <c r="N106" s="18">
        <f t="shared" si="10"/>
        <v>0.73333333333333328</v>
      </c>
      <c r="O106" s="27" t="s">
        <v>1355</v>
      </c>
      <c r="P106" s="8" t="s">
        <v>1355</v>
      </c>
      <c r="Q106" s="8" t="s">
        <v>1355</v>
      </c>
      <c r="R106" s="8" t="s">
        <v>1355</v>
      </c>
      <c r="S106" s="27" t="s">
        <v>1355</v>
      </c>
      <c r="T106" s="27" t="s">
        <v>1355</v>
      </c>
      <c r="U106" s="8" t="s">
        <v>1355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 t="s">
        <v>1355</v>
      </c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1045</v>
      </c>
      <c r="L107" s="57">
        <f t="shared" si="11"/>
        <v>22</v>
      </c>
      <c r="M107" s="17">
        <f t="shared" si="9"/>
        <v>8</v>
      </c>
      <c r="N107" s="18">
        <f t="shared" si="10"/>
        <v>0.73333333333333328</v>
      </c>
      <c r="O107" s="27" t="s">
        <v>1355</v>
      </c>
      <c r="P107" s="8" t="s">
        <v>1355</v>
      </c>
      <c r="Q107" s="8" t="s">
        <v>1355</v>
      </c>
      <c r="R107" s="8" t="s">
        <v>1355</v>
      </c>
      <c r="S107" s="27" t="s">
        <v>1355</v>
      </c>
      <c r="T107" s="27" t="s">
        <v>1355</v>
      </c>
      <c r="U107" s="8" t="s">
        <v>1355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 t="s">
        <v>1355</v>
      </c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1046</v>
      </c>
      <c r="L108" s="57">
        <f t="shared" si="11"/>
        <v>22</v>
      </c>
      <c r="M108" s="17">
        <f t="shared" si="9"/>
        <v>8</v>
      </c>
      <c r="N108" s="18">
        <f t="shared" si="10"/>
        <v>0.73333333333333328</v>
      </c>
      <c r="O108" s="27" t="s">
        <v>1355</v>
      </c>
      <c r="P108" s="8" t="s">
        <v>1355</v>
      </c>
      <c r="Q108" s="8" t="s">
        <v>1355</v>
      </c>
      <c r="R108" s="8" t="s">
        <v>1355</v>
      </c>
      <c r="S108" s="27" t="s">
        <v>1355</v>
      </c>
      <c r="T108" s="27" t="s">
        <v>1355</v>
      </c>
      <c r="U108" s="8" t="s">
        <v>1355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 t="s">
        <v>1355</v>
      </c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1047</v>
      </c>
      <c r="L109" s="57">
        <f t="shared" si="11"/>
        <v>22</v>
      </c>
      <c r="M109" s="17">
        <f t="shared" si="9"/>
        <v>8</v>
      </c>
      <c r="N109" s="18">
        <f t="shared" si="10"/>
        <v>0.73333333333333328</v>
      </c>
      <c r="O109" s="27" t="s">
        <v>1355</v>
      </c>
      <c r="P109" s="8" t="s">
        <v>1355</v>
      </c>
      <c r="Q109" s="8" t="s">
        <v>1355</v>
      </c>
      <c r="R109" s="8" t="s">
        <v>1355</v>
      </c>
      <c r="S109" s="27" t="s">
        <v>1355</v>
      </c>
      <c r="T109" s="27" t="s">
        <v>1355</v>
      </c>
      <c r="U109" s="8" t="s">
        <v>1355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 t="s">
        <v>1355</v>
      </c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942</v>
      </c>
      <c r="G110"/>
      <c r="H110" t="s">
        <v>303</v>
      </c>
      <c r="I110" s="16">
        <v>-348185740000</v>
      </c>
      <c r="J110" s="16">
        <v>-582866380000</v>
      </c>
      <c r="K110" s="16" t="s">
        <v>1054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300</v>
      </c>
      <c r="B111" s="62"/>
      <c r="C111" s="63" t="s">
        <v>304</v>
      </c>
      <c r="D111" s="62" t="s">
        <v>305</v>
      </c>
      <c r="E111" t="s">
        <v>73</v>
      </c>
      <c r="F111" t="s">
        <v>25</v>
      </c>
      <c r="G111"/>
      <c r="H111" t="s">
        <v>306</v>
      </c>
      <c r="I111" s="16">
        <v>-348166000000</v>
      </c>
      <c r="J111" s="16">
        <v>-582800440000</v>
      </c>
      <c r="K111" s="16" t="s">
        <v>1055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300</v>
      </c>
      <c r="B112" s="62"/>
      <c r="C112" s="63" t="s">
        <v>307</v>
      </c>
      <c r="D112" s="62" t="s">
        <v>308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1048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309</v>
      </c>
      <c r="B113" s="62"/>
      <c r="C113" s="63" t="s">
        <v>310</v>
      </c>
      <c r="D113" s="62" t="s">
        <v>311</v>
      </c>
      <c r="E113" t="s">
        <v>24</v>
      </c>
      <c r="F113" t="s">
        <v>942</v>
      </c>
      <c r="G113" t="s">
        <v>150</v>
      </c>
      <c r="H113"/>
      <c r="I113" s="16">
        <v>-348125000000</v>
      </c>
      <c r="J113" s="16">
        <v>-582916650000</v>
      </c>
      <c r="K113" s="16" t="s">
        <v>1049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312</v>
      </c>
      <c r="B114" s="62"/>
      <c r="C114" s="63" t="s">
        <v>313</v>
      </c>
      <c r="D114" s="62" t="s">
        <v>314</v>
      </c>
      <c r="E114" t="s">
        <v>19</v>
      </c>
      <c r="F114" t="s">
        <v>942</v>
      </c>
      <c r="G114" t="s">
        <v>315</v>
      </c>
      <c r="H114"/>
      <c r="I114" s="16">
        <v>-348215020000</v>
      </c>
      <c r="J114" s="16">
        <v>-582844880000</v>
      </c>
      <c r="K114" s="16" t="s">
        <v>1050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300</v>
      </c>
      <c r="B115" s="62"/>
      <c r="C115" s="63" t="s">
        <v>316</v>
      </c>
      <c r="D115" s="62" t="s">
        <v>317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1051</v>
      </c>
      <c r="L115" s="57">
        <f t="shared" si="11"/>
        <v>14</v>
      </c>
      <c r="M115" s="17">
        <f t="shared" si="9"/>
        <v>16</v>
      </c>
      <c r="N115" s="18">
        <f t="shared" si="10"/>
        <v>0.46666666666666667</v>
      </c>
      <c r="O115" s="27" t="s">
        <v>1355</v>
      </c>
      <c r="P115" s="8" t="s">
        <v>1355</v>
      </c>
      <c r="Q115" s="8" t="s">
        <v>1355</v>
      </c>
      <c r="R115" s="8" t="s">
        <v>1355</v>
      </c>
      <c r="S115" s="27" t="s">
        <v>1355</v>
      </c>
      <c r="T115" s="27" t="s">
        <v>1355</v>
      </c>
      <c r="U115" s="8" t="s">
        <v>1355</v>
      </c>
      <c r="V115" s="8" t="s">
        <v>1355</v>
      </c>
      <c r="W115" s="8" t="s">
        <v>1355</v>
      </c>
      <c r="X115" s="27" t="s">
        <v>1355</v>
      </c>
      <c r="Y115" s="27" t="s">
        <v>1355</v>
      </c>
      <c r="Z115" s="27" t="s">
        <v>1355</v>
      </c>
      <c r="AA115" s="27" t="s">
        <v>1355</v>
      </c>
      <c r="AB115" s="27" t="s">
        <v>1355</v>
      </c>
      <c r="AC115" s="27" t="s">
        <v>1355</v>
      </c>
      <c r="AD115" s="27" t="s">
        <v>1355</v>
      </c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300</v>
      </c>
      <c r="B116" s="62"/>
      <c r="C116" s="63" t="s">
        <v>318</v>
      </c>
      <c r="D116" s="62" t="s">
        <v>319</v>
      </c>
      <c r="E116" t="s">
        <v>24</v>
      </c>
      <c r="F116" t="s">
        <v>36</v>
      </c>
      <c r="G116" t="s">
        <v>320</v>
      </c>
      <c r="H116"/>
      <c r="I116" s="16">
        <v>-348143510000</v>
      </c>
      <c r="J116" s="16">
        <v>-582840870000</v>
      </c>
      <c r="K116" s="16" t="s">
        <v>1052</v>
      </c>
      <c r="L116" s="57">
        <f t="shared" si="11"/>
        <v>20</v>
      </c>
      <c r="M116" s="17">
        <f t="shared" si="9"/>
        <v>10</v>
      </c>
      <c r="N116" s="18">
        <f t="shared" si="10"/>
        <v>0.66666666666666663</v>
      </c>
      <c r="O116" s="27" t="s">
        <v>1355</v>
      </c>
      <c r="P116" s="8" t="s">
        <v>1355</v>
      </c>
      <c r="Q116" s="8" t="s">
        <v>1355</v>
      </c>
      <c r="R116" s="8" t="s">
        <v>1355</v>
      </c>
      <c r="S116" s="27" t="s">
        <v>1355</v>
      </c>
      <c r="T116" s="27" t="s">
        <v>1355</v>
      </c>
      <c r="U116" s="8" t="s">
        <v>1355</v>
      </c>
      <c r="V116" s="8" t="s">
        <v>1355</v>
      </c>
      <c r="W116" s="8" t="s">
        <v>1355</v>
      </c>
      <c r="X116" s="27" t="s">
        <v>1355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300</v>
      </c>
      <c r="B117" s="62"/>
      <c r="C117" s="63" t="s">
        <v>321</v>
      </c>
      <c r="D117" s="62" t="s">
        <v>322</v>
      </c>
      <c r="E117" t="s">
        <v>24</v>
      </c>
      <c r="F117" t="s">
        <v>25</v>
      </c>
      <c r="G117" t="s">
        <v>323</v>
      </c>
      <c r="H117"/>
      <c r="I117" s="16">
        <v>-348122180000</v>
      </c>
      <c r="J117" s="16">
        <v>-582880340000</v>
      </c>
      <c r="K117" s="16" t="s">
        <v>1053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300</v>
      </c>
      <c r="B118" s="62"/>
      <c r="C118" s="63" t="s">
        <v>324</v>
      </c>
      <c r="D118" s="62" t="s">
        <v>325</v>
      </c>
      <c r="E118" t="s">
        <v>113</v>
      </c>
      <c r="F118" t="s">
        <v>36</v>
      </c>
      <c r="G118"/>
      <c r="H118" t="s">
        <v>326</v>
      </c>
      <c r="I118" s="16">
        <v>-348119540000</v>
      </c>
      <c r="J118" s="16">
        <v>-582824360000</v>
      </c>
      <c r="K118" s="16" t="s">
        <v>1056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300</v>
      </c>
      <c r="B119" s="62"/>
      <c r="C119" s="63" t="s">
        <v>327</v>
      </c>
      <c r="D119" s="62" t="s">
        <v>325</v>
      </c>
      <c r="E119" t="s">
        <v>113</v>
      </c>
      <c r="F119" t="s">
        <v>36</v>
      </c>
      <c r="G119"/>
      <c r="H119" t="s">
        <v>328</v>
      </c>
      <c r="I119" s="16">
        <v>-348119550000</v>
      </c>
      <c r="J119" s="16">
        <v>-582824410000</v>
      </c>
      <c r="K119" s="16" t="s">
        <v>1057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300</v>
      </c>
      <c r="B120" s="62"/>
      <c r="C120" s="63" t="s">
        <v>329</v>
      </c>
      <c r="D120" s="62" t="s">
        <v>330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1024</v>
      </c>
      <c r="L120" s="57">
        <f t="shared" si="11"/>
        <v>12</v>
      </c>
      <c r="M120" s="17">
        <f t="shared" si="9"/>
        <v>18</v>
      </c>
      <c r="N120" s="18">
        <f t="shared" si="10"/>
        <v>0.4</v>
      </c>
      <c r="O120" s="27" t="s">
        <v>1355</v>
      </c>
      <c r="P120" s="8" t="s">
        <v>1355</v>
      </c>
      <c r="Q120" s="8" t="s">
        <v>1355</v>
      </c>
      <c r="R120" s="8" t="s">
        <v>1355</v>
      </c>
      <c r="S120" s="27" t="s">
        <v>1355</v>
      </c>
      <c r="T120" s="27" t="s">
        <v>1355</v>
      </c>
      <c r="U120" s="8" t="s">
        <v>1355</v>
      </c>
      <c r="V120" s="8" t="s">
        <v>1355</v>
      </c>
      <c r="W120" s="8" t="s">
        <v>1355</v>
      </c>
      <c r="X120" s="27" t="s">
        <v>1355</v>
      </c>
      <c r="Y120" s="27" t="s">
        <v>1355</v>
      </c>
      <c r="Z120" s="27" t="s">
        <v>1355</v>
      </c>
      <c r="AA120" s="27" t="s">
        <v>1355</v>
      </c>
      <c r="AB120" s="27" t="s">
        <v>1355</v>
      </c>
      <c r="AC120" s="27" t="s">
        <v>1355</v>
      </c>
      <c r="AD120" s="27" t="s">
        <v>1355</v>
      </c>
      <c r="AE120" s="27"/>
      <c r="AF120" s="27" t="s">
        <v>1355</v>
      </c>
      <c r="AG120" s="27" t="s">
        <v>1355</v>
      </c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300</v>
      </c>
      <c r="B121" s="62"/>
      <c r="C121" s="63" t="s">
        <v>331</v>
      </c>
      <c r="D121" s="62" t="s">
        <v>330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1025</v>
      </c>
      <c r="L121" s="57">
        <f t="shared" si="11"/>
        <v>12</v>
      </c>
      <c r="M121" s="17">
        <f t="shared" si="9"/>
        <v>18</v>
      </c>
      <c r="N121" s="18">
        <f t="shared" si="10"/>
        <v>0.4</v>
      </c>
      <c r="O121" s="27" t="s">
        <v>1355</v>
      </c>
      <c r="P121" s="8" t="s">
        <v>1355</v>
      </c>
      <c r="Q121" s="8" t="s">
        <v>1355</v>
      </c>
      <c r="R121" s="8" t="s">
        <v>1355</v>
      </c>
      <c r="S121" s="27" t="s">
        <v>1355</v>
      </c>
      <c r="T121" s="27" t="s">
        <v>1355</v>
      </c>
      <c r="U121" s="8" t="s">
        <v>1355</v>
      </c>
      <c r="V121" s="8" t="s">
        <v>1355</v>
      </c>
      <c r="W121" s="8" t="s">
        <v>1355</v>
      </c>
      <c r="X121" s="27" t="s">
        <v>1355</v>
      </c>
      <c r="Y121" s="27" t="s">
        <v>1355</v>
      </c>
      <c r="Z121" s="27" t="s">
        <v>1355</v>
      </c>
      <c r="AA121" s="27" t="s">
        <v>1355</v>
      </c>
      <c r="AB121" s="27" t="s">
        <v>1355</v>
      </c>
      <c r="AC121" s="27" t="s">
        <v>1355</v>
      </c>
      <c r="AD121" s="27" t="s">
        <v>1355</v>
      </c>
      <c r="AE121" s="27"/>
      <c r="AF121" s="27" t="s">
        <v>1355</v>
      </c>
      <c r="AG121" s="27" t="s">
        <v>1355</v>
      </c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332</v>
      </c>
      <c r="B122" s="62"/>
      <c r="C122" s="63" t="s">
        <v>333</v>
      </c>
      <c r="D122" s="62" t="s">
        <v>334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1059</v>
      </c>
      <c r="L122" s="57">
        <f t="shared" si="11"/>
        <v>22</v>
      </c>
      <c r="M122" s="17">
        <f t="shared" si="9"/>
        <v>8</v>
      </c>
      <c r="N122" s="18">
        <f t="shared" si="10"/>
        <v>0.73333333333333328</v>
      </c>
      <c r="O122" s="27" t="s">
        <v>1355</v>
      </c>
      <c r="P122" s="8" t="s">
        <v>1355</v>
      </c>
      <c r="Q122" s="8" t="s">
        <v>1355</v>
      </c>
      <c r="R122" s="8" t="s">
        <v>1355</v>
      </c>
      <c r="S122" s="27" t="s">
        <v>1355</v>
      </c>
      <c r="T122" s="27" t="s">
        <v>1355</v>
      </c>
      <c r="U122" s="8" t="s">
        <v>1355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 t="s">
        <v>1355</v>
      </c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332</v>
      </c>
      <c r="B123" s="62"/>
      <c r="C123" s="63" t="s">
        <v>335</v>
      </c>
      <c r="D123" s="62" t="s">
        <v>336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1060</v>
      </c>
      <c r="L123" s="57">
        <f t="shared" si="11"/>
        <v>22</v>
      </c>
      <c r="M123" s="17">
        <f t="shared" si="9"/>
        <v>8</v>
      </c>
      <c r="N123" s="18">
        <f t="shared" si="10"/>
        <v>0.73333333333333328</v>
      </c>
      <c r="O123" s="27" t="s">
        <v>1355</v>
      </c>
      <c r="P123" s="8" t="s">
        <v>1355</v>
      </c>
      <c r="Q123" s="8" t="s">
        <v>1355</v>
      </c>
      <c r="R123" s="8" t="s">
        <v>1355</v>
      </c>
      <c r="S123" s="27" t="s">
        <v>1355</v>
      </c>
      <c r="T123" s="27" t="s">
        <v>1355</v>
      </c>
      <c r="U123" s="8" t="s">
        <v>1355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 t="s">
        <v>1355</v>
      </c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337</v>
      </c>
      <c r="B124" s="62"/>
      <c r="C124" s="63" t="s">
        <v>338</v>
      </c>
      <c r="D124" s="62" t="s">
        <v>339</v>
      </c>
      <c r="E124" t="s">
        <v>19</v>
      </c>
      <c r="F124" t="s">
        <v>36</v>
      </c>
      <c r="G124"/>
      <c r="H124" t="s">
        <v>340</v>
      </c>
      <c r="I124" s="16">
        <v>-348252070000</v>
      </c>
      <c r="J124" s="16">
        <v>-582467880000</v>
      </c>
      <c r="K124" s="16" t="s">
        <v>1061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1355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341</v>
      </c>
      <c r="B125" s="62"/>
      <c r="C125" s="63" t="s">
        <v>342</v>
      </c>
      <c r="D125" s="62" t="s">
        <v>343</v>
      </c>
      <c r="E125" t="s">
        <v>19</v>
      </c>
      <c r="F125" t="s">
        <v>25</v>
      </c>
      <c r="G125"/>
      <c r="H125" t="s">
        <v>344</v>
      </c>
      <c r="I125" s="16">
        <v>-348066790000</v>
      </c>
      <c r="J125" s="16">
        <v>-583015690000</v>
      </c>
      <c r="K125" s="16" t="s">
        <v>1068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1355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341</v>
      </c>
      <c r="B126" s="62"/>
      <c r="C126" s="63" t="s">
        <v>345</v>
      </c>
      <c r="D126" s="62" t="s">
        <v>346</v>
      </c>
      <c r="E126" t="s">
        <v>19</v>
      </c>
      <c r="F126" t="s">
        <v>25</v>
      </c>
      <c r="G126"/>
      <c r="H126" t="s">
        <v>347</v>
      </c>
      <c r="I126" s="16">
        <v>-348074220000</v>
      </c>
      <c r="J126" s="16">
        <v>-582975280000</v>
      </c>
      <c r="K126" s="16" t="s">
        <v>1069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341</v>
      </c>
      <c r="B127" s="62"/>
      <c r="C127" s="63" t="s">
        <v>348</v>
      </c>
      <c r="D127" s="62" t="s">
        <v>349</v>
      </c>
      <c r="E127" t="s">
        <v>19</v>
      </c>
      <c r="F127" t="s">
        <v>25</v>
      </c>
      <c r="G127"/>
      <c r="H127" t="s">
        <v>350</v>
      </c>
      <c r="I127" s="16">
        <v>-348076100000</v>
      </c>
      <c r="J127" s="16">
        <v>-582957320000</v>
      </c>
      <c r="K127" s="16" t="s">
        <v>1070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341</v>
      </c>
      <c r="B128" s="62"/>
      <c r="C128" s="63" t="s">
        <v>351</v>
      </c>
      <c r="D128" s="62" t="s">
        <v>352</v>
      </c>
      <c r="E128" t="s">
        <v>19</v>
      </c>
      <c r="F128" t="s">
        <v>25</v>
      </c>
      <c r="G128"/>
      <c r="H128" t="s">
        <v>353</v>
      </c>
      <c r="I128" s="16">
        <v>-348075900000</v>
      </c>
      <c r="J128" s="16">
        <v>-582968630000</v>
      </c>
      <c r="K128" s="16" t="s">
        <v>1071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341</v>
      </c>
      <c r="B129" s="62"/>
      <c r="C129" s="63" t="s">
        <v>354</v>
      </c>
      <c r="D129" s="62" t="s">
        <v>355</v>
      </c>
      <c r="E129" t="s">
        <v>113</v>
      </c>
      <c r="F129" t="s">
        <v>942</v>
      </c>
      <c r="G129"/>
      <c r="H129" t="s">
        <v>296</v>
      </c>
      <c r="I129" s="16">
        <v>-348034360000</v>
      </c>
      <c r="J129" s="16">
        <v>-583009630000</v>
      </c>
      <c r="K129" s="16" t="s">
        <v>1073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341</v>
      </c>
      <c r="B130" s="62"/>
      <c r="C130" s="63" t="s">
        <v>356</v>
      </c>
      <c r="D130" s="62" t="s">
        <v>355</v>
      </c>
      <c r="E130" t="s">
        <v>113</v>
      </c>
      <c r="F130" t="s">
        <v>942</v>
      </c>
      <c r="G130"/>
      <c r="H130" t="s">
        <v>296</v>
      </c>
      <c r="I130" s="16">
        <v>-348034540000</v>
      </c>
      <c r="J130" s="16">
        <v>-583010170000</v>
      </c>
      <c r="K130" s="16" t="s">
        <v>1074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357</v>
      </c>
      <c r="B131" s="62"/>
      <c r="C131" s="63" t="s">
        <v>358</v>
      </c>
      <c r="D131" s="62" t="s">
        <v>359</v>
      </c>
      <c r="E131" t="s">
        <v>19</v>
      </c>
      <c r="F131" t="s">
        <v>25</v>
      </c>
      <c r="G131" t="s">
        <v>360</v>
      </c>
      <c r="H131"/>
      <c r="I131" s="16">
        <v>-348074000000</v>
      </c>
      <c r="J131" s="16">
        <v>-583095340000</v>
      </c>
      <c r="K131" s="16" t="s">
        <v>1062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260</v>
      </c>
      <c r="B132" s="62"/>
      <c r="C132" s="63" t="s">
        <v>361</v>
      </c>
      <c r="D132" s="62" t="s">
        <v>362</v>
      </c>
      <c r="E132" t="s">
        <v>24</v>
      </c>
      <c r="F132" t="s">
        <v>25</v>
      </c>
      <c r="G132" t="s">
        <v>363</v>
      </c>
      <c r="H132"/>
      <c r="I132" s="16">
        <v>-348084650000</v>
      </c>
      <c r="J132" s="16">
        <v>-582948520000</v>
      </c>
      <c r="K132" s="16" t="s">
        <v>1063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341</v>
      </c>
      <c r="B133" s="62"/>
      <c r="C133" s="63" t="s">
        <v>364</v>
      </c>
      <c r="D133" s="62" t="s">
        <v>365</v>
      </c>
      <c r="E133" t="s">
        <v>24</v>
      </c>
      <c r="F133" t="s">
        <v>25</v>
      </c>
      <c r="G133" t="s">
        <v>366</v>
      </c>
      <c r="H133"/>
      <c r="I133" s="16">
        <v>-348022280000</v>
      </c>
      <c r="J133" s="16">
        <v>-583005700000</v>
      </c>
      <c r="K133" s="16" t="s">
        <v>1064</v>
      </c>
      <c r="L133" s="57">
        <f t="shared" si="11"/>
        <v>13</v>
      </c>
      <c r="M133" s="17">
        <f t="shared" ref="M133:M196" si="12">COUNTIF(O133:AP133,"APAGADO")</f>
        <v>17</v>
      </c>
      <c r="N133" s="18">
        <f t="shared" ref="N133:N196" si="13">(L133)/(M133+L133)</f>
        <v>0.43333333333333335</v>
      </c>
      <c r="O133" s="27" t="s">
        <v>1355</v>
      </c>
      <c r="P133" s="8" t="s">
        <v>1355</v>
      </c>
      <c r="Q133" s="8" t="s">
        <v>1355</v>
      </c>
      <c r="R133" s="8" t="s">
        <v>1355</v>
      </c>
      <c r="S133" s="27" t="s">
        <v>1355</v>
      </c>
      <c r="T133" s="27" t="s">
        <v>1355</v>
      </c>
      <c r="U133" s="8" t="s">
        <v>1355</v>
      </c>
      <c r="V133" s="8" t="s">
        <v>1355</v>
      </c>
      <c r="W133" s="8" t="s">
        <v>1355</v>
      </c>
      <c r="X133" s="27" t="s">
        <v>1355</v>
      </c>
      <c r="Y133" s="27" t="s">
        <v>1355</v>
      </c>
      <c r="Z133" s="27"/>
      <c r="AA133" s="27" t="s">
        <v>1355</v>
      </c>
      <c r="AB133" s="27" t="s">
        <v>1355</v>
      </c>
      <c r="AC133" s="27" t="s">
        <v>1355</v>
      </c>
      <c r="AD133" s="27" t="s">
        <v>1355</v>
      </c>
      <c r="AE133" s="27"/>
      <c r="AF133" s="27" t="s">
        <v>1355</v>
      </c>
      <c r="AG133" s="27" t="s">
        <v>1355</v>
      </c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341</v>
      </c>
      <c r="B134" s="62"/>
      <c r="C134" s="63" t="s">
        <v>367</v>
      </c>
      <c r="D134" s="62" t="s">
        <v>368</v>
      </c>
      <c r="E134" t="s">
        <v>24</v>
      </c>
      <c r="F134" t="s">
        <v>25</v>
      </c>
      <c r="G134" t="s">
        <v>369</v>
      </c>
      <c r="H134"/>
      <c r="I134" s="16">
        <v>-348079900000</v>
      </c>
      <c r="J134" s="16">
        <v>-583023830000</v>
      </c>
      <c r="K134" s="16" t="s">
        <v>1065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341</v>
      </c>
      <c r="B135" s="62"/>
      <c r="C135" s="63" t="s">
        <v>370</v>
      </c>
      <c r="D135" s="62" t="s">
        <v>371</v>
      </c>
      <c r="E135" t="s">
        <v>24</v>
      </c>
      <c r="F135" t="s">
        <v>25</v>
      </c>
      <c r="G135" t="s">
        <v>360</v>
      </c>
      <c r="H135"/>
      <c r="I135" s="16">
        <v>-348085620000</v>
      </c>
      <c r="J135" s="16">
        <v>-582997660000</v>
      </c>
      <c r="K135" s="16" t="s">
        <v>1066</v>
      </c>
      <c r="L135" s="57">
        <f t="shared" si="14"/>
        <v>22</v>
      </c>
      <c r="M135" s="17">
        <f t="shared" si="12"/>
        <v>8</v>
      </c>
      <c r="N135" s="18">
        <f t="shared" si="13"/>
        <v>0.73333333333333328</v>
      </c>
      <c r="O135" s="27" t="s">
        <v>1355</v>
      </c>
      <c r="P135" s="8" t="s">
        <v>1355</v>
      </c>
      <c r="Q135" s="8" t="s">
        <v>1355</v>
      </c>
      <c r="R135" s="8" t="s">
        <v>1355</v>
      </c>
      <c r="S135" s="27" t="s">
        <v>1355</v>
      </c>
      <c r="T135" s="27" t="s">
        <v>1355</v>
      </c>
      <c r="U135" s="8" t="s">
        <v>1355</v>
      </c>
      <c r="V135" s="8" t="s">
        <v>1355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341</v>
      </c>
      <c r="B136" s="62"/>
      <c r="C136" s="63" t="s">
        <v>372</v>
      </c>
      <c r="D136" s="62" t="s">
        <v>373</v>
      </c>
      <c r="E136" t="s">
        <v>19</v>
      </c>
      <c r="F136" t="s">
        <v>25</v>
      </c>
      <c r="G136" t="s">
        <v>374</v>
      </c>
      <c r="H136"/>
      <c r="I136" s="16">
        <v>-348070910000</v>
      </c>
      <c r="J136" s="16">
        <v>-583063750000</v>
      </c>
      <c r="K136" s="16" t="s">
        <v>1067</v>
      </c>
      <c r="L136" s="57">
        <f t="shared" si="14"/>
        <v>29</v>
      </c>
      <c r="M136" s="17">
        <f t="shared" si="12"/>
        <v>1</v>
      </c>
      <c r="N136" s="18">
        <f t="shared" si="13"/>
        <v>0.96666666666666667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 t="s">
        <v>1355</v>
      </c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341</v>
      </c>
      <c r="B137" s="62"/>
      <c r="C137" s="63" t="s">
        <v>375</v>
      </c>
      <c r="D137" s="62" t="s">
        <v>376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1072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341</v>
      </c>
      <c r="B138" s="62"/>
      <c r="C138" s="63" t="s">
        <v>377</v>
      </c>
      <c r="D138" s="62" t="s">
        <v>378</v>
      </c>
      <c r="E138" t="s">
        <v>113</v>
      </c>
      <c r="F138" t="s">
        <v>942</v>
      </c>
      <c r="G138"/>
      <c r="H138" t="s">
        <v>379</v>
      </c>
      <c r="I138" s="16">
        <v>-348053300000</v>
      </c>
      <c r="J138" s="16">
        <v>-583014930000</v>
      </c>
      <c r="K138" s="16" t="s">
        <v>1075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341</v>
      </c>
      <c r="B139" s="62"/>
      <c r="C139" s="63" t="s">
        <v>380</v>
      </c>
      <c r="D139" s="62" t="s">
        <v>378</v>
      </c>
      <c r="E139" t="s">
        <v>113</v>
      </c>
      <c r="F139" t="s">
        <v>942</v>
      </c>
      <c r="G139"/>
      <c r="H139" t="s">
        <v>381</v>
      </c>
      <c r="I139" s="16">
        <v>-348053300000</v>
      </c>
      <c r="J139" s="16">
        <v>-583014930000</v>
      </c>
      <c r="K139" s="16" t="s">
        <v>1076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341</v>
      </c>
      <c r="B140" s="62"/>
      <c r="C140" s="63" t="s">
        <v>382</v>
      </c>
      <c r="D140" s="62" t="s">
        <v>383</v>
      </c>
      <c r="E140" t="s">
        <v>113</v>
      </c>
      <c r="F140" t="s">
        <v>942</v>
      </c>
      <c r="G140"/>
      <c r="H140" t="s">
        <v>384</v>
      </c>
      <c r="I140" s="16">
        <v>-348051560000</v>
      </c>
      <c r="J140" s="16">
        <v>-583023560000</v>
      </c>
      <c r="K140" s="16" t="s">
        <v>1077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341</v>
      </c>
      <c r="B141" s="62"/>
      <c r="C141" s="63" t="s">
        <v>385</v>
      </c>
      <c r="D141" s="62" t="s">
        <v>383</v>
      </c>
      <c r="E141" t="s">
        <v>113</v>
      </c>
      <c r="F141" t="s">
        <v>942</v>
      </c>
      <c r="G141"/>
      <c r="H141" t="s">
        <v>384</v>
      </c>
      <c r="I141" s="16">
        <v>-348051560000</v>
      </c>
      <c r="J141" s="16">
        <v>-583023560000</v>
      </c>
      <c r="K141" s="16" t="s">
        <v>1078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166</v>
      </c>
      <c r="B142" s="62"/>
      <c r="C142" s="63" t="s">
        <v>386</v>
      </c>
      <c r="D142" s="62" t="s">
        <v>387</v>
      </c>
      <c r="E142" t="s">
        <v>19</v>
      </c>
      <c r="F142" t="s">
        <v>942</v>
      </c>
      <c r="G142"/>
      <c r="H142" t="s">
        <v>388</v>
      </c>
      <c r="I142" s="16">
        <v>-347976230000</v>
      </c>
      <c r="J142" s="16">
        <v>-582821290000</v>
      </c>
      <c r="K142" s="16" t="s">
        <v>1079</v>
      </c>
      <c r="L142" s="57">
        <f t="shared" si="14"/>
        <v>19</v>
      </c>
      <c r="M142" s="17">
        <f t="shared" si="12"/>
        <v>11</v>
      </c>
      <c r="N142" s="18">
        <f t="shared" si="13"/>
        <v>0.6333333333333333</v>
      </c>
      <c r="O142" s="27" t="s">
        <v>1355</v>
      </c>
      <c r="P142" s="8" t="s">
        <v>1355</v>
      </c>
      <c r="Q142" s="8" t="s">
        <v>1355</v>
      </c>
      <c r="R142" s="8" t="s">
        <v>1355</v>
      </c>
      <c r="S142" s="27" t="s">
        <v>1355</v>
      </c>
      <c r="T142" s="27" t="s">
        <v>1355</v>
      </c>
      <c r="U142" s="8" t="s">
        <v>1355</v>
      </c>
      <c r="V142" s="8"/>
      <c r="W142" s="8"/>
      <c r="X142" s="27" t="s">
        <v>1355</v>
      </c>
      <c r="Y142" s="27" t="s">
        <v>1355</v>
      </c>
      <c r="Z142" s="27" t="s">
        <v>1355</v>
      </c>
      <c r="AA142" s="27" t="s">
        <v>1355</v>
      </c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166</v>
      </c>
      <c r="B143" s="62"/>
      <c r="C143" s="63" t="s">
        <v>389</v>
      </c>
      <c r="D143" s="62" t="s">
        <v>390</v>
      </c>
      <c r="E143" t="s">
        <v>19</v>
      </c>
      <c r="F143" t="s">
        <v>942</v>
      </c>
      <c r="G143"/>
      <c r="H143" t="s">
        <v>388</v>
      </c>
      <c r="I143" s="16">
        <v>-347960180000</v>
      </c>
      <c r="J143" s="16">
        <v>-582861620000</v>
      </c>
      <c r="K143" s="16" t="s">
        <v>1080</v>
      </c>
      <c r="L143" s="57">
        <f t="shared" si="14"/>
        <v>19</v>
      </c>
      <c r="M143" s="17">
        <f t="shared" si="12"/>
        <v>11</v>
      </c>
      <c r="N143" s="18">
        <f t="shared" si="13"/>
        <v>0.6333333333333333</v>
      </c>
      <c r="O143" s="27" t="s">
        <v>1355</v>
      </c>
      <c r="P143" s="8" t="s">
        <v>1355</v>
      </c>
      <c r="Q143" s="8" t="s">
        <v>1355</v>
      </c>
      <c r="R143" s="8" t="s">
        <v>1355</v>
      </c>
      <c r="S143" s="27" t="s">
        <v>1355</v>
      </c>
      <c r="T143" s="27" t="s">
        <v>1355</v>
      </c>
      <c r="U143" s="8" t="s">
        <v>1355</v>
      </c>
      <c r="V143" s="8"/>
      <c r="W143" s="8"/>
      <c r="X143" s="27" t="s">
        <v>1355</v>
      </c>
      <c r="Y143" s="27" t="s">
        <v>1355</v>
      </c>
      <c r="Z143" s="27" t="s">
        <v>1355</v>
      </c>
      <c r="AA143" s="27" t="s">
        <v>1355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166</v>
      </c>
      <c r="B144" s="60">
        <v>44629</v>
      </c>
      <c r="C144" s="63" t="s">
        <v>391</v>
      </c>
      <c r="D144" s="62" t="s">
        <v>392</v>
      </c>
      <c r="E144" t="s">
        <v>19</v>
      </c>
      <c r="F144" t="s">
        <v>942</v>
      </c>
      <c r="G144"/>
      <c r="H144" t="s">
        <v>388</v>
      </c>
      <c r="I144" s="16">
        <v>-347947670000</v>
      </c>
      <c r="J144" s="16">
        <v>-582871810000</v>
      </c>
      <c r="K144" s="16" t="s">
        <v>1081</v>
      </c>
      <c r="L144" s="57">
        <f t="shared" si="14"/>
        <v>19</v>
      </c>
      <c r="M144" s="17">
        <f t="shared" si="12"/>
        <v>11</v>
      </c>
      <c r="N144" s="18">
        <f t="shared" si="13"/>
        <v>0.6333333333333333</v>
      </c>
      <c r="O144" s="27" t="s">
        <v>1355</v>
      </c>
      <c r="P144" s="8" t="s">
        <v>1355</v>
      </c>
      <c r="Q144" s="8" t="s">
        <v>1355</v>
      </c>
      <c r="R144" s="8" t="s">
        <v>1355</v>
      </c>
      <c r="S144" s="27" t="s">
        <v>1355</v>
      </c>
      <c r="T144" s="27" t="s">
        <v>1355</v>
      </c>
      <c r="U144" s="8" t="s">
        <v>1355</v>
      </c>
      <c r="V144" s="8"/>
      <c r="W144" s="8"/>
      <c r="X144" s="27" t="s">
        <v>1355</v>
      </c>
      <c r="Y144" s="27" t="s">
        <v>1355</v>
      </c>
      <c r="Z144" s="27" t="s">
        <v>1355</v>
      </c>
      <c r="AA144" s="27" t="s">
        <v>1355</v>
      </c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260</v>
      </c>
      <c r="B145" s="62"/>
      <c r="C145" s="63" t="s">
        <v>393</v>
      </c>
      <c r="D145" s="62" t="s">
        <v>1317</v>
      </c>
      <c r="E145" t="s">
        <v>24</v>
      </c>
      <c r="F145" t="s">
        <v>25</v>
      </c>
      <c r="G145" t="s">
        <v>363</v>
      </c>
      <c r="H145"/>
      <c r="I145" s="16">
        <v>-348070980000</v>
      </c>
      <c r="J145" s="16">
        <v>-582892260000</v>
      </c>
      <c r="K145" s="16" t="s">
        <v>1082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B146" s="62"/>
      <c r="C146" s="63" t="s">
        <v>394</v>
      </c>
      <c r="D146" s="62" t="s">
        <v>395</v>
      </c>
      <c r="E146" t="s">
        <v>24</v>
      </c>
      <c r="F146" t="s">
        <v>25</v>
      </c>
      <c r="G146" t="s">
        <v>396</v>
      </c>
      <c r="H146" t="s">
        <v>397</v>
      </c>
      <c r="I146" s="16">
        <v>-348065100000</v>
      </c>
      <c r="J146" s="16">
        <v>-582865850000</v>
      </c>
      <c r="K146" s="16" t="s">
        <v>1083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398</v>
      </c>
      <c r="B147" s="62"/>
      <c r="C147" s="63" t="s">
        <v>399</v>
      </c>
      <c r="D147" s="62" t="s">
        <v>400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1084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398</v>
      </c>
      <c r="B148" s="62"/>
      <c r="C148" s="63" t="s">
        <v>401</v>
      </c>
      <c r="D148" s="62" t="s">
        <v>400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1058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402</v>
      </c>
      <c r="B149" s="62"/>
      <c r="C149" s="63" t="s">
        <v>403</v>
      </c>
      <c r="D149" s="62" t="s">
        <v>404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1085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402</v>
      </c>
      <c r="B150" s="62"/>
      <c r="C150" s="63" t="s">
        <v>405</v>
      </c>
      <c r="D150" s="62" t="s">
        <v>406</v>
      </c>
      <c r="E150" t="s">
        <v>113</v>
      </c>
      <c r="F150" t="s">
        <v>36</v>
      </c>
      <c r="G150"/>
      <c r="H150" t="s">
        <v>328</v>
      </c>
      <c r="I150" s="16">
        <v>-348525210000</v>
      </c>
      <c r="J150" s="16">
        <v>-582783180000</v>
      </c>
      <c r="K150" s="16" t="s">
        <v>1086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402</v>
      </c>
      <c r="B151" s="62"/>
      <c r="C151" s="63" t="s">
        <v>407</v>
      </c>
      <c r="D151" s="62" t="s">
        <v>406</v>
      </c>
      <c r="E151" t="s">
        <v>113</v>
      </c>
      <c r="F151" t="s">
        <v>36</v>
      </c>
      <c r="G151"/>
      <c r="H151" t="s">
        <v>328</v>
      </c>
      <c r="I151" s="16">
        <v>-348525370000</v>
      </c>
      <c r="J151" s="16">
        <v>-582783380000</v>
      </c>
      <c r="K151" s="16" t="s">
        <v>1087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B152" s="62"/>
      <c r="C152" s="63" t="s">
        <v>408</v>
      </c>
      <c r="D152" s="62" t="s">
        <v>409</v>
      </c>
      <c r="E152" t="s">
        <v>73</v>
      </c>
      <c r="F152" t="s">
        <v>36</v>
      </c>
      <c r="G152" t="s">
        <v>184</v>
      </c>
      <c r="H152" t="s">
        <v>410</v>
      </c>
      <c r="I152" s="16">
        <v>-347838400000</v>
      </c>
      <c r="J152" s="16">
        <v>-582682780000</v>
      </c>
      <c r="K152" s="16" t="s">
        <v>1088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411</v>
      </c>
      <c r="B153" s="60">
        <v>44642</v>
      </c>
      <c r="C153" s="63" t="s">
        <v>412</v>
      </c>
      <c r="D153" s="62" t="s">
        <v>413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1089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414</v>
      </c>
      <c r="B154" s="62"/>
      <c r="C154" s="63" t="s">
        <v>415</v>
      </c>
      <c r="D154" s="62" t="s">
        <v>416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1090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1355</v>
      </c>
      <c r="Q154" s="8" t="s">
        <v>1355</v>
      </c>
      <c r="R154" s="8" t="s">
        <v>1355</v>
      </c>
      <c r="S154" s="27" t="s">
        <v>1355</v>
      </c>
      <c r="T154" s="27" t="s">
        <v>1355</v>
      </c>
      <c r="U154" s="8" t="s">
        <v>1355</v>
      </c>
      <c r="V154" s="8" t="s">
        <v>1355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414</v>
      </c>
      <c r="B155" s="62"/>
      <c r="C155" s="63" t="s">
        <v>417</v>
      </c>
      <c r="D155" s="62" t="s">
        <v>418</v>
      </c>
      <c r="E155" t="s">
        <v>73</v>
      </c>
      <c r="F155" t="s">
        <v>36</v>
      </c>
      <c r="G155" t="s">
        <v>184</v>
      </c>
      <c r="H155" t="s">
        <v>419</v>
      </c>
      <c r="I155" s="16">
        <v>-347831840000</v>
      </c>
      <c r="J155" s="16">
        <v>-582670320000</v>
      </c>
      <c r="K155" s="16" t="s">
        <v>1091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414</v>
      </c>
      <c r="B156" s="60">
        <v>44642</v>
      </c>
      <c r="C156" s="63" t="s">
        <v>420</v>
      </c>
      <c r="D156" s="62" t="s">
        <v>421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1092</v>
      </c>
      <c r="L156" s="57">
        <f t="shared" si="14"/>
        <v>21</v>
      </c>
      <c r="M156" s="17">
        <f t="shared" si="12"/>
        <v>9</v>
      </c>
      <c r="N156" s="18">
        <f t="shared" si="13"/>
        <v>0.7</v>
      </c>
      <c r="O156" s="27" t="s">
        <v>1355</v>
      </c>
      <c r="P156" s="8" t="s">
        <v>1355</v>
      </c>
      <c r="Q156" s="8" t="s">
        <v>1355</v>
      </c>
      <c r="R156" s="8" t="s">
        <v>1355</v>
      </c>
      <c r="S156" s="27" t="s">
        <v>1355</v>
      </c>
      <c r="T156" s="27" t="s">
        <v>1355</v>
      </c>
      <c r="U156" s="8" t="s">
        <v>1355</v>
      </c>
      <c r="V156" s="8" t="s">
        <v>1355</v>
      </c>
      <c r="W156" s="8"/>
      <c r="X156" s="27"/>
      <c r="Y156" s="27"/>
      <c r="Z156" s="27"/>
      <c r="AA156" s="27"/>
      <c r="AB156" s="27"/>
      <c r="AC156" s="27"/>
      <c r="AD156" s="27" t="s">
        <v>1355</v>
      </c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411</v>
      </c>
      <c r="B157" s="62"/>
      <c r="C157" s="63" t="s">
        <v>422</v>
      </c>
      <c r="D157" s="62" t="s">
        <v>423</v>
      </c>
      <c r="E157" t="s">
        <v>24</v>
      </c>
      <c r="F157" t="s">
        <v>36</v>
      </c>
      <c r="G157" t="s">
        <v>424</v>
      </c>
      <c r="H157"/>
      <c r="I157" s="16">
        <v>-347807820000</v>
      </c>
      <c r="J157" s="16">
        <v>-582625370000</v>
      </c>
      <c r="K157" s="16" t="s">
        <v>1093</v>
      </c>
      <c r="L157" s="57">
        <f t="shared" si="14"/>
        <v>29</v>
      </c>
      <c r="M157" s="17">
        <f t="shared" si="12"/>
        <v>1</v>
      </c>
      <c r="N157" s="18">
        <f t="shared" si="13"/>
        <v>0.96666666666666667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 t="s">
        <v>1355</v>
      </c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414</v>
      </c>
      <c r="B158" s="62"/>
      <c r="C158" s="63" t="s">
        <v>425</v>
      </c>
      <c r="D158" s="62" t="s">
        <v>426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1094</v>
      </c>
      <c r="L158" s="57">
        <f t="shared" si="14"/>
        <v>29</v>
      </c>
      <c r="M158" s="17">
        <f t="shared" si="12"/>
        <v>1</v>
      </c>
      <c r="N158" s="18">
        <f t="shared" si="13"/>
        <v>0.96666666666666667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 t="s">
        <v>1355</v>
      </c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414</v>
      </c>
      <c r="B159" s="60">
        <v>44642</v>
      </c>
      <c r="C159" s="63" t="s">
        <v>427</v>
      </c>
      <c r="D159" s="62" t="s">
        <v>428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1095</v>
      </c>
      <c r="L159" s="57">
        <f t="shared" si="14"/>
        <v>29</v>
      </c>
      <c r="M159" s="17">
        <f t="shared" si="12"/>
        <v>1</v>
      </c>
      <c r="N159" s="18">
        <f t="shared" si="13"/>
        <v>0.96666666666666667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 t="s">
        <v>1355</v>
      </c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414</v>
      </c>
      <c r="B160" s="62"/>
      <c r="C160" s="63" t="s">
        <v>429</v>
      </c>
      <c r="D160" s="62" t="s">
        <v>1322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1096</v>
      </c>
      <c r="L160" s="57">
        <f t="shared" si="14"/>
        <v>29</v>
      </c>
      <c r="M160" s="17">
        <f t="shared" si="12"/>
        <v>1</v>
      </c>
      <c r="N160" s="18">
        <f t="shared" si="13"/>
        <v>0.96666666666666667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 t="s">
        <v>1355</v>
      </c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414</v>
      </c>
      <c r="B161" s="62"/>
      <c r="C161" s="63" t="s">
        <v>430</v>
      </c>
      <c r="D161" s="62" t="s">
        <v>431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1097</v>
      </c>
      <c r="L161" s="57">
        <f t="shared" si="14"/>
        <v>29</v>
      </c>
      <c r="M161" s="17">
        <f t="shared" si="12"/>
        <v>1</v>
      </c>
      <c r="N161" s="18">
        <f t="shared" si="13"/>
        <v>0.96666666666666667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 t="s">
        <v>1355</v>
      </c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414</v>
      </c>
      <c r="B162" s="62"/>
      <c r="C162" s="63" t="s">
        <v>432</v>
      </c>
      <c r="D162" s="62" t="s">
        <v>433</v>
      </c>
      <c r="E162" t="s">
        <v>24</v>
      </c>
      <c r="F162" t="s">
        <v>36</v>
      </c>
      <c r="G162" t="s">
        <v>434</v>
      </c>
      <c r="H162"/>
      <c r="I162" s="16">
        <v>-347837870000</v>
      </c>
      <c r="J162" s="16">
        <v>-582681690000</v>
      </c>
      <c r="K162" s="16" t="s">
        <v>1098</v>
      </c>
      <c r="L162" s="57">
        <f t="shared" si="14"/>
        <v>29</v>
      </c>
      <c r="M162" s="17">
        <f t="shared" si="12"/>
        <v>1</v>
      </c>
      <c r="N162" s="18">
        <f t="shared" si="13"/>
        <v>0.96666666666666667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 t="s">
        <v>1355</v>
      </c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414</v>
      </c>
      <c r="B163" s="62"/>
      <c r="C163" s="63" t="s">
        <v>435</v>
      </c>
      <c r="D163" s="62" t="s">
        <v>436</v>
      </c>
      <c r="E163" t="s">
        <v>113</v>
      </c>
      <c r="F163" t="s">
        <v>36</v>
      </c>
      <c r="G163"/>
      <c r="H163" t="s">
        <v>437</v>
      </c>
      <c r="I163" s="16">
        <v>-347808370000</v>
      </c>
      <c r="J163" s="16">
        <v>-582696060000</v>
      </c>
      <c r="K163" s="16" t="s">
        <v>1099</v>
      </c>
      <c r="L163" s="57">
        <f t="shared" si="14"/>
        <v>29</v>
      </c>
      <c r="M163" s="17">
        <f t="shared" si="12"/>
        <v>1</v>
      </c>
      <c r="N163" s="18">
        <f t="shared" si="13"/>
        <v>0.96666666666666667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 t="s">
        <v>1355</v>
      </c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414</v>
      </c>
      <c r="B164" s="62"/>
      <c r="C164" s="63" t="s">
        <v>438</v>
      </c>
      <c r="D164" s="62" t="s">
        <v>436</v>
      </c>
      <c r="E164" t="s">
        <v>113</v>
      </c>
      <c r="F164" t="s">
        <v>36</v>
      </c>
      <c r="G164"/>
      <c r="H164" t="s">
        <v>437</v>
      </c>
      <c r="I164" s="16">
        <v>-347808450000</v>
      </c>
      <c r="J164" s="16">
        <v>-582696230000</v>
      </c>
      <c r="K164" s="16" t="s">
        <v>1100</v>
      </c>
      <c r="L164" s="57">
        <f t="shared" si="14"/>
        <v>29</v>
      </c>
      <c r="M164" s="17">
        <f t="shared" si="12"/>
        <v>1</v>
      </c>
      <c r="N164" s="18">
        <f t="shared" si="13"/>
        <v>0.96666666666666667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 t="s">
        <v>1355</v>
      </c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414</v>
      </c>
      <c r="B165" s="62"/>
      <c r="C165" s="63" t="s">
        <v>439</v>
      </c>
      <c r="D165" s="62" t="s">
        <v>440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1101</v>
      </c>
      <c r="L165" s="57">
        <f t="shared" si="14"/>
        <v>29</v>
      </c>
      <c r="M165" s="17">
        <f t="shared" si="12"/>
        <v>1</v>
      </c>
      <c r="N165" s="18">
        <f t="shared" si="13"/>
        <v>0.96666666666666667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 t="s">
        <v>1355</v>
      </c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357</v>
      </c>
      <c r="B166" s="62"/>
      <c r="C166" s="63" t="s">
        <v>441</v>
      </c>
      <c r="D166" s="62" t="s">
        <v>442</v>
      </c>
      <c r="E166" t="s">
        <v>19</v>
      </c>
      <c r="F166" t="s">
        <v>25</v>
      </c>
      <c r="G166"/>
      <c r="H166" t="s">
        <v>443</v>
      </c>
      <c r="I166" s="16">
        <v>-348079950000</v>
      </c>
      <c r="J166" s="16">
        <v>-583078510000</v>
      </c>
      <c r="K166" s="16" t="s">
        <v>1103</v>
      </c>
      <c r="L166" s="57">
        <f t="shared" si="14"/>
        <v>13</v>
      </c>
      <c r="M166" s="17">
        <f t="shared" si="12"/>
        <v>17</v>
      </c>
      <c r="N166" s="18">
        <f t="shared" si="13"/>
        <v>0.43333333333333335</v>
      </c>
      <c r="O166" s="27" t="s">
        <v>1355</v>
      </c>
      <c r="P166" s="8" t="s">
        <v>1355</v>
      </c>
      <c r="Q166" s="8" t="s">
        <v>1355</v>
      </c>
      <c r="R166" s="8" t="s">
        <v>1355</v>
      </c>
      <c r="S166" s="27" t="s">
        <v>1355</v>
      </c>
      <c r="T166" s="27" t="s">
        <v>1355</v>
      </c>
      <c r="U166" s="8" t="s">
        <v>1355</v>
      </c>
      <c r="V166" s="8" t="s">
        <v>1355</v>
      </c>
      <c r="W166" s="8" t="s">
        <v>1355</v>
      </c>
      <c r="X166" s="27" t="s">
        <v>1355</v>
      </c>
      <c r="Y166" s="27" t="s">
        <v>1355</v>
      </c>
      <c r="Z166" s="27" t="s">
        <v>1355</v>
      </c>
      <c r="AA166" s="27" t="s">
        <v>1355</v>
      </c>
      <c r="AB166" s="27" t="s">
        <v>1355</v>
      </c>
      <c r="AC166" s="27" t="s">
        <v>1355</v>
      </c>
      <c r="AD166" s="27" t="s">
        <v>1355</v>
      </c>
      <c r="AE166" s="27"/>
      <c r="AF166" s="27" t="s">
        <v>1355</v>
      </c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444</v>
      </c>
      <c r="B167" s="62"/>
      <c r="C167" s="63" t="s">
        <v>445</v>
      </c>
      <c r="D167" s="62" t="s">
        <v>931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1102</v>
      </c>
      <c r="L167" s="57">
        <f t="shared" si="14"/>
        <v>29</v>
      </c>
      <c r="M167" s="17">
        <f t="shared" si="12"/>
        <v>1</v>
      </c>
      <c r="N167" s="18">
        <f t="shared" si="13"/>
        <v>0.96666666666666667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 t="s">
        <v>1355</v>
      </c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444</v>
      </c>
      <c r="B168" s="62"/>
      <c r="C168" s="63" t="s">
        <v>446</v>
      </c>
      <c r="D168" s="62" t="s">
        <v>447</v>
      </c>
      <c r="E168" t="s">
        <v>19</v>
      </c>
      <c r="F168" t="s">
        <v>36</v>
      </c>
      <c r="G168"/>
      <c r="H168" t="s">
        <v>448</v>
      </c>
      <c r="I168" s="16">
        <v>-348065880000</v>
      </c>
      <c r="J168" s="16">
        <v>-583140610000</v>
      </c>
      <c r="K168" s="16" t="s">
        <v>1104</v>
      </c>
      <c r="L168" s="57">
        <f t="shared" si="14"/>
        <v>23</v>
      </c>
      <c r="M168" s="17">
        <f t="shared" si="12"/>
        <v>7</v>
      </c>
      <c r="N168" s="18">
        <f t="shared" si="13"/>
        <v>0.76666666666666672</v>
      </c>
      <c r="O168" s="27"/>
      <c r="P168" s="8"/>
      <c r="Q168" s="8" t="s">
        <v>1355</v>
      </c>
      <c r="R168" s="8" t="s">
        <v>1355</v>
      </c>
      <c r="S168" s="27" t="s">
        <v>1355</v>
      </c>
      <c r="T168" s="27" t="s">
        <v>1355</v>
      </c>
      <c r="U168" s="8" t="s">
        <v>1355</v>
      </c>
      <c r="V168" s="8" t="s">
        <v>1355</v>
      </c>
      <c r="W168" s="8"/>
      <c r="X168" s="27"/>
      <c r="Y168" s="27"/>
      <c r="Z168" s="27"/>
      <c r="AA168" s="27" t="s">
        <v>1355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449</v>
      </c>
      <c r="B169" s="62"/>
      <c r="C169" s="63" t="s">
        <v>450</v>
      </c>
      <c r="D169" s="62" t="s">
        <v>451</v>
      </c>
      <c r="E169" t="s">
        <v>113</v>
      </c>
      <c r="F169" t="s">
        <v>36</v>
      </c>
      <c r="G169" t="s">
        <v>184</v>
      </c>
      <c r="H169" t="s">
        <v>452</v>
      </c>
      <c r="I169" s="16">
        <v>-347782860000</v>
      </c>
      <c r="J169" s="16">
        <v>-582672650000</v>
      </c>
      <c r="K169" s="16" t="s">
        <v>1109</v>
      </c>
      <c r="L169" s="57">
        <f t="shared" si="14"/>
        <v>29</v>
      </c>
      <c r="M169" s="17">
        <f t="shared" si="12"/>
        <v>1</v>
      </c>
      <c r="N169" s="18">
        <f t="shared" si="13"/>
        <v>0.96666666666666667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 t="s">
        <v>1355</v>
      </c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414</v>
      </c>
      <c r="B170" s="62"/>
      <c r="C170" s="63" t="s">
        <v>453</v>
      </c>
      <c r="D170" s="62" t="s">
        <v>454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1110</v>
      </c>
      <c r="L170" s="57">
        <f t="shared" si="14"/>
        <v>29</v>
      </c>
      <c r="M170" s="17">
        <f t="shared" si="12"/>
        <v>1</v>
      </c>
      <c r="N170" s="18">
        <f t="shared" si="13"/>
        <v>0.96666666666666667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 t="s">
        <v>1355</v>
      </c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455</v>
      </c>
      <c r="B171" s="62"/>
      <c r="C171" s="63" t="s">
        <v>456</v>
      </c>
      <c r="D171" s="62" t="s">
        <v>457</v>
      </c>
      <c r="E171" t="s">
        <v>24</v>
      </c>
      <c r="F171" t="s">
        <v>36</v>
      </c>
      <c r="G171" t="s">
        <v>458</v>
      </c>
      <c r="H171"/>
      <c r="I171" s="16">
        <v>-347760150000</v>
      </c>
      <c r="J171" s="16">
        <v>-582715170000</v>
      </c>
      <c r="K171" s="16" t="s">
        <v>1111</v>
      </c>
      <c r="L171" s="57">
        <f t="shared" si="14"/>
        <v>29</v>
      </c>
      <c r="M171" s="17">
        <f t="shared" si="12"/>
        <v>1</v>
      </c>
      <c r="N171" s="18">
        <f t="shared" si="13"/>
        <v>0.96666666666666667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 t="s">
        <v>1355</v>
      </c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449</v>
      </c>
      <c r="B172" s="62"/>
      <c r="C172" s="63" t="s">
        <v>459</v>
      </c>
      <c r="D172" s="62" t="s">
        <v>460</v>
      </c>
      <c r="E172" t="s">
        <v>24</v>
      </c>
      <c r="F172" t="s">
        <v>36</v>
      </c>
      <c r="G172" t="s">
        <v>461</v>
      </c>
      <c r="H172"/>
      <c r="I172" s="16">
        <v>-347796570000</v>
      </c>
      <c r="J172" s="16">
        <v>-582627950000</v>
      </c>
      <c r="K172" s="16" t="s">
        <v>1112</v>
      </c>
      <c r="L172" s="57">
        <f t="shared" si="14"/>
        <v>29</v>
      </c>
      <c r="M172" s="17">
        <f t="shared" si="12"/>
        <v>1</v>
      </c>
      <c r="N172" s="18">
        <f t="shared" si="13"/>
        <v>0.96666666666666667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 t="s">
        <v>1355</v>
      </c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B173" s="62"/>
      <c r="C173" s="63" t="s">
        <v>462</v>
      </c>
      <c r="D173" s="62" t="s">
        <v>463</v>
      </c>
      <c r="E173" t="s">
        <v>24</v>
      </c>
      <c r="F173" t="s">
        <v>36</v>
      </c>
      <c r="G173" t="s">
        <v>464</v>
      </c>
      <c r="H173"/>
      <c r="I173" s="16">
        <v>-347771820000</v>
      </c>
      <c r="J173" s="16">
        <v>-582693640000</v>
      </c>
      <c r="K173" s="16" t="s">
        <v>1113</v>
      </c>
      <c r="L173" s="57">
        <f t="shared" si="14"/>
        <v>29</v>
      </c>
      <c r="M173" s="17">
        <f t="shared" si="12"/>
        <v>1</v>
      </c>
      <c r="N173" s="18">
        <f t="shared" si="13"/>
        <v>0.96666666666666667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 t="s">
        <v>1355</v>
      </c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455</v>
      </c>
      <c r="B174" s="62"/>
      <c r="C174" s="63" t="s">
        <v>465</v>
      </c>
      <c r="D174" s="62" t="s">
        <v>466</v>
      </c>
      <c r="E174" t="s">
        <v>19</v>
      </c>
      <c r="F174" t="s">
        <v>36</v>
      </c>
      <c r="G174" t="s">
        <v>467</v>
      </c>
      <c r="H174"/>
      <c r="I174" s="16">
        <v>-347739010000</v>
      </c>
      <c r="J174" s="16">
        <v>-582753360000</v>
      </c>
      <c r="K174" s="16" t="s">
        <v>1114</v>
      </c>
      <c r="L174" s="57">
        <f t="shared" si="14"/>
        <v>29</v>
      </c>
      <c r="M174" s="17">
        <f t="shared" si="12"/>
        <v>1</v>
      </c>
      <c r="N174" s="18">
        <f t="shared" si="13"/>
        <v>0.96666666666666667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 t="s">
        <v>1355</v>
      </c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468</v>
      </c>
      <c r="B175" s="62"/>
      <c r="C175" s="63" t="s">
        <v>469</v>
      </c>
      <c r="D175" s="62" t="s">
        <v>470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1115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468</v>
      </c>
      <c r="B176" s="62"/>
      <c r="C176" s="63" t="s">
        <v>471</v>
      </c>
      <c r="D176" s="62" t="s">
        <v>472</v>
      </c>
      <c r="E176" t="s">
        <v>24</v>
      </c>
      <c r="F176" t="s">
        <v>25</v>
      </c>
      <c r="G176" t="s">
        <v>473</v>
      </c>
      <c r="H176"/>
      <c r="I176" s="16">
        <v>-347941910000</v>
      </c>
      <c r="J176" s="16">
        <v>-582702320000</v>
      </c>
      <c r="K176" s="16" t="s">
        <v>1116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468</v>
      </c>
      <c r="B177" s="62"/>
      <c r="C177" s="63" t="s">
        <v>474</v>
      </c>
      <c r="D177" s="62" t="s">
        <v>475</v>
      </c>
      <c r="E177" t="s">
        <v>24</v>
      </c>
      <c r="F177" t="s">
        <v>25</v>
      </c>
      <c r="G177" t="s">
        <v>366</v>
      </c>
      <c r="H177"/>
      <c r="I177" s="16">
        <v>-347965760000</v>
      </c>
      <c r="J177" s="16">
        <v>-582746550000</v>
      </c>
      <c r="K177" s="16" t="s">
        <v>1117</v>
      </c>
      <c r="L177" s="57">
        <f t="shared" si="14"/>
        <v>12</v>
      </c>
      <c r="M177" s="17">
        <f t="shared" si="12"/>
        <v>18</v>
      </c>
      <c r="N177" s="18">
        <f t="shared" si="13"/>
        <v>0.4</v>
      </c>
      <c r="O177" s="27" t="s">
        <v>1355</v>
      </c>
      <c r="P177" s="8" t="s">
        <v>1355</v>
      </c>
      <c r="Q177" s="8" t="s">
        <v>1355</v>
      </c>
      <c r="R177" s="8" t="s">
        <v>1355</v>
      </c>
      <c r="S177" s="27" t="s">
        <v>1355</v>
      </c>
      <c r="T177" s="27" t="s">
        <v>1355</v>
      </c>
      <c r="U177" s="8" t="s">
        <v>1355</v>
      </c>
      <c r="V177" s="8" t="s">
        <v>1355</v>
      </c>
      <c r="W177" s="8" t="s">
        <v>1355</v>
      </c>
      <c r="X177" s="27" t="s">
        <v>1355</v>
      </c>
      <c r="Y177" s="27" t="s">
        <v>1355</v>
      </c>
      <c r="Z177" s="27" t="s">
        <v>1355</v>
      </c>
      <c r="AA177" s="27" t="s">
        <v>1355</v>
      </c>
      <c r="AB177" s="27" t="s">
        <v>1355</v>
      </c>
      <c r="AC177" s="27" t="s">
        <v>1355</v>
      </c>
      <c r="AD177" s="27" t="s">
        <v>1355</v>
      </c>
      <c r="AE177" s="27"/>
      <c r="AF177" s="27" t="s">
        <v>1355</v>
      </c>
      <c r="AG177" s="27" t="s">
        <v>1355</v>
      </c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468</v>
      </c>
      <c r="B178" s="62"/>
      <c r="C178" s="63" t="s">
        <v>476</v>
      </c>
      <c r="D178" s="62" t="s">
        <v>477</v>
      </c>
      <c r="E178" t="s">
        <v>24</v>
      </c>
      <c r="F178" t="s">
        <v>25</v>
      </c>
      <c r="G178" t="s">
        <v>478</v>
      </c>
      <c r="H178"/>
      <c r="I178" s="16">
        <v>-347889160000</v>
      </c>
      <c r="J178" s="16">
        <v>-582775030000</v>
      </c>
      <c r="K178" s="16" t="s">
        <v>1118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479</v>
      </c>
      <c r="B179" s="62"/>
      <c r="C179" s="63" t="s">
        <v>480</v>
      </c>
      <c r="D179" s="62" t="s">
        <v>481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1126</v>
      </c>
      <c r="L179" s="57">
        <f t="shared" si="14"/>
        <v>27</v>
      </c>
      <c r="M179" s="17">
        <f t="shared" si="12"/>
        <v>3</v>
      </c>
      <c r="N179" s="18">
        <f t="shared" si="13"/>
        <v>0.9</v>
      </c>
      <c r="O179" s="27" t="s">
        <v>1355</v>
      </c>
      <c r="P179" s="8"/>
      <c r="Q179" s="8"/>
      <c r="R179" s="8"/>
      <c r="S179" s="27"/>
      <c r="T179" s="27" t="s">
        <v>1355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 t="s">
        <v>1355</v>
      </c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479</v>
      </c>
      <c r="B180" s="62"/>
      <c r="C180" s="63" t="s">
        <v>482</v>
      </c>
      <c r="D180" s="62" t="s">
        <v>483</v>
      </c>
      <c r="E180" t="s">
        <v>24</v>
      </c>
      <c r="F180" t="s">
        <v>36</v>
      </c>
      <c r="G180" t="s">
        <v>484</v>
      </c>
      <c r="H180"/>
      <c r="I180" s="16">
        <v>-348072540000</v>
      </c>
      <c r="J180" s="16">
        <v>-582665870000</v>
      </c>
      <c r="K180" s="16" t="s">
        <v>1119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B181" s="62"/>
      <c r="C181" s="63" t="s">
        <v>485</v>
      </c>
      <c r="D181" s="62" t="s">
        <v>486</v>
      </c>
      <c r="E181" t="s">
        <v>24</v>
      </c>
      <c r="F181" t="s">
        <v>25</v>
      </c>
      <c r="G181" t="s">
        <v>160</v>
      </c>
      <c r="H181" t="s">
        <v>487</v>
      </c>
      <c r="I181" s="16">
        <v>-348093100000</v>
      </c>
      <c r="J181" s="16">
        <v>-582605600000</v>
      </c>
      <c r="K181" s="16" t="s">
        <v>1120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479</v>
      </c>
      <c r="B182" s="62"/>
      <c r="C182" s="63" t="s">
        <v>488</v>
      </c>
      <c r="D182" s="62" t="s">
        <v>489</v>
      </c>
      <c r="E182" t="s">
        <v>24</v>
      </c>
      <c r="F182" t="s">
        <v>942</v>
      </c>
      <c r="G182" t="s">
        <v>490</v>
      </c>
      <c r="H182" t="s">
        <v>491</v>
      </c>
      <c r="I182" s="16">
        <v>-348062580000</v>
      </c>
      <c r="J182" s="16">
        <v>-582667320000</v>
      </c>
      <c r="K182" s="16" t="s">
        <v>1121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479</v>
      </c>
      <c r="B183" s="62"/>
      <c r="C183" s="63" t="s">
        <v>492</v>
      </c>
      <c r="D183" s="62" t="s">
        <v>493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1122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494</v>
      </c>
      <c r="B184" s="62"/>
      <c r="C184" s="63" t="s">
        <v>495</v>
      </c>
      <c r="D184" s="62" t="s">
        <v>496</v>
      </c>
      <c r="E184" t="s">
        <v>24</v>
      </c>
      <c r="F184" t="s">
        <v>25</v>
      </c>
      <c r="G184" t="s">
        <v>490</v>
      </c>
      <c r="H184"/>
      <c r="I184" s="16">
        <v>-348026160000</v>
      </c>
      <c r="J184" s="16">
        <v>-582654650000</v>
      </c>
      <c r="K184" s="16" t="s">
        <v>1123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B185" s="62"/>
      <c r="C185" s="63" t="s">
        <v>497</v>
      </c>
      <c r="D185" s="62" t="s">
        <v>498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1124</v>
      </c>
      <c r="L185" s="57">
        <f t="shared" si="14"/>
        <v>15</v>
      </c>
      <c r="M185" s="17">
        <f t="shared" si="12"/>
        <v>15</v>
      </c>
      <c r="N185" s="18">
        <f t="shared" si="13"/>
        <v>0.5</v>
      </c>
      <c r="O185" s="27" t="s">
        <v>1355</v>
      </c>
      <c r="P185" s="8" t="s">
        <v>1355</v>
      </c>
      <c r="Q185" s="8" t="s">
        <v>1355</v>
      </c>
      <c r="R185" s="8" t="s">
        <v>1355</v>
      </c>
      <c r="S185" s="27" t="s">
        <v>1355</v>
      </c>
      <c r="T185" s="27" t="s">
        <v>1355</v>
      </c>
      <c r="U185" s="8" t="s">
        <v>1355</v>
      </c>
      <c r="V185" s="8" t="s">
        <v>1355</v>
      </c>
      <c r="W185" s="8" t="s">
        <v>1355</v>
      </c>
      <c r="X185" s="27" t="s">
        <v>1355</v>
      </c>
      <c r="Y185" s="27" t="s">
        <v>1355</v>
      </c>
      <c r="Z185" s="27" t="s">
        <v>1355</v>
      </c>
      <c r="AA185" s="27" t="s">
        <v>1355</v>
      </c>
      <c r="AB185" s="27" t="s">
        <v>1355</v>
      </c>
      <c r="AC185" s="27" t="s">
        <v>1355</v>
      </c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479</v>
      </c>
      <c r="B186" s="62"/>
      <c r="C186" s="63" t="s">
        <v>499</v>
      </c>
      <c r="D186" s="62" t="s">
        <v>500</v>
      </c>
      <c r="E186" t="s">
        <v>24</v>
      </c>
      <c r="F186" t="s">
        <v>36</v>
      </c>
      <c r="G186" t="s">
        <v>501</v>
      </c>
      <c r="H186"/>
      <c r="I186" s="16">
        <v>-348107680000</v>
      </c>
      <c r="J186" s="16">
        <v>-582663690000</v>
      </c>
      <c r="K186" s="16" t="s">
        <v>1125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B187" s="62"/>
      <c r="C187" s="63" t="s">
        <v>502</v>
      </c>
      <c r="D187" s="62" t="s">
        <v>503</v>
      </c>
      <c r="E187" t="s">
        <v>19</v>
      </c>
      <c r="F187" t="s">
        <v>36</v>
      </c>
      <c r="G187"/>
      <c r="H187" t="s">
        <v>504</v>
      </c>
      <c r="I187" s="16">
        <v>-348042930000</v>
      </c>
      <c r="J187" s="16">
        <v>-582667740000</v>
      </c>
      <c r="K187" s="16" t="s">
        <v>1127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B188" s="62"/>
      <c r="C188" s="63" t="s">
        <v>505</v>
      </c>
      <c r="D188" s="62" t="s">
        <v>506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1128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1355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507</v>
      </c>
      <c r="B189" s="62"/>
      <c r="C189" s="63" t="s">
        <v>508</v>
      </c>
      <c r="D189" s="62" t="s">
        <v>509</v>
      </c>
      <c r="E189" t="s">
        <v>113</v>
      </c>
      <c r="F189" t="s">
        <v>36</v>
      </c>
      <c r="G189"/>
      <c r="H189" t="s">
        <v>510</v>
      </c>
      <c r="I189" s="16">
        <v>-348434280000</v>
      </c>
      <c r="J189" s="16">
        <v>-582840340000</v>
      </c>
      <c r="K189" s="16" t="s">
        <v>1129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507</v>
      </c>
      <c r="B190" s="62"/>
      <c r="C190" s="63" t="s">
        <v>511</v>
      </c>
      <c r="D190" s="62" t="s">
        <v>509</v>
      </c>
      <c r="E190" t="s">
        <v>113</v>
      </c>
      <c r="F190" t="s">
        <v>36</v>
      </c>
      <c r="G190"/>
      <c r="H190" t="s">
        <v>510</v>
      </c>
      <c r="I190" s="16">
        <v>-348434120000</v>
      </c>
      <c r="J190" s="16">
        <v>-582840350000</v>
      </c>
      <c r="K190" s="16" t="s">
        <v>1130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507</v>
      </c>
      <c r="B191" s="62"/>
      <c r="C191" s="63" t="s">
        <v>512</v>
      </c>
      <c r="D191" s="62" t="s">
        <v>513</v>
      </c>
      <c r="E191" t="s">
        <v>113</v>
      </c>
      <c r="F191" t="s">
        <v>36</v>
      </c>
      <c r="G191"/>
      <c r="H191" t="s">
        <v>514</v>
      </c>
      <c r="I191" s="16">
        <v>-348403890000</v>
      </c>
      <c r="J191" s="16">
        <v>-582866050000</v>
      </c>
      <c r="K191" s="16" t="s">
        <v>1131</v>
      </c>
      <c r="L191" s="57">
        <f t="shared" si="14"/>
        <v>21</v>
      </c>
      <c r="M191" s="17">
        <f t="shared" si="12"/>
        <v>9</v>
      </c>
      <c r="N191" s="18">
        <f t="shared" si="13"/>
        <v>0.7</v>
      </c>
      <c r="O191" s="27"/>
      <c r="P191" s="8"/>
      <c r="Q191" s="8"/>
      <c r="R191" s="8"/>
      <c r="S191" s="27"/>
      <c r="T191" s="27"/>
      <c r="U191" s="8"/>
      <c r="V191" s="8"/>
      <c r="W191" s="8"/>
      <c r="X191" s="27" t="s">
        <v>1355</v>
      </c>
      <c r="Y191" s="27" t="s">
        <v>1355</v>
      </c>
      <c r="Z191" s="27" t="s">
        <v>1355</v>
      </c>
      <c r="AA191" s="27" t="s">
        <v>1355</v>
      </c>
      <c r="AB191" s="27" t="s">
        <v>1355</v>
      </c>
      <c r="AC191" s="27" t="s">
        <v>1355</v>
      </c>
      <c r="AD191" s="27" t="s">
        <v>1355</v>
      </c>
      <c r="AE191" s="27"/>
      <c r="AF191" s="27" t="s">
        <v>1355</v>
      </c>
      <c r="AG191" s="27" t="s">
        <v>1355</v>
      </c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507</v>
      </c>
      <c r="B192" s="62"/>
      <c r="C192" s="63" t="s">
        <v>515</v>
      </c>
      <c r="D192" s="62" t="s">
        <v>513</v>
      </c>
      <c r="E192" t="s">
        <v>113</v>
      </c>
      <c r="F192" t="s">
        <v>36</v>
      </c>
      <c r="G192"/>
      <c r="H192" t="s">
        <v>514</v>
      </c>
      <c r="I192" s="16">
        <v>-348403890000</v>
      </c>
      <c r="J192" s="16">
        <v>-582866050000</v>
      </c>
      <c r="K192" s="16" t="s">
        <v>1132</v>
      </c>
      <c r="L192" s="57">
        <f t="shared" si="14"/>
        <v>21</v>
      </c>
      <c r="M192" s="17">
        <f t="shared" si="12"/>
        <v>9</v>
      </c>
      <c r="N192" s="18">
        <f t="shared" si="13"/>
        <v>0.7</v>
      </c>
      <c r="O192" s="27"/>
      <c r="P192" s="8"/>
      <c r="Q192" s="8"/>
      <c r="R192" s="8"/>
      <c r="S192" s="27"/>
      <c r="T192" s="27"/>
      <c r="U192" s="8"/>
      <c r="V192" s="8"/>
      <c r="W192" s="8"/>
      <c r="X192" s="27" t="s">
        <v>1355</v>
      </c>
      <c r="Y192" s="27" t="s">
        <v>1355</v>
      </c>
      <c r="Z192" s="27" t="s">
        <v>1355</v>
      </c>
      <c r="AA192" s="27" t="s">
        <v>1355</v>
      </c>
      <c r="AB192" s="27" t="s">
        <v>1355</v>
      </c>
      <c r="AC192" s="27" t="s">
        <v>1355</v>
      </c>
      <c r="AD192" s="27" t="s">
        <v>1355</v>
      </c>
      <c r="AE192" s="27"/>
      <c r="AF192" s="27" t="s">
        <v>1355</v>
      </c>
      <c r="AG192" s="27" t="s">
        <v>1355</v>
      </c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411</v>
      </c>
      <c r="B193" s="62"/>
      <c r="C193" s="63" t="s">
        <v>516</v>
      </c>
      <c r="D193" s="62" t="s">
        <v>517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1133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411</v>
      </c>
      <c r="B194" s="60">
        <v>44642</v>
      </c>
      <c r="C194" s="63" t="s">
        <v>518</v>
      </c>
      <c r="D194" s="62" t="s">
        <v>517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1134</v>
      </c>
      <c r="L194" s="57">
        <f t="shared" si="14"/>
        <v>17</v>
      </c>
      <c r="M194" s="17">
        <f t="shared" si="12"/>
        <v>13</v>
      </c>
      <c r="N194" s="18">
        <f t="shared" si="13"/>
        <v>0.56666666666666665</v>
      </c>
      <c r="O194" s="27" t="s">
        <v>1355</v>
      </c>
      <c r="P194" s="8"/>
      <c r="Q194" s="8" t="s">
        <v>1355</v>
      </c>
      <c r="R194" s="8" t="s">
        <v>1355</v>
      </c>
      <c r="S194" s="27" t="s">
        <v>1355</v>
      </c>
      <c r="T194" s="27" t="s">
        <v>1355</v>
      </c>
      <c r="U194" s="8" t="s">
        <v>1355</v>
      </c>
      <c r="V194" s="8" t="s">
        <v>1355</v>
      </c>
      <c r="W194" s="8" t="s">
        <v>1355</v>
      </c>
      <c r="X194" s="27" t="s">
        <v>1355</v>
      </c>
      <c r="Y194" s="27"/>
      <c r="Z194" s="27" t="s">
        <v>1355</v>
      </c>
      <c r="AA194" s="27" t="s">
        <v>1355</v>
      </c>
      <c r="AB194" s="27" t="s">
        <v>1355</v>
      </c>
      <c r="AC194" s="27" t="s">
        <v>1355</v>
      </c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B195" s="62"/>
      <c r="C195" s="63" t="s">
        <v>519</v>
      </c>
      <c r="D195" s="62" t="s">
        <v>520</v>
      </c>
      <c r="E195" t="s">
        <v>19</v>
      </c>
      <c r="F195" t="s">
        <v>36</v>
      </c>
      <c r="G195"/>
      <c r="H195" t="s">
        <v>521</v>
      </c>
      <c r="I195" s="16">
        <v>-347980180000</v>
      </c>
      <c r="J195" s="16">
        <v>-583162160000</v>
      </c>
      <c r="K195" s="16" t="s">
        <v>1135</v>
      </c>
      <c r="L195" s="57">
        <f t="shared" si="14"/>
        <v>29</v>
      </c>
      <c r="M195" s="17">
        <f t="shared" si="12"/>
        <v>1</v>
      </c>
      <c r="N195" s="18">
        <f t="shared" si="13"/>
        <v>0.96666666666666667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 t="s">
        <v>1355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B196" s="62"/>
      <c r="C196" s="63" t="s">
        <v>522</v>
      </c>
      <c r="D196" s="62" t="s">
        <v>520</v>
      </c>
      <c r="E196" t="s">
        <v>113</v>
      </c>
      <c r="F196" t="s">
        <v>36</v>
      </c>
      <c r="G196"/>
      <c r="H196" t="s">
        <v>521</v>
      </c>
      <c r="I196" s="16">
        <v>-347980200000</v>
      </c>
      <c r="J196" s="16">
        <v>-583162180000</v>
      </c>
      <c r="K196" s="16" t="s">
        <v>1136</v>
      </c>
      <c r="L196" s="57">
        <f t="shared" si="14"/>
        <v>29</v>
      </c>
      <c r="M196" s="17">
        <f t="shared" si="12"/>
        <v>1</v>
      </c>
      <c r="N196" s="18">
        <f t="shared" si="13"/>
        <v>0.96666666666666667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 t="s">
        <v>1355</v>
      </c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288</v>
      </c>
      <c r="B197" s="62"/>
      <c r="C197" s="63" t="s">
        <v>523</v>
      </c>
      <c r="D197" s="62" t="s">
        <v>524</v>
      </c>
      <c r="E197" t="s">
        <v>19</v>
      </c>
      <c r="F197" t="s">
        <v>36</v>
      </c>
      <c r="G197"/>
      <c r="H197" t="s">
        <v>525</v>
      </c>
      <c r="I197" s="16">
        <v>-348657160000</v>
      </c>
      <c r="J197" s="16">
        <v>-581910020000</v>
      </c>
      <c r="K197" s="16" t="s">
        <v>1137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1355</v>
      </c>
      <c r="P197" s="8" t="s">
        <v>1355</v>
      </c>
      <c r="Q197" s="8" t="s">
        <v>1355</v>
      </c>
      <c r="R197" s="8" t="s">
        <v>1355</v>
      </c>
      <c r="S197" s="27" t="s">
        <v>1355</v>
      </c>
      <c r="T197" s="27" t="s">
        <v>1355</v>
      </c>
      <c r="U197" s="8" t="s">
        <v>1355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288</v>
      </c>
      <c r="B198" s="62"/>
      <c r="C198" s="63" t="s">
        <v>526</v>
      </c>
      <c r="D198" s="62" t="s">
        <v>524</v>
      </c>
      <c r="E198" t="s">
        <v>113</v>
      </c>
      <c r="F198" t="s">
        <v>36</v>
      </c>
      <c r="G198"/>
      <c r="H198" t="s">
        <v>527</v>
      </c>
      <c r="I198" s="16">
        <v>-348657160000</v>
      </c>
      <c r="J198" s="16">
        <v>-581910020000</v>
      </c>
      <c r="K198" s="16" t="s">
        <v>1138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1355</v>
      </c>
      <c r="P198" s="8" t="s">
        <v>1355</v>
      </c>
      <c r="Q198" s="8" t="s">
        <v>1355</v>
      </c>
      <c r="R198" s="8" t="s">
        <v>1355</v>
      </c>
      <c r="S198" s="27" t="s">
        <v>1355</v>
      </c>
      <c r="T198" s="27" t="s">
        <v>1355</v>
      </c>
      <c r="U198" s="8" t="s">
        <v>1355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332</v>
      </c>
      <c r="B199" s="62"/>
      <c r="C199" s="63" t="s">
        <v>528</v>
      </c>
      <c r="D199" s="62" t="s">
        <v>529</v>
      </c>
      <c r="E199" t="s">
        <v>19</v>
      </c>
      <c r="F199" t="s">
        <v>36</v>
      </c>
      <c r="G199"/>
      <c r="H199" t="s">
        <v>525</v>
      </c>
      <c r="I199" s="16">
        <v>-348711900000</v>
      </c>
      <c r="J199" s="16">
        <v>-581914850000</v>
      </c>
      <c r="K199" s="16" t="s">
        <v>1139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1355</v>
      </c>
      <c r="P199" s="8" t="s">
        <v>1355</v>
      </c>
      <c r="Q199" s="8" t="s">
        <v>1355</v>
      </c>
      <c r="R199" s="8"/>
      <c r="S199" s="27" t="s">
        <v>1355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332</v>
      </c>
      <c r="B200" s="62"/>
      <c r="C200" s="63" t="s">
        <v>530</v>
      </c>
      <c r="D200" s="62" t="s">
        <v>529</v>
      </c>
      <c r="E200" t="s">
        <v>113</v>
      </c>
      <c r="F200" t="s">
        <v>36</v>
      </c>
      <c r="G200"/>
      <c r="H200" t="s">
        <v>527</v>
      </c>
      <c r="I200" s="16">
        <v>-348711900000</v>
      </c>
      <c r="J200" s="16">
        <v>-581914850000</v>
      </c>
      <c r="K200" s="16" t="s">
        <v>1140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1355</v>
      </c>
      <c r="P200" s="8" t="s">
        <v>1355</v>
      </c>
      <c r="Q200" s="8" t="s">
        <v>1355</v>
      </c>
      <c r="R200" s="8"/>
      <c r="S200" s="27" t="s">
        <v>1355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357</v>
      </c>
      <c r="B201" s="62"/>
      <c r="C201" s="63" t="s">
        <v>1150</v>
      </c>
      <c r="D201" s="62" t="s">
        <v>531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1151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357</v>
      </c>
      <c r="B202" s="62"/>
      <c r="C202" s="63" t="s">
        <v>532</v>
      </c>
      <c r="D202" s="62" t="s">
        <v>531</v>
      </c>
      <c r="E202" t="s">
        <v>113</v>
      </c>
      <c r="F202" t="s">
        <v>36</v>
      </c>
      <c r="G202"/>
      <c r="H202" t="s">
        <v>533</v>
      </c>
      <c r="I202" s="16">
        <v>-348095830000</v>
      </c>
      <c r="J202" s="16">
        <v>-583017120000</v>
      </c>
      <c r="K202" s="16" t="s">
        <v>1141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444</v>
      </c>
      <c r="B203" s="62"/>
      <c r="C203" s="63" t="s">
        <v>534</v>
      </c>
      <c r="D203" s="62" t="s">
        <v>535</v>
      </c>
      <c r="E203" t="s">
        <v>113</v>
      </c>
      <c r="F203" t="s">
        <v>36</v>
      </c>
      <c r="G203"/>
      <c r="H203" t="s">
        <v>536</v>
      </c>
      <c r="I203" s="16">
        <v>-348071780000</v>
      </c>
      <c r="J203" s="16">
        <v>-583115710000</v>
      </c>
      <c r="K203" s="16" t="s">
        <v>1142</v>
      </c>
      <c r="L203" s="57">
        <f t="shared" si="17"/>
        <v>23</v>
      </c>
      <c r="M203" s="17">
        <f t="shared" si="15"/>
        <v>7</v>
      </c>
      <c r="N203" s="18">
        <f t="shared" si="16"/>
        <v>0.76666666666666672</v>
      </c>
      <c r="O203" s="27"/>
      <c r="P203" s="8"/>
      <c r="Q203" s="8" t="s">
        <v>1355</v>
      </c>
      <c r="R203" s="8" t="s">
        <v>1355</v>
      </c>
      <c r="S203" s="27" t="s">
        <v>1355</v>
      </c>
      <c r="T203" s="27" t="s">
        <v>1355</v>
      </c>
      <c r="U203" s="8" t="s">
        <v>1355</v>
      </c>
      <c r="V203" s="8" t="s">
        <v>1355</v>
      </c>
      <c r="W203" s="8"/>
      <c r="X203" s="27"/>
      <c r="Y203" s="27"/>
      <c r="Z203" s="27"/>
      <c r="AA203" s="27" t="s">
        <v>1355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537</v>
      </c>
      <c r="B204" s="62"/>
      <c r="C204" s="63" t="s">
        <v>538</v>
      </c>
      <c r="D204" s="62" t="s">
        <v>539</v>
      </c>
      <c r="E204" t="s">
        <v>19</v>
      </c>
      <c r="F204" t="s">
        <v>36</v>
      </c>
      <c r="G204"/>
      <c r="H204" t="s">
        <v>533</v>
      </c>
      <c r="I204" s="16">
        <v>-348476780000</v>
      </c>
      <c r="J204" s="16">
        <v>-582894530000</v>
      </c>
      <c r="K204" s="16" t="s">
        <v>1144</v>
      </c>
      <c r="L204" s="57">
        <f t="shared" si="17"/>
        <v>29</v>
      </c>
      <c r="M204" s="17">
        <f t="shared" si="15"/>
        <v>1</v>
      </c>
      <c r="N204" s="18">
        <f t="shared" si="16"/>
        <v>0.96666666666666667</v>
      </c>
      <c r="O204" s="27" t="s">
        <v>1355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537</v>
      </c>
      <c r="B205" s="62"/>
      <c r="C205" s="63" t="s">
        <v>540</v>
      </c>
      <c r="D205" s="62" t="s">
        <v>539</v>
      </c>
      <c r="E205" t="s">
        <v>113</v>
      </c>
      <c r="F205" t="s">
        <v>36</v>
      </c>
      <c r="G205"/>
      <c r="H205" t="s">
        <v>533</v>
      </c>
      <c r="I205" s="16">
        <v>-348477280000</v>
      </c>
      <c r="J205" s="16">
        <v>-582894670000</v>
      </c>
      <c r="K205" s="16" t="s">
        <v>1145</v>
      </c>
      <c r="L205" s="57">
        <f t="shared" si="17"/>
        <v>29</v>
      </c>
      <c r="M205" s="17">
        <f t="shared" si="15"/>
        <v>1</v>
      </c>
      <c r="N205" s="18">
        <f t="shared" si="16"/>
        <v>0.96666666666666667</v>
      </c>
      <c r="O205" s="27" t="s">
        <v>1355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541</v>
      </c>
      <c r="B206" s="62"/>
      <c r="C206" s="63" t="s">
        <v>542</v>
      </c>
      <c r="D206" s="62" t="s">
        <v>543</v>
      </c>
      <c r="E206" t="s">
        <v>19</v>
      </c>
      <c r="F206" t="s">
        <v>36</v>
      </c>
      <c r="G206"/>
      <c r="H206" t="s">
        <v>533</v>
      </c>
      <c r="I206" s="16">
        <v>-348676700000</v>
      </c>
      <c r="J206" s="16">
        <v>-582754020000</v>
      </c>
      <c r="K206" s="16" t="s">
        <v>1152</v>
      </c>
      <c r="L206" s="57">
        <f t="shared" si="17"/>
        <v>12</v>
      </c>
      <c r="M206" s="17">
        <f t="shared" si="15"/>
        <v>18</v>
      </c>
      <c r="N206" s="18">
        <f t="shared" si="16"/>
        <v>0.4</v>
      </c>
      <c r="O206" s="27" t="s">
        <v>1355</v>
      </c>
      <c r="P206" s="8" t="s">
        <v>1355</v>
      </c>
      <c r="Q206" s="8" t="s">
        <v>1355</v>
      </c>
      <c r="R206" s="8" t="s">
        <v>1355</v>
      </c>
      <c r="S206" s="27" t="s">
        <v>1355</v>
      </c>
      <c r="T206" s="27" t="s">
        <v>1355</v>
      </c>
      <c r="U206" s="8" t="s">
        <v>1355</v>
      </c>
      <c r="V206" s="8" t="s">
        <v>1355</v>
      </c>
      <c r="W206" s="8" t="s">
        <v>1355</v>
      </c>
      <c r="X206" s="27" t="s">
        <v>1355</v>
      </c>
      <c r="Y206" s="27" t="s">
        <v>1355</v>
      </c>
      <c r="Z206" s="27" t="s">
        <v>1355</v>
      </c>
      <c r="AA206" s="27" t="s">
        <v>1355</v>
      </c>
      <c r="AB206" s="27" t="s">
        <v>1355</v>
      </c>
      <c r="AC206" s="27" t="s">
        <v>1355</v>
      </c>
      <c r="AD206" s="27" t="s">
        <v>1355</v>
      </c>
      <c r="AE206" s="27"/>
      <c r="AF206" s="27" t="s">
        <v>1355</v>
      </c>
      <c r="AG206" s="27" t="s">
        <v>1355</v>
      </c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309</v>
      </c>
      <c r="B207" s="62"/>
      <c r="C207" s="63" t="s">
        <v>544</v>
      </c>
      <c r="D207" s="62" t="s">
        <v>545</v>
      </c>
      <c r="E207" t="s">
        <v>19</v>
      </c>
      <c r="F207" t="s">
        <v>942</v>
      </c>
      <c r="G207"/>
      <c r="H207" t="s">
        <v>546</v>
      </c>
      <c r="I207" s="16">
        <v>-348181990000</v>
      </c>
      <c r="J207" s="16">
        <v>-583002490000</v>
      </c>
      <c r="K207" s="16" t="s">
        <v>1146</v>
      </c>
      <c r="L207" s="57">
        <f t="shared" si="17"/>
        <v>12</v>
      </c>
      <c r="M207" s="17">
        <f t="shared" si="15"/>
        <v>18</v>
      </c>
      <c r="N207" s="18">
        <f t="shared" si="16"/>
        <v>0.4</v>
      </c>
      <c r="O207" s="27" t="s">
        <v>1355</v>
      </c>
      <c r="P207" s="8" t="s">
        <v>1355</v>
      </c>
      <c r="Q207" s="8" t="s">
        <v>1355</v>
      </c>
      <c r="R207" s="8" t="s">
        <v>1355</v>
      </c>
      <c r="S207" s="27" t="s">
        <v>1355</v>
      </c>
      <c r="T207" s="27" t="s">
        <v>1355</v>
      </c>
      <c r="U207" s="8" t="s">
        <v>1355</v>
      </c>
      <c r="V207" s="8" t="s">
        <v>1355</v>
      </c>
      <c r="W207" s="8" t="s">
        <v>1355</v>
      </c>
      <c r="X207" s="27" t="s">
        <v>1355</v>
      </c>
      <c r="Y207" s="27" t="s">
        <v>1355</v>
      </c>
      <c r="Z207" s="27" t="s">
        <v>1355</v>
      </c>
      <c r="AA207" s="27" t="s">
        <v>1355</v>
      </c>
      <c r="AB207" s="27" t="s">
        <v>1355</v>
      </c>
      <c r="AC207" s="27" t="s">
        <v>1355</v>
      </c>
      <c r="AD207" s="27" t="s">
        <v>1355</v>
      </c>
      <c r="AE207" s="27"/>
      <c r="AF207" s="27" t="s">
        <v>1355</v>
      </c>
      <c r="AG207" s="27" t="s">
        <v>1355</v>
      </c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309</v>
      </c>
      <c r="B208" s="62"/>
      <c r="C208" s="63" t="s">
        <v>547</v>
      </c>
      <c r="D208" s="62" t="s">
        <v>545</v>
      </c>
      <c r="E208" t="s">
        <v>113</v>
      </c>
      <c r="F208" t="s">
        <v>942</v>
      </c>
      <c r="G208"/>
      <c r="H208" t="s">
        <v>546</v>
      </c>
      <c r="I208" s="16">
        <v>-348181940000</v>
      </c>
      <c r="J208" s="16">
        <v>-583002740000</v>
      </c>
      <c r="K208" s="16" t="s">
        <v>1147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1355</v>
      </c>
      <c r="P208" s="8" t="s">
        <v>1355</v>
      </c>
      <c r="Q208" s="8" t="s">
        <v>1355</v>
      </c>
      <c r="R208" s="8" t="s">
        <v>1355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548</v>
      </c>
      <c r="B209" s="62"/>
      <c r="C209" s="63" t="s">
        <v>549</v>
      </c>
      <c r="D209" s="62" t="s">
        <v>1346</v>
      </c>
      <c r="E209" t="s">
        <v>19</v>
      </c>
      <c r="F209" t="s">
        <v>36</v>
      </c>
      <c r="G209"/>
      <c r="H209" t="s">
        <v>340</v>
      </c>
      <c r="I209" s="16">
        <v>-348181790000</v>
      </c>
      <c r="J209" s="16">
        <v>-582067620000</v>
      </c>
      <c r="K209" s="16" t="s">
        <v>1153</v>
      </c>
      <c r="L209" s="57">
        <f t="shared" si="17"/>
        <v>13</v>
      </c>
      <c r="M209" s="17">
        <f t="shared" si="15"/>
        <v>17</v>
      </c>
      <c r="N209" s="18">
        <f t="shared" si="16"/>
        <v>0.43333333333333335</v>
      </c>
      <c r="O209" s="27"/>
      <c r="P209" s="8" t="s">
        <v>1355</v>
      </c>
      <c r="Q209" s="8" t="s">
        <v>1355</v>
      </c>
      <c r="R209" s="8" t="s">
        <v>1355</v>
      </c>
      <c r="S209" s="27" t="s">
        <v>1355</v>
      </c>
      <c r="T209" s="27" t="s">
        <v>1355</v>
      </c>
      <c r="U209" s="8" t="s">
        <v>1355</v>
      </c>
      <c r="V209" s="8" t="s">
        <v>1355</v>
      </c>
      <c r="W209" s="8" t="s">
        <v>1355</v>
      </c>
      <c r="X209" s="27" t="s">
        <v>1355</v>
      </c>
      <c r="Y209" s="27" t="s">
        <v>1355</v>
      </c>
      <c r="Z209" s="27" t="s">
        <v>1355</v>
      </c>
      <c r="AA209" s="27" t="s">
        <v>1355</v>
      </c>
      <c r="AB209" s="27" t="s">
        <v>1355</v>
      </c>
      <c r="AC209" s="27" t="s">
        <v>1355</v>
      </c>
      <c r="AD209" s="27" t="s">
        <v>1355</v>
      </c>
      <c r="AE209" s="27"/>
      <c r="AF209" s="27" t="s">
        <v>1355</v>
      </c>
      <c r="AG209" s="27" t="s">
        <v>1355</v>
      </c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548</v>
      </c>
      <c r="B210" s="62"/>
      <c r="C210" s="63" t="s">
        <v>550</v>
      </c>
      <c r="D210" s="62" t="s">
        <v>1346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1154</v>
      </c>
      <c r="L210" s="57">
        <f t="shared" si="17"/>
        <v>13</v>
      </c>
      <c r="M210" s="17">
        <f t="shared" si="15"/>
        <v>17</v>
      </c>
      <c r="N210" s="18">
        <f t="shared" si="16"/>
        <v>0.43333333333333335</v>
      </c>
      <c r="O210" s="27"/>
      <c r="P210" s="8" t="s">
        <v>1355</v>
      </c>
      <c r="Q210" s="8" t="s">
        <v>1355</v>
      </c>
      <c r="R210" s="8" t="s">
        <v>1355</v>
      </c>
      <c r="S210" s="27" t="s">
        <v>1355</v>
      </c>
      <c r="T210" s="27" t="s">
        <v>1355</v>
      </c>
      <c r="U210" s="8" t="s">
        <v>1355</v>
      </c>
      <c r="V210" s="8" t="s">
        <v>1355</v>
      </c>
      <c r="W210" s="8" t="s">
        <v>1355</v>
      </c>
      <c r="X210" s="27" t="s">
        <v>1355</v>
      </c>
      <c r="Y210" s="27" t="s">
        <v>1355</v>
      </c>
      <c r="Z210" s="27" t="s">
        <v>1355</v>
      </c>
      <c r="AA210" s="27" t="s">
        <v>1355</v>
      </c>
      <c r="AB210" s="27" t="s">
        <v>1355</v>
      </c>
      <c r="AC210" s="27" t="s">
        <v>1355</v>
      </c>
      <c r="AD210" s="27" t="s">
        <v>1355</v>
      </c>
      <c r="AE210" s="27"/>
      <c r="AF210" s="27" t="s">
        <v>1355</v>
      </c>
      <c r="AG210" s="27" t="s">
        <v>1355</v>
      </c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537</v>
      </c>
      <c r="B211" s="62"/>
      <c r="C211" s="63" t="s">
        <v>551</v>
      </c>
      <c r="D211" s="62" t="s">
        <v>552</v>
      </c>
      <c r="E211" t="s">
        <v>19</v>
      </c>
      <c r="F211" t="s">
        <v>36</v>
      </c>
      <c r="G211"/>
      <c r="H211" t="s">
        <v>533</v>
      </c>
      <c r="I211" s="16">
        <v>-348315930000</v>
      </c>
      <c r="J211" s="16">
        <v>-582907280000</v>
      </c>
      <c r="K211" s="16" t="s">
        <v>1149</v>
      </c>
      <c r="L211" s="57">
        <f t="shared" si="17"/>
        <v>12</v>
      </c>
      <c r="M211" s="17">
        <f t="shared" si="15"/>
        <v>18</v>
      </c>
      <c r="N211" s="18">
        <f t="shared" si="16"/>
        <v>0.4</v>
      </c>
      <c r="O211" s="27" t="s">
        <v>1355</v>
      </c>
      <c r="P211" s="8" t="s">
        <v>1355</v>
      </c>
      <c r="Q211" s="8" t="s">
        <v>1355</v>
      </c>
      <c r="R211" s="8" t="s">
        <v>1355</v>
      </c>
      <c r="S211" s="27" t="s">
        <v>1355</v>
      </c>
      <c r="T211" s="27" t="s">
        <v>1355</v>
      </c>
      <c r="U211" s="8" t="s">
        <v>1355</v>
      </c>
      <c r="V211" s="8" t="s">
        <v>1355</v>
      </c>
      <c r="W211" s="8" t="s">
        <v>1355</v>
      </c>
      <c r="X211" s="27" t="s">
        <v>1355</v>
      </c>
      <c r="Y211" s="27" t="s">
        <v>1355</v>
      </c>
      <c r="Z211" s="27" t="s">
        <v>1355</v>
      </c>
      <c r="AA211" s="27" t="s">
        <v>1355</v>
      </c>
      <c r="AB211" s="27" t="s">
        <v>1355</v>
      </c>
      <c r="AC211" s="27" t="s">
        <v>1355</v>
      </c>
      <c r="AD211" s="27" t="s">
        <v>1355</v>
      </c>
      <c r="AE211" s="27"/>
      <c r="AF211" s="27" t="s">
        <v>1355</v>
      </c>
      <c r="AG211" s="27" t="s">
        <v>1355</v>
      </c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537</v>
      </c>
      <c r="B212" s="62"/>
      <c r="C212" s="63" t="s">
        <v>553</v>
      </c>
      <c r="D212" s="62" t="s">
        <v>552</v>
      </c>
      <c r="E212" t="s">
        <v>113</v>
      </c>
      <c r="F212" t="s">
        <v>36</v>
      </c>
      <c r="G212"/>
      <c r="H212" t="s">
        <v>533</v>
      </c>
      <c r="I212" s="16">
        <v>-348315930000</v>
      </c>
      <c r="J212" s="16">
        <v>-582907280000</v>
      </c>
      <c r="K212" s="16" t="s">
        <v>1148</v>
      </c>
      <c r="L212" s="57">
        <f t="shared" si="17"/>
        <v>12</v>
      </c>
      <c r="M212" s="17">
        <f t="shared" si="15"/>
        <v>18</v>
      </c>
      <c r="N212" s="18">
        <f t="shared" si="16"/>
        <v>0.4</v>
      </c>
      <c r="O212" s="27" t="s">
        <v>1355</v>
      </c>
      <c r="P212" s="8" t="s">
        <v>1355</v>
      </c>
      <c r="Q212" s="8" t="s">
        <v>1355</v>
      </c>
      <c r="R212" s="8" t="s">
        <v>1355</v>
      </c>
      <c r="S212" s="27" t="s">
        <v>1355</v>
      </c>
      <c r="T212" s="27" t="s">
        <v>1355</v>
      </c>
      <c r="U212" s="8" t="s">
        <v>1355</v>
      </c>
      <c r="V212" s="8" t="s">
        <v>1355</v>
      </c>
      <c r="W212" s="8" t="s">
        <v>1355</v>
      </c>
      <c r="X212" s="27" t="s">
        <v>1355</v>
      </c>
      <c r="Y212" s="27" t="s">
        <v>1355</v>
      </c>
      <c r="Z212" s="27" t="s">
        <v>1355</v>
      </c>
      <c r="AA212" s="27" t="s">
        <v>1355</v>
      </c>
      <c r="AB212" s="27" t="s">
        <v>1355</v>
      </c>
      <c r="AC212" s="27" t="s">
        <v>1355</v>
      </c>
      <c r="AD212" s="27" t="s">
        <v>1355</v>
      </c>
      <c r="AE212" s="27"/>
      <c r="AF212" s="27" t="s">
        <v>1355</v>
      </c>
      <c r="AG212" s="27" t="s">
        <v>1355</v>
      </c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444</v>
      </c>
      <c r="B213" s="62"/>
      <c r="C213" s="63" t="s">
        <v>554</v>
      </c>
      <c r="D213" s="62" t="s">
        <v>535</v>
      </c>
      <c r="E213" t="s">
        <v>19</v>
      </c>
      <c r="F213" t="s">
        <v>36</v>
      </c>
      <c r="G213"/>
      <c r="H213" t="s">
        <v>533</v>
      </c>
      <c r="I213" s="16">
        <v>-348071730000</v>
      </c>
      <c r="J213" s="16">
        <v>-583116710000</v>
      </c>
      <c r="K213" s="16" t="s">
        <v>1143</v>
      </c>
      <c r="L213" s="57">
        <f t="shared" si="17"/>
        <v>21</v>
      </c>
      <c r="M213" s="17">
        <f t="shared" si="15"/>
        <v>9</v>
      </c>
      <c r="N213" s="18">
        <f t="shared" si="16"/>
        <v>0.7</v>
      </c>
      <c r="O213" s="27" t="s">
        <v>1355</v>
      </c>
      <c r="P213" s="8" t="s">
        <v>1355</v>
      </c>
      <c r="Q213" s="8" t="s">
        <v>1355</v>
      </c>
      <c r="R213" s="8" t="s">
        <v>1355</v>
      </c>
      <c r="S213" s="27" t="s">
        <v>1355</v>
      </c>
      <c r="T213" s="27" t="s">
        <v>1355</v>
      </c>
      <c r="U213" s="8" t="s">
        <v>1355</v>
      </c>
      <c r="V213" s="8" t="s">
        <v>1355</v>
      </c>
      <c r="W213" s="8"/>
      <c r="X213" s="27"/>
      <c r="Y213" s="27"/>
      <c r="Z213" s="27"/>
      <c r="AA213" s="27" t="s">
        <v>1355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555</v>
      </c>
      <c r="B214" s="62"/>
      <c r="C214" s="63" t="s">
        <v>556</v>
      </c>
      <c r="D214" s="62" t="s">
        <v>557</v>
      </c>
      <c r="E214" t="s">
        <v>19</v>
      </c>
      <c r="F214" t="s">
        <v>36</v>
      </c>
      <c r="G214"/>
      <c r="H214" t="s">
        <v>558</v>
      </c>
      <c r="I214" s="16">
        <v>-348307510000</v>
      </c>
      <c r="J214" s="16">
        <v>-582304880000</v>
      </c>
      <c r="K214" s="16" t="s">
        <v>1155</v>
      </c>
      <c r="L214" s="57">
        <f t="shared" si="17"/>
        <v>28</v>
      </c>
      <c r="M214" s="17">
        <f t="shared" si="15"/>
        <v>2</v>
      </c>
      <c r="N214" s="18">
        <f t="shared" si="16"/>
        <v>0.93333333333333335</v>
      </c>
      <c r="O214" s="27"/>
      <c r="P214" s="8" t="s">
        <v>1355</v>
      </c>
      <c r="Q214" s="8" t="s">
        <v>1355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555</v>
      </c>
      <c r="B215" s="62"/>
      <c r="C215" s="63" t="s">
        <v>559</v>
      </c>
      <c r="D215" s="62" t="s">
        <v>560</v>
      </c>
      <c r="E215" t="s">
        <v>19</v>
      </c>
      <c r="F215" t="s">
        <v>36</v>
      </c>
      <c r="G215"/>
      <c r="H215" t="s">
        <v>340</v>
      </c>
      <c r="I215" s="16">
        <v>-348296530000</v>
      </c>
      <c r="J215" s="16">
        <v>-582293330000</v>
      </c>
      <c r="K215" s="16" t="s">
        <v>1156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1355</v>
      </c>
      <c r="Q215" s="8" t="s">
        <v>1355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555</v>
      </c>
      <c r="B216" s="62"/>
      <c r="C216" s="63" t="s">
        <v>561</v>
      </c>
      <c r="D216" s="62" t="s">
        <v>562</v>
      </c>
      <c r="E216" t="s">
        <v>113</v>
      </c>
      <c r="F216" t="s">
        <v>36</v>
      </c>
      <c r="G216"/>
      <c r="H216" t="s">
        <v>563</v>
      </c>
      <c r="I216" s="16">
        <v>-348304210000</v>
      </c>
      <c r="J216" s="16">
        <v>-582269250000</v>
      </c>
      <c r="K216" s="16" t="s">
        <v>1157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1355</v>
      </c>
      <c r="Q216" s="8" t="s">
        <v>1355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555</v>
      </c>
      <c r="B217" s="62"/>
      <c r="C217" s="63" t="s">
        <v>564</v>
      </c>
      <c r="D217" s="62" t="s">
        <v>562</v>
      </c>
      <c r="E217" t="s">
        <v>113</v>
      </c>
      <c r="F217" t="s">
        <v>36</v>
      </c>
      <c r="G217"/>
      <c r="H217" t="s">
        <v>563</v>
      </c>
      <c r="I217" s="16">
        <v>-348304120000</v>
      </c>
      <c r="J217" s="16">
        <v>-582269240000</v>
      </c>
      <c r="K217" s="16" t="s">
        <v>1158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1355</v>
      </c>
      <c r="Q217" s="8" t="s">
        <v>1355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555</v>
      </c>
      <c r="B218" s="62"/>
      <c r="C218" s="63" t="s">
        <v>565</v>
      </c>
      <c r="D218" s="62" t="s">
        <v>566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1159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1355</v>
      </c>
      <c r="P218" s="8" t="s">
        <v>1355</v>
      </c>
      <c r="Q218" s="8" t="s">
        <v>1355</v>
      </c>
      <c r="R218" s="8" t="s">
        <v>1355</v>
      </c>
      <c r="S218" s="27" t="s">
        <v>1355</v>
      </c>
      <c r="T218" s="27" t="s">
        <v>1355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555</v>
      </c>
      <c r="B219" s="62"/>
      <c r="C219" s="63" t="s">
        <v>567</v>
      </c>
      <c r="D219" s="62" t="s">
        <v>566</v>
      </c>
      <c r="E219" t="s">
        <v>73</v>
      </c>
      <c r="F219" t="s">
        <v>36</v>
      </c>
      <c r="G219"/>
      <c r="H219" t="s">
        <v>568</v>
      </c>
      <c r="I219" s="16">
        <v>-348327560000</v>
      </c>
      <c r="J219" s="16">
        <v>-582277570000</v>
      </c>
      <c r="K219" s="16" t="s">
        <v>1160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1355</v>
      </c>
      <c r="P219" s="8" t="s">
        <v>1355</v>
      </c>
      <c r="Q219" s="8" t="s">
        <v>1355</v>
      </c>
      <c r="R219" s="8" t="s">
        <v>1355</v>
      </c>
      <c r="S219" s="27" t="s">
        <v>1355</v>
      </c>
      <c r="T219" s="27" t="s">
        <v>1355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569</v>
      </c>
      <c r="B220" s="62"/>
      <c r="C220" s="63" t="s">
        <v>570</v>
      </c>
      <c r="D220" s="62" t="s">
        <v>571</v>
      </c>
      <c r="E220" t="s">
        <v>19</v>
      </c>
      <c r="F220" t="s">
        <v>36</v>
      </c>
      <c r="G220"/>
      <c r="H220" t="s">
        <v>340</v>
      </c>
      <c r="I220" s="16">
        <v>-348284690000</v>
      </c>
      <c r="J220" s="16">
        <v>-582281770000</v>
      </c>
      <c r="K220" s="16" t="s">
        <v>1161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1355</v>
      </c>
      <c r="Q220" s="8" t="s">
        <v>1355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569</v>
      </c>
      <c r="B221" s="62"/>
      <c r="C221" s="63" t="s">
        <v>572</v>
      </c>
      <c r="D221" s="62" t="s">
        <v>573</v>
      </c>
      <c r="E221" t="s">
        <v>19</v>
      </c>
      <c r="F221" t="s">
        <v>36</v>
      </c>
      <c r="G221"/>
      <c r="H221" t="s">
        <v>340</v>
      </c>
      <c r="I221" s="16">
        <v>-348266150000</v>
      </c>
      <c r="J221" s="16">
        <v>-582261560000</v>
      </c>
      <c r="K221" s="16" t="s">
        <v>1164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1355</v>
      </c>
      <c r="Q221" s="8" t="s">
        <v>1355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569</v>
      </c>
      <c r="B222" s="62"/>
      <c r="C222" s="63" t="s">
        <v>574</v>
      </c>
      <c r="D222" s="62" t="s">
        <v>575</v>
      </c>
      <c r="E222" t="s">
        <v>113</v>
      </c>
      <c r="F222" t="s">
        <v>36</v>
      </c>
      <c r="G222"/>
      <c r="H222" t="s">
        <v>563</v>
      </c>
      <c r="I222" s="16">
        <v>-348268070000</v>
      </c>
      <c r="J222" s="16">
        <v>-582275680000</v>
      </c>
      <c r="K222" s="16" t="s">
        <v>1162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1355</v>
      </c>
      <c r="Q222" s="8" t="s">
        <v>1355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569</v>
      </c>
      <c r="B223" s="62"/>
      <c r="C223" s="63" t="s">
        <v>576</v>
      </c>
      <c r="D223" s="62" t="s">
        <v>575</v>
      </c>
      <c r="E223" t="s">
        <v>113</v>
      </c>
      <c r="F223" t="s">
        <v>36</v>
      </c>
      <c r="G223"/>
      <c r="H223" t="s">
        <v>577</v>
      </c>
      <c r="I223" s="16">
        <v>-348268070000</v>
      </c>
      <c r="J223" s="16">
        <v>-582275680000</v>
      </c>
      <c r="K223" s="16" t="s">
        <v>1163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1355</v>
      </c>
      <c r="Q223" s="8" t="s">
        <v>1355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569</v>
      </c>
      <c r="B224" s="60">
        <v>44629</v>
      </c>
      <c r="C224" s="63" t="s">
        <v>578</v>
      </c>
      <c r="D224" s="62" t="s">
        <v>579</v>
      </c>
      <c r="E224" t="s">
        <v>19</v>
      </c>
      <c r="F224" t="s">
        <v>36</v>
      </c>
      <c r="G224"/>
      <c r="H224" t="s">
        <v>580</v>
      </c>
      <c r="I224" s="16">
        <v>-348255670000</v>
      </c>
      <c r="J224" s="16">
        <v>-582250020000</v>
      </c>
      <c r="K224" s="16" t="s">
        <v>1165</v>
      </c>
      <c r="L224" s="57">
        <f t="shared" si="17"/>
        <v>26</v>
      </c>
      <c r="M224" s="17">
        <f t="shared" si="15"/>
        <v>4</v>
      </c>
      <c r="N224" s="18">
        <f t="shared" si="16"/>
        <v>0.8666666666666667</v>
      </c>
      <c r="O224" s="27"/>
      <c r="P224" s="8" t="s">
        <v>1355</v>
      </c>
      <c r="Q224" s="8" t="s">
        <v>1355</v>
      </c>
      <c r="R224" s="8"/>
      <c r="S224" s="27"/>
      <c r="T224" s="27"/>
      <c r="U224" s="8"/>
      <c r="V224" s="8"/>
      <c r="W224" s="8"/>
      <c r="X224" s="27"/>
      <c r="Y224" s="27" t="s">
        <v>1355</v>
      </c>
      <c r="Z224" s="27" t="s">
        <v>1355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411</v>
      </c>
      <c r="B225" s="62"/>
      <c r="C225" s="63" t="s">
        <v>581</v>
      </c>
      <c r="D225" s="62" t="s">
        <v>582</v>
      </c>
      <c r="E225" t="s">
        <v>24</v>
      </c>
      <c r="F225" t="s">
        <v>36</v>
      </c>
      <c r="G225" t="s">
        <v>583</v>
      </c>
      <c r="H225"/>
      <c r="I225" s="16">
        <v>-347820290000</v>
      </c>
      <c r="J225" s="16">
        <v>-582627140000</v>
      </c>
      <c r="K225" s="16" t="s">
        <v>1166</v>
      </c>
      <c r="L225" s="57">
        <f t="shared" si="17"/>
        <v>29</v>
      </c>
      <c r="M225" s="17">
        <f t="shared" si="15"/>
        <v>1</v>
      </c>
      <c r="N225" s="18">
        <f t="shared" si="16"/>
        <v>0.96666666666666667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 t="s">
        <v>1355</v>
      </c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584</v>
      </c>
      <c r="B226" s="62"/>
      <c r="C226" s="63" t="s">
        <v>585</v>
      </c>
      <c r="D226" s="62" t="s">
        <v>586</v>
      </c>
      <c r="E226" t="s">
        <v>24</v>
      </c>
      <c r="F226" t="s">
        <v>36</v>
      </c>
      <c r="G226" t="s">
        <v>587</v>
      </c>
      <c r="H226"/>
      <c r="I226" s="16">
        <v>-347820510000</v>
      </c>
      <c r="J226" s="16">
        <v>-582792740000</v>
      </c>
      <c r="K226" s="16" t="s">
        <v>1167</v>
      </c>
      <c r="L226" s="57">
        <f t="shared" si="17"/>
        <v>23</v>
      </c>
      <c r="M226" s="17">
        <f t="shared" si="15"/>
        <v>7</v>
      </c>
      <c r="N226" s="18">
        <f t="shared" si="16"/>
        <v>0.76666666666666672</v>
      </c>
      <c r="O226" s="27"/>
      <c r="P226" s="8"/>
      <c r="Q226" s="8"/>
      <c r="R226" s="8" t="s">
        <v>1355</v>
      </c>
      <c r="S226" s="27" t="s">
        <v>1355</v>
      </c>
      <c r="T226" s="27" t="s">
        <v>1355</v>
      </c>
      <c r="U226" s="8" t="s">
        <v>1355</v>
      </c>
      <c r="V226" s="8" t="s">
        <v>1355</v>
      </c>
      <c r="W226" s="8" t="s">
        <v>1355</v>
      </c>
      <c r="X226" s="27" t="s">
        <v>1355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584</v>
      </c>
      <c r="B227" s="62"/>
      <c r="C227" s="63" t="s">
        <v>588</v>
      </c>
      <c r="D227" s="62" t="s">
        <v>589</v>
      </c>
      <c r="E227" t="s">
        <v>24</v>
      </c>
      <c r="F227" t="s">
        <v>36</v>
      </c>
      <c r="G227" t="s">
        <v>590</v>
      </c>
      <c r="H227"/>
      <c r="I227" s="16">
        <v>-347891490000</v>
      </c>
      <c r="J227" s="16">
        <v>-582788520000</v>
      </c>
      <c r="K227" s="16" t="s">
        <v>1168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591</v>
      </c>
      <c r="B228" s="62"/>
      <c r="C228" s="63" t="s">
        <v>592</v>
      </c>
      <c r="D228" s="62" t="s">
        <v>593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1169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455</v>
      </c>
      <c r="B229" s="62"/>
      <c r="C229" s="63" t="s">
        <v>594</v>
      </c>
      <c r="D229" s="62" t="s">
        <v>595</v>
      </c>
      <c r="E229" t="s">
        <v>24</v>
      </c>
      <c r="F229" t="s">
        <v>36</v>
      </c>
      <c r="G229" t="s">
        <v>596</v>
      </c>
      <c r="H229"/>
      <c r="I229" s="16">
        <v>-347803150000</v>
      </c>
      <c r="J229" s="16">
        <v>-582792150000</v>
      </c>
      <c r="K229" s="16" t="s">
        <v>1172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455</v>
      </c>
      <c r="B230" s="60">
        <v>44642</v>
      </c>
      <c r="C230" s="63" t="s">
        <v>597</v>
      </c>
      <c r="D230" s="62" t="s">
        <v>598</v>
      </c>
      <c r="E230" t="s">
        <v>24</v>
      </c>
      <c r="F230" t="s">
        <v>36</v>
      </c>
      <c r="G230" t="s">
        <v>599</v>
      </c>
      <c r="H230"/>
      <c r="I230" s="16">
        <v>-347724810000</v>
      </c>
      <c r="J230" s="16">
        <v>-582779860000</v>
      </c>
      <c r="K230" s="16" t="s">
        <v>1173</v>
      </c>
      <c r="L230" s="57">
        <f t="shared" si="17"/>
        <v>21</v>
      </c>
      <c r="M230" s="17">
        <f t="shared" si="15"/>
        <v>9</v>
      </c>
      <c r="N230" s="18">
        <f t="shared" si="16"/>
        <v>0.7</v>
      </c>
      <c r="O230" s="27" t="s">
        <v>1355</v>
      </c>
      <c r="P230" s="8" t="s">
        <v>1355</v>
      </c>
      <c r="Q230" s="8" t="s">
        <v>1355</v>
      </c>
      <c r="R230" s="8" t="s">
        <v>1355</v>
      </c>
      <c r="S230" s="27" t="s">
        <v>1355</v>
      </c>
      <c r="T230" s="27"/>
      <c r="U230" s="8" t="s">
        <v>1355</v>
      </c>
      <c r="V230" s="8"/>
      <c r="W230" s="8" t="s">
        <v>1355</v>
      </c>
      <c r="X230" s="27" t="s">
        <v>1355</v>
      </c>
      <c r="Y230" s="27"/>
      <c r="Z230" s="27"/>
      <c r="AA230" s="27"/>
      <c r="AB230" s="27"/>
      <c r="AC230" s="27"/>
      <c r="AD230" s="27" t="s">
        <v>1355</v>
      </c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455</v>
      </c>
      <c r="B231" s="62"/>
      <c r="C231" s="63" t="s">
        <v>600</v>
      </c>
      <c r="D231" s="62" t="s">
        <v>601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1170</v>
      </c>
      <c r="L231" s="57">
        <f t="shared" si="17"/>
        <v>12</v>
      </c>
      <c r="M231" s="17">
        <f t="shared" si="15"/>
        <v>18</v>
      </c>
      <c r="N231" s="18">
        <f t="shared" si="16"/>
        <v>0.4</v>
      </c>
      <c r="O231" s="27" t="s">
        <v>1355</v>
      </c>
      <c r="P231" s="8" t="s">
        <v>1355</v>
      </c>
      <c r="Q231" s="8" t="s">
        <v>1355</v>
      </c>
      <c r="R231" s="8" t="s">
        <v>1355</v>
      </c>
      <c r="S231" s="27" t="s">
        <v>1355</v>
      </c>
      <c r="T231" s="27" t="s">
        <v>1355</v>
      </c>
      <c r="U231" s="8" t="s">
        <v>1355</v>
      </c>
      <c r="V231" s="8" t="s">
        <v>1355</v>
      </c>
      <c r="W231" s="8" t="s">
        <v>1355</v>
      </c>
      <c r="X231" s="27" t="s">
        <v>1355</v>
      </c>
      <c r="Y231" s="27" t="s">
        <v>1355</v>
      </c>
      <c r="Z231" s="27" t="s">
        <v>1355</v>
      </c>
      <c r="AA231" s="27" t="s">
        <v>1355</v>
      </c>
      <c r="AB231" s="27" t="s">
        <v>1355</v>
      </c>
      <c r="AC231" s="27" t="s">
        <v>1355</v>
      </c>
      <c r="AD231" s="27" t="s">
        <v>1355</v>
      </c>
      <c r="AE231" s="27"/>
      <c r="AF231" s="27" t="s">
        <v>1355</v>
      </c>
      <c r="AG231" s="27" t="s">
        <v>1355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455</v>
      </c>
      <c r="B232" s="62"/>
      <c r="C232" s="63" t="s">
        <v>602</v>
      </c>
      <c r="D232" s="62" t="s">
        <v>601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1171</v>
      </c>
      <c r="L232" s="57">
        <f t="shared" si="17"/>
        <v>12</v>
      </c>
      <c r="M232" s="17">
        <f t="shared" si="15"/>
        <v>18</v>
      </c>
      <c r="N232" s="18">
        <f t="shared" si="16"/>
        <v>0.4</v>
      </c>
      <c r="O232" s="27" t="s">
        <v>1355</v>
      </c>
      <c r="P232" s="8" t="s">
        <v>1355</v>
      </c>
      <c r="Q232" s="8" t="s">
        <v>1355</v>
      </c>
      <c r="R232" s="8" t="s">
        <v>1355</v>
      </c>
      <c r="S232" s="27" t="s">
        <v>1355</v>
      </c>
      <c r="T232" s="27" t="s">
        <v>1355</v>
      </c>
      <c r="U232" s="8" t="s">
        <v>1355</v>
      </c>
      <c r="V232" s="8" t="s">
        <v>1355</v>
      </c>
      <c r="W232" s="8" t="s">
        <v>1355</v>
      </c>
      <c r="X232" s="27" t="s">
        <v>1355</v>
      </c>
      <c r="Y232" s="27" t="s">
        <v>1355</v>
      </c>
      <c r="Z232" s="27" t="s">
        <v>1355</v>
      </c>
      <c r="AA232" s="27" t="s">
        <v>1355</v>
      </c>
      <c r="AB232" s="27" t="s">
        <v>1355</v>
      </c>
      <c r="AC232" s="27" t="s">
        <v>1355</v>
      </c>
      <c r="AD232" s="27" t="s">
        <v>1355</v>
      </c>
      <c r="AE232" s="27"/>
      <c r="AF232" s="27" t="s">
        <v>1355</v>
      </c>
      <c r="AG232" s="27" t="s">
        <v>1355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584</v>
      </c>
      <c r="B233" s="62"/>
      <c r="C233" s="63" t="s">
        <v>603</v>
      </c>
      <c r="D233" s="62" t="s">
        <v>604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1175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B234" s="62"/>
      <c r="C234" s="63" t="s">
        <v>605</v>
      </c>
      <c r="D234" s="62" t="s">
        <v>606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1176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607</v>
      </c>
      <c r="B235" s="62"/>
      <c r="C235" s="63" t="s">
        <v>608</v>
      </c>
      <c r="D235" s="62" t="s">
        <v>609</v>
      </c>
      <c r="E235" t="s">
        <v>24</v>
      </c>
      <c r="F235" t="s">
        <v>36</v>
      </c>
      <c r="G235"/>
      <c r="H235" t="s">
        <v>610</v>
      </c>
      <c r="I235" s="16">
        <v>-347813810000</v>
      </c>
      <c r="J235" s="16">
        <v>-582945970000</v>
      </c>
      <c r="K235" s="16" t="s">
        <v>1177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607</v>
      </c>
      <c r="B236" s="62"/>
      <c r="C236" s="63" t="s">
        <v>611</v>
      </c>
      <c r="D236" s="62" t="s">
        <v>609</v>
      </c>
      <c r="E236" t="s">
        <v>113</v>
      </c>
      <c r="F236" t="s">
        <v>36</v>
      </c>
      <c r="G236"/>
      <c r="H236" t="s">
        <v>612</v>
      </c>
      <c r="I236" s="16">
        <v>-347813820000</v>
      </c>
      <c r="J236" s="16">
        <v>-582946080000</v>
      </c>
      <c r="K236" s="16" t="s">
        <v>1178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607</v>
      </c>
      <c r="B237" s="62"/>
      <c r="C237" s="63" t="s">
        <v>613</v>
      </c>
      <c r="D237" s="62" t="s">
        <v>609</v>
      </c>
      <c r="E237" t="s">
        <v>113</v>
      </c>
      <c r="F237" t="s">
        <v>36</v>
      </c>
      <c r="G237"/>
      <c r="H237" t="s">
        <v>612</v>
      </c>
      <c r="I237" s="16">
        <v>-347813760000</v>
      </c>
      <c r="J237" s="16">
        <v>-582945930000</v>
      </c>
      <c r="K237" s="16" t="s">
        <v>1179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607</v>
      </c>
      <c r="B238" s="62"/>
      <c r="C238" s="63" t="s">
        <v>614</v>
      </c>
      <c r="D238" s="62" t="s">
        <v>615</v>
      </c>
      <c r="E238" t="s">
        <v>19</v>
      </c>
      <c r="F238" t="s">
        <v>25</v>
      </c>
      <c r="G238" t="s">
        <v>184</v>
      </c>
      <c r="H238" t="s">
        <v>616</v>
      </c>
      <c r="I238" s="16">
        <v>-347871630000</v>
      </c>
      <c r="J238" s="16">
        <v>-582901360000</v>
      </c>
      <c r="K238" s="16" t="s">
        <v>1174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617</v>
      </c>
      <c r="B239" s="62"/>
      <c r="C239" s="63" t="s">
        <v>618</v>
      </c>
      <c r="D239" s="62" t="s">
        <v>619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1180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617</v>
      </c>
      <c r="B240" s="62"/>
      <c r="C240" s="63" t="s">
        <v>620</v>
      </c>
      <c r="D240" s="62" t="s">
        <v>619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1181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607</v>
      </c>
      <c r="B241" s="62"/>
      <c r="C241" s="63" t="s">
        <v>621</v>
      </c>
      <c r="D241" s="62" t="s">
        <v>622</v>
      </c>
      <c r="E241" t="s">
        <v>113</v>
      </c>
      <c r="F241" t="s">
        <v>36</v>
      </c>
      <c r="G241" t="s">
        <v>623</v>
      </c>
      <c r="H241"/>
      <c r="I241" s="16">
        <v>-347831700000</v>
      </c>
      <c r="J241" s="16">
        <v>-582932590000</v>
      </c>
      <c r="K241" s="16" t="s">
        <v>1182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607</v>
      </c>
      <c r="B242" s="62"/>
      <c r="C242" s="63" t="s">
        <v>624</v>
      </c>
      <c r="D242" s="62" t="s">
        <v>622</v>
      </c>
      <c r="E242" t="s">
        <v>113</v>
      </c>
      <c r="F242" t="s">
        <v>36</v>
      </c>
      <c r="G242" t="s">
        <v>623</v>
      </c>
      <c r="H242"/>
      <c r="I242" s="16">
        <v>-347832580000</v>
      </c>
      <c r="J242" s="16">
        <v>-582932170000</v>
      </c>
      <c r="K242" s="16" t="s">
        <v>1183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607</v>
      </c>
      <c r="B243" s="62"/>
      <c r="C243" s="63" t="s">
        <v>625</v>
      </c>
      <c r="D243" s="62" t="s">
        <v>626</v>
      </c>
      <c r="E243" t="s">
        <v>113</v>
      </c>
      <c r="F243" t="s">
        <v>36</v>
      </c>
      <c r="G243" t="s">
        <v>627</v>
      </c>
      <c r="H243"/>
      <c r="I243" s="16">
        <v>-347819280000</v>
      </c>
      <c r="J243" s="16">
        <v>-582932800000</v>
      </c>
      <c r="K243" s="16" t="s">
        <v>1184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607</v>
      </c>
      <c r="B244" s="62"/>
      <c r="C244" s="63" t="s">
        <v>628</v>
      </c>
      <c r="D244" s="62" t="s">
        <v>626</v>
      </c>
      <c r="E244" t="s">
        <v>113</v>
      </c>
      <c r="F244" t="s">
        <v>36</v>
      </c>
      <c r="G244" t="s">
        <v>627</v>
      </c>
      <c r="H244"/>
      <c r="I244" s="16">
        <v>-347819190000</v>
      </c>
      <c r="J244" s="16">
        <v>-582932910000</v>
      </c>
      <c r="K244" s="16" t="s">
        <v>1185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617</v>
      </c>
      <c r="B245" s="62"/>
      <c r="C245" s="63" t="s">
        <v>1324</v>
      </c>
      <c r="D245" s="62" t="s">
        <v>1325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1340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607</v>
      </c>
      <c r="B246" s="62"/>
      <c r="C246" s="63" t="s">
        <v>1326</v>
      </c>
      <c r="D246" s="62" t="s">
        <v>1327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1341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309</v>
      </c>
      <c r="B247" s="62"/>
      <c r="C247" s="63" t="s">
        <v>629</v>
      </c>
      <c r="D247" s="62" t="s">
        <v>630</v>
      </c>
      <c r="E247" t="s">
        <v>19</v>
      </c>
      <c r="F247" t="s">
        <v>25</v>
      </c>
      <c r="G247"/>
      <c r="H247" t="s">
        <v>631</v>
      </c>
      <c r="I247" s="16">
        <v>-348247270000</v>
      </c>
      <c r="J247" s="16">
        <v>-582923280000</v>
      </c>
      <c r="K247" s="16" t="s">
        <v>1188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309</v>
      </c>
      <c r="B248" s="62"/>
      <c r="C248" s="63" t="s">
        <v>632</v>
      </c>
      <c r="D248" s="62" t="s">
        <v>633</v>
      </c>
      <c r="E248" t="s">
        <v>19</v>
      </c>
      <c r="F248" t="s">
        <v>25</v>
      </c>
      <c r="G248"/>
      <c r="H248" t="s">
        <v>631</v>
      </c>
      <c r="I248" s="16">
        <v>-348165060000</v>
      </c>
      <c r="J248" s="16">
        <v>-582994990000</v>
      </c>
      <c r="K248" s="16" t="s">
        <v>1190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309</v>
      </c>
      <c r="B249" s="62"/>
      <c r="C249" s="63" t="s">
        <v>634</v>
      </c>
      <c r="D249" s="62" t="s">
        <v>635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1186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309</v>
      </c>
      <c r="B250" s="62"/>
      <c r="C250" s="63" t="s">
        <v>636</v>
      </c>
      <c r="D250" s="62" t="s">
        <v>637</v>
      </c>
      <c r="E250" t="s">
        <v>24</v>
      </c>
      <c r="F250" t="s">
        <v>25</v>
      </c>
      <c r="G250" t="s">
        <v>184</v>
      </c>
      <c r="H250" t="s">
        <v>638</v>
      </c>
      <c r="I250" s="16">
        <v>-348155560000</v>
      </c>
      <c r="J250" s="16">
        <v>-582959460000</v>
      </c>
      <c r="K250" s="16" t="s">
        <v>1187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309</v>
      </c>
      <c r="B251" s="60">
        <v>44634</v>
      </c>
      <c r="C251" s="63" t="s">
        <v>639</v>
      </c>
      <c r="D251" s="62" t="s">
        <v>640</v>
      </c>
      <c r="E251" t="s">
        <v>113</v>
      </c>
      <c r="F251" t="s">
        <v>36</v>
      </c>
      <c r="G251"/>
      <c r="H251" t="s">
        <v>521</v>
      </c>
      <c r="I251" s="16">
        <v>-348174220000</v>
      </c>
      <c r="J251" s="16">
        <v>-582945170000</v>
      </c>
      <c r="K251" s="16" t="s">
        <v>1191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1355</v>
      </c>
      <c r="P251" s="8" t="s">
        <v>1355</v>
      </c>
      <c r="Q251" s="8" t="s">
        <v>1355</v>
      </c>
      <c r="R251" s="8" t="s">
        <v>1355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309</v>
      </c>
      <c r="B252" s="60">
        <v>44634</v>
      </c>
      <c r="C252" s="63" t="s">
        <v>641</v>
      </c>
      <c r="D252" s="62" t="s">
        <v>640</v>
      </c>
      <c r="E252" t="s">
        <v>113</v>
      </c>
      <c r="F252" t="s">
        <v>36</v>
      </c>
      <c r="G252"/>
      <c r="H252" t="s">
        <v>521</v>
      </c>
      <c r="I252" s="16">
        <v>-348174220000</v>
      </c>
      <c r="J252" s="16">
        <v>-582945170000</v>
      </c>
      <c r="K252" s="16" t="s">
        <v>1192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1355</v>
      </c>
      <c r="P252" s="8" t="s">
        <v>1355</v>
      </c>
      <c r="Q252" s="8" t="s">
        <v>1355</v>
      </c>
      <c r="R252" s="8" t="s">
        <v>1355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309</v>
      </c>
      <c r="B253" s="60">
        <v>44634</v>
      </c>
      <c r="C253" s="63" t="s">
        <v>642</v>
      </c>
      <c r="D253" s="62" t="s">
        <v>643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1193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1355</v>
      </c>
      <c r="P253" s="8" t="s">
        <v>1355</v>
      </c>
      <c r="Q253" s="8" t="s">
        <v>1355</v>
      </c>
      <c r="R253" s="8" t="s">
        <v>1355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309</v>
      </c>
      <c r="B254" s="60">
        <v>44634</v>
      </c>
      <c r="C254" s="63" t="s">
        <v>644</v>
      </c>
      <c r="D254" s="62" t="s">
        <v>643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1194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1355</v>
      </c>
      <c r="P254" s="8" t="s">
        <v>1355</v>
      </c>
      <c r="Q254" s="8" t="s">
        <v>1355</v>
      </c>
      <c r="R254" s="8" t="s">
        <v>1355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645</v>
      </c>
      <c r="B255" s="62"/>
      <c r="C255" s="63" t="s">
        <v>646</v>
      </c>
      <c r="D255" s="62" t="s">
        <v>647</v>
      </c>
      <c r="E255" t="s">
        <v>24</v>
      </c>
      <c r="F255" t="s">
        <v>25</v>
      </c>
      <c r="G255" t="s">
        <v>648</v>
      </c>
      <c r="H255" t="s">
        <v>649</v>
      </c>
      <c r="I255" s="16">
        <v>-348007570000</v>
      </c>
      <c r="J255" s="16">
        <v>-582391960000</v>
      </c>
      <c r="K255" s="16" t="s">
        <v>1195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B256" s="62"/>
      <c r="C256" s="63" t="s">
        <v>650</v>
      </c>
      <c r="D256" s="62" t="s">
        <v>651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1198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652</v>
      </c>
      <c r="B257" s="62"/>
      <c r="C257" s="63" t="s">
        <v>653</v>
      </c>
      <c r="D257" s="62" t="s">
        <v>654</v>
      </c>
      <c r="E257" t="s">
        <v>73</v>
      </c>
      <c r="F257" t="s">
        <v>25</v>
      </c>
      <c r="G257" t="s">
        <v>655</v>
      </c>
      <c r="H257" t="s">
        <v>656</v>
      </c>
      <c r="I257" s="16">
        <v>-348119330000</v>
      </c>
      <c r="J257" s="16">
        <v>-582583640000</v>
      </c>
      <c r="K257" s="16" t="s">
        <v>1199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652</v>
      </c>
      <c r="B258" s="62"/>
      <c r="C258" s="63" t="s">
        <v>657</v>
      </c>
      <c r="D258" s="62" t="s">
        <v>658</v>
      </c>
      <c r="E258" t="s">
        <v>19</v>
      </c>
      <c r="F258" t="s">
        <v>36</v>
      </c>
      <c r="G258"/>
      <c r="H258" t="s">
        <v>340</v>
      </c>
      <c r="I258" s="16">
        <v>-348167840000</v>
      </c>
      <c r="J258" s="16">
        <v>-582534370000</v>
      </c>
      <c r="K258" s="16" t="s">
        <v>1201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652</v>
      </c>
      <c r="B259" s="62"/>
      <c r="C259" s="63" t="s">
        <v>659</v>
      </c>
      <c r="D259" s="62" t="s">
        <v>660</v>
      </c>
      <c r="E259" t="s">
        <v>19</v>
      </c>
      <c r="F259" t="s">
        <v>36</v>
      </c>
      <c r="G259"/>
      <c r="H259" t="s">
        <v>340</v>
      </c>
      <c r="I259" s="16">
        <v>-348194100000</v>
      </c>
      <c r="J259" s="16">
        <v>-582514340000</v>
      </c>
      <c r="K259" s="16" t="s">
        <v>1202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1355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652</v>
      </c>
      <c r="B260" s="62"/>
      <c r="C260" s="63" t="s">
        <v>661</v>
      </c>
      <c r="D260" s="62" t="s">
        <v>662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1196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652</v>
      </c>
      <c r="B261" s="60">
        <v>44629</v>
      </c>
      <c r="C261" s="63" t="s">
        <v>663</v>
      </c>
      <c r="D261" s="62" t="s">
        <v>664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1197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652</v>
      </c>
      <c r="B262" s="62"/>
      <c r="C262" s="63" t="s">
        <v>665</v>
      </c>
      <c r="D262" s="62" t="s">
        <v>666</v>
      </c>
      <c r="E262" t="s">
        <v>19</v>
      </c>
      <c r="F262" t="s">
        <v>942</v>
      </c>
      <c r="G262"/>
      <c r="H262" t="s">
        <v>667</v>
      </c>
      <c r="I262" s="16">
        <v>-348150250000</v>
      </c>
      <c r="J262" s="16">
        <v>-582640890000</v>
      </c>
      <c r="K262" s="16" t="s">
        <v>1200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257</v>
      </c>
      <c r="B263" s="62"/>
      <c r="C263" s="63" t="s">
        <v>668</v>
      </c>
      <c r="D263" s="62" t="s">
        <v>669</v>
      </c>
      <c r="E263" t="s">
        <v>113</v>
      </c>
      <c r="F263" t="s">
        <v>36</v>
      </c>
      <c r="G263"/>
      <c r="H263" t="s">
        <v>670</v>
      </c>
      <c r="I263" s="16">
        <v>-348003780000</v>
      </c>
      <c r="J263" s="16">
        <v>-582918660000</v>
      </c>
      <c r="K263" s="16" t="s">
        <v>1203</v>
      </c>
      <c r="L263" s="57">
        <f t="shared" si="18"/>
        <v>20</v>
      </c>
      <c r="M263" s="17">
        <f t="shared" ref="M263:M326" si="19">COUNTIF(O263:AP263,"APAGADO")</f>
        <v>10</v>
      </c>
      <c r="N263" s="18">
        <f t="shared" ref="N263:N326" si="20">(L263)/(M263+L263)</f>
        <v>0.66666666666666663</v>
      </c>
      <c r="O263" s="27" t="s">
        <v>1355</v>
      </c>
      <c r="P263" s="8" t="s">
        <v>1355</v>
      </c>
      <c r="Q263" s="8" t="s">
        <v>1355</v>
      </c>
      <c r="R263" s="8" t="s">
        <v>1355</v>
      </c>
      <c r="S263" s="27" t="s">
        <v>1355</v>
      </c>
      <c r="T263" s="27" t="s">
        <v>1355</v>
      </c>
      <c r="U263" s="8"/>
      <c r="V263" s="8"/>
      <c r="W263" s="8"/>
      <c r="X263" s="27" t="s">
        <v>1355</v>
      </c>
      <c r="Y263" s="27" t="s">
        <v>1355</v>
      </c>
      <c r="Z263" s="27" t="s">
        <v>1355</v>
      </c>
      <c r="AA263" s="27" t="s">
        <v>1355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257</v>
      </c>
      <c r="B264" s="62"/>
      <c r="C264" s="63" t="s">
        <v>671</v>
      </c>
      <c r="D264" s="62" t="s">
        <v>669</v>
      </c>
      <c r="E264" t="s">
        <v>113</v>
      </c>
      <c r="F264" t="s">
        <v>36</v>
      </c>
      <c r="G264"/>
      <c r="H264" t="s">
        <v>670</v>
      </c>
      <c r="I264" s="16">
        <v>-348003590000</v>
      </c>
      <c r="J264" s="16">
        <v>-582918370000</v>
      </c>
      <c r="K264" s="16" t="s">
        <v>1204</v>
      </c>
      <c r="L264" s="57">
        <f t="shared" si="18"/>
        <v>20</v>
      </c>
      <c r="M264" s="17">
        <f t="shared" si="19"/>
        <v>10</v>
      </c>
      <c r="N264" s="18">
        <f t="shared" si="20"/>
        <v>0.66666666666666663</v>
      </c>
      <c r="O264" s="27" t="s">
        <v>1355</v>
      </c>
      <c r="P264" s="8" t="s">
        <v>1355</v>
      </c>
      <c r="Q264" s="8" t="s">
        <v>1355</v>
      </c>
      <c r="R264" s="8" t="s">
        <v>1355</v>
      </c>
      <c r="S264" s="27" t="s">
        <v>1355</v>
      </c>
      <c r="T264" s="27" t="s">
        <v>1355</v>
      </c>
      <c r="U264" s="8"/>
      <c r="V264" s="8"/>
      <c r="W264" s="8"/>
      <c r="X264" s="27" t="s">
        <v>1355</v>
      </c>
      <c r="Y264" s="27" t="s">
        <v>1355</v>
      </c>
      <c r="Z264" s="27" t="s">
        <v>1355</v>
      </c>
      <c r="AA264" s="27" t="s">
        <v>1355</v>
      </c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257</v>
      </c>
      <c r="B265" s="62"/>
      <c r="C265" s="63" t="s">
        <v>672</v>
      </c>
      <c r="D265" s="62" t="s">
        <v>673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1205</v>
      </c>
      <c r="L265" s="57">
        <f t="shared" si="18"/>
        <v>20</v>
      </c>
      <c r="M265" s="17">
        <f t="shared" si="19"/>
        <v>10</v>
      </c>
      <c r="N265" s="18">
        <f t="shared" si="20"/>
        <v>0.66666666666666663</v>
      </c>
      <c r="O265" s="27" t="s">
        <v>1355</v>
      </c>
      <c r="P265" s="8" t="s">
        <v>1355</v>
      </c>
      <c r="Q265" s="8" t="s">
        <v>1355</v>
      </c>
      <c r="R265" s="8" t="s">
        <v>1355</v>
      </c>
      <c r="S265" s="27" t="s">
        <v>1355</v>
      </c>
      <c r="T265" s="27" t="s">
        <v>1355</v>
      </c>
      <c r="U265" s="8"/>
      <c r="V265" s="8"/>
      <c r="W265" s="8"/>
      <c r="X265" s="27" t="s">
        <v>1355</v>
      </c>
      <c r="Y265" s="27" t="s">
        <v>1355</v>
      </c>
      <c r="Z265" s="27" t="s">
        <v>1355</v>
      </c>
      <c r="AA265" s="27" t="s">
        <v>1355</v>
      </c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257</v>
      </c>
      <c r="B266" s="62"/>
      <c r="C266" s="63" t="s">
        <v>674</v>
      </c>
      <c r="D266" s="62" t="s">
        <v>673</v>
      </c>
      <c r="E266" t="s">
        <v>113</v>
      </c>
      <c r="F266" t="s">
        <v>36</v>
      </c>
      <c r="G266"/>
      <c r="H266" t="s">
        <v>670</v>
      </c>
      <c r="I266" s="16">
        <v>-348013110000</v>
      </c>
      <c r="J266" s="16">
        <v>-582936040000</v>
      </c>
      <c r="K266" s="16" t="s">
        <v>1206</v>
      </c>
      <c r="L266" s="57">
        <f t="shared" si="18"/>
        <v>20</v>
      </c>
      <c r="M266" s="17">
        <f t="shared" si="19"/>
        <v>10</v>
      </c>
      <c r="N266" s="18">
        <f t="shared" si="20"/>
        <v>0.66666666666666663</v>
      </c>
      <c r="O266" s="27" t="s">
        <v>1355</v>
      </c>
      <c r="P266" s="8" t="s">
        <v>1355</v>
      </c>
      <c r="Q266" s="8" t="s">
        <v>1355</v>
      </c>
      <c r="R266" s="8" t="s">
        <v>1355</v>
      </c>
      <c r="S266" s="27" t="s">
        <v>1355</v>
      </c>
      <c r="T266" s="27" t="s">
        <v>1355</v>
      </c>
      <c r="U266" s="8"/>
      <c r="V266" s="8"/>
      <c r="W266" s="8"/>
      <c r="X266" s="27" t="s">
        <v>1355</v>
      </c>
      <c r="Y266" s="27" t="s">
        <v>1355</v>
      </c>
      <c r="Z266" s="27" t="s">
        <v>1355</v>
      </c>
      <c r="AA266" s="27" t="s">
        <v>1355</v>
      </c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675</v>
      </c>
      <c r="B267" s="62"/>
      <c r="C267" s="63" t="s">
        <v>676</v>
      </c>
      <c r="D267" s="62" t="s">
        <v>677</v>
      </c>
      <c r="E267" t="s">
        <v>19</v>
      </c>
      <c r="F267" t="s">
        <v>25</v>
      </c>
      <c r="G267"/>
      <c r="H267" t="s">
        <v>631</v>
      </c>
      <c r="I267" s="16">
        <v>-348253350000</v>
      </c>
      <c r="J267" s="16">
        <v>-582845700000</v>
      </c>
      <c r="K267" s="16" t="s">
        <v>1213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675</v>
      </c>
      <c r="B268" s="62"/>
      <c r="C268" s="63" t="s">
        <v>678</v>
      </c>
      <c r="D268" s="62" t="s">
        <v>679</v>
      </c>
      <c r="E268" t="s">
        <v>24</v>
      </c>
      <c r="F268" t="s">
        <v>36</v>
      </c>
      <c r="G268" t="s">
        <v>680</v>
      </c>
      <c r="H268"/>
      <c r="I268" s="16">
        <v>-348241790000</v>
      </c>
      <c r="J268" s="16">
        <v>-582823410000</v>
      </c>
      <c r="K268" s="16" t="s">
        <v>1214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1355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675</v>
      </c>
      <c r="B269" s="62"/>
      <c r="C269" s="63" t="s">
        <v>681</v>
      </c>
      <c r="D269" s="62" t="s">
        <v>682</v>
      </c>
      <c r="E269" t="s">
        <v>24</v>
      </c>
      <c r="F269" t="s">
        <v>36</v>
      </c>
      <c r="G269" t="s">
        <v>680</v>
      </c>
      <c r="H269"/>
      <c r="I269" s="16">
        <v>-348222800000</v>
      </c>
      <c r="J269" s="16">
        <v>-582835650000</v>
      </c>
      <c r="K269" s="16" t="s">
        <v>1215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675</v>
      </c>
      <c r="B270" s="62"/>
      <c r="C270" s="63" t="s">
        <v>683</v>
      </c>
      <c r="D270" s="62" t="s">
        <v>684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1216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675</v>
      </c>
      <c r="B271" s="62"/>
      <c r="C271" s="63" t="s">
        <v>685</v>
      </c>
      <c r="D271" s="62" t="s">
        <v>686</v>
      </c>
      <c r="E271" t="s">
        <v>19</v>
      </c>
      <c r="F271" t="s">
        <v>25</v>
      </c>
      <c r="G271"/>
      <c r="H271" t="s">
        <v>687</v>
      </c>
      <c r="I271" s="16">
        <v>-348290430000</v>
      </c>
      <c r="J271" s="16">
        <v>-582797810000</v>
      </c>
      <c r="K271" s="16" t="s">
        <v>1189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675</v>
      </c>
      <c r="B272" s="60">
        <v>44629</v>
      </c>
      <c r="C272" s="63" t="s">
        <v>688</v>
      </c>
      <c r="D272" s="62" t="s">
        <v>689</v>
      </c>
      <c r="E272" t="s">
        <v>19</v>
      </c>
      <c r="F272" t="s">
        <v>25</v>
      </c>
      <c r="G272"/>
      <c r="H272" t="s">
        <v>690</v>
      </c>
      <c r="I272" s="16">
        <v>-348289520000</v>
      </c>
      <c r="J272" s="16">
        <v>-582878780000</v>
      </c>
      <c r="K272" s="16" t="s">
        <v>1217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675</v>
      </c>
      <c r="B273" s="60">
        <v>44634</v>
      </c>
      <c r="C273" s="63" t="s">
        <v>691</v>
      </c>
      <c r="D273" s="62" t="s">
        <v>692</v>
      </c>
      <c r="E273" t="s">
        <v>113</v>
      </c>
      <c r="F273" t="s">
        <v>36</v>
      </c>
      <c r="G273"/>
      <c r="H273" t="s">
        <v>693</v>
      </c>
      <c r="I273" s="16">
        <v>-348214110000</v>
      </c>
      <c r="J273" s="16">
        <v>-582806410000</v>
      </c>
      <c r="K273" s="16" t="s">
        <v>1221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675</v>
      </c>
      <c r="B274" s="60">
        <v>44634</v>
      </c>
      <c r="C274" s="63" t="s">
        <v>694</v>
      </c>
      <c r="D274" s="62" t="s">
        <v>692</v>
      </c>
      <c r="E274" t="s">
        <v>113</v>
      </c>
      <c r="F274" t="s">
        <v>36</v>
      </c>
      <c r="G274"/>
      <c r="H274" t="s">
        <v>693</v>
      </c>
      <c r="I274" s="16">
        <v>-348214480000</v>
      </c>
      <c r="J274" s="16">
        <v>-582806290000</v>
      </c>
      <c r="K274" s="16" t="s">
        <v>1222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675</v>
      </c>
      <c r="B275" s="62"/>
      <c r="C275" s="63" t="s">
        <v>695</v>
      </c>
      <c r="D275" s="62" t="s">
        <v>921</v>
      </c>
      <c r="E275" t="s">
        <v>24</v>
      </c>
      <c r="F275" t="s">
        <v>25</v>
      </c>
      <c r="G275" t="s">
        <v>363</v>
      </c>
      <c r="H275"/>
      <c r="I275" s="16">
        <v>-348304140000</v>
      </c>
      <c r="J275" s="16">
        <v>-582906680000</v>
      </c>
      <c r="K275" s="16" t="s">
        <v>1209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537</v>
      </c>
      <c r="B276" s="62"/>
      <c r="C276" s="63" t="s">
        <v>696</v>
      </c>
      <c r="D276" s="62" t="s">
        <v>697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1210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675</v>
      </c>
      <c r="B277" s="62"/>
      <c r="C277" s="63" t="s">
        <v>698</v>
      </c>
      <c r="D277" s="62" t="s">
        <v>699</v>
      </c>
      <c r="E277" t="s">
        <v>24</v>
      </c>
      <c r="F277" t="s">
        <v>25</v>
      </c>
      <c r="G277" t="s">
        <v>700</v>
      </c>
      <c r="H277"/>
      <c r="I277" s="16">
        <v>-348289220000</v>
      </c>
      <c r="J277" s="16">
        <v>-582776430000</v>
      </c>
      <c r="K277" s="16" t="s">
        <v>1211</v>
      </c>
      <c r="L277" s="57">
        <f t="shared" si="18"/>
        <v>28</v>
      </c>
      <c r="M277" s="17">
        <f t="shared" si="19"/>
        <v>2</v>
      </c>
      <c r="N277" s="18">
        <f t="shared" si="20"/>
        <v>0.93333333333333335</v>
      </c>
      <c r="O277" s="27"/>
      <c r="P277" s="8"/>
      <c r="Q277" s="8"/>
      <c r="R277" s="8"/>
      <c r="S277" s="27"/>
      <c r="T277" s="27" t="s">
        <v>1355</v>
      </c>
      <c r="U277" s="8"/>
      <c r="V277" s="8"/>
      <c r="W277" s="8"/>
      <c r="X277" s="27" t="s">
        <v>1355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675</v>
      </c>
      <c r="B278" s="62"/>
      <c r="C278" s="63" t="s">
        <v>701</v>
      </c>
      <c r="D278" s="62" t="s">
        <v>702</v>
      </c>
      <c r="E278" t="s">
        <v>24</v>
      </c>
      <c r="F278" t="s">
        <v>25</v>
      </c>
      <c r="G278" t="s">
        <v>703</v>
      </c>
      <c r="H278"/>
      <c r="I278" s="16">
        <v>-348208590000</v>
      </c>
      <c r="J278" s="16">
        <v>-582810870000</v>
      </c>
      <c r="K278" s="16" t="s">
        <v>1212</v>
      </c>
      <c r="L278" s="57">
        <f t="shared" si="18"/>
        <v>29</v>
      </c>
      <c r="M278" s="17">
        <f t="shared" si="19"/>
        <v>1</v>
      </c>
      <c r="N278" s="18">
        <f t="shared" si="20"/>
        <v>0.96666666666666667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 t="s">
        <v>1355</v>
      </c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675</v>
      </c>
      <c r="B279" s="62"/>
      <c r="C279" s="63" t="s">
        <v>704</v>
      </c>
      <c r="D279" s="62" t="s">
        <v>705</v>
      </c>
      <c r="E279" t="s">
        <v>19</v>
      </c>
      <c r="F279" t="s">
        <v>25</v>
      </c>
      <c r="G279"/>
      <c r="H279" t="s">
        <v>706</v>
      </c>
      <c r="I279" s="16">
        <v>-348280830000</v>
      </c>
      <c r="J279" s="16">
        <v>-582861650000</v>
      </c>
      <c r="K279" s="16" t="s">
        <v>1207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675</v>
      </c>
      <c r="B280" s="62"/>
      <c r="C280" s="63" t="s">
        <v>707</v>
      </c>
      <c r="D280" s="62" t="s">
        <v>708</v>
      </c>
      <c r="E280" t="s">
        <v>19</v>
      </c>
      <c r="F280" t="s">
        <v>25</v>
      </c>
      <c r="G280"/>
      <c r="H280" t="s">
        <v>706</v>
      </c>
      <c r="I280" s="16">
        <v>-348340000000</v>
      </c>
      <c r="J280" s="16">
        <v>-582878750000</v>
      </c>
      <c r="K280" s="16" t="s">
        <v>1208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537</v>
      </c>
      <c r="B281" s="60">
        <v>44634</v>
      </c>
      <c r="C281" s="63" t="s">
        <v>709</v>
      </c>
      <c r="D281" s="62" t="s">
        <v>710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1218</v>
      </c>
      <c r="L281" s="57">
        <f t="shared" si="18"/>
        <v>24</v>
      </c>
      <c r="M281" s="17">
        <f t="shared" si="19"/>
        <v>6</v>
      </c>
      <c r="N281" s="18">
        <f t="shared" si="20"/>
        <v>0.8</v>
      </c>
      <c r="O281" s="27"/>
      <c r="P281" s="8"/>
      <c r="Q281" s="8"/>
      <c r="R281" s="8" t="s">
        <v>1355</v>
      </c>
      <c r="S281" s="27"/>
      <c r="T281" s="27" t="s">
        <v>1355</v>
      </c>
      <c r="U281" s="8" t="s">
        <v>1355</v>
      </c>
      <c r="V281" s="8" t="s">
        <v>1355</v>
      </c>
      <c r="W281" s="8" t="s">
        <v>1355</v>
      </c>
      <c r="X281" s="27" t="s">
        <v>1355</v>
      </c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537</v>
      </c>
      <c r="B282" s="60">
        <v>44634</v>
      </c>
      <c r="C282" s="63" t="s">
        <v>711</v>
      </c>
      <c r="D282" s="62" t="s">
        <v>710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1219</v>
      </c>
      <c r="L282" s="57">
        <f t="shared" si="18"/>
        <v>25</v>
      </c>
      <c r="M282" s="17">
        <f t="shared" si="19"/>
        <v>5</v>
      </c>
      <c r="N282" s="18">
        <f t="shared" si="20"/>
        <v>0.83333333333333337</v>
      </c>
      <c r="O282" s="27"/>
      <c r="P282" s="8" t="s">
        <v>1355</v>
      </c>
      <c r="Q282" s="8"/>
      <c r="R282" s="8"/>
      <c r="S282" s="27"/>
      <c r="T282" s="27"/>
      <c r="U282" s="8" t="s">
        <v>1355</v>
      </c>
      <c r="V282" s="8" t="s">
        <v>1355</v>
      </c>
      <c r="W282" s="8" t="s">
        <v>1355</v>
      </c>
      <c r="X282" s="27" t="s">
        <v>1355</v>
      </c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675</v>
      </c>
      <c r="B283" s="62"/>
      <c r="C283" s="63" t="s">
        <v>712</v>
      </c>
      <c r="D283" s="62" t="s">
        <v>713</v>
      </c>
      <c r="E283" t="s">
        <v>19</v>
      </c>
      <c r="F283" t="s">
        <v>36</v>
      </c>
      <c r="G283"/>
      <c r="H283" t="s">
        <v>714</v>
      </c>
      <c r="I283" s="16">
        <v>-348275750000</v>
      </c>
      <c r="J283" s="16">
        <v>-582788330000</v>
      </c>
      <c r="K283" s="16" t="s">
        <v>1220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675</v>
      </c>
      <c r="B284" s="62"/>
      <c r="C284" s="63" t="s">
        <v>715</v>
      </c>
      <c r="D284" s="62" t="s">
        <v>716</v>
      </c>
      <c r="E284" t="s">
        <v>113</v>
      </c>
      <c r="F284" t="s">
        <v>36</v>
      </c>
      <c r="G284" t="s">
        <v>627</v>
      </c>
      <c r="H284" t="s">
        <v>717</v>
      </c>
      <c r="I284" s="16">
        <v>-348258430000</v>
      </c>
      <c r="J284" s="16">
        <v>-582890260000</v>
      </c>
      <c r="K284" s="16" t="s">
        <v>1223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675</v>
      </c>
      <c r="B285" s="62"/>
      <c r="C285" s="63" t="s">
        <v>718</v>
      </c>
      <c r="D285" s="62" t="s">
        <v>716</v>
      </c>
      <c r="E285" t="s">
        <v>113</v>
      </c>
      <c r="F285" t="s">
        <v>36</v>
      </c>
      <c r="G285" t="s">
        <v>627</v>
      </c>
      <c r="H285" t="s">
        <v>717</v>
      </c>
      <c r="I285" s="16">
        <v>-348258430000</v>
      </c>
      <c r="J285" s="16">
        <v>-582889510000</v>
      </c>
      <c r="K285" s="16" t="s">
        <v>1224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548</v>
      </c>
      <c r="B286" s="62"/>
      <c r="C286" s="63" t="s">
        <v>719</v>
      </c>
      <c r="D286" s="62" t="s">
        <v>720</v>
      </c>
      <c r="E286" t="s">
        <v>113</v>
      </c>
      <c r="F286" t="s">
        <v>36</v>
      </c>
      <c r="G286"/>
      <c r="H286" t="s">
        <v>670</v>
      </c>
      <c r="I286" s="16">
        <v>-348182670000</v>
      </c>
      <c r="J286" s="16">
        <v>-582049970000</v>
      </c>
      <c r="K286" s="16" t="s">
        <v>1225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1355</v>
      </c>
      <c r="Q286" s="8" t="s">
        <v>1355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548</v>
      </c>
      <c r="B287" s="62"/>
      <c r="C287" s="63" t="s">
        <v>721</v>
      </c>
      <c r="D287" s="62" t="s">
        <v>720</v>
      </c>
      <c r="E287" t="s">
        <v>113</v>
      </c>
      <c r="F287" t="s">
        <v>36</v>
      </c>
      <c r="G287"/>
      <c r="H287" t="s">
        <v>670</v>
      </c>
      <c r="I287" s="16">
        <v>-348182670000</v>
      </c>
      <c r="J287" s="16">
        <v>-582049970000</v>
      </c>
      <c r="K287" s="16" t="s">
        <v>1226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1355</v>
      </c>
      <c r="Q287" s="8" t="s">
        <v>1355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722</v>
      </c>
      <c r="B288" s="62"/>
      <c r="C288" s="63" t="s">
        <v>723</v>
      </c>
      <c r="D288" s="62" t="s">
        <v>724</v>
      </c>
      <c r="E288" t="s">
        <v>24</v>
      </c>
      <c r="F288" t="s">
        <v>942</v>
      </c>
      <c r="G288" t="s">
        <v>725</v>
      </c>
      <c r="H288"/>
      <c r="I288" s="16">
        <v>-347888010000</v>
      </c>
      <c r="J288" s="16">
        <v>-582597900000</v>
      </c>
      <c r="K288" s="16" t="s">
        <v>1227</v>
      </c>
      <c r="L288" s="57">
        <f t="shared" si="18"/>
        <v>29</v>
      </c>
      <c r="M288" s="17">
        <f t="shared" si="19"/>
        <v>1</v>
      </c>
      <c r="N288" s="18">
        <f t="shared" si="20"/>
        <v>0.96666666666666667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 t="s">
        <v>1355</v>
      </c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722</v>
      </c>
      <c r="B289" s="62"/>
      <c r="C289" s="63" t="s">
        <v>726</v>
      </c>
      <c r="D289" s="62" t="s">
        <v>727</v>
      </c>
      <c r="E289" t="s">
        <v>24</v>
      </c>
      <c r="F289" t="s">
        <v>36</v>
      </c>
      <c r="G289" t="s">
        <v>366</v>
      </c>
      <c r="H289"/>
      <c r="I289" s="16">
        <v>-347926510000</v>
      </c>
      <c r="J289" s="16">
        <v>-582499030000</v>
      </c>
      <c r="K289" s="16" t="s">
        <v>1228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728</v>
      </c>
      <c r="B290" s="62"/>
      <c r="C290" s="63" t="s">
        <v>729</v>
      </c>
      <c r="D290" s="62" t="s">
        <v>730</v>
      </c>
      <c r="E290" t="s">
        <v>24</v>
      </c>
      <c r="F290" t="s">
        <v>36</v>
      </c>
      <c r="G290" t="s">
        <v>366</v>
      </c>
      <c r="H290"/>
      <c r="I290" s="16">
        <v>-347955320000</v>
      </c>
      <c r="J290" s="16">
        <v>-582553260000</v>
      </c>
      <c r="K290" s="16" t="s">
        <v>1229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722</v>
      </c>
      <c r="B291" s="62"/>
      <c r="C291" s="63" t="s">
        <v>731</v>
      </c>
      <c r="D291" s="62" t="s">
        <v>732</v>
      </c>
      <c r="E291" t="s">
        <v>19</v>
      </c>
      <c r="F291" t="s">
        <v>36</v>
      </c>
      <c r="G291" t="s">
        <v>733</v>
      </c>
      <c r="H291" t="s">
        <v>734</v>
      </c>
      <c r="I291" s="16">
        <v>-347933300000</v>
      </c>
      <c r="J291" s="16">
        <v>-582534600000</v>
      </c>
      <c r="K291" s="16" t="s">
        <v>1230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722</v>
      </c>
      <c r="B292" s="62"/>
      <c r="C292" s="63" t="s">
        <v>735</v>
      </c>
      <c r="D292" s="62" t="s">
        <v>736</v>
      </c>
      <c r="E292" t="s">
        <v>24</v>
      </c>
      <c r="F292" t="s">
        <v>36</v>
      </c>
      <c r="G292" t="s">
        <v>366</v>
      </c>
      <c r="H292"/>
      <c r="I292" s="16">
        <v>-347941580000</v>
      </c>
      <c r="J292" s="16">
        <v>-582528380000</v>
      </c>
      <c r="K292" s="16" t="s">
        <v>1231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722</v>
      </c>
      <c r="B293" s="62"/>
      <c r="C293" s="63" t="s">
        <v>737</v>
      </c>
      <c r="D293" s="62" t="s">
        <v>738</v>
      </c>
      <c r="E293" t="s">
        <v>19</v>
      </c>
      <c r="F293" t="s">
        <v>36</v>
      </c>
      <c r="G293" t="s">
        <v>733</v>
      </c>
      <c r="H293" t="s">
        <v>739</v>
      </c>
      <c r="I293" s="16">
        <v>-347928980000</v>
      </c>
      <c r="J293" s="16">
        <v>-582523980000</v>
      </c>
      <c r="K293" s="16" t="s">
        <v>1232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722</v>
      </c>
      <c r="B294" s="62"/>
      <c r="C294" s="63" t="s">
        <v>740</v>
      </c>
      <c r="D294" s="62" t="s">
        <v>741</v>
      </c>
      <c r="E294" t="s">
        <v>24</v>
      </c>
      <c r="F294" t="s">
        <v>36</v>
      </c>
      <c r="G294" t="s">
        <v>366</v>
      </c>
      <c r="H294"/>
      <c r="I294" s="16">
        <v>-347936470000</v>
      </c>
      <c r="J294" s="16">
        <v>-582518290000</v>
      </c>
      <c r="K294" s="16" t="s">
        <v>1233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722</v>
      </c>
      <c r="B295" s="62"/>
      <c r="C295" s="63" t="s">
        <v>742</v>
      </c>
      <c r="D295" s="62" t="s">
        <v>743</v>
      </c>
      <c r="E295" t="s">
        <v>24</v>
      </c>
      <c r="F295" t="s">
        <v>942</v>
      </c>
      <c r="G295" t="s">
        <v>733</v>
      </c>
      <c r="H295"/>
      <c r="I295" s="16">
        <v>-347917260000</v>
      </c>
      <c r="J295" s="16">
        <v>-582524730000</v>
      </c>
      <c r="K295" s="16" t="s">
        <v>1234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411</v>
      </c>
      <c r="B296" s="62"/>
      <c r="C296" s="63" t="s">
        <v>744</v>
      </c>
      <c r="D296" s="62" t="s">
        <v>745</v>
      </c>
      <c r="E296" t="s">
        <v>24</v>
      </c>
      <c r="F296" t="s">
        <v>942</v>
      </c>
      <c r="G296" t="s">
        <v>160</v>
      </c>
      <c r="H296"/>
      <c r="I296" s="16">
        <v>-347867610000</v>
      </c>
      <c r="J296" s="16">
        <v>-582563190000</v>
      </c>
      <c r="K296" s="16" t="s">
        <v>1235</v>
      </c>
      <c r="L296" s="57">
        <f t="shared" si="18"/>
        <v>29</v>
      </c>
      <c r="M296" s="17">
        <f t="shared" si="19"/>
        <v>1</v>
      </c>
      <c r="N296" s="18">
        <f t="shared" si="20"/>
        <v>0.96666666666666667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 t="s">
        <v>1355</v>
      </c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357</v>
      </c>
      <c r="B297" s="62"/>
      <c r="C297" s="63" t="s">
        <v>746</v>
      </c>
      <c r="D297" s="62" t="s">
        <v>747</v>
      </c>
      <c r="E297" t="s">
        <v>24</v>
      </c>
      <c r="F297" t="s">
        <v>25</v>
      </c>
      <c r="G297" t="s">
        <v>748</v>
      </c>
      <c r="H297"/>
      <c r="I297" s="16">
        <v>-348145260000</v>
      </c>
      <c r="J297" s="16">
        <v>-583009670000</v>
      </c>
      <c r="K297" s="16" t="s">
        <v>1236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357</v>
      </c>
      <c r="B298" s="62"/>
      <c r="C298" s="63" t="s">
        <v>749</v>
      </c>
      <c r="D298" s="62" t="s">
        <v>750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1237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357</v>
      </c>
      <c r="B299" s="62"/>
      <c r="C299" s="63" t="s">
        <v>751</v>
      </c>
      <c r="D299" s="62" t="s">
        <v>752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1238</v>
      </c>
      <c r="L299" s="57">
        <f t="shared" si="18"/>
        <v>26</v>
      </c>
      <c r="M299" s="17">
        <f t="shared" si="19"/>
        <v>4</v>
      </c>
      <c r="N299" s="18">
        <f t="shared" si="20"/>
        <v>0.8666666666666667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 t="s">
        <v>1355</v>
      </c>
      <c r="AA299" s="27" t="s">
        <v>1355</v>
      </c>
      <c r="AB299" s="27" t="s">
        <v>1355</v>
      </c>
      <c r="AC299" s="27" t="s">
        <v>1355</v>
      </c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357</v>
      </c>
      <c r="B300" s="62"/>
      <c r="C300" s="63" t="s">
        <v>753</v>
      </c>
      <c r="D300" s="62" t="s">
        <v>752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1239</v>
      </c>
      <c r="L300" s="57">
        <f t="shared" si="18"/>
        <v>22</v>
      </c>
      <c r="M300" s="17">
        <f t="shared" si="19"/>
        <v>8</v>
      </c>
      <c r="N300" s="18">
        <f t="shared" si="20"/>
        <v>0.73333333333333328</v>
      </c>
      <c r="O300" s="27"/>
      <c r="P300" s="8"/>
      <c r="Q300" s="8"/>
      <c r="R300" s="8" t="s">
        <v>1355</v>
      </c>
      <c r="S300" s="27" t="s">
        <v>1355</v>
      </c>
      <c r="T300" s="27" t="s">
        <v>1355</v>
      </c>
      <c r="U300" s="8" t="s">
        <v>1355</v>
      </c>
      <c r="V300" s="8"/>
      <c r="W300" s="8"/>
      <c r="X300" s="27"/>
      <c r="Y300" s="27"/>
      <c r="Z300" s="27" t="s">
        <v>1355</v>
      </c>
      <c r="AA300" s="27" t="s">
        <v>1355</v>
      </c>
      <c r="AB300" s="27" t="s">
        <v>1355</v>
      </c>
      <c r="AC300" s="27" t="s">
        <v>1355</v>
      </c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357</v>
      </c>
      <c r="B301" s="62"/>
      <c r="C301" s="63" t="s">
        <v>754</v>
      </c>
      <c r="D301" s="62" t="s">
        <v>755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1240</v>
      </c>
      <c r="L301" s="57">
        <f t="shared" si="18"/>
        <v>25</v>
      </c>
      <c r="M301" s="17">
        <f t="shared" si="19"/>
        <v>5</v>
      </c>
      <c r="N301" s="18">
        <f t="shared" si="20"/>
        <v>0.83333333333333337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1355</v>
      </c>
      <c r="Z301" s="27" t="s">
        <v>1355</v>
      </c>
      <c r="AA301" s="27" t="s">
        <v>1355</v>
      </c>
      <c r="AB301" s="27" t="s">
        <v>1355</v>
      </c>
      <c r="AC301" s="27" t="s">
        <v>1355</v>
      </c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357</v>
      </c>
      <c r="B302" s="62"/>
      <c r="C302" s="63" t="s">
        <v>756</v>
      </c>
      <c r="D302" s="62" t="s">
        <v>755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1241</v>
      </c>
      <c r="L302" s="57">
        <f t="shared" si="18"/>
        <v>25</v>
      </c>
      <c r="M302" s="17">
        <f t="shared" si="19"/>
        <v>5</v>
      </c>
      <c r="N302" s="18">
        <f t="shared" si="20"/>
        <v>0.83333333333333337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 t="s">
        <v>1355</v>
      </c>
      <c r="Z302" s="27" t="s">
        <v>1355</v>
      </c>
      <c r="AA302" s="27" t="s">
        <v>1355</v>
      </c>
      <c r="AB302" s="27" t="s">
        <v>1355</v>
      </c>
      <c r="AC302" s="27" t="s">
        <v>1355</v>
      </c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357</v>
      </c>
      <c r="B303" s="62"/>
      <c r="C303" s="63" t="s">
        <v>757</v>
      </c>
      <c r="D303" s="62" t="s">
        <v>758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1242</v>
      </c>
      <c r="L303" s="57">
        <f t="shared" si="18"/>
        <v>19</v>
      </c>
      <c r="M303" s="17">
        <f t="shared" si="19"/>
        <v>11</v>
      </c>
      <c r="N303" s="18">
        <f t="shared" si="20"/>
        <v>0.6333333333333333</v>
      </c>
      <c r="O303" s="27" t="s">
        <v>1355</v>
      </c>
      <c r="P303" s="8" t="s">
        <v>1355</v>
      </c>
      <c r="Q303" s="8" t="s">
        <v>1355</v>
      </c>
      <c r="R303" s="8" t="s">
        <v>1355</v>
      </c>
      <c r="S303" s="27" t="s">
        <v>1355</v>
      </c>
      <c r="T303" s="27"/>
      <c r="U303" s="8"/>
      <c r="V303" s="8"/>
      <c r="W303" s="8"/>
      <c r="X303" s="27"/>
      <c r="Y303" s="27"/>
      <c r="Z303" s="27"/>
      <c r="AA303" s="27" t="s">
        <v>1355</v>
      </c>
      <c r="AB303" s="27" t="s">
        <v>1355</v>
      </c>
      <c r="AC303" s="27" t="s">
        <v>1355</v>
      </c>
      <c r="AD303" s="27" t="s">
        <v>1355</v>
      </c>
      <c r="AE303" s="27"/>
      <c r="AF303" s="27" t="s">
        <v>1355</v>
      </c>
      <c r="AG303" s="27" t="s">
        <v>1355</v>
      </c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357</v>
      </c>
      <c r="B304" s="60">
        <v>44634</v>
      </c>
      <c r="C304" s="63" t="s">
        <v>759</v>
      </c>
      <c r="D304" s="62" t="s">
        <v>760</v>
      </c>
      <c r="E304" t="s">
        <v>113</v>
      </c>
      <c r="F304" t="s">
        <v>36</v>
      </c>
      <c r="G304"/>
      <c r="H304" t="s">
        <v>761</v>
      </c>
      <c r="I304" s="16">
        <v>-348105760000</v>
      </c>
      <c r="J304" s="16">
        <v>-583061370000</v>
      </c>
      <c r="K304" s="16" t="s">
        <v>1243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357</v>
      </c>
      <c r="B305" s="60">
        <v>44634</v>
      </c>
      <c r="C305" s="63" t="s">
        <v>762</v>
      </c>
      <c r="D305" s="62" t="s">
        <v>760</v>
      </c>
      <c r="E305" t="s">
        <v>113</v>
      </c>
      <c r="F305" t="s">
        <v>36</v>
      </c>
      <c r="G305"/>
      <c r="H305" t="s">
        <v>761</v>
      </c>
      <c r="I305" s="16">
        <v>-348105760000</v>
      </c>
      <c r="J305" s="16">
        <v>-583061370000</v>
      </c>
      <c r="K305" s="16" t="s">
        <v>1244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357</v>
      </c>
      <c r="B306" s="60">
        <v>44634</v>
      </c>
      <c r="C306" s="63" t="s">
        <v>763</v>
      </c>
      <c r="D306" s="62" t="s">
        <v>764</v>
      </c>
      <c r="E306" t="s">
        <v>113</v>
      </c>
      <c r="F306" t="s">
        <v>36</v>
      </c>
      <c r="G306"/>
      <c r="H306" t="s">
        <v>765</v>
      </c>
      <c r="I306" s="16">
        <v>-348100750000</v>
      </c>
      <c r="J306" s="16">
        <v>-583065270000</v>
      </c>
      <c r="K306" s="16" t="s">
        <v>1245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357</v>
      </c>
      <c r="B307" s="60">
        <v>44634</v>
      </c>
      <c r="C307" s="63" t="s">
        <v>766</v>
      </c>
      <c r="D307" s="62" t="s">
        <v>764</v>
      </c>
      <c r="E307" t="s">
        <v>113</v>
      </c>
      <c r="F307" t="s">
        <v>36</v>
      </c>
      <c r="G307"/>
      <c r="H307" t="s">
        <v>765</v>
      </c>
      <c r="I307" s="16">
        <v>-348100750000</v>
      </c>
      <c r="J307" s="16">
        <v>-583065270000</v>
      </c>
      <c r="K307" s="16" t="s">
        <v>1246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B308" s="62"/>
      <c r="C308" s="63" t="s">
        <v>767</v>
      </c>
      <c r="D308" s="62" t="s">
        <v>768</v>
      </c>
      <c r="E308" t="s">
        <v>19</v>
      </c>
      <c r="F308" t="s">
        <v>942</v>
      </c>
      <c r="G308" t="s">
        <v>184</v>
      </c>
      <c r="H308" t="s">
        <v>769</v>
      </c>
      <c r="I308" s="16">
        <v>-348153800000</v>
      </c>
      <c r="J308" s="16">
        <v>-582706170000</v>
      </c>
      <c r="K308" s="16" t="s">
        <v>1258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770</v>
      </c>
      <c r="B309" s="62"/>
      <c r="C309" s="63" t="s">
        <v>771</v>
      </c>
      <c r="D309" s="62" t="s">
        <v>772</v>
      </c>
      <c r="E309" t="s">
        <v>24</v>
      </c>
      <c r="F309" t="s">
        <v>942</v>
      </c>
      <c r="G309" t="s">
        <v>184</v>
      </c>
      <c r="H309" t="s">
        <v>773</v>
      </c>
      <c r="I309" s="16">
        <v>-348171860000</v>
      </c>
      <c r="J309" s="16">
        <v>-582741990000</v>
      </c>
      <c r="K309" s="16" t="s">
        <v>1259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B310" s="62"/>
      <c r="C310" s="63" t="s">
        <v>774</v>
      </c>
      <c r="D310" s="62" t="s">
        <v>775</v>
      </c>
      <c r="E310" t="s">
        <v>19</v>
      </c>
      <c r="F310" t="s">
        <v>942</v>
      </c>
      <c r="G310" t="s">
        <v>776</v>
      </c>
      <c r="H310"/>
      <c r="I310" s="16">
        <v>-348129440000</v>
      </c>
      <c r="J310" s="16">
        <v>-582759900000</v>
      </c>
      <c r="K310" s="16" t="s">
        <v>1261</v>
      </c>
      <c r="L310" s="57">
        <f t="shared" si="18"/>
        <v>28</v>
      </c>
      <c r="M310" s="17">
        <f t="shared" si="19"/>
        <v>2</v>
      </c>
      <c r="N310" s="18">
        <f t="shared" si="20"/>
        <v>0.93333333333333335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 t="s">
        <v>1355</v>
      </c>
      <c r="AG310" s="27" t="s">
        <v>1355</v>
      </c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777</v>
      </c>
      <c r="B311" s="62"/>
      <c r="C311" s="63" t="s">
        <v>778</v>
      </c>
      <c r="D311" s="62" t="s">
        <v>779</v>
      </c>
      <c r="E311" t="s">
        <v>19</v>
      </c>
      <c r="F311" t="s">
        <v>942</v>
      </c>
      <c r="G311"/>
      <c r="H311" t="s">
        <v>780</v>
      </c>
      <c r="I311" s="16">
        <v>-348174960000</v>
      </c>
      <c r="J311" s="16">
        <v>-582687670000</v>
      </c>
      <c r="K311" s="16" t="s">
        <v>1262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777</v>
      </c>
      <c r="B312" s="62"/>
      <c r="C312" s="63" t="s">
        <v>781</v>
      </c>
      <c r="D312" s="62" t="s">
        <v>926</v>
      </c>
      <c r="E312" t="s">
        <v>19</v>
      </c>
      <c r="F312" t="s">
        <v>942</v>
      </c>
      <c r="G312"/>
      <c r="H312" t="s">
        <v>30</v>
      </c>
      <c r="I312" s="16">
        <v>-348206040000</v>
      </c>
      <c r="J312" s="16">
        <v>-582725050000</v>
      </c>
      <c r="K312" s="16" t="s">
        <v>1263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770</v>
      </c>
      <c r="B313" s="62"/>
      <c r="C313" s="63" t="s">
        <v>782</v>
      </c>
      <c r="D313" s="62" t="s">
        <v>783</v>
      </c>
      <c r="E313" t="s">
        <v>19</v>
      </c>
      <c r="F313" t="s">
        <v>942</v>
      </c>
      <c r="G313"/>
      <c r="H313" t="s">
        <v>690</v>
      </c>
      <c r="I313" s="16">
        <v>-348117590000</v>
      </c>
      <c r="J313" s="16">
        <v>-582727020000</v>
      </c>
      <c r="K313" s="16" t="s">
        <v>1264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770</v>
      </c>
      <c r="B314" s="62"/>
      <c r="C314" s="63" t="s">
        <v>784</v>
      </c>
      <c r="D314" s="62" t="s">
        <v>785</v>
      </c>
      <c r="E314" t="s">
        <v>19</v>
      </c>
      <c r="F314" t="s">
        <v>25</v>
      </c>
      <c r="G314"/>
      <c r="H314" t="s">
        <v>690</v>
      </c>
      <c r="I314" s="16">
        <v>-348137760000</v>
      </c>
      <c r="J314" s="16">
        <v>-582704960000</v>
      </c>
      <c r="K314" s="16" t="s">
        <v>1265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777</v>
      </c>
      <c r="B315" s="62"/>
      <c r="C315" s="63" t="s">
        <v>786</v>
      </c>
      <c r="D315" s="62" t="s">
        <v>787</v>
      </c>
      <c r="E315" t="s">
        <v>73</v>
      </c>
      <c r="F315" t="s">
        <v>25</v>
      </c>
      <c r="G315"/>
      <c r="H315" t="s">
        <v>306</v>
      </c>
      <c r="I315" s="16">
        <v>-348227100000</v>
      </c>
      <c r="J315" s="16">
        <v>-582764200000</v>
      </c>
      <c r="K315" s="16" t="s">
        <v>1266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777</v>
      </c>
      <c r="B316" s="62"/>
      <c r="C316" s="63" t="s">
        <v>788</v>
      </c>
      <c r="D316" s="62" t="s">
        <v>925</v>
      </c>
      <c r="E316" t="s">
        <v>24</v>
      </c>
      <c r="F316" t="s">
        <v>36</v>
      </c>
      <c r="G316" t="s">
        <v>789</v>
      </c>
      <c r="H316"/>
      <c r="I316" s="16">
        <v>-348197840000</v>
      </c>
      <c r="J316" s="16">
        <v>-582731040000</v>
      </c>
      <c r="K316" s="16" t="s">
        <v>1247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770</v>
      </c>
      <c r="B317" s="62"/>
      <c r="C317" s="63" t="s">
        <v>790</v>
      </c>
      <c r="D317" s="62" t="s">
        <v>924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1248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770</v>
      </c>
      <c r="B318" s="62"/>
      <c r="C318" s="63" t="s">
        <v>791</v>
      </c>
      <c r="D318" s="62" t="s">
        <v>792</v>
      </c>
      <c r="E318" t="s">
        <v>24</v>
      </c>
      <c r="F318" t="s">
        <v>36</v>
      </c>
      <c r="G318" t="s">
        <v>793</v>
      </c>
      <c r="H318"/>
      <c r="I318" s="16">
        <v>-348117420000</v>
      </c>
      <c r="J318" s="16">
        <v>-582744990000</v>
      </c>
      <c r="K318" s="16" t="s">
        <v>1249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770</v>
      </c>
      <c r="B319" s="62"/>
      <c r="C319" s="63" t="s">
        <v>794</v>
      </c>
      <c r="D319" s="62" t="s">
        <v>795</v>
      </c>
      <c r="E319" t="s">
        <v>24</v>
      </c>
      <c r="F319" t="s">
        <v>36</v>
      </c>
      <c r="G319" t="s">
        <v>796</v>
      </c>
      <c r="H319"/>
      <c r="I319" s="16">
        <v>-348115920000</v>
      </c>
      <c r="J319" s="16">
        <v>-582697890000</v>
      </c>
      <c r="K319" s="16" t="s">
        <v>1250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770</v>
      </c>
      <c r="B320" s="62"/>
      <c r="C320" s="63" t="s">
        <v>797</v>
      </c>
      <c r="D320" s="62" t="s">
        <v>798</v>
      </c>
      <c r="E320" t="s">
        <v>24</v>
      </c>
      <c r="F320" t="s">
        <v>25</v>
      </c>
      <c r="G320" t="s">
        <v>799</v>
      </c>
      <c r="H320"/>
      <c r="I320" s="16">
        <v>-348115310000</v>
      </c>
      <c r="J320" s="16">
        <v>-582685340000</v>
      </c>
      <c r="K320" s="16" t="s">
        <v>1251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770</v>
      </c>
      <c r="B321" s="62"/>
      <c r="C321" s="63" t="s">
        <v>800</v>
      </c>
      <c r="D321" s="62" t="s">
        <v>922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1252</v>
      </c>
      <c r="L321" s="57">
        <f t="shared" si="18"/>
        <v>28</v>
      </c>
      <c r="M321" s="17">
        <f t="shared" si="19"/>
        <v>2</v>
      </c>
      <c r="N321" s="18">
        <f t="shared" si="20"/>
        <v>0.93333333333333335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 t="s">
        <v>1355</v>
      </c>
      <c r="AG321" s="27" t="s">
        <v>1355</v>
      </c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770</v>
      </c>
      <c r="B322" s="62"/>
      <c r="C322" s="63" t="s">
        <v>801</v>
      </c>
      <c r="D322" s="62" t="s">
        <v>923</v>
      </c>
      <c r="E322" t="s">
        <v>19</v>
      </c>
      <c r="F322" t="s">
        <v>942</v>
      </c>
      <c r="G322" t="s">
        <v>802</v>
      </c>
      <c r="H322"/>
      <c r="I322" s="16">
        <v>-348119360000</v>
      </c>
      <c r="J322" s="16">
        <v>-582777500000</v>
      </c>
      <c r="K322" s="16" t="s">
        <v>1253</v>
      </c>
      <c r="L322" s="57">
        <f t="shared" si="18"/>
        <v>21</v>
      </c>
      <c r="M322" s="17">
        <f t="shared" si="19"/>
        <v>9</v>
      </c>
      <c r="N322" s="18">
        <f t="shared" si="20"/>
        <v>0.7</v>
      </c>
      <c r="O322" s="27"/>
      <c r="P322" s="8"/>
      <c r="Q322" s="8"/>
      <c r="R322" s="8"/>
      <c r="S322" s="27"/>
      <c r="T322" s="27"/>
      <c r="U322" s="8" t="s">
        <v>1355</v>
      </c>
      <c r="V322" s="8" t="s">
        <v>1355</v>
      </c>
      <c r="W322" s="8" t="s">
        <v>1355</v>
      </c>
      <c r="X322" s="27" t="s">
        <v>1355</v>
      </c>
      <c r="Y322" s="27" t="s">
        <v>1355</v>
      </c>
      <c r="Z322" s="27" t="s">
        <v>1355</v>
      </c>
      <c r="AA322" s="27" t="s">
        <v>1355</v>
      </c>
      <c r="AB322" s="27" t="s">
        <v>1355</v>
      </c>
      <c r="AC322" s="27" t="s">
        <v>1355</v>
      </c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777</v>
      </c>
      <c r="B323" s="62"/>
      <c r="C323" s="63" t="s">
        <v>803</v>
      </c>
      <c r="D323" s="62" t="s">
        <v>804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1254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777</v>
      </c>
      <c r="B324" s="62"/>
      <c r="C324" s="63" t="s">
        <v>805</v>
      </c>
      <c r="D324" s="62" t="s">
        <v>806</v>
      </c>
      <c r="E324" t="s">
        <v>24</v>
      </c>
      <c r="F324" t="s">
        <v>36</v>
      </c>
      <c r="G324" t="s">
        <v>160</v>
      </c>
      <c r="H324" t="s">
        <v>807</v>
      </c>
      <c r="I324" s="16">
        <v>-348159830000</v>
      </c>
      <c r="J324" s="16">
        <v>-582660100000</v>
      </c>
      <c r="K324" s="16" t="s">
        <v>1255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770</v>
      </c>
      <c r="B325" s="62"/>
      <c r="C325" s="63" t="s">
        <v>808</v>
      </c>
      <c r="D325" s="62" t="s">
        <v>809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1256</v>
      </c>
      <c r="L325" s="57">
        <f t="shared" si="18"/>
        <v>28</v>
      </c>
      <c r="M325" s="17">
        <f t="shared" si="19"/>
        <v>2</v>
      </c>
      <c r="N325" s="18">
        <f t="shared" si="20"/>
        <v>0.93333333333333335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 t="s">
        <v>1355</v>
      </c>
      <c r="AG325" s="27" t="s">
        <v>1355</v>
      </c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777</v>
      </c>
      <c r="B326" s="62"/>
      <c r="C326" s="63" t="s">
        <v>810</v>
      </c>
      <c r="D326" s="62" t="s">
        <v>811</v>
      </c>
      <c r="E326" t="s">
        <v>24</v>
      </c>
      <c r="F326" t="s">
        <v>36</v>
      </c>
      <c r="G326" t="s">
        <v>789</v>
      </c>
      <c r="H326"/>
      <c r="I326" s="16">
        <v>-348191940000</v>
      </c>
      <c r="J326" s="16">
        <v>-582720740000</v>
      </c>
      <c r="K326" s="16" t="s">
        <v>1257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B327" s="62"/>
      <c r="C327" s="63" t="s">
        <v>812</v>
      </c>
      <c r="D327" s="62" t="s">
        <v>813</v>
      </c>
      <c r="E327" t="s">
        <v>19</v>
      </c>
      <c r="F327" t="s">
        <v>36</v>
      </c>
      <c r="G327" t="s">
        <v>814</v>
      </c>
      <c r="H327" t="s">
        <v>815</v>
      </c>
      <c r="I327" s="16">
        <v>-348187470000</v>
      </c>
      <c r="J327" s="16">
        <v>-582709000000</v>
      </c>
      <c r="K327" s="16" t="s">
        <v>1260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770</v>
      </c>
      <c r="B328" s="62"/>
      <c r="C328" s="63" t="s">
        <v>816</v>
      </c>
      <c r="D328" s="62" t="s">
        <v>817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1267</v>
      </c>
      <c r="L328" s="57">
        <f t="shared" si="21"/>
        <v>28</v>
      </c>
      <c r="M328" s="17">
        <f t="shared" si="22"/>
        <v>2</v>
      </c>
      <c r="N328" s="18">
        <f t="shared" si="23"/>
        <v>0.93333333333333335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 t="s">
        <v>1355</v>
      </c>
      <c r="AG328" s="27" t="s">
        <v>1355</v>
      </c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770</v>
      </c>
      <c r="B329" s="62"/>
      <c r="C329" s="63" t="s">
        <v>818</v>
      </c>
      <c r="D329" s="62" t="s">
        <v>817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1268</v>
      </c>
      <c r="L329" s="57">
        <f t="shared" si="21"/>
        <v>28</v>
      </c>
      <c r="M329" s="17">
        <f t="shared" si="22"/>
        <v>2</v>
      </c>
      <c r="N329" s="18">
        <f t="shared" si="23"/>
        <v>0.93333333333333335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 t="s">
        <v>1355</v>
      </c>
      <c r="AG329" s="27" t="s">
        <v>1355</v>
      </c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770</v>
      </c>
      <c r="B330" s="62"/>
      <c r="C330" s="63" t="s">
        <v>819</v>
      </c>
      <c r="D330" s="62" t="s">
        <v>820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1023</v>
      </c>
      <c r="L330" s="57">
        <f t="shared" si="21"/>
        <v>22</v>
      </c>
      <c r="M330" s="17">
        <f t="shared" si="22"/>
        <v>8</v>
      </c>
      <c r="N330" s="18">
        <f t="shared" si="23"/>
        <v>0.73333333333333328</v>
      </c>
      <c r="O330" s="27"/>
      <c r="P330" s="8"/>
      <c r="Q330" s="8"/>
      <c r="R330" s="8"/>
      <c r="S330" s="27"/>
      <c r="T330" s="27"/>
      <c r="U330" s="8" t="s">
        <v>1355</v>
      </c>
      <c r="V330" s="8" t="s">
        <v>1355</v>
      </c>
      <c r="W330" s="8" t="s">
        <v>1355</v>
      </c>
      <c r="X330" s="27" t="s">
        <v>1355</v>
      </c>
      <c r="Y330" s="27" t="s">
        <v>1355</v>
      </c>
      <c r="Z330" s="27"/>
      <c r="AA330" s="27" t="s">
        <v>1355</v>
      </c>
      <c r="AB330" s="27" t="s">
        <v>1355</v>
      </c>
      <c r="AC330" s="27" t="s">
        <v>1355</v>
      </c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770</v>
      </c>
      <c r="B331" s="62"/>
      <c r="C331" s="63" t="s">
        <v>821</v>
      </c>
      <c r="D331" s="62" t="s">
        <v>820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1269</v>
      </c>
      <c r="L331" s="57">
        <f t="shared" si="21"/>
        <v>22</v>
      </c>
      <c r="M331" s="17">
        <f t="shared" si="22"/>
        <v>8</v>
      </c>
      <c r="N331" s="18">
        <f t="shared" si="23"/>
        <v>0.73333333333333328</v>
      </c>
      <c r="O331" s="27"/>
      <c r="P331" s="8"/>
      <c r="Q331" s="8"/>
      <c r="R331" s="8"/>
      <c r="S331" s="27"/>
      <c r="T331" s="27"/>
      <c r="U331" s="8" t="s">
        <v>1355</v>
      </c>
      <c r="V331" s="8" t="s">
        <v>1355</v>
      </c>
      <c r="W331" s="8" t="s">
        <v>1355</v>
      </c>
      <c r="X331" s="27" t="s">
        <v>1355</v>
      </c>
      <c r="Y331" s="27" t="s">
        <v>1355</v>
      </c>
      <c r="Z331" s="27"/>
      <c r="AA331" s="27" t="s">
        <v>1355</v>
      </c>
      <c r="AB331" s="27" t="s">
        <v>1355</v>
      </c>
      <c r="AC331" s="27" t="s">
        <v>1355</v>
      </c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617</v>
      </c>
      <c r="B332" s="62"/>
      <c r="C332" s="63" t="s">
        <v>822</v>
      </c>
      <c r="D332" s="62" t="s">
        <v>823</v>
      </c>
      <c r="E332" t="s">
        <v>24</v>
      </c>
      <c r="F332" t="s">
        <v>36</v>
      </c>
      <c r="G332" t="s">
        <v>824</v>
      </c>
      <c r="H332" t="s">
        <v>825</v>
      </c>
      <c r="I332" s="16">
        <v>-347781830000</v>
      </c>
      <c r="J332" s="16">
        <v>-582883670000</v>
      </c>
      <c r="K332" s="16" t="s">
        <v>1276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617</v>
      </c>
      <c r="B333" s="62"/>
      <c r="C333" s="63" t="s">
        <v>826</v>
      </c>
      <c r="D333" s="62" t="s">
        <v>827</v>
      </c>
      <c r="E333" t="s">
        <v>24</v>
      </c>
      <c r="F333" t="s">
        <v>36</v>
      </c>
      <c r="G333" t="s">
        <v>599</v>
      </c>
      <c r="H333"/>
      <c r="I333" s="16">
        <v>-347743850000</v>
      </c>
      <c r="J333" s="16">
        <v>-582816550000</v>
      </c>
      <c r="K333" s="16" t="s">
        <v>1272</v>
      </c>
      <c r="L333" s="57">
        <f t="shared" si="21"/>
        <v>28</v>
      </c>
      <c r="M333" s="17">
        <f t="shared" si="22"/>
        <v>2</v>
      </c>
      <c r="N333" s="18">
        <f t="shared" si="23"/>
        <v>0.93333333333333335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 t="s">
        <v>1355</v>
      </c>
      <c r="AG333" s="27" t="s">
        <v>1355</v>
      </c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455</v>
      </c>
      <c r="B334" s="62"/>
      <c r="C334" s="63" t="s">
        <v>828</v>
      </c>
      <c r="D334" s="62" t="s">
        <v>829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1273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617</v>
      </c>
      <c r="B335" s="62"/>
      <c r="C335" s="63" t="s">
        <v>830</v>
      </c>
      <c r="D335" s="62" t="s">
        <v>831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1270</v>
      </c>
      <c r="L335" s="57">
        <f t="shared" si="21"/>
        <v>22</v>
      </c>
      <c r="M335" s="17">
        <f t="shared" si="22"/>
        <v>8</v>
      </c>
      <c r="N335" s="18">
        <f t="shared" si="23"/>
        <v>0.73333333333333328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 t="s">
        <v>1355</v>
      </c>
      <c r="Z335" s="27" t="s">
        <v>1355</v>
      </c>
      <c r="AA335" s="27" t="s">
        <v>1355</v>
      </c>
      <c r="AB335" s="27" t="s">
        <v>1355</v>
      </c>
      <c r="AC335" s="27" t="s">
        <v>1355</v>
      </c>
      <c r="AD335" s="27" t="s">
        <v>1355</v>
      </c>
      <c r="AE335" s="27"/>
      <c r="AF335" s="27" t="s">
        <v>1355</v>
      </c>
      <c r="AG335" s="27" t="s">
        <v>1355</v>
      </c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617</v>
      </c>
      <c r="B336" s="62"/>
      <c r="C336" s="63" t="s">
        <v>832</v>
      </c>
      <c r="D336" s="62" t="s">
        <v>831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1271</v>
      </c>
      <c r="L336" s="57">
        <f t="shared" si="21"/>
        <v>22</v>
      </c>
      <c r="M336" s="17">
        <f t="shared" si="22"/>
        <v>8</v>
      </c>
      <c r="N336" s="18">
        <f t="shared" si="23"/>
        <v>0.73333333333333328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 t="s">
        <v>1355</v>
      </c>
      <c r="Z336" s="27" t="s">
        <v>1355</v>
      </c>
      <c r="AA336" s="27" t="s">
        <v>1355</v>
      </c>
      <c r="AB336" s="27" t="s">
        <v>1355</v>
      </c>
      <c r="AC336" s="27" t="s">
        <v>1355</v>
      </c>
      <c r="AD336" s="27" t="s">
        <v>1355</v>
      </c>
      <c r="AE336" s="27"/>
      <c r="AF336" s="27" t="s">
        <v>1355</v>
      </c>
      <c r="AG336" s="27" t="s">
        <v>1355</v>
      </c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617</v>
      </c>
      <c r="B337" s="62"/>
      <c r="C337" s="63" t="s">
        <v>833</v>
      </c>
      <c r="D337" s="62" t="s">
        <v>834</v>
      </c>
      <c r="E337" t="s">
        <v>113</v>
      </c>
      <c r="F337" t="s">
        <v>36</v>
      </c>
      <c r="G337" t="s">
        <v>835</v>
      </c>
      <c r="H337" t="s">
        <v>825</v>
      </c>
      <c r="I337" s="16">
        <v>-347798010000</v>
      </c>
      <c r="J337" s="16">
        <v>-582870530000</v>
      </c>
      <c r="K337" s="16" t="s">
        <v>1274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617</v>
      </c>
      <c r="B338" s="62"/>
      <c r="C338" s="63" t="s">
        <v>836</v>
      </c>
      <c r="D338" s="62" t="s">
        <v>834</v>
      </c>
      <c r="E338" t="s">
        <v>113</v>
      </c>
      <c r="F338" t="s">
        <v>36</v>
      </c>
      <c r="G338" t="s">
        <v>835</v>
      </c>
      <c r="H338" t="s">
        <v>825</v>
      </c>
      <c r="I338" s="16">
        <v>-347797690000</v>
      </c>
      <c r="J338" s="16">
        <v>-582869910000</v>
      </c>
      <c r="K338" s="16" t="s">
        <v>1275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617</v>
      </c>
      <c r="B339" s="62"/>
      <c r="C339" s="63" t="s">
        <v>837</v>
      </c>
      <c r="D339" s="62" t="s">
        <v>838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1277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728</v>
      </c>
      <c r="B340" s="62"/>
      <c r="C340" s="63" t="s">
        <v>839</v>
      </c>
      <c r="D340" s="62" t="s">
        <v>840</v>
      </c>
      <c r="E340" t="s">
        <v>24</v>
      </c>
      <c r="F340" t="s">
        <v>36</v>
      </c>
      <c r="G340" t="s">
        <v>366</v>
      </c>
      <c r="H340"/>
      <c r="I340" s="16">
        <v>-347957790000</v>
      </c>
      <c r="J340" s="16">
        <v>-582557990000</v>
      </c>
      <c r="K340" s="16" t="s">
        <v>1278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728</v>
      </c>
      <c r="B341" s="62"/>
      <c r="C341" s="63" t="s">
        <v>841</v>
      </c>
      <c r="D341" s="62" t="s">
        <v>842</v>
      </c>
      <c r="E341" t="s">
        <v>24</v>
      </c>
      <c r="F341" t="s">
        <v>25</v>
      </c>
      <c r="G341" t="s">
        <v>65</v>
      </c>
      <c r="H341" t="s">
        <v>843</v>
      </c>
      <c r="I341" s="16">
        <v>-347986250000</v>
      </c>
      <c r="J341" s="16">
        <v>-582551820000</v>
      </c>
      <c r="K341" s="16" t="s">
        <v>1279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728</v>
      </c>
      <c r="B342" s="62"/>
      <c r="C342" s="63" t="s">
        <v>844</v>
      </c>
      <c r="D342" s="62" t="s">
        <v>845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1280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728</v>
      </c>
      <c r="B343" s="62"/>
      <c r="C343" s="63" t="s">
        <v>846</v>
      </c>
      <c r="D343" s="62" t="s">
        <v>847</v>
      </c>
      <c r="E343" t="s">
        <v>24</v>
      </c>
      <c r="F343" t="s">
        <v>942</v>
      </c>
      <c r="G343" t="s">
        <v>65</v>
      </c>
      <c r="H343"/>
      <c r="I343" s="16">
        <v>-347937530000</v>
      </c>
      <c r="J343" s="16">
        <v>-582478490000</v>
      </c>
      <c r="K343" s="16" t="s">
        <v>1281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722</v>
      </c>
      <c r="B344" s="62"/>
      <c r="C344" s="63" t="s">
        <v>848</v>
      </c>
      <c r="D344" s="62" t="s">
        <v>849</v>
      </c>
      <c r="E344" t="s">
        <v>24</v>
      </c>
      <c r="F344" t="s">
        <v>25</v>
      </c>
      <c r="G344" t="s">
        <v>850</v>
      </c>
      <c r="H344"/>
      <c r="I344" s="16">
        <v>-347994440000</v>
      </c>
      <c r="J344" s="16">
        <v>-582627080000</v>
      </c>
      <c r="K344" s="16" t="s">
        <v>1282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851</v>
      </c>
      <c r="B345" s="62"/>
      <c r="C345" s="63" t="s">
        <v>852</v>
      </c>
      <c r="D345" s="62" t="s">
        <v>853</v>
      </c>
      <c r="E345" t="s">
        <v>19</v>
      </c>
      <c r="F345" t="s">
        <v>36</v>
      </c>
      <c r="G345"/>
      <c r="H345" t="s">
        <v>340</v>
      </c>
      <c r="I345" s="16">
        <v>-348374820000</v>
      </c>
      <c r="J345" s="16">
        <v>-582378510000</v>
      </c>
      <c r="K345" s="16" t="s">
        <v>1283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1355</v>
      </c>
      <c r="Q345" s="8" t="s">
        <v>1355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851</v>
      </c>
      <c r="B346" s="62"/>
      <c r="C346" s="63" t="s">
        <v>854</v>
      </c>
      <c r="D346" s="62" t="s">
        <v>855</v>
      </c>
      <c r="E346" t="s">
        <v>19</v>
      </c>
      <c r="F346" t="s">
        <v>36</v>
      </c>
      <c r="G346"/>
      <c r="H346" t="s">
        <v>340</v>
      </c>
      <c r="I346" s="16">
        <v>-348349880000</v>
      </c>
      <c r="J346" s="16">
        <v>-582351700000</v>
      </c>
      <c r="K346" s="16" t="s">
        <v>1284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1355</v>
      </c>
      <c r="Q346" s="8" t="s">
        <v>1355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851</v>
      </c>
      <c r="B347" s="60">
        <v>44629</v>
      </c>
      <c r="C347" s="63" t="s">
        <v>856</v>
      </c>
      <c r="D347" s="62" t="s">
        <v>857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1285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1355</v>
      </c>
      <c r="Q347" s="8" t="s">
        <v>1355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851</v>
      </c>
      <c r="B348" s="60">
        <v>44629</v>
      </c>
      <c r="C348" s="63" t="s">
        <v>858</v>
      </c>
      <c r="D348" s="62" t="s">
        <v>857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1286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1355</v>
      </c>
      <c r="Q348" s="8" t="s">
        <v>1355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859</v>
      </c>
      <c r="B349" s="60">
        <v>44629</v>
      </c>
      <c r="C349" s="63" t="s">
        <v>860</v>
      </c>
      <c r="D349" s="62" t="s">
        <v>861</v>
      </c>
      <c r="E349" t="s">
        <v>113</v>
      </c>
      <c r="F349" t="s">
        <v>36</v>
      </c>
      <c r="G349"/>
      <c r="H349" t="s">
        <v>862</v>
      </c>
      <c r="I349" s="16">
        <v>-348173980000</v>
      </c>
      <c r="J349" s="16">
        <v>-582515460000</v>
      </c>
      <c r="K349" s="16" t="s">
        <v>1287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1355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859</v>
      </c>
      <c r="B350" s="62"/>
      <c r="C350" s="63" t="s">
        <v>863</v>
      </c>
      <c r="D350" s="62" t="s">
        <v>864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1288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859</v>
      </c>
      <c r="B351" s="60">
        <v>44629</v>
      </c>
      <c r="C351" s="63" t="s">
        <v>865</v>
      </c>
      <c r="D351" s="62" t="s">
        <v>866</v>
      </c>
      <c r="E351" t="s">
        <v>113</v>
      </c>
      <c r="F351" t="s">
        <v>36</v>
      </c>
      <c r="G351"/>
      <c r="H351" t="s">
        <v>867</v>
      </c>
      <c r="I351" s="16">
        <v>-348173990000</v>
      </c>
      <c r="J351" s="16">
        <v>-582515250000</v>
      </c>
      <c r="K351" s="16" t="s">
        <v>1289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1355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859</v>
      </c>
      <c r="B352" s="62"/>
      <c r="C352" s="63" t="s">
        <v>868</v>
      </c>
      <c r="D352" s="62" t="s">
        <v>869</v>
      </c>
      <c r="E352" t="s">
        <v>19</v>
      </c>
      <c r="F352" t="s">
        <v>36</v>
      </c>
      <c r="G352"/>
      <c r="H352" t="s">
        <v>867</v>
      </c>
      <c r="I352" s="16">
        <v>-348116860000</v>
      </c>
      <c r="J352" s="16">
        <v>-582556310000</v>
      </c>
      <c r="K352" s="16" t="s">
        <v>1290</v>
      </c>
      <c r="L352" s="57">
        <f t="shared" si="21"/>
        <v>12</v>
      </c>
      <c r="M352" s="17">
        <f t="shared" si="22"/>
        <v>18</v>
      </c>
      <c r="N352" s="18">
        <f t="shared" si="23"/>
        <v>0.4</v>
      </c>
      <c r="O352" s="27" t="s">
        <v>1355</v>
      </c>
      <c r="P352" s="8" t="s">
        <v>1355</v>
      </c>
      <c r="Q352" s="8" t="s">
        <v>1355</v>
      </c>
      <c r="R352" s="8" t="s">
        <v>1355</v>
      </c>
      <c r="S352" s="27" t="s">
        <v>1355</v>
      </c>
      <c r="T352" s="27" t="s">
        <v>1355</v>
      </c>
      <c r="U352" s="8" t="s">
        <v>1355</v>
      </c>
      <c r="V352" s="8" t="s">
        <v>1355</v>
      </c>
      <c r="W352" s="8" t="s">
        <v>1355</v>
      </c>
      <c r="X352" s="27" t="s">
        <v>1355</v>
      </c>
      <c r="Y352" s="27" t="s">
        <v>1355</v>
      </c>
      <c r="Z352" s="27" t="s">
        <v>1355</v>
      </c>
      <c r="AA352" s="27" t="s">
        <v>1355</v>
      </c>
      <c r="AB352" s="27" t="s">
        <v>1355</v>
      </c>
      <c r="AC352" s="27" t="s">
        <v>1355</v>
      </c>
      <c r="AD352" s="27" t="s">
        <v>1355</v>
      </c>
      <c r="AE352" s="27"/>
      <c r="AF352" s="27" t="s">
        <v>1355</v>
      </c>
      <c r="AG352" s="27" t="s">
        <v>1355</v>
      </c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859</v>
      </c>
      <c r="B353" s="62"/>
      <c r="C353" s="63" t="s">
        <v>870</v>
      </c>
      <c r="D353" s="62" t="s">
        <v>871</v>
      </c>
      <c r="E353" t="s">
        <v>19</v>
      </c>
      <c r="F353" t="s">
        <v>36</v>
      </c>
      <c r="G353"/>
      <c r="H353" t="s">
        <v>867</v>
      </c>
      <c r="I353" s="16">
        <v>-348113810000</v>
      </c>
      <c r="J353" s="16">
        <v>-582573240000</v>
      </c>
      <c r="K353" s="16" t="s">
        <v>1291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270</v>
      </c>
      <c r="B354" s="62"/>
      <c r="C354" s="63" t="s">
        <v>872</v>
      </c>
      <c r="D354" s="62" t="s">
        <v>927</v>
      </c>
      <c r="E354" t="s">
        <v>24</v>
      </c>
      <c r="F354" t="s">
        <v>25</v>
      </c>
      <c r="G354" t="s">
        <v>703</v>
      </c>
      <c r="H354"/>
      <c r="I354" s="16">
        <v>-348336200000</v>
      </c>
      <c r="J354" s="16">
        <v>-582709260000</v>
      </c>
      <c r="K354" s="16" t="s">
        <v>1292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A355" s="54" t="s">
        <v>270</v>
      </c>
      <c r="B355" s="62"/>
      <c r="C355" s="63" t="s">
        <v>873</v>
      </c>
      <c r="D355" s="62" t="s">
        <v>928</v>
      </c>
      <c r="E355" t="s">
        <v>19</v>
      </c>
      <c r="F355" t="s">
        <v>36</v>
      </c>
      <c r="G355" t="s">
        <v>874</v>
      </c>
      <c r="H355" t="s">
        <v>875</v>
      </c>
      <c r="I355" s="16">
        <v>-348339360000</v>
      </c>
      <c r="J355" s="16">
        <v>-582778770000</v>
      </c>
      <c r="K355" s="16" t="s">
        <v>1359</v>
      </c>
      <c r="L355" s="57">
        <f t="shared" si="21"/>
        <v>29</v>
      </c>
      <c r="M355" s="17">
        <f t="shared" si="22"/>
        <v>1</v>
      </c>
      <c r="N355" s="18">
        <f t="shared" si="23"/>
        <v>0.96666666666666667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 t="s">
        <v>1355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270</v>
      </c>
      <c r="B356" s="62"/>
      <c r="C356" s="63" t="s">
        <v>876</v>
      </c>
      <c r="D356" s="62" t="s">
        <v>929</v>
      </c>
      <c r="E356" t="s">
        <v>113</v>
      </c>
      <c r="F356" t="s">
        <v>36</v>
      </c>
      <c r="G356"/>
      <c r="H356" t="s">
        <v>877</v>
      </c>
      <c r="I356" s="16">
        <v>-348368690000</v>
      </c>
      <c r="J356" s="16">
        <v>-582780410000</v>
      </c>
      <c r="K356" s="16" t="s">
        <v>1293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270</v>
      </c>
      <c r="B357" s="62"/>
      <c r="C357" s="63" t="s">
        <v>878</v>
      </c>
      <c r="D357" s="62" t="s">
        <v>929</v>
      </c>
      <c r="E357" t="s">
        <v>113</v>
      </c>
      <c r="F357" t="s">
        <v>36</v>
      </c>
      <c r="G357"/>
      <c r="H357" t="s">
        <v>879</v>
      </c>
      <c r="I357" s="16">
        <v>-348367000000</v>
      </c>
      <c r="J357" s="16">
        <v>-582781300000</v>
      </c>
      <c r="K357" s="16" t="s">
        <v>1294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270</v>
      </c>
      <c r="B358" s="62"/>
      <c r="C358" s="63" t="s">
        <v>880</v>
      </c>
      <c r="D358" s="62" t="s">
        <v>930</v>
      </c>
      <c r="E358" t="s">
        <v>19</v>
      </c>
      <c r="F358" t="s">
        <v>36</v>
      </c>
      <c r="G358"/>
      <c r="H358" t="s">
        <v>881</v>
      </c>
      <c r="I358" s="16">
        <v>-348375310000</v>
      </c>
      <c r="J358" s="16">
        <v>-582782110000</v>
      </c>
      <c r="K358" s="16" t="s">
        <v>1295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882</v>
      </c>
      <c r="B359" s="62"/>
      <c r="C359" s="63" t="s">
        <v>883</v>
      </c>
      <c r="D359" s="62" t="s">
        <v>884</v>
      </c>
      <c r="E359" t="s">
        <v>113</v>
      </c>
      <c r="F359" t="s">
        <v>36</v>
      </c>
      <c r="G359"/>
      <c r="H359" t="s">
        <v>885</v>
      </c>
      <c r="I359" s="16">
        <v>-348344030000</v>
      </c>
      <c r="J359" s="16">
        <v>-582802100000</v>
      </c>
      <c r="K359" s="16" t="s">
        <v>1296</v>
      </c>
      <c r="L359" s="57">
        <f t="shared" si="21"/>
        <v>12</v>
      </c>
      <c r="M359" s="17">
        <f t="shared" si="22"/>
        <v>18</v>
      </c>
      <c r="N359" s="18">
        <f t="shared" si="23"/>
        <v>0.4</v>
      </c>
      <c r="O359" s="27" t="s">
        <v>1355</v>
      </c>
      <c r="P359" s="8" t="s">
        <v>1355</v>
      </c>
      <c r="Q359" s="8" t="s">
        <v>1355</v>
      </c>
      <c r="R359" s="8" t="s">
        <v>1355</v>
      </c>
      <c r="S359" s="27" t="s">
        <v>1355</v>
      </c>
      <c r="T359" s="27" t="s">
        <v>1355</v>
      </c>
      <c r="U359" s="8" t="s">
        <v>1355</v>
      </c>
      <c r="V359" s="8" t="s">
        <v>1355</v>
      </c>
      <c r="W359" s="8" t="s">
        <v>1355</v>
      </c>
      <c r="X359" s="27" t="s">
        <v>1355</v>
      </c>
      <c r="Y359" s="27" t="s">
        <v>1355</v>
      </c>
      <c r="Z359" s="27" t="s">
        <v>1355</v>
      </c>
      <c r="AA359" s="27" t="s">
        <v>1355</v>
      </c>
      <c r="AB359" s="27" t="s">
        <v>1355</v>
      </c>
      <c r="AC359" s="27" t="s">
        <v>1355</v>
      </c>
      <c r="AD359" s="27" t="s">
        <v>1355</v>
      </c>
      <c r="AE359" s="27"/>
      <c r="AF359" s="27" t="s">
        <v>1355</v>
      </c>
      <c r="AG359" s="27" t="s">
        <v>1355</v>
      </c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882</v>
      </c>
      <c r="B360" s="62"/>
      <c r="C360" s="63" t="s">
        <v>886</v>
      </c>
      <c r="D360" s="62" t="s">
        <v>884</v>
      </c>
      <c r="E360" t="s">
        <v>113</v>
      </c>
      <c r="F360" t="s">
        <v>36</v>
      </c>
      <c r="G360"/>
      <c r="H360" t="s">
        <v>885</v>
      </c>
      <c r="I360" s="16">
        <v>-348343990000</v>
      </c>
      <c r="J360" s="16">
        <v>-582802050000</v>
      </c>
      <c r="K360" s="16" t="s">
        <v>1297</v>
      </c>
      <c r="L360" s="57">
        <f t="shared" si="21"/>
        <v>12</v>
      </c>
      <c r="M360" s="17">
        <f t="shared" si="22"/>
        <v>18</v>
      </c>
      <c r="N360" s="18">
        <f t="shared" si="23"/>
        <v>0.4</v>
      </c>
      <c r="O360" s="27" t="s">
        <v>1355</v>
      </c>
      <c r="P360" s="8" t="s">
        <v>1355</v>
      </c>
      <c r="Q360" s="8" t="s">
        <v>1355</v>
      </c>
      <c r="R360" s="8" t="s">
        <v>1355</v>
      </c>
      <c r="S360" s="27" t="s">
        <v>1355</v>
      </c>
      <c r="T360" s="27" t="s">
        <v>1355</v>
      </c>
      <c r="U360" s="8" t="s">
        <v>1355</v>
      </c>
      <c r="V360" s="8" t="s">
        <v>1355</v>
      </c>
      <c r="W360" s="8" t="s">
        <v>1355</v>
      </c>
      <c r="X360" s="27" t="s">
        <v>1355</v>
      </c>
      <c r="Y360" s="27" t="s">
        <v>1355</v>
      </c>
      <c r="Z360" s="27" t="s">
        <v>1355</v>
      </c>
      <c r="AA360" s="27" t="s">
        <v>1355</v>
      </c>
      <c r="AB360" s="27" t="s">
        <v>1355</v>
      </c>
      <c r="AC360" s="27" t="s">
        <v>1355</v>
      </c>
      <c r="AD360" s="27" t="s">
        <v>1355</v>
      </c>
      <c r="AE360" s="27"/>
      <c r="AF360" s="27" t="s">
        <v>1355</v>
      </c>
      <c r="AG360" s="27" t="s">
        <v>1355</v>
      </c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882</v>
      </c>
      <c r="B361" s="62"/>
      <c r="C361" s="63" t="s">
        <v>887</v>
      </c>
      <c r="D361" s="62" t="s">
        <v>888</v>
      </c>
      <c r="E361" t="s">
        <v>113</v>
      </c>
      <c r="F361" t="s">
        <v>36</v>
      </c>
      <c r="G361"/>
      <c r="H361" t="s">
        <v>885</v>
      </c>
      <c r="I361" s="16">
        <v>-348350290000</v>
      </c>
      <c r="J361" s="16">
        <v>-582814190000</v>
      </c>
      <c r="K361" s="16" t="s">
        <v>1298</v>
      </c>
      <c r="L361" s="57">
        <f t="shared" si="21"/>
        <v>12</v>
      </c>
      <c r="M361" s="17">
        <f t="shared" si="22"/>
        <v>18</v>
      </c>
      <c r="N361" s="18">
        <f t="shared" si="23"/>
        <v>0.4</v>
      </c>
      <c r="O361" s="27" t="s">
        <v>1355</v>
      </c>
      <c r="P361" s="8" t="s">
        <v>1355</v>
      </c>
      <c r="Q361" s="8" t="s">
        <v>1355</v>
      </c>
      <c r="R361" s="8" t="s">
        <v>1355</v>
      </c>
      <c r="S361" s="27" t="s">
        <v>1355</v>
      </c>
      <c r="T361" s="27" t="s">
        <v>1355</v>
      </c>
      <c r="U361" s="8" t="s">
        <v>1355</v>
      </c>
      <c r="V361" s="8" t="s">
        <v>1355</v>
      </c>
      <c r="W361" s="8" t="s">
        <v>1355</v>
      </c>
      <c r="X361" s="27" t="s">
        <v>1355</v>
      </c>
      <c r="Y361" s="27" t="s">
        <v>1355</v>
      </c>
      <c r="Z361" s="27" t="s">
        <v>1355</v>
      </c>
      <c r="AA361" s="27" t="s">
        <v>1355</v>
      </c>
      <c r="AB361" s="27" t="s">
        <v>1355</v>
      </c>
      <c r="AC361" s="27" t="s">
        <v>1355</v>
      </c>
      <c r="AD361" s="27" t="s">
        <v>1355</v>
      </c>
      <c r="AE361" s="27"/>
      <c r="AF361" s="27" t="s">
        <v>1355</v>
      </c>
      <c r="AG361" s="27" t="s">
        <v>1355</v>
      </c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882</v>
      </c>
      <c r="B362" s="62"/>
      <c r="C362" s="63" t="s">
        <v>889</v>
      </c>
      <c r="D362" s="62" t="s">
        <v>888</v>
      </c>
      <c r="E362" t="s">
        <v>113</v>
      </c>
      <c r="F362" t="s">
        <v>36</v>
      </c>
      <c r="G362"/>
      <c r="H362" t="s">
        <v>885</v>
      </c>
      <c r="I362" s="16">
        <v>-348350240000</v>
      </c>
      <c r="J362" s="16">
        <v>-582814080000</v>
      </c>
      <c r="K362" s="16" t="s">
        <v>1299</v>
      </c>
      <c r="L362" s="57">
        <f t="shared" si="21"/>
        <v>12</v>
      </c>
      <c r="M362" s="17">
        <f t="shared" si="22"/>
        <v>18</v>
      </c>
      <c r="N362" s="18">
        <f t="shared" si="23"/>
        <v>0.4</v>
      </c>
      <c r="O362" s="27" t="s">
        <v>1355</v>
      </c>
      <c r="P362" s="8" t="s">
        <v>1355</v>
      </c>
      <c r="Q362" s="8" t="s">
        <v>1355</v>
      </c>
      <c r="R362" s="8" t="s">
        <v>1355</v>
      </c>
      <c r="S362" s="27" t="s">
        <v>1355</v>
      </c>
      <c r="T362" s="27" t="s">
        <v>1355</v>
      </c>
      <c r="U362" s="8" t="s">
        <v>1355</v>
      </c>
      <c r="V362" s="8" t="s">
        <v>1355</v>
      </c>
      <c r="W362" s="8" t="s">
        <v>1355</v>
      </c>
      <c r="X362" s="27" t="s">
        <v>1355</v>
      </c>
      <c r="Y362" s="27" t="s">
        <v>1355</v>
      </c>
      <c r="Z362" s="27" t="s">
        <v>1355</v>
      </c>
      <c r="AA362" s="27" t="s">
        <v>1355</v>
      </c>
      <c r="AB362" s="27" t="s">
        <v>1355</v>
      </c>
      <c r="AC362" s="27" t="s">
        <v>1355</v>
      </c>
      <c r="AD362" s="27" t="s">
        <v>1355</v>
      </c>
      <c r="AE362" s="27"/>
      <c r="AF362" s="27" t="s">
        <v>1355</v>
      </c>
      <c r="AG362" s="27" t="s">
        <v>1355</v>
      </c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890</v>
      </c>
      <c r="B363" s="62"/>
      <c r="C363" s="63" t="s">
        <v>891</v>
      </c>
      <c r="D363" s="62" t="s">
        <v>892</v>
      </c>
      <c r="E363" t="s">
        <v>19</v>
      </c>
      <c r="F363" t="s">
        <v>36</v>
      </c>
      <c r="G363"/>
      <c r="H363" t="s">
        <v>340</v>
      </c>
      <c r="I363" s="16">
        <v>-348331020000</v>
      </c>
      <c r="J363" s="16">
        <v>-582411500000</v>
      </c>
      <c r="K363" s="16" t="s">
        <v>1300</v>
      </c>
      <c r="L363" s="57">
        <f t="shared" si="21"/>
        <v>17</v>
      </c>
      <c r="M363" s="17">
        <f t="shared" si="22"/>
        <v>13</v>
      </c>
      <c r="N363" s="18">
        <f t="shared" si="23"/>
        <v>0.56666666666666665</v>
      </c>
      <c r="O363" s="27"/>
      <c r="P363" s="8"/>
      <c r="Q363" s="8"/>
      <c r="R363" s="8"/>
      <c r="S363" s="27"/>
      <c r="T363" s="27" t="s">
        <v>1355</v>
      </c>
      <c r="U363" s="8" t="s">
        <v>1355</v>
      </c>
      <c r="V363" s="8" t="s">
        <v>1355</v>
      </c>
      <c r="W363" s="8" t="s">
        <v>1355</v>
      </c>
      <c r="X363" s="27" t="s">
        <v>1355</v>
      </c>
      <c r="Y363" s="27" t="s">
        <v>1355</v>
      </c>
      <c r="Z363" s="27" t="s">
        <v>1355</v>
      </c>
      <c r="AA363" s="27" t="s">
        <v>1355</v>
      </c>
      <c r="AB363" s="27" t="s">
        <v>1355</v>
      </c>
      <c r="AC363" s="27" t="s">
        <v>1355</v>
      </c>
      <c r="AD363" s="27" t="s">
        <v>1355</v>
      </c>
      <c r="AE363" s="27"/>
      <c r="AF363" s="27" t="s">
        <v>1355</v>
      </c>
      <c r="AG363" s="27" t="s">
        <v>1355</v>
      </c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893</v>
      </c>
      <c r="B364" s="62"/>
      <c r="C364" s="63" t="s">
        <v>894</v>
      </c>
      <c r="D364" s="62" t="s">
        <v>895</v>
      </c>
      <c r="E364" t="s">
        <v>19</v>
      </c>
      <c r="F364" t="s">
        <v>25</v>
      </c>
      <c r="G364"/>
      <c r="H364" t="s">
        <v>687</v>
      </c>
      <c r="I364" s="16">
        <v>-348140350000</v>
      </c>
      <c r="J364" s="16">
        <v>-582788310000</v>
      </c>
      <c r="K364" s="16" t="s">
        <v>1301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893</v>
      </c>
      <c r="B365" s="62"/>
      <c r="C365" s="63" t="s">
        <v>896</v>
      </c>
      <c r="D365" s="62" t="s">
        <v>897</v>
      </c>
      <c r="E365" t="s">
        <v>19</v>
      </c>
      <c r="F365" t="s">
        <v>25</v>
      </c>
      <c r="G365"/>
      <c r="H365" t="s">
        <v>898</v>
      </c>
      <c r="I365" s="16">
        <v>-348118850000</v>
      </c>
      <c r="J365" s="16">
        <v>-582790580000</v>
      </c>
      <c r="K365" s="16" t="s">
        <v>1302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893</v>
      </c>
      <c r="B366" s="62"/>
      <c r="C366" s="63" t="s">
        <v>899</v>
      </c>
      <c r="D366" s="62" t="s">
        <v>900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1303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B367" s="62"/>
      <c r="C367" s="63" t="s">
        <v>901</v>
      </c>
      <c r="D367" s="62" t="s">
        <v>902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1307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903</v>
      </c>
      <c r="B368" s="62"/>
      <c r="C368" s="63" t="s">
        <v>904</v>
      </c>
      <c r="D368" s="62" t="s">
        <v>905</v>
      </c>
      <c r="E368" t="s">
        <v>24</v>
      </c>
      <c r="F368" t="s">
        <v>25</v>
      </c>
      <c r="G368" t="s">
        <v>793</v>
      </c>
      <c r="H368"/>
      <c r="I368" s="16">
        <v>-348108520000</v>
      </c>
      <c r="J368" s="16">
        <v>-582564000000</v>
      </c>
      <c r="K368" s="16" t="s">
        <v>1304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479</v>
      </c>
      <c r="B369" s="60">
        <v>44629</v>
      </c>
      <c r="C369" s="63" t="s">
        <v>906</v>
      </c>
      <c r="D369" s="62" t="s">
        <v>907</v>
      </c>
      <c r="E369" t="s">
        <v>24</v>
      </c>
      <c r="F369" t="s">
        <v>25</v>
      </c>
      <c r="G369" t="s">
        <v>793</v>
      </c>
      <c r="H369"/>
      <c r="I369" s="16">
        <v>-348105440000</v>
      </c>
      <c r="J369" s="16">
        <v>-582580200000</v>
      </c>
      <c r="K369" s="16" t="s">
        <v>1305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B370" s="62"/>
      <c r="C370" s="63" t="s">
        <v>908</v>
      </c>
      <c r="D370" s="62" t="s">
        <v>909</v>
      </c>
      <c r="E370" t="s">
        <v>19</v>
      </c>
      <c r="F370" t="s">
        <v>25</v>
      </c>
      <c r="G370"/>
      <c r="H370" t="s">
        <v>910</v>
      </c>
      <c r="I370" s="16">
        <v>-348006770000</v>
      </c>
      <c r="J370" s="16">
        <v>-582652130000</v>
      </c>
      <c r="K370" s="16" t="s">
        <v>1306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1313</v>
      </c>
      <c r="B371" s="62"/>
      <c r="C371" s="63" t="s">
        <v>1309</v>
      </c>
      <c r="D371" s="62" t="s">
        <v>1311</v>
      </c>
      <c r="E371" s="45" t="s">
        <v>113</v>
      </c>
      <c r="F371" s="45" t="s">
        <v>36</v>
      </c>
      <c r="G371" s="9"/>
      <c r="H371" s="9" t="s">
        <v>1316</v>
      </c>
      <c r="I371" s="9"/>
      <c r="J371" s="9"/>
      <c r="K371" s="28" t="s">
        <v>1314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1355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1313</v>
      </c>
      <c r="B372" s="62"/>
      <c r="C372" s="63" t="s">
        <v>1310</v>
      </c>
      <c r="D372" s="62" t="s">
        <v>1312</v>
      </c>
      <c r="E372" s="45" t="s">
        <v>113</v>
      </c>
      <c r="F372" s="45" t="s">
        <v>36</v>
      </c>
      <c r="G372" s="9" t="s">
        <v>1316</v>
      </c>
      <c r="H372" s="9"/>
      <c r="I372" s="9"/>
      <c r="J372" s="9"/>
      <c r="K372" s="28" t="s">
        <v>1315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1355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.75" thickBot="1" x14ac:dyDescent="0.3">
      <c r="A373" s="54" t="s">
        <v>569</v>
      </c>
      <c r="B373" s="62"/>
      <c r="C373" s="63" t="s">
        <v>1328</v>
      </c>
      <c r="D373" s="62" t="s">
        <v>1332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1336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1355</v>
      </c>
      <c r="Q373" s="27" t="s">
        <v>1355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.75" thickBot="1" x14ac:dyDescent="0.3">
      <c r="A374" s="54" t="s">
        <v>569</v>
      </c>
      <c r="B374" s="62"/>
      <c r="C374" s="63" t="s">
        <v>1329</v>
      </c>
      <c r="D374" s="62" t="s">
        <v>1333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1337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1355</v>
      </c>
      <c r="Q374" s="27" t="s">
        <v>1355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.75" thickBot="1" x14ac:dyDescent="0.3">
      <c r="A375" s="54" t="s">
        <v>569</v>
      </c>
      <c r="B375" s="62"/>
      <c r="C375" s="63" t="s">
        <v>1330</v>
      </c>
      <c r="D375" s="62" t="s">
        <v>1334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1338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1355</v>
      </c>
      <c r="Q375" s="27" t="s">
        <v>1355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.75" thickBot="1" x14ac:dyDescent="0.3">
      <c r="A376" s="54" t="s">
        <v>569</v>
      </c>
      <c r="B376" s="62"/>
      <c r="C376" s="63" t="s">
        <v>1331</v>
      </c>
      <c r="D376" s="62" t="s">
        <v>1335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1339</v>
      </c>
      <c r="L376" s="57">
        <f t="shared" si="21"/>
        <v>26</v>
      </c>
      <c r="M376" s="57">
        <f t="shared" si="24"/>
        <v>4</v>
      </c>
      <c r="N376" s="58">
        <f t="shared" si="25"/>
        <v>0.8666666666666667</v>
      </c>
      <c r="O376" s="27"/>
      <c r="P376" s="27" t="s">
        <v>1355</v>
      </c>
      <c r="Q376" s="27" t="s">
        <v>1355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 t="s">
        <v>1355</v>
      </c>
      <c r="AG376" s="27" t="s">
        <v>1355</v>
      </c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.75" thickBot="1" x14ac:dyDescent="0.3">
      <c r="A377" s="54" t="s">
        <v>80</v>
      </c>
      <c r="B377" s="62"/>
      <c r="C377" s="63" t="s">
        <v>1344</v>
      </c>
      <c r="D377" s="62" t="s">
        <v>1342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1343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.75" thickBot="1" x14ac:dyDescent="0.3">
      <c r="A378" s="54" t="s">
        <v>16</v>
      </c>
      <c r="B378" s="62"/>
      <c r="C378" s="63" t="s">
        <v>1352</v>
      </c>
      <c r="D378" s="62" t="s">
        <v>1354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1360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1355</v>
      </c>
      <c r="Q378" s="27" t="s">
        <v>1355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.75" thickBot="1" x14ac:dyDescent="0.3">
      <c r="A379" s="54" t="s">
        <v>16</v>
      </c>
      <c r="B379" s="62"/>
      <c r="C379" s="63" t="s">
        <v>1353</v>
      </c>
      <c r="D379" s="62" t="s">
        <v>1354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1361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1355</v>
      </c>
      <c r="Q379" s="27" t="s">
        <v>1355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746" priority="2136" operator="lessThan">
      <formula>0.8</formula>
    </cfRule>
    <cfRule type="cellIs" dxfId="745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44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43" priority="2131" operator="notContains" text="Caida">
      <formula>ISERROR(SEARCH("Caida",O95))</formula>
    </cfRule>
    <cfRule type="containsText" dxfId="742" priority="2132" operator="containsText" text="Caida">
      <formula>NOT(ISERROR(SEARCH("Caida",O95)))</formula>
    </cfRule>
  </conditionalFormatting>
  <conditionalFormatting sqref="E282:K282">
    <cfRule type="containsText" dxfId="741" priority="2104" operator="containsText" text="Radio">
      <formula>NOT(ISERROR(SEARCH("Radio",E282)))</formula>
    </cfRule>
  </conditionalFormatting>
  <conditionalFormatting sqref="E283:K283">
    <cfRule type="containsText" dxfId="740" priority="2079" operator="containsText" text="Radio">
      <formula>NOT(ISERROR(SEARCH("Radio",E283)))</formula>
    </cfRule>
  </conditionalFormatting>
  <conditionalFormatting sqref="E4:K4">
    <cfRule type="containsText" dxfId="739" priority="2054" operator="containsText" text="Radio">
      <formula>NOT(ISERROR(SEARCH("Radio",E4)))</formula>
    </cfRule>
  </conditionalFormatting>
  <conditionalFormatting sqref="E231:K231">
    <cfRule type="containsText" dxfId="738" priority="2053" operator="containsText" text="Radio">
      <formula>NOT(ISERROR(SEARCH("Radio",E231)))</formula>
    </cfRule>
  </conditionalFormatting>
  <conditionalFormatting sqref="E232:K232">
    <cfRule type="containsText" dxfId="737" priority="2028" operator="containsText" text="Radio">
      <formula>NOT(ISERROR(SEARCH("Radio",E232)))</formula>
    </cfRule>
  </conditionalFormatting>
  <conditionalFormatting sqref="E233:K233">
    <cfRule type="containsText" dxfId="736" priority="2003" operator="containsText" text="Radio">
      <formula>NOT(ISERROR(SEARCH("Radio",E233)))</formula>
    </cfRule>
  </conditionalFormatting>
  <conditionalFormatting sqref="E234:K234">
    <cfRule type="containsText" dxfId="735" priority="1978" operator="containsText" text="Radio">
      <formula>NOT(ISERROR(SEARCH("Radio",E234)))</formula>
    </cfRule>
  </conditionalFormatting>
  <conditionalFormatting sqref="E235:K235">
    <cfRule type="containsText" dxfId="734" priority="1953" operator="containsText" text="Radio">
      <formula>NOT(ISERROR(SEARCH("Radio",E235)))</formula>
    </cfRule>
  </conditionalFormatting>
  <conditionalFormatting sqref="E335:K335">
    <cfRule type="containsText" dxfId="733" priority="1904" operator="containsText" text="Radio">
      <formula>NOT(ISERROR(SEARCH("Radio",E335)))</formula>
    </cfRule>
  </conditionalFormatting>
  <conditionalFormatting sqref="E336:K336">
    <cfRule type="containsText" dxfId="732" priority="1879" operator="containsText" text="Radio">
      <formula>NOT(ISERROR(SEARCH("Radio",E336)))</formula>
    </cfRule>
  </conditionalFormatting>
  <conditionalFormatting sqref="E237:K237">
    <cfRule type="containsText" dxfId="731" priority="1854" operator="containsText" text="Radio">
      <formula>NOT(ISERROR(SEARCH("Radio",E237)))</formula>
    </cfRule>
  </conditionalFormatting>
  <conditionalFormatting sqref="E238:K238">
    <cfRule type="containsText" dxfId="730" priority="1829" operator="containsText" text="Radio">
      <formula>NOT(ISERROR(SEARCH("Radio",E238)))</formula>
    </cfRule>
  </conditionalFormatting>
  <conditionalFormatting sqref="E33:K35">
    <cfRule type="containsText" dxfId="729" priority="1804" operator="containsText" text="Radio">
      <formula>NOT(ISERROR(SEARCH("Radio",E33)))</formula>
    </cfRule>
  </conditionalFormatting>
  <conditionalFormatting sqref="E239:K239">
    <cfRule type="containsText" dxfId="728" priority="1779" operator="containsText" text="Radio">
      <formula>NOT(ISERROR(SEARCH("Radio",E239)))</formula>
    </cfRule>
  </conditionalFormatting>
  <conditionalFormatting sqref="E240:K240">
    <cfRule type="containsText" dxfId="727" priority="1754" operator="containsText" text="Radio">
      <formula>NOT(ISERROR(SEARCH("Radio",E240)))</formula>
    </cfRule>
  </conditionalFormatting>
  <conditionalFormatting sqref="E241:K241">
    <cfRule type="containsText" dxfId="726" priority="1729" operator="containsText" text="Radio">
      <formula>NOT(ISERROR(SEARCH("Radio",E241)))</formula>
    </cfRule>
  </conditionalFormatting>
  <conditionalFormatting sqref="E242:K242">
    <cfRule type="containsText" dxfId="725" priority="1704" operator="containsText" text="Radio">
      <formula>NOT(ISERROR(SEARCH("Radio",E242)))</formula>
    </cfRule>
  </conditionalFormatting>
  <conditionalFormatting sqref="P6:P92 P96:P230">
    <cfRule type="cellIs" dxfId="724" priority="1629" operator="lessThan">
      <formula>0.8</formula>
    </cfRule>
    <cfRule type="cellIs" dxfId="723" priority="1630" operator="greaterThan">
      <formula>0.8</formula>
    </cfRule>
  </conditionalFormatting>
  <conditionalFormatting sqref="P6:P92 P96:P230">
    <cfRule type="notContainsText" dxfId="722" priority="1627" operator="notContains" text="Caida">
      <formula>ISERROR(SEARCH("Caida",P6))</formula>
    </cfRule>
    <cfRule type="containsText" dxfId="721" priority="1628" operator="containsText" text="Caida">
      <formula>NOT(ISERROR(SEARCH("Caida",P6)))</formula>
    </cfRule>
  </conditionalFormatting>
  <conditionalFormatting sqref="P337:P366 P284:P334">
    <cfRule type="cellIs" dxfId="720" priority="1625" operator="lessThan">
      <formula>0.8</formula>
    </cfRule>
    <cfRule type="cellIs" dxfId="719" priority="1626" operator="greaterThan">
      <formula>0.8</formula>
    </cfRule>
  </conditionalFormatting>
  <conditionalFormatting sqref="P337:P366 P284:P334 P391:P1048576">
    <cfRule type="notContainsText" dxfId="718" priority="1623" operator="notContains" text="Caida">
      <formula>ISERROR(SEARCH("Caida",P284))</formula>
    </cfRule>
    <cfRule type="containsText" dxfId="717" priority="1624" operator="containsText" text="Caida">
      <formula>NOT(ISERROR(SEARCH("Caida",P284)))</formula>
    </cfRule>
  </conditionalFormatting>
  <conditionalFormatting sqref="O391:O1048576">
    <cfRule type="notContainsText" dxfId="716" priority="1672" operator="notContains" text="Caida">
      <formula>ISERROR(SEARCH("Caida",O391))</formula>
    </cfRule>
    <cfRule type="containsText" dxfId="715" priority="1673" operator="containsText" text="Caida">
      <formula>NOT(ISERROR(SEARCH("Caida",O391)))</formula>
    </cfRule>
  </conditionalFormatting>
  <conditionalFormatting sqref="P336">
    <cfRule type="cellIs" dxfId="714" priority="1584" operator="lessThan">
      <formula>0.8</formula>
    </cfRule>
    <cfRule type="cellIs" dxfId="713" priority="1585" operator="greaterThan">
      <formula>0.8</formula>
    </cfRule>
  </conditionalFormatting>
  <conditionalFormatting sqref="P336">
    <cfRule type="notContainsText" dxfId="712" priority="1582" operator="notContains" text="Caida">
      <formula>ISERROR(SEARCH("Caida",P336))</formula>
    </cfRule>
    <cfRule type="containsText" dxfId="711" priority="1583" operator="containsText" text="Caida">
      <formula>NOT(ISERROR(SEARCH("Caida",P336)))</formula>
    </cfRule>
  </conditionalFormatting>
  <conditionalFormatting sqref="P22">
    <cfRule type="containsText" dxfId="710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09" priority="1620" operator="lessThan">
      <formula>0.8</formula>
    </cfRule>
    <cfRule type="cellIs" dxfId="708" priority="1621" operator="greaterThan">
      <formula>0.8</formula>
    </cfRule>
  </conditionalFormatting>
  <conditionalFormatting sqref="P282">
    <cfRule type="notContainsText" dxfId="707" priority="1618" operator="notContains" text="Caida">
      <formula>ISERROR(SEARCH("Caida",P282))</formula>
    </cfRule>
    <cfRule type="containsText" dxfId="706" priority="1619" operator="containsText" text="Caida">
      <formula>NOT(ISERROR(SEARCH("Caida",P282)))</formula>
    </cfRule>
  </conditionalFormatting>
  <conditionalFormatting sqref="P283">
    <cfRule type="cellIs" dxfId="705" priority="1616" operator="lessThan">
      <formula>0.8</formula>
    </cfRule>
    <cfRule type="cellIs" dxfId="704" priority="1617" operator="greaterThan">
      <formula>0.8</formula>
    </cfRule>
  </conditionalFormatting>
  <conditionalFormatting sqref="P283">
    <cfRule type="notContainsText" dxfId="703" priority="1614" operator="notContains" text="Caida">
      <formula>ISERROR(SEARCH("Caida",P283))</formula>
    </cfRule>
    <cfRule type="containsText" dxfId="702" priority="1615" operator="containsText" text="Caida">
      <formula>NOT(ISERROR(SEARCH("Caida",P283)))</formula>
    </cfRule>
  </conditionalFormatting>
  <conditionalFormatting sqref="P5">
    <cfRule type="cellIs" dxfId="701" priority="1612" operator="lessThan">
      <formula>0.8</formula>
    </cfRule>
    <cfRule type="cellIs" dxfId="700" priority="1613" operator="greaterThan">
      <formula>0.8</formula>
    </cfRule>
  </conditionalFormatting>
  <conditionalFormatting sqref="P5">
    <cfRule type="notContainsText" dxfId="699" priority="1610" operator="notContains" text="Caida">
      <formula>ISERROR(SEARCH("Caida",P5))</formula>
    </cfRule>
    <cfRule type="containsText" dxfId="698" priority="1611" operator="containsText" text="Caida">
      <formula>NOT(ISERROR(SEARCH("Caida",P5)))</formula>
    </cfRule>
  </conditionalFormatting>
  <conditionalFormatting sqref="P231">
    <cfRule type="cellIs" dxfId="697" priority="1608" operator="lessThan">
      <formula>0.8</formula>
    </cfRule>
    <cfRule type="cellIs" dxfId="696" priority="1609" operator="greaterThan">
      <formula>0.8</formula>
    </cfRule>
  </conditionalFormatting>
  <conditionalFormatting sqref="P231">
    <cfRule type="notContainsText" dxfId="695" priority="1606" operator="notContains" text="Caida">
      <formula>ISERROR(SEARCH("Caida",P231))</formula>
    </cfRule>
    <cfRule type="containsText" dxfId="694" priority="1607" operator="containsText" text="Caida">
      <formula>NOT(ISERROR(SEARCH("Caida",P231)))</formula>
    </cfRule>
  </conditionalFormatting>
  <conditionalFormatting sqref="P232">
    <cfRule type="cellIs" dxfId="693" priority="1604" operator="lessThan">
      <formula>0.8</formula>
    </cfRule>
    <cfRule type="cellIs" dxfId="692" priority="1605" operator="greaterThan">
      <formula>0.8</formula>
    </cfRule>
  </conditionalFormatting>
  <conditionalFormatting sqref="P232">
    <cfRule type="notContainsText" dxfId="691" priority="1602" operator="notContains" text="Caida">
      <formula>ISERROR(SEARCH("Caida",P232))</formula>
    </cfRule>
    <cfRule type="containsText" dxfId="690" priority="1603" operator="containsText" text="Caida">
      <formula>NOT(ISERROR(SEARCH("Caida",P232)))</formula>
    </cfRule>
  </conditionalFormatting>
  <conditionalFormatting sqref="P233">
    <cfRule type="cellIs" dxfId="689" priority="1600" operator="lessThan">
      <formula>0.8</formula>
    </cfRule>
    <cfRule type="cellIs" dxfId="688" priority="1601" operator="greaterThan">
      <formula>0.8</formula>
    </cfRule>
  </conditionalFormatting>
  <conditionalFormatting sqref="P233">
    <cfRule type="notContainsText" dxfId="687" priority="1598" operator="notContains" text="Caida">
      <formula>ISERROR(SEARCH("Caida",P233))</formula>
    </cfRule>
    <cfRule type="containsText" dxfId="686" priority="1599" operator="containsText" text="Caida">
      <formula>NOT(ISERROR(SEARCH("Caida",P233)))</formula>
    </cfRule>
  </conditionalFormatting>
  <conditionalFormatting sqref="P234">
    <cfRule type="cellIs" dxfId="685" priority="1596" operator="lessThan">
      <formula>0.8</formula>
    </cfRule>
    <cfRule type="cellIs" dxfId="684" priority="1597" operator="greaterThan">
      <formula>0.8</formula>
    </cfRule>
  </conditionalFormatting>
  <conditionalFormatting sqref="P234">
    <cfRule type="notContainsText" dxfId="683" priority="1594" operator="notContains" text="Caida">
      <formula>ISERROR(SEARCH("Caida",P234))</formula>
    </cfRule>
    <cfRule type="containsText" dxfId="682" priority="1595" operator="containsText" text="Caida">
      <formula>NOT(ISERROR(SEARCH("Caida",P234)))</formula>
    </cfRule>
  </conditionalFormatting>
  <conditionalFormatting sqref="P235">
    <cfRule type="cellIs" dxfId="681" priority="1592" operator="lessThan">
      <formula>0.8</formula>
    </cfRule>
    <cfRule type="cellIs" dxfId="680" priority="1593" operator="greaterThan">
      <formula>0.8</formula>
    </cfRule>
  </conditionalFormatting>
  <conditionalFormatting sqref="P235">
    <cfRule type="notContainsText" dxfId="679" priority="1590" operator="notContains" text="Caida">
      <formula>ISERROR(SEARCH("Caida",P235))</formula>
    </cfRule>
    <cfRule type="containsText" dxfId="678" priority="1591" operator="containsText" text="Caida">
      <formula>NOT(ISERROR(SEARCH("Caida",P235)))</formula>
    </cfRule>
  </conditionalFormatting>
  <conditionalFormatting sqref="P335">
    <cfRule type="cellIs" dxfId="677" priority="1588" operator="lessThan">
      <formula>0.8</formula>
    </cfRule>
    <cfRule type="cellIs" dxfId="676" priority="1589" operator="greaterThan">
      <formula>0.8</formula>
    </cfRule>
  </conditionalFormatting>
  <conditionalFormatting sqref="P335">
    <cfRule type="notContainsText" dxfId="675" priority="1586" operator="notContains" text="Caida">
      <formula>ISERROR(SEARCH("Caida",P335))</formula>
    </cfRule>
    <cfRule type="containsText" dxfId="674" priority="1587" operator="containsText" text="Caida">
      <formula>NOT(ISERROR(SEARCH("Caida",P335)))</formula>
    </cfRule>
  </conditionalFormatting>
  <conditionalFormatting sqref="Q6:Q92 Q96:Q230">
    <cfRule type="cellIs" dxfId="673" priority="1580" operator="lessThan">
      <formula>0.8</formula>
    </cfRule>
    <cfRule type="cellIs" dxfId="672" priority="1581" operator="greaterThan">
      <formula>0.8</formula>
    </cfRule>
  </conditionalFormatting>
  <conditionalFormatting sqref="Q6:Q92 Q96:Q230">
    <cfRule type="notContainsText" dxfId="671" priority="1578" operator="notContains" text="Caida">
      <formula>ISERROR(SEARCH("Caida",Q6))</formula>
    </cfRule>
    <cfRule type="containsText" dxfId="670" priority="1579" operator="containsText" text="Caida">
      <formula>NOT(ISERROR(SEARCH("Caida",Q6)))</formula>
    </cfRule>
  </conditionalFormatting>
  <conditionalFormatting sqref="Q336">
    <cfRule type="cellIs" dxfId="669" priority="1535" operator="lessThan">
      <formula>0.8</formula>
    </cfRule>
    <cfRule type="cellIs" dxfId="668" priority="1536" operator="greaterThan">
      <formula>0.8</formula>
    </cfRule>
  </conditionalFormatting>
  <conditionalFormatting sqref="Q336">
    <cfRule type="notContainsText" dxfId="667" priority="1533" operator="notContains" text="Caida">
      <formula>ISERROR(SEARCH("Caida",Q336))</formula>
    </cfRule>
    <cfRule type="containsText" dxfId="666" priority="1534" operator="containsText" text="Caida">
      <formula>NOT(ISERROR(SEARCH("Caida",Q336)))</formula>
    </cfRule>
  </conditionalFormatting>
  <conditionalFormatting sqref="Q337:Q366 Q284:Q334">
    <cfRule type="cellIs" dxfId="665" priority="1576" operator="lessThan">
      <formula>0.8</formula>
    </cfRule>
    <cfRule type="cellIs" dxfId="664" priority="1577" operator="greaterThan">
      <formula>0.8</formula>
    </cfRule>
  </conditionalFormatting>
  <conditionalFormatting sqref="Q337:Q366 Q284:Q334 Q391:Q1048576">
    <cfRule type="notContainsText" dxfId="663" priority="1574" operator="notContains" text="Caida">
      <formula>ISERROR(SEARCH("Caida",Q284))</formula>
    </cfRule>
    <cfRule type="containsText" dxfId="662" priority="1575" operator="containsText" text="Caida">
      <formula>NOT(ISERROR(SEARCH("Caida",Q284)))</formula>
    </cfRule>
  </conditionalFormatting>
  <conditionalFormatting sqref="Q22">
    <cfRule type="containsText" dxfId="661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60" priority="1571" operator="lessThan">
      <formula>0.8</formula>
    </cfRule>
    <cfRule type="cellIs" dxfId="659" priority="1572" operator="greaterThan">
      <formula>0.8</formula>
    </cfRule>
  </conditionalFormatting>
  <conditionalFormatting sqref="Q282">
    <cfRule type="notContainsText" dxfId="658" priority="1569" operator="notContains" text="Caida">
      <formula>ISERROR(SEARCH("Caida",Q282))</formula>
    </cfRule>
    <cfRule type="containsText" dxfId="657" priority="1570" operator="containsText" text="Caida">
      <formula>NOT(ISERROR(SEARCH("Caida",Q282)))</formula>
    </cfRule>
  </conditionalFormatting>
  <conditionalFormatting sqref="Q283">
    <cfRule type="cellIs" dxfId="656" priority="1567" operator="lessThan">
      <formula>0.8</formula>
    </cfRule>
    <cfRule type="cellIs" dxfId="655" priority="1568" operator="greaterThan">
      <formula>0.8</formula>
    </cfRule>
  </conditionalFormatting>
  <conditionalFormatting sqref="Q283">
    <cfRule type="notContainsText" dxfId="654" priority="1565" operator="notContains" text="Caida">
      <formula>ISERROR(SEARCH("Caida",Q283))</formula>
    </cfRule>
    <cfRule type="containsText" dxfId="653" priority="1566" operator="containsText" text="Caida">
      <formula>NOT(ISERROR(SEARCH("Caida",Q283)))</formula>
    </cfRule>
  </conditionalFormatting>
  <conditionalFormatting sqref="Q5">
    <cfRule type="cellIs" dxfId="652" priority="1563" operator="lessThan">
      <formula>0.8</formula>
    </cfRule>
    <cfRule type="cellIs" dxfId="651" priority="1564" operator="greaterThan">
      <formula>0.8</formula>
    </cfRule>
  </conditionalFormatting>
  <conditionalFormatting sqref="Q5">
    <cfRule type="notContainsText" dxfId="650" priority="1561" operator="notContains" text="Caida">
      <formula>ISERROR(SEARCH("Caida",Q5))</formula>
    </cfRule>
    <cfRule type="containsText" dxfId="649" priority="1562" operator="containsText" text="Caida">
      <formula>NOT(ISERROR(SEARCH("Caida",Q5)))</formula>
    </cfRule>
  </conditionalFormatting>
  <conditionalFormatting sqref="Q231">
    <cfRule type="cellIs" dxfId="648" priority="1559" operator="lessThan">
      <formula>0.8</formula>
    </cfRule>
    <cfRule type="cellIs" dxfId="647" priority="1560" operator="greaterThan">
      <formula>0.8</formula>
    </cfRule>
  </conditionalFormatting>
  <conditionalFormatting sqref="Q231">
    <cfRule type="notContainsText" dxfId="646" priority="1557" operator="notContains" text="Caida">
      <formula>ISERROR(SEARCH("Caida",Q231))</formula>
    </cfRule>
    <cfRule type="containsText" dxfId="645" priority="1558" operator="containsText" text="Caida">
      <formula>NOT(ISERROR(SEARCH("Caida",Q231)))</formula>
    </cfRule>
  </conditionalFormatting>
  <conditionalFormatting sqref="Q232">
    <cfRule type="cellIs" dxfId="644" priority="1555" operator="lessThan">
      <formula>0.8</formula>
    </cfRule>
    <cfRule type="cellIs" dxfId="643" priority="1556" operator="greaterThan">
      <formula>0.8</formula>
    </cfRule>
  </conditionalFormatting>
  <conditionalFormatting sqref="Q232">
    <cfRule type="notContainsText" dxfId="642" priority="1553" operator="notContains" text="Caida">
      <formula>ISERROR(SEARCH("Caida",Q232))</formula>
    </cfRule>
    <cfRule type="containsText" dxfId="641" priority="1554" operator="containsText" text="Caida">
      <formula>NOT(ISERROR(SEARCH("Caida",Q232)))</formula>
    </cfRule>
  </conditionalFormatting>
  <conditionalFormatting sqref="Q233">
    <cfRule type="cellIs" dxfId="640" priority="1551" operator="lessThan">
      <formula>0.8</formula>
    </cfRule>
    <cfRule type="cellIs" dxfId="639" priority="1552" operator="greaterThan">
      <formula>0.8</formula>
    </cfRule>
  </conditionalFormatting>
  <conditionalFormatting sqref="Q233">
    <cfRule type="notContainsText" dxfId="638" priority="1549" operator="notContains" text="Caida">
      <formula>ISERROR(SEARCH("Caida",Q233))</formula>
    </cfRule>
    <cfRule type="containsText" dxfId="637" priority="1550" operator="containsText" text="Caida">
      <formula>NOT(ISERROR(SEARCH("Caida",Q233)))</formula>
    </cfRule>
  </conditionalFormatting>
  <conditionalFormatting sqref="Q234">
    <cfRule type="cellIs" dxfId="636" priority="1547" operator="lessThan">
      <formula>0.8</formula>
    </cfRule>
    <cfRule type="cellIs" dxfId="635" priority="1548" operator="greaterThan">
      <formula>0.8</formula>
    </cfRule>
  </conditionalFormatting>
  <conditionalFormatting sqref="Q234">
    <cfRule type="notContainsText" dxfId="634" priority="1545" operator="notContains" text="Caida">
      <formula>ISERROR(SEARCH("Caida",Q234))</formula>
    </cfRule>
    <cfRule type="containsText" dxfId="633" priority="1546" operator="containsText" text="Caida">
      <formula>NOT(ISERROR(SEARCH("Caida",Q234)))</formula>
    </cfRule>
  </conditionalFormatting>
  <conditionalFormatting sqref="Q235">
    <cfRule type="cellIs" dxfId="632" priority="1543" operator="lessThan">
      <formula>0.8</formula>
    </cfRule>
    <cfRule type="cellIs" dxfId="631" priority="1544" operator="greaterThan">
      <formula>0.8</formula>
    </cfRule>
  </conditionalFormatting>
  <conditionalFormatting sqref="Q235">
    <cfRule type="notContainsText" dxfId="630" priority="1541" operator="notContains" text="Caida">
      <formula>ISERROR(SEARCH("Caida",Q235))</formula>
    </cfRule>
    <cfRule type="containsText" dxfId="629" priority="1542" operator="containsText" text="Caida">
      <formula>NOT(ISERROR(SEARCH("Caida",Q235)))</formula>
    </cfRule>
  </conditionalFormatting>
  <conditionalFormatting sqref="Q335">
    <cfRule type="cellIs" dxfId="628" priority="1539" operator="lessThan">
      <formula>0.8</formula>
    </cfRule>
    <cfRule type="cellIs" dxfId="627" priority="1540" operator="greaterThan">
      <formula>0.8</formula>
    </cfRule>
  </conditionalFormatting>
  <conditionalFormatting sqref="Q335">
    <cfRule type="notContainsText" dxfId="626" priority="1537" operator="notContains" text="Caida">
      <formula>ISERROR(SEARCH("Caida",Q335))</formula>
    </cfRule>
    <cfRule type="containsText" dxfId="625" priority="1538" operator="containsText" text="Caida">
      <formula>NOT(ISERROR(SEARCH("Caida",Q335)))</formula>
    </cfRule>
  </conditionalFormatting>
  <conditionalFormatting sqref="R6:R92 R96:R230">
    <cfRule type="cellIs" dxfId="624" priority="1531" operator="lessThan">
      <formula>0.8</formula>
    </cfRule>
    <cfRule type="cellIs" dxfId="623" priority="1532" operator="greaterThan">
      <formula>0.8</formula>
    </cfRule>
  </conditionalFormatting>
  <conditionalFormatting sqref="R6:R92 R96:R230">
    <cfRule type="notContainsText" dxfId="622" priority="1529" operator="notContains" text="Caida">
      <formula>ISERROR(SEARCH("Caida",R6))</formula>
    </cfRule>
    <cfRule type="containsText" dxfId="621" priority="1530" operator="containsText" text="Caida">
      <formula>NOT(ISERROR(SEARCH("Caida",R6)))</formula>
    </cfRule>
  </conditionalFormatting>
  <conditionalFormatting sqref="R336:T336">
    <cfRule type="cellIs" dxfId="620" priority="1486" operator="lessThan">
      <formula>0.8</formula>
    </cfRule>
    <cfRule type="cellIs" dxfId="619" priority="1487" operator="greaterThan">
      <formula>0.8</formula>
    </cfRule>
  </conditionalFormatting>
  <conditionalFormatting sqref="R336:T336">
    <cfRule type="notContainsText" dxfId="618" priority="1484" operator="notContains" text="Caida">
      <formula>ISERROR(SEARCH("Caida",R336))</formula>
    </cfRule>
    <cfRule type="containsText" dxfId="617" priority="1485" operator="containsText" text="Caida">
      <formula>NOT(ISERROR(SEARCH("Caida",R336)))</formula>
    </cfRule>
  </conditionalFormatting>
  <conditionalFormatting sqref="R337:R366 R284:R334">
    <cfRule type="cellIs" dxfId="616" priority="1527" operator="lessThan">
      <formula>0.8</formula>
    </cfRule>
    <cfRule type="cellIs" dxfId="615" priority="1528" operator="greaterThan">
      <formula>0.8</formula>
    </cfRule>
  </conditionalFormatting>
  <conditionalFormatting sqref="R337:R366 R284:R334 R391:R1048576">
    <cfRule type="notContainsText" dxfId="614" priority="1525" operator="notContains" text="Caida">
      <formula>ISERROR(SEARCH("Caida",R284))</formula>
    </cfRule>
    <cfRule type="containsText" dxfId="613" priority="1526" operator="containsText" text="Caida">
      <formula>NOT(ISERROR(SEARCH("Caida",R284)))</formula>
    </cfRule>
  </conditionalFormatting>
  <conditionalFormatting sqref="R22:T22">
    <cfRule type="containsText" dxfId="612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11" priority="1522" operator="lessThan">
      <formula>0.8</formula>
    </cfRule>
    <cfRule type="cellIs" dxfId="610" priority="1523" operator="greaterThan">
      <formula>0.8</formula>
    </cfRule>
  </conditionalFormatting>
  <conditionalFormatting sqref="R282:T282">
    <cfRule type="notContainsText" dxfId="609" priority="1520" operator="notContains" text="Caida">
      <formula>ISERROR(SEARCH("Caida",R282))</formula>
    </cfRule>
    <cfRule type="containsText" dxfId="608" priority="1521" operator="containsText" text="Caida">
      <formula>NOT(ISERROR(SEARCH("Caida",R282)))</formula>
    </cfRule>
  </conditionalFormatting>
  <conditionalFormatting sqref="R283:T283">
    <cfRule type="cellIs" dxfId="607" priority="1518" operator="lessThan">
      <formula>0.8</formula>
    </cfRule>
    <cfRule type="cellIs" dxfId="606" priority="1519" operator="greaterThan">
      <formula>0.8</formula>
    </cfRule>
  </conditionalFormatting>
  <conditionalFormatting sqref="R283:T283">
    <cfRule type="notContainsText" dxfId="605" priority="1516" operator="notContains" text="Caida">
      <formula>ISERROR(SEARCH("Caida",R283))</formula>
    </cfRule>
    <cfRule type="containsText" dxfId="604" priority="1517" operator="containsText" text="Caida">
      <formula>NOT(ISERROR(SEARCH("Caida",R283)))</formula>
    </cfRule>
  </conditionalFormatting>
  <conditionalFormatting sqref="R5:T5">
    <cfRule type="cellIs" dxfId="603" priority="1514" operator="lessThan">
      <formula>0.8</formula>
    </cfRule>
    <cfRule type="cellIs" dxfId="602" priority="1515" operator="greaterThan">
      <formula>0.8</formula>
    </cfRule>
  </conditionalFormatting>
  <conditionalFormatting sqref="R5:T5">
    <cfRule type="notContainsText" dxfId="601" priority="1512" operator="notContains" text="Caida">
      <formula>ISERROR(SEARCH("Caida",R5))</formula>
    </cfRule>
    <cfRule type="containsText" dxfId="600" priority="1513" operator="containsText" text="Caida">
      <formula>NOT(ISERROR(SEARCH("Caida",R5)))</formula>
    </cfRule>
  </conditionalFormatting>
  <conditionalFormatting sqref="R231:T231">
    <cfRule type="cellIs" dxfId="599" priority="1510" operator="lessThan">
      <formula>0.8</formula>
    </cfRule>
    <cfRule type="cellIs" dxfId="598" priority="1511" operator="greaterThan">
      <formula>0.8</formula>
    </cfRule>
  </conditionalFormatting>
  <conditionalFormatting sqref="R231:T231">
    <cfRule type="notContainsText" dxfId="597" priority="1508" operator="notContains" text="Caida">
      <formula>ISERROR(SEARCH("Caida",R231))</formula>
    </cfRule>
    <cfRule type="containsText" dxfId="596" priority="1509" operator="containsText" text="Caida">
      <formula>NOT(ISERROR(SEARCH("Caida",R231)))</formula>
    </cfRule>
  </conditionalFormatting>
  <conditionalFormatting sqref="R232:T232">
    <cfRule type="cellIs" dxfId="595" priority="1506" operator="lessThan">
      <formula>0.8</formula>
    </cfRule>
    <cfRule type="cellIs" dxfId="594" priority="1507" operator="greaterThan">
      <formula>0.8</formula>
    </cfRule>
  </conditionalFormatting>
  <conditionalFormatting sqref="R232:T232">
    <cfRule type="notContainsText" dxfId="593" priority="1504" operator="notContains" text="Caida">
      <formula>ISERROR(SEARCH("Caida",R232))</formula>
    </cfRule>
    <cfRule type="containsText" dxfId="592" priority="1505" operator="containsText" text="Caida">
      <formula>NOT(ISERROR(SEARCH("Caida",R232)))</formula>
    </cfRule>
  </conditionalFormatting>
  <conditionalFormatting sqref="R233:T233">
    <cfRule type="cellIs" dxfId="591" priority="1502" operator="lessThan">
      <formula>0.8</formula>
    </cfRule>
    <cfRule type="cellIs" dxfId="590" priority="1503" operator="greaterThan">
      <formula>0.8</formula>
    </cfRule>
  </conditionalFormatting>
  <conditionalFormatting sqref="R233:T233">
    <cfRule type="notContainsText" dxfId="589" priority="1500" operator="notContains" text="Caida">
      <formula>ISERROR(SEARCH("Caida",R233))</formula>
    </cfRule>
    <cfRule type="containsText" dxfId="588" priority="1501" operator="containsText" text="Caida">
      <formula>NOT(ISERROR(SEARCH("Caida",R233)))</formula>
    </cfRule>
  </conditionalFormatting>
  <conditionalFormatting sqref="R234:T234">
    <cfRule type="cellIs" dxfId="587" priority="1498" operator="lessThan">
      <formula>0.8</formula>
    </cfRule>
    <cfRule type="cellIs" dxfId="586" priority="1499" operator="greaterThan">
      <formula>0.8</formula>
    </cfRule>
  </conditionalFormatting>
  <conditionalFormatting sqref="R234:T234">
    <cfRule type="notContainsText" dxfId="585" priority="1496" operator="notContains" text="Caida">
      <formula>ISERROR(SEARCH("Caida",R234))</formula>
    </cfRule>
    <cfRule type="containsText" dxfId="584" priority="1497" operator="containsText" text="Caida">
      <formula>NOT(ISERROR(SEARCH("Caida",R234)))</formula>
    </cfRule>
  </conditionalFormatting>
  <conditionalFormatting sqref="R235:T235">
    <cfRule type="cellIs" dxfId="583" priority="1494" operator="lessThan">
      <formula>0.8</formula>
    </cfRule>
    <cfRule type="cellIs" dxfId="582" priority="1495" operator="greaterThan">
      <formula>0.8</formula>
    </cfRule>
  </conditionalFormatting>
  <conditionalFormatting sqref="R235:T235">
    <cfRule type="notContainsText" dxfId="581" priority="1492" operator="notContains" text="Caida">
      <formula>ISERROR(SEARCH("Caida",R235))</formula>
    </cfRule>
    <cfRule type="containsText" dxfId="580" priority="1493" operator="containsText" text="Caida">
      <formula>NOT(ISERROR(SEARCH("Caida",R235)))</formula>
    </cfRule>
  </conditionalFormatting>
  <conditionalFormatting sqref="R335:T335">
    <cfRule type="cellIs" dxfId="579" priority="1490" operator="lessThan">
      <formula>0.8</formula>
    </cfRule>
    <cfRule type="cellIs" dxfId="578" priority="1491" operator="greaterThan">
      <formula>0.8</formula>
    </cfRule>
  </conditionalFormatting>
  <conditionalFormatting sqref="R335:T335">
    <cfRule type="notContainsText" dxfId="577" priority="1488" operator="notContains" text="Caida">
      <formula>ISERROR(SEARCH("Caida",R335))</formula>
    </cfRule>
    <cfRule type="containsText" dxfId="576" priority="1489" operator="containsText" text="Caida">
      <formula>NOT(ISERROR(SEARCH("Caida",R335)))</formula>
    </cfRule>
  </conditionalFormatting>
  <conditionalFormatting sqref="S391:S1048576">
    <cfRule type="notContainsText" dxfId="575" priority="1476" operator="notContains" text="Caida">
      <formula>ISERROR(SEARCH("Caida",S391))</formula>
    </cfRule>
    <cfRule type="containsText" dxfId="574" priority="1477" operator="containsText" text="Caida">
      <formula>NOT(ISERROR(SEARCH("Caida",S391)))</formula>
    </cfRule>
  </conditionalFormatting>
  <conditionalFormatting sqref="T391:T1048576">
    <cfRule type="notContainsText" dxfId="573" priority="1427" operator="notContains" text="Caida">
      <formula>ISERROR(SEARCH("Caida",T391))</formula>
    </cfRule>
    <cfRule type="containsText" dxfId="572" priority="1428" operator="containsText" text="Caida">
      <formula>NOT(ISERROR(SEARCH("Caida",T391)))</formula>
    </cfRule>
  </conditionalFormatting>
  <conditionalFormatting sqref="E92:K93">
    <cfRule type="containsText" dxfId="571" priority="1383" operator="containsText" text="Radio">
      <formula>NOT(ISERROR(SEARCH("Radio",E92)))</formula>
    </cfRule>
  </conditionalFormatting>
  <conditionalFormatting sqref="P93:P95">
    <cfRule type="cellIs" dxfId="570" priority="1353" operator="lessThan">
      <formula>0.8</formula>
    </cfRule>
    <cfRule type="cellIs" dxfId="569" priority="1354" operator="greaterThan">
      <formula>0.8</formula>
    </cfRule>
  </conditionalFormatting>
  <conditionalFormatting sqref="P93:P95">
    <cfRule type="notContainsText" dxfId="568" priority="1351" operator="notContains" text="Caida">
      <formula>ISERROR(SEARCH("Caida",P93))</formula>
    </cfRule>
    <cfRule type="containsText" dxfId="567" priority="1352" operator="containsText" text="Caida">
      <formula>NOT(ISERROR(SEARCH("Caida",P93)))</formula>
    </cfRule>
  </conditionalFormatting>
  <conditionalFormatting sqref="Q93:Q95">
    <cfRule type="cellIs" dxfId="566" priority="1349" operator="lessThan">
      <formula>0.8</formula>
    </cfRule>
    <cfRule type="cellIs" dxfId="565" priority="1350" operator="greaterThan">
      <formula>0.8</formula>
    </cfRule>
  </conditionalFormatting>
  <conditionalFormatting sqref="Q93:Q95">
    <cfRule type="notContainsText" dxfId="564" priority="1347" operator="notContains" text="Caida">
      <formula>ISERROR(SEARCH("Caida",Q93))</formula>
    </cfRule>
    <cfRule type="containsText" dxfId="563" priority="1348" operator="containsText" text="Caida">
      <formula>NOT(ISERROR(SEARCH("Caida",Q93)))</formula>
    </cfRule>
  </conditionalFormatting>
  <conditionalFormatting sqref="R93:R95">
    <cfRule type="cellIs" dxfId="562" priority="1345" operator="lessThan">
      <formula>0.8</formula>
    </cfRule>
    <cfRule type="cellIs" dxfId="561" priority="1346" operator="greaterThan">
      <formula>0.8</formula>
    </cfRule>
  </conditionalFormatting>
  <conditionalFormatting sqref="R93:R95">
    <cfRule type="notContainsText" dxfId="560" priority="1343" operator="notContains" text="Caida">
      <formula>ISERROR(SEARCH("Caida",R93))</formula>
    </cfRule>
    <cfRule type="containsText" dxfId="559" priority="1344" operator="containsText" text="Caida">
      <formula>NOT(ISERROR(SEARCH("Caida",R93)))</formula>
    </cfRule>
  </conditionalFormatting>
  <conditionalFormatting sqref="E365:K365">
    <cfRule type="containsText" dxfId="558" priority="1332" operator="containsText" text="Radio">
      <formula>NOT(ISERROR(SEARCH("Radio",E365)))</formula>
    </cfRule>
  </conditionalFormatting>
  <conditionalFormatting sqref="P367">
    <cfRule type="cellIs" dxfId="557" priority="1314" operator="lessThan">
      <formula>0.8</formula>
    </cfRule>
    <cfRule type="cellIs" dxfId="556" priority="1315" operator="greaterThan">
      <formula>0.8</formula>
    </cfRule>
  </conditionalFormatting>
  <conditionalFormatting sqref="P367">
    <cfRule type="notContainsText" dxfId="555" priority="1312" operator="notContains" text="Caida">
      <formula>ISERROR(SEARCH("Caida",P367))</formula>
    </cfRule>
    <cfRule type="containsText" dxfId="554" priority="1313" operator="containsText" text="Caida">
      <formula>NOT(ISERROR(SEARCH("Caida",P367)))</formula>
    </cfRule>
  </conditionalFormatting>
  <conditionalFormatting sqref="Q367">
    <cfRule type="cellIs" dxfId="553" priority="1310" operator="lessThan">
      <formula>0.8</formula>
    </cfRule>
    <cfRule type="cellIs" dxfId="552" priority="1311" operator="greaterThan">
      <formula>0.8</formula>
    </cfRule>
  </conditionalFormatting>
  <conditionalFormatting sqref="Q367">
    <cfRule type="notContainsText" dxfId="551" priority="1308" operator="notContains" text="Caida">
      <formula>ISERROR(SEARCH("Caida",Q367))</formula>
    </cfRule>
    <cfRule type="containsText" dxfId="550" priority="1309" operator="containsText" text="Caida">
      <formula>NOT(ISERROR(SEARCH("Caida",Q367)))</formula>
    </cfRule>
  </conditionalFormatting>
  <conditionalFormatting sqref="R367:T367">
    <cfRule type="cellIs" dxfId="549" priority="1306" operator="lessThan">
      <formula>0.8</formula>
    </cfRule>
    <cfRule type="cellIs" dxfId="548" priority="1307" operator="greaterThan">
      <formula>0.8</formula>
    </cfRule>
  </conditionalFormatting>
  <conditionalFormatting sqref="R367:T367">
    <cfRule type="notContainsText" dxfId="547" priority="1304" operator="notContains" text="Caida">
      <formula>ISERROR(SEARCH("Caida",R367))</formula>
    </cfRule>
    <cfRule type="containsText" dxfId="546" priority="1305" operator="containsText" text="Caida">
      <formula>NOT(ISERROR(SEARCH("Caida",R367)))</formula>
    </cfRule>
  </conditionalFormatting>
  <conditionalFormatting sqref="E366:K366">
    <cfRule type="containsText" dxfId="545" priority="1293" operator="containsText" text="Radio">
      <formula>NOT(ISERROR(SEARCH("Radio",E366)))</formula>
    </cfRule>
  </conditionalFormatting>
  <conditionalFormatting sqref="P368">
    <cfRule type="cellIs" dxfId="544" priority="1275" operator="lessThan">
      <formula>0.8</formula>
    </cfRule>
    <cfRule type="cellIs" dxfId="543" priority="1276" operator="greaterThan">
      <formula>0.8</formula>
    </cfRule>
  </conditionalFormatting>
  <conditionalFormatting sqref="P368">
    <cfRule type="notContainsText" dxfId="542" priority="1273" operator="notContains" text="Caida">
      <formula>ISERROR(SEARCH("Caida",P368))</formula>
    </cfRule>
    <cfRule type="containsText" dxfId="541" priority="1274" operator="containsText" text="Caida">
      <formula>NOT(ISERROR(SEARCH("Caida",P368)))</formula>
    </cfRule>
  </conditionalFormatting>
  <conditionalFormatting sqref="Q368">
    <cfRule type="cellIs" dxfId="540" priority="1271" operator="lessThan">
      <formula>0.8</formula>
    </cfRule>
    <cfRule type="cellIs" dxfId="539" priority="1272" operator="greaterThan">
      <formula>0.8</formula>
    </cfRule>
  </conditionalFormatting>
  <conditionalFormatting sqref="Q368">
    <cfRule type="notContainsText" dxfId="538" priority="1269" operator="notContains" text="Caida">
      <formula>ISERROR(SEARCH("Caida",Q368))</formula>
    </cfRule>
    <cfRule type="containsText" dxfId="537" priority="1270" operator="containsText" text="Caida">
      <formula>NOT(ISERROR(SEARCH("Caida",Q368)))</formula>
    </cfRule>
  </conditionalFormatting>
  <conditionalFormatting sqref="R368:T368">
    <cfRule type="cellIs" dxfId="536" priority="1267" operator="lessThan">
      <formula>0.8</formula>
    </cfRule>
    <cfRule type="cellIs" dxfId="535" priority="1268" operator="greaterThan">
      <formula>0.8</formula>
    </cfRule>
  </conditionalFormatting>
  <conditionalFormatting sqref="R368:T368">
    <cfRule type="notContainsText" dxfId="534" priority="1265" operator="notContains" text="Caida">
      <formula>ISERROR(SEARCH("Caida",R368))</formula>
    </cfRule>
    <cfRule type="containsText" dxfId="533" priority="1266" operator="containsText" text="Caida">
      <formula>NOT(ISERROR(SEARCH("Caida",R368)))</formula>
    </cfRule>
  </conditionalFormatting>
  <conditionalFormatting sqref="E367:K367">
    <cfRule type="containsText" dxfId="532" priority="1254" operator="containsText" text="Radio">
      <formula>NOT(ISERROR(SEARCH("Radio",E367)))</formula>
    </cfRule>
  </conditionalFormatting>
  <conditionalFormatting sqref="P369">
    <cfRule type="cellIs" dxfId="531" priority="1236" operator="lessThan">
      <formula>0.8</formula>
    </cfRule>
    <cfRule type="cellIs" dxfId="530" priority="1237" operator="greaterThan">
      <formula>0.8</formula>
    </cfRule>
  </conditionalFormatting>
  <conditionalFormatting sqref="P369">
    <cfRule type="notContainsText" dxfId="529" priority="1234" operator="notContains" text="Caida">
      <formula>ISERROR(SEARCH("Caida",P369))</formula>
    </cfRule>
    <cfRule type="containsText" dxfId="528" priority="1235" operator="containsText" text="Caida">
      <formula>NOT(ISERROR(SEARCH("Caida",P369)))</formula>
    </cfRule>
  </conditionalFormatting>
  <conditionalFormatting sqref="Q369">
    <cfRule type="cellIs" dxfId="527" priority="1232" operator="lessThan">
      <formula>0.8</formula>
    </cfRule>
    <cfRule type="cellIs" dxfId="526" priority="1233" operator="greaterThan">
      <formula>0.8</formula>
    </cfRule>
  </conditionalFormatting>
  <conditionalFormatting sqref="Q369">
    <cfRule type="notContainsText" dxfId="525" priority="1230" operator="notContains" text="Caida">
      <formula>ISERROR(SEARCH("Caida",Q369))</formula>
    </cfRule>
    <cfRule type="containsText" dxfId="524" priority="1231" operator="containsText" text="Caida">
      <formula>NOT(ISERROR(SEARCH("Caida",Q369)))</formula>
    </cfRule>
  </conditionalFormatting>
  <conditionalFormatting sqref="R369:T369">
    <cfRule type="cellIs" dxfId="523" priority="1228" operator="lessThan">
      <formula>0.8</formula>
    </cfRule>
    <cfRule type="cellIs" dxfId="522" priority="1229" operator="greaterThan">
      <formula>0.8</formula>
    </cfRule>
  </conditionalFormatting>
  <conditionalFormatting sqref="R369:T369">
    <cfRule type="notContainsText" dxfId="521" priority="1226" operator="notContains" text="Caida">
      <formula>ISERROR(SEARCH("Caida",R369))</formula>
    </cfRule>
    <cfRule type="containsText" dxfId="520" priority="1227" operator="containsText" text="Caida">
      <formula>NOT(ISERROR(SEARCH("Caida",R369)))</formula>
    </cfRule>
  </conditionalFormatting>
  <conditionalFormatting sqref="E368:K368">
    <cfRule type="containsText" dxfId="519" priority="1215" operator="containsText" text="Radio">
      <formula>NOT(ISERROR(SEARCH("Radio",E368)))</formula>
    </cfRule>
  </conditionalFormatting>
  <conditionalFormatting sqref="U231">
    <cfRule type="cellIs" dxfId="518" priority="1156" operator="lessThan">
      <formula>0.8</formula>
    </cfRule>
    <cfRule type="cellIs" dxfId="517" priority="1157" operator="greaterThan">
      <formula>0.8</formula>
    </cfRule>
  </conditionalFormatting>
  <conditionalFormatting sqref="U231">
    <cfRule type="notContainsText" dxfId="516" priority="1154" operator="notContains" text="Caida">
      <formula>ISERROR(SEARCH("Caida",U231))</formula>
    </cfRule>
    <cfRule type="containsText" dxfId="515" priority="1155" operator="containsText" text="Caida">
      <formula>NOT(ISERROR(SEARCH("Caida",U231)))</formula>
    </cfRule>
  </conditionalFormatting>
  <conditionalFormatting sqref="U232">
    <cfRule type="cellIs" dxfId="514" priority="1152" operator="lessThan">
      <formula>0.8</formula>
    </cfRule>
    <cfRule type="cellIs" dxfId="513" priority="1153" operator="greaterThan">
      <formula>0.8</formula>
    </cfRule>
  </conditionalFormatting>
  <conditionalFormatting sqref="U232">
    <cfRule type="notContainsText" dxfId="512" priority="1150" operator="notContains" text="Caida">
      <formula>ISERROR(SEARCH("Caida",U232))</formula>
    </cfRule>
    <cfRule type="containsText" dxfId="511" priority="1151" operator="containsText" text="Caida">
      <formula>NOT(ISERROR(SEARCH("Caida",U232)))</formula>
    </cfRule>
  </conditionalFormatting>
  <conditionalFormatting sqref="P370:P372">
    <cfRule type="cellIs" dxfId="510" priority="1197" operator="lessThan">
      <formula>0.8</formula>
    </cfRule>
    <cfRule type="cellIs" dxfId="509" priority="1198" operator="greaterThan">
      <formula>0.8</formula>
    </cfRule>
  </conditionalFormatting>
  <conditionalFormatting sqref="P370:P372">
    <cfRule type="notContainsText" dxfId="508" priority="1195" operator="notContains" text="Caida">
      <formula>ISERROR(SEARCH("Caida",P370))</formula>
    </cfRule>
    <cfRule type="containsText" dxfId="507" priority="1196" operator="containsText" text="Caida">
      <formula>NOT(ISERROR(SEARCH("Caida",P370)))</formula>
    </cfRule>
  </conditionalFormatting>
  <conditionalFormatting sqref="Q370:Q372">
    <cfRule type="cellIs" dxfId="506" priority="1193" operator="lessThan">
      <formula>0.8</formula>
    </cfRule>
    <cfRule type="cellIs" dxfId="505" priority="1194" operator="greaterThan">
      <formula>0.8</formula>
    </cfRule>
  </conditionalFormatting>
  <conditionalFormatting sqref="Q370:Q372">
    <cfRule type="notContainsText" dxfId="504" priority="1191" operator="notContains" text="Caida">
      <formula>ISERROR(SEARCH("Caida",Q370))</formula>
    </cfRule>
    <cfRule type="containsText" dxfId="503" priority="1192" operator="containsText" text="Caida">
      <formula>NOT(ISERROR(SEARCH("Caida",Q370)))</formula>
    </cfRule>
  </conditionalFormatting>
  <conditionalFormatting sqref="R370:T370">
    <cfRule type="cellIs" dxfId="502" priority="1189" operator="lessThan">
      <formula>0.8</formula>
    </cfRule>
    <cfRule type="cellIs" dxfId="501" priority="1190" operator="greaterThan">
      <formula>0.8</formula>
    </cfRule>
  </conditionalFormatting>
  <conditionalFormatting sqref="R370:T370">
    <cfRule type="notContainsText" dxfId="500" priority="1187" operator="notContains" text="Caida">
      <formula>ISERROR(SEARCH("Caida",R370))</formula>
    </cfRule>
    <cfRule type="containsText" dxfId="499" priority="1188" operator="containsText" text="Caida">
      <formula>NOT(ISERROR(SEARCH("Caida",R370)))</formula>
    </cfRule>
  </conditionalFormatting>
  <conditionalFormatting sqref="U368">
    <cfRule type="cellIs" dxfId="498" priority="1120" operator="lessThan">
      <formula>0.8</formula>
    </cfRule>
    <cfRule type="cellIs" dxfId="497" priority="1121" operator="greaterThan">
      <formula>0.8</formula>
    </cfRule>
  </conditionalFormatting>
  <conditionalFormatting sqref="U368">
    <cfRule type="notContainsText" dxfId="496" priority="1118" operator="notContains" text="Caida">
      <formula>ISERROR(SEARCH("Caida",U368))</formula>
    </cfRule>
    <cfRule type="containsText" dxfId="495" priority="1119" operator="containsText" text="Caida">
      <formula>NOT(ISERROR(SEARCH("Caida",U368)))</formula>
    </cfRule>
  </conditionalFormatting>
  <conditionalFormatting sqref="U369">
    <cfRule type="cellIs" dxfId="494" priority="1116" operator="lessThan">
      <formula>0.8</formula>
    </cfRule>
    <cfRule type="cellIs" dxfId="493" priority="1117" operator="greaterThan">
      <formula>0.8</formula>
    </cfRule>
  </conditionalFormatting>
  <conditionalFormatting sqref="U369">
    <cfRule type="notContainsText" dxfId="492" priority="1114" operator="notContains" text="Caida">
      <formula>ISERROR(SEARCH("Caida",U369))</formula>
    </cfRule>
    <cfRule type="containsText" dxfId="491" priority="1115" operator="containsText" text="Caida">
      <formula>NOT(ISERROR(SEARCH("Caida",U369)))</formula>
    </cfRule>
  </conditionalFormatting>
  <conditionalFormatting sqref="U370:U372">
    <cfRule type="cellIs" dxfId="490" priority="1112" operator="lessThan">
      <formula>0.8</formula>
    </cfRule>
    <cfRule type="cellIs" dxfId="489" priority="1113" operator="greaterThan">
      <formula>0.8</formula>
    </cfRule>
  </conditionalFormatting>
  <conditionalFormatting sqref="U370:U372">
    <cfRule type="notContainsText" dxfId="488" priority="1110" operator="notContains" text="Caida">
      <formula>ISERROR(SEARCH("Caida",U370))</formula>
    </cfRule>
    <cfRule type="containsText" dxfId="487" priority="1111" operator="containsText" text="Caida">
      <formula>NOT(ISERROR(SEARCH("Caida",U370)))</formula>
    </cfRule>
  </conditionalFormatting>
  <conditionalFormatting sqref="U6:U92 U96:U230">
    <cfRule type="cellIs" dxfId="486" priority="1177" operator="lessThan">
      <formula>0.8</formula>
    </cfRule>
    <cfRule type="cellIs" dxfId="485" priority="1178" operator="greaterThan">
      <formula>0.8</formula>
    </cfRule>
  </conditionalFormatting>
  <conditionalFormatting sqref="U6:U92 U96:U230">
    <cfRule type="notContainsText" dxfId="484" priority="1175" operator="notContains" text="Caida">
      <formula>ISERROR(SEARCH("Caida",U6))</formula>
    </cfRule>
    <cfRule type="containsText" dxfId="483" priority="1176" operator="containsText" text="Caida">
      <formula>NOT(ISERROR(SEARCH("Caida",U6)))</formula>
    </cfRule>
  </conditionalFormatting>
  <conditionalFormatting sqref="U336">
    <cfRule type="cellIs" dxfId="482" priority="1132" operator="lessThan">
      <formula>0.8</formula>
    </cfRule>
    <cfRule type="cellIs" dxfId="481" priority="1133" operator="greaterThan">
      <formula>0.8</formula>
    </cfRule>
  </conditionalFormatting>
  <conditionalFormatting sqref="U336">
    <cfRule type="notContainsText" dxfId="480" priority="1130" operator="notContains" text="Caida">
      <formula>ISERROR(SEARCH("Caida",U336))</formula>
    </cfRule>
    <cfRule type="containsText" dxfId="479" priority="1131" operator="containsText" text="Caida">
      <formula>NOT(ISERROR(SEARCH("Caida",U336)))</formula>
    </cfRule>
  </conditionalFormatting>
  <conditionalFormatting sqref="U337:U366 U284:U334">
    <cfRule type="cellIs" dxfId="478" priority="1173" operator="lessThan">
      <formula>0.8</formula>
    </cfRule>
    <cfRule type="cellIs" dxfId="477" priority="1174" operator="greaterThan">
      <formula>0.8</formula>
    </cfRule>
  </conditionalFormatting>
  <conditionalFormatting sqref="U337:U366 U284:U334 U391:U1048576">
    <cfRule type="notContainsText" dxfId="476" priority="1171" operator="notContains" text="Caida">
      <formula>ISERROR(SEARCH("Caida",U284))</formula>
    </cfRule>
    <cfRule type="containsText" dxfId="475" priority="1172" operator="containsText" text="Caida">
      <formula>NOT(ISERROR(SEARCH("Caida",U284)))</formula>
    </cfRule>
  </conditionalFormatting>
  <conditionalFormatting sqref="U22">
    <cfRule type="containsText" dxfId="474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473" priority="1168" operator="lessThan">
      <formula>0.8</formula>
    </cfRule>
    <cfRule type="cellIs" dxfId="472" priority="1169" operator="greaterThan">
      <formula>0.8</formula>
    </cfRule>
  </conditionalFormatting>
  <conditionalFormatting sqref="U282">
    <cfRule type="notContainsText" dxfId="471" priority="1166" operator="notContains" text="Caida">
      <formula>ISERROR(SEARCH("Caida",U282))</formula>
    </cfRule>
    <cfRule type="containsText" dxfId="470" priority="1167" operator="containsText" text="Caida">
      <formula>NOT(ISERROR(SEARCH("Caida",U282)))</formula>
    </cfRule>
  </conditionalFormatting>
  <conditionalFormatting sqref="U283">
    <cfRule type="cellIs" dxfId="469" priority="1164" operator="lessThan">
      <formula>0.8</formula>
    </cfRule>
    <cfRule type="cellIs" dxfId="468" priority="1165" operator="greaterThan">
      <formula>0.8</formula>
    </cfRule>
  </conditionalFormatting>
  <conditionalFormatting sqref="U283">
    <cfRule type="notContainsText" dxfId="467" priority="1162" operator="notContains" text="Caida">
      <formula>ISERROR(SEARCH("Caida",U283))</formula>
    </cfRule>
    <cfRule type="containsText" dxfId="466" priority="1163" operator="containsText" text="Caida">
      <formula>NOT(ISERROR(SEARCH("Caida",U283)))</formula>
    </cfRule>
  </conditionalFormatting>
  <conditionalFormatting sqref="U5">
    <cfRule type="cellIs" dxfId="465" priority="1160" operator="lessThan">
      <formula>0.8</formula>
    </cfRule>
    <cfRule type="cellIs" dxfId="464" priority="1161" operator="greaterThan">
      <formula>0.8</formula>
    </cfRule>
  </conditionalFormatting>
  <conditionalFormatting sqref="U5">
    <cfRule type="notContainsText" dxfId="463" priority="1158" operator="notContains" text="Caida">
      <formula>ISERROR(SEARCH("Caida",U5))</formula>
    </cfRule>
    <cfRule type="containsText" dxfId="462" priority="1159" operator="containsText" text="Caida">
      <formula>NOT(ISERROR(SEARCH("Caida",U5)))</formula>
    </cfRule>
  </conditionalFormatting>
  <conditionalFormatting sqref="U233">
    <cfRule type="cellIs" dxfId="461" priority="1148" operator="lessThan">
      <formula>0.8</formula>
    </cfRule>
    <cfRule type="cellIs" dxfId="460" priority="1149" operator="greaterThan">
      <formula>0.8</formula>
    </cfRule>
  </conditionalFormatting>
  <conditionalFormatting sqref="U233">
    <cfRule type="notContainsText" dxfId="459" priority="1146" operator="notContains" text="Caida">
      <formula>ISERROR(SEARCH("Caida",U233))</formula>
    </cfRule>
    <cfRule type="containsText" dxfId="458" priority="1147" operator="containsText" text="Caida">
      <formula>NOT(ISERROR(SEARCH("Caida",U233)))</formula>
    </cfRule>
  </conditionalFormatting>
  <conditionalFormatting sqref="U234">
    <cfRule type="cellIs" dxfId="457" priority="1144" operator="lessThan">
      <formula>0.8</formula>
    </cfRule>
    <cfRule type="cellIs" dxfId="456" priority="1145" operator="greaterThan">
      <formula>0.8</formula>
    </cfRule>
  </conditionalFormatting>
  <conditionalFormatting sqref="U234">
    <cfRule type="notContainsText" dxfId="455" priority="1142" operator="notContains" text="Caida">
      <formula>ISERROR(SEARCH("Caida",U234))</formula>
    </cfRule>
    <cfRule type="containsText" dxfId="454" priority="1143" operator="containsText" text="Caida">
      <formula>NOT(ISERROR(SEARCH("Caida",U234)))</formula>
    </cfRule>
  </conditionalFormatting>
  <conditionalFormatting sqref="U235">
    <cfRule type="cellIs" dxfId="453" priority="1140" operator="lessThan">
      <formula>0.8</formula>
    </cfRule>
    <cfRule type="cellIs" dxfId="452" priority="1141" operator="greaterThan">
      <formula>0.8</formula>
    </cfRule>
  </conditionalFormatting>
  <conditionalFormatting sqref="U235">
    <cfRule type="notContainsText" dxfId="451" priority="1138" operator="notContains" text="Caida">
      <formula>ISERROR(SEARCH("Caida",U235))</formula>
    </cfRule>
    <cfRule type="containsText" dxfId="450" priority="1139" operator="containsText" text="Caida">
      <formula>NOT(ISERROR(SEARCH("Caida",U235)))</formula>
    </cfRule>
  </conditionalFormatting>
  <conditionalFormatting sqref="U335">
    <cfRule type="cellIs" dxfId="449" priority="1136" operator="lessThan">
      <formula>0.8</formula>
    </cfRule>
    <cfRule type="cellIs" dxfId="448" priority="1137" operator="greaterThan">
      <formula>0.8</formula>
    </cfRule>
  </conditionalFormatting>
  <conditionalFormatting sqref="U335">
    <cfRule type="notContainsText" dxfId="447" priority="1134" operator="notContains" text="Caida">
      <formula>ISERROR(SEARCH("Caida",U335))</formula>
    </cfRule>
    <cfRule type="containsText" dxfId="446" priority="1135" operator="containsText" text="Caida">
      <formula>NOT(ISERROR(SEARCH("Caida",U335)))</formula>
    </cfRule>
  </conditionalFormatting>
  <conditionalFormatting sqref="U93:U95">
    <cfRule type="cellIs" dxfId="445" priority="1128" operator="lessThan">
      <formula>0.8</formula>
    </cfRule>
    <cfRule type="cellIs" dxfId="444" priority="1129" operator="greaterThan">
      <formula>0.8</formula>
    </cfRule>
  </conditionalFormatting>
  <conditionalFormatting sqref="U93:U95">
    <cfRule type="notContainsText" dxfId="443" priority="1126" operator="notContains" text="Caida">
      <formula>ISERROR(SEARCH("Caida",U93))</formula>
    </cfRule>
    <cfRule type="containsText" dxfId="442" priority="1127" operator="containsText" text="Caida">
      <formula>NOT(ISERROR(SEARCH("Caida",U93)))</formula>
    </cfRule>
  </conditionalFormatting>
  <conditionalFormatting sqref="U367">
    <cfRule type="cellIs" dxfId="441" priority="1124" operator="lessThan">
      <formula>0.8</formula>
    </cfRule>
    <cfRule type="cellIs" dxfId="440" priority="1125" operator="greaterThan">
      <formula>0.8</formula>
    </cfRule>
  </conditionalFormatting>
  <conditionalFormatting sqref="U367">
    <cfRule type="notContainsText" dxfId="439" priority="1122" operator="notContains" text="Caida">
      <formula>ISERROR(SEARCH("Caida",U367))</formula>
    </cfRule>
    <cfRule type="containsText" dxfId="438" priority="1123" operator="containsText" text="Caida">
      <formula>NOT(ISERROR(SEARCH("Caida",U367)))</formula>
    </cfRule>
  </conditionalFormatting>
  <conditionalFormatting sqref="V6:X92">
    <cfRule type="cellIs" dxfId="437" priority="1108" operator="lessThan">
      <formula>0.8</formula>
    </cfRule>
    <cfRule type="cellIs" dxfId="436" priority="1109" operator="greaterThan">
      <formula>0.8</formula>
    </cfRule>
  </conditionalFormatting>
  <conditionalFormatting sqref="V6:X92">
    <cfRule type="notContainsText" dxfId="435" priority="1106" operator="notContains" text="Caida">
      <formula>ISERROR(SEARCH("Caida",V6))</formula>
    </cfRule>
    <cfRule type="containsText" dxfId="434" priority="1107" operator="containsText" text="Caida">
      <formula>NOT(ISERROR(SEARCH("Caida",V6)))</formula>
    </cfRule>
  </conditionalFormatting>
  <conditionalFormatting sqref="V22:X22 AA22:AJ22">
    <cfRule type="containsText" dxfId="433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32" priority="1103" operator="lessThan">
      <formula>0.8</formula>
    </cfRule>
    <cfRule type="cellIs" dxfId="431" priority="1104" operator="greaterThan">
      <formula>0.8</formula>
    </cfRule>
  </conditionalFormatting>
  <conditionalFormatting sqref="V5:X5 AA5:AJ5">
    <cfRule type="notContainsText" dxfId="430" priority="1101" operator="notContains" text="Caida">
      <formula>ISERROR(SEARCH("Caida",V5))</formula>
    </cfRule>
    <cfRule type="containsText" dxfId="429" priority="1102" operator="containsText" text="Caida">
      <formula>NOT(ISERROR(SEARCH("Caida",V5)))</formula>
    </cfRule>
  </conditionalFormatting>
  <conditionalFormatting sqref="V93:X95">
    <cfRule type="cellIs" dxfId="428" priority="1099" operator="lessThan">
      <formula>0.8</formula>
    </cfRule>
    <cfRule type="cellIs" dxfId="427" priority="1100" operator="greaterThan">
      <formula>0.8</formula>
    </cfRule>
  </conditionalFormatting>
  <conditionalFormatting sqref="V93:X95">
    <cfRule type="notContainsText" dxfId="426" priority="1097" operator="notContains" text="Caida">
      <formula>ISERROR(SEARCH("Caida",V93))</formula>
    </cfRule>
    <cfRule type="containsText" dxfId="425" priority="1098" operator="containsText" text="Caida">
      <formula>NOT(ISERROR(SEARCH("Caida",V93)))</formula>
    </cfRule>
  </conditionalFormatting>
  <conditionalFormatting sqref="E1:E372 E391:E1048576">
    <cfRule type="containsText" dxfId="424" priority="957" operator="containsText" text="fija">
      <formula>NOT(ISERROR(SEARCH("fija",E1)))</formula>
    </cfRule>
    <cfRule type="containsText" dxfId="423" priority="958" operator="containsText" text="domo">
      <formula>NOT(ISERROR(SEARCH("domo",E1)))</formula>
    </cfRule>
  </conditionalFormatting>
  <conditionalFormatting sqref="AK6:AP92">
    <cfRule type="cellIs" dxfId="422" priority="933" operator="lessThan">
      <formula>0.8</formula>
    </cfRule>
    <cfRule type="cellIs" dxfId="421" priority="934" operator="greaterThan">
      <formula>0.8</formula>
    </cfRule>
  </conditionalFormatting>
  <conditionalFormatting sqref="AK6:AP92">
    <cfRule type="notContainsText" dxfId="420" priority="931" operator="notContains" text="Caida">
      <formula>ISERROR(SEARCH("Caida",AK6))</formula>
    </cfRule>
    <cfRule type="containsText" dxfId="419" priority="932" operator="containsText" text="Caida">
      <formula>NOT(ISERROR(SEARCH("Caida",AK6)))</formula>
    </cfRule>
  </conditionalFormatting>
  <conditionalFormatting sqref="AK22:AR22">
    <cfRule type="containsText" dxfId="418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17" priority="928" operator="lessThan">
      <formula>0.8</formula>
    </cfRule>
    <cfRule type="cellIs" dxfId="416" priority="929" operator="greaterThan">
      <formula>0.8</formula>
    </cfRule>
  </conditionalFormatting>
  <conditionalFormatting sqref="AK5:AR5">
    <cfRule type="notContainsText" dxfId="415" priority="926" operator="notContains" text="Caida">
      <formula>ISERROR(SEARCH("Caida",AK5))</formula>
    </cfRule>
    <cfRule type="containsText" dxfId="414" priority="927" operator="containsText" text="Caida">
      <formula>NOT(ISERROR(SEARCH("Caida",AK5)))</formula>
    </cfRule>
  </conditionalFormatting>
  <conditionalFormatting sqref="AK93:AP94">
    <cfRule type="cellIs" dxfId="413" priority="924" operator="lessThan">
      <formula>0.8</formula>
    </cfRule>
    <cfRule type="cellIs" dxfId="412" priority="925" operator="greaterThan">
      <formula>0.8</formula>
    </cfRule>
  </conditionalFormatting>
  <conditionalFormatting sqref="AK93:AP94">
    <cfRule type="notContainsText" dxfId="411" priority="922" operator="notContains" text="Caida">
      <formula>ISERROR(SEARCH("Caida",AK93))</formula>
    </cfRule>
    <cfRule type="containsText" dxfId="410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09" priority="921" operator="equal">
      <formula>"APAGADO"</formula>
    </cfRule>
  </conditionalFormatting>
  <conditionalFormatting sqref="S6:S92 S96:S230">
    <cfRule type="cellIs" dxfId="408" priority="905" operator="lessThan">
      <formula>0.8</formula>
    </cfRule>
    <cfRule type="cellIs" dxfId="407" priority="906" operator="greaterThan">
      <formula>0.8</formula>
    </cfRule>
  </conditionalFormatting>
  <conditionalFormatting sqref="S6:S92 S96:S230">
    <cfRule type="notContainsText" dxfId="406" priority="903" operator="notContains" text="Caida">
      <formula>ISERROR(SEARCH("Caida",S6))</formula>
    </cfRule>
    <cfRule type="containsText" dxfId="405" priority="904" operator="containsText" text="Caida">
      <formula>NOT(ISERROR(SEARCH("Caida",S6)))</formula>
    </cfRule>
  </conditionalFormatting>
  <conditionalFormatting sqref="S337:S366 S284:S334">
    <cfRule type="cellIs" dxfId="404" priority="901" operator="lessThan">
      <formula>0.8</formula>
    </cfRule>
    <cfRule type="cellIs" dxfId="403" priority="902" operator="greaterThan">
      <formula>0.8</formula>
    </cfRule>
  </conditionalFormatting>
  <conditionalFormatting sqref="S337:S366 S284:S334">
    <cfRule type="notContainsText" dxfId="402" priority="899" operator="notContains" text="Caida">
      <formula>ISERROR(SEARCH("Caida",S284))</formula>
    </cfRule>
    <cfRule type="containsText" dxfId="401" priority="900" operator="containsText" text="Caida">
      <formula>NOT(ISERROR(SEARCH("Caida",S284)))</formula>
    </cfRule>
  </conditionalFormatting>
  <conditionalFormatting sqref="S93:S95">
    <cfRule type="cellIs" dxfId="400" priority="897" operator="lessThan">
      <formula>0.8</formula>
    </cfRule>
    <cfRule type="cellIs" dxfId="399" priority="898" operator="greaterThan">
      <formula>0.8</formula>
    </cfRule>
  </conditionalFormatting>
  <conditionalFormatting sqref="S93:S95">
    <cfRule type="notContainsText" dxfId="398" priority="895" operator="notContains" text="Caida">
      <formula>ISERROR(SEARCH("Caida",S93))</formula>
    </cfRule>
    <cfRule type="containsText" dxfId="397" priority="896" operator="containsText" text="Caida">
      <formula>NOT(ISERROR(SEARCH("Caida",S93)))</formula>
    </cfRule>
  </conditionalFormatting>
  <conditionalFormatting sqref="T6:T92 T96:T230">
    <cfRule type="cellIs" dxfId="396" priority="893" operator="lessThan">
      <formula>0.8</formula>
    </cfRule>
    <cfRule type="cellIs" dxfId="395" priority="894" operator="greaterThan">
      <formula>0.8</formula>
    </cfRule>
  </conditionalFormatting>
  <conditionalFormatting sqref="T6:T92 T96:T230">
    <cfRule type="notContainsText" dxfId="394" priority="891" operator="notContains" text="Caida">
      <formula>ISERROR(SEARCH("Caida",T6))</formula>
    </cfRule>
    <cfRule type="containsText" dxfId="393" priority="892" operator="containsText" text="Caida">
      <formula>NOT(ISERROR(SEARCH("Caida",T6)))</formula>
    </cfRule>
  </conditionalFormatting>
  <conditionalFormatting sqref="T337:T366 T284:T334">
    <cfRule type="cellIs" dxfId="392" priority="889" operator="lessThan">
      <formula>0.8</formula>
    </cfRule>
    <cfRule type="cellIs" dxfId="391" priority="890" operator="greaterThan">
      <formula>0.8</formula>
    </cfRule>
  </conditionalFormatting>
  <conditionalFormatting sqref="T337:T366 T284:T334">
    <cfRule type="notContainsText" dxfId="390" priority="887" operator="notContains" text="Caida">
      <formula>ISERROR(SEARCH("Caida",T284))</formula>
    </cfRule>
    <cfRule type="containsText" dxfId="389" priority="888" operator="containsText" text="Caida">
      <formula>NOT(ISERROR(SEARCH("Caida",T284)))</formula>
    </cfRule>
  </conditionalFormatting>
  <conditionalFormatting sqref="T93:T95">
    <cfRule type="cellIs" dxfId="388" priority="885" operator="lessThan">
      <formula>0.8</formula>
    </cfRule>
    <cfRule type="cellIs" dxfId="387" priority="886" operator="greaterThan">
      <formula>0.8</formula>
    </cfRule>
  </conditionalFormatting>
  <conditionalFormatting sqref="T93:T95">
    <cfRule type="notContainsText" dxfId="386" priority="883" operator="notContains" text="Caida">
      <formula>ISERROR(SEARCH("Caida",T93))</formula>
    </cfRule>
    <cfRule type="containsText" dxfId="385" priority="884" operator="containsText" text="Caida">
      <formula>NOT(ISERROR(SEARCH("Caida",T93)))</formula>
    </cfRule>
  </conditionalFormatting>
  <conditionalFormatting sqref="F1:F372 F391:F1048576">
    <cfRule type="cellIs" dxfId="384" priority="812" operator="equal">
      <formula>"PTP A FO"</formula>
    </cfRule>
  </conditionalFormatting>
  <conditionalFormatting sqref="R371:T372">
    <cfRule type="cellIs" dxfId="383" priority="441" operator="lessThan">
      <formula>0.8</formula>
    </cfRule>
    <cfRule type="cellIs" dxfId="382" priority="442" operator="greaterThan">
      <formula>0.8</formula>
    </cfRule>
  </conditionalFormatting>
  <conditionalFormatting sqref="R371:T372">
    <cfRule type="notContainsText" dxfId="381" priority="439" operator="notContains" text="Caida">
      <formula>ISERROR(SEARCH("Caida",R371))</formula>
    </cfRule>
    <cfRule type="containsText" dxfId="380" priority="440" operator="containsText" text="Caida">
      <formula>NOT(ISERROR(SEARCH("Caida",R371)))</formula>
    </cfRule>
  </conditionalFormatting>
  <conditionalFormatting sqref="O6:O92">
    <cfRule type="cellIs" dxfId="379" priority="429" operator="lessThan">
      <formula>0.8</formula>
    </cfRule>
    <cfRule type="cellIs" dxfId="378" priority="430" operator="greaterThan">
      <formula>0.8</formula>
    </cfRule>
  </conditionalFormatting>
  <conditionalFormatting sqref="O6:O92">
    <cfRule type="notContainsText" dxfId="377" priority="427" operator="notContains" text="Caida">
      <formula>ISERROR(SEARCH("Caida",O6))</formula>
    </cfRule>
    <cfRule type="containsText" dxfId="376" priority="428" operator="containsText" text="Caida">
      <formula>NOT(ISERROR(SEARCH("Caida",O6)))</formula>
    </cfRule>
  </conditionalFormatting>
  <conditionalFormatting sqref="O22">
    <cfRule type="containsText" dxfId="375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374" priority="424" operator="lessThan">
      <formula>0.8</formula>
    </cfRule>
    <cfRule type="cellIs" dxfId="373" priority="425" operator="greaterThan">
      <formula>0.8</formula>
    </cfRule>
  </conditionalFormatting>
  <conditionalFormatting sqref="O5">
    <cfRule type="notContainsText" dxfId="372" priority="422" operator="notContains" text="Caida">
      <formula>ISERROR(SEARCH("Caida",O5))</formula>
    </cfRule>
    <cfRule type="containsText" dxfId="371" priority="423" operator="containsText" text="Caida">
      <formula>NOT(ISERROR(SEARCH("Caida",O5)))</formula>
    </cfRule>
  </conditionalFormatting>
  <conditionalFormatting sqref="O93:O94">
    <cfRule type="cellIs" dxfId="370" priority="420" operator="lessThan">
      <formula>0.8</formula>
    </cfRule>
    <cfRule type="cellIs" dxfId="369" priority="421" operator="greaterThan">
      <formula>0.8</formula>
    </cfRule>
  </conditionalFormatting>
  <conditionalFormatting sqref="O93:O94">
    <cfRule type="notContainsText" dxfId="368" priority="418" operator="notContains" text="Caida">
      <formula>ISERROR(SEARCH("Caida",O93))</formula>
    </cfRule>
    <cfRule type="containsText" dxfId="367" priority="419" operator="containsText" text="Caida">
      <formula>NOT(ISERROR(SEARCH("Caida",O93)))</formula>
    </cfRule>
  </conditionalFormatting>
  <conditionalFormatting sqref="AR6:AR92">
    <cfRule type="cellIs" dxfId="366" priority="411" operator="lessThan">
      <formula>0.8</formula>
    </cfRule>
    <cfRule type="cellIs" dxfId="365" priority="412" operator="greaterThan">
      <formula>0.8</formula>
    </cfRule>
  </conditionalFormatting>
  <conditionalFormatting sqref="AR6:AR92">
    <cfRule type="notContainsText" dxfId="364" priority="409" operator="notContains" text="Caida">
      <formula>ISERROR(SEARCH("Caida",AR6))</formula>
    </cfRule>
    <cfRule type="containsText" dxfId="363" priority="410" operator="containsText" text="Caida">
      <formula>NOT(ISERROR(SEARCH("Caida",AR6)))</formula>
    </cfRule>
  </conditionalFormatting>
  <conditionalFormatting sqref="AR93:AR94">
    <cfRule type="cellIs" dxfId="362" priority="407" operator="lessThan">
      <formula>0.8</formula>
    </cfRule>
    <cfRule type="cellIs" dxfId="361" priority="408" operator="greaterThan">
      <formula>0.8</formula>
    </cfRule>
  </conditionalFormatting>
  <conditionalFormatting sqref="AR93:AR94">
    <cfRule type="notContainsText" dxfId="360" priority="405" operator="notContains" text="Caida">
      <formula>ISERROR(SEARCH("Caida",AR93))</formula>
    </cfRule>
    <cfRule type="containsText" dxfId="359" priority="406" operator="containsText" text="Caida">
      <formula>NOT(ISERROR(SEARCH("Caida",AR93)))</formula>
    </cfRule>
  </conditionalFormatting>
  <conditionalFormatting sqref="AA6:AF92">
    <cfRule type="cellIs" dxfId="358" priority="346" operator="lessThan">
      <formula>0.8</formula>
    </cfRule>
    <cfRule type="cellIs" dxfId="357" priority="347" operator="greaterThan">
      <formula>0.8</formula>
    </cfRule>
  </conditionalFormatting>
  <conditionalFormatting sqref="AA6:AF92">
    <cfRule type="notContainsText" dxfId="356" priority="344" operator="notContains" text="Caida">
      <formula>ISERROR(SEARCH("Caida",AA6))</formula>
    </cfRule>
    <cfRule type="containsText" dxfId="355" priority="345" operator="containsText" text="Caida">
      <formula>NOT(ISERROR(SEARCH("Caida",AA6)))</formula>
    </cfRule>
  </conditionalFormatting>
  <conditionalFormatting sqref="AA93:AF95">
    <cfRule type="cellIs" dxfId="354" priority="342" operator="lessThan">
      <formula>0.8</formula>
    </cfRule>
    <cfRule type="cellIs" dxfId="353" priority="343" operator="greaterThan">
      <formula>0.8</formula>
    </cfRule>
  </conditionalFormatting>
  <conditionalFormatting sqref="AA93:AF95">
    <cfRule type="notContainsText" dxfId="352" priority="340" operator="notContains" text="Caida">
      <formula>ISERROR(SEARCH("Caida",AA93))</formula>
    </cfRule>
    <cfRule type="containsText" dxfId="351" priority="341" operator="containsText" text="Caida">
      <formula>NOT(ISERROR(SEARCH("Caida",AA93)))</formula>
    </cfRule>
  </conditionalFormatting>
  <conditionalFormatting sqref="AF1 AF5:AF372 AF380:AF1048576 AF3">
    <cfRule type="cellIs" dxfId="350" priority="339" operator="equal">
      <formula>"apagado"</formula>
    </cfRule>
  </conditionalFormatting>
  <conditionalFormatting sqref="AE1 AE5:AE372 AE380:AE1048576 AE3">
    <cfRule type="cellIs" dxfId="349" priority="338" operator="equal">
      <formula>"apagado"</formula>
    </cfRule>
  </conditionalFormatting>
  <conditionalFormatting sqref="AD1 AD5:AD372 AD380:AD1048576 AD3">
    <cfRule type="cellIs" dxfId="348" priority="337" operator="equal">
      <formula>"apagado"</formula>
    </cfRule>
  </conditionalFormatting>
  <conditionalFormatting sqref="AC1 AC5:AC372 AC380:AC1048576 AC3">
    <cfRule type="cellIs" dxfId="347" priority="336" operator="equal">
      <formula>"apagado"</formula>
    </cfRule>
  </conditionalFormatting>
  <conditionalFormatting sqref="AB1 AB5:AB372 AB380:AB1048576 AB3">
    <cfRule type="cellIs" dxfId="346" priority="335" operator="equal">
      <formula>"apagado"</formula>
    </cfRule>
  </conditionalFormatting>
  <conditionalFormatting sqref="AA1 AA5:AA372 AA380:AA1048576 AA3">
    <cfRule type="cellIs" dxfId="345" priority="334" operator="equal">
      <formula>"apagado"</formula>
    </cfRule>
  </conditionalFormatting>
  <conditionalFormatting sqref="Z1 Z380:Z1048576 Z3">
    <cfRule type="cellIs" dxfId="344" priority="333" operator="equal">
      <formula>"apagado"</formula>
    </cfRule>
  </conditionalFormatting>
  <conditionalFormatting sqref="Y1 Y380:Y1048576 Y3">
    <cfRule type="cellIs" dxfId="343" priority="332" operator="equal">
      <formula>"apagado"</formula>
    </cfRule>
  </conditionalFormatting>
  <conditionalFormatting sqref="AG6:AG92">
    <cfRule type="cellIs" dxfId="342" priority="330" operator="lessThan">
      <formula>0.8</formula>
    </cfRule>
    <cfRule type="cellIs" dxfId="341" priority="331" operator="greaterThan">
      <formula>0.8</formula>
    </cfRule>
  </conditionalFormatting>
  <conditionalFormatting sqref="AG6:AG92">
    <cfRule type="notContainsText" dxfId="340" priority="328" operator="notContains" text="Caida">
      <formula>ISERROR(SEARCH("Caida",AG6))</formula>
    </cfRule>
    <cfRule type="containsText" dxfId="339" priority="329" operator="containsText" text="Caida">
      <formula>NOT(ISERROR(SEARCH("Caida",AG6)))</formula>
    </cfRule>
  </conditionalFormatting>
  <conditionalFormatting sqref="AG93:AG95">
    <cfRule type="cellIs" dxfId="338" priority="326" operator="lessThan">
      <formula>0.8</formula>
    </cfRule>
    <cfRule type="cellIs" dxfId="337" priority="327" operator="greaterThan">
      <formula>0.8</formula>
    </cfRule>
  </conditionalFormatting>
  <conditionalFormatting sqref="AG93:AG95">
    <cfRule type="notContainsText" dxfId="336" priority="324" operator="notContains" text="Caida">
      <formula>ISERROR(SEARCH("Caida",AG93))</formula>
    </cfRule>
    <cfRule type="containsText" dxfId="335" priority="325" operator="containsText" text="Caida">
      <formula>NOT(ISERROR(SEARCH("Caida",AG93)))</formula>
    </cfRule>
  </conditionalFormatting>
  <conditionalFormatting sqref="AG1 AG5:AG372 AG380:AG1048576 AG3">
    <cfRule type="cellIs" dxfId="334" priority="323" operator="equal">
      <formula>"apagado"</formula>
    </cfRule>
  </conditionalFormatting>
  <conditionalFormatting sqref="AH6:AH92">
    <cfRule type="cellIs" dxfId="333" priority="321" operator="lessThan">
      <formula>0.8</formula>
    </cfRule>
    <cfRule type="cellIs" dxfId="332" priority="322" operator="greaterThan">
      <formula>0.8</formula>
    </cfRule>
  </conditionalFormatting>
  <conditionalFormatting sqref="AH6:AH92">
    <cfRule type="notContainsText" dxfId="331" priority="319" operator="notContains" text="Caida">
      <formula>ISERROR(SEARCH("Caida",AH6))</formula>
    </cfRule>
    <cfRule type="containsText" dxfId="330" priority="320" operator="containsText" text="Caida">
      <formula>NOT(ISERROR(SEARCH("Caida",AH6)))</formula>
    </cfRule>
  </conditionalFormatting>
  <conditionalFormatting sqref="AH93:AH95">
    <cfRule type="cellIs" dxfId="329" priority="317" operator="lessThan">
      <formula>0.8</formula>
    </cfRule>
    <cfRule type="cellIs" dxfId="328" priority="318" operator="greaterThan">
      <formula>0.8</formula>
    </cfRule>
  </conditionalFormatting>
  <conditionalFormatting sqref="AH93:AH95">
    <cfRule type="notContainsText" dxfId="327" priority="315" operator="notContains" text="Caida">
      <formula>ISERROR(SEARCH("Caida",AH93))</formula>
    </cfRule>
    <cfRule type="containsText" dxfId="326" priority="316" operator="containsText" text="Caida">
      <formula>NOT(ISERROR(SEARCH("Caida",AH93)))</formula>
    </cfRule>
  </conditionalFormatting>
  <conditionalFormatting sqref="AH1 AH380:AH1048576 AH3 AH5:AH372">
    <cfRule type="cellIs" dxfId="325" priority="314" operator="equal">
      <formula>"apagado"</formula>
    </cfRule>
  </conditionalFormatting>
  <conditionalFormatting sqref="AI6:AI92">
    <cfRule type="cellIs" dxfId="324" priority="312" operator="lessThan">
      <formula>0.8</formula>
    </cfRule>
    <cfRule type="cellIs" dxfId="323" priority="313" operator="greaterThan">
      <formula>0.8</formula>
    </cfRule>
  </conditionalFormatting>
  <conditionalFormatting sqref="AI6:AI92">
    <cfRule type="notContainsText" dxfId="322" priority="310" operator="notContains" text="Caida">
      <formula>ISERROR(SEARCH("Caida",AI6))</formula>
    </cfRule>
    <cfRule type="containsText" dxfId="321" priority="311" operator="containsText" text="Caida">
      <formula>NOT(ISERROR(SEARCH("Caida",AI6)))</formula>
    </cfRule>
  </conditionalFormatting>
  <conditionalFormatting sqref="AI93:AI95">
    <cfRule type="cellIs" dxfId="320" priority="308" operator="lessThan">
      <formula>0.8</formula>
    </cfRule>
    <cfRule type="cellIs" dxfId="319" priority="309" operator="greaterThan">
      <formula>0.8</formula>
    </cfRule>
  </conditionalFormatting>
  <conditionalFormatting sqref="AI93:AI95">
    <cfRule type="notContainsText" dxfId="318" priority="306" operator="notContains" text="Caida">
      <formula>ISERROR(SEARCH("Caida",AI93))</formula>
    </cfRule>
    <cfRule type="containsText" dxfId="317" priority="307" operator="containsText" text="Caida">
      <formula>NOT(ISERROR(SEARCH("Caida",AI93)))</formula>
    </cfRule>
  </conditionalFormatting>
  <conditionalFormatting sqref="AI1 AI5:AI372 AI380:AI1048576 AI3">
    <cfRule type="cellIs" dxfId="316" priority="305" operator="equal">
      <formula>"apagado"</formula>
    </cfRule>
  </conditionalFormatting>
  <conditionalFormatting sqref="AJ6:AJ92">
    <cfRule type="cellIs" dxfId="315" priority="303" operator="lessThan">
      <formula>0.8</formula>
    </cfRule>
    <cfRule type="cellIs" dxfId="314" priority="304" operator="greaterThan">
      <formula>0.8</formula>
    </cfRule>
  </conditionalFormatting>
  <conditionalFormatting sqref="AJ6:AJ92">
    <cfRule type="notContainsText" dxfId="313" priority="301" operator="notContains" text="Caida">
      <formula>ISERROR(SEARCH("Caida",AJ6))</formula>
    </cfRule>
    <cfRule type="containsText" dxfId="312" priority="302" operator="containsText" text="Caida">
      <formula>NOT(ISERROR(SEARCH("Caida",AJ6)))</formula>
    </cfRule>
  </conditionalFormatting>
  <conditionalFormatting sqref="AJ93:AJ95">
    <cfRule type="cellIs" dxfId="311" priority="299" operator="lessThan">
      <formula>0.8</formula>
    </cfRule>
    <cfRule type="cellIs" dxfId="310" priority="300" operator="greaterThan">
      <formula>0.8</formula>
    </cfRule>
  </conditionalFormatting>
  <conditionalFormatting sqref="AJ93:AJ95">
    <cfRule type="notContainsText" dxfId="309" priority="297" operator="notContains" text="Caida">
      <formula>ISERROR(SEARCH("Caida",AJ93))</formula>
    </cfRule>
    <cfRule type="containsText" dxfId="308" priority="298" operator="containsText" text="Caida">
      <formula>NOT(ISERROR(SEARCH("Caida",AJ93)))</formula>
    </cfRule>
  </conditionalFormatting>
  <conditionalFormatting sqref="AJ1 AJ5:AJ372 AJ380:AJ1048576 AJ3">
    <cfRule type="cellIs" dxfId="307" priority="296" operator="equal">
      <formula>"apagado"</formula>
    </cfRule>
  </conditionalFormatting>
  <conditionalFormatting sqref="AQ95:AQ369">
    <cfRule type="cellIs" dxfId="306" priority="277" operator="lessThan">
      <formula>0.8</formula>
    </cfRule>
    <cfRule type="cellIs" dxfId="305" priority="278" operator="greaterThan">
      <formula>0.8</formula>
    </cfRule>
  </conditionalFormatting>
  <conditionalFormatting sqref="AQ95:AQ372 AQ391:AQ1048576">
    <cfRule type="notContainsText" dxfId="304" priority="275" operator="notContains" text="Caida">
      <formula>ISERROR(SEARCH("Caida",AQ95))</formula>
    </cfRule>
    <cfRule type="containsText" dxfId="303" priority="276" operator="containsText" text="Caida">
      <formula>NOT(ISERROR(SEARCH("Caida",AQ95)))</formula>
    </cfRule>
  </conditionalFormatting>
  <conditionalFormatting sqref="AQ6:AQ92">
    <cfRule type="cellIs" dxfId="302" priority="273" operator="lessThan">
      <formula>0.8</formula>
    </cfRule>
    <cfRule type="cellIs" dxfId="301" priority="274" operator="greaterThan">
      <formula>0.8</formula>
    </cfRule>
  </conditionalFormatting>
  <conditionalFormatting sqref="AQ6:AQ92">
    <cfRule type="notContainsText" dxfId="300" priority="271" operator="notContains" text="Caida">
      <formula>ISERROR(SEARCH("Caida",AQ6))</formula>
    </cfRule>
    <cfRule type="containsText" dxfId="299" priority="272" operator="containsText" text="Caida">
      <formula>NOT(ISERROR(SEARCH("Caida",AQ6)))</formula>
    </cfRule>
  </conditionalFormatting>
  <conditionalFormatting sqref="AQ93:AQ94">
    <cfRule type="cellIs" dxfId="298" priority="269" operator="lessThan">
      <formula>0.8</formula>
    </cfRule>
    <cfRule type="cellIs" dxfId="297" priority="270" operator="greaterThan">
      <formula>0.8</formula>
    </cfRule>
  </conditionalFormatting>
  <conditionalFormatting sqref="AQ93:AQ94">
    <cfRule type="notContainsText" dxfId="296" priority="267" operator="notContains" text="Caida">
      <formula>ISERROR(SEARCH("Caida",AQ93))</formula>
    </cfRule>
    <cfRule type="containsText" dxfId="295" priority="268" operator="containsText" text="Caida">
      <formula>NOT(ISERROR(SEARCH("Caida",AQ93)))</formula>
    </cfRule>
  </conditionalFormatting>
  <conditionalFormatting sqref="AQ10">
    <cfRule type="cellIs" dxfId="294" priority="262" operator="equal">
      <formula>"apagado"</formula>
    </cfRule>
    <cfRule type="cellIs" dxfId="293" priority="265" operator="lessThan">
      <formula>0.8</formula>
    </cfRule>
    <cfRule type="cellIs" dxfId="292" priority="266" operator="greaterThan">
      <formula>0.8</formula>
    </cfRule>
  </conditionalFormatting>
  <conditionalFormatting sqref="AQ10">
    <cfRule type="notContainsText" dxfId="291" priority="263" operator="notContains" text="Caida">
      <formula>ISERROR(SEARCH("Caida",AQ10))</formula>
    </cfRule>
    <cfRule type="containsText" dxfId="290" priority="264" operator="containsText" text="Caida">
      <formula>NOT(ISERROR(SEARCH("Caida",AQ10)))</formula>
    </cfRule>
  </conditionalFormatting>
  <conditionalFormatting sqref="AQ1 AQ5:AQ372 AQ380:AQ1048576 AQ3">
    <cfRule type="cellIs" dxfId="289" priority="261" operator="equal">
      <formula>"apagado"</formula>
    </cfRule>
  </conditionalFormatting>
  <conditionalFormatting sqref="O5:X372 AA5:AR372">
    <cfRule type="cellIs" dxfId="288" priority="260" operator="equal">
      <formula>"APAGADO"</formula>
    </cfRule>
  </conditionalFormatting>
  <conditionalFormatting sqref="Y96:Y372">
    <cfRule type="cellIs" dxfId="287" priority="222" operator="lessThan">
      <formula>0.8</formula>
    </cfRule>
    <cfRule type="cellIs" dxfId="286" priority="223" operator="greaterThan">
      <formula>0.8</formula>
    </cfRule>
  </conditionalFormatting>
  <conditionalFormatting sqref="Y96:Y372">
    <cfRule type="notContainsText" dxfId="285" priority="220" operator="notContains" text="Caida">
      <formula>ISERROR(SEARCH("Caida",Y96))</formula>
    </cfRule>
    <cfRule type="containsText" dxfId="284" priority="221" operator="containsText" text="Caida">
      <formula>NOT(ISERROR(SEARCH("Caida",Y96)))</formula>
    </cfRule>
  </conditionalFormatting>
  <conditionalFormatting sqref="Y22">
    <cfRule type="containsText" dxfId="283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282" priority="217" operator="lessThan">
      <formula>0.8</formula>
    </cfRule>
    <cfRule type="cellIs" dxfId="281" priority="218" operator="greaterThan">
      <formula>0.8</formula>
    </cfRule>
  </conditionalFormatting>
  <conditionalFormatting sqref="Y5">
    <cfRule type="notContainsText" dxfId="280" priority="215" operator="notContains" text="Caida">
      <formula>ISERROR(SEARCH("Caida",Y5))</formula>
    </cfRule>
    <cfRule type="containsText" dxfId="279" priority="216" operator="containsText" text="Caida">
      <formula>NOT(ISERROR(SEARCH("Caida",Y5)))</formula>
    </cfRule>
  </conditionalFormatting>
  <conditionalFormatting sqref="Y5:Y372">
    <cfRule type="cellIs" dxfId="278" priority="214" operator="equal">
      <formula>"APAGADO"</formula>
    </cfRule>
  </conditionalFormatting>
  <conditionalFormatting sqref="Y6:Y92">
    <cfRule type="cellIs" dxfId="277" priority="212" operator="lessThan">
      <formula>0.8</formula>
    </cfRule>
    <cfRule type="cellIs" dxfId="276" priority="213" operator="greaterThan">
      <formula>0.8</formula>
    </cfRule>
  </conditionalFormatting>
  <conditionalFormatting sqref="Y6:Y92">
    <cfRule type="notContainsText" dxfId="275" priority="210" operator="notContains" text="Caida">
      <formula>ISERROR(SEARCH("Caida",Y6))</formula>
    </cfRule>
    <cfRule type="containsText" dxfId="274" priority="211" operator="containsText" text="Caida">
      <formula>NOT(ISERROR(SEARCH("Caida",Y6)))</formula>
    </cfRule>
  </conditionalFormatting>
  <conditionalFormatting sqref="Y93:Y95">
    <cfRule type="cellIs" dxfId="273" priority="208" operator="lessThan">
      <formula>0.8</formula>
    </cfRule>
    <cfRule type="cellIs" dxfId="272" priority="209" operator="greaterThan">
      <formula>0.8</formula>
    </cfRule>
  </conditionalFormatting>
  <conditionalFormatting sqref="Y93:Y95">
    <cfRule type="notContainsText" dxfId="271" priority="206" operator="notContains" text="Caida">
      <formula>ISERROR(SEARCH("Caida",Y93))</formula>
    </cfRule>
    <cfRule type="containsText" dxfId="270" priority="207" operator="containsText" text="Caida">
      <formula>NOT(ISERROR(SEARCH("Caida",Y93)))</formula>
    </cfRule>
  </conditionalFormatting>
  <conditionalFormatting sqref="Y5:Y372">
    <cfRule type="cellIs" dxfId="269" priority="205" operator="equal">
      <formula>"apagado"</formula>
    </cfRule>
  </conditionalFormatting>
  <conditionalFormatting sqref="Z96:Z372">
    <cfRule type="cellIs" dxfId="268" priority="202" operator="lessThan">
      <formula>0.8</formula>
    </cfRule>
    <cfRule type="cellIs" dxfId="267" priority="203" operator="greaterThan">
      <formula>0.8</formula>
    </cfRule>
  </conditionalFormatting>
  <conditionalFormatting sqref="Z96:Z372">
    <cfRule type="notContainsText" dxfId="266" priority="200" operator="notContains" text="Caida">
      <formula>ISERROR(SEARCH("Caida",Z96))</formula>
    </cfRule>
    <cfRule type="containsText" dxfId="265" priority="201" operator="containsText" text="Caida">
      <formula>NOT(ISERROR(SEARCH("Caida",Z96)))</formula>
    </cfRule>
  </conditionalFormatting>
  <conditionalFormatting sqref="Z22">
    <cfRule type="containsText" dxfId="264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263" priority="197" operator="lessThan">
      <formula>0.8</formula>
    </cfRule>
    <cfRule type="cellIs" dxfId="262" priority="198" operator="greaterThan">
      <formula>0.8</formula>
    </cfRule>
  </conditionalFormatting>
  <conditionalFormatting sqref="Z5">
    <cfRule type="notContainsText" dxfId="261" priority="195" operator="notContains" text="Caida">
      <formula>ISERROR(SEARCH("Caida",Z5))</formula>
    </cfRule>
    <cfRule type="containsText" dxfId="260" priority="196" operator="containsText" text="Caida">
      <formula>NOT(ISERROR(SEARCH("Caida",Z5)))</formula>
    </cfRule>
  </conditionalFormatting>
  <conditionalFormatting sqref="Z5:Z372">
    <cfRule type="cellIs" dxfId="259" priority="194" operator="equal">
      <formula>"APAGADO"</formula>
    </cfRule>
  </conditionalFormatting>
  <conditionalFormatting sqref="Z6:Z92">
    <cfRule type="cellIs" dxfId="258" priority="192" operator="lessThan">
      <formula>0.8</formula>
    </cfRule>
    <cfRule type="cellIs" dxfId="257" priority="193" operator="greaterThan">
      <formula>0.8</formula>
    </cfRule>
  </conditionalFormatting>
  <conditionalFormatting sqref="Z6:Z92">
    <cfRule type="notContainsText" dxfId="256" priority="190" operator="notContains" text="Caida">
      <formula>ISERROR(SEARCH("Caida",Z6))</formula>
    </cfRule>
    <cfRule type="containsText" dxfId="255" priority="191" operator="containsText" text="Caida">
      <formula>NOT(ISERROR(SEARCH("Caida",Z6)))</formula>
    </cfRule>
  </conditionalFormatting>
  <conditionalFormatting sqref="Z93:Z95">
    <cfRule type="cellIs" dxfId="254" priority="188" operator="lessThan">
      <formula>0.8</formula>
    </cfRule>
    <cfRule type="cellIs" dxfId="253" priority="189" operator="greaterThan">
      <formula>0.8</formula>
    </cfRule>
  </conditionalFormatting>
  <conditionalFormatting sqref="Z93:Z95">
    <cfRule type="notContainsText" dxfId="252" priority="186" operator="notContains" text="Caida">
      <formula>ISERROR(SEARCH("Caida",Z93))</formula>
    </cfRule>
    <cfRule type="containsText" dxfId="251" priority="187" operator="containsText" text="Caida">
      <formula>NOT(ISERROR(SEARCH("Caida",Z93)))</formula>
    </cfRule>
  </conditionalFormatting>
  <conditionalFormatting sqref="Z5:Z372">
    <cfRule type="cellIs" dxfId="250" priority="185" operator="equal">
      <formula>"apagado"</formula>
    </cfRule>
  </conditionalFormatting>
  <conditionalFormatting sqref="AH94">
    <cfRule type="cellIs" dxfId="249" priority="182" operator="lessThan">
      <formula>0.8</formula>
    </cfRule>
    <cfRule type="cellIs" dxfId="248" priority="183" operator="greaterThan">
      <formula>0.8</formula>
    </cfRule>
  </conditionalFormatting>
  <conditionalFormatting sqref="AH94">
    <cfRule type="notContainsText" dxfId="247" priority="180" operator="notContains" text="Caida">
      <formula>ISERROR(SEARCH("Caida",AH94))</formula>
    </cfRule>
    <cfRule type="containsText" dxfId="246" priority="181" operator="containsText" text="Caida">
      <formula>NOT(ISERROR(SEARCH("Caida",AH94)))</formula>
    </cfRule>
  </conditionalFormatting>
  <conditionalFormatting sqref="AH96">
    <cfRule type="cellIs" dxfId="245" priority="178" operator="lessThan">
      <formula>0.8</formula>
    </cfRule>
    <cfRule type="cellIs" dxfId="244" priority="179" operator="greaterThan">
      <formula>0.8</formula>
    </cfRule>
  </conditionalFormatting>
  <conditionalFormatting sqref="AH96">
    <cfRule type="notContainsText" dxfId="243" priority="176" operator="notContains" text="Caida">
      <formula>ISERROR(SEARCH("Caida",AH96))</formula>
    </cfRule>
    <cfRule type="containsText" dxfId="242" priority="177" operator="containsText" text="Caida">
      <formula>NOT(ISERROR(SEARCH("Caida",AH96)))</formula>
    </cfRule>
  </conditionalFormatting>
  <conditionalFormatting sqref="AH99">
    <cfRule type="cellIs" dxfId="241" priority="174" operator="lessThan">
      <formula>0.8</formula>
    </cfRule>
    <cfRule type="cellIs" dxfId="240" priority="175" operator="greaterThan">
      <formula>0.8</formula>
    </cfRule>
  </conditionalFormatting>
  <conditionalFormatting sqref="AH99">
    <cfRule type="notContainsText" dxfId="239" priority="172" operator="notContains" text="Caida">
      <formula>ISERROR(SEARCH("Caida",AH99))</formula>
    </cfRule>
    <cfRule type="containsText" dxfId="238" priority="173" operator="containsText" text="Caida">
      <formula>NOT(ISERROR(SEARCH("Caida",AH99)))</formula>
    </cfRule>
  </conditionalFormatting>
  <conditionalFormatting sqref="AH115">
    <cfRule type="cellIs" dxfId="237" priority="170" operator="lessThan">
      <formula>0.8</formula>
    </cfRule>
    <cfRule type="cellIs" dxfId="236" priority="171" operator="greaterThan">
      <formula>0.8</formula>
    </cfRule>
  </conditionalFormatting>
  <conditionalFormatting sqref="AH115">
    <cfRule type="notContainsText" dxfId="235" priority="168" operator="notContains" text="Caida">
      <formula>ISERROR(SEARCH("Caida",AH115))</formula>
    </cfRule>
    <cfRule type="containsText" dxfId="234" priority="169" operator="containsText" text="Caida">
      <formula>NOT(ISERROR(SEARCH("Caida",AH115)))</formula>
    </cfRule>
  </conditionalFormatting>
  <conditionalFormatting sqref="AH116">
    <cfRule type="cellIs" dxfId="233" priority="166" operator="lessThan">
      <formula>0.8</formula>
    </cfRule>
    <cfRule type="cellIs" dxfId="232" priority="167" operator="greaterThan">
      <formula>0.8</formula>
    </cfRule>
  </conditionalFormatting>
  <conditionalFormatting sqref="AH116">
    <cfRule type="notContainsText" dxfId="231" priority="164" operator="notContains" text="Caida">
      <formula>ISERROR(SEARCH("Caida",AH116))</formula>
    </cfRule>
    <cfRule type="containsText" dxfId="230" priority="165" operator="containsText" text="Caida">
      <formula>NOT(ISERROR(SEARCH("Caida",AH116)))</formula>
    </cfRule>
  </conditionalFormatting>
  <conditionalFormatting sqref="AH120">
    <cfRule type="cellIs" dxfId="229" priority="162" operator="lessThan">
      <formula>0.8</formula>
    </cfRule>
    <cfRule type="cellIs" dxfId="228" priority="163" operator="greaterThan">
      <formula>0.8</formula>
    </cfRule>
  </conditionalFormatting>
  <conditionalFormatting sqref="AH120">
    <cfRule type="notContainsText" dxfId="227" priority="160" operator="notContains" text="Caida">
      <formula>ISERROR(SEARCH("Caida",AH120))</formula>
    </cfRule>
    <cfRule type="containsText" dxfId="226" priority="161" operator="containsText" text="Caida">
      <formula>NOT(ISERROR(SEARCH("Caida",AH120)))</formula>
    </cfRule>
  </conditionalFormatting>
  <conditionalFormatting sqref="AH121">
    <cfRule type="cellIs" dxfId="225" priority="158" operator="lessThan">
      <formula>0.8</formula>
    </cfRule>
    <cfRule type="cellIs" dxfId="224" priority="159" operator="greaterThan">
      <formula>0.8</formula>
    </cfRule>
  </conditionalFormatting>
  <conditionalFormatting sqref="AH121">
    <cfRule type="notContainsText" dxfId="223" priority="156" operator="notContains" text="Caida">
      <formula>ISERROR(SEARCH("Caida",AH121))</formula>
    </cfRule>
    <cfRule type="containsText" dxfId="222" priority="157" operator="containsText" text="Caida">
      <formula>NOT(ISERROR(SEARCH("Caida",AH121)))</formula>
    </cfRule>
  </conditionalFormatting>
  <conditionalFormatting sqref="AH133">
    <cfRule type="cellIs" dxfId="221" priority="154" operator="lessThan">
      <formula>0.8</formula>
    </cfRule>
    <cfRule type="cellIs" dxfId="220" priority="155" operator="greaterThan">
      <formula>0.8</formula>
    </cfRule>
  </conditionalFormatting>
  <conditionalFormatting sqref="AH133">
    <cfRule type="notContainsText" dxfId="219" priority="152" operator="notContains" text="Caida">
      <formula>ISERROR(SEARCH("Caida",AH133))</formula>
    </cfRule>
    <cfRule type="containsText" dxfId="218" priority="153" operator="containsText" text="Caida">
      <formula>NOT(ISERROR(SEARCH("Caida",AH133)))</formula>
    </cfRule>
  </conditionalFormatting>
  <conditionalFormatting sqref="AH135">
    <cfRule type="cellIs" dxfId="217" priority="150" operator="lessThan">
      <formula>0.8</formula>
    </cfRule>
    <cfRule type="cellIs" dxfId="216" priority="151" operator="greaterThan">
      <formula>0.8</formula>
    </cfRule>
  </conditionalFormatting>
  <conditionalFormatting sqref="AH135">
    <cfRule type="notContainsText" dxfId="215" priority="148" operator="notContains" text="Caida">
      <formula>ISERROR(SEARCH("Caida",AH135))</formula>
    </cfRule>
    <cfRule type="containsText" dxfId="214" priority="149" operator="containsText" text="Caida">
      <formula>NOT(ISERROR(SEARCH("Caida",AH135)))</formula>
    </cfRule>
  </conditionalFormatting>
  <conditionalFormatting sqref="AH142">
    <cfRule type="cellIs" dxfId="213" priority="146" operator="lessThan">
      <formula>0.8</formula>
    </cfRule>
    <cfRule type="cellIs" dxfId="212" priority="147" operator="greaterThan">
      <formula>0.8</formula>
    </cfRule>
  </conditionalFormatting>
  <conditionalFormatting sqref="AH142">
    <cfRule type="notContainsText" dxfId="211" priority="144" operator="notContains" text="Caida">
      <formula>ISERROR(SEARCH("Caida",AH142))</formula>
    </cfRule>
    <cfRule type="containsText" dxfId="210" priority="145" operator="containsText" text="Caida">
      <formula>NOT(ISERROR(SEARCH("Caida",AH142)))</formula>
    </cfRule>
  </conditionalFormatting>
  <conditionalFormatting sqref="AH143">
    <cfRule type="cellIs" dxfId="209" priority="142" operator="lessThan">
      <formula>0.8</formula>
    </cfRule>
    <cfRule type="cellIs" dxfId="208" priority="143" operator="greaterThan">
      <formula>0.8</formula>
    </cfRule>
  </conditionalFormatting>
  <conditionalFormatting sqref="AH143">
    <cfRule type="notContainsText" dxfId="207" priority="140" operator="notContains" text="Caida">
      <formula>ISERROR(SEARCH("Caida",AH143))</formula>
    </cfRule>
    <cfRule type="containsText" dxfId="206" priority="141" operator="containsText" text="Caida">
      <formula>NOT(ISERROR(SEARCH("Caida",AH143)))</formula>
    </cfRule>
  </conditionalFormatting>
  <conditionalFormatting sqref="AH144">
    <cfRule type="cellIs" dxfId="205" priority="138" operator="lessThan">
      <formula>0.8</formula>
    </cfRule>
    <cfRule type="cellIs" dxfId="204" priority="139" operator="greaterThan">
      <formula>0.8</formula>
    </cfRule>
  </conditionalFormatting>
  <conditionalFormatting sqref="AH144">
    <cfRule type="notContainsText" dxfId="203" priority="136" operator="notContains" text="Caida">
      <formula>ISERROR(SEARCH("Caida",AH144))</formula>
    </cfRule>
    <cfRule type="containsText" dxfId="202" priority="137" operator="containsText" text="Caida">
      <formula>NOT(ISERROR(SEARCH("Caida",AH144)))</formula>
    </cfRule>
  </conditionalFormatting>
  <conditionalFormatting sqref="AH163">
    <cfRule type="cellIs" dxfId="201" priority="134" operator="lessThan">
      <formula>0.8</formula>
    </cfRule>
    <cfRule type="cellIs" dxfId="200" priority="135" operator="greaterThan">
      <formula>0.8</formula>
    </cfRule>
  </conditionalFormatting>
  <conditionalFormatting sqref="AH163">
    <cfRule type="notContainsText" dxfId="199" priority="132" operator="notContains" text="Caida">
      <formula>ISERROR(SEARCH("Caida",AH163))</formula>
    </cfRule>
    <cfRule type="containsText" dxfId="198" priority="133" operator="containsText" text="Caida">
      <formula>NOT(ISERROR(SEARCH("Caida",AH163)))</formula>
    </cfRule>
  </conditionalFormatting>
  <conditionalFormatting sqref="AH164">
    <cfRule type="cellIs" dxfId="197" priority="130" operator="lessThan">
      <formula>0.8</formula>
    </cfRule>
    <cfRule type="cellIs" dxfId="196" priority="131" operator="greaterThan">
      <formula>0.8</formula>
    </cfRule>
  </conditionalFormatting>
  <conditionalFormatting sqref="AH164">
    <cfRule type="notContainsText" dxfId="195" priority="128" operator="notContains" text="Caida">
      <formula>ISERROR(SEARCH("Caida",AH164))</formula>
    </cfRule>
    <cfRule type="containsText" dxfId="194" priority="129" operator="containsText" text="Caida">
      <formula>NOT(ISERROR(SEARCH("Caida",AH164)))</formula>
    </cfRule>
  </conditionalFormatting>
  <conditionalFormatting sqref="AH166">
    <cfRule type="cellIs" dxfId="193" priority="126" operator="lessThan">
      <formula>0.8</formula>
    </cfRule>
    <cfRule type="cellIs" dxfId="192" priority="127" operator="greaterThan">
      <formula>0.8</formula>
    </cfRule>
  </conditionalFormatting>
  <conditionalFormatting sqref="AH166">
    <cfRule type="notContainsText" dxfId="191" priority="124" operator="notContains" text="Caida">
      <formula>ISERROR(SEARCH("Caida",AH166))</formula>
    </cfRule>
    <cfRule type="containsText" dxfId="190" priority="125" operator="containsText" text="Caida">
      <formula>NOT(ISERROR(SEARCH("Caida",AH166)))</formula>
    </cfRule>
  </conditionalFormatting>
  <conditionalFormatting sqref="AH177">
    <cfRule type="cellIs" dxfId="189" priority="122" operator="lessThan">
      <formula>0.8</formula>
    </cfRule>
    <cfRule type="cellIs" dxfId="188" priority="123" operator="greaterThan">
      <formula>0.8</formula>
    </cfRule>
  </conditionalFormatting>
  <conditionalFormatting sqref="AH177">
    <cfRule type="notContainsText" dxfId="187" priority="120" operator="notContains" text="Caida">
      <formula>ISERROR(SEARCH("Caida",AH177))</formula>
    </cfRule>
    <cfRule type="containsText" dxfId="186" priority="121" operator="containsText" text="Caida">
      <formula>NOT(ISERROR(SEARCH("Caida",AH177)))</formula>
    </cfRule>
  </conditionalFormatting>
  <conditionalFormatting sqref="AH191">
    <cfRule type="cellIs" dxfId="185" priority="118" operator="lessThan">
      <formula>0.8</formula>
    </cfRule>
    <cfRule type="cellIs" dxfId="184" priority="119" operator="greaterThan">
      <formula>0.8</formula>
    </cfRule>
  </conditionalFormatting>
  <conditionalFormatting sqref="AH191">
    <cfRule type="notContainsText" dxfId="183" priority="116" operator="notContains" text="Caida">
      <formula>ISERROR(SEARCH("Caida",AH191))</formula>
    </cfRule>
    <cfRule type="containsText" dxfId="182" priority="117" operator="containsText" text="Caida">
      <formula>NOT(ISERROR(SEARCH("Caida",AH191)))</formula>
    </cfRule>
  </conditionalFormatting>
  <conditionalFormatting sqref="AH192">
    <cfRule type="cellIs" dxfId="181" priority="114" operator="lessThan">
      <formula>0.8</formula>
    </cfRule>
    <cfRule type="cellIs" dxfId="180" priority="115" operator="greaterThan">
      <formula>0.8</formula>
    </cfRule>
  </conditionalFormatting>
  <conditionalFormatting sqref="AH192">
    <cfRule type="notContainsText" dxfId="179" priority="112" operator="notContains" text="Caida">
      <formula>ISERROR(SEARCH("Caida",AH192))</formula>
    </cfRule>
    <cfRule type="containsText" dxfId="178" priority="113" operator="containsText" text="Caida">
      <formula>NOT(ISERROR(SEARCH("Caida",AH192)))</formula>
    </cfRule>
  </conditionalFormatting>
  <conditionalFormatting sqref="AH198">
    <cfRule type="cellIs" dxfId="177" priority="110" operator="lessThan">
      <formula>0.8</formula>
    </cfRule>
    <cfRule type="cellIs" dxfId="176" priority="111" operator="greaterThan">
      <formula>0.8</formula>
    </cfRule>
  </conditionalFormatting>
  <conditionalFormatting sqref="AH198">
    <cfRule type="notContainsText" dxfId="175" priority="108" operator="notContains" text="Caida">
      <formula>ISERROR(SEARCH("Caida",AH198))</formula>
    </cfRule>
    <cfRule type="containsText" dxfId="174" priority="109" operator="containsText" text="Caida">
      <formula>NOT(ISERROR(SEARCH("Caida",AH198)))</formula>
    </cfRule>
  </conditionalFormatting>
  <conditionalFormatting sqref="AH206">
    <cfRule type="cellIs" dxfId="173" priority="106" operator="lessThan">
      <formula>0.8</formula>
    </cfRule>
    <cfRule type="cellIs" dxfId="172" priority="107" operator="greaterThan">
      <formula>0.8</formula>
    </cfRule>
  </conditionalFormatting>
  <conditionalFormatting sqref="AH206">
    <cfRule type="notContainsText" dxfId="171" priority="104" operator="notContains" text="Caida">
      <formula>ISERROR(SEARCH("Caida",AH206))</formula>
    </cfRule>
    <cfRule type="containsText" dxfId="170" priority="105" operator="containsText" text="Caida">
      <formula>NOT(ISERROR(SEARCH("Caida",AH206)))</formula>
    </cfRule>
  </conditionalFormatting>
  <conditionalFormatting sqref="AH211">
    <cfRule type="cellIs" dxfId="169" priority="102" operator="lessThan">
      <formula>0.8</formula>
    </cfRule>
    <cfRule type="cellIs" dxfId="168" priority="103" operator="greaterThan">
      <formula>0.8</formula>
    </cfRule>
  </conditionalFormatting>
  <conditionalFormatting sqref="AH211">
    <cfRule type="notContainsText" dxfId="167" priority="100" operator="notContains" text="Caida">
      <formula>ISERROR(SEARCH("Caida",AH211))</formula>
    </cfRule>
    <cfRule type="containsText" dxfId="166" priority="101" operator="containsText" text="Caida">
      <formula>NOT(ISERROR(SEARCH("Caida",AH211)))</formula>
    </cfRule>
  </conditionalFormatting>
  <conditionalFormatting sqref="AH212">
    <cfRule type="cellIs" dxfId="165" priority="98" operator="lessThan">
      <formula>0.8</formula>
    </cfRule>
    <cfRule type="cellIs" dxfId="164" priority="99" operator="greaterThan">
      <formula>0.8</formula>
    </cfRule>
  </conditionalFormatting>
  <conditionalFormatting sqref="AH212">
    <cfRule type="notContainsText" dxfId="163" priority="96" operator="notContains" text="Caida">
      <formula>ISERROR(SEARCH("Caida",AH212))</formula>
    </cfRule>
    <cfRule type="containsText" dxfId="162" priority="97" operator="containsText" text="Caida">
      <formula>NOT(ISERROR(SEARCH("Caida",AH212)))</formula>
    </cfRule>
  </conditionalFormatting>
  <conditionalFormatting sqref="AH359">
    <cfRule type="cellIs" dxfId="161" priority="95" operator="equal">
      <formula>"apagado"</formula>
    </cfRule>
  </conditionalFormatting>
  <conditionalFormatting sqref="AH360">
    <cfRule type="cellIs" dxfId="160" priority="94" operator="equal">
      <formula>"apagado"</formula>
    </cfRule>
  </conditionalFormatting>
  <conditionalFormatting sqref="AH361">
    <cfRule type="cellIs" dxfId="159" priority="93" operator="equal">
      <formula>"apagado"</formula>
    </cfRule>
  </conditionalFormatting>
  <conditionalFormatting sqref="AH362">
    <cfRule type="cellIs" dxfId="158" priority="92" operator="equal">
      <formula>"apagado"</formula>
    </cfRule>
  </conditionalFormatting>
  <conditionalFormatting sqref="AH206">
    <cfRule type="cellIs" dxfId="157" priority="91" operator="equal">
      <formula>"apagado"</formula>
    </cfRule>
  </conditionalFormatting>
  <conditionalFormatting sqref="AH211">
    <cfRule type="cellIs" dxfId="156" priority="90" operator="equal">
      <formula>"apagado"</formula>
    </cfRule>
  </conditionalFormatting>
  <conditionalFormatting sqref="AH212">
    <cfRule type="cellIs" dxfId="155" priority="89" operator="equal">
      <formula>"apagado"</formula>
    </cfRule>
  </conditionalFormatting>
  <conditionalFormatting sqref="AH198">
    <cfRule type="cellIs" dxfId="154" priority="88" operator="equal">
      <formula>"apagado"</formula>
    </cfRule>
  </conditionalFormatting>
  <conditionalFormatting sqref="AH192">
    <cfRule type="cellIs" dxfId="153" priority="87" operator="equal">
      <formula>"apagado"</formula>
    </cfRule>
  </conditionalFormatting>
  <conditionalFormatting sqref="AH191">
    <cfRule type="cellIs" dxfId="152" priority="86" operator="equal">
      <formula>"apagado"</formula>
    </cfRule>
  </conditionalFormatting>
  <conditionalFormatting sqref="AH177">
    <cfRule type="cellIs" dxfId="151" priority="85" operator="equal">
      <formula>"apagado"</formula>
    </cfRule>
  </conditionalFormatting>
  <conditionalFormatting sqref="AH166">
    <cfRule type="cellIs" dxfId="150" priority="84" operator="equal">
      <formula>"apagado"</formula>
    </cfRule>
  </conditionalFormatting>
  <conditionalFormatting sqref="AH163">
    <cfRule type="cellIs" dxfId="149" priority="83" operator="equal">
      <formula>"apagado"</formula>
    </cfRule>
  </conditionalFormatting>
  <conditionalFormatting sqref="AH164">
    <cfRule type="cellIs" dxfId="148" priority="82" operator="equal">
      <formula>"apagado"</formula>
    </cfRule>
  </conditionalFormatting>
  <conditionalFormatting sqref="AH142">
    <cfRule type="cellIs" dxfId="147" priority="81" operator="equal">
      <formula>"apagado"</formula>
    </cfRule>
  </conditionalFormatting>
  <conditionalFormatting sqref="AH143">
    <cfRule type="cellIs" dxfId="146" priority="80" operator="equal">
      <formula>"apagado"</formula>
    </cfRule>
  </conditionalFormatting>
  <conditionalFormatting sqref="AH144">
    <cfRule type="cellIs" dxfId="145" priority="79" operator="equal">
      <formula>"apagado"</formula>
    </cfRule>
  </conditionalFormatting>
  <conditionalFormatting sqref="AH133">
    <cfRule type="cellIs" dxfId="144" priority="78" operator="equal">
      <formula>"apagado"</formula>
    </cfRule>
  </conditionalFormatting>
  <conditionalFormatting sqref="AH135">
    <cfRule type="cellIs" dxfId="143" priority="77" operator="equal">
      <formula>"apagado"</formula>
    </cfRule>
  </conditionalFormatting>
  <conditionalFormatting sqref="AH115">
    <cfRule type="cellIs" dxfId="142" priority="76" operator="equal">
      <formula>"apagado"</formula>
    </cfRule>
  </conditionalFormatting>
  <conditionalFormatting sqref="AH116">
    <cfRule type="cellIs" dxfId="141" priority="75" operator="equal">
      <formula>"apagado"</formula>
    </cfRule>
  </conditionalFormatting>
  <conditionalFormatting sqref="AH120">
    <cfRule type="cellIs" dxfId="140" priority="74" operator="equal">
      <formula>"apagado"</formula>
    </cfRule>
  </conditionalFormatting>
  <conditionalFormatting sqref="AH121">
    <cfRule type="cellIs" dxfId="139" priority="73" operator="equal">
      <formula>"apagado"</formula>
    </cfRule>
  </conditionalFormatting>
  <conditionalFormatting sqref="AH99">
    <cfRule type="cellIs" dxfId="138" priority="72" operator="equal">
      <formula>"apagado"</formula>
    </cfRule>
  </conditionalFormatting>
  <conditionalFormatting sqref="AH94">
    <cfRule type="cellIs" dxfId="137" priority="70" operator="lessThan">
      <formula>0.8</formula>
    </cfRule>
    <cfRule type="cellIs" dxfId="136" priority="71" operator="greaterThan">
      <formula>0.8</formula>
    </cfRule>
  </conditionalFormatting>
  <conditionalFormatting sqref="AH94">
    <cfRule type="notContainsText" dxfId="135" priority="68" operator="notContains" text="Caida">
      <formula>ISERROR(SEARCH("Caida",AH94))</formula>
    </cfRule>
    <cfRule type="containsText" dxfId="134" priority="69" operator="containsText" text="Caida">
      <formula>NOT(ISERROR(SEARCH("Caida",AH94)))</formula>
    </cfRule>
  </conditionalFormatting>
  <conditionalFormatting sqref="AH94">
    <cfRule type="cellIs" dxfId="133" priority="67" operator="equal">
      <formula>"apagado"</formula>
    </cfRule>
  </conditionalFormatting>
  <conditionalFormatting sqref="AH96">
    <cfRule type="cellIs" dxfId="132" priority="66" operator="equal">
      <formula>"apagado"</formula>
    </cfRule>
  </conditionalFormatting>
  <conditionalFormatting sqref="V373:X379 AA373:AJ379 N373:N379">
    <cfRule type="cellIs" dxfId="131" priority="50" operator="lessThan">
      <formula>0.8</formula>
    </cfRule>
    <cfRule type="cellIs" dxfId="130" priority="51" operator="greaterThan">
      <formula>0.8</formula>
    </cfRule>
  </conditionalFormatting>
  <conditionalFormatting sqref="E373:K379">
    <cfRule type="containsText" dxfId="129" priority="49" operator="containsText" text="Radio">
      <formula>NOT(ISERROR(SEARCH("Radio",E373)))</formula>
    </cfRule>
  </conditionalFormatting>
  <conditionalFormatting sqref="O373:O379 V373:X379 AA373:AP379 AR373:AR379">
    <cfRule type="notContainsText" dxfId="128" priority="47" operator="notContains" text="Caida">
      <formula>ISERROR(SEARCH("Caida",O373))</formula>
    </cfRule>
    <cfRule type="containsText" dxfId="127" priority="48" operator="containsText" text="Caida">
      <formula>NOT(ISERROR(SEARCH("Caida",O373)))</formula>
    </cfRule>
  </conditionalFormatting>
  <conditionalFormatting sqref="P373:P379">
    <cfRule type="cellIs" dxfId="126" priority="45" operator="lessThan">
      <formula>0.8</formula>
    </cfRule>
    <cfRule type="cellIs" dxfId="125" priority="46" operator="greaterThan">
      <formula>0.8</formula>
    </cfRule>
  </conditionalFormatting>
  <conditionalFormatting sqref="P373:P379">
    <cfRule type="notContainsText" dxfId="124" priority="43" operator="notContains" text="Caida">
      <formula>ISERROR(SEARCH("Caida",P373))</formula>
    </cfRule>
    <cfRule type="containsText" dxfId="123" priority="44" operator="containsText" text="Caida">
      <formula>NOT(ISERROR(SEARCH("Caida",P373)))</formula>
    </cfRule>
  </conditionalFormatting>
  <conditionalFormatting sqref="Q373:Q379">
    <cfRule type="cellIs" dxfId="122" priority="41" operator="lessThan">
      <formula>0.8</formula>
    </cfRule>
    <cfRule type="cellIs" dxfId="121" priority="42" operator="greaterThan">
      <formula>0.8</formula>
    </cfRule>
  </conditionalFormatting>
  <conditionalFormatting sqref="Q373:Q379">
    <cfRule type="notContainsText" dxfId="120" priority="39" operator="notContains" text="Caida">
      <formula>ISERROR(SEARCH("Caida",Q373))</formula>
    </cfRule>
    <cfRule type="containsText" dxfId="119" priority="40" operator="containsText" text="Caida">
      <formula>NOT(ISERROR(SEARCH("Caida",Q373)))</formula>
    </cfRule>
  </conditionalFormatting>
  <conditionalFormatting sqref="U373:U379">
    <cfRule type="cellIs" dxfId="118" priority="37" operator="lessThan">
      <formula>0.8</formula>
    </cfRule>
    <cfRule type="cellIs" dxfId="117" priority="38" operator="greaterThan">
      <formula>0.8</formula>
    </cfRule>
  </conditionalFormatting>
  <conditionalFormatting sqref="U373:U379">
    <cfRule type="notContainsText" dxfId="116" priority="35" operator="notContains" text="Caida">
      <formula>ISERROR(SEARCH("Caida",U373))</formula>
    </cfRule>
    <cfRule type="containsText" dxfId="115" priority="36" operator="containsText" text="Caida">
      <formula>NOT(ISERROR(SEARCH("Caida",U373)))</formula>
    </cfRule>
  </conditionalFormatting>
  <conditionalFormatting sqref="E373:E379">
    <cfRule type="containsText" dxfId="114" priority="33" operator="containsText" text="fija">
      <formula>NOT(ISERROR(SEARCH("fija",E373)))</formula>
    </cfRule>
    <cfRule type="containsText" dxfId="113" priority="34" operator="containsText" text="domo">
      <formula>NOT(ISERROR(SEARCH("domo",E373)))</formula>
    </cfRule>
  </conditionalFormatting>
  <conditionalFormatting sqref="O373:O379 AK373:AR379">
    <cfRule type="cellIs" dxfId="112" priority="32" operator="equal">
      <formula>"APAGADO"</formula>
    </cfRule>
  </conditionalFormatting>
  <conditionalFormatting sqref="F373:F379">
    <cfRule type="cellIs" dxfId="111" priority="31" operator="equal">
      <formula>"PTP A FO"</formula>
    </cfRule>
  </conditionalFormatting>
  <conditionalFormatting sqref="R373:T379">
    <cfRule type="cellIs" dxfId="110" priority="29" operator="lessThan">
      <formula>0.8</formula>
    </cfRule>
    <cfRule type="cellIs" dxfId="109" priority="30" operator="greaterThan">
      <formula>0.8</formula>
    </cfRule>
  </conditionalFormatting>
  <conditionalFormatting sqref="R373:T379">
    <cfRule type="notContainsText" dxfId="108" priority="27" operator="notContains" text="Caida">
      <formula>ISERROR(SEARCH("Caida",R373))</formula>
    </cfRule>
    <cfRule type="containsText" dxfId="107" priority="28" operator="containsText" text="Caida">
      <formula>NOT(ISERROR(SEARCH("Caida",R373)))</formula>
    </cfRule>
  </conditionalFormatting>
  <conditionalFormatting sqref="AF373:AF379">
    <cfRule type="cellIs" dxfId="106" priority="26" operator="equal">
      <formula>"apagado"</formula>
    </cfRule>
  </conditionalFormatting>
  <conditionalFormatting sqref="AE373:AE379">
    <cfRule type="cellIs" dxfId="105" priority="25" operator="equal">
      <formula>"apagado"</formula>
    </cfRule>
  </conditionalFormatting>
  <conditionalFormatting sqref="AD373:AD379">
    <cfRule type="cellIs" dxfId="104" priority="24" operator="equal">
      <formula>"apagado"</formula>
    </cfRule>
  </conditionalFormatting>
  <conditionalFormatting sqref="AC373:AC379">
    <cfRule type="cellIs" dxfId="103" priority="23" operator="equal">
      <formula>"apagado"</formula>
    </cfRule>
  </conditionalFormatting>
  <conditionalFormatting sqref="AB373:AB379">
    <cfRule type="cellIs" dxfId="102" priority="22" operator="equal">
      <formula>"apagado"</formula>
    </cfRule>
  </conditionalFormatting>
  <conditionalFormatting sqref="AA373:AA379">
    <cfRule type="cellIs" dxfId="101" priority="21" operator="equal">
      <formula>"apagado"</formula>
    </cfRule>
  </conditionalFormatting>
  <conditionalFormatting sqref="AG373:AG379">
    <cfRule type="cellIs" dxfId="100" priority="20" operator="equal">
      <formula>"apagado"</formula>
    </cfRule>
  </conditionalFormatting>
  <conditionalFormatting sqref="AH373:AH379">
    <cfRule type="cellIs" dxfId="99" priority="19" operator="equal">
      <formula>"apagado"</formula>
    </cfRule>
  </conditionalFormatting>
  <conditionalFormatting sqref="AI373:AI379">
    <cfRule type="cellIs" dxfId="98" priority="18" operator="equal">
      <formula>"apagado"</formula>
    </cfRule>
  </conditionalFormatting>
  <conditionalFormatting sqref="AJ373:AJ379">
    <cfRule type="cellIs" dxfId="97" priority="17" operator="equal">
      <formula>"apagado"</formula>
    </cfRule>
  </conditionalFormatting>
  <conditionalFormatting sqref="AQ373:AQ379">
    <cfRule type="notContainsText" dxfId="96" priority="15" operator="notContains" text="Caida">
      <formula>ISERROR(SEARCH("Caida",AQ373))</formula>
    </cfRule>
    <cfRule type="containsText" dxfId="95" priority="16" operator="containsText" text="Caida">
      <formula>NOT(ISERROR(SEARCH("Caida",AQ373)))</formula>
    </cfRule>
  </conditionalFormatting>
  <conditionalFormatting sqref="AQ373:AQ379">
    <cfRule type="cellIs" dxfId="94" priority="14" operator="equal">
      <formula>"apagado"</formula>
    </cfRule>
  </conditionalFormatting>
  <conditionalFormatting sqref="O373:X379 AA373:AR379">
    <cfRule type="cellIs" dxfId="93" priority="13" operator="equal">
      <formula>"APAGADO"</formula>
    </cfRule>
  </conditionalFormatting>
  <conditionalFormatting sqref="Y373:Y379">
    <cfRule type="cellIs" dxfId="92" priority="11" operator="lessThan">
      <formula>0.8</formula>
    </cfRule>
    <cfRule type="cellIs" dxfId="91" priority="12" operator="greaterThan">
      <formula>0.8</formula>
    </cfRule>
  </conditionalFormatting>
  <conditionalFormatting sqref="Y373:Y379">
    <cfRule type="notContainsText" dxfId="90" priority="9" operator="notContains" text="Caida">
      <formula>ISERROR(SEARCH("Caida",Y373))</formula>
    </cfRule>
    <cfRule type="containsText" dxfId="89" priority="10" operator="containsText" text="Caida">
      <formula>NOT(ISERROR(SEARCH("Caida",Y373)))</formula>
    </cfRule>
  </conditionalFormatting>
  <conditionalFormatting sqref="Y373:Y379">
    <cfRule type="cellIs" dxfId="88" priority="8" operator="equal">
      <formula>"APAGADO"</formula>
    </cfRule>
  </conditionalFormatting>
  <conditionalFormatting sqref="Y373:Y379">
    <cfRule type="cellIs" dxfId="87" priority="7" operator="equal">
      <formula>"apagado"</formula>
    </cfRule>
  </conditionalFormatting>
  <conditionalFormatting sqref="Z373:Z379">
    <cfRule type="cellIs" dxfId="86" priority="5" operator="lessThan">
      <formula>0.8</formula>
    </cfRule>
    <cfRule type="cellIs" dxfId="85" priority="6" operator="greaterThan">
      <formula>0.8</formula>
    </cfRule>
  </conditionalFormatting>
  <conditionalFormatting sqref="Z373:Z379">
    <cfRule type="notContainsText" dxfId="84" priority="3" operator="notContains" text="Caida">
      <formula>ISERROR(SEARCH("Caida",Z373))</formula>
    </cfRule>
    <cfRule type="containsText" dxfId="83" priority="4" operator="containsText" text="Caida">
      <formula>NOT(ISERROR(SEARCH("Caida",Z373)))</formula>
    </cfRule>
  </conditionalFormatting>
  <conditionalFormatting sqref="Z373:Z379">
    <cfRule type="cellIs" dxfId="82" priority="2" operator="equal">
      <formula>"APAGADO"</formula>
    </cfRule>
  </conditionalFormatting>
  <conditionalFormatting sqref="Z373:Z379">
    <cfRule type="cellIs" dxfId="8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>
        <f>'RESUMEN TOTAL'!AE7</f>
        <v>0</v>
      </c>
      <c r="W4" t="str">
        <f>'RESUMEN TOTAL'!AF7</f>
        <v>APAGADO</v>
      </c>
      <c r="X4" t="str">
        <f>'RESUMEN TOTAL'!AG7</f>
        <v>APAGADO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 t="str">
        <f>'RESUMEN TOTAL'!AD10</f>
        <v>APAGADO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 t="str">
        <f>'RESUMEN TOTAL'!AD11</f>
        <v>APAGADO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 t="str">
        <f>'RESUMEN TOTAL'!AD12</f>
        <v>APAGADO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 t="str">
        <f>'RESUMEN TOTAL'!W13</f>
        <v>APAGADO</v>
      </c>
      <c r="O10" t="str">
        <f>'RESUMEN TOTAL'!X13</f>
        <v>APAGADO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 t="str">
        <f>'RESUMEN TOTAL'!AD13</f>
        <v>APAGADO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 t="str">
        <f>'RESUMEN TOTAL'!AD14</f>
        <v>APAGADO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 t="str">
        <f>'RESUMEN TOTAL'!AD15</f>
        <v>APAGADO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 t="str">
        <f>'RESUMEN TOTAL'!AD16</f>
        <v>APAGADO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 t="str">
        <f>'RESUMEN TOTAL'!AD17</f>
        <v>APAGADO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 t="str">
        <f>'RESUMEN TOTAL'!AD18</f>
        <v>APAGADO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 t="str">
        <f>'RESUMEN TOTAL'!AD20</f>
        <v>APAGADO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 t="str">
        <f>'RESUMEN TOTAL'!X22</f>
        <v>APAGADO</v>
      </c>
      <c r="P19" t="str">
        <f>'RESUMEN TOTAL'!Y22</f>
        <v>APAGADO</v>
      </c>
      <c r="Q19" t="str">
        <f>'RESUMEN TOTAL'!Z22</f>
        <v>APAGADO</v>
      </c>
      <c r="R19" t="str">
        <f>'RESUMEN TOTAL'!AA22</f>
        <v>APAGADO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 t="str">
        <f>'RESUMEN TOTAL'!Y27</f>
        <v>APAGADO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 t="str">
        <f>'RESUMEN TOTAL'!X30</f>
        <v>APAGADO</v>
      </c>
      <c r="P27" t="str">
        <f>'RESUMEN TOTAL'!Y30</f>
        <v>APAGADO</v>
      </c>
      <c r="Q27" t="str">
        <f>'RESUMEN TOTAL'!Z30</f>
        <v>APAGADO</v>
      </c>
      <c r="R27" t="str">
        <f>'RESUMEN TOTAL'!AA30</f>
        <v>APAGADO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 t="str">
        <f>'RESUMEN TOTAL'!X56</f>
        <v>APAGADO</v>
      </c>
      <c r="P53" t="str">
        <f>'RESUMEN TOTAL'!Y56</f>
        <v>APAGADO</v>
      </c>
      <c r="Q53" t="str">
        <f>'RESUMEN TOTAL'!Z56</f>
        <v>APAGADO</v>
      </c>
      <c r="R53" t="str">
        <f>'RESUMEN TOTAL'!AA56</f>
        <v>APAGADO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 t="str">
        <f>'RESUMEN TOTAL'!Y70</f>
        <v>APAGADO</v>
      </c>
      <c r="Q67" t="str">
        <f>'RESUMEN TOTAL'!Z70</f>
        <v>APAGADO</v>
      </c>
      <c r="R67" t="str">
        <f>'RESUMEN TOTAL'!AA70</f>
        <v>APAGADO</v>
      </c>
      <c r="S67">
        <f>'RESUMEN TOTAL'!AB70</f>
        <v>0</v>
      </c>
      <c r="T67" t="str">
        <f>'RESUMEN TOTAL'!AC70</f>
        <v>APAGADO</v>
      </c>
      <c r="U67" t="str">
        <f>'RESUMEN TOTAL'!AD70</f>
        <v>APAGADO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 t="str">
        <f>'RESUMEN TOTAL'!X83</f>
        <v>APAGADO</v>
      </c>
      <c r="P80" t="str">
        <f>'RESUMEN TOTAL'!Y83</f>
        <v>APAGADO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 t="str">
        <f>'RESUMEN TOTAL'!Y89</f>
        <v>APAGADO</v>
      </c>
      <c r="Q86" t="str">
        <f>'RESUMEN TOTAL'!Z89</f>
        <v>APAGADO</v>
      </c>
      <c r="R86" t="str">
        <f>'RESUMEN TOTAL'!AA89</f>
        <v>APAGADO</v>
      </c>
      <c r="S86" t="str">
        <f>'RESUMEN TOTAL'!AB89</f>
        <v>APAGADO</v>
      </c>
      <c r="T86" t="str">
        <f>'RESUMEN TOTAL'!AC89</f>
        <v>APAGADO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 t="str">
        <f>'RESUMEN TOTAL'!Y90</f>
        <v>APAGADO</v>
      </c>
      <c r="Q87" t="str">
        <f>'RESUMEN TOTAL'!Z90</f>
        <v>APAGADO</v>
      </c>
      <c r="R87" t="str">
        <f>'RESUMEN TOTAL'!AA90</f>
        <v>APAGADO</v>
      </c>
      <c r="S87" t="str">
        <f>'RESUMEN TOTAL'!AB90</f>
        <v>APAGADO</v>
      </c>
      <c r="T87" t="str">
        <f>'RESUMEN TOTAL'!AC90</f>
        <v>APAGADO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 t="str">
        <f>'RESUMEN TOTAL'!X94</f>
        <v>APAGADO</v>
      </c>
      <c r="P91" t="str">
        <f>'RESUMEN TOTAL'!Y94</f>
        <v>APAGADO</v>
      </c>
      <c r="Q91" t="str">
        <f>'RESUMEN TOTAL'!Z94</f>
        <v>APAGADO</v>
      </c>
      <c r="R91" t="str">
        <f>'RESUMEN TOTAL'!AA94</f>
        <v>APAGADO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 t="str">
        <f>'RESUMEN TOTAL'!X99</f>
        <v>APAGADO</v>
      </c>
      <c r="P96" t="str">
        <f>'RESUMEN TOTAL'!Y99</f>
        <v>APAGADO</v>
      </c>
      <c r="Q96">
        <f>'RESUMEN TOTAL'!Z99</f>
        <v>0</v>
      </c>
      <c r="R96" t="str">
        <f>'RESUMEN TOTAL'!AA99</f>
        <v>APAGADO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 t="str">
        <f>'RESUMEN TOTAL'!Y102</f>
        <v>APAGADO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 t="str">
        <f>'RESUMEN TOTAL'!AF106</f>
        <v>APAGADO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 t="str">
        <f>'RESUMEN TOTAL'!AF107</f>
        <v>APAGADO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 t="str">
        <f>'RESUMEN TOTAL'!AF108</f>
        <v>APAGADO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 t="str">
        <f>'RESUMEN TOTAL'!AF109</f>
        <v>APAGADO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 t="str">
        <f>'RESUMEN TOTAL'!Y115</f>
        <v>APAGADO</v>
      </c>
      <c r="Q112" t="str">
        <f>'RESUMEN TOTAL'!Z115</f>
        <v>APAGADO</v>
      </c>
      <c r="R112" t="str">
        <f>'RESUMEN TOTAL'!AA115</f>
        <v>APAGADO</v>
      </c>
      <c r="S112" t="str">
        <f>'RESUMEN TOTAL'!AB115</f>
        <v>APAGADO</v>
      </c>
      <c r="T112" t="str">
        <f>'RESUMEN TOTAL'!AC115</f>
        <v>APAGADO</v>
      </c>
      <c r="U112" t="str">
        <f>'RESUMEN TOTAL'!AD115</f>
        <v>APAGADO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>
        <f>'RESUMEN TOTAL'!AE120</f>
        <v>0</v>
      </c>
      <c r="W117" t="str">
        <f>'RESUMEN TOTAL'!AF120</f>
        <v>APAGADO</v>
      </c>
      <c r="X117" t="str">
        <f>'RESUMEN TOTAL'!AG120</f>
        <v>APAGADO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>
        <f>'RESUMEN TOTAL'!AE121</f>
        <v>0</v>
      </c>
      <c r="W118" t="str">
        <f>'RESUMEN TOTAL'!AF121</f>
        <v>APAGADO</v>
      </c>
      <c r="X118" t="str">
        <f>'RESUMEN TOTAL'!AG121</f>
        <v>APAGADO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 t="str">
        <f>'RESUMEN TOTAL'!AF122</f>
        <v>APAGADO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 t="str">
        <f>'RESUMEN TOTAL'!AF123</f>
        <v>APAGADO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>
        <f>'RESUMEN TOTAL'!AE133</f>
        <v>0</v>
      </c>
      <c r="W130" t="str">
        <f>'RESUMEN TOTAL'!AF133</f>
        <v>APAGADO</v>
      </c>
      <c r="X130" t="str">
        <f>'RESUMEN TOTAL'!AG133</f>
        <v>APAGADO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 t="str">
        <f>'RESUMEN TOTAL'!AG136</f>
        <v>APAGADO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 t="str">
        <f>'RESUMEN TOTAL'!X142</f>
        <v>APAGADO</v>
      </c>
      <c r="P139" t="str">
        <f>'RESUMEN TOTAL'!Y142</f>
        <v>APAGADO</v>
      </c>
      <c r="Q139" t="str">
        <f>'RESUMEN TOTAL'!Z142</f>
        <v>APAGADO</v>
      </c>
      <c r="R139" t="str">
        <f>'RESUMEN TOTAL'!AA142</f>
        <v>APAGADO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 t="str">
        <f>'RESUMEN TOTAL'!X143</f>
        <v>APAGADO</v>
      </c>
      <c r="P140" t="str">
        <f>'RESUMEN TOTAL'!Y143</f>
        <v>APAGADO</v>
      </c>
      <c r="Q140" t="str">
        <f>'RESUMEN TOTAL'!Z143</f>
        <v>APAGADO</v>
      </c>
      <c r="R140" t="str">
        <f>'RESUMEN TOTAL'!AA143</f>
        <v>APAGADO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 t="str">
        <f>'RESUMEN TOTAL'!X144</f>
        <v>APAGADO</v>
      </c>
      <c r="P141" t="str">
        <f>'RESUMEN TOTAL'!Y144</f>
        <v>APAGADO</v>
      </c>
      <c r="Q141" t="str">
        <f>'RESUMEN TOTAL'!Z144</f>
        <v>APAGADO</v>
      </c>
      <c r="R141" t="str">
        <f>'RESUMEN TOTAL'!AA144</f>
        <v>APAGADO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 t="str">
        <f>'RESUMEN TOTAL'!AD156</f>
        <v>APAGADO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 t="str">
        <f>'RESUMEN TOTAL'!AD157</f>
        <v>APAGADO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 t="str">
        <f>'RESUMEN TOTAL'!AD158</f>
        <v>APAGADO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 t="str">
        <f>'RESUMEN TOTAL'!AD159</f>
        <v>APAGADO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 t="str">
        <f>'RESUMEN TOTAL'!AD160</f>
        <v>APAGADO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 t="str">
        <f>'RESUMEN TOTAL'!AD161</f>
        <v>APAGADO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 t="str">
        <f>'RESUMEN TOTAL'!AD162</f>
        <v>APAGADO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 t="str">
        <f>'RESUMEN TOTAL'!AD163</f>
        <v>APAGADO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 t="str">
        <f>'RESUMEN TOTAL'!AD164</f>
        <v>APAGADO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 t="str">
        <f>'RESUMEN TOTAL'!AD165</f>
        <v>APAGADO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 t="str">
        <f>'RESUMEN TOTAL'!Y166</f>
        <v>APAGADO</v>
      </c>
      <c r="Q163" t="str">
        <f>'RESUMEN TOTAL'!Z166</f>
        <v>APAGADO</v>
      </c>
      <c r="R163" t="str">
        <f>'RESUMEN TOTAL'!AA166</f>
        <v>APAGADO</v>
      </c>
      <c r="S163" t="str">
        <f>'RESUMEN TOTAL'!AB166</f>
        <v>APAGADO</v>
      </c>
      <c r="T163" t="str">
        <f>'RESUMEN TOTAL'!AC166</f>
        <v>APAGADO</v>
      </c>
      <c r="U163" t="str">
        <f>'RESUMEN TOTAL'!AD166</f>
        <v>APAGADO</v>
      </c>
      <c r="V163">
        <f>'RESUMEN TOTAL'!AE166</f>
        <v>0</v>
      </c>
      <c r="W163" t="str">
        <f>'RESUMEN TOTAL'!AF166</f>
        <v>APAGADO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 t="str">
        <f>'RESUMEN TOTAL'!Z167</f>
        <v>APAGADO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 t="str">
        <f>'RESUMEN TOTAL'!AD169</f>
        <v>APAGADO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 t="str">
        <f>'RESUMEN TOTAL'!AD170</f>
        <v>APAGADO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 t="str">
        <f>'RESUMEN TOTAL'!AD171</f>
        <v>APAGADO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 t="str">
        <f>'RESUMEN TOTAL'!AD172</f>
        <v>APAGADO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 t="str">
        <f>'RESUMEN TOTAL'!AD173</f>
        <v>APAGADO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 t="str">
        <f>'RESUMEN TOTAL'!Y177</f>
        <v>APAGADO</v>
      </c>
      <c r="Q174" t="str">
        <f>'RESUMEN TOTAL'!Z177</f>
        <v>APAGADO</v>
      </c>
      <c r="R174" t="str">
        <f>'RESUMEN TOTAL'!AA177</f>
        <v>APAGADO</v>
      </c>
      <c r="S174" t="str">
        <f>'RESUMEN TOTAL'!AB177</f>
        <v>APAGADO</v>
      </c>
      <c r="T174" t="str">
        <f>'RESUMEN TOTAL'!AC177</f>
        <v>APAGADO</v>
      </c>
      <c r="U174" t="str">
        <f>'RESUMEN TOTAL'!AD177</f>
        <v>APAGADO</v>
      </c>
      <c r="V174">
        <f>'RESUMEN TOTAL'!AE177</f>
        <v>0</v>
      </c>
      <c r="W174" t="str">
        <f>'RESUMEN TOTAL'!AF177</f>
        <v>APAGADO</v>
      </c>
      <c r="X174" t="str">
        <f>'RESUMEN TOTAL'!AG177</f>
        <v>APAGADO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 t="str">
        <f>'RESUMEN TOTAL'!AD179</f>
        <v>APAGADO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 t="str">
        <f>'RESUMEN TOTAL'!W185</f>
        <v>APAGADO</v>
      </c>
      <c r="O182" t="str">
        <f>'RESUMEN TOTAL'!X185</f>
        <v>APAGADO</v>
      </c>
      <c r="P182" t="str">
        <f>'RESUMEN TOTAL'!Y185</f>
        <v>APAGADO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>
        <f>'RESUMEN TOTAL'!AE191</f>
        <v>0</v>
      </c>
      <c r="W188" t="str">
        <f>'RESUMEN TOTAL'!AF191</f>
        <v>APAGADO</v>
      </c>
      <c r="X188" t="str">
        <f>'RESUMEN TOTAL'!AG191</f>
        <v>APAGADO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>
        <f>'RESUMEN TOTAL'!AE192</f>
        <v>0</v>
      </c>
      <c r="W189" t="str">
        <f>'RESUMEN TOTAL'!AF192</f>
        <v>APAGADO</v>
      </c>
      <c r="X189" t="str">
        <f>'RESUMEN TOTAL'!AG192</f>
        <v>APAGADO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 t="str">
        <f>'RESUMEN TOTAL'!Z194</f>
        <v>APAGADO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 t="str">
        <f>'RESUMEN TOTAL'!Z195</f>
        <v>APAGADO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 t="str">
        <f>'RESUMEN TOTAL'!Z196</f>
        <v>APAGADO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>
        <f>'RESUMEN TOTAL'!AE206</f>
        <v>0</v>
      </c>
      <c r="W203" t="str">
        <f>'RESUMEN TOTAL'!AF206</f>
        <v>APAGADO</v>
      </c>
      <c r="X203" t="str">
        <f>'RESUMEN TOTAL'!AG206</f>
        <v>APAGADO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 t="str">
        <f>'RESUMEN TOTAL'!AC207</f>
        <v>APAGADO</v>
      </c>
      <c r="U204" t="str">
        <f>'RESUMEN TOTAL'!AD207</f>
        <v>APAGADO</v>
      </c>
      <c r="V204">
        <f>'RESUMEN TOTAL'!AE207</f>
        <v>0</v>
      </c>
      <c r="W204" t="str">
        <f>'RESUMEN TOTAL'!AF207</f>
        <v>APAGADO</v>
      </c>
      <c r="X204" t="str">
        <f>'RESUMEN TOTAL'!AG207</f>
        <v>APAGADO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 t="str">
        <f>'RESUMEN TOTAL'!Y209</f>
        <v>APAGADO</v>
      </c>
      <c r="Q206" t="str">
        <f>'RESUMEN TOTAL'!Z209</f>
        <v>APAGADO</v>
      </c>
      <c r="R206" t="str">
        <f>'RESUMEN TOTAL'!AA209</f>
        <v>APAGADO</v>
      </c>
      <c r="S206" t="str">
        <f>'RESUMEN TOTAL'!AB209</f>
        <v>APAGADO</v>
      </c>
      <c r="T206" t="str">
        <f>'RESUMEN TOTAL'!AC209</f>
        <v>APAGADO</v>
      </c>
      <c r="U206" t="str">
        <f>'RESUMEN TOTAL'!AD209</f>
        <v>APAGADO</v>
      </c>
      <c r="V206">
        <f>'RESUMEN TOTAL'!AE209</f>
        <v>0</v>
      </c>
      <c r="W206" t="str">
        <f>'RESUMEN TOTAL'!AF209</f>
        <v>APAGADO</v>
      </c>
      <c r="X206" t="str">
        <f>'RESUMEN TOTAL'!AG209</f>
        <v>APAGADO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 t="str">
        <f>'RESUMEN TOTAL'!X210</f>
        <v>APAGADO</v>
      </c>
      <c r="P207" t="str">
        <f>'RESUMEN TOTAL'!Y210</f>
        <v>APAGADO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 t="str">
        <f>'RESUMEN TOTAL'!AC210</f>
        <v>APAGADO</v>
      </c>
      <c r="U207" t="str">
        <f>'RESUMEN TOTAL'!AD210</f>
        <v>APAGADO</v>
      </c>
      <c r="V207">
        <f>'RESUMEN TOTAL'!AE210</f>
        <v>0</v>
      </c>
      <c r="W207" t="str">
        <f>'RESUMEN TOTAL'!AF210</f>
        <v>APAGADO</v>
      </c>
      <c r="X207" t="str">
        <f>'RESUMEN TOTAL'!AG210</f>
        <v>APAGADO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 t="str">
        <f>'RESUMEN TOTAL'!Y224</f>
        <v>APAGADO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 t="str">
        <f>'RESUMEN TOTAL'!AD225</f>
        <v>APAGADO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 t="str">
        <f>'RESUMEN TOTAL'!W230</f>
        <v>APAGADO</v>
      </c>
      <c r="O227" t="str">
        <f>'RESUMEN TOTAL'!X230</f>
        <v>APAGADO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 t="str">
        <f>'RESUMEN TOTAL'!AD230</f>
        <v>APAGADO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>
        <f>'RESUMEN TOTAL'!AE231</f>
        <v>0</v>
      </c>
      <c r="W228" t="str">
        <f>'RESUMEN TOTAL'!AF231</f>
        <v>APAGADO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>
        <f>'RESUMEN TOTAL'!AE232</f>
        <v>0</v>
      </c>
      <c r="W229" t="str">
        <f>'RESUMEN TOTAL'!AF232</f>
        <v>APAGADO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 t="str">
        <f>'RESUMEN TOTAL'!X263</f>
        <v>APAGADO</v>
      </c>
      <c r="P260" t="str">
        <f>'RESUMEN TOTAL'!Y263</f>
        <v>APAGADO</v>
      </c>
      <c r="Q260" t="str">
        <f>'RESUMEN TOTAL'!Z263</f>
        <v>APAGADO</v>
      </c>
      <c r="R260" t="str">
        <f>'RESUMEN TOTAL'!AA263</f>
        <v>APAGADO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 t="str">
        <f>'RESUMEN TOTAL'!X264</f>
        <v>APAGADO</v>
      </c>
      <c r="P261" t="str">
        <f>'RESUMEN TOTAL'!Y264</f>
        <v>APAGADO</v>
      </c>
      <c r="Q261" t="str">
        <f>'RESUMEN TOTAL'!Z264</f>
        <v>APAGADO</v>
      </c>
      <c r="R261" t="str">
        <f>'RESUMEN TOTAL'!AA264</f>
        <v>APAGADO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 t="str">
        <f>'RESUMEN TOTAL'!X265</f>
        <v>APAGADO</v>
      </c>
      <c r="P262" t="str">
        <f>'RESUMEN TOTAL'!Y265</f>
        <v>APAGADO</v>
      </c>
      <c r="Q262" t="str">
        <f>'RESUMEN TOTAL'!Z265</f>
        <v>APAGADO</v>
      </c>
      <c r="R262" t="str">
        <f>'RESUMEN TOTAL'!AA265</f>
        <v>APAGADO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 t="str">
        <f>'RESUMEN TOTAL'!X266</f>
        <v>APAGADO</v>
      </c>
      <c r="P263" t="str">
        <f>'RESUMEN TOTAL'!Y266</f>
        <v>APAGADO</v>
      </c>
      <c r="Q263" t="str">
        <f>'RESUMEN TOTAL'!Z266</f>
        <v>APAGADO</v>
      </c>
      <c r="R263" t="str">
        <f>'RESUMEN TOTAL'!AA266</f>
        <v>APAGADO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 t="str">
        <f>'RESUMEN TOTAL'!X277</f>
        <v>APAGADO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 t="str">
        <f>'RESUMEN TOTAL'!Y278</f>
        <v>APAGADO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 t="str">
        <f>'RESUMEN TOTAL'!AD288</f>
        <v>APAGADO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 t="str">
        <f>'RESUMEN TOTAL'!AD296</f>
        <v>APAGADO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 t="str">
        <f>'RESUMEN TOTAL'!AA301</f>
        <v>APAGADO</v>
      </c>
      <c r="S298" t="str">
        <f>'RESUMEN TOTAL'!AB301</f>
        <v>APAGADO</v>
      </c>
      <c r="T298" t="str">
        <f>'RESUMEN TOTAL'!AC301</f>
        <v>APAGADO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 t="str">
        <f>'RESUMEN TOTAL'!Z302</f>
        <v>APAGADO</v>
      </c>
      <c r="R299" t="str">
        <f>'RESUMEN TOTAL'!AA302</f>
        <v>APAGADO</v>
      </c>
      <c r="S299" t="str">
        <f>'RESUMEN TOTAL'!AB302</f>
        <v>APAGADO</v>
      </c>
      <c r="T299" t="str">
        <f>'RESUMEN TOTAL'!AC302</f>
        <v>APAGADO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 t="str">
        <f>'RESUMEN TOTAL'!AC303</f>
        <v>APAGADO</v>
      </c>
      <c r="U300" t="str">
        <f>'RESUMEN TOTAL'!AD303</f>
        <v>APAGADO</v>
      </c>
      <c r="V300">
        <f>'RESUMEN TOTAL'!AE303</f>
        <v>0</v>
      </c>
      <c r="W300" t="str">
        <f>'RESUMEN TOTAL'!AF303</f>
        <v>APAGADO</v>
      </c>
      <c r="X300" t="str">
        <f>'RESUMEN TOTAL'!AG303</f>
        <v>APAGADO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 t="str">
        <f>'RESUMEN TOTAL'!AF310</f>
        <v>APAGADO</v>
      </c>
      <c r="X307" t="str">
        <f>'RESUMEN TOTAL'!AG310</f>
        <v>APAGADO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 t="str">
        <f>'RESUMEN TOTAL'!AF321</f>
        <v>APAGADO</v>
      </c>
      <c r="X318" t="str">
        <f>'RESUMEN TOTAL'!AG321</f>
        <v>APAGADO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 t="str">
        <f>'RESUMEN TOTAL'!Y322</f>
        <v>APAGADO</v>
      </c>
      <c r="Q319" t="str">
        <f>'RESUMEN TOTAL'!Z322</f>
        <v>APAGADO</v>
      </c>
      <c r="R319" t="str">
        <f>'RESUMEN TOTAL'!AA322</f>
        <v>APAGADO</v>
      </c>
      <c r="S319" t="str">
        <f>'RESUMEN TOTAL'!AB322</f>
        <v>APAGADO</v>
      </c>
      <c r="T319" t="str">
        <f>'RESUMEN TOTAL'!AC322</f>
        <v>APAGADO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 t="str">
        <f>'RESUMEN TOTAL'!AF325</f>
        <v>APAGADO</v>
      </c>
      <c r="X322" t="str">
        <f>'RESUMEN TOTAL'!AG325</f>
        <v>APAGADO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 t="str">
        <f>'RESUMEN TOTAL'!AF328</f>
        <v>APAGADO</v>
      </c>
      <c r="X325" t="str">
        <f>'RESUMEN TOTAL'!AG328</f>
        <v>APAGADO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 t="str">
        <f>'RESUMEN TOTAL'!AF329</f>
        <v>APAGADO</v>
      </c>
      <c r="X326" t="str">
        <f>'RESUMEN TOTAL'!AG329</f>
        <v>APAGADO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 t="str">
        <f>'RESUMEN TOTAL'!Y330</f>
        <v>APAGADO</v>
      </c>
      <c r="Q327">
        <f>'RESUMEN TOTAL'!Z330</f>
        <v>0</v>
      </c>
      <c r="R327" t="str">
        <f>'RESUMEN TOTAL'!AA330</f>
        <v>APAGADO</v>
      </c>
      <c r="S327" t="str">
        <f>'RESUMEN TOTAL'!AB330</f>
        <v>APAGADO</v>
      </c>
      <c r="T327" t="str">
        <f>'RESUMEN TOTAL'!AC330</f>
        <v>APAGADO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 t="str">
        <f>'RESUMEN TOTAL'!Y331</f>
        <v>APAGADO</v>
      </c>
      <c r="Q328">
        <f>'RESUMEN TOTAL'!Z331</f>
        <v>0</v>
      </c>
      <c r="R328" t="str">
        <f>'RESUMEN TOTAL'!AA331</f>
        <v>APAGADO</v>
      </c>
      <c r="S328" t="str">
        <f>'RESUMEN TOTAL'!AB331</f>
        <v>APAGADO</v>
      </c>
      <c r="T328" t="str">
        <f>'RESUMEN TOTAL'!AC331</f>
        <v>APAGADO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 t="str">
        <f>'RESUMEN TOTAL'!AF333</f>
        <v>APAGADO</v>
      </c>
      <c r="X330" t="str">
        <f>'RESUMEN TOTAL'!AG333</f>
        <v>APAGADO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>
        <f>'RESUMEN TOTAL'!AE335</f>
        <v>0</v>
      </c>
      <c r="W332" t="str">
        <f>'RESUMEN TOTAL'!AF335</f>
        <v>APAGADO</v>
      </c>
      <c r="X332" t="str">
        <f>'RESUMEN TOTAL'!AG335</f>
        <v>APAGADO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>
        <f>'RESUMEN TOTAL'!AE336</f>
        <v>0</v>
      </c>
      <c r="W333" t="str">
        <f>'RESUMEN TOTAL'!AF336</f>
        <v>APAGADO</v>
      </c>
      <c r="X333" t="str">
        <f>'RESUMEN TOTAL'!AG336</f>
        <v>APAGADO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>
        <f>'RESUMEN TOTAL'!AE352</f>
        <v>0</v>
      </c>
      <c r="W349" t="str">
        <f>'RESUMEN TOTAL'!AF352</f>
        <v>APAGADO</v>
      </c>
      <c r="X349" t="str">
        <f>'RESUMEN TOTAL'!AG352</f>
        <v>APAGADO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>
        <f>'RESUMEN TOTAL'!AE359</f>
        <v>0</v>
      </c>
      <c r="W356" t="str">
        <f>'RESUMEN TOTAL'!AF359</f>
        <v>APAGADO</v>
      </c>
      <c r="X356" t="str">
        <f>'RESUMEN TOTAL'!AG359</f>
        <v>APAGADO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>
        <f>'RESUMEN TOTAL'!AE360</f>
        <v>0</v>
      </c>
      <c r="W357" t="str">
        <f>'RESUMEN TOTAL'!AF360</f>
        <v>APAGADO</v>
      </c>
      <c r="X357" t="str">
        <f>'RESUMEN TOTAL'!AG360</f>
        <v>APAGADO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>
        <f>'RESUMEN TOTAL'!AE361</f>
        <v>0</v>
      </c>
      <c r="W358" t="str">
        <f>'RESUMEN TOTAL'!AF361</f>
        <v>APAGADO</v>
      </c>
      <c r="X358" t="str">
        <f>'RESUMEN TOTAL'!AG361</f>
        <v>APAGADO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>
        <f>'RESUMEN TOTAL'!AE362</f>
        <v>0</v>
      </c>
      <c r="W359" t="str">
        <f>'RESUMEN TOTAL'!AF362</f>
        <v>APAGADO</v>
      </c>
      <c r="X359" t="str">
        <f>'RESUMEN TOTAL'!AG362</f>
        <v>APAGADO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 t="str">
        <f>'RESUMEN TOTAL'!W363</f>
        <v>APAGADO</v>
      </c>
      <c r="O360" t="str">
        <f>'RESUMEN TOTAL'!X363</f>
        <v>APAGADO</v>
      </c>
      <c r="P360" t="str">
        <f>'RESUMEN TOTAL'!Y363</f>
        <v>APAGADO</v>
      </c>
      <c r="Q360" t="str">
        <f>'RESUMEN TOTAL'!Z363</f>
        <v>APAGADO</v>
      </c>
      <c r="R360" t="str">
        <f>'RESUMEN TOTAL'!AA363</f>
        <v>APAGADO</v>
      </c>
      <c r="S360" t="str">
        <f>'RESUMEN TOTAL'!AB363</f>
        <v>APAGADO</v>
      </c>
      <c r="T360" t="str">
        <f>'RESUMEN TOTAL'!AC363</f>
        <v>APAGADO</v>
      </c>
      <c r="U360" t="str">
        <f>'RESUMEN TOTAL'!AD363</f>
        <v>APAGADO</v>
      </c>
      <c r="V360">
        <f>'RESUMEN TOTAL'!AE363</f>
        <v>0</v>
      </c>
      <c r="W360" t="str">
        <f>'RESUMEN TOTAL'!AF363</f>
        <v>APAGADO</v>
      </c>
      <c r="X360" t="str">
        <f>'RESUMEN TOTAL'!AG363</f>
        <v>APAGADO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 t="str">
        <f>'RESUMEN TOTAL'!AF376</f>
        <v>APAGADO</v>
      </c>
      <c r="X373" t="str">
        <f>'RESUMEN TOTAL'!AG376</f>
        <v>APAGADO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932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35</v>
      </c>
      <c r="O1" s="26">
        <f t="shared" si="0"/>
        <v>51</v>
      </c>
      <c r="P1" s="26">
        <f t="shared" si="0"/>
        <v>53</v>
      </c>
      <c r="Q1" s="26">
        <f t="shared" si="0"/>
        <v>52</v>
      </c>
      <c r="R1" s="26">
        <f t="shared" si="0"/>
        <v>55</v>
      </c>
      <c r="S1" s="26">
        <f t="shared" si="0"/>
        <v>39</v>
      </c>
      <c r="T1" s="26">
        <f t="shared" si="0"/>
        <v>40</v>
      </c>
      <c r="U1" s="26">
        <f t="shared" si="0"/>
        <v>59</v>
      </c>
      <c r="V1" s="26">
        <f t="shared" si="0"/>
        <v>0</v>
      </c>
      <c r="W1" s="26">
        <f>COUNTIF(W3:W447, "APAGADO")</f>
        <v>38</v>
      </c>
      <c r="X1" s="26">
        <f t="shared" si="0"/>
        <v>31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 t="str">
        <f>ESTADISTICA!U7</f>
        <v>APAGADO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 t="str">
        <f>ESTADISTICA!U8</f>
        <v>APAGADO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 t="str">
        <f>ESTADISTICA!U9</f>
        <v>APAGADO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 t="str">
        <f>ESTADISTICA!U10</f>
        <v>APAGADO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 t="str">
        <f>ESTADISTICA!U12</f>
        <v>APAGADO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 t="str">
        <f>ESTADISTICA!U13</f>
        <v>APAGADO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 t="str">
        <f>ESTADISTICA!U15</f>
        <v>APAGADO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 t="str">
        <f>ESTADISTICA!U17</f>
        <v>APAGADO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 t="str">
        <f>ESTADISTICA!R19</f>
        <v>APAGADO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 t="str">
        <f>ESTADISTICA!P24</f>
        <v>APAGADO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 t="str">
        <f>ESTADISTICA!O80</f>
        <v>APAGADO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 t="str">
        <f>ESTADISTICA!S86</f>
        <v>APAGADO</v>
      </c>
      <c r="T87" t="str">
        <f>ESTADISTICA!T86</f>
        <v>APAGADO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 t="str">
        <f>ESTADISTICA!T87</f>
        <v>APAGADO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 t="str">
        <f>ESTADISTICA!W104</f>
        <v>APAGADO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 t="str">
        <f>ESTADISTICA!W105</f>
        <v>APAGADO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 t="str">
        <f>ESTADISTICA!W106</f>
        <v>APAGADO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>
        <f>ESTADISTICA!V130</f>
        <v>0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 t="str">
        <f>ESTADISTICA!X133</f>
        <v>APAGADO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 t="str">
        <f>ESTADISTICA!O139</f>
        <v>APAGADO</v>
      </c>
      <c r="P140" t="str">
        <f>ESTADISTICA!P139</f>
        <v>APAGADO</v>
      </c>
      <c r="Q140" t="str">
        <f>ESTADISTICA!Q139</f>
        <v>APAGADO</v>
      </c>
      <c r="R140" t="str">
        <f>ESTADISTICA!R139</f>
        <v>APAGADO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 t="str">
        <f>ESTADISTICA!O140</f>
        <v>APAGADO</v>
      </c>
      <c r="P141" t="str">
        <f>ESTADISTICA!P140</f>
        <v>APAGADO</v>
      </c>
      <c r="Q141" t="str">
        <f>ESTADISTICA!Q140</f>
        <v>APAGADO</v>
      </c>
      <c r="R141" t="str">
        <f>ESTADISTICA!R140</f>
        <v>APAGADO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 t="str">
        <f>ESTADISTICA!O141</f>
        <v>APAGADO</v>
      </c>
      <c r="P142" t="str">
        <f>ESTADISTICA!P141</f>
        <v>APAGADO</v>
      </c>
      <c r="Q142" t="str">
        <f>ESTADISTICA!Q141</f>
        <v>APAGADO</v>
      </c>
      <c r="R142" t="str">
        <f>ESTADISTICA!R141</f>
        <v>APAGADO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 t="str">
        <f>ESTADISTICA!U153</f>
        <v>APAGADO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 t="str">
        <f>ESTADISTICA!U154</f>
        <v>APAGADO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 t="str">
        <f>ESTADISTICA!U155</f>
        <v>APAGADO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 t="str">
        <f>ESTADISTICA!U156</f>
        <v>APAGADO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 t="str">
        <f>ESTADISTICA!U157</f>
        <v>APAGADO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 t="str">
        <f>ESTADISTICA!U158</f>
        <v>APAGADO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 t="str">
        <f>ESTADISTICA!U159</f>
        <v>APAGADO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 t="str">
        <f>ESTADISTICA!U160</f>
        <v>APAGADO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 t="str">
        <f>ESTADISTICA!U161</f>
        <v>APAGADO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 t="str">
        <f>ESTADISTICA!U162</f>
        <v>APAGADO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 t="str">
        <f>ESTADISTICA!U166</f>
        <v>APAGADO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 t="str">
        <f>ESTADISTICA!U167</f>
        <v>APAGADO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 t="str">
        <f>ESTADISTICA!U168</f>
        <v>APAGADO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 t="str">
        <f>ESTADISTICA!U170</f>
        <v>APAGADO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>
        <f>ESTADISTICA!V174</f>
        <v>0</v>
      </c>
      <c r="W175" t="str">
        <f>ESTADISTICA!W174</f>
        <v>APAGADO</v>
      </c>
      <c r="X175" t="str">
        <f>ESTADISTICA!X174</f>
        <v>APAGADO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 t="str">
        <f>ESTADISTICA!U176</f>
        <v>APAGADO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>
        <f>ESTADISTICA!V189</f>
        <v>0</v>
      </c>
      <c r="W190" t="str">
        <f>ESTADISTICA!W189</f>
        <v>APAGADO</v>
      </c>
      <c r="X190" t="str">
        <f>ESTADISTICA!X189</f>
        <v>APAGADO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>
        <f>ESTADISTICA!V203</f>
        <v>0</v>
      </c>
      <c r="W204" t="str">
        <f>ESTADISTICA!W203</f>
        <v>APAGADO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 t="str">
        <f>ESTADISTICA!U204</f>
        <v>APAGADO</v>
      </c>
      <c r="V205">
        <f>ESTADISTICA!V204</f>
        <v>0</v>
      </c>
      <c r="W205" t="str">
        <f>ESTADISTICA!W204</f>
        <v>APAGADO</v>
      </c>
      <c r="X205" t="str">
        <f>ESTADISTICA!X204</f>
        <v>APAGADO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 t="str">
        <f>ESTADISTICA!U206</f>
        <v>APAGADO</v>
      </c>
      <c r="V207">
        <f>ESTADISTICA!V206</f>
        <v>0</v>
      </c>
      <c r="W207" t="str">
        <f>ESTADISTICA!W206</f>
        <v>APAGADO</v>
      </c>
      <c r="X207" t="str">
        <f>ESTADISTICA!X206</f>
        <v>APAGADO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 t="str">
        <f>ESTADISTICA!W207</f>
        <v>APAGADO</v>
      </c>
      <c r="X208" t="str">
        <f>ESTADISTICA!X207</f>
        <v>APAGADO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 t="str">
        <f>ESTADISTICA!P221</f>
        <v>APAGADO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 t="str">
        <f>ESTADISTICA!U227</f>
        <v>APAGADO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>
        <f>ESTADISTICA!V228</f>
        <v>0</v>
      </c>
      <c r="W229" t="str">
        <f>ESTADISTICA!W228</f>
        <v>APAGADO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>
        <f>ESTADISTICA!V229</f>
        <v>0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 t="str">
        <f>ESTADISTICA!P261</f>
        <v>APAGADO</v>
      </c>
      <c r="Q262" t="str">
        <f>ESTADISTICA!Q261</f>
        <v>APAGADO</v>
      </c>
      <c r="R262" t="str">
        <f>ESTADISTICA!R261</f>
        <v>APAGADO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 t="str">
        <f>ESTADISTICA!O262</f>
        <v>APAGADO</v>
      </c>
      <c r="P263" t="str">
        <f>ESTADISTICA!P262</f>
        <v>APAGADO</v>
      </c>
      <c r="Q263" t="str">
        <f>ESTADISTICA!Q262</f>
        <v>APAGADO</v>
      </c>
      <c r="R263" t="str">
        <f>ESTADISTICA!R262</f>
        <v>APAGADO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 t="str">
        <f>ESTADISTICA!P275</f>
        <v>APAGADO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 t="str">
        <f>ESTADISTICA!U285</f>
        <v>APAGADO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 t="str">
        <f>ESTADISTICA!S298</f>
        <v>APAGADO</v>
      </c>
      <c r="T299" t="str">
        <f>ESTADISTICA!T298</f>
        <v>APAGADO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 t="str">
        <f>ESTADISTICA!T300</f>
        <v>APAGADO</v>
      </c>
      <c r="U301" t="str">
        <f>ESTADISTICA!U300</f>
        <v>APAGADO</v>
      </c>
      <c r="V301">
        <f>ESTADISTICA!V300</f>
        <v>0</v>
      </c>
      <c r="W301" t="str">
        <f>ESTADISTICA!W300</f>
        <v>APAGADO</v>
      </c>
      <c r="X301" t="str">
        <f>ESTADISTICA!X300</f>
        <v>APAGADO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 t="str">
        <f>ESTADISTICA!W307</f>
        <v>APAGADO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 t="str">
        <f>ESTADISTICA!W318</f>
        <v>APAGADO</v>
      </c>
      <c r="X319" t="str">
        <f>ESTADISTICA!X318</f>
        <v>APAGADO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 t="str">
        <f>ESTADISTICA!P319</f>
        <v>APAGADO</v>
      </c>
      <c r="Q320" t="str">
        <f>ESTADISTICA!Q319</f>
        <v>APAGADO</v>
      </c>
      <c r="R320" t="str">
        <f>ESTADISTICA!R319</f>
        <v>APAGADO</v>
      </c>
      <c r="S320" t="str">
        <f>ESTADISTICA!S319</f>
        <v>APAGADO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 t="str">
        <f>ESTADISTICA!W322</f>
        <v>APAGADO</v>
      </c>
      <c r="X323" t="str">
        <f>ESTADISTICA!X322</f>
        <v>APAGADO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 t="str">
        <f>ESTADISTICA!W325</f>
        <v>APAGADO</v>
      </c>
      <c r="X326" t="str">
        <f>ESTADISTICA!X325</f>
        <v>APAGADO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 t="str">
        <f>ESTADISTICA!W326</f>
        <v>APAGADO</v>
      </c>
      <c r="X327" t="str">
        <f>ESTADISTICA!X326</f>
        <v>APAGADO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>
        <f>ESTADISTICA!Q327</f>
        <v>0</v>
      </c>
      <c r="R328" t="str">
        <f>ESTADISTICA!R327</f>
        <v>APAGADO</v>
      </c>
      <c r="S328" t="str">
        <f>ESTADISTICA!S327</f>
        <v>APAGADO</v>
      </c>
      <c r="T328" t="str">
        <f>ESTADISTICA!T327</f>
        <v>APAGADO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 t="str">
        <f>ESTADISTICA!S328</f>
        <v>APAGADO</v>
      </c>
      <c r="T329" t="str">
        <f>ESTADISTICA!T328</f>
        <v>APAGADO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 t="str">
        <f>ESTADISTICA!W330</f>
        <v>APAGADO</v>
      </c>
      <c r="X331" t="str">
        <f>ESTADISTICA!X330</f>
        <v>APAGADO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>
        <f>ESTADISTICA!V332</f>
        <v>0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>
        <f>ESTADISTICA!V349</f>
        <v>0</v>
      </c>
      <c r="W350" t="str">
        <f>ESTADISTICA!W349</f>
        <v>APAGADO</v>
      </c>
      <c r="X350" t="str">
        <f>ESTADISTICA!X349</f>
        <v>APAGADO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>
        <f>ESTADISTICA!V356</f>
        <v>0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>
        <f>ESTADISTICA!V357</f>
        <v>0</v>
      </c>
      <c r="W358" t="str">
        <f>ESTADISTICA!W357</f>
        <v>APAGADO</v>
      </c>
      <c r="X358" t="str">
        <f>ESTADISTICA!X357</f>
        <v>APAGADO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>
        <f>ESTADISTICA!V358</f>
        <v>0</v>
      </c>
      <c r="W359" t="str">
        <f>ESTADISTICA!W358</f>
        <v>APAGADO</v>
      </c>
      <c r="X359" t="str">
        <f>ESTADISTICA!X358</f>
        <v>APAGADO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>
        <f>ESTADISTICA!V359</f>
        <v>0</v>
      </c>
      <c r="W360" t="str">
        <f>ESTADISTICA!W359</f>
        <v>APAGADO</v>
      </c>
      <c r="X360" t="str">
        <f>ESTADISTICA!X359</f>
        <v>APAGADO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 t="str">
        <f>ESTADISTICA!T360</f>
        <v>APAGADO</v>
      </c>
      <c r="U361" t="str">
        <f>ESTADISTICA!U360</f>
        <v>APAGADO</v>
      </c>
      <c r="V361">
        <f>ESTADISTICA!V360</f>
        <v>0</v>
      </c>
      <c r="W361" t="str">
        <f>ESTADISTICA!W360</f>
        <v>APAGADO</v>
      </c>
      <c r="X361" t="str">
        <f>ESTADISTICA!X360</f>
        <v>APAGADO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 t="str">
        <f>ESTADISTICA!W373</f>
        <v>APAGADO</v>
      </c>
      <c r="X374" t="str">
        <f>ESTADISTICA!X373</f>
        <v>APAGADO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80" priority="1" operator="equal">
      <formula>0</formula>
    </cfRule>
    <cfRule type="cellIs" dxfId="7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1318</v>
      </c>
      <c r="D1" s="49">
        <f>COUNTIFS(E4:E369,"=Fibra Optica")</f>
        <v>238</v>
      </c>
    </row>
    <row r="2" spans="1:35" ht="21" x14ac:dyDescent="0.35">
      <c r="E2" s="26" t="s">
        <v>932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27</v>
      </c>
      <c r="O2" s="26">
        <f>COUNTIFS(O4:O367, "=APAGADO",E4:E367,"=Fibra Optica")</f>
        <v>38</v>
      </c>
      <c r="P2" s="26">
        <f>COUNTIFS(P4:P367, "=APAGADO",E4:E367,"=Fibra Optica")</f>
        <v>37</v>
      </c>
      <c r="Q2" s="26">
        <f>COUNTIFS(Q4:Q367, "=APAGADO",E4:E367,"=Fibra Optica")</f>
        <v>38</v>
      </c>
      <c r="R2" s="26">
        <f>COUNTIFS(R4:R367, "=APAGADO",E4:E367,"=Fibra Optica")</f>
        <v>41</v>
      </c>
      <c r="S2" s="26">
        <f>COUNTIFS(S4:S367, "=APAGADO",E4:E367,"=Fibra Optica")</f>
        <v>29</v>
      </c>
      <c r="T2" s="26">
        <f>COUNTIFS(T4:T367, "=APAGADO",E4:E367,"=Fibra Optica")</f>
        <v>30</v>
      </c>
      <c r="U2" s="26">
        <f>COUNTIFS(U4:U367, "=APAGADO",E4:E367,"=Fibra Optica")</f>
        <v>46</v>
      </c>
      <c r="V2" s="26">
        <f>COUNTIFS(V4:V367, "=APAGADO",E4:E367,"=Fibra Optica")</f>
        <v>0</v>
      </c>
      <c r="W2" s="26">
        <f>COUNTIFS(W4:W367, "=APAGADO",E4:E367,"=Fibra Optica")</f>
        <v>31</v>
      </c>
      <c r="X2" s="26">
        <f>COUNTIFS(X4:X367, "=APAGADO",E4:E367,"=Fibra Optica")</f>
        <v>25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7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COUNTIFS(E4:E367,"=PTP A FO")</f>
        <v>38</v>
      </c>
    </row>
    <row r="2" spans="1:35" ht="21" x14ac:dyDescent="0.35">
      <c r="E2" s="26" t="s">
        <v>932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2</v>
      </c>
      <c r="O2" s="26">
        <f>COUNTIFS(O4:O367,"APAGADO", E4:E367,"=PTP A FO" )</f>
        <v>6</v>
      </c>
      <c r="P2" s="26">
        <f>COUNTIFS(P4:P367, "=APAGADO",E4:E367,"=PTP A FO")</f>
        <v>6</v>
      </c>
      <c r="Q2" s="26">
        <f>COUNTIFS(Q4:Q367, "=APAGADO",E4:E367,"=PTP A FO")</f>
        <v>6</v>
      </c>
      <c r="R2" s="26">
        <f>COUNTIFS(R4:R367, "=APAGADO",E4:E367,"=PTP A FO")</f>
        <v>6</v>
      </c>
      <c r="S2" s="26">
        <f>COUNTIFS(S4:S367, "=APAGADO",E4:E367,"=PTP A FO")</f>
        <v>2</v>
      </c>
      <c r="T2" s="26">
        <f>COUNTIFS(T4:T367, "=APAGADO",E4:E367,"=PTP A FO")</f>
        <v>2</v>
      </c>
      <c r="U2" s="26">
        <f>COUNTIFS(U4:U367, "=APAGADO",E4:E367,"=PTP A FO")</f>
        <v>8</v>
      </c>
      <c r="V2" s="26">
        <f>COUNTIFS(V4:V367, "=APAGADO",E4:E367,"=PTP A FO")</f>
        <v>0</v>
      </c>
      <c r="W2" s="26">
        <f>COUNTIFS(W4:W367, "=APAGADO",E4:E367,"=PTP A FO")</f>
        <v>2</v>
      </c>
      <c r="X2" s="26">
        <f>COUNTIFS(X4:X367, "=APAGADO",E4:E367,"=PTP A FO")</f>
        <v>2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77" priority="2" operator="containsText" text="APAGADO">
      <formula>NOT(ISERROR(SEARCH("APAGADO",AE3)))</formula>
    </cfRule>
  </conditionalFormatting>
  <conditionalFormatting sqref="F4:AG370 AH4:AI369">
    <cfRule type="containsText" dxfId="7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1320</v>
      </c>
      <c r="D1" s="50">
        <f>COUNTIFS(E4:E367,"=radio")</f>
        <v>88</v>
      </c>
    </row>
    <row r="2" spans="1:35" ht="21" x14ac:dyDescent="0.35">
      <c r="E2" s="26" t="s">
        <v>932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10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8</v>
      </c>
      <c r="T2" s="26">
        <f>COUNTIFS(T4:T367, "=APAGADO",E4:E367,"=radio")</f>
        <v>8</v>
      </c>
      <c r="U2" s="26">
        <f>COUNTIFS(U4:U367, "=APAGADO",E4:E367,"=radio")</f>
        <v>5</v>
      </c>
      <c r="V2" s="26">
        <f>COUNTIFS(V4:V367, "=APAGADO",E4:E367,"=radio")</f>
        <v>0</v>
      </c>
      <c r="W2" s="26">
        <f>COUNTIFS(W4:W367, "=APAGADO",E4:E367,"=radio")</f>
        <v>4</v>
      </c>
      <c r="X2" s="26">
        <f>COUNTIFS(X4:X367, "=APAGADO",E4:E367,"=radio")</f>
        <v>4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 t="str">
        <f>ESTADISTICA!W4</f>
        <v>APAGADO</v>
      </c>
      <c r="X6" t="str">
        <f>ESTADISTICA!X4</f>
        <v>APAGADO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 t="str">
        <f>ESTADISTICA!U12</f>
        <v>APAGADO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 t="str">
        <f>ESTADISTICA!U13</f>
        <v>APAGADO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 t="str">
        <f>ESTADISTICA!T67</f>
        <v>APAGADO</v>
      </c>
      <c r="U69" t="str">
        <f>ESTADISTICA!U67</f>
        <v>APAGADO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 t="str">
        <f>ESTADISTICA!T86</f>
        <v>APAGADO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 t="str">
        <f>ESTADISTICA!T87</f>
        <v>APAGADO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 t="str">
        <f>ESTADISTICA!W103</f>
        <v>APAGADO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 t="str">
        <f>ESTADISTICA!W104</f>
        <v>APAGADO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 t="str">
        <f>ESTADISTICA!W105</f>
        <v>APAGADO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 t="str">
        <f>ESTADISTICA!W106</f>
        <v>APAGADO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 t="str">
        <f>ESTADISTICA!T112</f>
        <v>APAGADO</v>
      </c>
      <c r="U114" t="str">
        <f>ESTADISTICA!U112</f>
        <v>APAGADO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>
        <f>ESTADISTICA!V117</f>
        <v>0</v>
      </c>
      <c r="W119" t="str">
        <f>ESTADISTICA!W117</f>
        <v>APAGADO</v>
      </c>
      <c r="X119" t="str">
        <f>ESTADISTICA!X117</f>
        <v>APAGADO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>
        <f>ESTADISTICA!V118</f>
        <v>0</v>
      </c>
      <c r="W120" t="str">
        <f>ESTADISTICA!W118</f>
        <v>APAGADO</v>
      </c>
      <c r="X120" t="str">
        <f>ESTADISTICA!X118</f>
        <v>APAGADO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 t="str">
        <f>ESTADISTICA!W119</f>
        <v>APAGADO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 t="str">
        <f>ESTADISTICA!W120</f>
        <v>APAGADO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>
        <f>ESTADISTICA!V130</f>
        <v>0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 t="str">
        <f>ESTADISTICA!X133</f>
        <v>APAGADO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 t="str">
        <f>ESTADISTICA!U153</f>
        <v>APAGADO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 t="str">
        <f>ESTADISTICA!U154</f>
        <v>APAGADO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 t="str">
        <f>ESTADISTICA!U155</f>
        <v>APAGADO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 t="str">
        <f>ESTADISTICA!U157</f>
        <v>APAGADO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 t="str">
        <f>ESTADISTICA!U158</f>
        <v>APAGADO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 t="str">
        <f>ESTADISTICA!U159</f>
        <v>APAGADO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 t="str">
        <f>ESTADISTICA!U160</f>
        <v>APAGADO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 t="str">
        <f>ESTADISTICA!U161</f>
        <v>APAGADO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 t="str">
        <f>ESTADISTICA!U162</f>
        <v>APAGADO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>
        <f>ESTADISTICA!V163</f>
        <v>0</v>
      </c>
      <c r="W165" t="str">
        <f>ESTADISTICA!W163</f>
        <v>APAGADO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 t="str">
        <f>ESTADISTICA!U166</f>
        <v>APAGADO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 t="str">
        <f>ESTADISTICA!U167</f>
        <v>APAGADO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>
        <f>ESTADISTICA!V174</f>
        <v>0</v>
      </c>
      <c r="W176" t="str">
        <f>ESTADISTICA!W174</f>
        <v>APAGADO</v>
      </c>
      <c r="X176" t="str">
        <f>ESTADISTICA!X174</f>
        <v>APAGADO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 t="str">
        <f>ESTADISTICA!U176</f>
        <v>APAGADO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>
        <f>ESTADISTICA!V189</f>
        <v>0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>
        <f>ESTADISTICA!V203</f>
        <v>0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 t="str">
        <f>ESTADISTICA!T204</f>
        <v>APAGADO</v>
      </c>
      <c r="U206" t="str">
        <f>ESTADISTICA!U204</f>
        <v>APAGADO</v>
      </c>
      <c r="V206">
        <f>ESTADISTICA!V204</f>
        <v>0</v>
      </c>
      <c r="W206" t="str">
        <f>ESTADISTICA!W204</f>
        <v>APAGADO</v>
      </c>
      <c r="X206" t="str">
        <f>ESTADISTICA!X204</f>
        <v>APAGADO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 t="str">
        <f>ESTADISTICA!T206</f>
        <v>APAGADO</v>
      </c>
      <c r="U208" t="str">
        <f>ESTADISTICA!U206</f>
        <v>APAGADO</v>
      </c>
      <c r="V208">
        <f>ESTADISTICA!V206</f>
        <v>0</v>
      </c>
      <c r="W208" t="str">
        <f>ESTADISTICA!W206</f>
        <v>APAGADO</v>
      </c>
      <c r="X208" t="str">
        <f>ESTADISTICA!X206</f>
        <v>APAGADO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 t="str">
        <f>ESTADISTICA!W207</f>
        <v>APAGADO</v>
      </c>
      <c r="X209" t="str">
        <f>ESTADISTICA!X207</f>
        <v>APAGADO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 t="str">
        <f>ESTADISTICA!U222</f>
        <v>APAGADO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 t="str">
        <f>ESTADISTICA!U227</f>
        <v>APAGADO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>
        <f>ESTADISTICA!V229</f>
        <v>0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 t="str">
        <f>ESTADISTICA!U285</f>
        <v>APAGADO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 t="str">
        <f>ESTADISTICA!T298</f>
        <v>APAGADO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 t="str">
        <f>ESTADISTICA!T299</f>
        <v>APAGADO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 t="str">
        <f>ESTADISTICA!T300</f>
        <v>APAGADO</v>
      </c>
      <c r="U302" t="str">
        <f>ESTADISTICA!U300</f>
        <v>APAGADO</v>
      </c>
      <c r="V302">
        <f>ESTADISTICA!V300</f>
        <v>0</v>
      </c>
      <c r="W302" t="str">
        <f>ESTADISTICA!W300</f>
        <v>APAGADO</v>
      </c>
      <c r="X302" t="str">
        <f>ESTADISTICA!X300</f>
        <v>APAGADO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 t="str">
        <f>ESTADISTICA!W307</f>
        <v>APAGADO</v>
      </c>
      <c r="X309" t="str">
        <f>ESTADISTICA!X307</f>
        <v>APAGADO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 t="str">
        <f>ESTADISTICA!W318</f>
        <v>APAGADO</v>
      </c>
      <c r="X320" t="str">
        <f>ESTADISTICA!X318</f>
        <v>APAGADO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 t="str">
        <f>ESTADISTICA!W322</f>
        <v>APAGADO</v>
      </c>
      <c r="X324" t="str">
        <f>ESTADISTICA!X322</f>
        <v>APAGADO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 t="str">
        <f>ESTADISTICA!W325</f>
        <v>APAGADO</v>
      </c>
      <c r="X327" t="str">
        <f>ESTADISTICA!X325</f>
        <v>APAGADO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 t="str">
        <f>ESTADISTICA!W326</f>
        <v>APAGADO</v>
      </c>
      <c r="X328" t="str">
        <f>ESTADISTICA!X326</f>
        <v>APAGADO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 t="str">
        <f>ESTADISTICA!T327</f>
        <v>APAGADO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 t="str">
        <f>ESTADISTICA!T328</f>
        <v>APAGADO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>
        <f>ESTADISTICA!V332</f>
        <v>0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>
        <f>ESTADISTICA!V333</f>
        <v>0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>
        <f>ESTADISTICA!V349</f>
        <v>0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>
        <f>ESTADISTICA!V357</f>
        <v>0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>
        <f>ESTADISTICA!V358</f>
        <v>0</v>
      </c>
      <c r="W360" t="str">
        <f>ESTADISTICA!W358</f>
        <v>APAGADO</v>
      </c>
      <c r="X360" t="str">
        <f>ESTADISTICA!X358</f>
        <v>APAGADO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>
        <f>ESTADISTICA!V359</f>
        <v>0</v>
      </c>
      <c r="W361" t="str">
        <f>ESTADISTICA!W359</f>
        <v>APAGADO</v>
      </c>
      <c r="X361" t="str">
        <f>ESTADISTICA!X359</f>
        <v>APAGADO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 t="str">
        <f>ESTADISTICA!T360</f>
        <v>APAGADO</v>
      </c>
      <c r="U362" t="str">
        <f>ESTADISTICA!U360</f>
        <v>APAGADO</v>
      </c>
      <c r="V362">
        <f>ESTADISTICA!V360</f>
        <v>0</v>
      </c>
      <c r="W362" t="str">
        <f>ESTADISTICA!W360</f>
        <v>APAGADO</v>
      </c>
      <c r="X362" t="str">
        <f>ESTADISTICA!X360</f>
        <v>APAGADO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75" priority="2" operator="containsText" text="APAGADO">
      <formula>NOT(ISERROR(SEARCH("APAGADO",AE3)))</formula>
    </cfRule>
  </conditionalFormatting>
  <conditionalFormatting sqref="F4:AG370 AH4:AI369">
    <cfRule type="containsText" dxfId="7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933</v>
      </c>
      <c r="B1" t="s">
        <v>20</v>
      </c>
      <c r="C1" t="s">
        <v>934</v>
      </c>
      <c r="D1" t="s">
        <v>1308</v>
      </c>
      <c r="E1" t="s">
        <v>936</v>
      </c>
      <c r="F1" t="s">
        <v>935</v>
      </c>
      <c r="G1" s="59" t="s">
        <v>1345</v>
      </c>
    </row>
    <row r="2" spans="1:7" x14ac:dyDescent="0.25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25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25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25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25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25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25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25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25">
      <c r="A10" s="25">
        <f>'APAGADOS RADIO'!N3</f>
        <v>44721</v>
      </c>
      <c r="B10" s="54">
        <f>'APAGADOS RADIO'!N2+D10</f>
        <v>8</v>
      </c>
      <c r="C10" s="54">
        <f>'APAGADOS FIBRA'!N2</f>
        <v>27</v>
      </c>
      <c r="D10" s="54">
        <f>'APAGADOS ANTENA'!N2</f>
        <v>2</v>
      </c>
      <c r="E10" s="54">
        <f t="shared" ref="E10" si="11">B10+C10</f>
        <v>35</v>
      </c>
      <c r="F10" s="54">
        <f>'RESUMEN TOTAL'!C1</f>
        <v>375</v>
      </c>
      <c r="G10" s="59">
        <f t="shared" ref="G10" si="12">E10/F10</f>
        <v>9.3333333333333338E-2</v>
      </c>
    </row>
    <row r="11" spans="1:7" x14ac:dyDescent="0.25">
      <c r="A11" s="25">
        <f>'APAGADOS RADIO'!O3</f>
        <v>44722</v>
      </c>
      <c r="B11" s="54">
        <f>'APAGADOS RADIO'!O2+D11</f>
        <v>13</v>
      </c>
      <c r="C11" s="54">
        <f>'APAGADOS FIBRA'!O2</f>
        <v>38</v>
      </c>
      <c r="D11" s="54">
        <f>'APAGADOS ANTENA'!O2</f>
        <v>6</v>
      </c>
      <c r="E11" s="54">
        <f t="shared" ref="E11" si="13">B11+C11</f>
        <v>51</v>
      </c>
      <c r="F11" s="54">
        <f>'RESUMEN TOTAL'!C1</f>
        <v>375</v>
      </c>
      <c r="G11" s="59">
        <f t="shared" ref="G11" si="14">E11/F11</f>
        <v>0.13600000000000001</v>
      </c>
    </row>
    <row r="12" spans="1:7" x14ac:dyDescent="0.25">
      <c r="A12" s="25">
        <f>'APAGADOS RADIO'!P3</f>
        <v>44723</v>
      </c>
      <c r="B12" s="54">
        <f>'APAGADOS RADIO'!P2+D12</f>
        <v>16</v>
      </c>
      <c r="C12" s="54">
        <f>'APAGADOS FIBRA'!P2</f>
        <v>37</v>
      </c>
      <c r="D12" s="54">
        <f>'APAGADOS ANTENA'!P2</f>
        <v>6</v>
      </c>
      <c r="E12" s="54">
        <f t="shared" ref="E12:E14" si="15">B12+C12</f>
        <v>53</v>
      </c>
      <c r="F12" s="54">
        <f>'RESUMEN TOTAL'!C1</f>
        <v>375</v>
      </c>
      <c r="G12" s="59">
        <f t="shared" ref="G12:G14" si="16">E12/F12</f>
        <v>0.14133333333333334</v>
      </c>
    </row>
    <row r="13" spans="1:7" x14ac:dyDescent="0.25">
      <c r="A13" s="25">
        <f>'APAGADOS RADIO'!Q3</f>
        <v>44724</v>
      </c>
      <c r="B13" s="54">
        <f>'APAGADOS RADIO'!Q2+D13</f>
        <v>14</v>
      </c>
      <c r="C13" s="54">
        <f>'APAGADOS FIBRA'!Q2</f>
        <v>38</v>
      </c>
      <c r="D13" s="54">
        <f>'APAGADOS ANTENA'!Q2</f>
        <v>6</v>
      </c>
      <c r="E13" s="54">
        <f t="shared" si="15"/>
        <v>52</v>
      </c>
      <c r="F13" s="54">
        <f>'RESUMEN TOTAL'!C1</f>
        <v>375</v>
      </c>
      <c r="G13" s="59">
        <f t="shared" si="16"/>
        <v>0.13866666666666666</v>
      </c>
    </row>
    <row r="14" spans="1:7" x14ac:dyDescent="0.25">
      <c r="A14" s="25">
        <f>'APAGADOS RADIO'!R3</f>
        <v>44725</v>
      </c>
      <c r="B14" s="54">
        <f>'APAGADOS RADIO'!R2+D14</f>
        <v>14</v>
      </c>
      <c r="C14" s="54">
        <f>'APAGADOS FIBRA'!R2</f>
        <v>41</v>
      </c>
      <c r="D14" s="54">
        <f>'APAGADOS ANTENA'!R2</f>
        <v>6</v>
      </c>
      <c r="E14" s="54">
        <f t="shared" si="15"/>
        <v>55</v>
      </c>
      <c r="F14" s="54">
        <f>'RESUMEN TOTAL'!C1</f>
        <v>375</v>
      </c>
      <c r="G14" s="59">
        <f t="shared" si="16"/>
        <v>0.14666666666666667</v>
      </c>
    </row>
    <row r="15" spans="1:7" x14ac:dyDescent="0.25">
      <c r="A15" s="25">
        <f>'APAGADOS RADIO'!S3</f>
        <v>44726</v>
      </c>
      <c r="B15" s="54"/>
      <c r="C15" s="54"/>
      <c r="D15" s="54"/>
      <c r="E15" s="54"/>
    </row>
    <row r="16" spans="1:7" x14ac:dyDescent="0.25">
      <c r="A16" s="25">
        <f>'APAGADOS RADIO'!T3</f>
        <v>44727</v>
      </c>
      <c r="B16" s="54"/>
      <c r="C16" s="54"/>
      <c r="D16" s="54"/>
      <c r="E16" s="54"/>
    </row>
    <row r="17" spans="1:5" x14ac:dyDescent="0.25">
      <c r="A17" s="25">
        <f>'APAGADOS RADIO'!U3</f>
        <v>44728</v>
      </c>
      <c r="B17" s="54"/>
      <c r="C17" s="54"/>
      <c r="D17" s="54"/>
      <c r="E17" s="54"/>
    </row>
    <row r="18" spans="1:5" x14ac:dyDescent="0.25">
      <c r="A18" s="25">
        <f>'APAGADOS RADIO'!V3</f>
        <v>44729</v>
      </c>
      <c r="B18" s="54"/>
      <c r="C18" s="54"/>
      <c r="D18" s="54"/>
      <c r="E18" s="54"/>
    </row>
    <row r="19" spans="1:5" x14ac:dyDescent="0.25">
      <c r="A19" s="25">
        <f>'APAGADOS RADIO'!W3</f>
        <v>44730</v>
      </c>
      <c r="B19" s="54"/>
      <c r="C19" s="54"/>
      <c r="D19" s="54"/>
      <c r="E19" s="54"/>
    </row>
    <row r="20" spans="1:5" x14ac:dyDescent="0.25">
      <c r="A20" s="25">
        <f>'APAGADOS RADIO'!X3</f>
        <v>44731</v>
      </c>
      <c r="B20" s="54"/>
      <c r="C20" s="54"/>
      <c r="D20" s="54"/>
      <c r="E20" s="54"/>
    </row>
    <row r="21" spans="1:5" x14ac:dyDescent="0.25">
      <c r="A21" s="25">
        <f>'APAGADOS RADIO'!Y3</f>
        <v>44732</v>
      </c>
      <c r="B21" s="54"/>
      <c r="C21" s="54"/>
      <c r="D21" s="54"/>
      <c r="E21" s="54"/>
    </row>
    <row r="22" spans="1:5" x14ac:dyDescent="0.25">
      <c r="A22" s="25">
        <f>'APAGADOS RADIO'!Z3</f>
        <v>44733</v>
      </c>
      <c r="B22" s="54"/>
      <c r="C22" s="54"/>
      <c r="D22" s="54"/>
      <c r="E22" s="54"/>
    </row>
    <row r="23" spans="1:5" x14ac:dyDescent="0.25">
      <c r="A23" s="25">
        <f>'APAGADOS RADIO'!AA3</f>
        <v>44734</v>
      </c>
      <c r="B23" s="54"/>
      <c r="C23" s="54"/>
      <c r="D23" s="54"/>
      <c r="E23" s="54"/>
    </row>
    <row r="24" spans="1:5" x14ac:dyDescent="0.25">
      <c r="A24" s="25">
        <f>'APAGADOS RADIO'!AB3</f>
        <v>44735</v>
      </c>
      <c r="B24" s="54"/>
      <c r="C24" s="54"/>
      <c r="D24" s="54"/>
      <c r="E24" s="54"/>
    </row>
    <row r="25" spans="1:5" x14ac:dyDescent="0.25">
      <c r="A25" s="25">
        <f>'APAGADOS RADIO'!AC3</f>
        <v>44736</v>
      </c>
      <c r="B25" s="54"/>
      <c r="C25" s="54"/>
      <c r="D25" s="54"/>
      <c r="E25" s="54"/>
    </row>
    <row r="26" spans="1:5" x14ac:dyDescent="0.25">
      <c r="A26" s="25">
        <f>'APAGADOS RADIO'!AD3</f>
        <v>44737</v>
      </c>
      <c r="B26" s="54"/>
      <c r="C26" s="54"/>
      <c r="D26" s="54"/>
      <c r="E26" s="54"/>
    </row>
    <row r="27" spans="1:5" x14ac:dyDescent="0.25">
      <c r="A27" s="25">
        <f>'APAGADOS RADIO'!AE3</f>
        <v>44738</v>
      </c>
      <c r="B27" s="54"/>
      <c r="C27" s="54"/>
      <c r="D27" s="54"/>
      <c r="E27" s="54"/>
    </row>
    <row r="28" spans="1:5" x14ac:dyDescent="0.25">
      <c r="A28" s="25">
        <f>'APAGADOS RADIO'!AF3</f>
        <v>44739</v>
      </c>
      <c r="B28" s="54"/>
      <c r="C28" s="54"/>
      <c r="D28" s="54"/>
      <c r="E28" s="54"/>
    </row>
    <row r="29" spans="1:5" x14ac:dyDescent="0.25">
      <c r="A29" s="25">
        <f>'APAGADOS RADIO'!AG3</f>
        <v>44740</v>
      </c>
      <c r="B29" s="54"/>
      <c r="C29" s="54"/>
      <c r="D29" s="54"/>
      <c r="E29" s="54"/>
    </row>
    <row r="30" spans="1:5" x14ac:dyDescent="0.25">
      <c r="A30" s="25">
        <f>'APAGADOS RADIO'!AH3</f>
        <v>44741</v>
      </c>
      <c r="B30" s="54"/>
      <c r="C30" s="54"/>
      <c r="D30" s="54"/>
      <c r="E30" s="54"/>
    </row>
    <row r="31" spans="1:5" x14ac:dyDescent="0.25">
      <c r="A31" s="25">
        <f>'APAGADOS RADIO'!AI3</f>
        <v>44742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38"/>
  <sheetViews>
    <sheetView topLeftCell="A13" workbookViewId="0">
      <selection activeCell="E27" sqref="E27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1350</v>
      </c>
      <c r="D1" s="69" t="s">
        <v>1351</v>
      </c>
    </row>
    <row r="2" spans="1:13" ht="16.5" thickTop="1" thickBot="1" x14ac:dyDescent="0.3">
      <c r="A2" s="66" t="s">
        <v>1347</v>
      </c>
      <c r="B2" s="77">
        <v>375</v>
      </c>
      <c r="C2" s="73"/>
      <c r="D2" s="70"/>
      <c r="E2" s="102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3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970</v>
      </c>
      <c r="L3" s="83" t="s">
        <v>1356</v>
      </c>
      <c r="M3" s="99">
        <v>44715</v>
      </c>
    </row>
    <row r="4" spans="1:13" x14ac:dyDescent="0.25">
      <c r="A4" s="67" t="s">
        <v>1349</v>
      </c>
      <c r="B4" s="78">
        <v>4</v>
      </c>
      <c r="C4" s="74">
        <f>B3-B4</f>
        <v>79</v>
      </c>
      <c r="D4" s="71">
        <f>C4/B2</f>
        <v>0.21066666666666667</v>
      </c>
      <c r="E4" s="103"/>
      <c r="G4" s="84" t="s">
        <v>551</v>
      </c>
      <c r="H4" s="85" t="s">
        <v>552</v>
      </c>
      <c r="I4" s="85" t="s">
        <v>19</v>
      </c>
      <c r="J4" s="85" t="s">
        <v>36</v>
      </c>
      <c r="K4" s="86" t="s">
        <v>1149</v>
      </c>
      <c r="L4" s="87" t="s">
        <v>1357</v>
      </c>
      <c r="M4" s="100"/>
    </row>
    <row r="5" spans="1:13" x14ac:dyDescent="0.25">
      <c r="A5" s="67" t="s">
        <v>1348</v>
      </c>
      <c r="B5" s="78">
        <v>3</v>
      </c>
      <c r="C5" s="74">
        <f>C4-B5</f>
        <v>76</v>
      </c>
      <c r="D5" s="71">
        <f>C5/B2</f>
        <v>0.20266666666666666</v>
      </c>
      <c r="E5" s="103"/>
      <c r="G5" s="84" t="s">
        <v>553</v>
      </c>
      <c r="H5" s="85" t="s">
        <v>552</v>
      </c>
      <c r="I5" s="85" t="s">
        <v>113</v>
      </c>
      <c r="J5" s="85" t="s">
        <v>36</v>
      </c>
      <c r="K5" s="86" t="s">
        <v>1148</v>
      </c>
      <c r="L5" s="87" t="s">
        <v>1357</v>
      </c>
      <c r="M5" s="100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4"/>
      <c r="G6" s="88" t="s">
        <v>518</v>
      </c>
      <c r="H6" s="89" t="s">
        <v>517</v>
      </c>
      <c r="I6" s="89" t="s">
        <v>113</v>
      </c>
      <c r="J6" s="89" t="s">
        <v>36</v>
      </c>
      <c r="K6" s="90" t="s">
        <v>1134</v>
      </c>
      <c r="L6" s="91" t="s">
        <v>1358</v>
      </c>
      <c r="M6" s="101"/>
    </row>
    <row r="7" spans="1:13" ht="15" customHeight="1" thickTop="1" thickBot="1" x14ac:dyDescent="0.3">
      <c r="A7" s="66" t="s">
        <v>1347</v>
      </c>
      <c r="B7" s="77">
        <v>375</v>
      </c>
      <c r="C7" s="73"/>
      <c r="D7" s="70"/>
      <c r="E7" s="102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3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970</v>
      </c>
      <c r="L8" s="83" t="s">
        <v>1356</v>
      </c>
      <c r="M8" s="99">
        <v>44718</v>
      </c>
    </row>
    <row r="9" spans="1:13" x14ac:dyDescent="0.25">
      <c r="A9" s="67" t="s">
        <v>1349</v>
      </c>
      <c r="B9" s="78">
        <v>5</v>
      </c>
      <c r="C9" s="74">
        <f>B8-B9</f>
        <v>58</v>
      </c>
      <c r="D9" s="71">
        <f>C9/B7</f>
        <v>0.15466666666666667</v>
      </c>
      <c r="E9" s="103"/>
      <c r="G9" s="84" t="s">
        <v>544</v>
      </c>
      <c r="H9" s="85" t="s">
        <v>545</v>
      </c>
      <c r="I9" s="85" t="s">
        <v>19</v>
      </c>
      <c r="J9" s="85" t="s">
        <v>942</v>
      </c>
      <c r="K9" s="86" t="s">
        <v>1146</v>
      </c>
      <c r="L9" s="87" t="s">
        <v>1357</v>
      </c>
      <c r="M9" s="100"/>
    </row>
    <row r="10" spans="1:13" x14ac:dyDescent="0.25">
      <c r="A10" s="67" t="s">
        <v>1348</v>
      </c>
      <c r="B10" s="78">
        <v>3</v>
      </c>
      <c r="C10" s="74">
        <f>C9-B10</f>
        <v>55</v>
      </c>
      <c r="D10" s="71">
        <f>C10/B7</f>
        <v>0.14666666666666667</v>
      </c>
      <c r="E10" s="103"/>
      <c r="G10" s="84" t="s">
        <v>551</v>
      </c>
      <c r="H10" s="85" t="s">
        <v>552</v>
      </c>
      <c r="I10" s="85" t="s">
        <v>19</v>
      </c>
      <c r="J10" s="85" t="s">
        <v>36</v>
      </c>
      <c r="K10" s="86" t="s">
        <v>1149</v>
      </c>
      <c r="L10" s="87" t="s">
        <v>1357</v>
      </c>
      <c r="M10" s="100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4"/>
      <c r="G11" s="84" t="s">
        <v>553</v>
      </c>
      <c r="H11" s="85" t="s">
        <v>552</v>
      </c>
      <c r="I11" s="85" t="s">
        <v>113</v>
      </c>
      <c r="J11" s="85" t="s">
        <v>36</v>
      </c>
      <c r="K11" s="86" t="s">
        <v>1148</v>
      </c>
      <c r="L11" s="87" t="s">
        <v>1357</v>
      </c>
      <c r="M11" s="100"/>
    </row>
    <row r="12" spans="1:13" ht="15.75" thickTop="1" x14ac:dyDescent="0.25">
      <c r="A12" s="66" t="s">
        <v>1347</v>
      </c>
      <c r="B12" s="77">
        <v>375</v>
      </c>
      <c r="C12" s="73"/>
      <c r="D12" s="70"/>
      <c r="E12" s="102">
        <v>44719</v>
      </c>
      <c r="G12" s="84" t="s">
        <v>518</v>
      </c>
      <c r="H12" s="85" t="s">
        <v>517</v>
      </c>
      <c r="I12" s="85" t="s">
        <v>113</v>
      </c>
      <c r="J12" s="85" t="s">
        <v>36</v>
      </c>
      <c r="K12" s="86" t="s">
        <v>1134</v>
      </c>
      <c r="L12" s="87" t="s">
        <v>1358</v>
      </c>
      <c r="M12" s="100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3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1349</v>
      </c>
      <c r="B14" s="78">
        <v>6</v>
      </c>
      <c r="C14" s="74">
        <f>B13-B14</f>
        <v>56</v>
      </c>
      <c r="D14" s="71">
        <f>C14/B12</f>
        <v>0.14933333333333335</v>
      </c>
      <c r="E14" s="103"/>
    </row>
    <row r="15" spans="1:13" ht="15" customHeight="1" thickBot="1" x14ac:dyDescent="0.3">
      <c r="A15" s="67" t="s">
        <v>1348</v>
      </c>
      <c r="B15" s="78">
        <v>3</v>
      </c>
      <c r="C15" s="74">
        <f>C14-B15</f>
        <v>53</v>
      </c>
      <c r="D15" s="71">
        <f>C15/B12</f>
        <v>0.14133333333333334</v>
      </c>
      <c r="E15" s="103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4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970</v>
      </c>
      <c r="L16" s="83" t="s">
        <v>1356</v>
      </c>
      <c r="M16" s="105">
        <v>44719</v>
      </c>
    </row>
    <row r="17" spans="1:13" ht="15.75" thickTop="1" x14ac:dyDescent="0.25">
      <c r="A17" s="66" t="s">
        <v>1347</v>
      </c>
      <c r="B17" s="77">
        <v>375</v>
      </c>
      <c r="C17" s="73"/>
      <c r="D17" s="70"/>
      <c r="E17" s="102">
        <v>44720</v>
      </c>
      <c r="G17" s="84" t="s">
        <v>544</v>
      </c>
      <c r="H17" s="85" t="s">
        <v>545</v>
      </c>
      <c r="I17" s="85" t="s">
        <v>19</v>
      </c>
      <c r="J17" s="85" t="s">
        <v>942</v>
      </c>
      <c r="K17" s="86" t="s">
        <v>1146</v>
      </c>
      <c r="L17" s="87" t="s">
        <v>1357</v>
      </c>
      <c r="M17" s="106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3"/>
      <c r="G18" s="84" t="s">
        <v>551</v>
      </c>
      <c r="H18" s="85" t="s">
        <v>552</v>
      </c>
      <c r="I18" s="85" t="s">
        <v>19</v>
      </c>
      <c r="J18" s="85" t="s">
        <v>36</v>
      </c>
      <c r="K18" s="86" t="s">
        <v>1149</v>
      </c>
      <c r="L18" s="87" t="s">
        <v>1357</v>
      </c>
      <c r="M18" s="106"/>
    </row>
    <row r="19" spans="1:13" x14ac:dyDescent="0.25">
      <c r="A19" s="67" t="s">
        <v>1349</v>
      </c>
      <c r="B19" s="78">
        <v>6</v>
      </c>
      <c r="C19" s="74">
        <f>B18-B19</f>
        <v>38</v>
      </c>
      <c r="D19" s="71">
        <f>C19/B17</f>
        <v>0.10133333333333333</v>
      </c>
      <c r="E19" s="103"/>
      <c r="G19" s="84" t="s">
        <v>553</v>
      </c>
      <c r="H19" s="85" t="s">
        <v>552</v>
      </c>
      <c r="I19" s="85" t="s">
        <v>113</v>
      </c>
      <c r="J19" s="85" t="s">
        <v>36</v>
      </c>
      <c r="K19" s="86" t="s">
        <v>1148</v>
      </c>
      <c r="L19" s="87" t="s">
        <v>1357</v>
      </c>
      <c r="M19" s="106"/>
    </row>
    <row r="20" spans="1:13" x14ac:dyDescent="0.25">
      <c r="A20" s="67" t="s">
        <v>1348</v>
      </c>
      <c r="B20" s="78">
        <v>3</v>
      </c>
      <c r="C20" s="74">
        <f>C19-B20</f>
        <v>35</v>
      </c>
      <c r="D20" s="71">
        <f>C20/B17</f>
        <v>9.3333333333333338E-2</v>
      </c>
      <c r="E20" s="103"/>
      <c r="G20" s="84" t="s">
        <v>518</v>
      </c>
      <c r="H20" s="85" t="s">
        <v>517</v>
      </c>
      <c r="I20" s="85" t="s">
        <v>113</v>
      </c>
      <c r="J20" s="85" t="s">
        <v>36</v>
      </c>
      <c r="K20" s="86" t="s">
        <v>1134</v>
      </c>
      <c r="L20" s="87" t="s">
        <v>1358</v>
      </c>
      <c r="M20" s="106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4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1340</v>
      </c>
      <c r="L21" s="96" t="s">
        <v>1358</v>
      </c>
      <c r="M21" s="107"/>
    </row>
    <row r="22" spans="1:13" ht="15.75" thickTop="1" x14ac:dyDescent="0.25">
      <c r="A22" s="66" t="s">
        <v>1347</v>
      </c>
      <c r="B22" s="77">
        <v>375</v>
      </c>
      <c r="C22" s="73"/>
      <c r="D22" s="70"/>
      <c r="E22" s="102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3"/>
    </row>
    <row r="24" spans="1:13" ht="15.75" thickTop="1" x14ac:dyDescent="0.25">
      <c r="A24" s="67" t="s">
        <v>1349</v>
      </c>
      <c r="B24" s="78">
        <v>7</v>
      </c>
      <c r="C24" s="74">
        <f>B23-B24</f>
        <v>44</v>
      </c>
      <c r="D24" s="71">
        <f>C24/B22</f>
        <v>0.11733333333333333</v>
      </c>
      <c r="E24" s="103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970</v>
      </c>
      <c r="L24" s="83" t="s">
        <v>1356</v>
      </c>
      <c r="M24" s="105">
        <v>44720</v>
      </c>
    </row>
    <row r="25" spans="1:13" x14ac:dyDescent="0.25">
      <c r="A25" s="67" t="s">
        <v>1348</v>
      </c>
      <c r="B25" s="78">
        <v>3</v>
      </c>
      <c r="C25" s="74">
        <f>C24-B25</f>
        <v>41</v>
      </c>
      <c r="D25" s="71">
        <f>C25/B22</f>
        <v>0.10933333333333334</v>
      </c>
      <c r="E25" s="103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1340</v>
      </c>
      <c r="L25" s="87" t="s">
        <v>1362</v>
      </c>
      <c r="M25" s="106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4"/>
      <c r="G26" s="84" t="s">
        <v>544</v>
      </c>
      <c r="H26" s="85" t="s">
        <v>545</v>
      </c>
      <c r="I26" s="85" t="s">
        <v>19</v>
      </c>
      <c r="J26" s="85" t="s">
        <v>942</v>
      </c>
      <c r="K26" s="86" t="s">
        <v>1146</v>
      </c>
      <c r="L26" s="87" t="s">
        <v>1357</v>
      </c>
      <c r="M26" s="106"/>
    </row>
    <row r="27" spans="1:13" ht="15.75" thickTop="1" x14ac:dyDescent="0.25">
      <c r="G27" s="84" t="s">
        <v>551</v>
      </c>
      <c r="H27" s="85" t="s">
        <v>552</v>
      </c>
      <c r="I27" s="85" t="s">
        <v>19</v>
      </c>
      <c r="J27" s="85" t="s">
        <v>36</v>
      </c>
      <c r="K27" s="86" t="s">
        <v>1149</v>
      </c>
      <c r="L27" s="87" t="s">
        <v>1357</v>
      </c>
      <c r="M27" s="106"/>
    </row>
    <row r="28" spans="1:13" x14ac:dyDescent="0.25">
      <c r="G28" s="84" t="s">
        <v>553</v>
      </c>
      <c r="H28" s="85" t="s">
        <v>552</v>
      </c>
      <c r="I28" s="85" t="s">
        <v>113</v>
      </c>
      <c r="J28" s="85" t="s">
        <v>36</v>
      </c>
      <c r="K28" s="86" t="s">
        <v>1148</v>
      </c>
      <c r="L28" s="87" t="s">
        <v>1357</v>
      </c>
      <c r="M28" s="106"/>
    </row>
    <row r="29" spans="1:13" ht="15.75" thickBot="1" x14ac:dyDescent="0.3">
      <c r="G29" s="94" t="s">
        <v>518</v>
      </c>
      <c r="H29" s="95" t="s">
        <v>517</v>
      </c>
      <c r="I29" s="95" t="s">
        <v>113</v>
      </c>
      <c r="J29" s="95" t="s">
        <v>36</v>
      </c>
      <c r="K29" s="95" t="s">
        <v>1134</v>
      </c>
      <c r="L29" s="96" t="s">
        <v>1358</v>
      </c>
      <c r="M29" s="107"/>
    </row>
    <row r="30" spans="1:13" ht="15.75" thickTop="1" x14ac:dyDescent="0.25"/>
    <row r="32" spans="1:13" x14ac:dyDescent="0.25"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944</v>
      </c>
      <c r="L32" s="97" t="s">
        <v>1363</v>
      </c>
    </row>
    <row r="33" spans="7:12" x14ac:dyDescent="0.25"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1340</v>
      </c>
      <c r="L33" s="97" t="s">
        <v>1362</v>
      </c>
    </row>
    <row r="34" spans="7:12" x14ac:dyDescent="0.25">
      <c r="G34" s="55" t="s">
        <v>318</v>
      </c>
      <c r="H34" s="54" t="s">
        <v>319</v>
      </c>
      <c r="I34" s="54" t="s">
        <v>24</v>
      </c>
      <c r="J34" s="54" t="s">
        <v>36</v>
      </c>
      <c r="K34" s="16" t="s">
        <v>1052</v>
      </c>
      <c r="L34" s="97" t="s">
        <v>1364</v>
      </c>
    </row>
    <row r="35" spans="7:12" x14ac:dyDescent="0.25">
      <c r="G35" s="55" t="s">
        <v>544</v>
      </c>
      <c r="H35" s="54" t="s">
        <v>545</v>
      </c>
      <c r="I35" s="54" t="s">
        <v>19</v>
      </c>
      <c r="J35" s="54" t="s">
        <v>942</v>
      </c>
      <c r="K35" s="16" t="s">
        <v>1146</v>
      </c>
      <c r="L35" s="97" t="s">
        <v>1357</v>
      </c>
    </row>
    <row r="36" spans="7:12" x14ac:dyDescent="0.25">
      <c r="G36" s="55" t="s">
        <v>551</v>
      </c>
      <c r="H36" s="54" t="s">
        <v>552</v>
      </c>
      <c r="I36" s="54" t="s">
        <v>19</v>
      </c>
      <c r="J36" s="54" t="s">
        <v>36</v>
      </c>
      <c r="K36" s="16" t="s">
        <v>1149</v>
      </c>
      <c r="L36" s="97" t="s">
        <v>1357</v>
      </c>
    </row>
    <row r="37" spans="7:12" x14ac:dyDescent="0.25">
      <c r="G37" s="55" t="s">
        <v>553</v>
      </c>
      <c r="H37" s="54" t="s">
        <v>552</v>
      </c>
      <c r="I37" s="54" t="s">
        <v>113</v>
      </c>
      <c r="J37" s="54" t="s">
        <v>36</v>
      </c>
      <c r="K37" s="16" t="s">
        <v>1148</v>
      </c>
      <c r="L37" s="97" t="s">
        <v>1357</v>
      </c>
    </row>
    <row r="38" spans="7:12" x14ac:dyDescent="0.25">
      <c r="G38" s="55" t="s">
        <v>518</v>
      </c>
      <c r="H38" s="54" t="s">
        <v>517</v>
      </c>
      <c r="I38" s="54" t="s">
        <v>113</v>
      </c>
      <c r="J38" s="54" t="s">
        <v>36</v>
      </c>
      <c r="K38" s="16" t="s">
        <v>1134</v>
      </c>
      <c r="L38" s="98" t="s">
        <v>1358</v>
      </c>
    </row>
  </sheetData>
  <mergeCells count="9">
    <mergeCell ref="M3:M6"/>
    <mergeCell ref="M8:M12"/>
    <mergeCell ref="E22:E26"/>
    <mergeCell ref="E2:E6"/>
    <mergeCell ref="E7:E11"/>
    <mergeCell ref="E12:E16"/>
    <mergeCell ref="E17:E21"/>
    <mergeCell ref="M16:M21"/>
    <mergeCell ref="M24:M29"/>
  </mergeCells>
  <conditionalFormatting sqref="I3:L6">
    <cfRule type="containsText" dxfId="73" priority="161" operator="containsText" text="Radio">
      <formula>NOT(ISERROR(SEARCH("Radio",I3)))</formula>
    </cfRule>
  </conditionalFormatting>
  <conditionalFormatting sqref="I6">
    <cfRule type="containsText" dxfId="72" priority="159" operator="containsText" text="fija">
      <formula>NOT(ISERROR(SEARCH("fija",I6)))</formula>
    </cfRule>
    <cfRule type="containsText" dxfId="71" priority="160" operator="containsText" text="domo">
      <formula>NOT(ISERROR(SEARCH("domo",I6)))</formula>
    </cfRule>
  </conditionalFormatting>
  <conditionalFormatting sqref="J6">
    <cfRule type="cellIs" dxfId="70" priority="158" operator="equal">
      <formula>"PTP A FO"</formula>
    </cfRule>
  </conditionalFormatting>
  <conditionalFormatting sqref="I3">
    <cfRule type="containsText" dxfId="69" priority="156" operator="containsText" text="fija">
      <formula>NOT(ISERROR(SEARCH("fija",I3)))</formula>
    </cfRule>
    <cfRule type="containsText" dxfId="68" priority="157" operator="containsText" text="domo">
      <formula>NOT(ISERROR(SEARCH("domo",I3)))</formula>
    </cfRule>
  </conditionalFormatting>
  <conditionalFormatting sqref="J3">
    <cfRule type="cellIs" dxfId="67" priority="155" operator="equal">
      <formula>"PTP A FO"</formula>
    </cfRule>
  </conditionalFormatting>
  <conditionalFormatting sqref="I4:I5">
    <cfRule type="containsText" dxfId="66" priority="153" operator="containsText" text="fija">
      <formula>NOT(ISERROR(SEARCH("fija",I4)))</formula>
    </cfRule>
    <cfRule type="containsText" dxfId="65" priority="154" operator="containsText" text="domo">
      <formula>NOT(ISERROR(SEARCH("domo",I4)))</formula>
    </cfRule>
  </conditionalFormatting>
  <conditionalFormatting sqref="J4:J5">
    <cfRule type="cellIs" dxfId="64" priority="152" operator="equal">
      <formula>"PTP A FO"</formula>
    </cfRule>
  </conditionalFormatting>
  <conditionalFormatting sqref="I8:L11 L12">
    <cfRule type="containsText" dxfId="63" priority="116" operator="containsText" text="Radio">
      <formula>NOT(ISERROR(SEARCH("Radio",I8)))</formula>
    </cfRule>
  </conditionalFormatting>
  <conditionalFormatting sqref="I11">
    <cfRule type="containsText" dxfId="62" priority="114" operator="containsText" text="fija">
      <formula>NOT(ISERROR(SEARCH("fija",I11)))</formula>
    </cfRule>
    <cfRule type="containsText" dxfId="61" priority="115" operator="containsText" text="domo">
      <formula>NOT(ISERROR(SEARCH("domo",I11)))</formula>
    </cfRule>
  </conditionalFormatting>
  <conditionalFormatting sqref="J11">
    <cfRule type="cellIs" dxfId="60" priority="113" operator="equal">
      <formula>"PTP A FO"</formula>
    </cfRule>
  </conditionalFormatting>
  <conditionalFormatting sqref="I8">
    <cfRule type="containsText" dxfId="59" priority="111" operator="containsText" text="fija">
      <formula>NOT(ISERROR(SEARCH("fija",I8)))</formula>
    </cfRule>
    <cfRule type="containsText" dxfId="58" priority="112" operator="containsText" text="domo">
      <formula>NOT(ISERROR(SEARCH("domo",I8)))</formula>
    </cfRule>
  </conditionalFormatting>
  <conditionalFormatting sqref="J8">
    <cfRule type="cellIs" dxfId="57" priority="110" operator="equal">
      <formula>"PTP A FO"</formula>
    </cfRule>
  </conditionalFormatting>
  <conditionalFormatting sqref="I9:I10">
    <cfRule type="containsText" dxfId="56" priority="108" operator="containsText" text="fija">
      <formula>NOT(ISERROR(SEARCH("fija",I9)))</formula>
    </cfRule>
    <cfRule type="containsText" dxfId="55" priority="109" operator="containsText" text="domo">
      <formula>NOT(ISERROR(SEARCH("domo",I9)))</formula>
    </cfRule>
  </conditionalFormatting>
  <conditionalFormatting sqref="J9:J10">
    <cfRule type="cellIs" dxfId="54" priority="107" operator="equal">
      <formula>"PTP A FO"</formula>
    </cfRule>
  </conditionalFormatting>
  <conditionalFormatting sqref="I12:K12">
    <cfRule type="containsText" dxfId="53" priority="106" operator="containsText" text="Radio">
      <formula>NOT(ISERROR(SEARCH("Radio",I12)))</formula>
    </cfRule>
  </conditionalFormatting>
  <conditionalFormatting sqref="I12">
    <cfRule type="containsText" dxfId="52" priority="104" operator="containsText" text="fija">
      <formula>NOT(ISERROR(SEARCH("fija",I12)))</formula>
    </cfRule>
    <cfRule type="containsText" dxfId="51" priority="105" operator="containsText" text="domo">
      <formula>NOT(ISERROR(SEARCH("domo",I12)))</formula>
    </cfRule>
  </conditionalFormatting>
  <conditionalFormatting sqref="J12">
    <cfRule type="cellIs" dxfId="50" priority="103" operator="equal">
      <formula>"PTP A FO"</formula>
    </cfRule>
  </conditionalFormatting>
  <conditionalFormatting sqref="I16:L19 L20">
    <cfRule type="containsText" dxfId="49" priority="74" operator="containsText" text="Radio">
      <formula>NOT(ISERROR(SEARCH("Radio",I16)))</formula>
    </cfRule>
  </conditionalFormatting>
  <conditionalFormatting sqref="I19">
    <cfRule type="containsText" dxfId="48" priority="72" operator="containsText" text="fija">
      <formula>NOT(ISERROR(SEARCH("fija",I19)))</formula>
    </cfRule>
    <cfRule type="containsText" dxfId="47" priority="73" operator="containsText" text="domo">
      <formula>NOT(ISERROR(SEARCH("domo",I19)))</formula>
    </cfRule>
  </conditionalFormatting>
  <conditionalFormatting sqref="J19">
    <cfRule type="cellIs" dxfId="46" priority="71" operator="equal">
      <formula>"PTP A FO"</formula>
    </cfRule>
  </conditionalFormatting>
  <conditionalFormatting sqref="I16">
    <cfRule type="containsText" dxfId="45" priority="69" operator="containsText" text="fija">
      <formula>NOT(ISERROR(SEARCH("fija",I16)))</formula>
    </cfRule>
    <cfRule type="containsText" dxfId="44" priority="70" operator="containsText" text="domo">
      <formula>NOT(ISERROR(SEARCH("domo",I16)))</formula>
    </cfRule>
  </conditionalFormatting>
  <conditionalFormatting sqref="J16">
    <cfRule type="cellIs" dxfId="43" priority="68" operator="equal">
      <formula>"PTP A FO"</formula>
    </cfRule>
  </conditionalFormatting>
  <conditionalFormatting sqref="I17:I18">
    <cfRule type="containsText" dxfId="42" priority="66" operator="containsText" text="fija">
      <formula>NOT(ISERROR(SEARCH("fija",I17)))</formula>
    </cfRule>
    <cfRule type="containsText" dxfId="41" priority="67" operator="containsText" text="domo">
      <formula>NOT(ISERROR(SEARCH("domo",I17)))</formula>
    </cfRule>
  </conditionalFormatting>
  <conditionalFormatting sqref="J17:J18">
    <cfRule type="cellIs" dxfId="40" priority="65" operator="equal">
      <formula>"PTP A FO"</formula>
    </cfRule>
  </conditionalFormatting>
  <conditionalFormatting sqref="I20:K20">
    <cfRule type="containsText" dxfId="39" priority="64" operator="containsText" text="Radio">
      <formula>NOT(ISERROR(SEARCH("Radio",I20)))</formula>
    </cfRule>
  </conditionalFormatting>
  <conditionalFormatting sqref="I20">
    <cfRule type="containsText" dxfId="38" priority="62" operator="containsText" text="fija">
      <formula>NOT(ISERROR(SEARCH("fija",I20)))</formula>
    </cfRule>
    <cfRule type="containsText" dxfId="37" priority="63" operator="containsText" text="domo">
      <formula>NOT(ISERROR(SEARCH("domo",I20)))</formula>
    </cfRule>
  </conditionalFormatting>
  <conditionalFormatting sqref="J20">
    <cfRule type="cellIs" dxfId="36" priority="61" operator="equal">
      <formula>"PTP A FO"</formula>
    </cfRule>
  </conditionalFormatting>
  <conditionalFormatting sqref="I24:L27 L28">
    <cfRule type="containsText" dxfId="35" priority="36" operator="containsText" text="Radio">
      <formula>NOT(ISERROR(SEARCH("Radio",I24)))</formula>
    </cfRule>
  </conditionalFormatting>
  <conditionalFormatting sqref="I27">
    <cfRule type="containsText" dxfId="34" priority="34" operator="containsText" text="fija">
      <formula>NOT(ISERROR(SEARCH("fija",I27)))</formula>
    </cfRule>
    <cfRule type="containsText" dxfId="33" priority="35" operator="containsText" text="domo">
      <formula>NOT(ISERROR(SEARCH("domo",I27)))</formula>
    </cfRule>
  </conditionalFormatting>
  <conditionalFormatting sqref="J27">
    <cfRule type="cellIs" dxfId="32" priority="33" operator="equal">
      <formula>"PTP A FO"</formula>
    </cfRule>
  </conditionalFormatting>
  <conditionalFormatting sqref="I24">
    <cfRule type="containsText" dxfId="31" priority="31" operator="containsText" text="fija">
      <formula>NOT(ISERROR(SEARCH("fija",I24)))</formula>
    </cfRule>
    <cfRule type="containsText" dxfId="30" priority="32" operator="containsText" text="domo">
      <formula>NOT(ISERROR(SEARCH("domo",I24)))</formula>
    </cfRule>
  </conditionalFormatting>
  <conditionalFormatting sqref="J24">
    <cfRule type="cellIs" dxfId="29" priority="30" operator="equal">
      <formula>"PTP A FO"</formula>
    </cfRule>
  </conditionalFormatting>
  <conditionalFormatting sqref="I25:I26">
    <cfRule type="containsText" dxfId="28" priority="28" operator="containsText" text="fija">
      <formula>NOT(ISERROR(SEARCH("fija",I25)))</formula>
    </cfRule>
    <cfRule type="containsText" dxfId="27" priority="29" operator="containsText" text="domo">
      <formula>NOT(ISERROR(SEARCH("domo",I25)))</formula>
    </cfRule>
  </conditionalFormatting>
  <conditionalFormatting sqref="J25:J26">
    <cfRule type="cellIs" dxfId="26" priority="27" operator="equal">
      <formula>"PTP A FO"</formula>
    </cfRule>
  </conditionalFormatting>
  <conditionalFormatting sqref="I28:K28">
    <cfRule type="containsText" dxfId="25" priority="26" operator="containsText" text="Radio">
      <formula>NOT(ISERROR(SEARCH("Radio",I28)))</formula>
    </cfRule>
  </conditionalFormatting>
  <conditionalFormatting sqref="I28">
    <cfRule type="containsText" dxfId="24" priority="24" operator="containsText" text="fija">
      <formula>NOT(ISERROR(SEARCH("fija",I28)))</formula>
    </cfRule>
    <cfRule type="containsText" dxfId="23" priority="25" operator="containsText" text="domo">
      <formula>NOT(ISERROR(SEARCH("domo",I28)))</formula>
    </cfRule>
  </conditionalFormatting>
  <conditionalFormatting sqref="J28">
    <cfRule type="cellIs" dxfId="22" priority="23" operator="equal">
      <formula>"PTP A FO"</formula>
    </cfRule>
  </conditionalFormatting>
  <conditionalFormatting sqref="I32:L32 I34:L34">
    <cfRule type="containsText" dxfId="21" priority="22" operator="containsText" text="Radio">
      <formula>NOT(ISERROR(SEARCH("Radio",I32)))</formula>
    </cfRule>
  </conditionalFormatting>
  <conditionalFormatting sqref="I32 I34">
    <cfRule type="containsText" dxfId="20" priority="20" operator="containsText" text="fija">
      <formula>NOT(ISERROR(SEARCH("fija",I32)))</formula>
    </cfRule>
    <cfRule type="containsText" dxfId="19" priority="21" operator="containsText" text="domo">
      <formula>NOT(ISERROR(SEARCH("domo",I32)))</formula>
    </cfRule>
  </conditionalFormatting>
  <conditionalFormatting sqref="J32 L34 J34">
    <cfRule type="cellIs" dxfId="18" priority="19" operator="equal">
      <formula>"PTP A FO"</formula>
    </cfRule>
  </conditionalFormatting>
  <conditionalFormatting sqref="I33:L33">
    <cfRule type="containsText" dxfId="17" priority="18" operator="containsText" text="Radio">
      <formula>NOT(ISERROR(SEARCH("Radio",I33)))</formula>
    </cfRule>
  </conditionalFormatting>
  <conditionalFormatting sqref="I33">
    <cfRule type="containsText" dxfId="16" priority="16" operator="containsText" text="fija">
      <formula>NOT(ISERROR(SEARCH("fija",I33)))</formula>
    </cfRule>
    <cfRule type="containsText" dxfId="15" priority="17" operator="containsText" text="domo">
      <formula>NOT(ISERROR(SEARCH("domo",I33)))</formula>
    </cfRule>
  </conditionalFormatting>
  <conditionalFormatting sqref="J33">
    <cfRule type="cellIs" dxfId="14" priority="15" operator="equal">
      <formula>"PTP A FO"</formula>
    </cfRule>
  </conditionalFormatting>
  <conditionalFormatting sqref="L35">
    <cfRule type="containsText" dxfId="13" priority="14" operator="containsText" text="Radio">
      <formula>NOT(ISERROR(SEARCH("Radio",L35)))</formula>
    </cfRule>
  </conditionalFormatting>
  <conditionalFormatting sqref="L35">
    <cfRule type="cellIs" dxfId="12" priority="13" operator="equal">
      <formula>"PTP A FO"</formula>
    </cfRule>
  </conditionalFormatting>
  <conditionalFormatting sqref="I35:K35">
    <cfRule type="containsText" dxfId="11" priority="12" operator="containsText" text="Radio">
      <formula>NOT(ISERROR(SEARCH("Radio",I35)))</formula>
    </cfRule>
  </conditionalFormatting>
  <conditionalFormatting sqref="I35">
    <cfRule type="containsText" dxfId="10" priority="10" operator="containsText" text="fija">
      <formula>NOT(ISERROR(SEARCH("fija",I35)))</formula>
    </cfRule>
    <cfRule type="containsText" dxfId="9" priority="11" operator="containsText" text="domo">
      <formula>NOT(ISERROR(SEARCH("domo",I35)))</formula>
    </cfRule>
  </conditionalFormatting>
  <conditionalFormatting sqref="J35">
    <cfRule type="cellIs" dxfId="8" priority="9" operator="equal">
      <formula>"PTP A FO"</formula>
    </cfRule>
  </conditionalFormatting>
  <conditionalFormatting sqref="I36:L37">
    <cfRule type="containsText" dxfId="7" priority="8" operator="containsText" text="Radio">
      <formula>NOT(ISERROR(SEARCH("Radio",I36)))</formula>
    </cfRule>
  </conditionalFormatting>
  <conditionalFormatting sqref="I36:I37">
    <cfRule type="containsText" dxfId="6" priority="6" operator="containsText" text="fija">
      <formula>NOT(ISERROR(SEARCH("fija",I36)))</formula>
    </cfRule>
    <cfRule type="containsText" dxfId="5" priority="7" operator="containsText" text="domo">
      <formula>NOT(ISERROR(SEARCH("domo",I36)))</formula>
    </cfRule>
  </conditionalFormatting>
  <conditionalFormatting sqref="J36:J37">
    <cfRule type="cellIs" dxfId="4" priority="5" operator="equal">
      <formula>"PTP A FO"</formula>
    </cfRule>
  </conditionalFormatting>
  <conditionalFormatting sqref="I38:L38">
    <cfRule type="containsText" dxfId="3" priority="4" operator="containsText" text="Radio">
      <formula>NOT(ISERROR(SEARCH("Radio",I38)))</formula>
    </cfRule>
  </conditionalFormatting>
  <conditionalFormatting sqref="I38">
    <cfRule type="containsText" dxfId="2" priority="2" operator="containsText" text="fija">
      <formula>NOT(ISERROR(SEARCH("fija",I38)))</formula>
    </cfRule>
    <cfRule type="containsText" dxfId="1" priority="3" operator="containsText" text="domo">
      <formula>NOT(ISERROR(SEARCH("domo",I38)))</formula>
    </cfRule>
  </conditionalFormatting>
  <conditionalFormatting sqref="J38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2022-06-21T10:27:25Z</dcterms:modified>
</cp:coreProperties>
</file>