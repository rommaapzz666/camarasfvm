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D3DA7CB2-2143-4C67-9AA3-F5CE0AB29E29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24" i="24" l="1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<sst xmlns="http://schemas.openxmlformats.org/spreadsheetml/2006/main" count="3536" uniqueCount="1366">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</sst>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Y350" activePane="bottomRight" state="frozen"/>
      <selection pane="topRight" activeCell="M1" sqref="M1"/>
      <selection pane="bottomLeft" activeCell="A5" sqref="A5"/>
      <selection pane="bottomRight" activeCell="Y364" sqref="Y364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1356</v>
      </c>
      <c r="P5" s="19" t="s">
        <v>1356</v>
      </c>
      <c r="Q5" s="19" t="s">
        <v>1356</v>
      </c>
      <c r="R5" s="19" t="s">
        <v>1356</v>
      </c>
      <c r="S5" s="29" t="s">
        <v>1356</v>
      </c>
      <c r="T5" s="29" t="s">
        <v>1356</v>
      </c>
      <c r="U5" s="19" t="s">
        <v>1356</v>
      </c>
      <c r="V5" s="19" t="s">
        <v>1356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19</v>
      </c>
      <c r="M7" s="17">
        <f t="shared" si="6"/>
        <v>11</v>
      </c>
      <c r="N7" s="18">
        <f t="shared" si="7"/>
        <v>0.6333333333333333</v>
      </c>
      <c r="O7" s="27" t="s">
        <v>1356</v>
      </c>
      <c r="P7" s="8" t="s">
        <v>1356</v>
      </c>
      <c r="Q7" s="8" t="s">
        <v>1356</v>
      </c>
      <c r="R7" s="8" t="s">
        <v>1356</v>
      </c>
      <c r="S7" s="27" t="s">
        <v>1356</v>
      </c>
      <c r="T7" s="27" t="s">
        <v>1356</v>
      </c>
      <c r="U7" s="8" t="s">
        <v>1356</v>
      </c>
      <c r="V7" s="8" t="s">
        <v>1356</v>
      </c>
      <c r="W7" s="8" t="s">
        <v>1356</v>
      </c>
      <c r="X7" s="27" t="s">
        <v>1356</v>
      </c>
      <c r="Y7" s="27" t="s">
        <v>1356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28</v>
      </c>
      <c r="M13" s="17">
        <f t="shared" si="6"/>
        <v>2</v>
      </c>
      <c r="N13" s="18">
        <f t="shared" si="7"/>
        <v>0.93333333333333335</v>
      </c>
      <c r="O13" s="27"/>
      <c r="P13" s="8"/>
      <c r="Q13" s="8"/>
      <c r="R13" s="8"/>
      <c r="S13" s="27"/>
      <c r="T13" s="27"/>
      <c r="U13" s="8"/>
      <c r="V13" s="8"/>
      <c r="W13" s="8" t="s">
        <v>1356</v>
      </c>
      <c r="X13" s="27" t="s">
        <v>1356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1356</v>
      </c>
      <c r="P14" s="8" t="s">
        <v>1356</v>
      </c>
      <c r="Q14" s="8" t="s">
        <v>1356</v>
      </c>
      <c r="R14" s="8"/>
      <c r="S14" s="27" t="s">
        <v>1356</v>
      </c>
      <c r="T14" s="27"/>
      <c r="U14" s="8" t="s">
        <v>1356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21</v>
      </c>
      <c r="M22" s="17">
        <f t="shared" si="6"/>
        <v>9</v>
      </c>
      <c r="N22" s="18">
        <f t="shared" si="7"/>
        <v>0.7</v>
      </c>
      <c r="O22" s="27" t="s">
        <v>1356</v>
      </c>
      <c r="P22" s="8" t="s">
        <v>1356</v>
      </c>
      <c r="Q22" s="8" t="s">
        <v>1356</v>
      </c>
      <c r="R22" s="8" t="s">
        <v>1356</v>
      </c>
      <c r="S22" s="27" t="s">
        <v>1356</v>
      </c>
      <c r="T22" s="27" t="s">
        <v>1356</v>
      </c>
      <c r="U22" s="8" t="s">
        <v>1356</v>
      </c>
      <c r="V22" s="8"/>
      <c r="W22" s="8"/>
      <c r="X22" s="27" t="s">
        <v>1356</v>
      </c>
      <c r="Y22" s="27" t="s">
        <v>1356</v>
      </c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1356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21</v>
      </c>
      <c r="M30" s="17">
        <f t="shared" si="6"/>
        <v>9</v>
      </c>
      <c r="N30" s="18">
        <f t="shared" si="7"/>
        <v>0.7</v>
      </c>
      <c r="O30" s="27" t="s">
        <v>1356</v>
      </c>
      <c r="P30" s="8" t="s">
        <v>1356</v>
      </c>
      <c r="Q30" s="8" t="s">
        <v>1356</v>
      </c>
      <c r="R30" s="8" t="s">
        <v>1356</v>
      </c>
      <c r="S30" s="27" t="s">
        <v>1356</v>
      </c>
      <c r="T30" s="27" t="s">
        <v>1356</v>
      </c>
      <c r="U30" s="8" t="s">
        <v>1356</v>
      </c>
      <c r="V30" s="8"/>
      <c r="W30" s="8"/>
      <c r="X30" s="27" t="s">
        <v>1356</v>
      </c>
      <c r="Y30" s="27" t="s">
        <v>1356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1356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1356</v>
      </c>
      <c r="V36" s="8" t="s">
        <v>1356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1356</v>
      </c>
      <c r="P48" s="8" t="s">
        <v>1356</v>
      </c>
      <c r="Q48" s="8" t="s">
        <v>1356</v>
      </c>
      <c r="R48" s="8" t="s">
        <v>1356</v>
      </c>
      <c r="S48" s="27" t="s">
        <v>1356</v>
      </c>
      <c r="T48" s="27" t="s">
        <v>1356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1356</v>
      </c>
      <c r="P51" s="8" t="s">
        <v>1356</v>
      </c>
      <c r="Q51" s="8" t="s">
        <v>1356</v>
      </c>
      <c r="R51" s="8" t="s">
        <v>1356</v>
      </c>
      <c r="S51" s="27" t="s">
        <v>1356</v>
      </c>
      <c r="T51" s="27" t="s">
        <v>1356</v>
      </c>
      <c r="U51" s="8" t="s">
        <v>1356</v>
      </c>
      <c r="V51" s="8" t="s">
        <v>1356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1356</v>
      </c>
      <c r="P54" s="8" t="s">
        <v>1356</v>
      </c>
      <c r="Q54" s="8" t="s">
        <v>1356</v>
      </c>
      <c r="R54" s="8" t="s">
        <v>1356</v>
      </c>
      <c r="S54" s="27" t="s">
        <v>1356</v>
      </c>
      <c r="T54" s="27" t="s">
        <v>1356</v>
      </c>
      <c r="U54" s="8" t="s">
        <v>1356</v>
      </c>
      <c r="V54" s="8" t="s">
        <v>1356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22</v>
      </c>
      <c r="M56" s="17">
        <f t="shared" si="6"/>
        <v>8</v>
      </c>
      <c r="N56" s="18">
        <f t="shared" si="7"/>
        <v>0.73333333333333328</v>
      </c>
      <c r="O56" s="27" t="s">
        <v>1356</v>
      </c>
      <c r="P56" s="8" t="s">
        <v>1356</v>
      </c>
      <c r="Q56" s="8" t="s">
        <v>1356</v>
      </c>
      <c r="R56" s="8" t="s">
        <v>1356</v>
      </c>
      <c r="S56" s="27" t="s">
        <v>1356</v>
      </c>
      <c r="T56" s="27" t="s">
        <v>1356</v>
      </c>
      <c r="U56" s="8"/>
      <c r="V56" s="8"/>
      <c r="W56" s="8"/>
      <c r="X56" s="27" t="s">
        <v>1356</v>
      </c>
      <c r="Y56" s="27" t="s">
        <v>1356</v>
      </c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1356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27</v>
      </c>
      <c r="M70" s="17">
        <f t="shared" si="9"/>
        <v>3</v>
      </c>
      <c r="N70" s="18">
        <f t="shared" si="10"/>
        <v>0.9</v>
      </c>
      <c r="O70" s="27"/>
      <c r="P70" s="8"/>
      <c r="Q70" s="8"/>
      <c r="R70" s="8" t="s">
        <v>1356</v>
      </c>
      <c r="S70" s="27" t="s">
        <v>1356</v>
      </c>
      <c r="T70" s="27"/>
      <c r="U70" s="8"/>
      <c r="V70" s="8"/>
      <c r="W70" s="8"/>
      <c r="X70" s="27"/>
      <c r="Y70" s="27" t="s">
        <v>1356</v>
      </c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20</v>
      </c>
      <c r="M80" s="17">
        <f t="shared" si="9"/>
        <v>10</v>
      </c>
      <c r="N80" s="18">
        <f t="shared" si="10"/>
        <v>0.66666666666666663</v>
      </c>
      <c r="O80" s="27"/>
      <c r="P80" s="8" t="s">
        <v>1356</v>
      </c>
      <c r="Q80" s="8" t="s">
        <v>1356</v>
      </c>
      <c r="R80" s="8" t="s">
        <v>1356</v>
      </c>
      <c r="S80" s="27" t="s">
        <v>1356</v>
      </c>
      <c r="T80" s="27" t="s">
        <v>1356</v>
      </c>
      <c r="U80" s="8" t="s">
        <v>1356</v>
      </c>
      <c r="V80" s="8" t="s">
        <v>1356</v>
      </c>
      <c r="W80" s="8" t="s">
        <v>1356</v>
      </c>
      <c r="X80" s="27" t="s">
        <v>1356</v>
      </c>
      <c r="Y80" s="27" t="s">
        <v>1356</v>
      </c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20</v>
      </c>
      <c r="M83" s="17">
        <f t="shared" si="9"/>
        <v>10</v>
      </c>
      <c r="N83" s="18">
        <f t="shared" si="10"/>
        <v>0.66666666666666663</v>
      </c>
      <c r="O83" s="27" t="s">
        <v>1356</v>
      </c>
      <c r="P83" s="8" t="s">
        <v>1356</v>
      </c>
      <c r="Q83" s="8" t="s">
        <v>1356</v>
      </c>
      <c r="R83" s="8" t="s">
        <v>1356</v>
      </c>
      <c r="S83" s="27" t="s">
        <v>1356</v>
      </c>
      <c r="T83" s="27" t="s">
        <v>1356</v>
      </c>
      <c r="U83" s="8" t="s">
        <v>1356</v>
      </c>
      <c r="V83" s="8" t="s">
        <v>1356</v>
      </c>
      <c r="W83" s="8"/>
      <c r="X83" s="27" t="s">
        <v>1356</v>
      </c>
      <c r="Y83" s="27" t="s">
        <v>1356</v>
      </c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25</v>
      </c>
      <c r="M89" s="17">
        <f t="shared" si="9"/>
        <v>5</v>
      </c>
      <c r="N89" s="18">
        <f t="shared" si="10"/>
        <v>0.83333333333333337</v>
      </c>
      <c r="O89" s="27"/>
      <c r="P89" s="8"/>
      <c r="Q89" s="8"/>
      <c r="R89" s="8"/>
      <c r="S89" s="27"/>
      <c r="T89" s="27"/>
      <c r="U89" s="8" t="s">
        <v>1356</v>
      </c>
      <c r="V89" s="8" t="s">
        <v>1356</v>
      </c>
      <c r="W89" s="8" t="s">
        <v>1356</v>
      </c>
      <c r="X89" s="27" t="s">
        <v>1356</v>
      </c>
      <c r="Y89" s="27" t="s">
        <v>1356</v>
      </c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23</v>
      </c>
      <c r="M90" s="17">
        <f t="shared" si="9"/>
        <v>7</v>
      </c>
      <c r="N90" s="18">
        <f t="shared" si="10"/>
        <v>0.76666666666666672</v>
      </c>
      <c r="O90" s="27" t="s">
        <v>1356</v>
      </c>
      <c r="P90" s="8"/>
      <c r="Q90" s="8" t="s">
        <v>1356</v>
      </c>
      <c r="R90" s="8"/>
      <c r="S90" s="27"/>
      <c r="T90" s="27"/>
      <c r="U90" s="8" t="s">
        <v>1356</v>
      </c>
      <c r="V90" s="8" t="s">
        <v>1356</v>
      </c>
      <c r="W90" s="8" t="s">
        <v>1356</v>
      </c>
      <c r="X90" s="27" t="s">
        <v>1356</v>
      </c>
      <c r="Y90" s="27" t="s">
        <v>1356</v>
      </c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22</v>
      </c>
      <c r="M94" s="17">
        <f t="shared" si="9"/>
        <v>8</v>
      </c>
      <c r="N94" s="18">
        <f t="shared" si="10"/>
        <v>0.73333333333333328</v>
      </c>
      <c r="O94" s="27" t="s">
        <v>1356</v>
      </c>
      <c r="P94" s="8" t="s">
        <v>1356</v>
      </c>
      <c r="Q94" s="8" t="s">
        <v>1356</v>
      </c>
      <c r="R94" s="8" t="s">
        <v>1356</v>
      </c>
      <c r="S94" s="27" t="s">
        <v>1356</v>
      </c>
      <c r="T94" s="27" t="s">
        <v>1356</v>
      </c>
      <c r="U94" s="8"/>
      <c r="V94" s="8"/>
      <c r="W94" s="8"/>
      <c r="X94" s="27" t="s">
        <v>1356</v>
      </c>
      <c r="Y94" s="27" t="s">
        <v>1356</v>
      </c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22</v>
      </c>
      <c r="M99" s="17">
        <f t="shared" si="9"/>
        <v>8</v>
      </c>
      <c r="N99" s="18">
        <f t="shared" si="10"/>
        <v>0.73333333333333328</v>
      </c>
      <c r="O99" s="27" t="s">
        <v>1356</v>
      </c>
      <c r="P99" s="8" t="s">
        <v>1356</v>
      </c>
      <c r="Q99" s="8" t="s">
        <v>1356</v>
      </c>
      <c r="R99" s="8" t="s">
        <v>1356</v>
      </c>
      <c r="S99" s="27" t="s">
        <v>1356</v>
      </c>
      <c r="T99" s="27" t="s">
        <v>1356</v>
      </c>
      <c r="U99" s="8"/>
      <c r="V99" s="8"/>
      <c r="W99" s="8"/>
      <c r="X99" s="27" t="s">
        <v>1356</v>
      </c>
      <c r="Y99" s="27" t="s">
        <v>1356</v>
      </c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938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1356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1356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1356</v>
      </c>
      <c r="P106" s="8" t="s">
        <v>1356</v>
      </c>
      <c r="Q106" s="8" t="s">
        <v>1356</v>
      </c>
      <c r="R106" s="8" t="s">
        <v>1356</v>
      </c>
      <c r="S106" s="27" t="s">
        <v>1356</v>
      </c>
      <c r="T106" s="27" t="s">
        <v>1356</v>
      </c>
      <c r="U106" s="8" t="s">
        <v>1356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1356</v>
      </c>
      <c r="P107" s="8" t="s">
        <v>1356</v>
      </c>
      <c r="Q107" s="8" t="s">
        <v>1356</v>
      </c>
      <c r="R107" s="8" t="s">
        <v>1356</v>
      </c>
      <c r="S107" s="27" t="s">
        <v>1356</v>
      </c>
      <c r="T107" s="27" t="s">
        <v>1356</v>
      </c>
      <c r="U107" s="8" t="s">
        <v>1356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1356</v>
      </c>
      <c r="P108" s="8" t="s">
        <v>1356</v>
      </c>
      <c r="Q108" s="8" t="s">
        <v>1356</v>
      </c>
      <c r="R108" s="8" t="s">
        <v>1356</v>
      </c>
      <c r="S108" s="27" t="s">
        <v>1356</v>
      </c>
      <c r="T108" s="27" t="s">
        <v>1356</v>
      </c>
      <c r="U108" s="8" t="s">
        <v>1356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1356</v>
      </c>
      <c r="P109" s="8" t="s">
        <v>1356</v>
      </c>
      <c r="Q109" s="8" t="s">
        <v>1356</v>
      </c>
      <c r="R109" s="8" t="s">
        <v>1356</v>
      </c>
      <c r="S109" s="27" t="s">
        <v>1356</v>
      </c>
      <c r="T109" s="27" t="s">
        <v>1356</v>
      </c>
      <c r="U109" s="8" t="s">
        <v>1356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19</v>
      </c>
      <c r="M115" s="17">
        <f t="shared" si="9"/>
        <v>11</v>
      </c>
      <c r="N115" s="18">
        <f t="shared" si="10"/>
        <v>0.6333333333333333</v>
      </c>
      <c r="O115" s="27" t="s">
        <v>1356</v>
      </c>
      <c r="P115" s="8" t="s">
        <v>1356</v>
      </c>
      <c r="Q115" s="8" t="s">
        <v>1356</v>
      </c>
      <c r="R115" s="8" t="s">
        <v>1356</v>
      </c>
      <c r="S115" s="27" t="s">
        <v>1356</v>
      </c>
      <c r="T115" s="27" t="s">
        <v>1356</v>
      </c>
      <c r="U115" s="8" t="s">
        <v>1356</v>
      </c>
      <c r="V115" s="8" t="s">
        <v>1356</v>
      </c>
      <c r="W115" s="8" t="s">
        <v>1356</v>
      </c>
      <c r="X115" s="27" t="s">
        <v>1356</v>
      </c>
      <c r="Y115" s="27" t="s">
        <v>1356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1356</v>
      </c>
      <c r="P116" s="8" t="s">
        <v>1356</v>
      </c>
      <c r="Q116" s="8" t="s">
        <v>1356</v>
      </c>
      <c r="R116" s="8" t="s">
        <v>1356</v>
      </c>
      <c r="S116" s="27" t="s">
        <v>1356</v>
      </c>
      <c r="T116" s="27" t="s">
        <v>1356</v>
      </c>
      <c r="U116" s="8" t="s">
        <v>1356</v>
      </c>
      <c r="V116" s="8" t="s">
        <v>1356</v>
      </c>
      <c r="W116" s="8" t="s">
        <v>1356</v>
      </c>
      <c r="X116" s="27" t="s">
        <v>1356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19</v>
      </c>
      <c r="M120" s="17">
        <f t="shared" si="9"/>
        <v>11</v>
      </c>
      <c r="N120" s="18">
        <f t="shared" si="10"/>
        <v>0.6333333333333333</v>
      </c>
      <c r="O120" s="27" t="s">
        <v>1356</v>
      </c>
      <c r="P120" s="8" t="s">
        <v>1356</v>
      </c>
      <c r="Q120" s="8" t="s">
        <v>1356</v>
      </c>
      <c r="R120" s="8" t="s">
        <v>1356</v>
      </c>
      <c r="S120" s="27" t="s">
        <v>1356</v>
      </c>
      <c r="T120" s="27" t="s">
        <v>1356</v>
      </c>
      <c r="U120" s="8" t="s">
        <v>1356</v>
      </c>
      <c r="V120" s="8" t="s">
        <v>1356</v>
      </c>
      <c r="W120" s="8" t="s">
        <v>1356</v>
      </c>
      <c r="X120" s="27" t="s">
        <v>1356</v>
      </c>
      <c r="Y120" s="27" t="s">
        <v>1356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19</v>
      </c>
      <c r="M121" s="17">
        <f t="shared" si="9"/>
        <v>11</v>
      </c>
      <c r="N121" s="18">
        <f t="shared" si="10"/>
        <v>0.6333333333333333</v>
      </c>
      <c r="O121" s="27" t="s">
        <v>1356</v>
      </c>
      <c r="P121" s="8" t="s">
        <v>1356</v>
      </c>
      <c r="Q121" s="8" t="s">
        <v>1356</v>
      </c>
      <c r="R121" s="8" t="s">
        <v>1356</v>
      </c>
      <c r="S121" s="27" t="s">
        <v>1356</v>
      </c>
      <c r="T121" s="27" t="s">
        <v>1356</v>
      </c>
      <c r="U121" s="8" t="s">
        <v>1356</v>
      </c>
      <c r="V121" s="8" t="s">
        <v>1356</v>
      </c>
      <c r="W121" s="8" t="s">
        <v>1356</v>
      </c>
      <c r="X121" s="27" t="s">
        <v>1356</v>
      </c>
      <c r="Y121" s="27" t="s">
        <v>1356</v>
      </c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1356</v>
      </c>
      <c r="P122" s="8" t="s">
        <v>1356</v>
      </c>
      <c r="Q122" s="8" t="s">
        <v>1356</v>
      </c>
      <c r="R122" s="8" t="s">
        <v>1356</v>
      </c>
      <c r="S122" s="27" t="s">
        <v>1356</v>
      </c>
      <c r="T122" s="27" t="s">
        <v>1356</v>
      </c>
      <c r="U122" s="8" t="s">
        <v>1356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1356</v>
      </c>
      <c r="P123" s="8" t="s">
        <v>1356</v>
      </c>
      <c r="Q123" s="8" t="s">
        <v>1356</v>
      </c>
      <c r="R123" s="8" t="s">
        <v>1356</v>
      </c>
      <c r="S123" s="27" t="s">
        <v>1356</v>
      </c>
      <c r="T123" s="27" t="s">
        <v>1356</v>
      </c>
      <c r="U123" s="8" t="s">
        <v>1356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19</v>
      </c>
      <c r="M133" s="17">
        <f t="shared" ref="M133:M196" si="12">COUNTIF(O133:AP133,"APAGADO")</f>
        <v>11</v>
      </c>
      <c r="N133" s="18">
        <f t="shared" ref="N133:N196" si="13">(L133)/(M133+L133)</f>
        <v>0.6333333333333333</v>
      </c>
      <c r="O133" s="27" t="s">
        <v>1356</v>
      </c>
      <c r="P133" s="8" t="s">
        <v>1356</v>
      </c>
      <c r="Q133" s="8" t="s">
        <v>1356</v>
      </c>
      <c r="R133" s="8" t="s">
        <v>1356</v>
      </c>
      <c r="S133" s="27" t="s">
        <v>1356</v>
      </c>
      <c r="T133" s="27" t="s">
        <v>1356</v>
      </c>
      <c r="U133" s="8" t="s">
        <v>1356</v>
      </c>
      <c r="V133" s="8" t="s">
        <v>1356</v>
      </c>
      <c r="W133" s="8" t="s">
        <v>1356</v>
      </c>
      <c r="X133" s="27" t="s">
        <v>1356</v>
      </c>
      <c r="Y133" s="27" t="s">
        <v>1356</v>
      </c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1356</v>
      </c>
      <c r="P135" s="8" t="s">
        <v>1356</v>
      </c>
      <c r="Q135" s="8" t="s">
        <v>1356</v>
      </c>
      <c r="R135" s="8" t="s">
        <v>1356</v>
      </c>
      <c r="S135" s="27" t="s">
        <v>1356</v>
      </c>
      <c r="T135" s="27" t="s">
        <v>1356</v>
      </c>
      <c r="U135" s="8" t="s">
        <v>1356</v>
      </c>
      <c r="V135" s="8" t="s">
        <v>1356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21</v>
      </c>
      <c r="M142" s="17">
        <f t="shared" si="12"/>
        <v>9</v>
      </c>
      <c r="N142" s="18">
        <f t="shared" si="13"/>
        <v>0.7</v>
      </c>
      <c r="O142" s="27" t="s">
        <v>1356</v>
      </c>
      <c r="P142" s="8" t="s">
        <v>1356</v>
      </c>
      <c r="Q142" s="8" t="s">
        <v>1356</v>
      </c>
      <c r="R142" s="8" t="s">
        <v>1356</v>
      </c>
      <c r="S142" s="27" t="s">
        <v>1356</v>
      </c>
      <c r="T142" s="27" t="s">
        <v>1356</v>
      </c>
      <c r="U142" s="8" t="s">
        <v>1356</v>
      </c>
      <c r="V142" s="8"/>
      <c r="W142" s="8"/>
      <c r="X142" s="27" t="s">
        <v>1356</v>
      </c>
      <c r="Y142" s="27" t="s">
        <v>1356</v>
      </c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21</v>
      </c>
      <c r="M143" s="17">
        <f t="shared" si="12"/>
        <v>9</v>
      </c>
      <c r="N143" s="18">
        <f t="shared" si="13"/>
        <v>0.7</v>
      </c>
      <c r="O143" s="27" t="s">
        <v>1356</v>
      </c>
      <c r="P143" s="8" t="s">
        <v>1356</v>
      </c>
      <c r="Q143" s="8" t="s">
        <v>1356</v>
      </c>
      <c r="R143" s="8" t="s">
        <v>1356</v>
      </c>
      <c r="S143" s="27" t="s">
        <v>1356</v>
      </c>
      <c r="T143" s="27" t="s">
        <v>1356</v>
      </c>
      <c r="U143" s="8" t="s">
        <v>1356</v>
      </c>
      <c r="V143" s="8"/>
      <c r="W143" s="8"/>
      <c r="X143" s="27" t="s">
        <v>1356</v>
      </c>
      <c r="Y143" s="27" t="s">
        <v>1356</v>
      </c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21</v>
      </c>
      <c r="M144" s="17">
        <f t="shared" si="12"/>
        <v>9</v>
      </c>
      <c r="N144" s="18">
        <f t="shared" si="13"/>
        <v>0.7</v>
      </c>
      <c r="O144" s="27" t="s">
        <v>1356</v>
      </c>
      <c r="P144" s="8" t="s">
        <v>1356</v>
      </c>
      <c r="Q144" s="8" t="s">
        <v>1356</v>
      </c>
      <c r="R144" s="8" t="s">
        <v>1356</v>
      </c>
      <c r="S144" s="27" t="s">
        <v>1356</v>
      </c>
      <c r="T144" s="27" t="s">
        <v>1356</v>
      </c>
      <c r="U144" s="8" t="s">
        <v>1356</v>
      </c>
      <c r="V144" s="8"/>
      <c r="W144" s="8"/>
      <c r="X144" s="27" t="s">
        <v>1356</v>
      </c>
      <c r="Y144" s="27" t="s">
        <v>1356</v>
      </c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1356</v>
      </c>
      <c r="Q154" s="8" t="s">
        <v>1356</v>
      </c>
      <c r="R154" s="8" t="s">
        <v>1356</v>
      </c>
      <c r="S154" s="27" t="s">
        <v>1356</v>
      </c>
      <c r="T154" s="27" t="s">
        <v>1356</v>
      </c>
      <c r="U154" s="8" t="s">
        <v>1356</v>
      </c>
      <c r="V154" s="8" t="s">
        <v>1356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22</v>
      </c>
      <c r="M156" s="17">
        <f t="shared" si="12"/>
        <v>8</v>
      </c>
      <c r="N156" s="18">
        <f t="shared" si="13"/>
        <v>0.73333333333333328</v>
      </c>
      <c r="O156" s="27" t="s">
        <v>1356</v>
      </c>
      <c r="P156" s="8" t="s">
        <v>1356</v>
      </c>
      <c r="Q156" s="8" t="s">
        <v>1356</v>
      </c>
      <c r="R156" s="8" t="s">
        <v>1356</v>
      </c>
      <c r="S156" s="27" t="s">
        <v>1356</v>
      </c>
      <c r="T156" s="27" t="s">
        <v>1356</v>
      </c>
      <c r="U156" s="8" t="s">
        <v>1356</v>
      </c>
      <c r="V156" s="8" t="s">
        <v>1356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19</v>
      </c>
      <c r="M166" s="17">
        <f t="shared" si="12"/>
        <v>11</v>
      </c>
      <c r="N166" s="18">
        <f t="shared" si="13"/>
        <v>0.6333333333333333</v>
      </c>
      <c r="O166" s="27" t="s">
        <v>1356</v>
      </c>
      <c r="P166" s="8" t="s">
        <v>1356</v>
      </c>
      <c r="Q166" s="8" t="s">
        <v>1356</v>
      </c>
      <c r="R166" s="8" t="s">
        <v>1356</v>
      </c>
      <c r="S166" s="27" t="s">
        <v>1356</v>
      </c>
      <c r="T166" s="27" t="s">
        <v>1356</v>
      </c>
      <c r="U166" s="8" t="s">
        <v>1356</v>
      </c>
      <c r="V166" s="8" t="s">
        <v>1356</v>
      </c>
      <c r="W166" s="8" t="s">
        <v>1356</v>
      </c>
      <c r="X166" s="27" t="s">
        <v>1356</v>
      </c>
      <c r="Y166" s="27" t="s">
        <v>1356</v>
      </c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24</v>
      </c>
      <c r="M168" s="17">
        <f t="shared" si="12"/>
        <v>6</v>
      </c>
      <c r="N168" s="18">
        <f t="shared" si="13"/>
        <v>0.8</v>
      </c>
      <c r="O168" s="27"/>
      <c r="P168" s="8"/>
      <c r="Q168" s="8" t="s">
        <v>1356</v>
      </c>
      <c r="R168" s="8" t="s">
        <v>1356</v>
      </c>
      <c r="S168" s="27" t="s">
        <v>1356</v>
      </c>
      <c r="T168" s="27" t="s">
        <v>1356</v>
      </c>
      <c r="U168" s="8" t="s">
        <v>1356</v>
      </c>
      <c r="V168" s="8" t="s">
        <v>1356</v>
      </c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19</v>
      </c>
      <c r="M177" s="17">
        <f t="shared" si="12"/>
        <v>11</v>
      </c>
      <c r="N177" s="18">
        <f t="shared" si="13"/>
        <v>0.6333333333333333</v>
      </c>
      <c r="O177" s="27" t="s">
        <v>1356</v>
      </c>
      <c r="P177" s="8" t="s">
        <v>1356</v>
      </c>
      <c r="Q177" s="8" t="s">
        <v>1356</v>
      </c>
      <c r="R177" s="8" t="s">
        <v>1356</v>
      </c>
      <c r="S177" s="27" t="s">
        <v>1356</v>
      </c>
      <c r="T177" s="27" t="s">
        <v>1356</v>
      </c>
      <c r="U177" s="8" t="s">
        <v>1356</v>
      </c>
      <c r="V177" s="8" t="s">
        <v>1356</v>
      </c>
      <c r="W177" s="8" t="s">
        <v>1356</v>
      </c>
      <c r="X177" s="27" t="s">
        <v>1356</v>
      </c>
      <c r="Y177" s="27" t="s">
        <v>1356</v>
      </c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1356</v>
      </c>
      <c r="P179" s="8"/>
      <c r="Q179" s="8"/>
      <c r="R179" s="8"/>
      <c r="S179" s="27"/>
      <c r="T179" s="27" t="s">
        <v>1356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19</v>
      </c>
      <c r="M185" s="17">
        <f t="shared" si="12"/>
        <v>11</v>
      </c>
      <c r="N185" s="18">
        <f t="shared" si="13"/>
        <v>0.6333333333333333</v>
      </c>
      <c r="O185" s="27" t="s">
        <v>1356</v>
      </c>
      <c r="P185" s="8" t="s">
        <v>1356</v>
      </c>
      <c r="Q185" s="8" t="s">
        <v>1356</v>
      </c>
      <c r="R185" s="8" t="s">
        <v>1356</v>
      </c>
      <c r="S185" s="27" t="s">
        <v>1356</v>
      </c>
      <c r="T185" s="27" t="s">
        <v>1356</v>
      </c>
      <c r="U185" s="8" t="s">
        <v>1356</v>
      </c>
      <c r="V185" s="8" t="s">
        <v>1356</v>
      </c>
      <c r="W185" s="8" t="s">
        <v>1356</v>
      </c>
      <c r="X185" s="27" t="s">
        <v>1356</v>
      </c>
      <c r="Y185" s="27" t="s">
        <v>1356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28</v>
      </c>
      <c r="M191" s="17">
        <f t="shared" si="12"/>
        <v>2</v>
      </c>
      <c r="N191" s="18">
        <f t="shared" si="13"/>
        <v>0.93333333333333335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1356</v>
      </c>
      <c r="Y191" s="27" t="s">
        <v>1356</v>
      </c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28</v>
      </c>
      <c r="M192" s="17">
        <f t="shared" si="12"/>
        <v>2</v>
      </c>
      <c r="N192" s="18">
        <f t="shared" si="13"/>
        <v>0.93333333333333335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1356</v>
      </c>
      <c r="Y192" s="27" t="s">
        <v>1356</v>
      </c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21</v>
      </c>
      <c r="M194" s="17">
        <f t="shared" si="12"/>
        <v>9</v>
      </c>
      <c r="N194" s="18">
        <f t="shared" si="13"/>
        <v>0.7</v>
      </c>
      <c r="O194" s="27" t="s">
        <v>1356</v>
      </c>
      <c r="P194" s="8"/>
      <c r="Q194" s="8" t="s">
        <v>1356</v>
      </c>
      <c r="R194" s="8" t="s">
        <v>1356</v>
      </c>
      <c r="S194" s="27" t="s">
        <v>1356</v>
      </c>
      <c r="T194" s="27" t="s">
        <v>1356</v>
      </c>
      <c r="U194" s="8" t="s">
        <v>1356</v>
      </c>
      <c r="V194" s="8" t="s">
        <v>1356</v>
      </c>
      <c r="W194" s="8" t="s">
        <v>1356</v>
      </c>
      <c r="X194" s="27" t="s">
        <v>1356</v>
      </c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1356</v>
      </c>
      <c r="P197" s="8" t="s">
        <v>1356</v>
      </c>
      <c r="Q197" s="8" t="s">
        <v>1356</v>
      </c>
      <c r="R197" s="8" t="s">
        <v>1356</v>
      </c>
      <c r="S197" s="27" t="s">
        <v>1356</v>
      </c>
      <c r="T197" s="27" t="s">
        <v>1356</v>
      </c>
      <c r="U197" s="8" t="s">
        <v>1356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1356</v>
      </c>
      <c r="P198" s="8" t="s">
        <v>1356</v>
      </c>
      <c r="Q198" s="8" t="s">
        <v>1356</v>
      </c>
      <c r="R198" s="8" t="s">
        <v>1356</v>
      </c>
      <c r="S198" s="27" t="s">
        <v>1356</v>
      </c>
      <c r="T198" s="27" t="s">
        <v>1356</v>
      </c>
      <c r="U198" s="8" t="s">
        <v>1356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1356</v>
      </c>
      <c r="P199" s="8" t="s">
        <v>1356</v>
      </c>
      <c r="Q199" s="8" t="s">
        <v>1356</v>
      </c>
      <c r="R199" s="8"/>
      <c r="S199" s="27" t="s">
        <v>1356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1356</v>
      </c>
      <c r="P200" s="8" t="s">
        <v>1356</v>
      </c>
      <c r="Q200" s="8" t="s">
        <v>1356</v>
      </c>
      <c r="R200" s="8"/>
      <c r="S200" s="27" t="s">
        <v>1356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24</v>
      </c>
      <c r="M203" s="17">
        <f t="shared" si="15"/>
        <v>6</v>
      </c>
      <c r="N203" s="18">
        <f t="shared" si="16"/>
        <v>0.8</v>
      </c>
      <c r="O203" s="27"/>
      <c r="P203" s="8"/>
      <c r="Q203" s="8" t="s">
        <v>1356</v>
      </c>
      <c r="R203" s="8" t="s">
        <v>1356</v>
      </c>
      <c r="S203" s="27" t="s">
        <v>1356</v>
      </c>
      <c r="T203" s="27" t="s">
        <v>1356</v>
      </c>
      <c r="U203" s="8" t="s">
        <v>1356</v>
      </c>
      <c r="V203" s="8" t="s">
        <v>1356</v>
      </c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19</v>
      </c>
      <c r="M206" s="17">
        <f t="shared" si="15"/>
        <v>11</v>
      </c>
      <c r="N206" s="18">
        <f t="shared" si="16"/>
        <v>0.6333333333333333</v>
      </c>
      <c r="O206" s="27" t="s">
        <v>1356</v>
      </c>
      <c r="P206" s="8" t="s">
        <v>1356</v>
      </c>
      <c r="Q206" s="8" t="s">
        <v>1356</v>
      </c>
      <c r="R206" s="8" t="s">
        <v>1356</v>
      </c>
      <c r="S206" s="27" t="s">
        <v>1356</v>
      </c>
      <c r="T206" s="27" t="s">
        <v>1356</v>
      </c>
      <c r="U206" s="8" t="s">
        <v>1356</v>
      </c>
      <c r="V206" s="8" t="s">
        <v>1356</v>
      </c>
      <c r="W206" s="8" t="s">
        <v>1356</v>
      </c>
      <c r="X206" s="27" t="s">
        <v>1356</v>
      </c>
      <c r="Y206" s="27" t="s">
        <v>1356</v>
      </c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19</v>
      </c>
      <c r="M207" s="17">
        <f t="shared" si="15"/>
        <v>11</v>
      </c>
      <c r="N207" s="18">
        <f t="shared" si="16"/>
        <v>0.6333333333333333</v>
      </c>
      <c r="O207" s="27" t="s">
        <v>1356</v>
      </c>
      <c r="P207" s="8" t="s">
        <v>1356</v>
      </c>
      <c r="Q207" s="8" t="s">
        <v>1356</v>
      </c>
      <c r="R207" s="8" t="s">
        <v>1356</v>
      </c>
      <c r="S207" s="27" t="s">
        <v>1356</v>
      </c>
      <c r="T207" s="27" t="s">
        <v>1356</v>
      </c>
      <c r="U207" s="8" t="s">
        <v>1356</v>
      </c>
      <c r="V207" s="8" t="s">
        <v>1356</v>
      </c>
      <c r="W207" s="8" t="s">
        <v>1356</v>
      </c>
      <c r="X207" s="27" t="s">
        <v>1356</v>
      </c>
      <c r="Y207" s="27" t="s">
        <v>1356</v>
      </c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1356</v>
      </c>
      <c r="P208" s="8" t="s">
        <v>1356</v>
      </c>
      <c r="Q208" s="8" t="s">
        <v>1356</v>
      </c>
      <c r="R208" s="8" t="s">
        <v>1356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20</v>
      </c>
      <c r="M209" s="17">
        <f t="shared" si="15"/>
        <v>10</v>
      </c>
      <c r="N209" s="18">
        <f t="shared" si="16"/>
        <v>0.66666666666666663</v>
      </c>
      <c r="O209" s="27"/>
      <c r="P209" s="8" t="s">
        <v>1356</v>
      </c>
      <c r="Q209" s="8" t="s">
        <v>1356</v>
      </c>
      <c r="R209" s="8" t="s">
        <v>1356</v>
      </c>
      <c r="S209" s="27" t="s">
        <v>1356</v>
      </c>
      <c r="T209" s="27" t="s">
        <v>1356</v>
      </c>
      <c r="U209" s="8" t="s">
        <v>1356</v>
      </c>
      <c r="V209" s="8" t="s">
        <v>1356</v>
      </c>
      <c r="W209" s="8" t="s">
        <v>1356</v>
      </c>
      <c r="X209" s="27" t="s">
        <v>1356</v>
      </c>
      <c r="Y209" s="27" t="s">
        <v>1356</v>
      </c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20</v>
      </c>
      <c r="M210" s="17">
        <f t="shared" si="15"/>
        <v>10</v>
      </c>
      <c r="N210" s="18">
        <f t="shared" si="16"/>
        <v>0.66666666666666663</v>
      </c>
      <c r="O210" s="27"/>
      <c r="P210" s="8" t="s">
        <v>1356</v>
      </c>
      <c r="Q210" s="8" t="s">
        <v>1356</v>
      </c>
      <c r="R210" s="8" t="s">
        <v>1356</v>
      </c>
      <c r="S210" s="27" t="s">
        <v>1356</v>
      </c>
      <c r="T210" s="27" t="s">
        <v>1356</v>
      </c>
      <c r="U210" s="8" t="s">
        <v>1356</v>
      </c>
      <c r="V210" s="8" t="s">
        <v>1356</v>
      </c>
      <c r="W210" s="8" t="s">
        <v>1356</v>
      </c>
      <c r="X210" s="27" t="s">
        <v>1356</v>
      </c>
      <c r="Y210" s="27" t="s">
        <v>1356</v>
      </c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19</v>
      </c>
      <c r="M211" s="17">
        <f t="shared" si="15"/>
        <v>11</v>
      </c>
      <c r="N211" s="18">
        <f t="shared" si="16"/>
        <v>0.6333333333333333</v>
      </c>
      <c r="O211" s="27" t="s">
        <v>1356</v>
      </c>
      <c r="P211" s="8" t="s">
        <v>1356</v>
      </c>
      <c r="Q211" s="8" t="s">
        <v>1356</v>
      </c>
      <c r="R211" s="8" t="s">
        <v>1356</v>
      </c>
      <c r="S211" s="27" t="s">
        <v>1356</v>
      </c>
      <c r="T211" s="27" t="s">
        <v>1356</v>
      </c>
      <c r="U211" s="8" t="s">
        <v>1356</v>
      </c>
      <c r="V211" s="8" t="s">
        <v>1356</v>
      </c>
      <c r="W211" s="8" t="s">
        <v>1356</v>
      </c>
      <c r="X211" s="27" t="s">
        <v>1356</v>
      </c>
      <c r="Y211" s="27" t="s">
        <v>1356</v>
      </c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19</v>
      </c>
      <c r="M212" s="17">
        <f t="shared" si="15"/>
        <v>11</v>
      </c>
      <c r="N212" s="18">
        <f t="shared" si="16"/>
        <v>0.6333333333333333</v>
      </c>
      <c r="O212" s="27" t="s">
        <v>1356</v>
      </c>
      <c r="P212" s="8" t="s">
        <v>1356</v>
      </c>
      <c r="Q212" s="8" t="s">
        <v>1356</v>
      </c>
      <c r="R212" s="8" t="s">
        <v>1356</v>
      </c>
      <c r="S212" s="27" t="s">
        <v>1356</v>
      </c>
      <c r="T212" s="27" t="s">
        <v>1356</v>
      </c>
      <c r="U212" s="8" t="s">
        <v>1356</v>
      </c>
      <c r="V212" s="8" t="s">
        <v>1356</v>
      </c>
      <c r="W212" s="8" t="s">
        <v>1356</v>
      </c>
      <c r="X212" s="27" t="s">
        <v>1356</v>
      </c>
      <c r="Y212" s="27" t="s">
        <v>1356</v>
      </c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22</v>
      </c>
      <c r="M213" s="17">
        <f t="shared" si="15"/>
        <v>8</v>
      </c>
      <c r="N213" s="18">
        <f t="shared" si="16"/>
        <v>0.73333333333333328</v>
      </c>
      <c r="O213" s="27" t="s">
        <v>1356</v>
      </c>
      <c r="P213" s="8" t="s">
        <v>1356</v>
      </c>
      <c r="Q213" s="8" t="s">
        <v>1356</v>
      </c>
      <c r="R213" s="8" t="s">
        <v>1356</v>
      </c>
      <c r="S213" s="27" t="s">
        <v>1356</v>
      </c>
      <c r="T213" s="27" t="s">
        <v>1356</v>
      </c>
      <c r="U213" s="8" t="s">
        <v>1356</v>
      </c>
      <c r="V213" s="8" t="s">
        <v>1356</v>
      </c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1356</v>
      </c>
      <c r="P218" s="8" t="s">
        <v>1356</v>
      </c>
      <c r="Q218" s="8" t="s">
        <v>1356</v>
      </c>
      <c r="R218" s="8" t="s">
        <v>1356</v>
      </c>
      <c r="S218" s="27" t="s">
        <v>1356</v>
      </c>
      <c r="T218" s="27" t="s">
        <v>1356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1356</v>
      </c>
      <c r="P219" s="8" t="s">
        <v>1356</v>
      </c>
      <c r="Q219" s="8" t="s">
        <v>1356</v>
      </c>
      <c r="R219" s="8" t="s">
        <v>1356</v>
      </c>
      <c r="S219" s="27" t="s">
        <v>1356</v>
      </c>
      <c r="T219" s="27" t="s">
        <v>1356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27</v>
      </c>
      <c r="M224" s="17">
        <f t="shared" si="15"/>
        <v>3</v>
      </c>
      <c r="N224" s="18">
        <f t="shared" si="16"/>
        <v>0.9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 t="s">
        <v>1356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1356</v>
      </c>
      <c r="S226" s="27" t="s">
        <v>1356</v>
      </c>
      <c r="T226" s="27" t="s">
        <v>1356</v>
      </c>
      <c r="U226" s="8" t="s">
        <v>1356</v>
      </c>
      <c r="V226" s="8" t="s">
        <v>1356</v>
      </c>
      <c r="W226" s="8" t="s">
        <v>1356</v>
      </c>
      <c r="X226" s="27" t="s">
        <v>1356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22</v>
      </c>
      <c r="M230" s="17">
        <f t="shared" si="15"/>
        <v>8</v>
      </c>
      <c r="N230" s="18">
        <f t="shared" si="16"/>
        <v>0.73333333333333328</v>
      </c>
      <c r="O230" s="27" t="s">
        <v>1356</v>
      </c>
      <c r="P230" s="8" t="s">
        <v>1356</v>
      </c>
      <c r="Q230" s="8" t="s">
        <v>1356</v>
      </c>
      <c r="R230" s="8" t="s">
        <v>1356</v>
      </c>
      <c r="S230" s="27" t="s">
        <v>1356</v>
      </c>
      <c r="T230" s="27"/>
      <c r="U230" s="8" t="s">
        <v>1356</v>
      </c>
      <c r="V230" s="8"/>
      <c r="W230" s="8" t="s">
        <v>1356</v>
      </c>
      <c r="X230" s="27" t="s">
        <v>1356</v>
      </c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19</v>
      </c>
      <c r="M231" s="17">
        <f t="shared" si="15"/>
        <v>11</v>
      </c>
      <c r="N231" s="18">
        <f t="shared" si="16"/>
        <v>0.6333333333333333</v>
      </c>
      <c r="O231" s="27" t="s">
        <v>1356</v>
      </c>
      <c r="P231" s="8" t="s">
        <v>1356</v>
      </c>
      <c r="Q231" s="8" t="s">
        <v>1356</v>
      </c>
      <c r="R231" s="8" t="s">
        <v>1356</v>
      </c>
      <c r="S231" s="27" t="s">
        <v>1356</v>
      </c>
      <c r="T231" s="27" t="s">
        <v>1356</v>
      </c>
      <c r="U231" s="8" t="s">
        <v>1356</v>
      </c>
      <c r="V231" s="8" t="s">
        <v>1356</v>
      </c>
      <c r="W231" s="8" t="s">
        <v>1356</v>
      </c>
      <c r="X231" s="27" t="s">
        <v>1356</v>
      </c>
      <c r="Y231" s="27" t="s">
        <v>1356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19</v>
      </c>
      <c r="M232" s="17">
        <f t="shared" si="15"/>
        <v>11</v>
      </c>
      <c r="N232" s="18">
        <f t="shared" si="16"/>
        <v>0.6333333333333333</v>
      </c>
      <c r="O232" s="27" t="s">
        <v>1356</v>
      </c>
      <c r="P232" s="8" t="s">
        <v>1356</v>
      </c>
      <c r="Q232" s="8" t="s">
        <v>1356</v>
      </c>
      <c r="R232" s="8" t="s">
        <v>1356</v>
      </c>
      <c r="S232" s="27" t="s">
        <v>1356</v>
      </c>
      <c r="T232" s="27" t="s">
        <v>1356</v>
      </c>
      <c r="U232" s="8" t="s">
        <v>1356</v>
      </c>
      <c r="V232" s="8" t="s">
        <v>1356</v>
      </c>
      <c r="W232" s="8" t="s">
        <v>1356</v>
      </c>
      <c r="X232" s="27" t="s">
        <v>1356</v>
      </c>
      <c r="Y232" s="27" t="s">
        <v>1356</v>
      </c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1356</v>
      </c>
      <c r="P251" s="8" t="s">
        <v>1356</v>
      </c>
      <c r="Q251" s="8" t="s">
        <v>1356</v>
      </c>
      <c r="R251" s="8" t="s">
        <v>1356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1356</v>
      </c>
      <c r="P252" s="8" t="s">
        <v>1356</v>
      </c>
      <c r="Q252" s="8" t="s">
        <v>1356</v>
      </c>
      <c r="R252" s="8" t="s">
        <v>1356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1356</v>
      </c>
      <c r="P253" s="8" t="s">
        <v>1356</v>
      </c>
      <c r="Q253" s="8" t="s">
        <v>1356</v>
      </c>
      <c r="R253" s="8" t="s">
        <v>1356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1356</v>
      </c>
      <c r="P254" s="8" t="s">
        <v>1356</v>
      </c>
      <c r="Q254" s="8" t="s">
        <v>1356</v>
      </c>
      <c r="R254" s="8" t="s">
        <v>1356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22</v>
      </c>
      <c r="M263" s="17">
        <f t="shared" ref="M263:M326" si="19">COUNTIF(O263:AP263,"APAGADO")</f>
        <v>8</v>
      </c>
      <c r="N263" s="18">
        <f t="shared" ref="N263:N326" si="20">(L263)/(M263+L263)</f>
        <v>0.73333333333333328</v>
      </c>
      <c r="O263" s="27" t="s">
        <v>1356</v>
      </c>
      <c r="P263" s="8" t="s">
        <v>1356</v>
      </c>
      <c r="Q263" s="8" t="s">
        <v>1356</v>
      </c>
      <c r="R263" s="8" t="s">
        <v>1356</v>
      </c>
      <c r="S263" s="27" t="s">
        <v>1356</v>
      </c>
      <c r="T263" s="27" t="s">
        <v>1356</v>
      </c>
      <c r="U263" s="8"/>
      <c r="V263" s="8"/>
      <c r="W263" s="8"/>
      <c r="X263" s="27" t="s">
        <v>1356</v>
      </c>
      <c r="Y263" s="27" t="s">
        <v>1356</v>
      </c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22</v>
      </c>
      <c r="M264" s="17">
        <f t="shared" si="19"/>
        <v>8</v>
      </c>
      <c r="N264" s="18">
        <f t="shared" si="20"/>
        <v>0.73333333333333328</v>
      </c>
      <c r="O264" s="27" t="s">
        <v>1356</v>
      </c>
      <c r="P264" s="8" t="s">
        <v>1356</v>
      </c>
      <c r="Q264" s="8" t="s">
        <v>1356</v>
      </c>
      <c r="R264" s="8" t="s">
        <v>1356</v>
      </c>
      <c r="S264" s="27" t="s">
        <v>1356</v>
      </c>
      <c r="T264" s="27" t="s">
        <v>1356</v>
      </c>
      <c r="U264" s="8"/>
      <c r="V264" s="8"/>
      <c r="W264" s="8"/>
      <c r="X264" s="27" t="s">
        <v>1356</v>
      </c>
      <c r="Y264" s="27" t="s">
        <v>1356</v>
      </c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22</v>
      </c>
      <c r="M265" s="17">
        <f t="shared" si="19"/>
        <v>8</v>
      </c>
      <c r="N265" s="18">
        <f t="shared" si="20"/>
        <v>0.73333333333333328</v>
      </c>
      <c r="O265" s="27" t="s">
        <v>1356</v>
      </c>
      <c r="P265" s="8" t="s">
        <v>1356</v>
      </c>
      <c r="Q265" s="8" t="s">
        <v>1356</v>
      </c>
      <c r="R265" s="8" t="s">
        <v>1356</v>
      </c>
      <c r="S265" s="27" t="s">
        <v>1356</v>
      </c>
      <c r="T265" s="27" t="s">
        <v>1356</v>
      </c>
      <c r="U265" s="8"/>
      <c r="V265" s="8"/>
      <c r="W265" s="8"/>
      <c r="X265" s="27" t="s">
        <v>1356</v>
      </c>
      <c r="Y265" s="27" t="s">
        <v>1356</v>
      </c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22</v>
      </c>
      <c r="M266" s="17">
        <f t="shared" si="19"/>
        <v>8</v>
      </c>
      <c r="N266" s="18">
        <f t="shared" si="20"/>
        <v>0.73333333333333328</v>
      </c>
      <c r="O266" s="27" t="s">
        <v>1356</v>
      </c>
      <c r="P266" s="8" t="s">
        <v>1356</v>
      </c>
      <c r="Q266" s="8" t="s">
        <v>1356</v>
      </c>
      <c r="R266" s="8" t="s">
        <v>1356</v>
      </c>
      <c r="S266" s="27" t="s">
        <v>1356</v>
      </c>
      <c r="T266" s="27" t="s">
        <v>1356</v>
      </c>
      <c r="U266" s="8"/>
      <c r="V266" s="8"/>
      <c r="W266" s="8"/>
      <c r="X266" s="27" t="s">
        <v>1356</v>
      </c>
      <c r="Y266" s="27" t="s">
        <v>1356</v>
      </c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1356</v>
      </c>
      <c r="U277" s="8"/>
      <c r="V277" s="8"/>
      <c r="W277" s="8"/>
      <c r="X277" s="27" t="s">
        <v>1356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1356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1356</v>
      </c>
      <c r="S281" s="27"/>
      <c r="T281" s="27" t="s">
        <v>1356</v>
      </c>
      <c r="U281" s="8" t="s">
        <v>1356</v>
      </c>
      <c r="V281" s="8" t="s">
        <v>1356</v>
      </c>
      <c r="W281" s="8" t="s">
        <v>1356</v>
      </c>
      <c r="X281" s="27" t="s">
        <v>1356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1356</v>
      </c>
      <c r="Q282" s="8"/>
      <c r="R282" s="8"/>
      <c r="S282" s="27"/>
      <c r="T282" s="27"/>
      <c r="U282" s="8" t="s">
        <v>1356</v>
      </c>
      <c r="V282" s="8" t="s">
        <v>1356</v>
      </c>
      <c r="W282" s="8" t="s">
        <v>1356</v>
      </c>
      <c r="X282" s="27" t="s">
        <v>1356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26</v>
      </c>
      <c r="M300" s="17">
        <f t="shared" si="19"/>
        <v>4</v>
      </c>
      <c r="N300" s="18">
        <f t="shared" si="20"/>
        <v>0.8666666666666667</v>
      </c>
      <c r="O300" s="27"/>
      <c r="P300" s="8"/>
      <c r="Q300" s="8"/>
      <c r="R300" s="8" t="s">
        <v>1356</v>
      </c>
      <c r="S300" s="27" t="s">
        <v>1356</v>
      </c>
      <c r="T300" s="27" t="s">
        <v>1356</v>
      </c>
      <c r="U300" s="8" t="s">
        <v>1356</v>
      </c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29</v>
      </c>
      <c r="M301" s="17">
        <f t="shared" si="19"/>
        <v>1</v>
      </c>
      <c r="N301" s="18">
        <f t="shared" si="20"/>
        <v>0.96666666666666667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1356</v>
      </c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29</v>
      </c>
      <c r="M302" s="17">
        <f t="shared" si="19"/>
        <v>1</v>
      </c>
      <c r="N302" s="18">
        <f t="shared" si="20"/>
        <v>0.96666666666666667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1356</v>
      </c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25</v>
      </c>
      <c r="M303" s="17">
        <f t="shared" si="19"/>
        <v>5</v>
      </c>
      <c r="N303" s="18">
        <f t="shared" si="20"/>
        <v>0.83333333333333337</v>
      </c>
      <c r="O303" s="27" t="s">
        <v>1356</v>
      </c>
      <c r="P303" s="8" t="s">
        <v>1356</v>
      </c>
      <c r="Q303" s="8" t="s">
        <v>1356</v>
      </c>
      <c r="R303" s="8" t="s">
        <v>1356</v>
      </c>
      <c r="S303" s="27" t="s">
        <v>1356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25</v>
      </c>
      <c r="M322" s="17">
        <f t="shared" si="19"/>
        <v>5</v>
      </c>
      <c r="N322" s="18">
        <f t="shared" si="20"/>
        <v>0.83333333333333337</v>
      </c>
      <c r="O322" s="27"/>
      <c r="P322" s="8"/>
      <c r="Q322" s="8"/>
      <c r="R322" s="8"/>
      <c r="S322" s="27"/>
      <c r="T322" s="27"/>
      <c r="U322" s="8" t="s">
        <v>1356</v>
      </c>
      <c r="V322" s="8" t="s">
        <v>1356</v>
      </c>
      <c r="W322" s="8" t="s">
        <v>1356</v>
      </c>
      <c r="X322" s="27" t="s">
        <v>1356</v>
      </c>
      <c r="Y322" s="27" t="s">
        <v>1356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25</v>
      </c>
      <c r="M330" s="17">
        <f t="shared" si="22"/>
        <v>5</v>
      </c>
      <c r="N330" s="18">
        <f t="shared" si="23"/>
        <v>0.83333333333333337</v>
      </c>
      <c r="O330" s="27"/>
      <c r="P330" s="8"/>
      <c r="Q330" s="8"/>
      <c r="R330" s="8"/>
      <c r="S330" s="27"/>
      <c r="T330" s="27"/>
      <c r="U330" s="8" t="s">
        <v>1356</v>
      </c>
      <c r="V330" s="8" t="s">
        <v>1356</v>
      </c>
      <c r="W330" s="8" t="s">
        <v>1356</v>
      </c>
      <c r="X330" s="27" t="s">
        <v>1356</v>
      </c>
      <c r="Y330" s="27" t="s">
        <v>1356</v>
      </c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25</v>
      </c>
      <c r="M331" s="17">
        <f t="shared" si="22"/>
        <v>5</v>
      </c>
      <c r="N331" s="18">
        <f t="shared" si="23"/>
        <v>0.83333333333333337</v>
      </c>
      <c r="O331" s="27"/>
      <c r="P331" s="8"/>
      <c r="Q331" s="8"/>
      <c r="R331" s="8"/>
      <c r="S331" s="27"/>
      <c r="T331" s="27"/>
      <c r="U331" s="8" t="s">
        <v>1356</v>
      </c>
      <c r="V331" s="8" t="s">
        <v>1356</v>
      </c>
      <c r="W331" s="8" t="s">
        <v>1356</v>
      </c>
      <c r="X331" s="27" t="s">
        <v>1356</v>
      </c>
      <c r="Y331" s="27" t="s">
        <v>1356</v>
      </c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29</v>
      </c>
      <c r="M335" s="17">
        <f t="shared" si="22"/>
        <v>1</v>
      </c>
      <c r="N335" s="18">
        <f t="shared" si="23"/>
        <v>0.96666666666666667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1356</v>
      </c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29</v>
      </c>
      <c r="M336" s="17">
        <f t="shared" si="22"/>
        <v>1</v>
      </c>
      <c r="N336" s="18">
        <f t="shared" si="23"/>
        <v>0.96666666666666667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1356</v>
      </c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19</v>
      </c>
      <c r="M352" s="17">
        <f t="shared" si="22"/>
        <v>11</v>
      </c>
      <c r="N352" s="18">
        <f t="shared" si="23"/>
        <v>0.6333333333333333</v>
      </c>
      <c r="O352" s="27" t="s">
        <v>1356</v>
      </c>
      <c r="P352" s="8" t="s">
        <v>1356</v>
      </c>
      <c r="Q352" s="8" t="s">
        <v>1356</v>
      </c>
      <c r="R352" s="8" t="s">
        <v>1356</v>
      </c>
      <c r="S352" s="27" t="s">
        <v>1356</v>
      </c>
      <c r="T352" s="27" t="s">
        <v>1356</v>
      </c>
      <c r="U352" s="8" t="s">
        <v>1356</v>
      </c>
      <c r="V352" s="8" t="s">
        <v>1356</v>
      </c>
      <c r="W352" s="8" t="s">
        <v>1356</v>
      </c>
      <c r="X352" s="27" t="s">
        <v>1356</v>
      </c>
      <c r="Y352" s="27" t="s">
        <v>1356</v>
      </c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19</v>
      </c>
      <c r="M359" s="17">
        <f t="shared" si="22"/>
        <v>11</v>
      </c>
      <c r="N359" s="18">
        <f t="shared" si="23"/>
        <v>0.6333333333333333</v>
      </c>
      <c r="O359" s="27" t="s">
        <v>1356</v>
      </c>
      <c r="P359" s="8" t="s">
        <v>1356</v>
      </c>
      <c r="Q359" s="8" t="s">
        <v>1356</v>
      </c>
      <c r="R359" s="8" t="s">
        <v>1356</v>
      </c>
      <c r="S359" s="27" t="s">
        <v>1356</v>
      </c>
      <c r="T359" s="27" t="s">
        <v>1356</v>
      </c>
      <c r="U359" s="8" t="s">
        <v>1356</v>
      </c>
      <c r="V359" s="8" t="s">
        <v>1356</v>
      </c>
      <c r="W359" s="8" t="s">
        <v>1356</v>
      </c>
      <c r="X359" s="27" t="s">
        <v>1356</v>
      </c>
      <c r="Y359" s="27" t="s">
        <v>1356</v>
      </c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19</v>
      </c>
      <c r="M360" s="17">
        <f t="shared" si="22"/>
        <v>11</v>
      </c>
      <c r="N360" s="18">
        <f t="shared" si="23"/>
        <v>0.6333333333333333</v>
      </c>
      <c r="O360" s="27" t="s">
        <v>1356</v>
      </c>
      <c r="P360" s="8" t="s">
        <v>1356</v>
      </c>
      <c r="Q360" s="8" t="s">
        <v>1356</v>
      </c>
      <c r="R360" s="8" t="s">
        <v>1356</v>
      </c>
      <c r="S360" s="27" t="s">
        <v>1356</v>
      </c>
      <c r="T360" s="27" t="s">
        <v>1356</v>
      </c>
      <c r="U360" s="8" t="s">
        <v>1356</v>
      </c>
      <c r="V360" s="8" t="s">
        <v>1356</v>
      </c>
      <c r="W360" s="8" t="s">
        <v>1356</v>
      </c>
      <c r="X360" s="27" t="s">
        <v>1356</v>
      </c>
      <c r="Y360" s="27" t="s">
        <v>1356</v>
      </c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19</v>
      </c>
      <c r="M361" s="17">
        <f t="shared" si="22"/>
        <v>11</v>
      </c>
      <c r="N361" s="18">
        <f t="shared" si="23"/>
        <v>0.6333333333333333</v>
      </c>
      <c r="O361" s="27" t="s">
        <v>1356</v>
      </c>
      <c r="P361" s="8" t="s">
        <v>1356</v>
      </c>
      <c r="Q361" s="8" t="s">
        <v>1356</v>
      </c>
      <c r="R361" s="8" t="s">
        <v>1356</v>
      </c>
      <c r="S361" s="27" t="s">
        <v>1356</v>
      </c>
      <c r="T361" s="27" t="s">
        <v>1356</v>
      </c>
      <c r="U361" s="8" t="s">
        <v>1356</v>
      </c>
      <c r="V361" s="8" t="s">
        <v>1356</v>
      </c>
      <c r="W361" s="8" t="s">
        <v>1356</v>
      </c>
      <c r="X361" s="27" t="s">
        <v>1356</v>
      </c>
      <c r="Y361" s="27" t="s">
        <v>1356</v>
      </c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19</v>
      </c>
      <c r="M362" s="17">
        <f t="shared" si="22"/>
        <v>11</v>
      </c>
      <c r="N362" s="18">
        <f t="shared" si="23"/>
        <v>0.6333333333333333</v>
      </c>
      <c r="O362" s="27" t="s">
        <v>1356</v>
      </c>
      <c r="P362" s="8" t="s">
        <v>1356</v>
      </c>
      <c r="Q362" s="8" t="s">
        <v>1356</v>
      </c>
      <c r="R362" s="8" t="s">
        <v>1356</v>
      </c>
      <c r="S362" s="27" t="s">
        <v>1356</v>
      </c>
      <c r="T362" s="27" t="s">
        <v>1356</v>
      </c>
      <c r="U362" s="8" t="s">
        <v>1356</v>
      </c>
      <c r="V362" s="8" t="s">
        <v>1356</v>
      </c>
      <c r="W362" s="8" t="s">
        <v>1356</v>
      </c>
      <c r="X362" s="27" t="s">
        <v>1356</v>
      </c>
      <c r="Y362" s="27" t="s">
        <v>1356</v>
      </c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24</v>
      </c>
      <c r="M363" s="17">
        <f t="shared" si="22"/>
        <v>6</v>
      </c>
      <c r="N363" s="18">
        <f t="shared" si="23"/>
        <v>0.8</v>
      </c>
      <c r="O363" s="27"/>
      <c r="P363" s="8"/>
      <c r="Q363" s="8"/>
      <c r="R363" s="8"/>
      <c r="S363" s="27"/>
      <c r="T363" s="27" t="s">
        <v>1356</v>
      </c>
      <c r="U363" s="8" t="s">
        <v>1356</v>
      </c>
      <c r="V363" s="8" t="s">
        <v>1356</v>
      </c>
      <c r="W363" s="8" t="s">
        <v>1356</v>
      </c>
      <c r="X363" s="27" t="s">
        <v>1356</v>
      </c>
      <c r="Y363" s="27" t="s">
        <v>1356</v>
      </c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1319</v>
      </c>
      <c r="D1" s="49">
        <f>COUNTIFS(E4:E369,"=Fibra Optica")</f>
        <v>238</v>
      </c>
    </row>
    <row r="2" spans="1:35" ht="21" x14ac:dyDescent="0.35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COUNTIFS(E4:E367,"=PTP A FO")</f>
        <v>38</v>
      </c>
    </row>
    <row r="2" spans="1:35" ht="21" x14ac:dyDescent="0.35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1321</v>
      </c>
      <c r="D1" s="50">
        <f>COUNTIFS(E4:E367,"=radio")</f>
        <v>88</v>
      </c>
    </row>
    <row r="2" spans="1:35" ht="21" x14ac:dyDescent="0.35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/>
      <c r="C12" s="54"/>
      <c r="D12" s="54"/>
      <c r="E12" s="54"/>
    </row>
    <row r="13" spans="1:7" x14ac:dyDescent="0.25">
      <c r="A13" s="25">
        <f>'APAGADOS RADIO'!Q3</f>
        <v>44724</v>
      </c>
      <c r="B13" s="54"/>
      <c r="C13" s="54"/>
      <c r="D13" s="54"/>
      <c r="E13" s="54"/>
    </row>
    <row r="14" spans="1:7" x14ac:dyDescent="0.25">
      <c r="A14" s="25">
        <f>'APAGADOS RADIO'!R3</f>
        <v>44725</v>
      </c>
      <c r="B14" s="54"/>
      <c r="C14" s="54"/>
      <c r="D14" s="54"/>
      <c r="E14" s="54"/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1351</v>
      </c>
      <c r="D1" s="69" t="s">
        <v>1352</v>
      </c>
    </row>
    <row r="2" spans="1:13" ht="16.5" thickTop="1" thickBot="1" x14ac:dyDescent="0.3">
      <c r="A2" s="66" t="s">
        <v>1348</v>
      </c>
      <c r="B2" s="77">
        <v>375</v>
      </c>
      <c r="C2" s="73"/>
      <c r="D2" s="70"/>
      <c r="E2" s="10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99">
        <v>44715</v>
      </c>
    </row>
    <row r="4" spans="1:13" x14ac:dyDescent="0.25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100"/>
    </row>
    <row r="5" spans="1:13" x14ac:dyDescent="0.25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100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519</v>
      </c>
      <c r="H6" s="89" t="s">
        <v>518</v>
      </c>
      <c r="I6" s="89" t="s">
        <v>113</v>
      </c>
      <c r="J6" s="89" t="s">
        <v>36</v>
      </c>
      <c r="K6" s="90" t="s">
        <v>1135</v>
      </c>
      <c r="L6" s="91" t="s">
        <v>1359</v>
      </c>
      <c r="M6" s="101"/>
    </row>
    <row r="7" spans="1:13" ht="15" customHeight="1" thickTop="1" thickBot="1" x14ac:dyDescent="0.3">
      <c r="A7" s="66" t="s">
        <v>1348</v>
      </c>
      <c r="B7" s="77">
        <v>375</v>
      </c>
      <c r="C7" s="73"/>
      <c r="D7" s="70"/>
      <c r="E7" s="102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152</v>
      </c>
      <c r="H8" s="81" t="s">
        <v>153</v>
      </c>
      <c r="I8" s="81" t="s">
        <v>24</v>
      </c>
      <c r="J8" s="81" t="s">
        <v>36</v>
      </c>
      <c r="K8" s="82" t="s">
        <v>971</v>
      </c>
      <c r="L8" s="83" t="s">
        <v>1357</v>
      </c>
      <c r="M8" s="99">
        <v>44718</v>
      </c>
    </row>
    <row r="9" spans="1:13" x14ac:dyDescent="0.25">
      <c r="A9" s="67" t="s">
        <v>1350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545</v>
      </c>
      <c r="H9" s="85" t="s">
        <v>546</v>
      </c>
      <c r="I9" s="85" t="s">
        <v>19</v>
      </c>
      <c r="J9" s="85" t="s">
        <v>943</v>
      </c>
      <c r="K9" s="86" t="s">
        <v>1147</v>
      </c>
      <c r="L9" s="87" t="s">
        <v>1358</v>
      </c>
      <c r="M9" s="100"/>
    </row>
    <row r="10" spans="1:13" x14ac:dyDescent="0.25">
      <c r="A10" s="67" t="s">
        <v>1349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552</v>
      </c>
      <c r="H10" s="85" t="s">
        <v>553</v>
      </c>
      <c r="I10" s="85" t="s">
        <v>19</v>
      </c>
      <c r="J10" s="85" t="s">
        <v>36</v>
      </c>
      <c r="K10" s="86" t="s">
        <v>1150</v>
      </c>
      <c r="L10" s="87" t="s">
        <v>1358</v>
      </c>
      <c r="M10" s="100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554</v>
      </c>
      <c r="H11" s="85" t="s">
        <v>553</v>
      </c>
      <c r="I11" s="85" t="s">
        <v>113</v>
      </c>
      <c r="J11" s="85" t="s">
        <v>36</v>
      </c>
      <c r="K11" s="86" t="s">
        <v>1149</v>
      </c>
      <c r="L11" s="87" t="s">
        <v>1358</v>
      </c>
      <c r="M11" s="100"/>
    </row>
    <row r="12" spans="1:13" ht="15.75" thickTop="1" x14ac:dyDescent="0.25">
      <c r="A12" s="66" t="s">
        <v>1348</v>
      </c>
      <c r="B12" s="77">
        <v>375</v>
      </c>
      <c r="C12" s="73"/>
      <c r="D12" s="70"/>
      <c r="E12" s="102">
        <v>44719</v>
      </c>
      <c r="G12" s="84" t="s">
        <v>519</v>
      </c>
      <c r="H12" s="85" t="s">
        <v>518</v>
      </c>
      <c r="I12" s="85" t="s">
        <v>113</v>
      </c>
      <c r="J12" s="85" t="s">
        <v>36</v>
      </c>
      <c r="K12" s="86" t="s">
        <v>1135</v>
      </c>
      <c r="L12" s="87" t="s">
        <v>1359</v>
      </c>
      <c r="M12" s="100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1350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">
      <c r="A15" s="67" t="s">
        <v>1349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152</v>
      </c>
      <c r="H16" s="81" t="s">
        <v>153</v>
      </c>
      <c r="I16" s="81" t="s">
        <v>24</v>
      </c>
      <c r="J16" s="81" t="s">
        <v>36</v>
      </c>
      <c r="K16" s="82" t="s">
        <v>971</v>
      </c>
      <c r="L16" s="83" t="s">
        <v>1357</v>
      </c>
      <c r="M16" s="105">
        <v>44719</v>
      </c>
    </row>
    <row r="17" spans="1:13" ht="15.75" thickTop="1" x14ac:dyDescent="0.25">
      <c r="A17" s="66" t="s">
        <v>1348</v>
      </c>
      <c r="B17" s="77">
        <v>375</v>
      </c>
      <c r="C17" s="73"/>
      <c r="D17" s="70"/>
      <c r="E17" s="102">
        <v>44720</v>
      </c>
      <c r="G17" s="84" t="s">
        <v>545</v>
      </c>
      <c r="H17" s="85" t="s">
        <v>546</v>
      </c>
      <c r="I17" s="85" t="s">
        <v>19</v>
      </c>
      <c r="J17" s="85" t="s">
        <v>943</v>
      </c>
      <c r="K17" s="86" t="s">
        <v>1147</v>
      </c>
      <c r="L17" s="87" t="s">
        <v>1358</v>
      </c>
      <c r="M17" s="106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552</v>
      </c>
      <c r="H18" s="85" t="s">
        <v>553</v>
      </c>
      <c r="I18" s="85" t="s">
        <v>19</v>
      </c>
      <c r="J18" s="85" t="s">
        <v>36</v>
      </c>
      <c r="K18" s="86" t="s">
        <v>1150</v>
      </c>
      <c r="L18" s="87" t="s">
        <v>1358</v>
      </c>
      <c r="M18" s="106"/>
    </row>
    <row r="19" spans="1:13" x14ac:dyDescent="0.25">
      <c r="A19" s="67" t="s">
        <v>1350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554</v>
      </c>
      <c r="H19" s="85" t="s">
        <v>553</v>
      </c>
      <c r="I19" s="85" t="s">
        <v>113</v>
      </c>
      <c r="J19" s="85" t="s">
        <v>36</v>
      </c>
      <c r="K19" s="86" t="s">
        <v>1149</v>
      </c>
      <c r="L19" s="87" t="s">
        <v>1358</v>
      </c>
      <c r="M19" s="106"/>
    </row>
    <row r="20" spans="1:13" x14ac:dyDescent="0.25">
      <c r="A20" s="67" t="s">
        <v>1349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519</v>
      </c>
      <c r="H20" s="85" t="s">
        <v>518</v>
      </c>
      <c r="I20" s="85" t="s">
        <v>113</v>
      </c>
      <c r="J20" s="85" t="s">
        <v>36</v>
      </c>
      <c r="K20" s="86" t="s">
        <v>1135</v>
      </c>
      <c r="L20" s="87" t="s">
        <v>1359</v>
      </c>
      <c r="M20" s="106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243</v>
      </c>
      <c r="H21" s="95" t="s">
        <v>244</v>
      </c>
      <c r="I21" s="95" t="s">
        <v>73</v>
      </c>
      <c r="J21" s="95" t="s">
        <v>36</v>
      </c>
      <c r="K21" s="95" t="s">
        <v>1341</v>
      </c>
      <c r="L21" s="96" t="s">
        <v>1359</v>
      </c>
      <c r="M21" s="107"/>
    </row>
    <row r="22" spans="1:13" ht="15.75" thickTop="1" x14ac:dyDescent="0.25">
      <c r="A22" s="66" t="s">
        <v>1348</v>
      </c>
      <c r="B22" s="77">
        <v>375</v>
      </c>
      <c r="C22" s="73"/>
      <c r="D22" s="70"/>
      <c r="E22" s="102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.75" thickTop="1" x14ac:dyDescent="0.25">
      <c r="A24" s="67" t="s">
        <v>1350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152</v>
      </c>
      <c r="H24" s="81" t="s">
        <v>153</v>
      </c>
      <c r="I24" s="81" t="s">
        <v>24</v>
      </c>
      <c r="J24" s="81" t="s">
        <v>36</v>
      </c>
      <c r="K24" s="82" t="s">
        <v>971</v>
      </c>
      <c r="L24" s="83" t="s">
        <v>1357</v>
      </c>
      <c r="M24" s="105">
        <v>44720</v>
      </c>
    </row>
    <row r="25" spans="1:13" x14ac:dyDescent="0.25">
      <c r="A25" s="67" t="s">
        <v>1349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243</v>
      </c>
      <c r="H25" s="85" t="s">
        <v>244</v>
      </c>
      <c r="I25" s="85" t="s">
        <v>73</v>
      </c>
      <c r="J25" s="85" t="s">
        <v>36</v>
      </c>
      <c r="K25" s="86" t="s">
        <v>1341</v>
      </c>
      <c r="L25" s="87" t="s">
        <v>1363</v>
      </c>
      <c r="M25" s="106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545</v>
      </c>
      <c r="H26" s="85" t="s">
        <v>546</v>
      </c>
      <c r="I26" s="85" t="s">
        <v>19</v>
      </c>
      <c r="J26" s="85" t="s">
        <v>943</v>
      </c>
      <c r="K26" s="86" t="s">
        <v>1147</v>
      </c>
      <c r="L26" s="87" t="s">
        <v>1358</v>
      </c>
      <c r="M26" s="106"/>
    </row>
    <row r="27" spans="1:13" ht="15.75" thickTop="1" x14ac:dyDescent="0.25">
      <c r="G27" s="84" t="s">
        <v>552</v>
      </c>
      <c r="H27" s="85" t="s">
        <v>553</v>
      </c>
      <c r="I27" s="85" t="s">
        <v>19</v>
      </c>
      <c r="J27" s="85" t="s">
        <v>36</v>
      </c>
      <c r="K27" s="86" t="s">
        <v>1150</v>
      </c>
      <c r="L27" s="87" t="s">
        <v>1358</v>
      </c>
      <c r="M27" s="106"/>
    </row>
    <row r="28" spans="1:13" x14ac:dyDescent="0.25">
      <c r="G28" s="84" t="s">
        <v>554</v>
      </c>
      <c r="H28" s="85" t="s">
        <v>553</v>
      </c>
      <c r="I28" s="85" t="s">
        <v>113</v>
      </c>
      <c r="J28" s="85" t="s">
        <v>36</v>
      </c>
      <c r="K28" s="86" t="s">
        <v>1149</v>
      </c>
      <c r="L28" s="87" t="s">
        <v>1358</v>
      </c>
      <c r="M28" s="106"/>
    </row>
    <row r="29" spans="1:13" ht="15.75" thickBot="1" x14ac:dyDescent="0.3">
      <c r="G29" s="94" t="s">
        <v>519</v>
      </c>
      <c r="H29" s="95" t="s">
        <v>518</v>
      </c>
      <c r="I29" s="95" t="s">
        <v>113</v>
      </c>
      <c r="J29" s="95" t="s">
        <v>36</v>
      </c>
      <c r="K29" s="95" t="s">
        <v>1135</v>
      </c>
      <c r="L29" s="96" t="s">
        <v>1359</v>
      </c>
      <c r="M29" s="107"/>
    </row>
    <row r="30" spans="1:13" ht="15.75" thickTop="1" x14ac:dyDescent="0.25"/>
    <row r="32" spans="1:13" x14ac:dyDescent="0.25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945</v>
      </c>
      <c r="L32" s="97" t="s">
        <v>1364</v>
      </c>
    </row>
    <row r="33" spans="7:12" x14ac:dyDescent="0.25">
      <c r="G33" s="55" t="s">
        <v>243</v>
      </c>
      <c r="H33" s="54" t="s">
        <v>244</v>
      </c>
      <c r="I33" s="54" t="s">
        <v>73</v>
      </c>
      <c r="J33" s="54" t="s">
        <v>36</v>
      </c>
      <c r="K33" s="16" t="s">
        <v>1341</v>
      </c>
      <c r="L33" s="97" t="s">
        <v>1363</v>
      </c>
    </row>
    <row r="34" spans="7:12" x14ac:dyDescent="0.25">
      <c r="G34" s="55" t="s">
        <v>319</v>
      </c>
      <c r="H34" s="54" t="s">
        <v>320</v>
      </c>
      <c r="I34" s="54" t="s">
        <v>24</v>
      </c>
      <c r="J34" s="54" t="s">
        <v>36</v>
      </c>
      <c r="K34" s="16" t="s">
        <v>1053</v>
      </c>
      <c r="L34" s="97" t="s">
        <v>1365</v>
      </c>
    </row>
    <row r="35" spans="7:12" x14ac:dyDescent="0.25">
      <c r="G35" s="55" t="s">
        <v>545</v>
      </c>
      <c r="H35" s="54" t="s">
        <v>546</v>
      </c>
      <c r="I35" s="54" t="s">
        <v>19</v>
      </c>
      <c r="J35" s="54" t="s">
        <v>943</v>
      </c>
      <c r="K35" s="16" t="s">
        <v>1147</v>
      </c>
      <c r="L35" s="97" t="s">
        <v>1358</v>
      </c>
    </row>
    <row r="36" spans="7:12" x14ac:dyDescent="0.25">
      <c r="G36" s="55" t="s">
        <v>552</v>
      </c>
      <c r="H36" s="54" t="s">
        <v>553</v>
      </c>
      <c r="I36" s="54" t="s">
        <v>19</v>
      </c>
      <c r="J36" s="54" t="s">
        <v>36</v>
      </c>
      <c r="K36" s="16" t="s">
        <v>1150</v>
      </c>
      <c r="L36" s="97" t="s">
        <v>1358</v>
      </c>
    </row>
    <row r="37" spans="7:12" x14ac:dyDescent="0.25">
      <c r="G37" s="55" t="s">
        <v>554</v>
      </c>
      <c r="H37" s="54" t="s">
        <v>553</v>
      </c>
      <c r="I37" s="54" t="s">
        <v>113</v>
      </c>
      <c r="J37" s="54" t="s">
        <v>36</v>
      </c>
      <c r="K37" s="16" t="s">
        <v>1149</v>
      </c>
      <c r="L37" s="97" t="s">
        <v>1358</v>
      </c>
    </row>
    <row r="38" spans="7:12" x14ac:dyDescent="0.25">
      <c r="G38" s="55" t="s">
        <v>519</v>
      </c>
      <c r="H38" s="54" t="s">
        <v>518</v>
      </c>
      <c r="I38" s="54" t="s">
        <v>113</v>
      </c>
      <c r="J38" s="54" t="s">
        <v>36</v>
      </c>
      <c r="K38" s="16" t="s">
        <v>1135</v>
      </c>
      <c r="L38" s="98" t="s">
        <v>1359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2022-06-13T10:41:28Z</dcterms:modified>
</cp:coreProperties>
</file>