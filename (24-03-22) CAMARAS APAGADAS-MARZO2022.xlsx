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87A8AFB7-5C50-468F-912A-AB3993F2FDF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1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E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A369" i="11" l="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O2" i="11"/>
  <c r="B11" i="14" s="1"/>
  <c r="D1" i="10"/>
  <c r="AE2" i="21"/>
  <c r="AF2" i="21"/>
  <c r="AB2" i="10"/>
  <c r="C24" i="14" s="1"/>
  <c r="AD2" i="10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E24" i="14" s="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3" i="14" l="1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<sst xmlns="http://schemas.openxmlformats.org/spreadsheetml/2006/main" count="4161" uniqueCount="1333">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</sst>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M358" activePane="bottomRight" state="frozen"/>
      <selection pane="topRight" activeCell="M1" sqref="M1"/>
      <selection pane="bottomLeft" activeCell="A5" sqref="A5"/>
      <selection pane="bottomRight" activeCell="AM370" sqref="AM370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0.2391304347826087</v>
      </c>
      <c r="AM1" s="4">
        <f t="shared" si="0"/>
        <v>0.14402173913043478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14</v>
      </c>
      <c r="M5" s="17">
        <f t="shared" ref="M5:M68" si="6">COUNTIF(O5:AP5,"APAGADO")</f>
        <v>14</v>
      </c>
      <c r="N5" s="18">
        <f t="shared" ref="N5:N68" si="7">(L5)/(M5+L5)</f>
        <v>0.5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26</v>
      </c>
      <c r="M10" s="17">
        <f t="shared" si="6"/>
        <v>2</v>
      </c>
      <c r="N10" s="18">
        <f t="shared" si="7"/>
        <v>0.9285714285714286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/>
      <c r="AO13" s="8"/>
      <c r="AP13" s="8"/>
      <c r="AQ13" s="27"/>
      <c r="AR13" s="27"/>
      <c r="AS13" s="27"/>
    </row>
    <row r="14" spans="1:45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23</v>
      </c>
      <c r="M14" s="17">
        <f t="shared" si="6"/>
        <v>5</v>
      </c>
      <c r="N14" s="18">
        <f t="shared" si="7"/>
        <v>0.8214285714285714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25</v>
      </c>
      <c r="M17" s="17">
        <f t="shared" si="6"/>
        <v>3</v>
      </c>
      <c r="N17" s="18">
        <f t="shared" si="7"/>
        <v>0.8928571428571429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25</v>
      </c>
      <c r="M18" s="17">
        <f t="shared" si="6"/>
        <v>3</v>
      </c>
      <c r="N18" s="18">
        <f t="shared" si="7"/>
        <v>0.8928571428571429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20</v>
      </c>
      <c r="M30" s="17">
        <f t="shared" si="6"/>
        <v>8</v>
      </c>
      <c r="N30" s="18">
        <f t="shared" si="7"/>
        <v>0.7142857142857143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17</v>
      </c>
      <c r="M70" s="17">
        <f t="shared" si="9"/>
        <v>11</v>
      </c>
      <c r="N70" s="18">
        <f t="shared" si="10"/>
        <v>0.6071428571428571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3</v>
      </c>
      <c r="M80" s="17">
        <f t="shared" si="9"/>
        <v>25</v>
      </c>
      <c r="N80" s="18">
        <f t="shared" si="10"/>
        <v>0.10714285714285714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3</v>
      </c>
      <c r="M91" s="17">
        <f t="shared" si="9"/>
        <v>25</v>
      </c>
      <c r="N91" s="18">
        <f t="shared" si="10"/>
        <v>0.10714285714285714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3</v>
      </c>
      <c r="M92" s="17">
        <f t="shared" si="9"/>
        <v>25</v>
      </c>
      <c r="N92" s="18">
        <f t="shared" si="10"/>
        <v>0.10714285714285714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20</v>
      </c>
      <c r="M106" s="17">
        <f t="shared" si="9"/>
        <v>8</v>
      </c>
      <c r="N106" s="18">
        <f t="shared" si="10"/>
        <v>0.7142857142857143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20</v>
      </c>
      <c r="M107" s="17">
        <f t="shared" si="9"/>
        <v>8</v>
      </c>
      <c r="N107" s="18">
        <f t="shared" si="10"/>
        <v>0.7142857142857143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20</v>
      </c>
      <c r="M108" s="17">
        <f t="shared" si="9"/>
        <v>8</v>
      </c>
      <c r="N108" s="18">
        <f t="shared" si="10"/>
        <v>0.7142857142857143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20</v>
      </c>
      <c r="M109" s="17">
        <f t="shared" si="9"/>
        <v>8</v>
      </c>
      <c r="N109" s="18">
        <f t="shared" si="10"/>
        <v>0.7142857142857143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19</v>
      </c>
      <c r="M122" s="17">
        <f t="shared" si="9"/>
        <v>9</v>
      </c>
      <c r="N122" s="18">
        <f t="shared" si="10"/>
        <v>0.6785714285714286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19</v>
      </c>
      <c r="M123" s="17">
        <f t="shared" si="9"/>
        <v>9</v>
      </c>
      <c r="N123" s="18">
        <f t="shared" si="10"/>
        <v>0.6785714285714286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3</v>
      </c>
      <c r="M133" s="17">
        <f t="shared" ref="M133:M196" si="12">COUNTIF(O133:AP133,"APAGADO")</f>
        <v>25</v>
      </c>
      <c r="N133" s="18">
        <f t="shared" ref="N133:N196" si="13">(L133)/(M133+L133)</f>
        <v>0.10714285714285714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26</v>
      </c>
      <c r="M136" s="17">
        <f t="shared" si="12"/>
        <v>2</v>
      </c>
      <c r="N136" s="18">
        <f t="shared" si="13"/>
        <v>0.9285714285714286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10</v>
      </c>
      <c r="M153" s="17">
        <f t="shared" si="12"/>
        <v>18</v>
      </c>
      <c r="N153" s="18">
        <f t="shared" si="13"/>
        <v>0.35714285714285715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4</v>
      </c>
      <c r="M156" s="17">
        <f t="shared" si="12"/>
        <v>24</v>
      </c>
      <c r="N156" s="18">
        <f t="shared" si="13"/>
        <v>0.14285714285714285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18</v>
      </c>
      <c r="M169" s="17">
        <f t="shared" si="12"/>
        <v>10</v>
      </c>
      <c r="N169" s="18">
        <f t="shared" si="13"/>
        <v>0.6428571428571429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10</v>
      </c>
      <c r="M171" s="17">
        <f t="shared" si="12"/>
        <v>18</v>
      </c>
      <c r="N171" s="18">
        <f t="shared" si="13"/>
        <v>0.35714285714285715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24</v>
      </c>
      <c r="M173" s="17">
        <f t="shared" si="12"/>
        <v>4</v>
      </c>
      <c r="N173" s="18">
        <f t="shared" si="13"/>
        <v>0.8571428571428571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14</v>
      </c>
      <c r="M174" s="17">
        <f t="shared" si="12"/>
        <v>14</v>
      </c>
      <c r="N174" s="18">
        <f t="shared" si="13"/>
        <v>0.5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20</v>
      </c>
      <c r="M180" s="17">
        <f t="shared" si="12"/>
        <v>8</v>
      </c>
      <c r="N180" s="18">
        <f t="shared" si="13"/>
        <v>0.7142857142857143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/>
      <c r="AO180" s="8"/>
      <c r="AP180" s="8"/>
      <c r="AQ180" s="27"/>
      <c r="AR180" s="27"/>
      <c r="AS180" s="27"/>
    </row>
    <row r="181" spans="1:45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3</v>
      </c>
      <c r="M191" s="17">
        <f t="shared" si="12"/>
        <v>25</v>
      </c>
      <c r="N191" s="18">
        <f t="shared" si="13"/>
        <v>0.10714285714285714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3</v>
      </c>
      <c r="M192" s="17">
        <f t="shared" si="12"/>
        <v>25</v>
      </c>
      <c r="N192" s="18">
        <f t="shared" si="13"/>
        <v>0.10714285714285714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9</v>
      </c>
      <c r="M193" s="17">
        <f t="shared" si="12"/>
        <v>19</v>
      </c>
      <c r="N193" s="18">
        <f t="shared" si="13"/>
        <v>0.32142857142857145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15</v>
      </c>
      <c r="M197" s="17">
        <f t="shared" ref="M197:M262" si="15">COUNTIF(O197:AP197,"APAGADO")</f>
        <v>13</v>
      </c>
      <c r="N197" s="18">
        <f t="shared" ref="N197:N262" si="16">(L197)/(M197+L197)</f>
        <v>0.5357142857142857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19</v>
      </c>
      <c r="M198" s="17">
        <f t="shared" si="15"/>
        <v>9</v>
      </c>
      <c r="N198" s="18">
        <f t="shared" si="16"/>
        <v>0.6785714285714286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22</v>
      </c>
      <c r="M199" s="17">
        <f t="shared" si="15"/>
        <v>6</v>
      </c>
      <c r="N199" s="18">
        <f t="shared" si="16"/>
        <v>0.7857142857142857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25</v>
      </c>
      <c r="M200" s="17">
        <f t="shared" si="15"/>
        <v>3</v>
      </c>
      <c r="N200" s="18">
        <f t="shared" si="16"/>
        <v>0.8928571428571429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4</v>
      </c>
      <c r="M206" s="17">
        <f t="shared" si="15"/>
        <v>24</v>
      </c>
      <c r="N206" s="18">
        <f t="shared" si="16"/>
        <v>0.14285714285714285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23</v>
      </c>
      <c r="M207" s="17">
        <f t="shared" si="15"/>
        <v>5</v>
      </c>
      <c r="N207" s="18">
        <f t="shared" si="16"/>
        <v>0.8214285714285714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25</v>
      </c>
      <c r="M208" s="17">
        <f t="shared" si="15"/>
        <v>3</v>
      </c>
      <c r="N208" s="18">
        <f t="shared" si="16"/>
        <v>0.8928571428571429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21</v>
      </c>
      <c r="M211" s="17">
        <f t="shared" si="15"/>
        <v>7</v>
      </c>
      <c r="N211" s="18">
        <f t="shared" si="16"/>
        <v>0.75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21</v>
      </c>
      <c r="M212" s="17">
        <f t="shared" si="15"/>
        <v>7</v>
      </c>
      <c r="N212" s="18">
        <f t="shared" si="16"/>
        <v>0.75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14</v>
      </c>
      <c r="M224" s="17">
        <f t="shared" si="15"/>
        <v>14</v>
      </c>
      <c r="N224" s="18">
        <f t="shared" si="16"/>
        <v>0.5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23</v>
      </c>
      <c r="M230" s="17">
        <f t="shared" si="15"/>
        <v>5</v>
      </c>
      <c r="N230" s="18">
        <f t="shared" si="16"/>
        <v>0.8214285714285714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23</v>
      </c>
      <c r="M279" s="17">
        <f t="shared" si="18"/>
        <v>5</v>
      </c>
      <c r="N279" s="18">
        <f t="shared" si="19"/>
        <v>0.8214285714285714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10</v>
      </c>
      <c r="M281" s="17">
        <f t="shared" si="18"/>
        <v>18</v>
      </c>
      <c r="N281" s="18">
        <f t="shared" si="19"/>
        <v>0.35714285714285715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6</v>
      </c>
      <c r="M282" s="17">
        <f t="shared" si="18"/>
        <v>22</v>
      </c>
      <c r="N282" s="18">
        <f t="shared" si="19"/>
        <v>0.21428571428571427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21</v>
      </c>
      <c r="M284" s="17">
        <f t="shared" si="18"/>
        <v>7</v>
      </c>
      <c r="N284" s="18">
        <f t="shared" si="19"/>
        <v>0.75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21</v>
      </c>
      <c r="M285" s="17">
        <f t="shared" si="18"/>
        <v>7</v>
      </c>
      <c r="N285" s="18">
        <f t="shared" si="19"/>
        <v>0.75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26</v>
      </c>
      <c r="M291" s="17">
        <f t="shared" si="18"/>
        <v>2</v>
      </c>
      <c r="N291" s="18">
        <f t="shared" si="19"/>
        <v>0.9285714285714286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26</v>
      </c>
      <c r="M303" s="17">
        <f t="shared" si="18"/>
        <v>2</v>
      </c>
      <c r="N303" s="18">
        <f t="shared" si="19"/>
        <v>0.9285714285714286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26</v>
      </c>
      <c r="M358" s="17">
        <f t="shared" si="21"/>
        <v>2</v>
      </c>
      <c r="N358" s="18">
        <f t="shared" si="22"/>
        <v>0.9285714285714286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13</v>
      </c>
      <c r="M369" s="17">
        <f t="shared" si="21"/>
        <v>15</v>
      </c>
      <c r="N369" s="18">
        <f t="shared" si="22"/>
        <v>0.4642857142857143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/>
      <c r="AO369" s="8"/>
      <c r="AP369" s="8"/>
      <c r="AQ369" s="27"/>
      <c r="AR369" s="27"/>
      <c r="AS369" s="27"/>
    </row>
    <row r="370" spans="1:45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27</v>
      </c>
      <c r="M371" s="17">
        <f t="shared" ref="M371:M372" si="24">COUNTIF(O371:AP371,"APAGADO")</f>
        <v>1</v>
      </c>
      <c r="N371" s="18">
        <f t="shared" ref="N371:N372" si="25">(L371)/(M371+L371)</f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27</v>
      </c>
      <c r="M372" s="17">
        <f t="shared" si="24"/>
        <v>1</v>
      </c>
      <c r="N372" s="18">
        <f t="shared" si="25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/>
      <c r="AQ372" s="27"/>
      <c r="AR372" s="27"/>
      <c r="AS372" s="27"/>
    </row>
    <row r="373" spans="1:45" x14ac:dyDescent="0.25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25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25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25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1312</v>
      </c>
    </row>
    <row r="2" spans="1:1" ht="15.75" thickBot="1" x14ac:dyDescent="0.3"/>
    <row r="3" spans="1:1" ht="20.25" thickTop="1" thickBot="1" x14ac:dyDescent="0.3">
      <c r="A3" s="48">
        <v>44621</v>
      </c>
    </row>
    <row r="4" spans="1:1" ht="20.25" thickTop="1" thickBot="1" x14ac:dyDescent="0.3">
      <c r="A4" s="48">
        <v>44622</v>
      </c>
    </row>
    <row r="5" spans="1:1" ht="20.25" thickTop="1" thickBot="1" x14ac:dyDescent="0.3">
      <c r="A5" s="48">
        <v>44623</v>
      </c>
    </row>
    <row r="6" spans="1:1" ht="20.25" thickTop="1" thickBot="1" x14ac:dyDescent="0.3">
      <c r="A6" s="48">
        <v>44624</v>
      </c>
    </row>
    <row r="7" spans="1:1" ht="20.25" thickTop="1" thickBot="1" x14ac:dyDescent="0.3">
      <c r="A7" s="48">
        <v>44625</v>
      </c>
    </row>
    <row r="8" spans="1:1" ht="20.25" thickTop="1" thickBot="1" x14ac:dyDescent="0.3">
      <c r="A8" s="48">
        <v>44626</v>
      </c>
    </row>
    <row r="9" spans="1:1" ht="20.25" thickTop="1" thickBot="1" x14ac:dyDescent="0.3">
      <c r="A9" s="48">
        <v>44627</v>
      </c>
    </row>
    <row r="10" spans="1:1" ht="20.25" thickTop="1" thickBot="1" x14ac:dyDescent="0.3">
      <c r="A10" s="48">
        <v>44628</v>
      </c>
    </row>
    <row r="11" spans="1:1" ht="20.25" thickTop="1" thickBot="1" x14ac:dyDescent="0.3">
      <c r="A11" s="48">
        <v>44629</v>
      </c>
    </row>
    <row r="12" spans="1:1" ht="20.25" thickTop="1" thickBot="1" x14ac:dyDescent="0.3">
      <c r="A12" s="48">
        <v>44630</v>
      </c>
    </row>
    <row r="13" spans="1:1" ht="20.25" thickTop="1" thickBot="1" x14ac:dyDescent="0.3">
      <c r="A13" s="48">
        <v>44631</v>
      </c>
    </row>
    <row r="14" spans="1:1" ht="20.25" thickTop="1" thickBot="1" x14ac:dyDescent="0.3">
      <c r="A14" s="48">
        <v>44632</v>
      </c>
    </row>
    <row r="15" spans="1:1" ht="20.25" thickTop="1" thickBot="1" x14ac:dyDescent="0.3">
      <c r="A15" s="48">
        <v>44633</v>
      </c>
    </row>
    <row r="16" spans="1:1" ht="20.25" thickTop="1" thickBot="1" x14ac:dyDescent="0.3">
      <c r="A16" s="48">
        <v>44634</v>
      </c>
    </row>
    <row r="17" spans="1:2" ht="20.25" thickTop="1" thickBot="1" x14ac:dyDescent="0.3">
      <c r="A17" s="48">
        <v>44635</v>
      </c>
    </row>
    <row r="18" spans="1:2" ht="20.25" thickTop="1" thickBot="1" x14ac:dyDescent="0.3">
      <c r="A18" s="48">
        <v>44636</v>
      </c>
    </row>
    <row r="19" spans="1:2" ht="20.25" thickTop="1" thickBot="1" x14ac:dyDescent="0.3">
      <c r="A19" s="48">
        <v>44637</v>
      </c>
    </row>
    <row r="20" spans="1:2" ht="20.25" thickTop="1" thickBot="1" x14ac:dyDescent="0.3">
      <c r="A20" s="48">
        <v>44638</v>
      </c>
    </row>
    <row r="21" spans="1:2" ht="20.25" thickTop="1" thickBot="1" x14ac:dyDescent="0.3">
      <c r="A21" s="48">
        <v>44639</v>
      </c>
    </row>
    <row r="22" spans="1:2" ht="20.25" thickTop="1" thickBot="1" x14ac:dyDescent="0.3">
      <c r="A22" s="48">
        <v>44640</v>
      </c>
    </row>
    <row r="23" spans="1:2" ht="20.25" thickTop="1" thickBot="1" x14ac:dyDescent="0.3">
      <c r="A23" s="48">
        <v>44641</v>
      </c>
      <c r="B23" s="49"/>
    </row>
    <row r="24" spans="1:2" ht="20.25" thickTop="1" thickBot="1" x14ac:dyDescent="0.3">
      <c r="A24" s="48">
        <v>44642</v>
      </c>
      <c r="B24" s="50"/>
    </row>
    <row r="25" spans="1:2" ht="20.25" thickTop="1" thickBot="1" x14ac:dyDescent="0.3">
      <c r="A25" s="48">
        <v>44643</v>
      </c>
    </row>
    <row r="26" spans="1:2" ht="20.25" thickTop="1" thickBot="1" x14ac:dyDescent="0.3">
      <c r="A26" s="48">
        <v>44644</v>
      </c>
    </row>
    <row r="27" spans="1:2" ht="20.25" thickTop="1" thickBot="1" x14ac:dyDescent="0.3">
      <c r="A27" s="48">
        <v>44645</v>
      </c>
    </row>
    <row r="28" spans="1:2" ht="20.25" thickTop="1" thickBot="1" x14ac:dyDescent="0.3">
      <c r="A28" s="48">
        <v>44646</v>
      </c>
    </row>
    <row r="29" spans="1:2" ht="20.25" thickTop="1" thickBot="1" x14ac:dyDescent="0.3">
      <c r="A29" s="48">
        <v>44647</v>
      </c>
    </row>
    <row r="30" spans="1:2" ht="20.25" thickTop="1" thickBot="1" x14ac:dyDescent="0.3">
      <c r="A30" s="48">
        <v>44648</v>
      </c>
    </row>
    <row r="31" spans="1:2" ht="20.25" thickTop="1" thickBot="1" x14ac:dyDescent="0.3">
      <c r="A31" s="48">
        <v>44649</v>
      </c>
    </row>
    <row r="32" spans="1:2" ht="20.25" thickTop="1" thickBot="1" x14ac:dyDescent="0.3">
      <c r="A32" s="48">
        <v>44650</v>
      </c>
    </row>
    <row r="33" spans="1:1" ht="20.25" thickTop="1" thickBot="1" x14ac:dyDescent="0.3">
      <c r="A33" s="48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25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25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25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25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193" sqref="A193:XFD19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1323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 t="shared" ref="AD2" si="0">COUNTIFS(AD4:AD367, "=APAGADO",AC4:AC367,"=Fibra Optica")</f>
        <v>0</v>
      </c>
      <c r="AE2" s="26">
        <f t="shared" ref="AE2" si="1">COUNTIFS(AE4:AE367, "=APAGADO",AC4:AC367,"=Fibra Optica")</f>
        <v>0</v>
      </c>
      <c r="AF2" s="26">
        <f t="shared" ref="AF2" si="2">COUNTIFS(AF4:AF367, "=APAGADO",AC4:AC367,"=Fibra Optica")</f>
        <v>0</v>
      </c>
      <c r="AG2" s="26">
        <f t="shared" ref="AG2" si="3">COUNTIFS(AG4:AG367, "=APAGADO",AC4:AC367,"=Fibra Optica")</f>
        <v>0</v>
      </c>
      <c r="AH2" s="26">
        <f t="shared" ref="AH2" si="4">COUNTIFS(AH4:AH367, "=APAGADO",AD4:AD367,"=Fibra Optica")</f>
        <v>0</v>
      </c>
      <c r="AI2" s="26">
        <f t="shared" ref="AI2" si="5">COUNTIFS(AI4:AI367, "=APAGADO",AE4:AE367,"=Fibra Optica")</f>
        <v>0</v>
      </c>
      <c r="AJ2" s="26">
        <f t="shared" ref="AJ2" si="6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7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B3" sqref="AB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1324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7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1325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7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C1" zoomScale="140" zoomScaleNormal="140"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24" sqref="D24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25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25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25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25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25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25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25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25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25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25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25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25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25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25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25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25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25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25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25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25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25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25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25">
      <c r="A25" s="25">
        <f>'APAGADOS RADIO'!AC3</f>
        <v>44644</v>
      </c>
      <c r="B25" s="30"/>
      <c r="C25" s="30"/>
      <c r="F25">
        <f>'RESUMEN TOTAL'!C1</f>
        <v>368</v>
      </c>
    </row>
    <row r="26" spans="1:6" x14ac:dyDescent="0.25">
      <c r="A26" s="25">
        <f>'APAGADOS RADIO'!AD3</f>
        <v>44645</v>
      </c>
      <c r="B26" s="30"/>
      <c r="C26" s="30"/>
      <c r="F26">
        <f>'RESUMEN TOTAL'!C1</f>
        <v>368</v>
      </c>
    </row>
    <row r="27" spans="1:6" x14ac:dyDescent="0.25">
      <c r="A27" s="25">
        <f>'APAGADOS RADIO'!AE3</f>
        <v>44646</v>
      </c>
      <c r="F27">
        <f>'RESUMEN TOTAL'!C1</f>
        <v>368</v>
      </c>
    </row>
    <row r="28" spans="1:6" x14ac:dyDescent="0.25">
      <c r="A28" s="25">
        <f>'APAGADOS RADIO'!AF3</f>
        <v>44647</v>
      </c>
      <c r="F28">
        <f>'RESUMEN TOTAL'!C1</f>
        <v>368</v>
      </c>
    </row>
    <row r="29" spans="1:6" x14ac:dyDescent="0.25">
      <c r="A29" s="25">
        <f>'APAGADOS RADIO'!AG3</f>
        <v>44648</v>
      </c>
      <c r="F29">
        <f>'RESUMEN TOTAL'!C1</f>
        <v>368</v>
      </c>
    </row>
    <row r="30" spans="1:6" x14ac:dyDescent="0.25">
      <c r="A30" s="25">
        <f>'APAGADOS RADIO'!AH3</f>
        <v>44649</v>
      </c>
      <c r="F30">
        <f>'RESUMEN TOTAL'!C1</f>
        <v>368</v>
      </c>
    </row>
    <row r="31" spans="1:6" x14ac:dyDescent="0.25">
      <c r="A31" s="25">
        <f>'APAGADOS RADIO'!AI3</f>
        <v>44650</v>
      </c>
      <c r="F31">
        <f>'RESUMEN TOTAL'!C1</f>
        <v>368</v>
      </c>
    </row>
    <row r="32" spans="1:6" x14ac:dyDescent="0.25">
      <c r="A32" s="25">
        <f>'APAGADOS RADIO'!AJ3</f>
        <v>44651</v>
      </c>
      <c r="F32">
        <f>'RESUMEN TOTAL'!C1</f>
        <v>368</v>
      </c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2022-03-25T13:02:06Z</dcterms:modified>
</cp:coreProperties>
</file>