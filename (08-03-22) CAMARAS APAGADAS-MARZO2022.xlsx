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Users\JLDALLEVA\Downloads\"/>
    </mc:Choice>
  </mc:AlternateContent>
  <xr:revisionPtr revIDLastSave="0" documentId="13_ncr:1_{8BBF8EF4-EFE4-4994-A1C2-CFAE74E6C4BA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4" l="1"/>
  <c r="B8" i="14"/>
  <c r="B7" i="14"/>
  <c r="B6" i="14"/>
  <c r="B5" i="14"/>
  <c r="B4" i="14"/>
  <c r="D9" i="14"/>
  <c r="D8" i="14"/>
  <c r="D7" i="14"/>
  <c r="D6" i="14"/>
  <c r="D5" i="14"/>
  <c r="D4" i="14"/>
  <c r="D3" i="14"/>
  <c r="C9" i="14"/>
  <c r="C8" i="14"/>
  <c r="C7" i="14"/>
  <c r="C6" i="14"/>
  <c r="C5" i="14"/>
  <c r="C4" i="14"/>
  <c r="F32" i="14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E9" i="14" l="1"/>
  <c r="E8" i="14"/>
  <c r="E7" i="14"/>
  <c r="E6" i="14"/>
  <c r="E5" i="14"/>
  <c r="E4" i="14"/>
  <c r="L370" i="2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M1" i="21" l="1"/>
  <c r="M259" i="2"/>
  <c r="AE2" i="10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<sst xmlns="http://schemas.openxmlformats.org/spreadsheetml/2006/main" count="3148" uniqueCount="1325">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</sst>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workbookViewId="0">
      <pane xSplit="13" ySplit="4" topLeftCell="U188" activePane="bottomRight" state="frozen"/>
      <selection pane="topRight" activeCell="M1" sqref="M1"/>
      <selection pane="bottomLeft" activeCell="A5" sqref="A5"/>
      <selection pane="bottomRight" activeCell="U197" sqref="U197"/>
    </sheetView>
  </sheetViews>
  <sheetFormatPr baseColWidth="10" defaultRowHeight="14.4" x14ac:dyDescent="0.3"/>
  <cols>
    <col min="1" max="1" width="16.6640625" hidden="1" customWidth="1"/>
    <col min="2" max="2" width="38.109375" style="46" bestFit="1" customWidth="1"/>
    <col min="3" max="3" width="33.33203125" customWidth="1"/>
    <col min="4" max="4" width="15.6640625" style="23" customWidth="1"/>
    <col min="5" max="5" width="17.44140625" style="24" customWidth="1"/>
    <col min="6" max="9" width="6.33203125" style="24" hidden="1" customWidth="1"/>
    <col min="10" max="10" width="13.6640625" style="24" customWidth="1"/>
    <col min="11" max="11" width="14.6640625" customWidth="1"/>
    <col min="12" max="12" width="6.6640625" customWidth="1"/>
    <col min="13" max="13" width="11.5546875" style="5"/>
    <col min="14" max="44" width="8.6640625" style="22" customWidth="1"/>
  </cols>
  <sheetData>
    <row r="1" spans="1:44" s="5" customFormat="1" ht="27.75" customHeight="1" thickTop="1" x14ac:dyDescent="0.3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0.19230769230769232</v>
      </c>
      <c r="S1" s="4">
        <f t="shared" si="0"/>
        <v>0.18956043956043955</v>
      </c>
      <c r="T1" s="4">
        <f t="shared" si="0"/>
        <v>0.19559228650137742</v>
      </c>
      <c r="U1" s="4">
        <f t="shared" si="0"/>
        <v>0.18406593406593408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3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294</v>
      </c>
      <c r="S2" s="10">
        <f t="shared" si="2"/>
        <v>295</v>
      </c>
      <c r="T2" s="10">
        <f t="shared" si="2"/>
        <v>292</v>
      </c>
      <c r="U2" s="10">
        <f t="shared" si="2"/>
        <v>297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" thickBot="1" x14ac:dyDescent="0.35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70</v>
      </c>
      <c r="S3" s="14">
        <f t="shared" si="4"/>
        <v>69</v>
      </c>
      <c r="T3" s="14">
        <f t="shared" si="4"/>
        <v>71</v>
      </c>
      <c r="U3" s="14">
        <f t="shared" si="4"/>
        <v>67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5.6" thickTop="1" thickBot="1" x14ac:dyDescent="0.35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20</v>
      </c>
      <c r="L5" s="17">
        <f t="shared" ref="L5:L68" si="7">COUNTIF(N5:AO5,"APAGADO")</f>
        <v>8</v>
      </c>
      <c r="M5" s="18">
        <f t="shared" ref="M5:M68" si="8">(K5)/(L5+K5)</f>
        <v>0.7142857142857143</v>
      </c>
      <c r="N5" s="30" t="s">
        <v>942</v>
      </c>
      <c r="O5" s="19" t="s">
        <v>942</v>
      </c>
      <c r="P5" s="19" t="s">
        <v>942</v>
      </c>
      <c r="Q5" s="19" t="s">
        <v>942</v>
      </c>
      <c r="R5" s="30" t="s">
        <v>942</v>
      </c>
      <c r="S5" s="30" t="s">
        <v>942</v>
      </c>
      <c r="T5" s="19" t="s">
        <v>942</v>
      </c>
      <c r="U5" s="19" t="s">
        <v>942</v>
      </c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" thickBot="1" x14ac:dyDescent="0.35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" thickBot="1" x14ac:dyDescent="0.35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" thickBot="1" x14ac:dyDescent="0.35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" thickBot="1" x14ac:dyDescent="0.35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" thickBot="1" x14ac:dyDescent="0.35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" thickBot="1" x14ac:dyDescent="0.35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" thickBot="1" x14ac:dyDescent="0.35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" thickBot="1" x14ac:dyDescent="0.35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" thickBot="1" x14ac:dyDescent="0.35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" thickBot="1" x14ac:dyDescent="0.35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" thickBot="1" x14ac:dyDescent="0.35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" thickBot="1" x14ac:dyDescent="0.35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" thickBot="1" x14ac:dyDescent="0.35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" thickBot="1" x14ac:dyDescent="0.35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21</v>
      </c>
      <c r="L19" s="17">
        <f t="shared" si="7"/>
        <v>7</v>
      </c>
      <c r="M19" s="18">
        <f t="shared" si="8"/>
        <v>0.75</v>
      </c>
      <c r="N19" s="28"/>
      <c r="O19" s="8" t="s">
        <v>942</v>
      </c>
      <c r="P19" s="8" t="s">
        <v>942</v>
      </c>
      <c r="Q19" s="8" t="s">
        <v>942</v>
      </c>
      <c r="R19" s="28" t="s">
        <v>942</v>
      </c>
      <c r="S19" s="28" t="s">
        <v>942</v>
      </c>
      <c r="T19" s="8" t="s">
        <v>942</v>
      </c>
      <c r="U19" s="8" t="s">
        <v>942</v>
      </c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" thickBot="1" x14ac:dyDescent="0.35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" thickBot="1" x14ac:dyDescent="0.35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" thickBot="1" x14ac:dyDescent="0.35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" thickBot="1" x14ac:dyDescent="0.35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" thickBot="1" x14ac:dyDescent="0.35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24</v>
      </c>
      <c r="L24" s="17">
        <f t="shared" si="7"/>
        <v>4</v>
      </c>
      <c r="M24" s="18">
        <f t="shared" si="8"/>
        <v>0.8571428571428571</v>
      </c>
      <c r="N24" s="28"/>
      <c r="O24" s="8"/>
      <c r="P24" s="8"/>
      <c r="Q24" s="8" t="s">
        <v>942</v>
      </c>
      <c r="R24" s="28" t="s">
        <v>942</v>
      </c>
      <c r="S24" s="28" t="s">
        <v>942</v>
      </c>
      <c r="T24" s="8" t="s">
        <v>942</v>
      </c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" thickBot="1" x14ac:dyDescent="0.35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" thickBot="1" x14ac:dyDescent="0.35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" thickBot="1" x14ac:dyDescent="0.35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" thickBot="1" x14ac:dyDescent="0.35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" thickBot="1" x14ac:dyDescent="0.35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" thickBot="1" x14ac:dyDescent="0.35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" thickBot="1" x14ac:dyDescent="0.35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" thickBot="1" x14ac:dyDescent="0.35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" thickBot="1" x14ac:dyDescent="0.35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" thickBot="1" x14ac:dyDescent="0.35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" thickBot="1" x14ac:dyDescent="0.35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" thickBot="1" x14ac:dyDescent="0.35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" thickBot="1" x14ac:dyDescent="0.35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21</v>
      </c>
      <c r="L37" s="17">
        <f t="shared" si="7"/>
        <v>7</v>
      </c>
      <c r="M37" s="18">
        <f t="shared" si="8"/>
        <v>0.75</v>
      </c>
      <c r="N37" s="28" t="s">
        <v>942</v>
      </c>
      <c r="O37" s="8" t="s">
        <v>942</v>
      </c>
      <c r="P37" s="8" t="s">
        <v>942</v>
      </c>
      <c r="Q37" s="8" t="s">
        <v>942</v>
      </c>
      <c r="R37" s="28" t="s">
        <v>942</v>
      </c>
      <c r="S37" s="28" t="s">
        <v>942</v>
      </c>
      <c r="T37" s="8" t="s">
        <v>942</v>
      </c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" thickBot="1" x14ac:dyDescent="0.35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27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 t="s">
        <v>943</v>
      </c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" thickBot="1" x14ac:dyDescent="0.35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" thickBot="1" x14ac:dyDescent="0.35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" thickBot="1" x14ac:dyDescent="0.35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22</v>
      </c>
      <c r="L41" s="17">
        <f t="shared" si="7"/>
        <v>6</v>
      </c>
      <c r="M41" s="18">
        <f t="shared" si="8"/>
        <v>0.7857142857142857</v>
      </c>
      <c r="N41" s="28"/>
      <c r="O41" s="8" t="s">
        <v>942</v>
      </c>
      <c r="P41" s="8" t="s">
        <v>942</v>
      </c>
      <c r="Q41" s="8" t="s">
        <v>942</v>
      </c>
      <c r="R41" s="28" t="s">
        <v>942</v>
      </c>
      <c r="S41" s="28" t="s">
        <v>942</v>
      </c>
      <c r="T41" s="8" t="s">
        <v>942</v>
      </c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" thickBot="1" x14ac:dyDescent="0.35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" thickBot="1" x14ac:dyDescent="0.35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" thickBot="1" x14ac:dyDescent="0.35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20</v>
      </c>
      <c r="L44" s="17">
        <f t="shared" si="7"/>
        <v>8</v>
      </c>
      <c r="M44" s="18">
        <f t="shared" si="8"/>
        <v>0.7142857142857143</v>
      </c>
      <c r="N44" s="28" t="s">
        <v>942</v>
      </c>
      <c r="O44" s="8" t="s">
        <v>942</v>
      </c>
      <c r="P44" s="8" t="s">
        <v>942</v>
      </c>
      <c r="Q44" s="8" t="s">
        <v>942</v>
      </c>
      <c r="R44" s="28" t="s">
        <v>942</v>
      </c>
      <c r="S44" s="28" t="s">
        <v>942</v>
      </c>
      <c r="T44" s="8" t="s">
        <v>942</v>
      </c>
      <c r="U44" s="8" t="s">
        <v>942</v>
      </c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" thickBot="1" x14ac:dyDescent="0.35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" thickBot="1" x14ac:dyDescent="0.35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" thickBot="1" x14ac:dyDescent="0.35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" thickBot="1" x14ac:dyDescent="0.35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" thickBot="1" x14ac:dyDescent="0.35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" thickBot="1" x14ac:dyDescent="0.35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" thickBot="1" x14ac:dyDescent="0.35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" thickBot="1" x14ac:dyDescent="0.35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20</v>
      </c>
      <c r="L52" s="17">
        <f t="shared" si="7"/>
        <v>8</v>
      </c>
      <c r="M52" s="18">
        <f t="shared" si="8"/>
        <v>0.7142857142857143</v>
      </c>
      <c r="N52" s="28" t="s">
        <v>942</v>
      </c>
      <c r="O52" s="8" t="s">
        <v>942</v>
      </c>
      <c r="P52" s="8" t="s">
        <v>942</v>
      </c>
      <c r="Q52" s="8" t="s">
        <v>942</v>
      </c>
      <c r="R52" s="28" t="s">
        <v>942</v>
      </c>
      <c r="S52" s="28" t="s">
        <v>942</v>
      </c>
      <c r="T52" s="8" t="s">
        <v>942</v>
      </c>
      <c r="U52" s="8" t="s">
        <v>942</v>
      </c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" thickBot="1" x14ac:dyDescent="0.35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" thickBot="1" x14ac:dyDescent="0.35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21</v>
      </c>
      <c r="L54" s="17">
        <f t="shared" si="7"/>
        <v>7</v>
      </c>
      <c r="M54" s="18">
        <f t="shared" si="8"/>
        <v>0.75</v>
      </c>
      <c r="N54" s="28" t="s">
        <v>942</v>
      </c>
      <c r="O54" s="8" t="s">
        <v>942</v>
      </c>
      <c r="P54" s="8" t="s">
        <v>942</v>
      </c>
      <c r="Q54" s="8" t="s">
        <v>942</v>
      </c>
      <c r="R54" s="28" t="s">
        <v>942</v>
      </c>
      <c r="S54" s="28" t="s">
        <v>942</v>
      </c>
      <c r="T54" s="8" t="s">
        <v>942</v>
      </c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" thickBot="1" x14ac:dyDescent="0.35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" thickBot="1" x14ac:dyDescent="0.35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" thickBot="1" x14ac:dyDescent="0.35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" thickBot="1" x14ac:dyDescent="0.35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" thickBot="1" x14ac:dyDescent="0.35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" thickBot="1" x14ac:dyDescent="0.35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21</v>
      </c>
      <c r="L60" s="17">
        <f t="shared" si="7"/>
        <v>7</v>
      </c>
      <c r="M60" s="18">
        <f t="shared" si="8"/>
        <v>0.75</v>
      </c>
      <c r="N60" s="28" t="s">
        <v>942</v>
      </c>
      <c r="O60" s="8" t="s">
        <v>942</v>
      </c>
      <c r="P60" s="8" t="s">
        <v>942</v>
      </c>
      <c r="Q60" s="8" t="s">
        <v>942</v>
      </c>
      <c r="R60" s="28" t="s">
        <v>942</v>
      </c>
      <c r="S60" s="28" t="s">
        <v>942</v>
      </c>
      <c r="T60" s="8" t="s">
        <v>942</v>
      </c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" thickBot="1" x14ac:dyDescent="0.35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" thickBot="1" x14ac:dyDescent="0.35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27</v>
      </c>
      <c r="L62" s="17">
        <f t="shared" si="7"/>
        <v>1</v>
      </c>
      <c r="M62" s="18">
        <f t="shared" si="8"/>
        <v>0.9642857142857143</v>
      </c>
      <c r="N62" s="28"/>
      <c r="O62" s="8"/>
      <c r="P62" s="8"/>
      <c r="Q62" s="8"/>
      <c r="R62" s="28"/>
      <c r="S62" s="28"/>
      <c r="T62" s="8"/>
      <c r="U62" s="8" t="s">
        <v>942</v>
      </c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" thickBot="1" x14ac:dyDescent="0.35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20</v>
      </c>
      <c r="L63" s="17">
        <f t="shared" si="7"/>
        <v>8</v>
      </c>
      <c r="M63" s="18">
        <f t="shared" si="8"/>
        <v>0.7142857142857143</v>
      </c>
      <c r="N63" s="28" t="s">
        <v>942</v>
      </c>
      <c r="O63" s="8" t="s">
        <v>942</v>
      </c>
      <c r="P63" s="8" t="s">
        <v>942</v>
      </c>
      <c r="Q63" s="8" t="s">
        <v>942</v>
      </c>
      <c r="R63" s="28" t="s">
        <v>942</v>
      </c>
      <c r="S63" s="28" t="s">
        <v>942</v>
      </c>
      <c r="T63" s="8" t="s">
        <v>942</v>
      </c>
      <c r="U63" s="8" t="s">
        <v>942</v>
      </c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" thickBot="1" x14ac:dyDescent="0.35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" thickBot="1" x14ac:dyDescent="0.35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20</v>
      </c>
      <c r="L65" s="17">
        <f t="shared" si="7"/>
        <v>8</v>
      </c>
      <c r="M65" s="18">
        <f t="shared" si="8"/>
        <v>0.7142857142857143</v>
      </c>
      <c r="N65" s="28" t="s">
        <v>942</v>
      </c>
      <c r="O65" s="8" t="s">
        <v>942</v>
      </c>
      <c r="P65" s="8" t="s">
        <v>942</v>
      </c>
      <c r="Q65" s="8" t="s">
        <v>942</v>
      </c>
      <c r="R65" s="28" t="s">
        <v>942</v>
      </c>
      <c r="S65" s="28" t="s">
        <v>942</v>
      </c>
      <c r="T65" s="8" t="s">
        <v>942</v>
      </c>
      <c r="U65" s="8" t="s">
        <v>942</v>
      </c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" thickBot="1" x14ac:dyDescent="0.35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" thickBot="1" x14ac:dyDescent="0.35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" thickBot="1" x14ac:dyDescent="0.35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20</v>
      </c>
      <c r="L68" s="17">
        <f t="shared" si="7"/>
        <v>8</v>
      </c>
      <c r="M68" s="18">
        <f t="shared" si="8"/>
        <v>0.7142857142857143</v>
      </c>
      <c r="N68" s="28" t="s">
        <v>942</v>
      </c>
      <c r="O68" s="8" t="s">
        <v>942</v>
      </c>
      <c r="P68" s="8" t="s">
        <v>942</v>
      </c>
      <c r="Q68" s="8" t="s">
        <v>942</v>
      </c>
      <c r="R68" s="28" t="s">
        <v>942</v>
      </c>
      <c r="S68" s="28" t="s">
        <v>942</v>
      </c>
      <c r="T68" s="8" t="s">
        <v>942</v>
      </c>
      <c r="U68" s="8" t="s">
        <v>942</v>
      </c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" thickBot="1" x14ac:dyDescent="0.35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" thickBot="1" x14ac:dyDescent="0.35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20</v>
      </c>
      <c r="L70" s="17">
        <f t="shared" si="10"/>
        <v>8</v>
      </c>
      <c r="M70" s="18">
        <f t="shared" si="11"/>
        <v>0.7142857142857143</v>
      </c>
      <c r="N70" s="28" t="s">
        <v>942</v>
      </c>
      <c r="O70" s="8" t="s">
        <v>942</v>
      </c>
      <c r="P70" s="8" t="s">
        <v>942</v>
      </c>
      <c r="Q70" s="8" t="s">
        <v>942</v>
      </c>
      <c r="R70" s="28" t="s">
        <v>942</v>
      </c>
      <c r="S70" s="28" t="s">
        <v>942</v>
      </c>
      <c r="T70" s="8" t="s">
        <v>942</v>
      </c>
      <c r="U70" s="8" t="s">
        <v>942</v>
      </c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" thickBot="1" x14ac:dyDescent="0.35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" thickBot="1" x14ac:dyDescent="0.35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" thickBot="1" x14ac:dyDescent="0.35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" thickBot="1" x14ac:dyDescent="0.35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" thickBot="1" x14ac:dyDescent="0.35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" thickBot="1" x14ac:dyDescent="0.35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" thickBot="1" x14ac:dyDescent="0.35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" thickBot="1" x14ac:dyDescent="0.35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" thickBot="1" x14ac:dyDescent="0.35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" thickBot="1" x14ac:dyDescent="0.35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20</v>
      </c>
      <c r="L80" s="17">
        <f t="shared" si="10"/>
        <v>8</v>
      </c>
      <c r="M80" s="18">
        <f t="shared" si="11"/>
        <v>0.7142857142857143</v>
      </c>
      <c r="N80" s="28" t="s">
        <v>942</v>
      </c>
      <c r="O80" s="8" t="s">
        <v>942</v>
      </c>
      <c r="P80" s="8" t="s">
        <v>942</v>
      </c>
      <c r="Q80" s="8" t="s">
        <v>942</v>
      </c>
      <c r="R80" s="28" t="s">
        <v>942</v>
      </c>
      <c r="S80" s="28" t="s">
        <v>942</v>
      </c>
      <c r="T80" s="8" t="s">
        <v>942</v>
      </c>
      <c r="U80" s="8" t="s">
        <v>942</v>
      </c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" thickBot="1" x14ac:dyDescent="0.35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" thickBot="1" x14ac:dyDescent="0.35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" thickBot="1" x14ac:dyDescent="0.35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" thickBot="1" x14ac:dyDescent="0.35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" thickBot="1" x14ac:dyDescent="0.35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" thickBot="1" x14ac:dyDescent="0.35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" thickBot="1" x14ac:dyDescent="0.35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" thickBot="1" x14ac:dyDescent="0.35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20</v>
      </c>
      <c r="L88" s="17">
        <f t="shared" si="10"/>
        <v>8</v>
      </c>
      <c r="M88" s="18">
        <f t="shared" si="11"/>
        <v>0.7142857142857143</v>
      </c>
      <c r="N88" s="28" t="s">
        <v>942</v>
      </c>
      <c r="O88" s="8" t="s">
        <v>942</v>
      </c>
      <c r="P88" s="8" t="s">
        <v>942</v>
      </c>
      <c r="Q88" s="8" t="s">
        <v>942</v>
      </c>
      <c r="R88" s="28" t="s">
        <v>942</v>
      </c>
      <c r="S88" s="28" t="s">
        <v>942</v>
      </c>
      <c r="T88" s="8" t="s">
        <v>942</v>
      </c>
      <c r="U88" s="8" t="s">
        <v>942</v>
      </c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" thickBot="1" x14ac:dyDescent="0.35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21</v>
      </c>
      <c r="L89" s="17">
        <f t="shared" si="10"/>
        <v>7</v>
      </c>
      <c r="M89" s="18">
        <f t="shared" si="11"/>
        <v>0.75</v>
      </c>
      <c r="N89" s="28"/>
      <c r="O89" s="8" t="s">
        <v>942</v>
      </c>
      <c r="P89" s="8" t="s">
        <v>942</v>
      </c>
      <c r="Q89" s="8" t="s">
        <v>942</v>
      </c>
      <c r="R89" s="28" t="s">
        <v>942</v>
      </c>
      <c r="S89" s="28" t="s">
        <v>942</v>
      </c>
      <c r="T89" s="8" t="s">
        <v>942</v>
      </c>
      <c r="U89" s="8" t="s">
        <v>942</v>
      </c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" thickBot="1" x14ac:dyDescent="0.35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20</v>
      </c>
      <c r="L90" s="17">
        <f t="shared" si="10"/>
        <v>8</v>
      </c>
      <c r="M90" s="18">
        <f t="shared" si="11"/>
        <v>0.7142857142857143</v>
      </c>
      <c r="N90" s="28" t="s">
        <v>942</v>
      </c>
      <c r="O90" s="8" t="s">
        <v>942</v>
      </c>
      <c r="P90" s="8" t="s">
        <v>942</v>
      </c>
      <c r="Q90" s="8" t="s">
        <v>942</v>
      </c>
      <c r="R90" s="28" t="s">
        <v>942</v>
      </c>
      <c r="S90" s="28" t="s">
        <v>942</v>
      </c>
      <c r="T90" s="8" t="s">
        <v>942</v>
      </c>
      <c r="U90" s="8" t="s">
        <v>942</v>
      </c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5" customHeight="1" thickBot="1" x14ac:dyDescent="0.35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20</v>
      </c>
      <c r="L91" s="17">
        <f t="shared" si="10"/>
        <v>8</v>
      </c>
      <c r="M91" s="18">
        <f t="shared" si="11"/>
        <v>0.7142857142857143</v>
      </c>
      <c r="N91" s="28" t="s">
        <v>942</v>
      </c>
      <c r="O91" s="8" t="s">
        <v>942</v>
      </c>
      <c r="P91" s="8" t="s">
        <v>942</v>
      </c>
      <c r="Q91" s="8" t="s">
        <v>942</v>
      </c>
      <c r="R91" s="28" t="s">
        <v>942</v>
      </c>
      <c r="S91" s="28" t="s">
        <v>942</v>
      </c>
      <c r="T91" s="8" t="s">
        <v>942</v>
      </c>
      <c r="U91" s="8" t="s">
        <v>942</v>
      </c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" thickBot="1" x14ac:dyDescent="0.35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20</v>
      </c>
      <c r="L92" s="17">
        <f t="shared" si="10"/>
        <v>8</v>
      </c>
      <c r="M92" s="18">
        <f t="shared" si="11"/>
        <v>0.7142857142857143</v>
      </c>
      <c r="N92" s="28" t="s">
        <v>942</v>
      </c>
      <c r="O92" s="8" t="s">
        <v>942</v>
      </c>
      <c r="P92" s="8" t="s">
        <v>942</v>
      </c>
      <c r="Q92" s="8" t="s">
        <v>942</v>
      </c>
      <c r="R92" s="28" t="s">
        <v>942</v>
      </c>
      <c r="S92" s="28" t="s">
        <v>942</v>
      </c>
      <c r="T92" s="8" t="s">
        <v>942</v>
      </c>
      <c r="U92" s="8" t="s">
        <v>942</v>
      </c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" thickBot="1" x14ac:dyDescent="0.35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" thickBot="1" x14ac:dyDescent="0.35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" thickBot="1" x14ac:dyDescent="0.35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" thickBot="1" x14ac:dyDescent="0.35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" thickBot="1" x14ac:dyDescent="0.35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26</v>
      </c>
      <c r="L97" s="17">
        <f t="shared" si="10"/>
        <v>2</v>
      </c>
      <c r="M97" s="18">
        <f t="shared" si="11"/>
        <v>0.9285714285714286</v>
      </c>
      <c r="N97" s="28"/>
      <c r="O97" s="8"/>
      <c r="P97" s="8"/>
      <c r="Q97" s="8"/>
      <c r="R97" s="28"/>
      <c r="S97" s="28"/>
      <c r="T97" s="8" t="s">
        <v>942</v>
      </c>
      <c r="U97" s="8" t="s">
        <v>942</v>
      </c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" thickBot="1" x14ac:dyDescent="0.35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" thickBot="1" x14ac:dyDescent="0.35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" thickBot="1" x14ac:dyDescent="0.35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" thickBot="1" x14ac:dyDescent="0.35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" thickBot="1" x14ac:dyDescent="0.35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27</v>
      </c>
      <c r="L102" s="17">
        <f t="shared" si="10"/>
        <v>1</v>
      </c>
      <c r="M102" s="18">
        <f t="shared" si="11"/>
        <v>0.9642857142857143</v>
      </c>
      <c r="N102" s="28"/>
      <c r="O102" s="8"/>
      <c r="P102" s="8"/>
      <c r="Q102" s="8"/>
      <c r="R102" s="28"/>
      <c r="S102" s="28"/>
      <c r="T102" s="8" t="s">
        <v>942</v>
      </c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" thickBot="1" x14ac:dyDescent="0.35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" thickBot="1" x14ac:dyDescent="0.35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" thickBot="1" x14ac:dyDescent="0.35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" thickBot="1" x14ac:dyDescent="0.35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942</v>
      </c>
      <c r="P106" s="8" t="s">
        <v>942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" thickBot="1" x14ac:dyDescent="0.35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942</v>
      </c>
      <c r="P107" s="8" t="s">
        <v>942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" thickBot="1" x14ac:dyDescent="0.35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942</v>
      </c>
      <c r="P108" s="8" t="s">
        <v>942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" thickBot="1" x14ac:dyDescent="0.35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942</v>
      </c>
      <c r="P109" s="8" t="s">
        <v>942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" thickBot="1" x14ac:dyDescent="0.35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" thickBot="1" x14ac:dyDescent="0.35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" thickBot="1" x14ac:dyDescent="0.35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27</v>
      </c>
      <c r="L112" s="17">
        <f t="shared" si="10"/>
        <v>1</v>
      </c>
      <c r="M112" s="18">
        <f t="shared" si="11"/>
        <v>0.9642857142857143</v>
      </c>
      <c r="N112" s="28"/>
      <c r="O112" s="8"/>
      <c r="P112" s="8"/>
      <c r="Q112" s="8"/>
      <c r="R112" s="28" t="s">
        <v>942</v>
      </c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" thickBot="1" x14ac:dyDescent="0.35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" thickBot="1" x14ac:dyDescent="0.35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" thickBot="1" x14ac:dyDescent="0.35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20</v>
      </c>
      <c r="L115" s="17">
        <f t="shared" si="10"/>
        <v>8</v>
      </c>
      <c r="M115" s="18">
        <f t="shared" si="11"/>
        <v>0.7142857142857143</v>
      </c>
      <c r="N115" s="28" t="s">
        <v>942</v>
      </c>
      <c r="O115" s="8" t="s">
        <v>942</v>
      </c>
      <c r="P115" s="8" t="s">
        <v>942</v>
      </c>
      <c r="Q115" s="8" t="s">
        <v>942</v>
      </c>
      <c r="R115" s="28" t="s">
        <v>942</v>
      </c>
      <c r="S115" s="28" t="s">
        <v>942</v>
      </c>
      <c r="T115" s="8" t="s">
        <v>942</v>
      </c>
      <c r="U115" s="8" t="s">
        <v>942</v>
      </c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" thickBot="1" x14ac:dyDescent="0.35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20</v>
      </c>
      <c r="L116" s="17">
        <f t="shared" si="10"/>
        <v>8</v>
      </c>
      <c r="M116" s="18">
        <f t="shared" si="11"/>
        <v>0.7142857142857143</v>
      </c>
      <c r="N116" s="28" t="s">
        <v>942</v>
      </c>
      <c r="O116" s="8" t="s">
        <v>942</v>
      </c>
      <c r="P116" s="8" t="s">
        <v>942</v>
      </c>
      <c r="Q116" s="8" t="s">
        <v>942</v>
      </c>
      <c r="R116" s="28" t="s">
        <v>942</v>
      </c>
      <c r="S116" s="28" t="s">
        <v>942</v>
      </c>
      <c r="T116" s="8" t="s">
        <v>942</v>
      </c>
      <c r="U116" s="8" t="s">
        <v>942</v>
      </c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" thickBot="1" x14ac:dyDescent="0.35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" thickBot="1" x14ac:dyDescent="0.35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" thickBot="1" x14ac:dyDescent="0.35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" thickBot="1" x14ac:dyDescent="0.35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20</v>
      </c>
      <c r="L120" s="17">
        <f t="shared" si="10"/>
        <v>8</v>
      </c>
      <c r="M120" s="18">
        <f t="shared" si="11"/>
        <v>0.7142857142857143</v>
      </c>
      <c r="N120" s="28" t="s">
        <v>942</v>
      </c>
      <c r="O120" s="8" t="s">
        <v>942</v>
      </c>
      <c r="P120" s="8" t="s">
        <v>942</v>
      </c>
      <c r="Q120" s="8" t="s">
        <v>942</v>
      </c>
      <c r="R120" s="28" t="s">
        <v>942</v>
      </c>
      <c r="S120" s="28" t="s">
        <v>942</v>
      </c>
      <c r="T120" s="8" t="s">
        <v>942</v>
      </c>
      <c r="U120" s="8" t="s">
        <v>942</v>
      </c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" thickBot="1" x14ac:dyDescent="0.35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20</v>
      </c>
      <c r="L121" s="17">
        <f t="shared" si="10"/>
        <v>8</v>
      </c>
      <c r="M121" s="18">
        <f t="shared" si="11"/>
        <v>0.7142857142857143</v>
      </c>
      <c r="N121" s="28" t="s">
        <v>942</v>
      </c>
      <c r="O121" s="8" t="s">
        <v>942</v>
      </c>
      <c r="P121" s="8" t="s">
        <v>942</v>
      </c>
      <c r="Q121" s="8" t="s">
        <v>942</v>
      </c>
      <c r="R121" s="28" t="s">
        <v>942</v>
      </c>
      <c r="S121" s="28" t="s">
        <v>942</v>
      </c>
      <c r="T121" s="8" t="s">
        <v>942</v>
      </c>
      <c r="U121" s="8" t="s">
        <v>942</v>
      </c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" thickBot="1" x14ac:dyDescent="0.35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25</v>
      </c>
      <c r="L122" s="17">
        <f t="shared" si="10"/>
        <v>3</v>
      </c>
      <c r="M122" s="18">
        <f t="shared" si="11"/>
        <v>0.8928571428571429</v>
      </c>
      <c r="N122" s="28"/>
      <c r="O122" s="8" t="s">
        <v>942</v>
      </c>
      <c r="P122" s="8" t="s">
        <v>942</v>
      </c>
      <c r="Q122" s="8"/>
      <c r="R122" s="28"/>
      <c r="S122" s="28"/>
      <c r="T122" s="8" t="s">
        <v>942</v>
      </c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" thickBot="1" x14ac:dyDescent="0.35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25</v>
      </c>
      <c r="L123" s="17">
        <f t="shared" si="10"/>
        <v>3</v>
      </c>
      <c r="M123" s="18">
        <f t="shared" si="11"/>
        <v>0.8928571428571429</v>
      </c>
      <c r="N123" s="28"/>
      <c r="O123" s="8" t="s">
        <v>942</v>
      </c>
      <c r="P123" s="8" t="s">
        <v>942</v>
      </c>
      <c r="Q123" s="8"/>
      <c r="R123" s="28"/>
      <c r="S123" s="28"/>
      <c r="T123" s="8" t="s">
        <v>942</v>
      </c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" thickBot="1" x14ac:dyDescent="0.35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" thickBot="1" x14ac:dyDescent="0.35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" thickBot="1" x14ac:dyDescent="0.35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" thickBot="1" x14ac:dyDescent="0.35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" thickBot="1" x14ac:dyDescent="0.35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" thickBot="1" x14ac:dyDescent="0.35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27</v>
      </c>
      <c r="L129" s="17">
        <f t="shared" si="10"/>
        <v>1</v>
      </c>
      <c r="M129" s="18">
        <f t="shared" si="11"/>
        <v>0.9642857142857143</v>
      </c>
      <c r="N129" s="28"/>
      <c r="O129" s="8"/>
      <c r="P129" s="8"/>
      <c r="Q129" s="8"/>
      <c r="R129" s="28" t="s">
        <v>942</v>
      </c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" thickBot="1" x14ac:dyDescent="0.35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" thickBot="1" x14ac:dyDescent="0.35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" thickBot="1" x14ac:dyDescent="0.35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" thickBot="1" x14ac:dyDescent="0.35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20</v>
      </c>
      <c r="L133" s="17">
        <f t="shared" ref="L133:L196" si="13">COUNTIF(N133:AO133,"APAGADO")</f>
        <v>8</v>
      </c>
      <c r="M133" s="18">
        <f t="shared" ref="M133:M196" si="14">(K133)/(L133+K133)</f>
        <v>0.7142857142857143</v>
      </c>
      <c r="N133" s="28" t="s">
        <v>942</v>
      </c>
      <c r="O133" s="8" t="s">
        <v>942</v>
      </c>
      <c r="P133" s="8" t="s">
        <v>942</v>
      </c>
      <c r="Q133" s="8" t="s">
        <v>942</v>
      </c>
      <c r="R133" s="28" t="s">
        <v>942</v>
      </c>
      <c r="S133" s="28" t="s">
        <v>942</v>
      </c>
      <c r="T133" s="8" t="s">
        <v>942</v>
      </c>
      <c r="U133" s="8" t="s">
        <v>942</v>
      </c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" thickBot="1" x14ac:dyDescent="0.35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27</v>
      </c>
      <c r="L134" s="17">
        <f t="shared" si="13"/>
        <v>1</v>
      </c>
      <c r="M134" s="18">
        <f t="shared" si="14"/>
        <v>0.9642857142857143</v>
      </c>
      <c r="N134" s="28"/>
      <c r="O134" s="8"/>
      <c r="P134" s="8"/>
      <c r="Q134" s="8"/>
      <c r="R134" s="28" t="s">
        <v>942</v>
      </c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" thickBot="1" x14ac:dyDescent="0.35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" thickBot="1" x14ac:dyDescent="0.35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" thickBot="1" x14ac:dyDescent="0.35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942</v>
      </c>
      <c r="O137" s="8" t="s">
        <v>942</v>
      </c>
      <c r="P137" s="8" t="s">
        <v>942</v>
      </c>
      <c r="Q137" s="8" t="s">
        <v>942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" thickBot="1" x14ac:dyDescent="0.35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" thickBot="1" x14ac:dyDescent="0.35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" thickBot="1" x14ac:dyDescent="0.35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" thickBot="1" x14ac:dyDescent="0.35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27</v>
      </c>
      <c r="L141" s="17">
        <f t="shared" si="13"/>
        <v>1</v>
      </c>
      <c r="M141" s="18">
        <f t="shared" si="14"/>
        <v>0.9642857142857143</v>
      </c>
      <c r="N141" s="28"/>
      <c r="O141" s="8"/>
      <c r="P141" s="8"/>
      <c r="Q141" s="8"/>
      <c r="R141" s="28" t="s">
        <v>942</v>
      </c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" thickBot="1" x14ac:dyDescent="0.35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" thickBot="1" x14ac:dyDescent="0.35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" thickBot="1" x14ac:dyDescent="0.35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27</v>
      </c>
      <c r="L144" s="17">
        <f t="shared" si="13"/>
        <v>1</v>
      </c>
      <c r="M144" s="18">
        <f t="shared" si="14"/>
        <v>0.9642857142857143</v>
      </c>
      <c r="N144" s="28"/>
      <c r="O144" s="8"/>
      <c r="P144" s="8"/>
      <c r="Q144" s="8"/>
      <c r="R144" s="28"/>
      <c r="S144" s="28"/>
      <c r="T144" s="8"/>
      <c r="U144" s="8" t="s">
        <v>942</v>
      </c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" thickBot="1" x14ac:dyDescent="0.35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" thickBot="1" x14ac:dyDescent="0.35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25</v>
      </c>
      <c r="L146" s="17">
        <f t="shared" si="13"/>
        <v>3</v>
      </c>
      <c r="M146" s="18">
        <f t="shared" si="14"/>
        <v>0.8928571428571429</v>
      </c>
      <c r="N146" s="28"/>
      <c r="O146" s="8"/>
      <c r="P146" s="8"/>
      <c r="Q146" s="8" t="s">
        <v>942</v>
      </c>
      <c r="R146" s="28" t="s">
        <v>942</v>
      </c>
      <c r="S146" s="28" t="s">
        <v>942</v>
      </c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" thickBot="1" x14ac:dyDescent="0.35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" thickBot="1" x14ac:dyDescent="0.35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" thickBot="1" x14ac:dyDescent="0.35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" thickBot="1" x14ac:dyDescent="0.35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" thickBot="1" x14ac:dyDescent="0.35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" thickBot="1" x14ac:dyDescent="0.35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" thickBot="1" x14ac:dyDescent="0.35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27</v>
      </c>
      <c r="L153" s="17">
        <f t="shared" si="13"/>
        <v>1</v>
      </c>
      <c r="M153" s="18">
        <f t="shared" si="14"/>
        <v>0.9642857142857143</v>
      </c>
      <c r="N153" s="28"/>
      <c r="O153" s="8"/>
      <c r="P153" s="8"/>
      <c r="Q153" s="8"/>
      <c r="R153" s="28"/>
      <c r="S153" s="28"/>
      <c r="T153" s="8"/>
      <c r="U153" s="8" t="s">
        <v>942</v>
      </c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" thickBot="1" x14ac:dyDescent="0.35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" thickBot="1" x14ac:dyDescent="0.35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" thickBot="1" x14ac:dyDescent="0.35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21</v>
      </c>
      <c r="L156" s="17">
        <f t="shared" si="13"/>
        <v>7</v>
      </c>
      <c r="M156" s="18">
        <f t="shared" si="14"/>
        <v>0.75</v>
      </c>
      <c r="N156" s="28"/>
      <c r="O156" s="8" t="s">
        <v>942</v>
      </c>
      <c r="P156" s="8" t="s">
        <v>942</v>
      </c>
      <c r="Q156" s="8" t="s">
        <v>942</v>
      </c>
      <c r="R156" s="28" t="s">
        <v>942</v>
      </c>
      <c r="S156" s="28" t="s">
        <v>942</v>
      </c>
      <c r="T156" s="8" t="s">
        <v>942</v>
      </c>
      <c r="U156" s="8" t="s">
        <v>942</v>
      </c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" thickBot="1" x14ac:dyDescent="0.35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" thickBot="1" x14ac:dyDescent="0.35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" thickBot="1" x14ac:dyDescent="0.35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21</v>
      </c>
      <c r="L159" s="17">
        <f t="shared" si="13"/>
        <v>7</v>
      </c>
      <c r="M159" s="18">
        <f t="shared" si="14"/>
        <v>0.75</v>
      </c>
      <c r="N159" s="28" t="s">
        <v>942</v>
      </c>
      <c r="O159" s="8" t="s">
        <v>942</v>
      </c>
      <c r="P159" s="8" t="s">
        <v>942</v>
      </c>
      <c r="Q159" s="8" t="s">
        <v>942</v>
      </c>
      <c r="R159" s="28" t="s">
        <v>942</v>
      </c>
      <c r="S159" s="28" t="s">
        <v>942</v>
      </c>
      <c r="T159" s="8" t="s">
        <v>942</v>
      </c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" thickBot="1" x14ac:dyDescent="0.35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21</v>
      </c>
      <c r="L160" s="17">
        <f t="shared" si="13"/>
        <v>7</v>
      </c>
      <c r="M160" s="18">
        <f t="shared" si="14"/>
        <v>0.75</v>
      </c>
      <c r="N160" s="28"/>
      <c r="O160" s="8" t="s">
        <v>942</v>
      </c>
      <c r="P160" s="8" t="s">
        <v>942</v>
      </c>
      <c r="Q160" s="8" t="s">
        <v>942</v>
      </c>
      <c r="R160" s="28" t="s">
        <v>942</v>
      </c>
      <c r="S160" s="28" t="s">
        <v>942</v>
      </c>
      <c r="T160" s="8" t="s">
        <v>942</v>
      </c>
      <c r="U160" s="8" t="s">
        <v>942</v>
      </c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" thickBot="1" x14ac:dyDescent="0.35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" thickBot="1" x14ac:dyDescent="0.35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" thickBot="1" x14ac:dyDescent="0.35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21</v>
      </c>
      <c r="L163" s="17">
        <f t="shared" si="13"/>
        <v>7</v>
      </c>
      <c r="M163" s="18">
        <f t="shared" si="14"/>
        <v>0.75</v>
      </c>
      <c r="N163" s="28"/>
      <c r="O163" s="8" t="s">
        <v>942</v>
      </c>
      <c r="P163" s="8" t="s">
        <v>942</v>
      </c>
      <c r="Q163" s="8" t="s">
        <v>942</v>
      </c>
      <c r="R163" s="28" t="s">
        <v>942</v>
      </c>
      <c r="S163" s="28" t="s">
        <v>942</v>
      </c>
      <c r="T163" s="8" t="s">
        <v>942</v>
      </c>
      <c r="U163" s="8" t="s">
        <v>942</v>
      </c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" thickBot="1" x14ac:dyDescent="0.35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21</v>
      </c>
      <c r="L164" s="17">
        <f t="shared" si="13"/>
        <v>7</v>
      </c>
      <c r="M164" s="18">
        <f t="shared" si="14"/>
        <v>0.75</v>
      </c>
      <c r="N164" s="28"/>
      <c r="O164" s="8" t="s">
        <v>942</v>
      </c>
      <c r="P164" s="8" t="s">
        <v>942</v>
      </c>
      <c r="Q164" s="8" t="s">
        <v>942</v>
      </c>
      <c r="R164" s="28" t="s">
        <v>942</v>
      </c>
      <c r="S164" s="28" t="s">
        <v>942</v>
      </c>
      <c r="T164" s="8" t="s">
        <v>942</v>
      </c>
      <c r="U164" s="8" t="s">
        <v>942</v>
      </c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" thickBot="1" x14ac:dyDescent="0.35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" thickBot="1" x14ac:dyDescent="0.35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24</v>
      </c>
      <c r="L166" s="17">
        <f t="shared" si="13"/>
        <v>4</v>
      </c>
      <c r="M166" s="18">
        <f t="shared" si="14"/>
        <v>0.8571428571428571</v>
      </c>
      <c r="N166" s="28"/>
      <c r="O166" s="8"/>
      <c r="P166" s="8"/>
      <c r="Q166" s="8"/>
      <c r="R166" s="28" t="s">
        <v>942</v>
      </c>
      <c r="S166" s="28" t="s">
        <v>942</v>
      </c>
      <c r="T166" s="8" t="s">
        <v>942</v>
      </c>
      <c r="U166" s="8" t="s">
        <v>942</v>
      </c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" thickBot="1" x14ac:dyDescent="0.35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" thickBot="1" x14ac:dyDescent="0.35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" thickBot="1" x14ac:dyDescent="0.35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22</v>
      </c>
      <c r="L169" s="17">
        <f t="shared" si="13"/>
        <v>6</v>
      </c>
      <c r="M169" s="18">
        <f t="shared" si="14"/>
        <v>0.7857142857142857</v>
      </c>
      <c r="N169" s="28"/>
      <c r="O169" s="8" t="s">
        <v>942</v>
      </c>
      <c r="P169" s="8" t="s">
        <v>942</v>
      </c>
      <c r="Q169" s="8" t="s">
        <v>942</v>
      </c>
      <c r="R169" s="28" t="s">
        <v>942</v>
      </c>
      <c r="S169" s="28" t="s">
        <v>942</v>
      </c>
      <c r="T169" s="8" t="s">
        <v>942</v>
      </c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" thickBot="1" x14ac:dyDescent="0.35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" thickBot="1" x14ac:dyDescent="0.35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20</v>
      </c>
      <c r="L171" s="17">
        <f t="shared" si="13"/>
        <v>8</v>
      </c>
      <c r="M171" s="18">
        <f t="shared" si="14"/>
        <v>0.7142857142857143</v>
      </c>
      <c r="N171" s="28" t="s">
        <v>942</v>
      </c>
      <c r="O171" s="8" t="s">
        <v>942</v>
      </c>
      <c r="P171" s="8" t="s">
        <v>942</v>
      </c>
      <c r="Q171" s="8" t="s">
        <v>942</v>
      </c>
      <c r="R171" s="28" t="s">
        <v>942</v>
      </c>
      <c r="S171" s="28" t="s">
        <v>942</v>
      </c>
      <c r="T171" s="8" t="s">
        <v>942</v>
      </c>
      <c r="U171" s="8" t="s">
        <v>942</v>
      </c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" thickBot="1" x14ac:dyDescent="0.35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" thickBot="1" x14ac:dyDescent="0.35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" thickBot="1" x14ac:dyDescent="0.35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21</v>
      </c>
      <c r="L174" s="17">
        <f t="shared" si="13"/>
        <v>7</v>
      </c>
      <c r="M174" s="18">
        <f t="shared" si="14"/>
        <v>0.75</v>
      </c>
      <c r="N174" s="28" t="s">
        <v>942</v>
      </c>
      <c r="O174" s="8" t="s">
        <v>942</v>
      </c>
      <c r="P174" s="8" t="s">
        <v>942</v>
      </c>
      <c r="Q174" s="8" t="s">
        <v>942</v>
      </c>
      <c r="R174" s="28"/>
      <c r="S174" s="28" t="s">
        <v>942</v>
      </c>
      <c r="T174" s="8" t="s">
        <v>942</v>
      </c>
      <c r="U174" s="8" t="s">
        <v>942</v>
      </c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" thickBot="1" x14ac:dyDescent="0.35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" thickBot="1" x14ac:dyDescent="0.35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" thickBot="1" x14ac:dyDescent="0.35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" thickBot="1" x14ac:dyDescent="0.35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" thickBot="1" x14ac:dyDescent="0.35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" thickBot="1" x14ac:dyDescent="0.35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942</v>
      </c>
      <c r="O180" s="8"/>
      <c r="P180" s="8"/>
      <c r="Q180" s="8" t="s">
        <v>942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" thickBot="1" x14ac:dyDescent="0.35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" thickBot="1" x14ac:dyDescent="0.35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" thickBot="1" x14ac:dyDescent="0.35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" thickBot="1" x14ac:dyDescent="0.35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" thickBot="1" x14ac:dyDescent="0.35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" thickBot="1" x14ac:dyDescent="0.35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" thickBot="1" x14ac:dyDescent="0.35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" thickBot="1" x14ac:dyDescent="0.35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" thickBot="1" x14ac:dyDescent="0.35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" thickBot="1" x14ac:dyDescent="0.35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" thickBot="1" x14ac:dyDescent="0.35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20</v>
      </c>
      <c r="L191" s="17">
        <f t="shared" si="13"/>
        <v>8</v>
      </c>
      <c r="M191" s="18">
        <f t="shared" si="14"/>
        <v>0.7142857142857143</v>
      </c>
      <c r="N191" s="28" t="s">
        <v>942</v>
      </c>
      <c r="O191" s="8" t="s">
        <v>942</v>
      </c>
      <c r="P191" s="8" t="s">
        <v>942</v>
      </c>
      <c r="Q191" s="8" t="s">
        <v>942</v>
      </c>
      <c r="R191" s="28" t="s">
        <v>942</v>
      </c>
      <c r="S191" s="28" t="s">
        <v>942</v>
      </c>
      <c r="T191" s="8" t="s">
        <v>942</v>
      </c>
      <c r="U191" s="8" t="s">
        <v>942</v>
      </c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" thickBot="1" x14ac:dyDescent="0.35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20</v>
      </c>
      <c r="L192" s="17">
        <f t="shared" si="13"/>
        <v>8</v>
      </c>
      <c r="M192" s="18">
        <f t="shared" si="14"/>
        <v>0.7142857142857143</v>
      </c>
      <c r="N192" s="28" t="s">
        <v>942</v>
      </c>
      <c r="O192" s="8" t="s">
        <v>942</v>
      </c>
      <c r="P192" s="8" t="s">
        <v>942</v>
      </c>
      <c r="Q192" s="8" t="s">
        <v>942</v>
      </c>
      <c r="R192" s="28" t="s">
        <v>942</v>
      </c>
      <c r="S192" s="28" t="s">
        <v>942</v>
      </c>
      <c r="T192" s="8" t="s">
        <v>942</v>
      </c>
      <c r="U192" s="8" t="s">
        <v>942</v>
      </c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" thickBot="1" x14ac:dyDescent="0.35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20</v>
      </c>
      <c r="L193" s="17">
        <f t="shared" si="13"/>
        <v>8</v>
      </c>
      <c r="M193" s="18">
        <f t="shared" si="14"/>
        <v>0.7142857142857143</v>
      </c>
      <c r="N193" s="28" t="s">
        <v>942</v>
      </c>
      <c r="O193" s="8" t="s">
        <v>942</v>
      </c>
      <c r="P193" s="8" t="s">
        <v>942</v>
      </c>
      <c r="Q193" s="8" t="s">
        <v>942</v>
      </c>
      <c r="R193" s="28" t="s">
        <v>942</v>
      </c>
      <c r="S193" s="28" t="s">
        <v>942</v>
      </c>
      <c r="T193" s="8" t="s">
        <v>942</v>
      </c>
      <c r="U193" s="8" t="s">
        <v>942</v>
      </c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" thickBot="1" x14ac:dyDescent="0.35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20</v>
      </c>
      <c r="L194" s="17">
        <f t="shared" si="13"/>
        <v>8</v>
      </c>
      <c r="M194" s="18">
        <f t="shared" si="14"/>
        <v>0.7142857142857143</v>
      </c>
      <c r="N194" s="28" t="s">
        <v>942</v>
      </c>
      <c r="O194" s="8" t="s">
        <v>942</v>
      </c>
      <c r="P194" s="8" t="s">
        <v>942</v>
      </c>
      <c r="Q194" s="8" t="s">
        <v>942</v>
      </c>
      <c r="R194" s="28" t="s">
        <v>942</v>
      </c>
      <c r="S194" s="28" t="s">
        <v>942</v>
      </c>
      <c r="T194" s="8" t="s">
        <v>942</v>
      </c>
      <c r="U194" s="8" t="s">
        <v>942</v>
      </c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" thickBot="1" x14ac:dyDescent="0.35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21</v>
      </c>
      <c r="L195" s="17">
        <f t="shared" si="13"/>
        <v>7</v>
      </c>
      <c r="M195" s="18">
        <f t="shared" si="14"/>
        <v>0.75</v>
      </c>
      <c r="N195" s="28"/>
      <c r="O195" s="8" t="s">
        <v>942</v>
      </c>
      <c r="P195" s="8" t="s">
        <v>942</v>
      </c>
      <c r="Q195" s="8" t="s">
        <v>942</v>
      </c>
      <c r="R195" s="28" t="s">
        <v>942</v>
      </c>
      <c r="S195" s="28" t="s">
        <v>942</v>
      </c>
      <c r="T195" s="8" t="s">
        <v>942</v>
      </c>
      <c r="U195" s="8" t="s">
        <v>942</v>
      </c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" thickBot="1" x14ac:dyDescent="0.35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21</v>
      </c>
      <c r="L196" s="17">
        <f t="shared" si="13"/>
        <v>7</v>
      </c>
      <c r="M196" s="18">
        <f t="shared" si="14"/>
        <v>0.75</v>
      </c>
      <c r="N196" s="28"/>
      <c r="O196" s="8" t="s">
        <v>942</v>
      </c>
      <c r="P196" s="8" t="s">
        <v>942</v>
      </c>
      <c r="Q196" s="8" t="s">
        <v>942</v>
      </c>
      <c r="R196" s="28" t="s">
        <v>942</v>
      </c>
      <c r="S196" s="28" t="s">
        <v>942</v>
      </c>
      <c r="T196" s="8" t="s">
        <v>942</v>
      </c>
      <c r="U196" s="8" t="s">
        <v>942</v>
      </c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" thickBot="1" x14ac:dyDescent="0.35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22</v>
      </c>
      <c r="L197" s="17">
        <f t="shared" ref="L197:L260" si="16">COUNTIF(N197:AO197,"APAGADO")</f>
        <v>6</v>
      </c>
      <c r="M197" s="18">
        <f t="shared" ref="M197:M260" si="17">(K197)/(L197+K197)</f>
        <v>0.7857142857142857</v>
      </c>
      <c r="N197" s="28" t="s">
        <v>942</v>
      </c>
      <c r="O197" s="8" t="s">
        <v>942</v>
      </c>
      <c r="P197" s="8" t="s">
        <v>942</v>
      </c>
      <c r="Q197" s="8" t="s">
        <v>942</v>
      </c>
      <c r="R197" s="28" t="s">
        <v>942</v>
      </c>
      <c r="S197" s="28" t="s">
        <v>942</v>
      </c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" thickBot="1" x14ac:dyDescent="0.35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942</v>
      </c>
      <c r="P198" s="8" t="s">
        <v>942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" thickBot="1" x14ac:dyDescent="0.35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26</v>
      </c>
      <c r="L199" s="17">
        <f t="shared" si="16"/>
        <v>2</v>
      </c>
      <c r="M199" s="18">
        <f t="shared" si="17"/>
        <v>0.9285714285714286</v>
      </c>
      <c r="N199" s="28"/>
      <c r="O199" s="8"/>
      <c r="P199" s="8"/>
      <c r="Q199" s="8"/>
      <c r="R199" s="28"/>
      <c r="S199" s="28"/>
      <c r="T199" s="8" t="s">
        <v>942</v>
      </c>
      <c r="U199" s="8" t="s">
        <v>942</v>
      </c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" thickBot="1" x14ac:dyDescent="0.35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27</v>
      </c>
      <c r="L200" s="17">
        <f t="shared" si="16"/>
        <v>1</v>
      </c>
      <c r="M200" s="18">
        <f t="shared" si="17"/>
        <v>0.9642857142857143</v>
      </c>
      <c r="N200" s="28"/>
      <c r="O200" s="8"/>
      <c r="P200" s="8"/>
      <c r="Q200" s="8"/>
      <c r="R200" s="28"/>
      <c r="S200" s="28"/>
      <c r="T200" s="8" t="s">
        <v>942</v>
      </c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" thickBot="1" x14ac:dyDescent="0.35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" thickBot="1" x14ac:dyDescent="0.35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" thickBot="1" x14ac:dyDescent="0.35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" thickBot="1" x14ac:dyDescent="0.35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24</v>
      </c>
      <c r="L204" s="17">
        <f t="shared" si="16"/>
        <v>4</v>
      </c>
      <c r="M204" s="18">
        <f t="shared" si="17"/>
        <v>0.8571428571428571</v>
      </c>
      <c r="N204" s="28" t="s">
        <v>942</v>
      </c>
      <c r="O204" s="8"/>
      <c r="P204" s="8"/>
      <c r="Q204" s="8"/>
      <c r="R204" s="28"/>
      <c r="S204" s="28" t="s">
        <v>942</v>
      </c>
      <c r="T204" s="8" t="s">
        <v>942</v>
      </c>
      <c r="U204" s="8" t="s">
        <v>942</v>
      </c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" thickBot="1" x14ac:dyDescent="0.35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25</v>
      </c>
      <c r="L205" s="17">
        <f t="shared" si="16"/>
        <v>3</v>
      </c>
      <c r="M205" s="18">
        <f t="shared" si="17"/>
        <v>0.8928571428571429</v>
      </c>
      <c r="N205" s="28"/>
      <c r="O205" s="8"/>
      <c r="P205" s="8"/>
      <c r="Q205" s="8"/>
      <c r="R205" s="28"/>
      <c r="S205" s="28" t="s">
        <v>942</v>
      </c>
      <c r="T205" s="8" t="s">
        <v>942</v>
      </c>
      <c r="U205" s="8" t="s">
        <v>942</v>
      </c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" thickBot="1" x14ac:dyDescent="0.35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20</v>
      </c>
      <c r="L206" s="17">
        <f t="shared" si="16"/>
        <v>8</v>
      </c>
      <c r="M206" s="18">
        <f t="shared" si="17"/>
        <v>0.7142857142857143</v>
      </c>
      <c r="N206" s="28" t="s">
        <v>942</v>
      </c>
      <c r="O206" s="8" t="s">
        <v>942</v>
      </c>
      <c r="P206" s="8" t="s">
        <v>942</v>
      </c>
      <c r="Q206" s="8" t="s">
        <v>942</v>
      </c>
      <c r="R206" s="28" t="s">
        <v>942</v>
      </c>
      <c r="S206" s="28" t="s">
        <v>942</v>
      </c>
      <c r="T206" s="8" t="s">
        <v>942</v>
      </c>
      <c r="U206" s="8" t="s">
        <v>942</v>
      </c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" thickBot="1" x14ac:dyDescent="0.35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942</v>
      </c>
      <c r="P207" s="8" t="s">
        <v>942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" thickBot="1" x14ac:dyDescent="0.35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942</v>
      </c>
      <c r="P208" s="8" t="s">
        <v>942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" thickBot="1" x14ac:dyDescent="0.35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" thickBot="1" x14ac:dyDescent="0.35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" thickBot="1" x14ac:dyDescent="0.35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" thickBot="1" x14ac:dyDescent="0.35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" thickBot="1" x14ac:dyDescent="0.35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" thickBot="1" x14ac:dyDescent="0.35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" thickBot="1" x14ac:dyDescent="0.35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" thickBot="1" x14ac:dyDescent="0.35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" thickBot="1" x14ac:dyDescent="0.35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" thickBot="1" x14ac:dyDescent="0.35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" thickBot="1" x14ac:dyDescent="0.35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" thickBot="1" x14ac:dyDescent="0.35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" thickBot="1" x14ac:dyDescent="0.35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" thickBot="1" x14ac:dyDescent="0.35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" thickBot="1" x14ac:dyDescent="0.35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" thickBot="1" x14ac:dyDescent="0.35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20</v>
      </c>
      <c r="L224" s="17">
        <f t="shared" si="16"/>
        <v>8</v>
      </c>
      <c r="M224" s="18">
        <f t="shared" si="17"/>
        <v>0.7142857142857143</v>
      </c>
      <c r="N224" s="28" t="s">
        <v>942</v>
      </c>
      <c r="O224" s="8" t="s">
        <v>942</v>
      </c>
      <c r="P224" s="8" t="s">
        <v>942</v>
      </c>
      <c r="Q224" s="8" t="s">
        <v>942</v>
      </c>
      <c r="R224" s="28" t="s">
        <v>942</v>
      </c>
      <c r="S224" s="28" t="s">
        <v>942</v>
      </c>
      <c r="T224" s="8" t="s">
        <v>942</v>
      </c>
      <c r="U224" s="8" t="s">
        <v>942</v>
      </c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" thickBot="1" x14ac:dyDescent="0.35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" thickBot="1" x14ac:dyDescent="0.35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" thickBot="1" x14ac:dyDescent="0.35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" thickBot="1" x14ac:dyDescent="0.35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" thickBot="1" x14ac:dyDescent="0.35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" thickBot="1" x14ac:dyDescent="0.35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" thickBot="1" x14ac:dyDescent="0.35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" thickBot="1" x14ac:dyDescent="0.35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" thickBot="1" x14ac:dyDescent="0.35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942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" thickBot="1" x14ac:dyDescent="0.35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" thickBot="1" x14ac:dyDescent="0.35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" thickBot="1" x14ac:dyDescent="0.35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" thickBot="1" x14ac:dyDescent="0.35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" thickBot="1" x14ac:dyDescent="0.35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942</v>
      </c>
      <c r="O238" s="8" t="s">
        <v>942</v>
      </c>
      <c r="P238" s="8" t="s">
        <v>942</v>
      </c>
      <c r="Q238" s="8" t="s">
        <v>942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" thickBot="1" x14ac:dyDescent="0.35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20</v>
      </c>
      <c r="L239" s="17">
        <f t="shared" si="16"/>
        <v>8</v>
      </c>
      <c r="M239" s="18">
        <f t="shared" si="17"/>
        <v>0.7142857142857143</v>
      </c>
      <c r="N239" s="28" t="s">
        <v>942</v>
      </c>
      <c r="O239" s="8" t="s">
        <v>942</v>
      </c>
      <c r="P239" s="8" t="s">
        <v>942</v>
      </c>
      <c r="Q239" s="8" t="s">
        <v>942</v>
      </c>
      <c r="R239" s="28" t="s">
        <v>942</v>
      </c>
      <c r="S239" s="28" t="s">
        <v>942</v>
      </c>
      <c r="T239" s="8" t="s">
        <v>942</v>
      </c>
      <c r="U239" s="8" t="s">
        <v>942</v>
      </c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" thickBot="1" x14ac:dyDescent="0.35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20</v>
      </c>
      <c r="L240" s="17">
        <f t="shared" si="16"/>
        <v>8</v>
      </c>
      <c r="M240" s="18">
        <f t="shared" si="17"/>
        <v>0.7142857142857143</v>
      </c>
      <c r="N240" s="28" t="s">
        <v>942</v>
      </c>
      <c r="O240" s="8" t="s">
        <v>942</v>
      </c>
      <c r="P240" s="8" t="s">
        <v>942</v>
      </c>
      <c r="Q240" s="8" t="s">
        <v>942</v>
      </c>
      <c r="R240" s="28" t="s">
        <v>942</v>
      </c>
      <c r="S240" s="28" t="s">
        <v>942</v>
      </c>
      <c r="T240" s="8" t="s">
        <v>942</v>
      </c>
      <c r="U240" s="8" t="s">
        <v>942</v>
      </c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" thickBot="1" x14ac:dyDescent="0.35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" thickBot="1" x14ac:dyDescent="0.35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" thickBot="1" x14ac:dyDescent="0.35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" thickBot="1" x14ac:dyDescent="0.35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" thickBot="1" x14ac:dyDescent="0.35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" thickBot="1" x14ac:dyDescent="0.35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" thickBot="1" x14ac:dyDescent="0.35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" thickBot="1" x14ac:dyDescent="0.35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27</v>
      </c>
      <c r="L248" s="17">
        <f t="shared" si="16"/>
        <v>1</v>
      </c>
      <c r="M248" s="18">
        <f t="shared" si="17"/>
        <v>0.9642857142857143</v>
      </c>
      <c r="N248" s="28"/>
      <c r="O248" s="8"/>
      <c r="P248" s="8"/>
      <c r="Q248" s="8"/>
      <c r="R248" s="28" t="s">
        <v>942</v>
      </c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" thickBot="1" x14ac:dyDescent="0.35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20</v>
      </c>
      <c r="L249" s="17">
        <f t="shared" si="16"/>
        <v>8</v>
      </c>
      <c r="M249" s="18">
        <f t="shared" si="17"/>
        <v>0.7142857142857143</v>
      </c>
      <c r="N249" s="28" t="s">
        <v>942</v>
      </c>
      <c r="O249" s="8" t="s">
        <v>942</v>
      </c>
      <c r="P249" s="8" t="s">
        <v>942</v>
      </c>
      <c r="Q249" s="8" t="s">
        <v>942</v>
      </c>
      <c r="R249" s="28" t="s">
        <v>942</v>
      </c>
      <c r="S249" s="28" t="s">
        <v>942</v>
      </c>
      <c r="T249" s="8" t="s">
        <v>942</v>
      </c>
      <c r="U249" s="8" t="s">
        <v>942</v>
      </c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" thickBot="1" x14ac:dyDescent="0.35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20</v>
      </c>
      <c r="L250" s="17">
        <f t="shared" si="16"/>
        <v>8</v>
      </c>
      <c r="M250" s="18">
        <f t="shared" si="17"/>
        <v>0.7142857142857143</v>
      </c>
      <c r="N250" s="28" t="s">
        <v>942</v>
      </c>
      <c r="O250" s="8" t="s">
        <v>942</v>
      </c>
      <c r="P250" s="8" t="s">
        <v>942</v>
      </c>
      <c r="Q250" s="8" t="s">
        <v>942</v>
      </c>
      <c r="R250" s="28" t="s">
        <v>942</v>
      </c>
      <c r="S250" s="28" t="s">
        <v>942</v>
      </c>
      <c r="T250" s="8" t="s">
        <v>942</v>
      </c>
      <c r="U250" s="8" t="s">
        <v>942</v>
      </c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" thickBot="1" x14ac:dyDescent="0.35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20</v>
      </c>
      <c r="L251" s="17">
        <f t="shared" si="16"/>
        <v>8</v>
      </c>
      <c r="M251" s="18">
        <f t="shared" si="17"/>
        <v>0.7142857142857143</v>
      </c>
      <c r="N251" s="28" t="s">
        <v>942</v>
      </c>
      <c r="O251" s="8" t="s">
        <v>942</v>
      </c>
      <c r="P251" s="8" t="s">
        <v>942</v>
      </c>
      <c r="Q251" s="8" t="s">
        <v>942</v>
      </c>
      <c r="R251" s="28" t="s">
        <v>942</v>
      </c>
      <c r="S251" s="28" t="s">
        <v>942</v>
      </c>
      <c r="T251" s="8" t="s">
        <v>942</v>
      </c>
      <c r="U251" s="8" t="s">
        <v>942</v>
      </c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" thickBot="1" x14ac:dyDescent="0.35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20</v>
      </c>
      <c r="L252" s="17">
        <f t="shared" si="16"/>
        <v>8</v>
      </c>
      <c r="M252" s="18">
        <f t="shared" si="17"/>
        <v>0.7142857142857143</v>
      </c>
      <c r="N252" s="28" t="s">
        <v>942</v>
      </c>
      <c r="O252" s="8" t="s">
        <v>942</v>
      </c>
      <c r="P252" s="8" t="s">
        <v>942</v>
      </c>
      <c r="Q252" s="8" t="s">
        <v>942</v>
      </c>
      <c r="R252" s="28" t="s">
        <v>942</v>
      </c>
      <c r="S252" s="28" t="s">
        <v>942</v>
      </c>
      <c r="T252" s="8" t="s">
        <v>942</v>
      </c>
      <c r="U252" s="8" t="s">
        <v>942</v>
      </c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" thickBot="1" x14ac:dyDescent="0.35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" thickBot="1" x14ac:dyDescent="0.35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" thickBot="1" x14ac:dyDescent="0.35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" thickBot="1" x14ac:dyDescent="0.35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" thickBot="1" x14ac:dyDescent="0.35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" thickBot="1" x14ac:dyDescent="0.35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" thickBot="1" x14ac:dyDescent="0.35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20</v>
      </c>
      <c r="L259" s="17">
        <f t="shared" si="16"/>
        <v>8</v>
      </c>
      <c r="M259" s="18">
        <f t="shared" si="17"/>
        <v>0.7142857142857143</v>
      </c>
      <c r="N259" s="28" t="s">
        <v>942</v>
      </c>
      <c r="O259" s="8" t="s">
        <v>942</v>
      </c>
      <c r="P259" s="8" t="s">
        <v>942</v>
      </c>
      <c r="Q259" s="8" t="s">
        <v>942</v>
      </c>
      <c r="R259" s="28" t="s">
        <v>942</v>
      </c>
      <c r="S259" s="28" t="s">
        <v>942</v>
      </c>
      <c r="T259" s="8" t="s">
        <v>942</v>
      </c>
      <c r="U259" s="8" t="s">
        <v>942</v>
      </c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" thickBot="1" x14ac:dyDescent="0.35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" thickBot="1" x14ac:dyDescent="0.35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" thickBot="1" x14ac:dyDescent="0.35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" thickBot="1" x14ac:dyDescent="0.35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21</v>
      </c>
      <c r="L263" s="17">
        <f t="shared" si="19"/>
        <v>7</v>
      </c>
      <c r="M263" s="18">
        <f t="shared" si="20"/>
        <v>0.75</v>
      </c>
      <c r="N263" s="28"/>
      <c r="O263" s="8" t="s">
        <v>942</v>
      </c>
      <c r="P263" s="8" t="s">
        <v>942</v>
      </c>
      <c r="Q263" s="8" t="s">
        <v>942</v>
      </c>
      <c r="R263" s="28" t="s">
        <v>942</v>
      </c>
      <c r="S263" s="28" t="s">
        <v>942</v>
      </c>
      <c r="T263" s="8" t="s">
        <v>942</v>
      </c>
      <c r="U263" s="8" t="s">
        <v>942</v>
      </c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" thickBot="1" x14ac:dyDescent="0.35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21</v>
      </c>
      <c r="L264" s="17">
        <f t="shared" si="19"/>
        <v>7</v>
      </c>
      <c r="M264" s="18">
        <f t="shared" si="20"/>
        <v>0.75</v>
      </c>
      <c r="N264" s="28"/>
      <c r="O264" s="8" t="s">
        <v>942</v>
      </c>
      <c r="P264" s="8" t="s">
        <v>942</v>
      </c>
      <c r="Q264" s="8" t="s">
        <v>942</v>
      </c>
      <c r="R264" s="28" t="s">
        <v>942</v>
      </c>
      <c r="S264" s="28" t="s">
        <v>942</v>
      </c>
      <c r="T264" s="8" t="s">
        <v>942</v>
      </c>
      <c r="U264" s="8" t="s">
        <v>942</v>
      </c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" thickBot="1" x14ac:dyDescent="0.35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" thickBot="1" x14ac:dyDescent="0.35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" thickBot="1" x14ac:dyDescent="0.35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" thickBot="1" x14ac:dyDescent="0.35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" thickBot="1" x14ac:dyDescent="0.35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" thickBot="1" x14ac:dyDescent="0.35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" thickBot="1" x14ac:dyDescent="0.35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21</v>
      </c>
      <c r="L271" s="17">
        <f t="shared" si="19"/>
        <v>7</v>
      </c>
      <c r="M271" s="18">
        <f t="shared" si="20"/>
        <v>0.75</v>
      </c>
      <c r="N271" s="28" t="s">
        <v>942</v>
      </c>
      <c r="O271" s="8" t="s">
        <v>942</v>
      </c>
      <c r="P271" s="8" t="s">
        <v>942</v>
      </c>
      <c r="Q271" s="8" t="s">
        <v>942</v>
      </c>
      <c r="R271" s="28" t="s">
        <v>942</v>
      </c>
      <c r="S271" s="28" t="s">
        <v>942</v>
      </c>
      <c r="T271" s="8"/>
      <c r="U271" s="8" t="s">
        <v>942</v>
      </c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" thickBot="1" x14ac:dyDescent="0.35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21</v>
      </c>
      <c r="L272" s="17">
        <f t="shared" si="19"/>
        <v>7</v>
      </c>
      <c r="M272" s="18">
        <f t="shared" si="20"/>
        <v>0.75</v>
      </c>
      <c r="N272" s="28" t="s">
        <v>942</v>
      </c>
      <c r="O272" s="8" t="s">
        <v>942</v>
      </c>
      <c r="P272" s="8" t="s">
        <v>942</v>
      </c>
      <c r="Q272" s="8" t="s">
        <v>942</v>
      </c>
      <c r="R272" s="28" t="s">
        <v>942</v>
      </c>
      <c r="S272" s="28" t="s">
        <v>942</v>
      </c>
      <c r="T272" s="8"/>
      <c r="U272" s="8" t="s">
        <v>942</v>
      </c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" thickBot="1" x14ac:dyDescent="0.35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" thickBot="1" x14ac:dyDescent="0.35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" thickBot="1" x14ac:dyDescent="0.35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" thickBot="1" x14ac:dyDescent="0.35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942</v>
      </c>
      <c r="P276" s="8" t="s">
        <v>942</v>
      </c>
      <c r="Q276" s="8" t="s">
        <v>942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" thickBot="1" x14ac:dyDescent="0.35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942</v>
      </c>
      <c r="O277" s="8" t="s">
        <v>942</v>
      </c>
      <c r="P277" s="8" t="s">
        <v>942</v>
      </c>
      <c r="Q277" s="8" t="s">
        <v>942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" thickBot="1" x14ac:dyDescent="0.35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" thickBot="1" x14ac:dyDescent="0.35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27</v>
      </c>
      <c r="L279" s="17">
        <f t="shared" si="19"/>
        <v>1</v>
      </c>
      <c r="M279" s="18">
        <f t="shared" si="20"/>
        <v>0.9642857142857143</v>
      </c>
      <c r="N279" s="28"/>
      <c r="O279" s="8"/>
      <c r="P279" s="8"/>
      <c r="Q279" s="8"/>
      <c r="R279" s="28"/>
      <c r="S279" s="28"/>
      <c r="T279" s="8"/>
      <c r="U279" s="8" t="s">
        <v>942</v>
      </c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" thickBot="1" x14ac:dyDescent="0.35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22</v>
      </c>
      <c r="L280" s="17">
        <f t="shared" si="19"/>
        <v>6</v>
      </c>
      <c r="M280" s="18">
        <f t="shared" si="20"/>
        <v>0.7857142857142857</v>
      </c>
      <c r="N280" s="28" t="s">
        <v>942</v>
      </c>
      <c r="O280" s="8" t="s">
        <v>942</v>
      </c>
      <c r="P280" s="8" t="s">
        <v>942</v>
      </c>
      <c r="Q280" s="8" t="s">
        <v>942</v>
      </c>
      <c r="R280" s="28"/>
      <c r="S280" s="28"/>
      <c r="T280" s="8" t="s">
        <v>942</v>
      </c>
      <c r="U280" s="8" t="s">
        <v>942</v>
      </c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" thickBot="1" x14ac:dyDescent="0.35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" thickBot="1" x14ac:dyDescent="0.35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" thickBot="1" x14ac:dyDescent="0.35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" thickBot="1" x14ac:dyDescent="0.35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" thickBot="1" x14ac:dyDescent="0.35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" thickBot="1" x14ac:dyDescent="0.35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95" customHeight="1" thickBot="1" x14ac:dyDescent="0.35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" thickBot="1" x14ac:dyDescent="0.35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" thickBot="1" x14ac:dyDescent="0.35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" thickBot="1" x14ac:dyDescent="0.35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" thickBot="1" x14ac:dyDescent="0.35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" thickBot="1" x14ac:dyDescent="0.35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" thickBot="1" x14ac:dyDescent="0.35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" thickBot="1" x14ac:dyDescent="0.35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" thickBot="1" x14ac:dyDescent="0.35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26</v>
      </c>
      <c r="L295" s="17">
        <f t="shared" si="19"/>
        <v>2</v>
      </c>
      <c r="M295" s="18">
        <f t="shared" si="20"/>
        <v>0.9285714285714286</v>
      </c>
      <c r="N295" s="28"/>
      <c r="O295" s="8"/>
      <c r="P295" s="8"/>
      <c r="Q295" s="8"/>
      <c r="R295" s="28"/>
      <c r="S295" s="28" t="s">
        <v>942</v>
      </c>
      <c r="T295" s="8"/>
      <c r="U295" s="8" t="s">
        <v>942</v>
      </c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" thickBot="1" x14ac:dyDescent="0.35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" thickBot="1" x14ac:dyDescent="0.35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" thickBot="1" x14ac:dyDescent="0.35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" thickBot="1" x14ac:dyDescent="0.35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" thickBot="1" x14ac:dyDescent="0.35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" thickBot="1" x14ac:dyDescent="0.35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" thickBot="1" x14ac:dyDescent="0.35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" thickBot="1" x14ac:dyDescent="0.35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" thickBot="1" x14ac:dyDescent="0.35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" thickBot="1" x14ac:dyDescent="0.35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" thickBot="1" x14ac:dyDescent="0.35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25</v>
      </c>
      <c r="L306" s="17">
        <f t="shared" si="19"/>
        <v>3</v>
      </c>
      <c r="M306" s="18">
        <f t="shared" si="20"/>
        <v>0.8928571428571429</v>
      </c>
      <c r="N306" s="28" t="s">
        <v>942</v>
      </c>
      <c r="O306" s="8" t="s">
        <v>942</v>
      </c>
      <c r="P306" s="8"/>
      <c r="Q306" s="8"/>
      <c r="R306" s="28" t="s">
        <v>942</v>
      </c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" thickBot="1" x14ac:dyDescent="0.35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" thickBot="1" x14ac:dyDescent="0.35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" thickBot="1" x14ac:dyDescent="0.35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" thickBot="1" x14ac:dyDescent="0.35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" thickBot="1" x14ac:dyDescent="0.35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" thickBot="1" x14ac:dyDescent="0.35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" thickBot="1" x14ac:dyDescent="0.35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" thickBot="1" x14ac:dyDescent="0.35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" thickBot="1" x14ac:dyDescent="0.35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" thickBot="1" x14ac:dyDescent="0.35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" thickBot="1" x14ac:dyDescent="0.35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" thickBot="1" x14ac:dyDescent="0.35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" thickBot="1" x14ac:dyDescent="0.35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20</v>
      </c>
      <c r="L319" s="17">
        <f t="shared" si="19"/>
        <v>8</v>
      </c>
      <c r="M319" s="18">
        <f t="shared" si="20"/>
        <v>0.7142857142857143</v>
      </c>
      <c r="N319" s="28" t="s">
        <v>942</v>
      </c>
      <c r="O319" s="8" t="s">
        <v>942</v>
      </c>
      <c r="P319" s="8" t="s">
        <v>942</v>
      </c>
      <c r="Q319" s="8" t="s">
        <v>942</v>
      </c>
      <c r="R319" s="28" t="s">
        <v>942</v>
      </c>
      <c r="S319" s="28" t="s">
        <v>942</v>
      </c>
      <c r="T319" s="8" t="s">
        <v>942</v>
      </c>
      <c r="U319" s="8" t="s">
        <v>942</v>
      </c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" thickBot="1" x14ac:dyDescent="0.35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20</v>
      </c>
      <c r="L320" s="17">
        <f t="shared" si="19"/>
        <v>8</v>
      </c>
      <c r="M320" s="18">
        <f t="shared" si="20"/>
        <v>0.7142857142857143</v>
      </c>
      <c r="N320" s="28" t="s">
        <v>942</v>
      </c>
      <c r="O320" s="8" t="s">
        <v>942</v>
      </c>
      <c r="P320" s="8" t="s">
        <v>942</v>
      </c>
      <c r="Q320" s="8" t="s">
        <v>942</v>
      </c>
      <c r="R320" s="28" t="s">
        <v>942</v>
      </c>
      <c r="S320" s="28" t="s">
        <v>942</v>
      </c>
      <c r="T320" s="8" t="s">
        <v>942</v>
      </c>
      <c r="U320" s="8" t="s">
        <v>942</v>
      </c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" thickBot="1" x14ac:dyDescent="0.35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" thickBot="1" x14ac:dyDescent="0.35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" thickBot="1" x14ac:dyDescent="0.35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" thickBot="1" x14ac:dyDescent="0.35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" thickBot="1" x14ac:dyDescent="0.35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" thickBot="1" x14ac:dyDescent="0.35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" thickBot="1" x14ac:dyDescent="0.35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" thickBot="1" x14ac:dyDescent="0.35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21</v>
      </c>
      <c r="L328" s="17">
        <f t="shared" si="22"/>
        <v>7</v>
      </c>
      <c r="M328" s="18">
        <f t="shared" si="23"/>
        <v>0.75</v>
      </c>
      <c r="N328" s="28"/>
      <c r="O328" s="8" t="s">
        <v>942</v>
      </c>
      <c r="P328" s="8" t="s">
        <v>942</v>
      </c>
      <c r="Q328" s="8" t="s">
        <v>942</v>
      </c>
      <c r="R328" s="28" t="s">
        <v>942</v>
      </c>
      <c r="S328" s="28" t="s">
        <v>942</v>
      </c>
      <c r="T328" s="8" t="s">
        <v>942</v>
      </c>
      <c r="U328" s="8" t="s">
        <v>942</v>
      </c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" thickBot="1" x14ac:dyDescent="0.35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21</v>
      </c>
      <c r="L329" s="17">
        <f t="shared" si="22"/>
        <v>7</v>
      </c>
      <c r="M329" s="18">
        <f t="shared" si="23"/>
        <v>0.75</v>
      </c>
      <c r="N329" s="28"/>
      <c r="O329" s="8" t="s">
        <v>942</v>
      </c>
      <c r="P329" s="8" t="s">
        <v>942</v>
      </c>
      <c r="Q329" s="8" t="s">
        <v>942</v>
      </c>
      <c r="R329" s="28" t="s">
        <v>942</v>
      </c>
      <c r="S329" s="28" t="s">
        <v>942</v>
      </c>
      <c r="T329" s="8" t="s">
        <v>942</v>
      </c>
      <c r="U329" s="8" t="s">
        <v>942</v>
      </c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" thickBot="1" x14ac:dyDescent="0.35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" thickBot="1" x14ac:dyDescent="0.35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20</v>
      </c>
      <c r="L331" s="17">
        <f t="shared" si="22"/>
        <v>8</v>
      </c>
      <c r="M331" s="18">
        <f t="shared" si="23"/>
        <v>0.7142857142857143</v>
      </c>
      <c r="N331" s="28" t="s">
        <v>942</v>
      </c>
      <c r="O331" s="8" t="s">
        <v>942</v>
      </c>
      <c r="P331" s="8" t="s">
        <v>942</v>
      </c>
      <c r="Q331" s="8" t="s">
        <v>942</v>
      </c>
      <c r="R331" s="28" t="s">
        <v>942</v>
      </c>
      <c r="S331" s="28" t="s">
        <v>942</v>
      </c>
      <c r="T331" s="8" t="s">
        <v>942</v>
      </c>
      <c r="U331" s="8" t="s">
        <v>942</v>
      </c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" thickBot="1" x14ac:dyDescent="0.35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" thickBot="1" x14ac:dyDescent="0.35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" thickBot="1" x14ac:dyDescent="0.35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" thickBot="1" x14ac:dyDescent="0.35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" thickBot="1" x14ac:dyDescent="0.35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" thickBot="1" x14ac:dyDescent="0.35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" thickBot="1" x14ac:dyDescent="0.35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" thickBot="1" x14ac:dyDescent="0.35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" thickBot="1" x14ac:dyDescent="0.35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" thickBot="1" x14ac:dyDescent="0.35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" thickBot="1" x14ac:dyDescent="0.35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" thickBot="1" x14ac:dyDescent="0.35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" thickBot="1" x14ac:dyDescent="0.35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" thickBot="1" x14ac:dyDescent="0.35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20</v>
      </c>
      <c r="L345" s="17">
        <f t="shared" si="22"/>
        <v>8</v>
      </c>
      <c r="M345" s="18">
        <f t="shared" si="23"/>
        <v>0.7142857142857143</v>
      </c>
      <c r="N345" s="28" t="s">
        <v>942</v>
      </c>
      <c r="O345" s="8" t="s">
        <v>942</v>
      </c>
      <c r="P345" s="8" t="s">
        <v>942</v>
      </c>
      <c r="Q345" s="8" t="s">
        <v>942</v>
      </c>
      <c r="R345" s="28" t="s">
        <v>942</v>
      </c>
      <c r="S345" s="28" t="s">
        <v>942</v>
      </c>
      <c r="T345" s="8" t="s">
        <v>942</v>
      </c>
      <c r="U345" s="8" t="s">
        <v>942</v>
      </c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" thickBot="1" x14ac:dyDescent="0.35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20</v>
      </c>
      <c r="L346" s="17">
        <f t="shared" si="22"/>
        <v>8</v>
      </c>
      <c r="M346" s="18">
        <f t="shared" si="23"/>
        <v>0.7142857142857143</v>
      </c>
      <c r="N346" s="28" t="s">
        <v>942</v>
      </c>
      <c r="O346" s="8" t="s">
        <v>942</v>
      </c>
      <c r="P346" s="8" t="s">
        <v>942</v>
      </c>
      <c r="Q346" s="8" t="s">
        <v>942</v>
      </c>
      <c r="R346" s="28" t="s">
        <v>942</v>
      </c>
      <c r="S346" s="28" t="s">
        <v>942</v>
      </c>
      <c r="T346" s="8" t="s">
        <v>942</v>
      </c>
      <c r="U346" s="8" t="s">
        <v>942</v>
      </c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" thickBot="1" x14ac:dyDescent="0.35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20</v>
      </c>
      <c r="L347" s="17">
        <f t="shared" si="22"/>
        <v>8</v>
      </c>
      <c r="M347" s="18">
        <f t="shared" si="23"/>
        <v>0.7142857142857143</v>
      </c>
      <c r="N347" s="28" t="s">
        <v>942</v>
      </c>
      <c r="O347" s="8" t="s">
        <v>942</v>
      </c>
      <c r="P347" s="8" t="s">
        <v>942</v>
      </c>
      <c r="Q347" s="8" t="s">
        <v>942</v>
      </c>
      <c r="R347" s="28" t="s">
        <v>942</v>
      </c>
      <c r="S347" s="28" t="s">
        <v>942</v>
      </c>
      <c r="T347" s="8" t="s">
        <v>942</v>
      </c>
      <c r="U347" s="8" t="s">
        <v>942</v>
      </c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" thickBot="1" x14ac:dyDescent="0.35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21</v>
      </c>
      <c r="L348" s="17">
        <f t="shared" si="22"/>
        <v>7</v>
      </c>
      <c r="M348" s="18">
        <f t="shared" si="23"/>
        <v>0.75</v>
      </c>
      <c r="N348" s="28" t="s">
        <v>942</v>
      </c>
      <c r="O348" s="8" t="s">
        <v>942</v>
      </c>
      <c r="P348" s="8" t="s">
        <v>942</v>
      </c>
      <c r="Q348" s="8" t="s">
        <v>942</v>
      </c>
      <c r="R348" s="28"/>
      <c r="S348" s="28" t="s">
        <v>942</v>
      </c>
      <c r="T348" s="8" t="s">
        <v>942</v>
      </c>
      <c r="U348" s="8" t="s">
        <v>942</v>
      </c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" thickBot="1" x14ac:dyDescent="0.35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20</v>
      </c>
      <c r="L349" s="17">
        <f t="shared" si="22"/>
        <v>8</v>
      </c>
      <c r="M349" s="18">
        <f t="shared" si="23"/>
        <v>0.7142857142857143</v>
      </c>
      <c r="N349" s="28" t="s">
        <v>942</v>
      </c>
      <c r="O349" s="8" t="s">
        <v>942</v>
      </c>
      <c r="P349" s="8" t="s">
        <v>942</v>
      </c>
      <c r="Q349" s="8" t="s">
        <v>942</v>
      </c>
      <c r="R349" s="28" t="s">
        <v>942</v>
      </c>
      <c r="S349" s="28" t="s">
        <v>942</v>
      </c>
      <c r="T349" s="8" t="s">
        <v>942</v>
      </c>
      <c r="U349" s="8" t="s">
        <v>942</v>
      </c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" thickBot="1" x14ac:dyDescent="0.35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" thickBot="1" x14ac:dyDescent="0.35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" thickBot="1" x14ac:dyDescent="0.35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" thickBot="1" x14ac:dyDescent="0.35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26</v>
      </c>
      <c r="L353" s="17">
        <f t="shared" si="22"/>
        <v>2</v>
      </c>
      <c r="M353" s="18">
        <f t="shared" si="23"/>
        <v>0.9285714285714286</v>
      </c>
      <c r="N353" s="28"/>
      <c r="O353" s="8"/>
      <c r="P353" s="8"/>
      <c r="Q353" s="8"/>
      <c r="R353" s="28" t="s">
        <v>942</v>
      </c>
      <c r="S353" s="28" t="s">
        <v>942</v>
      </c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" thickBot="1" x14ac:dyDescent="0.35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" thickBot="1" x14ac:dyDescent="0.35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" thickBot="1" x14ac:dyDescent="0.35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" thickBot="1" x14ac:dyDescent="0.35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" thickBot="1" x14ac:dyDescent="0.35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" thickBot="1" x14ac:dyDescent="0.35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" thickBot="1" x14ac:dyDescent="0.35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" thickBot="1" x14ac:dyDescent="0.35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" thickBot="1" x14ac:dyDescent="0.35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26</v>
      </c>
      <c r="L362" s="17">
        <f t="shared" si="22"/>
        <v>2</v>
      </c>
      <c r="M362" s="18">
        <f t="shared" si="23"/>
        <v>0.9285714285714286</v>
      </c>
      <c r="N362" s="28"/>
      <c r="O362" s="8"/>
      <c r="P362" s="8"/>
      <c r="Q362" s="8"/>
      <c r="R362" s="28"/>
      <c r="S362" s="28"/>
      <c r="T362" s="8" t="s">
        <v>942</v>
      </c>
      <c r="U362" s="8" t="s">
        <v>942</v>
      </c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" thickBot="1" x14ac:dyDescent="0.35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" thickBot="1" x14ac:dyDescent="0.35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" thickBot="1" x14ac:dyDescent="0.35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" thickBot="1" x14ac:dyDescent="0.35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" thickBot="1" x14ac:dyDescent="0.35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20</v>
      </c>
      <c r="L367" s="17">
        <f t="shared" si="22"/>
        <v>8</v>
      </c>
      <c r="M367" s="18">
        <f t="shared" si="23"/>
        <v>0.7142857142857143</v>
      </c>
      <c r="N367" s="28" t="s">
        <v>942</v>
      </c>
      <c r="O367" s="8" t="s">
        <v>942</v>
      </c>
      <c r="P367" s="8" t="s">
        <v>942</v>
      </c>
      <c r="Q367" s="8" t="s">
        <v>942</v>
      </c>
      <c r="R367" s="28" t="s">
        <v>942</v>
      </c>
      <c r="S367" s="28" t="s">
        <v>942</v>
      </c>
      <c r="T367" s="8" t="s">
        <v>942</v>
      </c>
      <c r="U367" s="8" t="s">
        <v>942</v>
      </c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" thickBot="1" x14ac:dyDescent="0.35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" thickBot="1" x14ac:dyDescent="0.35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" thickBot="1" x14ac:dyDescent="0.35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3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3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3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3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3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3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3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3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3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3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3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3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3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3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3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3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3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3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3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3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3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3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3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3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3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3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3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3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3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3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3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3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3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3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3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3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3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3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3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3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3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3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3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3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3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3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3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3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3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3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3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3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3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3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3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3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3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3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3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3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3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3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3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3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3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3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3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3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3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3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3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3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3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3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3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3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3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3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3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3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3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3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3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3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3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3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3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3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3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3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3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3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3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3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3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3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3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3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3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3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3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3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3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3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3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3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3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3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3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3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3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3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3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3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3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3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3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3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3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3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3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3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3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3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3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3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3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3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3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3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3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3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3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3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3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3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3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3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3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3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3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3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3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3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3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3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3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3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3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3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3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3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3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3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3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3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3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3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3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3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3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3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3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3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3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3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3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3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3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3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3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3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3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3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3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3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3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3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3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3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3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3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3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3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3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3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3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3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3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3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3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3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3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3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3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3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3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3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3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3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3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3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3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3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3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3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3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3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3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3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3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3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3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3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3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3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3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3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3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3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3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3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3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3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3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3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3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3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3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3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3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3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3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3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3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3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3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3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3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3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3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3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3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3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3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3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3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3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3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3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3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3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3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3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3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3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3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3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3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3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3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3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3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3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3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3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3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3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3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3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3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3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3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3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3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3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3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3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3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3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3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3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3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3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3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3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3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3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3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3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3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3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3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3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3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3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3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3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3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3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3">
      <c r="D671" s="9"/>
      <c r="E671" s="9"/>
      <c r="F671" s="9"/>
      <c r="G671" s="9"/>
      <c r="H671" s="9"/>
      <c r="I671" s="9"/>
      <c r="J671" s="29"/>
      <c r="M671" s="21"/>
    </row>
    <row r="672" spans="4:44" x14ac:dyDescent="0.3">
      <c r="D672" s="9"/>
      <c r="E672" s="9"/>
      <c r="F672" s="9"/>
      <c r="G672" s="9"/>
      <c r="H672" s="9"/>
      <c r="I672" s="9"/>
      <c r="J672" s="29"/>
      <c r="M672" s="21"/>
    </row>
    <row r="673" spans="4:13" x14ac:dyDescent="0.3">
      <c r="D673" s="9"/>
      <c r="E673" s="9"/>
      <c r="F673" s="9"/>
      <c r="G673" s="9"/>
      <c r="H673" s="9"/>
      <c r="I673" s="9"/>
      <c r="J673" s="29"/>
      <c r="M673" s="21"/>
    </row>
    <row r="674" spans="4:13" x14ac:dyDescent="0.3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1315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3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 t="str">
        <f>'RESUMEN TOTAL'!R5</f>
        <v>APAGADO</v>
      </c>
      <c r="K2" t="str">
        <f>'RESUMEN TOTAL'!S5</f>
        <v>APAGADO</v>
      </c>
      <c r="L2" t="str">
        <f>'RESUMEN TOTAL'!T5</f>
        <v>APAGADO</v>
      </c>
      <c r="M2" t="str">
        <f>'RESUMEN TOTAL'!U5</f>
        <v>APAGADO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3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3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3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3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3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3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3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3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3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3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3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3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3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3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 t="str">
        <f>'RESUMEN TOTAL'!R19</f>
        <v>APAGADO</v>
      </c>
      <c r="K16" t="str">
        <f>'RESUMEN TOTAL'!S19</f>
        <v>APAGADO</v>
      </c>
      <c r="L16" t="str">
        <f>'RESUMEN TOTAL'!T19</f>
        <v>APAGADO</v>
      </c>
      <c r="M16" t="str">
        <f>'RESUMEN TOTAL'!U19</f>
        <v>APAGADO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3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3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3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3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3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 t="str">
        <f>'RESUMEN TOTAL'!R24</f>
        <v>APAGADO</v>
      </c>
      <c r="K21" t="str">
        <f>'RESUMEN TOTAL'!S24</f>
        <v>APAGADO</v>
      </c>
      <c r="L21" t="str">
        <f>'RESUMEN TOTAL'!T24</f>
        <v>APAGADO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3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3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3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3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3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3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3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3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3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3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3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3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3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 t="str">
        <f>'RESUMEN TOTAL'!R37</f>
        <v>APAGADO</v>
      </c>
      <c r="K34" t="str">
        <f>'RESUMEN TOTAL'!S37</f>
        <v>APAGADO</v>
      </c>
      <c r="L34" t="str">
        <f>'RESUMEN TOTAL'!T37</f>
        <v>APAGADO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3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 t="str">
        <f>'RESUMEN TOTAL'!T38</f>
        <v xml:space="preserve"> 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3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3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3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 t="str">
        <f>'RESUMEN TOTAL'!R41</f>
        <v>APAGADO</v>
      </c>
      <c r="K38" t="str">
        <f>'RESUMEN TOTAL'!S41</f>
        <v>APAGADO</v>
      </c>
      <c r="L38" t="str">
        <f>'RESUMEN TOTAL'!T41</f>
        <v>APAGADO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3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3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3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 t="str">
        <f>'RESUMEN TOTAL'!R44</f>
        <v>APAGADO</v>
      </c>
      <c r="K41" t="str">
        <f>'RESUMEN TOTAL'!S44</f>
        <v>APAGADO</v>
      </c>
      <c r="L41" t="str">
        <f>'RESUMEN TOTAL'!T44</f>
        <v>APAGADO</v>
      </c>
      <c r="M41" t="str">
        <f>'RESUMEN TOTAL'!U44</f>
        <v>APAGADO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3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3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3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3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3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3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3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3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 t="str">
        <f>'RESUMEN TOTAL'!R52</f>
        <v>APAGADO</v>
      </c>
      <c r="K49" t="str">
        <f>'RESUMEN TOTAL'!S52</f>
        <v>APAGADO</v>
      </c>
      <c r="L49" t="str">
        <f>'RESUMEN TOTAL'!T52</f>
        <v>APAGADO</v>
      </c>
      <c r="M49" t="str">
        <f>'RESUMEN TOTAL'!U52</f>
        <v>APAGADO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3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3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 t="str">
        <f>'RESUMEN TOTAL'!R54</f>
        <v>APAGADO</v>
      </c>
      <c r="K51" t="str">
        <f>'RESUMEN TOTAL'!S54</f>
        <v>APAGADO</v>
      </c>
      <c r="L51" t="str">
        <f>'RESUMEN TOTAL'!T54</f>
        <v>APAGADO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3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3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3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3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3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3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 t="str">
        <f>'RESUMEN TOTAL'!R60</f>
        <v>APAGADO</v>
      </c>
      <c r="K57" t="str">
        <f>'RESUMEN TOTAL'!S60</f>
        <v>APAGADO</v>
      </c>
      <c r="L57" t="str">
        <f>'RESUMEN TOTAL'!T60</f>
        <v>APAGADO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3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3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 t="str">
        <f>'RESUMEN TOTAL'!U62</f>
        <v>APAGADO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3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 t="str">
        <f>'RESUMEN TOTAL'!R63</f>
        <v>APAGADO</v>
      </c>
      <c r="K60" t="str">
        <f>'RESUMEN TOTAL'!S63</f>
        <v>APAGADO</v>
      </c>
      <c r="L60" t="str">
        <f>'RESUMEN TOTAL'!T63</f>
        <v>APAGADO</v>
      </c>
      <c r="M60" t="str">
        <f>'RESUMEN TOTAL'!U63</f>
        <v>APAGADO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3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3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 t="str">
        <f>'RESUMEN TOTAL'!R65</f>
        <v>APAGADO</v>
      </c>
      <c r="K62" t="str">
        <f>'RESUMEN TOTAL'!S65</f>
        <v>APAGADO</v>
      </c>
      <c r="L62" t="str">
        <f>'RESUMEN TOTAL'!T65</f>
        <v>APAGADO</v>
      </c>
      <c r="M62" t="str">
        <f>'RESUMEN TOTAL'!U65</f>
        <v>APAGADO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3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3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3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 t="str">
        <f>'RESUMEN TOTAL'!R68</f>
        <v>APAGADO</v>
      </c>
      <c r="K65" t="str">
        <f>'RESUMEN TOTAL'!S68</f>
        <v>APAGADO</v>
      </c>
      <c r="L65" t="str">
        <f>'RESUMEN TOTAL'!T68</f>
        <v>APAGADO</v>
      </c>
      <c r="M65" t="str">
        <f>'RESUMEN TOTAL'!U68</f>
        <v>APAGADO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3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3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 t="str">
        <f>'RESUMEN TOTAL'!R70</f>
        <v>APAGADO</v>
      </c>
      <c r="K67" t="str">
        <f>'RESUMEN TOTAL'!S70</f>
        <v>APAGADO</v>
      </c>
      <c r="L67" t="str">
        <f>'RESUMEN TOTAL'!T70</f>
        <v>APAGADO</v>
      </c>
      <c r="M67" t="str">
        <f>'RESUMEN TOTAL'!U70</f>
        <v>APAGADO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3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3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3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3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3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3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3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3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3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3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 t="str">
        <f>'RESUMEN TOTAL'!R80</f>
        <v>APAGADO</v>
      </c>
      <c r="K77" t="str">
        <f>'RESUMEN TOTAL'!S80</f>
        <v>APAGADO</v>
      </c>
      <c r="L77" t="str">
        <f>'RESUMEN TOTAL'!T80</f>
        <v>APAGADO</v>
      </c>
      <c r="M77" t="str">
        <f>'RESUMEN TOTAL'!U80</f>
        <v>APAGADO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3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3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3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3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3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3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3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3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 t="str">
        <f>'RESUMEN TOTAL'!R88</f>
        <v>APAGADO</v>
      </c>
      <c r="K85" t="str">
        <f>'RESUMEN TOTAL'!S88</f>
        <v>APAGADO</v>
      </c>
      <c r="L85" t="str">
        <f>'RESUMEN TOTAL'!T88</f>
        <v>APAGADO</v>
      </c>
      <c r="M85" t="str">
        <f>'RESUMEN TOTAL'!U88</f>
        <v>APAGADO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3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 t="str">
        <f>'RESUMEN TOTAL'!R89</f>
        <v>APAGADO</v>
      </c>
      <c r="K86" t="str">
        <f>'RESUMEN TOTAL'!S89</f>
        <v>APAGADO</v>
      </c>
      <c r="L86" t="str">
        <f>'RESUMEN TOTAL'!T89</f>
        <v>APAGADO</v>
      </c>
      <c r="M86" t="str">
        <f>'RESUMEN TOTAL'!U89</f>
        <v>APAGADO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3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 t="str">
        <f>'RESUMEN TOTAL'!R90</f>
        <v>APAGADO</v>
      </c>
      <c r="K87" t="str">
        <f>'RESUMEN TOTAL'!S90</f>
        <v>APAGADO</v>
      </c>
      <c r="L87" t="str">
        <f>'RESUMEN TOTAL'!T90</f>
        <v>APAGADO</v>
      </c>
      <c r="M87" t="str">
        <f>'RESUMEN TOTAL'!U90</f>
        <v>APAGADO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3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 t="str">
        <f>'RESUMEN TOTAL'!R91</f>
        <v>APAGADO</v>
      </c>
      <c r="K88" t="str">
        <f>'RESUMEN TOTAL'!S91</f>
        <v>APAGADO</v>
      </c>
      <c r="L88" t="str">
        <f>'RESUMEN TOTAL'!T91</f>
        <v>APAGADO</v>
      </c>
      <c r="M88" t="str">
        <f>'RESUMEN TOTAL'!U91</f>
        <v>APAGADO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3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 t="str">
        <f>'RESUMEN TOTAL'!R92</f>
        <v>APAGADO</v>
      </c>
      <c r="K89" t="str">
        <f>'RESUMEN TOTAL'!S92</f>
        <v>APAGADO</v>
      </c>
      <c r="L89" t="str">
        <f>'RESUMEN TOTAL'!T92</f>
        <v>APAGADO</v>
      </c>
      <c r="M89" t="str">
        <f>'RESUMEN TOTAL'!U92</f>
        <v>APAGADO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3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3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3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3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3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 t="str">
        <f>'RESUMEN TOTAL'!T97</f>
        <v>APAGADO</v>
      </c>
      <c r="M94" t="str">
        <f>'RESUMEN TOTAL'!U97</f>
        <v>APAGADO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3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3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3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3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3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 t="str">
        <f>'RESUMEN TOTAL'!T102</f>
        <v>APAGADO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3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3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3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3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3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3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3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3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3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3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 t="str">
        <f>'RESUMEN TOTAL'!R112</f>
        <v>APAGADO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3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3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3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 t="str">
        <f>'RESUMEN TOTAL'!R115</f>
        <v>APAGADO</v>
      </c>
      <c r="K112" t="str">
        <f>'RESUMEN TOTAL'!S115</f>
        <v>APAGADO</v>
      </c>
      <c r="L112" t="str">
        <f>'RESUMEN TOTAL'!T115</f>
        <v>APAGADO</v>
      </c>
      <c r="M112" t="str">
        <f>'RESUMEN TOTAL'!U115</f>
        <v>APAGADO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3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 t="str">
        <f>'RESUMEN TOTAL'!R116</f>
        <v>APAGADO</v>
      </c>
      <c r="K113" t="str">
        <f>'RESUMEN TOTAL'!S116</f>
        <v>APAGADO</v>
      </c>
      <c r="L113" t="str">
        <f>'RESUMEN TOTAL'!T116</f>
        <v>APAGADO</v>
      </c>
      <c r="M113" t="str">
        <f>'RESUMEN TOTAL'!U116</f>
        <v>APAGADO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3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3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3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3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 t="str">
        <f>'RESUMEN TOTAL'!R120</f>
        <v>APAGADO</v>
      </c>
      <c r="K117" t="str">
        <f>'RESUMEN TOTAL'!S120</f>
        <v>APAGADO</v>
      </c>
      <c r="L117" t="str">
        <f>'RESUMEN TOTAL'!T120</f>
        <v>APAGADO</v>
      </c>
      <c r="M117" t="str">
        <f>'RESUMEN TOTAL'!U120</f>
        <v>APAGADO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3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 t="str">
        <f>'RESUMEN TOTAL'!R121</f>
        <v>APAGADO</v>
      </c>
      <c r="K118" t="str">
        <f>'RESUMEN TOTAL'!S121</f>
        <v>APAGADO</v>
      </c>
      <c r="L118" t="str">
        <f>'RESUMEN TOTAL'!T121</f>
        <v>APAGADO</v>
      </c>
      <c r="M118" t="str">
        <f>'RESUMEN TOTAL'!U121</f>
        <v>APAGADO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3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 t="str">
        <f>'RESUMEN TOTAL'!T122</f>
        <v>APAGADO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3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 t="str">
        <f>'RESUMEN TOTAL'!T123</f>
        <v>APAGADO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3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3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3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3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3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3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 t="str">
        <f>'RESUMEN TOTAL'!R129</f>
        <v>APAGADO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3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3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3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3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 t="str">
        <f>'RESUMEN TOTAL'!R133</f>
        <v>APAGADO</v>
      </c>
      <c r="K130" t="str">
        <f>'RESUMEN TOTAL'!S133</f>
        <v>APAGADO</v>
      </c>
      <c r="L130" t="str">
        <f>'RESUMEN TOTAL'!T133</f>
        <v>APAGADO</v>
      </c>
      <c r="M130" t="str">
        <f>'RESUMEN TOTAL'!U133</f>
        <v>APAGADO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3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 t="str">
        <f>'RESUMEN TOTAL'!R134</f>
        <v>APAGADO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3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3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3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3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3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3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3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 t="str">
        <f>'RESUMEN TOTAL'!R141</f>
        <v>APAGADO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3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3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3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 t="str">
        <f>'RESUMEN TOTAL'!U144</f>
        <v>APAGADO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3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3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 t="str">
        <f>'RESUMEN TOTAL'!R146</f>
        <v>APAGADO</v>
      </c>
      <c r="K143" t="str">
        <f>'RESUMEN TOTAL'!S146</f>
        <v>APAGADO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3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3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3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3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3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3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3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 t="str">
        <f>'RESUMEN TOTAL'!U153</f>
        <v>APAGADO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3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3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3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 t="str">
        <f>'RESUMEN TOTAL'!R156</f>
        <v>APAGADO</v>
      </c>
      <c r="K153" t="str">
        <f>'RESUMEN TOTAL'!S156</f>
        <v>APAGADO</v>
      </c>
      <c r="L153" t="str">
        <f>'RESUMEN TOTAL'!T156</f>
        <v>APAGADO</v>
      </c>
      <c r="M153" t="str">
        <f>'RESUMEN TOTAL'!U156</f>
        <v>APAGADO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3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3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3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 t="str">
        <f>'RESUMEN TOTAL'!R159</f>
        <v>APAGADO</v>
      </c>
      <c r="K156" t="str">
        <f>'RESUMEN TOTAL'!S159</f>
        <v>APAGADO</v>
      </c>
      <c r="L156" t="str">
        <f>'RESUMEN TOTAL'!T159</f>
        <v>APAGADO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3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 t="str">
        <f>'RESUMEN TOTAL'!R160</f>
        <v>APAGADO</v>
      </c>
      <c r="K157" t="str">
        <f>'RESUMEN TOTAL'!S160</f>
        <v>APAGADO</v>
      </c>
      <c r="L157" t="str">
        <f>'RESUMEN TOTAL'!T160</f>
        <v>APAGADO</v>
      </c>
      <c r="M157" t="str">
        <f>'RESUMEN TOTAL'!U160</f>
        <v>APAGADO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3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3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3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 t="str">
        <f>'RESUMEN TOTAL'!R163</f>
        <v>APAGADO</v>
      </c>
      <c r="K160" t="str">
        <f>'RESUMEN TOTAL'!S163</f>
        <v>APAGADO</v>
      </c>
      <c r="L160" t="str">
        <f>'RESUMEN TOTAL'!T163</f>
        <v>APAGADO</v>
      </c>
      <c r="M160" t="str">
        <f>'RESUMEN TOTAL'!U163</f>
        <v>APAGADO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3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 t="str">
        <f>'RESUMEN TOTAL'!R164</f>
        <v>APAGADO</v>
      </c>
      <c r="K161" t="str">
        <f>'RESUMEN TOTAL'!S164</f>
        <v>APAGADO</v>
      </c>
      <c r="L161" t="str">
        <f>'RESUMEN TOTAL'!T164</f>
        <v>APAGADO</v>
      </c>
      <c r="M161" t="str">
        <f>'RESUMEN TOTAL'!U164</f>
        <v>APAGADO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3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 t="str">
        <f>'RESUMEN TOTAL'!R166</f>
        <v>APAGADO</v>
      </c>
      <c r="K163" t="str">
        <f>'RESUMEN TOTAL'!S166</f>
        <v>APAGADO</v>
      </c>
      <c r="L163" t="str">
        <f>'RESUMEN TOTAL'!T166</f>
        <v>APAGADO</v>
      </c>
      <c r="M163" t="str">
        <f>'RESUMEN TOTAL'!U166</f>
        <v>APAGADO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3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3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3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 t="str">
        <f>'RESUMEN TOTAL'!R169</f>
        <v>APAGADO</v>
      </c>
      <c r="K166" t="str">
        <f>'RESUMEN TOTAL'!S169</f>
        <v>APAGADO</v>
      </c>
      <c r="L166" t="str">
        <f>'RESUMEN TOTAL'!T169</f>
        <v>APAGADO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3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3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 t="str">
        <f>'RESUMEN TOTAL'!R171</f>
        <v>APAGADO</v>
      </c>
      <c r="K168" t="str">
        <f>'RESUMEN TOTAL'!S171</f>
        <v>APAGADO</v>
      </c>
      <c r="L168" t="str">
        <f>'RESUMEN TOTAL'!T171</f>
        <v>APAGADO</v>
      </c>
      <c r="M168" t="str">
        <f>'RESUMEN TOTAL'!U171</f>
        <v>APAGADO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3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3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3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 t="str">
        <f>'RESUMEN TOTAL'!S174</f>
        <v>APAGADO</v>
      </c>
      <c r="L171" t="str">
        <f>'RESUMEN TOTAL'!T174</f>
        <v>APAGADO</v>
      </c>
      <c r="M171" t="str">
        <f>'RESUMEN TOTAL'!U174</f>
        <v>APAGADO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3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3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3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3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3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3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3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3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3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3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3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3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3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3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3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3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3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 t="str">
        <f>'RESUMEN TOTAL'!R191</f>
        <v>APAGADO</v>
      </c>
      <c r="K188" t="str">
        <f>'RESUMEN TOTAL'!S191</f>
        <v>APAGADO</v>
      </c>
      <c r="L188" t="str">
        <f>'RESUMEN TOTAL'!T191</f>
        <v>APAGADO</v>
      </c>
      <c r="M188" t="str">
        <f>'RESUMEN TOTAL'!U191</f>
        <v>APAGADO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3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 t="str">
        <f>'RESUMEN TOTAL'!R192</f>
        <v>APAGADO</v>
      </c>
      <c r="K189" t="str">
        <f>'RESUMEN TOTAL'!S192</f>
        <v>APAGADO</v>
      </c>
      <c r="L189" t="str">
        <f>'RESUMEN TOTAL'!T192</f>
        <v>APAGADO</v>
      </c>
      <c r="M189" t="str">
        <f>'RESUMEN TOTAL'!U192</f>
        <v>APAGADO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3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 t="str">
        <f>'RESUMEN TOTAL'!R193</f>
        <v>APAGADO</v>
      </c>
      <c r="K190" t="str">
        <f>'RESUMEN TOTAL'!S193</f>
        <v>APAGADO</v>
      </c>
      <c r="L190" t="str">
        <f>'RESUMEN TOTAL'!T193</f>
        <v>APAGADO</v>
      </c>
      <c r="M190" t="str">
        <f>'RESUMEN TOTAL'!U193</f>
        <v>APAGADO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3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 t="str">
        <f>'RESUMEN TOTAL'!R194</f>
        <v>APAGADO</v>
      </c>
      <c r="K191" t="str">
        <f>'RESUMEN TOTAL'!S194</f>
        <v>APAGADO</v>
      </c>
      <c r="L191" t="str">
        <f>'RESUMEN TOTAL'!T194</f>
        <v>APAGADO</v>
      </c>
      <c r="M191" t="str">
        <f>'RESUMEN TOTAL'!U194</f>
        <v>APAGADO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3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 t="str">
        <f>'RESUMEN TOTAL'!R195</f>
        <v>APAGADO</v>
      </c>
      <c r="K192" t="str">
        <f>'RESUMEN TOTAL'!S195</f>
        <v>APAGADO</v>
      </c>
      <c r="L192" t="str">
        <f>'RESUMEN TOTAL'!T195</f>
        <v>APAGADO</v>
      </c>
      <c r="M192" t="str">
        <f>'RESUMEN TOTAL'!U195</f>
        <v>APAGADO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3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 t="str">
        <f>'RESUMEN TOTAL'!R196</f>
        <v>APAGADO</v>
      </c>
      <c r="K193" t="str">
        <f>'RESUMEN TOTAL'!S196</f>
        <v>APAGADO</v>
      </c>
      <c r="L193" t="str">
        <f>'RESUMEN TOTAL'!T196</f>
        <v>APAGADO</v>
      </c>
      <c r="M193" t="str">
        <f>'RESUMEN TOTAL'!U196</f>
        <v>APAGADO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3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 t="str">
        <f>'RESUMEN TOTAL'!R197</f>
        <v>APAGADO</v>
      </c>
      <c r="K194" t="str">
        <f>'RESUMEN TOTAL'!S197</f>
        <v>APAGADO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3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3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 t="str">
        <f>'RESUMEN TOTAL'!T199</f>
        <v>APAGADO</v>
      </c>
      <c r="M196" t="str">
        <f>'RESUMEN TOTAL'!U199</f>
        <v>APAGADO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3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 t="str">
        <f>'RESUMEN TOTAL'!T200</f>
        <v>APAGADO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3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3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3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3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 t="str">
        <f>'RESUMEN TOTAL'!S204</f>
        <v>APAGADO</v>
      </c>
      <c r="L201" t="str">
        <f>'RESUMEN TOTAL'!T204</f>
        <v>APAGADO</v>
      </c>
      <c r="M201" t="str">
        <f>'RESUMEN TOTAL'!U204</f>
        <v>APAGADO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3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 t="str">
        <f>'RESUMEN TOTAL'!S205</f>
        <v>APAGADO</v>
      </c>
      <c r="L202" t="str">
        <f>'RESUMEN TOTAL'!T205</f>
        <v>APAGADO</v>
      </c>
      <c r="M202" t="str">
        <f>'RESUMEN TOTAL'!U205</f>
        <v>APAGADO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3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 t="str">
        <f>'RESUMEN TOTAL'!R206</f>
        <v>APAGADO</v>
      </c>
      <c r="K203" t="str">
        <f>'RESUMEN TOTAL'!S206</f>
        <v>APAGADO</v>
      </c>
      <c r="L203" t="str">
        <f>'RESUMEN TOTAL'!T206</f>
        <v>APAGADO</v>
      </c>
      <c r="M203" t="str">
        <f>'RESUMEN TOTAL'!U206</f>
        <v>APAGADO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3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3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3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3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3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3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3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3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3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3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3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3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3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3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3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3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3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3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 t="str">
        <f>'RESUMEN TOTAL'!R224</f>
        <v>APAGADO</v>
      </c>
      <c r="K221" t="str">
        <f>'RESUMEN TOTAL'!S224</f>
        <v>APAGADO</v>
      </c>
      <c r="L221" t="str">
        <f>'RESUMEN TOTAL'!T224</f>
        <v>APAGADO</v>
      </c>
      <c r="M221" t="str">
        <f>'RESUMEN TOTAL'!U224</f>
        <v>APAGADO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3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3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3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3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3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3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3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3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3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3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3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3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3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3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3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 t="str">
        <f>'RESUMEN TOTAL'!R239</f>
        <v>APAGADO</v>
      </c>
      <c r="K236" t="str">
        <f>'RESUMEN TOTAL'!S239</f>
        <v>APAGADO</v>
      </c>
      <c r="L236" t="str">
        <f>'RESUMEN TOTAL'!T239</f>
        <v>APAGADO</v>
      </c>
      <c r="M236" t="str">
        <f>'RESUMEN TOTAL'!U239</f>
        <v>APAGADO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3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 t="str">
        <f>'RESUMEN TOTAL'!R240</f>
        <v>APAGADO</v>
      </c>
      <c r="K237" t="str">
        <f>'RESUMEN TOTAL'!S240</f>
        <v>APAGADO</v>
      </c>
      <c r="L237" t="str">
        <f>'RESUMEN TOTAL'!T240</f>
        <v>APAGADO</v>
      </c>
      <c r="M237" t="str">
        <f>'RESUMEN TOTAL'!U240</f>
        <v>APAGADO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3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3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3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3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3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3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3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3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 t="str">
        <f>'RESUMEN TOTAL'!R248</f>
        <v>APAGADO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3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 t="str">
        <f>'RESUMEN TOTAL'!R249</f>
        <v>APAGADO</v>
      </c>
      <c r="K246" t="str">
        <f>'RESUMEN TOTAL'!S249</f>
        <v>APAGADO</v>
      </c>
      <c r="L246" t="str">
        <f>'RESUMEN TOTAL'!T249</f>
        <v>APAGADO</v>
      </c>
      <c r="M246" t="str">
        <f>'RESUMEN TOTAL'!U249</f>
        <v>APAGADO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3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 t="str">
        <f>'RESUMEN TOTAL'!R250</f>
        <v>APAGADO</v>
      </c>
      <c r="K247" t="str">
        <f>'RESUMEN TOTAL'!S250</f>
        <v>APAGADO</v>
      </c>
      <c r="L247" t="str">
        <f>'RESUMEN TOTAL'!T250</f>
        <v>APAGADO</v>
      </c>
      <c r="M247" t="str">
        <f>'RESUMEN TOTAL'!U250</f>
        <v>APAGADO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3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 t="str">
        <f>'RESUMEN TOTAL'!R251</f>
        <v>APAGADO</v>
      </c>
      <c r="K248" t="str">
        <f>'RESUMEN TOTAL'!S251</f>
        <v>APAGADO</v>
      </c>
      <c r="L248" t="str">
        <f>'RESUMEN TOTAL'!T251</f>
        <v>APAGADO</v>
      </c>
      <c r="M248" t="str">
        <f>'RESUMEN TOTAL'!U251</f>
        <v>APAGADO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3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 t="str">
        <f>'RESUMEN TOTAL'!R252</f>
        <v>APAGADO</v>
      </c>
      <c r="K249" t="str">
        <f>'RESUMEN TOTAL'!S252</f>
        <v>APAGADO</v>
      </c>
      <c r="L249" t="str">
        <f>'RESUMEN TOTAL'!T252</f>
        <v>APAGADO</v>
      </c>
      <c r="M249" t="str">
        <f>'RESUMEN TOTAL'!U252</f>
        <v>APAGADO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3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3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3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3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3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3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3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 t="str">
        <f>'RESUMEN TOTAL'!R259</f>
        <v>APAGADO</v>
      </c>
      <c r="K256" t="str">
        <f>'RESUMEN TOTAL'!S259</f>
        <v>APAGADO</v>
      </c>
      <c r="L256" t="str">
        <f>'RESUMEN TOTAL'!T259</f>
        <v>APAGADO</v>
      </c>
      <c r="M256" t="str">
        <f>'RESUMEN TOTAL'!U259</f>
        <v>APAGADO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3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3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3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3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 t="str">
        <f>'RESUMEN TOTAL'!R263</f>
        <v>APAGADO</v>
      </c>
      <c r="K260" t="str">
        <f>'RESUMEN TOTAL'!S263</f>
        <v>APAGADO</v>
      </c>
      <c r="L260" t="str">
        <f>'RESUMEN TOTAL'!T263</f>
        <v>APAGADO</v>
      </c>
      <c r="M260" t="str">
        <f>'RESUMEN TOTAL'!U263</f>
        <v>APAGADO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3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 t="str">
        <f>'RESUMEN TOTAL'!R264</f>
        <v>APAGADO</v>
      </c>
      <c r="K261" t="str">
        <f>'RESUMEN TOTAL'!S264</f>
        <v>APAGADO</v>
      </c>
      <c r="L261" t="str">
        <f>'RESUMEN TOTAL'!T264</f>
        <v>APAGADO</v>
      </c>
      <c r="M261" t="str">
        <f>'RESUMEN TOTAL'!U264</f>
        <v>APAGADO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3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3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3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3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3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3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3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 t="str">
        <f>'RESUMEN TOTAL'!R271</f>
        <v>APAGADO</v>
      </c>
      <c r="K268" t="str">
        <f>'RESUMEN TOTAL'!S271</f>
        <v>APAGADO</v>
      </c>
      <c r="L268">
        <f>'RESUMEN TOTAL'!T271</f>
        <v>0</v>
      </c>
      <c r="M268" t="str">
        <f>'RESUMEN TOTAL'!U271</f>
        <v>APAGADO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3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 t="str">
        <f>'RESUMEN TOTAL'!R272</f>
        <v>APAGADO</v>
      </c>
      <c r="K269" t="str">
        <f>'RESUMEN TOTAL'!S272</f>
        <v>APAGADO</v>
      </c>
      <c r="L269">
        <f>'RESUMEN TOTAL'!T272</f>
        <v>0</v>
      </c>
      <c r="M269" t="str">
        <f>'RESUMEN TOTAL'!U272</f>
        <v>APAGADO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3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3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3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3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3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3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3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 t="str">
        <f>'RESUMEN TOTAL'!U279</f>
        <v>APAGADO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3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 t="str">
        <f>'RESUMEN TOTAL'!T280</f>
        <v>APAGADO</v>
      </c>
      <c r="M277" t="str">
        <f>'RESUMEN TOTAL'!U280</f>
        <v>APAGADO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3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3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3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3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3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3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3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3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3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3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3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3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3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3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3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 t="str">
        <f>'RESUMEN TOTAL'!S295</f>
        <v>APAGADO</v>
      </c>
      <c r="L292">
        <f>'RESUMEN TOTAL'!T295</f>
        <v>0</v>
      </c>
      <c r="M292" t="str">
        <f>'RESUMEN TOTAL'!U295</f>
        <v>APAGADO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3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3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3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3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3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3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3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3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3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3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3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 t="str">
        <f>'RESUMEN TOTAL'!R306</f>
        <v>APAGADO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3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3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3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3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3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3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3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3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3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3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3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3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3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 t="str">
        <f>'RESUMEN TOTAL'!R319</f>
        <v>APAGADO</v>
      </c>
      <c r="K316" t="str">
        <f>'RESUMEN TOTAL'!S319</f>
        <v>APAGADO</v>
      </c>
      <c r="L316" t="str">
        <f>'RESUMEN TOTAL'!T319</f>
        <v>APAGADO</v>
      </c>
      <c r="M316" t="str">
        <f>'RESUMEN TOTAL'!U319</f>
        <v>APAGADO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3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 t="str">
        <f>'RESUMEN TOTAL'!R320</f>
        <v>APAGADO</v>
      </c>
      <c r="K317" t="str">
        <f>'RESUMEN TOTAL'!S320</f>
        <v>APAGADO</v>
      </c>
      <c r="L317" t="str">
        <f>'RESUMEN TOTAL'!T320</f>
        <v>APAGADO</v>
      </c>
      <c r="M317" t="str">
        <f>'RESUMEN TOTAL'!U320</f>
        <v>APAGADO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3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3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3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3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3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3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3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3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 t="str">
        <f>'RESUMEN TOTAL'!R328</f>
        <v>APAGADO</v>
      </c>
      <c r="K325" t="str">
        <f>'RESUMEN TOTAL'!S328</f>
        <v>APAGADO</v>
      </c>
      <c r="L325" t="str">
        <f>'RESUMEN TOTAL'!T328</f>
        <v>APAGADO</v>
      </c>
      <c r="M325" t="str">
        <f>'RESUMEN TOTAL'!U328</f>
        <v>APAGADO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3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 t="str">
        <f>'RESUMEN TOTAL'!R329</f>
        <v>APAGADO</v>
      </c>
      <c r="K326" t="str">
        <f>'RESUMEN TOTAL'!S329</f>
        <v>APAGADO</v>
      </c>
      <c r="L326" t="str">
        <f>'RESUMEN TOTAL'!T329</f>
        <v>APAGADO</v>
      </c>
      <c r="M326" t="str">
        <f>'RESUMEN TOTAL'!U329</f>
        <v>APAGADO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3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3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 t="str">
        <f>'RESUMEN TOTAL'!R331</f>
        <v>APAGADO</v>
      </c>
      <c r="K328" t="str">
        <f>'RESUMEN TOTAL'!S331</f>
        <v>APAGADO</v>
      </c>
      <c r="L328" t="str">
        <f>'RESUMEN TOTAL'!T331</f>
        <v>APAGADO</v>
      </c>
      <c r="M328" t="str">
        <f>'RESUMEN TOTAL'!U331</f>
        <v>APAGADO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3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3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3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3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3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3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3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3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3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3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3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3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3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3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 t="str">
        <f>'RESUMEN TOTAL'!R345</f>
        <v>APAGADO</v>
      </c>
      <c r="K342" t="str">
        <f>'RESUMEN TOTAL'!S345</f>
        <v>APAGADO</v>
      </c>
      <c r="L342" t="str">
        <f>'RESUMEN TOTAL'!T345</f>
        <v>APAGADO</v>
      </c>
      <c r="M342" t="str">
        <f>'RESUMEN TOTAL'!U345</f>
        <v>APAGADO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3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 t="str">
        <f>'RESUMEN TOTAL'!R346</f>
        <v>APAGADO</v>
      </c>
      <c r="K343" t="str">
        <f>'RESUMEN TOTAL'!S346</f>
        <v>APAGADO</v>
      </c>
      <c r="L343" t="str">
        <f>'RESUMEN TOTAL'!T346</f>
        <v>APAGADO</v>
      </c>
      <c r="M343" t="str">
        <f>'RESUMEN TOTAL'!U346</f>
        <v>APAGADO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3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 t="str">
        <f>'RESUMEN TOTAL'!R347</f>
        <v>APAGADO</v>
      </c>
      <c r="K344" t="str">
        <f>'RESUMEN TOTAL'!S347</f>
        <v>APAGADO</v>
      </c>
      <c r="L344" t="str">
        <f>'RESUMEN TOTAL'!T347</f>
        <v>APAGADO</v>
      </c>
      <c r="M344" t="str">
        <f>'RESUMEN TOTAL'!U347</f>
        <v>APAGADO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3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 t="str">
        <f>'RESUMEN TOTAL'!S348</f>
        <v>APAGADO</v>
      </c>
      <c r="L345" t="str">
        <f>'RESUMEN TOTAL'!T348</f>
        <v>APAGADO</v>
      </c>
      <c r="M345" t="str">
        <f>'RESUMEN TOTAL'!U348</f>
        <v>APAGADO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3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 t="str">
        <f>'RESUMEN TOTAL'!R349</f>
        <v>APAGADO</v>
      </c>
      <c r="K346" t="str">
        <f>'RESUMEN TOTAL'!S349</f>
        <v>APAGADO</v>
      </c>
      <c r="L346" t="str">
        <f>'RESUMEN TOTAL'!T349</f>
        <v>APAGADO</v>
      </c>
      <c r="M346" t="str">
        <f>'RESUMEN TOTAL'!U349</f>
        <v>APAGADO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3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3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3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3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 t="str">
        <f>'RESUMEN TOTAL'!R353</f>
        <v>APAGADO</v>
      </c>
      <c r="K350" t="str">
        <f>'RESUMEN TOTAL'!S353</f>
        <v>APAGADO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3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3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3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3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3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3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3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3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3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 t="str">
        <f>'RESUMEN TOTAL'!T362</f>
        <v>APAGADO</v>
      </c>
      <c r="M359" t="str">
        <f>'RESUMEN TOTAL'!U362</f>
        <v>APAGADO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3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3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3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3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3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 t="str">
        <f>'RESUMEN TOTAL'!R367</f>
        <v>APAGADO</v>
      </c>
      <c r="K364" t="str">
        <f>'RESUMEN TOTAL'!S367</f>
        <v>APAGADO</v>
      </c>
      <c r="L364" t="str">
        <f>'RESUMEN TOTAL'!T367</f>
        <v>APAGADO</v>
      </c>
      <c r="M364" t="str">
        <f>'RESUMEN TOTAL'!U367</f>
        <v>APAGADO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3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66</v>
      </c>
      <c r="I1" s="27">
        <f>COUNTIFS(I3:I366, "=APAGADO",E3:E366,"=Fibra Optica")</f>
        <v>60</v>
      </c>
      <c r="J1" s="27">
        <f>COUNTIFS(J3:J366, "=APAGADO",E3:E366,"=Fibra Optica")</f>
        <v>56</v>
      </c>
      <c r="K1" s="27">
        <f>COUNTIFS(K3:K366, "=APAGADO",E3:E366,"=Fibra Optica")</f>
        <v>60</v>
      </c>
      <c r="L1" s="27">
        <f>COUNTIFS(L3:L366, "=APAGADO",E3:E366,"=Fibra Optica")</f>
        <v>61</v>
      </c>
      <c r="M1" s="27">
        <f>COUNTIFS(M3:M366, "=APAGADO",E3:E366,"=Fibra Optica")</f>
        <v>56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4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6" ht="21" x14ac:dyDescent="0.4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3</v>
      </c>
      <c r="I1" s="27">
        <f>COUNTIFS(I3:I366, "=APAGADO",E3:E366,"=PTP A FO")</f>
        <v>1</v>
      </c>
      <c r="J1" s="27">
        <f>COUNTIFS(J3:J366, "=APAGADO",E3:E366,"=PTP A FO")</f>
        <v>4</v>
      </c>
      <c r="K1" s="27">
        <f>COUNTIFS(K3:K366, "=APAGADO",E3:E366,"=PTP A FO")</f>
        <v>1</v>
      </c>
      <c r="L1" s="27">
        <f>COUNTIFS(L3:L366, "=APAGADO",E3:E366,"=PTP A FO")</f>
        <v>1</v>
      </c>
      <c r="M1" s="27">
        <f>COUNTIFS(M3:M366, "=APAGADO",E3:E366,"=PTP A FO")</f>
        <v>2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" priority="2" operator="containsText" text="APAGADO">
      <formula>NOT(ISERROR(SEARCH("APAGADO",AE2)))</formula>
    </cfRule>
  </conditionalFormatting>
  <conditionalFormatting sqref="F3:AG369">
    <cfRule type="containsText" dxfId="2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6" ht="21" x14ac:dyDescent="0.4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8</v>
      </c>
      <c r="I1" s="27">
        <f>COUNTIFS(I3:I366, "=APAGADO",E3:E366,"=radio")</f>
        <v>9</v>
      </c>
      <c r="J1" s="27">
        <f>COUNTIFS(J3:J366, "=APAGADO",E3:E366,"=radio")</f>
        <v>9</v>
      </c>
      <c r="K1" s="27">
        <f>COUNTIFS(K3:K366, "=APAGADO",E3:E366,"=radio")</f>
        <v>7</v>
      </c>
      <c r="L1" s="27">
        <f>COUNTIFS(L3:L366, "=APAGADO",E3:E366,"=radio")</f>
        <v>9</v>
      </c>
      <c r="M1" s="27">
        <f>COUNTIFS(M3:M366, "=APAGADO",E3:E366,"=radio")</f>
        <v>9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abSelected="1"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10" workbookViewId="0">
      <selection activeCell="B10" sqref="B10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3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3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:E4" si="0">B3+C3</f>
        <v>80</v>
      </c>
      <c r="F3">
        <f>'RESUMEN TOTAL'!B1</f>
        <v>366</v>
      </c>
    </row>
    <row r="4" spans="1:6" x14ac:dyDescent="0.3">
      <c r="A4" s="26">
        <f>'APAGADOS RADIO'!H2</f>
        <v>44623</v>
      </c>
      <c r="B4">
        <f>'APAGADOS RADIO'!H1+D4</f>
        <v>11</v>
      </c>
      <c r="C4">
        <f>'APAGADOS FIBRA'!H1</f>
        <v>66</v>
      </c>
      <c r="D4">
        <f>'APAGADOS ANTENA'!H1</f>
        <v>3</v>
      </c>
      <c r="E4">
        <f t="shared" si="0"/>
        <v>77</v>
      </c>
      <c r="F4">
        <f>'RESUMEN TOTAL'!B1</f>
        <v>366</v>
      </c>
    </row>
    <row r="5" spans="1:6" x14ac:dyDescent="0.3">
      <c r="A5" s="26">
        <f>'APAGADOS RADIO'!I2</f>
        <v>44624</v>
      </c>
      <c r="B5">
        <f>'APAGADOS RADIO'!I1+D5</f>
        <v>10</v>
      </c>
      <c r="C5" s="31">
        <f>'APAGADOS FIBRA'!I1</f>
        <v>60</v>
      </c>
      <c r="D5">
        <f>'APAGADOS ANTENA'!I1</f>
        <v>1</v>
      </c>
      <c r="E5">
        <f t="shared" ref="E5:E9" si="1">B5+C5</f>
        <v>70</v>
      </c>
      <c r="F5">
        <f>'RESUMEN TOTAL'!B1</f>
        <v>366</v>
      </c>
    </row>
    <row r="6" spans="1:6" x14ac:dyDescent="0.3">
      <c r="A6" s="26">
        <f>'APAGADOS RADIO'!J2</f>
        <v>44625</v>
      </c>
      <c r="B6">
        <f>'APAGADOS RADIO'!J1+D6</f>
        <v>9</v>
      </c>
      <c r="C6">
        <f>'APAGADOS FIBRA'!J1</f>
        <v>56</v>
      </c>
      <c r="D6">
        <f>'APAGADOS ANTENA'!F51</f>
        <v>0</v>
      </c>
      <c r="E6">
        <f t="shared" si="1"/>
        <v>65</v>
      </c>
      <c r="F6">
        <f>'RESUMEN TOTAL'!B1</f>
        <v>366</v>
      </c>
    </row>
    <row r="7" spans="1:6" x14ac:dyDescent="0.3">
      <c r="A7" s="26">
        <f>'APAGADOS RADIO'!K2</f>
        <v>44626</v>
      </c>
      <c r="B7">
        <f>'APAGADOS RADIO'!K1+D7</f>
        <v>8</v>
      </c>
      <c r="C7" s="31">
        <f>'APAGADOS FIBRA'!K1</f>
        <v>60</v>
      </c>
      <c r="D7">
        <f>'APAGADOS ANTENA'!K1</f>
        <v>1</v>
      </c>
      <c r="E7">
        <f t="shared" si="1"/>
        <v>68</v>
      </c>
      <c r="F7">
        <f>'RESUMEN TOTAL'!B1</f>
        <v>366</v>
      </c>
    </row>
    <row r="8" spans="1:6" x14ac:dyDescent="0.3">
      <c r="A8" s="26">
        <f>'APAGADOS RADIO'!L2</f>
        <v>44627</v>
      </c>
      <c r="B8">
        <f>'APAGADOS RADIO'!L1+D8</f>
        <v>10</v>
      </c>
      <c r="C8">
        <f>'APAGADOS FIBRA'!L1</f>
        <v>61</v>
      </c>
      <c r="D8">
        <f>'APAGADOS ANTENA'!L1</f>
        <v>1</v>
      </c>
      <c r="E8">
        <f t="shared" si="1"/>
        <v>71</v>
      </c>
      <c r="F8">
        <f>'RESUMEN TOTAL'!B1</f>
        <v>366</v>
      </c>
    </row>
    <row r="9" spans="1:6" x14ac:dyDescent="0.3">
      <c r="A9" s="26">
        <f>'APAGADOS RADIO'!M2</f>
        <v>44628</v>
      </c>
      <c r="B9">
        <f>'APAGADOS RADIO'!M1+D9</f>
        <v>11</v>
      </c>
      <c r="C9" s="31">
        <f>'APAGADOS FIBRA'!M1</f>
        <v>56</v>
      </c>
      <c r="D9">
        <f>'APAGADOS ANTENA'!M1</f>
        <v>2</v>
      </c>
      <c r="E9">
        <f t="shared" si="1"/>
        <v>67</v>
      </c>
      <c r="F9">
        <f>'RESUMEN TOTAL'!B1</f>
        <v>366</v>
      </c>
    </row>
    <row r="10" spans="1:6" x14ac:dyDescent="0.3">
      <c r="A10" s="26">
        <f>'APAGADOS RADIO'!N2</f>
        <v>44629</v>
      </c>
      <c r="F10">
        <f>'RESUMEN TOTAL'!B1</f>
        <v>366</v>
      </c>
    </row>
    <row r="11" spans="1:6" x14ac:dyDescent="0.3">
      <c r="A11" s="26">
        <f>'APAGADOS RADIO'!O2</f>
        <v>44630</v>
      </c>
      <c r="F11">
        <f>'RESUMEN TOTAL'!B1</f>
        <v>366</v>
      </c>
    </row>
    <row r="12" spans="1:6" x14ac:dyDescent="0.3">
      <c r="A12" s="26">
        <f>'APAGADOS RADIO'!P2</f>
        <v>44631</v>
      </c>
      <c r="F12">
        <f>'RESUMEN TOTAL'!B1</f>
        <v>366</v>
      </c>
    </row>
    <row r="13" spans="1:6" x14ac:dyDescent="0.3">
      <c r="A13" s="26">
        <f>'APAGADOS RADIO'!Q2</f>
        <v>44632</v>
      </c>
      <c r="F13">
        <f>'RESUMEN TOTAL'!B1</f>
        <v>366</v>
      </c>
    </row>
    <row r="14" spans="1:6" x14ac:dyDescent="0.3">
      <c r="A14" s="26">
        <f>'APAGADOS RADIO'!R2</f>
        <v>44633</v>
      </c>
      <c r="F14">
        <f>'RESUMEN TOTAL'!B1</f>
        <v>366</v>
      </c>
    </row>
    <row r="15" spans="1:6" x14ac:dyDescent="0.3">
      <c r="A15" s="26">
        <f>'APAGADOS RADIO'!S2</f>
        <v>44634</v>
      </c>
      <c r="F15">
        <f>'RESUMEN TOTAL'!B1</f>
        <v>366</v>
      </c>
    </row>
    <row r="16" spans="1:6" x14ac:dyDescent="0.3">
      <c r="A16" s="26">
        <f>'APAGADOS RADIO'!T2</f>
        <v>44635</v>
      </c>
      <c r="F16">
        <f>'RESUMEN TOTAL'!B1</f>
        <v>366</v>
      </c>
    </row>
    <row r="17" spans="1:6" x14ac:dyDescent="0.3">
      <c r="A17" s="26">
        <f>'APAGADOS RADIO'!U2</f>
        <v>44636</v>
      </c>
      <c r="F17">
        <f>'RESUMEN TOTAL'!B1</f>
        <v>366</v>
      </c>
    </row>
    <row r="18" spans="1:6" x14ac:dyDescent="0.3">
      <c r="A18" s="26">
        <f>'APAGADOS RADIO'!V2</f>
        <v>44637</v>
      </c>
      <c r="F18">
        <f>'RESUMEN TOTAL'!B1</f>
        <v>366</v>
      </c>
    </row>
    <row r="19" spans="1:6" x14ac:dyDescent="0.3">
      <c r="A19" s="26">
        <f>'APAGADOS RADIO'!W2</f>
        <v>44638</v>
      </c>
      <c r="F19">
        <f>'RESUMEN TOTAL'!B1</f>
        <v>366</v>
      </c>
    </row>
    <row r="20" spans="1:6" x14ac:dyDescent="0.3">
      <c r="A20" s="26">
        <f>'APAGADOS RADIO'!X2</f>
        <v>44639</v>
      </c>
      <c r="C20" s="31"/>
      <c r="F20">
        <f>'RESUMEN TOTAL'!B1</f>
        <v>366</v>
      </c>
    </row>
    <row r="21" spans="1:6" x14ac:dyDescent="0.3">
      <c r="A21" s="26">
        <f>'APAGADOS RADIO'!Y2</f>
        <v>44640</v>
      </c>
      <c r="F21">
        <f>'RESUMEN TOTAL'!B1</f>
        <v>366</v>
      </c>
    </row>
    <row r="22" spans="1:6" x14ac:dyDescent="0.3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3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3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3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3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3">
      <c r="A27" s="26">
        <f>'APAGADOS RADIO'!AE2</f>
        <v>44646</v>
      </c>
      <c r="F27">
        <f>'RESUMEN TOTAL'!B1</f>
        <v>366</v>
      </c>
    </row>
    <row r="28" spans="1:6" x14ac:dyDescent="0.3">
      <c r="A28" s="26">
        <f>'APAGADOS RADIO'!AF2</f>
        <v>44647</v>
      </c>
      <c r="F28">
        <f>'RESUMEN TOTAL'!B1</f>
        <v>366</v>
      </c>
    </row>
    <row r="29" spans="1:6" x14ac:dyDescent="0.3">
      <c r="A29" s="26">
        <f>'APAGADOS RADIO'!AG2</f>
        <v>44648</v>
      </c>
      <c r="F29">
        <f>'RESUMEN TOTAL'!B1</f>
        <v>366</v>
      </c>
    </row>
    <row r="30" spans="1:6" x14ac:dyDescent="0.3">
      <c r="A30" s="26">
        <f>'APAGADOS RADIO'!AH2</f>
        <v>44649</v>
      </c>
      <c r="F30">
        <f>'RESUMEN TOTAL'!B1</f>
        <v>366</v>
      </c>
    </row>
    <row r="31" spans="1:6" x14ac:dyDescent="0.3">
      <c r="A31" s="26">
        <f>'APAGADOS RADIO'!AI2</f>
        <v>44650</v>
      </c>
      <c r="F31">
        <f>'RESUMEN TOTAL'!B1</f>
        <v>366</v>
      </c>
    </row>
    <row r="32" spans="1:6" x14ac:dyDescent="0.3">
      <c r="A32" s="26">
        <f>'APAGADOS RADIO'!AJ2</f>
        <v>44651</v>
      </c>
      <c r="F32">
        <f>'RESUMEN TOTAL'!B1</f>
        <v>366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2022-03-08T12:18:51Z</dcterms:modified>
</cp:coreProperties>
</file>