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2810D424-8BE2-419C-9675-D35141DD7B0E}" xr6:coauthVersionLast="47" xr6:coauthVersionMax="47" xr10:uidLastSave="{00000000-0000-0000-0000-000000000000}"/>
  <bookViews>
    <workbookView xWindow="28680" yWindow="-120" windowWidth="29040" windowHeight="16440" firstSheet="1" activeTab="8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8" l="1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Y366" i="8"/>
  <c r="Z366" i="8"/>
  <c r="Z367" i="9" s="1"/>
  <c r="AA366" i="8"/>
  <c r="AB366" i="8"/>
  <c r="AC366" i="8"/>
  <c r="AD366" i="8"/>
  <c r="AE366" i="8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Y367" i="8"/>
  <c r="Y368" i="9" s="1"/>
  <c r="Z367" i="8"/>
  <c r="AA367" i="8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B369" i="8"/>
  <c r="AC369" i="8"/>
  <c r="AD369" i="8"/>
  <c r="AE369" i="8"/>
  <c r="AE370" i="9" s="1"/>
  <c r="AF369" i="8"/>
  <c r="AF370" i="9" s="1"/>
  <c r="AG369" i="8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Y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X367" i="9"/>
  <c r="Y367" i="9"/>
  <c r="AA367" i="9"/>
  <c r="AB367" i="9"/>
  <c r="AC367" i="9"/>
  <c r="AD367" i="9"/>
  <c r="AE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X368" i="9"/>
  <c r="Z368" i="9"/>
  <c r="AA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C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A370" i="9"/>
  <c r="AB370" i="9"/>
  <c r="AC370" i="9"/>
  <c r="AG370" i="9"/>
  <c r="H371" i="9"/>
  <c r="J371" i="9"/>
  <c r="K371" i="9"/>
  <c r="L371" i="9"/>
  <c r="M371" i="9"/>
  <c r="P371" i="9"/>
  <c r="R371" i="9"/>
  <c r="S371" i="9"/>
  <c r="T371" i="9"/>
  <c r="U371" i="9"/>
  <c r="X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Y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X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X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9" i="11"/>
  <c r="AA368" i="21"/>
  <c r="AB368" i="21"/>
  <c r="AC368" i="11"/>
  <c r="AD368" i="10"/>
  <c r="AE368" i="10"/>
  <c r="AF368" i="10"/>
  <c r="AG368" i="11"/>
  <c r="AA369" i="2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X368" i="21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G369" i="21" l="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AD2" i="11"/>
  <c r="Y2" i="11"/>
  <c r="Z2" i="1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9" i="14" l="1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<sst xmlns="http://schemas.openxmlformats.org/spreadsheetml/2006/main" count="3737" uniqueCount="1333">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</sst>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Normal="100" workbookViewId="0">
      <pane xSplit="14" ySplit="4" topLeftCell="AA140" activePane="bottomRight" state="frozen"/>
      <selection pane="topRight" activeCell="M1" sqref="M1"/>
      <selection pane="bottomLeft" activeCell="A5" sqref="A5"/>
      <selection pane="bottomRight" activeCell="A153" sqref="A153:XFD153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6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7"/>
      <c r="C1" s="43">
        <f>COUNTA(C5:C527)</f>
        <v>368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" thickBot="1" x14ac:dyDescent="0.35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17</v>
      </c>
      <c r="M5" s="17">
        <f t="shared" ref="M5:M68" si="6">COUNTIF(O5:AP5,"APAGADO")</f>
        <v>11</v>
      </c>
      <c r="N5" s="18">
        <f t="shared" ref="N5:N68" si="7">(L5)/(M5+L5)</f>
        <v>0.6071428571428571</v>
      </c>
      <c r="O5" s="30" t="s">
        <v>939</v>
      </c>
      <c r="P5" s="19" t="s">
        <v>939</v>
      </c>
      <c r="Q5" s="19" t="s">
        <v>939</v>
      </c>
      <c r="R5" s="19" t="s">
        <v>939</v>
      </c>
      <c r="S5" s="30" t="s">
        <v>939</v>
      </c>
      <c r="T5" s="30" t="s">
        <v>939</v>
      </c>
      <c r="U5" s="19" t="s">
        <v>939</v>
      </c>
      <c r="V5" s="19" t="s">
        <v>939</v>
      </c>
      <c r="W5" s="19" t="s">
        <v>939</v>
      </c>
      <c r="X5" s="30" t="s">
        <v>939</v>
      </c>
      <c r="Y5" s="30" t="s">
        <v>939</v>
      </c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" thickBot="1" x14ac:dyDescent="0.35">
      <c r="A6" t="s">
        <v>22</v>
      </c>
      <c r="C6" s="47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" thickBot="1" x14ac:dyDescent="0.35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" thickBot="1" x14ac:dyDescent="0.35">
      <c r="A8" t="s">
        <v>22</v>
      </c>
      <c r="C8" s="47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" thickBot="1" x14ac:dyDescent="0.35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" thickBot="1" x14ac:dyDescent="0.35">
      <c r="A10" t="s">
        <v>34</v>
      </c>
      <c r="C10" s="46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" thickBot="1" x14ac:dyDescent="0.35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" thickBot="1" x14ac:dyDescent="0.35">
      <c r="A12" t="s">
        <v>34</v>
      </c>
      <c r="C12" s="46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" thickBot="1" x14ac:dyDescent="0.35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" thickBot="1" x14ac:dyDescent="0.35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8" t="s">
        <v>939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" thickBot="1" x14ac:dyDescent="0.35">
      <c r="A15" t="s">
        <v>34</v>
      </c>
      <c r="C15" s="46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" thickBot="1" x14ac:dyDescent="0.35">
      <c r="A16" t="s">
        <v>34</v>
      </c>
      <c r="C16" s="46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" thickBot="1" x14ac:dyDescent="0.35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" thickBot="1" x14ac:dyDescent="0.35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" thickBot="1" x14ac:dyDescent="0.35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8"/>
      <c r="P19" s="8" t="s">
        <v>939</v>
      </c>
      <c r="Q19" s="8" t="s">
        <v>939</v>
      </c>
      <c r="R19" s="8" t="s">
        <v>939</v>
      </c>
      <c r="S19" s="28" t="s">
        <v>939</v>
      </c>
      <c r="T19" s="28" t="s">
        <v>939</v>
      </c>
      <c r="U19" s="8" t="s">
        <v>939</v>
      </c>
      <c r="V19" s="8" t="s">
        <v>939</v>
      </c>
      <c r="W19" s="8" t="s">
        <v>939</v>
      </c>
      <c r="X19" s="28" t="s">
        <v>939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" thickBot="1" x14ac:dyDescent="0.35">
      <c r="A20" t="s">
        <v>34</v>
      </c>
      <c r="C20" s="46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" thickBot="1" x14ac:dyDescent="0.35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" thickBot="1" x14ac:dyDescent="0.35">
      <c r="C22" s="46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8"/>
      <c r="P22" s="8"/>
      <c r="Q22" s="8"/>
      <c r="R22" s="8"/>
      <c r="S22" s="28"/>
      <c r="T22" s="28"/>
      <c r="U22" s="8"/>
      <c r="V22" s="8"/>
      <c r="W22" s="8" t="s">
        <v>939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" thickBot="1" x14ac:dyDescent="0.35">
      <c r="C23" s="46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" thickBot="1" x14ac:dyDescent="0.35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8"/>
      <c r="P24" s="8"/>
      <c r="Q24" s="8"/>
      <c r="R24" s="8" t="s">
        <v>939</v>
      </c>
      <c r="S24" s="28" t="s">
        <v>939</v>
      </c>
      <c r="T24" s="28" t="s">
        <v>939</v>
      </c>
      <c r="U24" s="8" t="s">
        <v>939</v>
      </c>
      <c r="V24" s="8"/>
      <c r="W24" s="8" t="s">
        <v>939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" thickBot="1" x14ac:dyDescent="0.35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" thickBot="1" x14ac:dyDescent="0.35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" thickBot="1" x14ac:dyDescent="0.35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" thickBot="1" x14ac:dyDescent="0.35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" thickBot="1" x14ac:dyDescent="0.35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" thickBot="1" x14ac:dyDescent="0.35">
      <c r="A30" t="s">
        <v>80</v>
      </c>
      <c r="C30" s="46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27</v>
      </c>
      <c r="M30" s="17">
        <f t="shared" si="6"/>
        <v>1</v>
      </c>
      <c r="N30" s="18">
        <f t="shared" si="7"/>
        <v>0.9642857142857143</v>
      </c>
      <c r="O30" s="28"/>
      <c r="P30" s="8"/>
      <c r="Q30" s="8"/>
      <c r="R30" s="8"/>
      <c r="S30" s="28"/>
      <c r="T30" s="28"/>
      <c r="U30" s="8"/>
      <c r="V30" s="8"/>
      <c r="W30" s="8" t="s">
        <v>939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" thickBot="1" x14ac:dyDescent="0.35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" thickBot="1" x14ac:dyDescent="0.35">
      <c r="A32" t="s">
        <v>80</v>
      </c>
      <c r="C32" s="46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" thickBot="1" x14ac:dyDescent="0.35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" thickBot="1" x14ac:dyDescent="0.35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" thickBot="1" x14ac:dyDescent="0.35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" thickBot="1" x14ac:dyDescent="0.35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" thickBot="1" x14ac:dyDescent="0.35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8" t="s">
        <v>939</v>
      </c>
      <c r="P37" s="8" t="s">
        <v>939</v>
      </c>
      <c r="Q37" s="8" t="s">
        <v>939</v>
      </c>
      <c r="R37" s="8" t="s">
        <v>939</v>
      </c>
      <c r="S37" s="28" t="s">
        <v>939</v>
      </c>
      <c r="T37" s="28" t="s">
        <v>939</v>
      </c>
      <c r="U37" s="8" t="s">
        <v>939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" thickBot="1" x14ac:dyDescent="0.35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8"/>
      <c r="P38" s="8"/>
      <c r="Q38" s="8"/>
      <c r="R38" s="8"/>
      <c r="S38" s="28"/>
      <c r="T38" s="28"/>
      <c r="U38" s="8" t="s">
        <v>940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" thickBot="1" x14ac:dyDescent="0.35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" thickBot="1" x14ac:dyDescent="0.35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" thickBot="1" x14ac:dyDescent="0.35">
      <c r="A41" t="s">
        <v>80</v>
      </c>
      <c r="C41" s="46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20</v>
      </c>
      <c r="M41" s="17">
        <f t="shared" si="6"/>
        <v>8</v>
      </c>
      <c r="N41" s="18">
        <f t="shared" si="7"/>
        <v>0.7142857142857143</v>
      </c>
      <c r="O41" s="28"/>
      <c r="P41" s="8" t="s">
        <v>939</v>
      </c>
      <c r="Q41" s="8" t="s">
        <v>939</v>
      </c>
      <c r="R41" s="8" t="s">
        <v>939</v>
      </c>
      <c r="S41" s="28" t="s">
        <v>939</v>
      </c>
      <c r="T41" s="28" t="s">
        <v>939</v>
      </c>
      <c r="U41" s="8" t="s">
        <v>939</v>
      </c>
      <c r="V41" s="8"/>
      <c r="W41" s="8" t="s">
        <v>939</v>
      </c>
      <c r="X41" s="28" t="s">
        <v>939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" thickBot="1" x14ac:dyDescent="0.35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" thickBot="1" x14ac:dyDescent="0.35">
      <c r="A43" t="s">
        <v>80</v>
      </c>
      <c r="C43" s="46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8"/>
      <c r="P43" s="8"/>
      <c r="Q43" s="8"/>
      <c r="R43" s="8"/>
      <c r="S43" s="28"/>
      <c r="T43" s="28"/>
      <c r="U43" s="8"/>
      <c r="V43" s="8"/>
      <c r="W43" s="8" t="s">
        <v>939</v>
      </c>
      <c r="X43" s="28" t="s">
        <v>939</v>
      </c>
      <c r="Y43" s="28" t="s">
        <v>939</v>
      </c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" thickBot="1" x14ac:dyDescent="0.35">
      <c r="A44" t="s">
        <v>80</v>
      </c>
      <c r="C44" s="46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17</v>
      </c>
      <c r="M44" s="17">
        <f t="shared" si="6"/>
        <v>11</v>
      </c>
      <c r="N44" s="18">
        <f t="shared" si="7"/>
        <v>0.6071428571428571</v>
      </c>
      <c r="O44" s="28" t="s">
        <v>939</v>
      </c>
      <c r="P44" s="8" t="s">
        <v>939</v>
      </c>
      <c r="Q44" s="8" t="s">
        <v>939</v>
      </c>
      <c r="R44" s="8" t="s">
        <v>939</v>
      </c>
      <c r="S44" s="28" t="s">
        <v>939</v>
      </c>
      <c r="T44" s="28" t="s">
        <v>939</v>
      </c>
      <c r="U44" s="8" t="s">
        <v>939</v>
      </c>
      <c r="V44" s="8" t="s">
        <v>939</v>
      </c>
      <c r="W44" s="8" t="s">
        <v>939</v>
      </c>
      <c r="X44" s="28" t="s">
        <v>939</v>
      </c>
      <c r="Y44" s="28" t="s">
        <v>939</v>
      </c>
      <c r="Z44" s="28"/>
      <c r="AA44" s="28"/>
      <c r="AB44" s="28"/>
      <c r="AC44" s="28"/>
      <c r="AD44" s="28"/>
      <c r="AE44" s="28"/>
      <c r="AF44" s="28"/>
      <c r="AG44" s="28"/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" thickBot="1" x14ac:dyDescent="0.35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" thickBot="1" x14ac:dyDescent="0.35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" thickBot="1" x14ac:dyDescent="0.35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" thickBot="1" x14ac:dyDescent="0.35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8"/>
      <c r="P48" s="8"/>
      <c r="Q48" s="8"/>
      <c r="R48" s="8"/>
      <c r="S48" s="28"/>
      <c r="T48" s="28"/>
      <c r="U48" s="8"/>
      <c r="V48" s="8"/>
      <c r="W48" s="8" t="s">
        <v>939</v>
      </c>
      <c r="X48" s="28" t="s">
        <v>939</v>
      </c>
      <c r="Y48" s="28" t="s">
        <v>939</v>
      </c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" thickBot="1" x14ac:dyDescent="0.35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" thickBot="1" x14ac:dyDescent="0.35">
      <c r="A50" t="s">
        <v>80</v>
      </c>
      <c r="C50" s="46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" thickBot="1" x14ac:dyDescent="0.35">
      <c r="A51" t="s">
        <v>80</v>
      </c>
      <c r="C51" s="46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" thickBot="1" x14ac:dyDescent="0.35">
      <c r="A52" t="s">
        <v>80</v>
      </c>
      <c r="C52" s="46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17</v>
      </c>
      <c r="M52" s="17">
        <f t="shared" si="6"/>
        <v>11</v>
      </c>
      <c r="N52" s="18">
        <f t="shared" si="7"/>
        <v>0.6071428571428571</v>
      </c>
      <c r="O52" s="28" t="s">
        <v>939</v>
      </c>
      <c r="P52" s="8" t="s">
        <v>939</v>
      </c>
      <c r="Q52" s="8" t="s">
        <v>939</v>
      </c>
      <c r="R52" s="8" t="s">
        <v>939</v>
      </c>
      <c r="S52" s="28" t="s">
        <v>939</v>
      </c>
      <c r="T52" s="28" t="s">
        <v>939</v>
      </c>
      <c r="U52" s="8" t="s">
        <v>939</v>
      </c>
      <c r="V52" s="8" t="s">
        <v>939</v>
      </c>
      <c r="W52" s="8" t="s">
        <v>939</v>
      </c>
      <c r="X52" s="28" t="s">
        <v>939</v>
      </c>
      <c r="Y52" s="28" t="s">
        <v>939</v>
      </c>
      <c r="Z52" s="28"/>
      <c r="AA52" s="28"/>
      <c r="AB52" s="28"/>
      <c r="AC52" s="28"/>
      <c r="AD52" s="28"/>
      <c r="AE52" s="28"/>
      <c r="AF52" s="28"/>
      <c r="AG52" s="28"/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" thickBot="1" x14ac:dyDescent="0.35">
      <c r="C53" s="46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" thickBot="1" x14ac:dyDescent="0.35">
      <c r="A54" t="s">
        <v>80</v>
      </c>
      <c r="C54" s="46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8" t="s">
        <v>939</v>
      </c>
      <c r="P54" s="8" t="s">
        <v>939</v>
      </c>
      <c r="Q54" s="8" t="s">
        <v>939</v>
      </c>
      <c r="R54" s="8" t="s">
        <v>939</v>
      </c>
      <c r="S54" s="28" t="s">
        <v>939</v>
      </c>
      <c r="T54" s="28" t="s">
        <v>939</v>
      </c>
      <c r="U54" s="8" t="s">
        <v>939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" thickBot="1" x14ac:dyDescent="0.35">
      <c r="A55" t="s">
        <v>80</v>
      </c>
      <c r="C55" s="46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" thickBot="1" x14ac:dyDescent="0.35">
      <c r="A56" t="s">
        <v>167</v>
      </c>
      <c r="C56" s="46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939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" thickBot="1" x14ac:dyDescent="0.35">
      <c r="A57" t="s">
        <v>80</v>
      </c>
      <c r="C57" s="46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" thickBot="1" x14ac:dyDescent="0.35">
      <c r="A58" t="s">
        <v>80</v>
      </c>
      <c r="C58" s="46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" thickBot="1" x14ac:dyDescent="0.35">
      <c r="A59" t="s">
        <v>80</v>
      </c>
      <c r="C59" s="46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8"/>
      <c r="P59" s="8"/>
      <c r="Q59" s="8"/>
      <c r="R59" s="8"/>
      <c r="S59" s="28"/>
      <c r="T59" s="28"/>
      <c r="U59" s="8"/>
      <c r="V59" s="8"/>
      <c r="W59" s="8" t="s">
        <v>939</v>
      </c>
      <c r="X59" s="28" t="s">
        <v>939</v>
      </c>
      <c r="Y59" s="28" t="s">
        <v>939</v>
      </c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" thickBot="1" x14ac:dyDescent="0.35">
      <c r="A60" t="s">
        <v>80</v>
      </c>
      <c r="C60" s="46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8" t="s">
        <v>939</v>
      </c>
      <c r="P60" s="8" t="s">
        <v>939</v>
      </c>
      <c r="Q60" s="8" t="s">
        <v>939</v>
      </c>
      <c r="R60" s="8" t="s">
        <v>939</v>
      </c>
      <c r="S60" s="28" t="s">
        <v>939</v>
      </c>
      <c r="T60" s="28" t="s">
        <v>939</v>
      </c>
      <c r="U60" s="8" t="s">
        <v>939</v>
      </c>
      <c r="V60" s="8"/>
      <c r="W60" s="8" t="s">
        <v>939</v>
      </c>
      <c r="X60" s="28" t="s">
        <v>939</v>
      </c>
      <c r="Y60" s="28" t="s">
        <v>939</v>
      </c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" thickBot="1" x14ac:dyDescent="0.35">
      <c r="A61" t="s">
        <v>80</v>
      </c>
      <c r="C61" s="46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" thickBot="1" x14ac:dyDescent="0.35">
      <c r="A62" t="s">
        <v>80</v>
      </c>
      <c r="C62" s="46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8"/>
      <c r="P62" s="8"/>
      <c r="Q62" s="8"/>
      <c r="R62" s="8"/>
      <c r="S62" s="28"/>
      <c r="T62" s="28"/>
      <c r="U62" s="8"/>
      <c r="V62" s="8" t="s">
        <v>939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" thickBot="1" x14ac:dyDescent="0.35">
      <c r="A63" t="s">
        <v>80</v>
      </c>
      <c r="C63" s="46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8" t="s">
        <v>939</v>
      </c>
      <c r="P63" s="8" t="s">
        <v>939</v>
      </c>
      <c r="Q63" s="8" t="s">
        <v>939</v>
      </c>
      <c r="R63" s="8" t="s">
        <v>939</v>
      </c>
      <c r="S63" s="28" t="s">
        <v>939</v>
      </c>
      <c r="T63" s="28" t="s">
        <v>939</v>
      </c>
      <c r="U63" s="8" t="s">
        <v>939</v>
      </c>
      <c r="V63" s="8" t="s">
        <v>939</v>
      </c>
      <c r="W63" s="8" t="s">
        <v>939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" thickBot="1" x14ac:dyDescent="0.35">
      <c r="A64" t="s">
        <v>80</v>
      </c>
      <c r="C64" s="46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" thickBot="1" x14ac:dyDescent="0.35">
      <c r="A65" t="s">
        <v>80</v>
      </c>
      <c r="C65" s="46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8" t="s">
        <v>939</v>
      </c>
      <c r="P65" s="8" t="s">
        <v>939</v>
      </c>
      <c r="Q65" s="8" t="s">
        <v>939</v>
      </c>
      <c r="R65" s="8" t="s">
        <v>939</v>
      </c>
      <c r="S65" s="28" t="s">
        <v>939</v>
      </c>
      <c r="T65" s="28" t="s">
        <v>939</v>
      </c>
      <c r="U65" s="8" t="s">
        <v>939</v>
      </c>
      <c r="V65" s="8" t="s">
        <v>939</v>
      </c>
      <c r="W65" s="8" t="s">
        <v>939</v>
      </c>
      <c r="X65" s="28" t="s">
        <v>939</v>
      </c>
      <c r="Y65" s="28" t="s">
        <v>939</v>
      </c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" thickBot="1" x14ac:dyDescent="0.35">
      <c r="A66" t="s">
        <v>80</v>
      </c>
      <c r="C66" s="46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" thickBot="1" x14ac:dyDescent="0.35">
      <c r="A67" t="s">
        <v>80</v>
      </c>
      <c r="C67" s="46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" thickBot="1" x14ac:dyDescent="0.35">
      <c r="A68" t="s">
        <v>80</v>
      </c>
      <c r="C68" s="46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8" t="s">
        <v>939</v>
      </c>
      <c r="P68" s="8" t="s">
        <v>939</v>
      </c>
      <c r="Q68" s="8" t="s">
        <v>939</v>
      </c>
      <c r="R68" s="8" t="s">
        <v>939</v>
      </c>
      <c r="S68" s="28" t="s">
        <v>939</v>
      </c>
      <c r="T68" s="28" t="s">
        <v>939</v>
      </c>
      <c r="U68" s="8" t="s">
        <v>939</v>
      </c>
      <c r="V68" s="8" t="s">
        <v>939</v>
      </c>
      <c r="W68" s="8" t="s">
        <v>939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" thickBot="1" x14ac:dyDescent="0.35">
      <c r="A69" t="s">
        <v>80</v>
      </c>
      <c r="C69" s="46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" thickBot="1" x14ac:dyDescent="0.35">
      <c r="A70" t="s">
        <v>80</v>
      </c>
      <c r="C70" s="46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18</v>
      </c>
      <c r="M70" s="17">
        <f t="shared" si="9"/>
        <v>10</v>
      </c>
      <c r="N70" s="18">
        <f t="shared" si="10"/>
        <v>0.6428571428571429</v>
      </c>
      <c r="O70" s="28" t="s">
        <v>939</v>
      </c>
      <c r="P70" s="8" t="s">
        <v>939</v>
      </c>
      <c r="Q70" s="8" t="s">
        <v>939</v>
      </c>
      <c r="R70" s="8" t="s">
        <v>939</v>
      </c>
      <c r="S70" s="28" t="s">
        <v>939</v>
      </c>
      <c r="T70" s="28" t="s">
        <v>939</v>
      </c>
      <c r="U70" s="8" t="s">
        <v>939</v>
      </c>
      <c r="V70" s="8" t="s">
        <v>939</v>
      </c>
      <c r="W70" s="8" t="s">
        <v>939</v>
      </c>
      <c r="X70" s="28" t="s">
        <v>939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" thickBot="1" x14ac:dyDescent="0.35">
      <c r="A71" t="s">
        <v>80</v>
      </c>
      <c r="C71" s="46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" thickBot="1" x14ac:dyDescent="0.35">
      <c r="A72" t="s">
        <v>80</v>
      </c>
      <c r="C72" s="46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" thickBot="1" x14ac:dyDescent="0.35">
      <c r="A73" t="s">
        <v>80</v>
      </c>
      <c r="C73" s="46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" thickBot="1" x14ac:dyDescent="0.35">
      <c r="A74" t="s">
        <v>80</v>
      </c>
      <c r="C74" s="46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" thickBot="1" x14ac:dyDescent="0.35">
      <c r="A75" t="s">
        <v>80</v>
      </c>
      <c r="C75" s="46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" thickBot="1" x14ac:dyDescent="0.35">
      <c r="A76" t="s">
        <v>80</v>
      </c>
      <c r="C76" s="46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" thickBot="1" x14ac:dyDescent="0.35">
      <c r="A77" t="s">
        <v>80</v>
      </c>
      <c r="C77" s="46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" thickBot="1" x14ac:dyDescent="0.35">
      <c r="A78" t="s">
        <v>80</v>
      </c>
      <c r="C78" s="46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" thickBot="1" x14ac:dyDescent="0.35">
      <c r="A79" t="s">
        <v>80</v>
      </c>
      <c r="C79" s="46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" thickBot="1" x14ac:dyDescent="0.35">
      <c r="A80" t="s">
        <v>80</v>
      </c>
      <c r="C80" s="46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10</v>
      </c>
      <c r="M80" s="17">
        <f t="shared" si="9"/>
        <v>18</v>
      </c>
      <c r="N80" s="18">
        <f t="shared" si="10"/>
        <v>0.35714285714285715</v>
      </c>
      <c r="O80" s="28" t="s">
        <v>939</v>
      </c>
      <c r="P80" s="8" t="s">
        <v>939</v>
      </c>
      <c r="Q80" s="8" t="s">
        <v>939</v>
      </c>
      <c r="R80" s="8" t="s">
        <v>939</v>
      </c>
      <c r="S80" s="28" t="s">
        <v>939</v>
      </c>
      <c r="T80" s="28" t="s">
        <v>939</v>
      </c>
      <c r="U80" s="8" t="s">
        <v>939</v>
      </c>
      <c r="V80" s="8" t="s">
        <v>939</v>
      </c>
      <c r="W80" s="8" t="s">
        <v>939</v>
      </c>
      <c r="X80" s="28" t="s">
        <v>939</v>
      </c>
      <c r="Y80" s="28" t="s">
        <v>939</v>
      </c>
      <c r="Z80" s="28" t="s">
        <v>939</v>
      </c>
      <c r="AA80" s="28" t="s">
        <v>939</v>
      </c>
      <c r="AB80" s="28" t="s">
        <v>939</v>
      </c>
      <c r="AC80" s="28" t="s">
        <v>939</v>
      </c>
      <c r="AD80" s="28" t="s">
        <v>939</v>
      </c>
      <c r="AE80" s="28" t="s">
        <v>939</v>
      </c>
      <c r="AF80" s="28" t="s">
        <v>939</v>
      </c>
      <c r="AG80" s="28"/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" thickBot="1" x14ac:dyDescent="0.35">
      <c r="A81" t="s">
        <v>80</v>
      </c>
      <c r="C81" s="46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" thickBot="1" x14ac:dyDescent="0.35">
      <c r="A82" t="s">
        <v>80</v>
      </c>
      <c r="C82" s="46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" thickBot="1" x14ac:dyDescent="0.35">
      <c r="A83" t="s">
        <v>80</v>
      </c>
      <c r="C83" s="46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" thickBot="1" x14ac:dyDescent="0.35">
      <c r="A84" t="s">
        <v>80</v>
      </c>
      <c r="C84" s="46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 t="s">
        <v>939</v>
      </c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" thickBot="1" x14ac:dyDescent="0.35">
      <c r="A85" t="s">
        <v>80</v>
      </c>
      <c r="C85" s="46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" thickBot="1" x14ac:dyDescent="0.35">
      <c r="A86" t="s">
        <v>80</v>
      </c>
      <c r="C86" s="46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8" t="s">
        <v>939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" thickBot="1" x14ac:dyDescent="0.35">
      <c r="C87" s="46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" thickBot="1" x14ac:dyDescent="0.35">
      <c r="A88" t="s">
        <v>80</v>
      </c>
      <c r="C88" s="46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8" t="s">
        <v>939</v>
      </c>
      <c r="P88" s="8" t="s">
        <v>939</v>
      </c>
      <c r="Q88" s="8" t="s">
        <v>939</v>
      </c>
      <c r="R88" s="8" t="s">
        <v>939</v>
      </c>
      <c r="S88" s="28" t="s">
        <v>939</v>
      </c>
      <c r="T88" s="28" t="s">
        <v>939</v>
      </c>
      <c r="U88" s="8" t="s">
        <v>939</v>
      </c>
      <c r="V88" s="8" t="s">
        <v>939</v>
      </c>
      <c r="W88" s="8" t="s">
        <v>939</v>
      </c>
      <c r="X88" s="28" t="s">
        <v>939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" thickBot="1" x14ac:dyDescent="0.35">
      <c r="A89" t="s">
        <v>80</v>
      </c>
      <c r="C89" s="46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15</v>
      </c>
      <c r="M89" s="17">
        <f t="shared" si="9"/>
        <v>13</v>
      </c>
      <c r="N89" s="18">
        <f t="shared" si="10"/>
        <v>0.5357142857142857</v>
      </c>
      <c r="O89" s="28"/>
      <c r="P89" s="8" t="s">
        <v>939</v>
      </c>
      <c r="Q89" s="8" t="s">
        <v>939</v>
      </c>
      <c r="R89" s="8" t="s">
        <v>939</v>
      </c>
      <c r="S89" s="28" t="s">
        <v>939</v>
      </c>
      <c r="T89" s="28" t="s">
        <v>939</v>
      </c>
      <c r="U89" s="8" t="s">
        <v>939</v>
      </c>
      <c r="V89" s="8" t="s">
        <v>939</v>
      </c>
      <c r="W89" s="8" t="s">
        <v>939</v>
      </c>
      <c r="X89" s="28" t="s">
        <v>939</v>
      </c>
      <c r="Y89" s="28"/>
      <c r="Z89" s="28"/>
      <c r="AA89" s="28"/>
      <c r="AB89" s="28"/>
      <c r="AC89" s="28" t="s">
        <v>939</v>
      </c>
      <c r="AD89" s="28" t="s">
        <v>939</v>
      </c>
      <c r="AE89" s="28" t="s">
        <v>939</v>
      </c>
      <c r="AF89" s="28" t="s">
        <v>939</v>
      </c>
      <c r="AG89" s="28"/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" thickBot="1" x14ac:dyDescent="0.35">
      <c r="A90" t="s">
        <v>80</v>
      </c>
      <c r="C90" s="46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14</v>
      </c>
      <c r="M90" s="17">
        <f t="shared" si="9"/>
        <v>14</v>
      </c>
      <c r="N90" s="18">
        <f t="shared" si="10"/>
        <v>0.5</v>
      </c>
      <c r="O90" s="28" t="s">
        <v>939</v>
      </c>
      <c r="P90" s="8" t="s">
        <v>939</v>
      </c>
      <c r="Q90" s="8" t="s">
        <v>939</v>
      </c>
      <c r="R90" s="8" t="s">
        <v>939</v>
      </c>
      <c r="S90" s="28" t="s">
        <v>939</v>
      </c>
      <c r="T90" s="28" t="s">
        <v>939</v>
      </c>
      <c r="U90" s="8" t="s">
        <v>939</v>
      </c>
      <c r="V90" s="8" t="s">
        <v>939</v>
      </c>
      <c r="W90" s="8" t="s">
        <v>939</v>
      </c>
      <c r="X90" s="28" t="s">
        <v>939</v>
      </c>
      <c r="Y90" s="28"/>
      <c r="Z90" s="28"/>
      <c r="AA90" s="28"/>
      <c r="AB90" s="28"/>
      <c r="AC90" s="28" t="s">
        <v>939</v>
      </c>
      <c r="AD90" s="28" t="s">
        <v>939</v>
      </c>
      <c r="AE90" s="28" t="s">
        <v>939</v>
      </c>
      <c r="AF90" s="28" t="s">
        <v>939</v>
      </c>
      <c r="AG90" s="28"/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5" customHeight="1" thickBot="1" x14ac:dyDescent="0.35">
      <c r="A91" t="s">
        <v>80</v>
      </c>
      <c r="C91" s="46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10</v>
      </c>
      <c r="M91" s="17">
        <f t="shared" si="9"/>
        <v>18</v>
      </c>
      <c r="N91" s="18">
        <f t="shared" si="10"/>
        <v>0.35714285714285715</v>
      </c>
      <c r="O91" s="28" t="s">
        <v>939</v>
      </c>
      <c r="P91" s="8" t="s">
        <v>939</v>
      </c>
      <c r="Q91" s="8" t="s">
        <v>939</v>
      </c>
      <c r="R91" s="8" t="s">
        <v>939</v>
      </c>
      <c r="S91" s="28" t="s">
        <v>939</v>
      </c>
      <c r="T91" s="28" t="s">
        <v>939</v>
      </c>
      <c r="U91" s="8" t="s">
        <v>939</v>
      </c>
      <c r="V91" s="8" t="s">
        <v>939</v>
      </c>
      <c r="W91" s="8" t="s">
        <v>939</v>
      </c>
      <c r="X91" s="28" t="s">
        <v>939</v>
      </c>
      <c r="Y91" s="28" t="s">
        <v>939</v>
      </c>
      <c r="Z91" s="28" t="s">
        <v>939</v>
      </c>
      <c r="AA91" s="28" t="s">
        <v>939</v>
      </c>
      <c r="AB91" s="28" t="s">
        <v>939</v>
      </c>
      <c r="AC91" s="28" t="s">
        <v>939</v>
      </c>
      <c r="AD91" s="28" t="s">
        <v>939</v>
      </c>
      <c r="AE91" s="28" t="s">
        <v>939</v>
      </c>
      <c r="AF91" s="28" t="s">
        <v>939</v>
      </c>
      <c r="AG91" s="28"/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" thickBot="1" x14ac:dyDescent="0.35">
      <c r="A92" t="s">
        <v>80</v>
      </c>
      <c r="C92" s="46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10</v>
      </c>
      <c r="M92" s="17">
        <f t="shared" si="9"/>
        <v>18</v>
      </c>
      <c r="N92" s="18">
        <f t="shared" si="10"/>
        <v>0.35714285714285715</v>
      </c>
      <c r="O92" s="28" t="s">
        <v>939</v>
      </c>
      <c r="P92" s="8" t="s">
        <v>939</v>
      </c>
      <c r="Q92" s="8" t="s">
        <v>939</v>
      </c>
      <c r="R92" s="8" t="s">
        <v>939</v>
      </c>
      <c r="S92" s="28" t="s">
        <v>939</v>
      </c>
      <c r="T92" s="28" t="s">
        <v>939</v>
      </c>
      <c r="U92" s="8" t="s">
        <v>939</v>
      </c>
      <c r="V92" s="8" t="s">
        <v>939</v>
      </c>
      <c r="W92" s="8" t="s">
        <v>939</v>
      </c>
      <c r="X92" s="28" t="s">
        <v>939</v>
      </c>
      <c r="Y92" s="28" t="s">
        <v>939</v>
      </c>
      <c r="Z92" s="28" t="s">
        <v>939</v>
      </c>
      <c r="AA92" s="28" t="s">
        <v>939</v>
      </c>
      <c r="AB92" s="28" t="s">
        <v>939</v>
      </c>
      <c r="AC92" s="28" t="s">
        <v>939</v>
      </c>
      <c r="AD92" s="28" t="s">
        <v>939</v>
      </c>
      <c r="AE92" s="28" t="s">
        <v>939</v>
      </c>
      <c r="AF92" s="28" t="s">
        <v>939</v>
      </c>
      <c r="AG92" s="28"/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" thickBot="1" x14ac:dyDescent="0.35">
      <c r="A93" t="s">
        <v>80</v>
      </c>
      <c r="C93" s="46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" thickBot="1" x14ac:dyDescent="0.35">
      <c r="A94" t="s">
        <v>80</v>
      </c>
      <c r="C94" s="46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939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" thickBot="1" x14ac:dyDescent="0.35">
      <c r="A95" t="s">
        <v>80</v>
      </c>
      <c r="C95" s="46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" thickBot="1" x14ac:dyDescent="0.35">
      <c r="A96" t="s">
        <v>258</v>
      </c>
      <c r="C96" s="46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" thickBot="1" x14ac:dyDescent="0.35">
      <c r="A97" t="s">
        <v>261</v>
      </c>
      <c r="C97" s="46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8"/>
      <c r="P97" s="8"/>
      <c r="Q97" s="8"/>
      <c r="R97" s="8"/>
      <c r="S97" s="28"/>
      <c r="T97" s="28"/>
      <c r="U97" s="8" t="s">
        <v>939</v>
      </c>
      <c r="V97" s="8" t="s">
        <v>939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" thickBot="1" x14ac:dyDescent="0.35">
      <c r="A98" t="s">
        <v>261</v>
      </c>
      <c r="C98" s="46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" thickBot="1" x14ac:dyDescent="0.35">
      <c r="A99" t="s">
        <v>261</v>
      </c>
      <c r="C99" s="46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" thickBot="1" x14ac:dyDescent="0.35">
      <c r="A100" t="s">
        <v>271</v>
      </c>
      <c r="C100" s="46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" thickBot="1" x14ac:dyDescent="0.35">
      <c r="A101" t="s">
        <v>274</v>
      </c>
      <c r="C101" s="46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" thickBot="1" x14ac:dyDescent="0.35">
      <c r="A102" t="s">
        <v>274</v>
      </c>
      <c r="C102" s="46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8"/>
      <c r="P102" s="8"/>
      <c r="Q102" s="8"/>
      <c r="R102" s="8"/>
      <c r="S102" s="28"/>
      <c r="T102" s="28"/>
      <c r="U102" s="8" t="s">
        <v>939</v>
      </c>
      <c r="V102" s="8"/>
      <c r="W102" s="8"/>
      <c r="X102" s="28"/>
      <c r="Y102" s="28"/>
      <c r="Z102" s="28" t="s">
        <v>939</v>
      </c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" thickBot="1" x14ac:dyDescent="0.35">
      <c r="C103" s="46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" thickBot="1" x14ac:dyDescent="0.35">
      <c r="A104" t="s">
        <v>283</v>
      </c>
      <c r="C104" s="46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20</v>
      </c>
      <c r="M104" s="17">
        <f t="shared" si="9"/>
        <v>8</v>
      </c>
      <c r="N104" s="18">
        <f t="shared" si="10"/>
        <v>0.7142857142857143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 t="s">
        <v>939</v>
      </c>
      <c r="Z104" s="28" t="s">
        <v>939</v>
      </c>
      <c r="AA104" s="28" t="s">
        <v>939</v>
      </c>
      <c r="AB104" s="28" t="s">
        <v>939</v>
      </c>
      <c r="AC104" s="28" t="s">
        <v>939</v>
      </c>
      <c r="AD104" s="28" t="s">
        <v>939</v>
      </c>
      <c r="AE104" s="28" t="s">
        <v>939</v>
      </c>
      <c r="AF104" s="28" t="s">
        <v>939</v>
      </c>
      <c r="AG104" s="28"/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2" customHeight="1" thickBot="1" x14ac:dyDescent="0.35">
      <c r="A105" t="s">
        <v>283</v>
      </c>
      <c r="C105" s="46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20</v>
      </c>
      <c r="M105" s="17">
        <f t="shared" si="9"/>
        <v>8</v>
      </c>
      <c r="N105" s="18">
        <f t="shared" si="10"/>
        <v>0.7142857142857143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 t="s">
        <v>939</v>
      </c>
      <c r="Z105" s="28" t="s">
        <v>939</v>
      </c>
      <c r="AA105" s="28" t="s">
        <v>939</v>
      </c>
      <c r="AB105" s="28" t="s">
        <v>939</v>
      </c>
      <c r="AC105" s="28" t="s">
        <v>939</v>
      </c>
      <c r="AD105" s="28" t="s">
        <v>939</v>
      </c>
      <c r="AE105" s="28" t="s">
        <v>939</v>
      </c>
      <c r="AF105" s="28" t="s">
        <v>939</v>
      </c>
      <c r="AG105" s="28"/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" thickBot="1" x14ac:dyDescent="0.35">
      <c r="A106" t="s">
        <v>289</v>
      </c>
      <c r="C106" s="46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23</v>
      </c>
      <c r="M106" s="17">
        <f t="shared" si="9"/>
        <v>5</v>
      </c>
      <c r="N106" s="18">
        <f t="shared" si="10"/>
        <v>0.8214285714285714</v>
      </c>
      <c r="O106" s="28"/>
      <c r="P106" s="8" t="s">
        <v>939</v>
      </c>
      <c r="Q106" s="8" t="s">
        <v>939</v>
      </c>
      <c r="R106" s="8"/>
      <c r="S106" s="28"/>
      <c r="T106" s="28"/>
      <c r="U106" s="8"/>
      <c r="V106" s="8"/>
      <c r="W106" s="8"/>
      <c r="X106" s="28" t="s">
        <v>939</v>
      </c>
      <c r="Y106" s="28"/>
      <c r="Z106" s="28"/>
      <c r="AA106" s="28"/>
      <c r="AB106" s="28" t="s">
        <v>939</v>
      </c>
      <c r="AC106" s="28"/>
      <c r="AD106" s="28" t="s">
        <v>939</v>
      </c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" thickBot="1" x14ac:dyDescent="0.35">
      <c r="A107" t="s">
        <v>289</v>
      </c>
      <c r="C107" s="46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23</v>
      </c>
      <c r="M107" s="17">
        <f t="shared" si="9"/>
        <v>5</v>
      </c>
      <c r="N107" s="18">
        <f t="shared" si="10"/>
        <v>0.8214285714285714</v>
      </c>
      <c r="O107" s="28"/>
      <c r="P107" s="8" t="s">
        <v>939</v>
      </c>
      <c r="Q107" s="8" t="s">
        <v>939</v>
      </c>
      <c r="R107" s="8"/>
      <c r="S107" s="28"/>
      <c r="T107" s="28"/>
      <c r="U107" s="8"/>
      <c r="V107" s="8"/>
      <c r="W107" s="8"/>
      <c r="X107" s="28" t="s">
        <v>939</v>
      </c>
      <c r="Y107" s="28"/>
      <c r="Z107" s="28"/>
      <c r="AA107" s="28"/>
      <c r="AB107" s="28" t="s">
        <v>939</v>
      </c>
      <c r="AC107" s="28"/>
      <c r="AD107" s="28" t="s">
        <v>939</v>
      </c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" thickBot="1" x14ac:dyDescent="0.35">
      <c r="A108" t="s">
        <v>289</v>
      </c>
      <c r="C108" s="46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23</v>
      </c>
      <c r="M108" s="17">
        <f t="shared" si="9"/>
        <v>5</v>
      </c>
      <c r="N108" s="18">
        <f t="shared" si="10"/>
        <v>0.8214285714285714</v>
      </c>
      <c r="O108" s="28"/>
      <c r="P108" s="8" t="s">
        <v>939</v>
      </c>
      <c r="Q108" s="8" t="s">
        <v>939</v>
      </c>
      <c r="R108" s="8"/>
      <c r="S108" s="28"/>
      <c r="T108" s="28"/>
      <c r="U108" s="8"/>
      <c r="V108" s="8"/>
      <c r="W108" s="8"/>
      <c r="X108" s="28" t="s">
        <v>939</v>
      </c>
      <c r="Y108" s="28"/>
      <c r="Z108" s="28"/>
      <c r="AA108" s="28"/>
      <c r="AB108" s="28" t="s">
        <v>939</v>
      </c>
      <c r="AC108" s="28"/>
      <c r="AD108" s="28" t="s">
        <v>939</v>
      </c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" thickBot="1" x14ac:dyDescent="0.35">
      <c r="A109" t="s">
        <v>289</v>
      </c>
      <c r="C109" s="46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23</v>
      </c>
      <c r="M109" s="17">
        <f t="shared" si="9"/>
        <v>5</v>
      </c>
      <c r="N109" s="18">
        <f t="shared" si="10"/>
        <v>0.8214285714285714</v>
      </c>
      <c r="O109" s="28"/>
      <c r="P109" s="8" t="s">
        <v>939</v>
      </c>
      <c r="Q109" s="8" t="s">
        <v>939</v>
      </c>
      <c r="R109" s="8"/>
      <c r="S109" s="28"/>
      <c r="T109" s="28"/>
      <c r="U109" s="8"/>
      <c r="V109" s="8"/>
      <c r="W109" s="8"/>
      <c r="X109" s="28" t="s">
        <v>939</v>
      </c>
      <c r="Y109" s="28"/>
      <c r="Z109" s="28"/>
      <c r="AA109" s="28"/>
      <c r="AB109" s="28" t="s">
        <v>939</v>
      </c>
      <c r="AC109" s="28"/>
      <c r="AD109" s="28" t="s">
        <v>939</v>
      </c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" thickBot="1" x14ac:dyDescent="0.35">
      <c r="A110" t="s">
        <v>301</v>
      </c>
      <c r="C110" s="46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" thickBot="1" x14ac:dyDescent="0.35">
      <c r="A111" t="s">
        <v>301</v>
      </c>
      <c r="C111" s="46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" thickBot="1" x14ac:dyDescent="0.35">
      <c r="A112" t="s">
        <v>301</v>
      </c>
      <c r="C112" s="46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26</v>
      </c>
      <c r="M112" s="17">
        <f t="shared" si="9"/>
        <v>2</v>
      </c>
      <c r="N112" s="18">
        <f t="shared" si="10"/>
        <v>0.9285714285714286</v>
      </c>
      <c r="O112" s="28"/>
      <c r="P112" s="8"/>
      <c r="Q112" s="8"/>
      <c r="R112" s="8"/>
      <c r="S112" s="28" t="s">
        <v>939</v>
      </c>
      <c r="T112" s="28"/>
      <c r="U112" s="8"/>
      <c r="V112" s="8"/>
      <c r="W112" s="8" t="s">
        <v>939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" thickBot="1" x14ac:dyDescent="0.35">
      <c r="A113" t="s">
        <v>310</v>
      </c>
      <c r="C113" s="46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" thickBot="1" x14ac:dyDescent="0.35">
      <c r="A114" t="s">
        <v>313</v>
      </c>
      <c r="C114" s="46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" thickBot="1" x14ac:dyDescent="0.35">
      <c r="A115" t="s">
        <v>301</v>
      </c>
      <c r="C115" s="46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15</v>
      </c>
      <c r="M115" s="17">
        <f t="shared" si="9"/>
        <v>13</v>
      </c>
      <c r="N115" s="18">
        <f t="shared" si="10"/>
        <v>0.5357142857142857</v>
      </c>
      <c r="O115" s="28" t="s">
        <v>939</v>
      </c>
      <c r="P115" s="8" t="s">
        <v>939</v>
      </c>
      <c r="Q115" s="8" t="s">
        <v>939</v>
      </c>
      <c r="R115" s="8" t="s">
        <v>939</v>
      </c>
      <c r="S115" s="28" t="s">
        <v>939</v>
      </c>
      <c r="T115" s="28" t="s">
        <v>939</v>
      </c>
      <c r="U115" s="8" t="s">
        <v>939</v>
      </c>
      <c r="V115" s="8" t="s">
        <v>939</v>
      </c>
      <c r="W115" s="8" t="s">
        <v>939</v>
      </c>
      <c r="X115" s="28" t="s">
        <v>939</v>
      </c>
      <c r="Y115" s="28"/>
      <c r="Z115" s="28"/>
      <c r="AA115" s="28"/>
      <c r="AB115" s="28"/>
      <c r="AC115" s="28"/>
      <c r="AD115" s="28" t="s">
        <v>939</v>
      </c>
      <c r="AE115" s="28" t="s">
        <v>939</v>
      </c>
      <c r="AF115" s="28" t="s">
        <v>939</v>
      </c>
      <c r="AG115" s="28"/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" thickBot="1" x14ac:dyDescent="0.35">
      <c r="A116" t="s">
        <v>301</v>
      </c>
      <c r="C116" s="46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15</v>
      </c>
      <c r="M116" s="17">
        <f t="shared" si="9"/>
        <v>13</v>
      </c>
      <c r="N116" s="18">
        <f t="shared" si="10"/>
        <v>0.5357142857142857</v>
      </c>
      <c r="O116" s="28" t="s">
        <v>939</v>
      </c>
      <c r="P116" s="8" t="s">
        <v>939</v>
      </c>
      <c r="Q116" s="8" t="s">
        <v>939</v>
      </c>
      <c r="R116" s="8" t="s">
        <v>939</v>
      </c>
      <c r="S116" s="28" t="s">
        <v>939</v>
      </c>
      <c r="T116" s="28" t="s">
        <v>939</v>
      </c>
      <c r="U116" s="8" t="s">
        <v>939</v>
      </c>
      <c r="V116" s="8" t="s">
        <v>939</v>
      </c>
      <c r="W116" s="8" t="s">
        <v>939</v>
      </c>
      <c r="X116" s="28" t="s">
        <v>939</v>
      </c>
      <c r="Y116" s="28"/>
      <c r="Z116" s="28"/>
      <c r="AA116" s="28"/>
      <c r="AB116" s="28"/>
      <c r="AC116" s="28"/>
      <c r="AD116" s="28" t="s">
        <v>939</v>
      </c>
      <c r="AE116" s="28" t="s">
        <v>939</v>
      </c>
      <c r="AF116" s="28" t="s">
        <v>939</v>
      </c>
      <c r="AG116" s="28"/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" thickBot="1" x14ac:dyDescent="0.35">
      <c r="A117" t="s">
        <v>301</v>
      </c>
      <c r="C117" s="46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" thickBot="1" x14ac:dyDescent="0.35">
      <c r="A118" t="s">
        <v>301</v>
      </c>
      <c r="C118" s="46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" thickBot="1" x14ac:dyDescent="0.35">
      <c r="A119" t="s">
        <v>301</v>
      </c>
      <c r="C119" s="46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" thickBot="1" x14ac:dyDescent="0.35">
      <c r="A120" t="s">
        <v>301</v>
      </c>
      <c r="C120" s="46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8" t="s">
        <v>939</v>
      </c>
      <c r="P120" s="8" t="s">
        <v>939</v>
      </c>
      <c r="Q120" s="8" t="s">
        <v>939</v>
      </c>
      <c r="R120" s="8" t="s">
        <v>939</v>
      </c>
      <c r="S120" s="28" t="s">
        <v>939</v>
      </c>
      <c r="T120" s="28" t="s">
        <v>939</v>
      </c>
      <c r="U120" s="8" t="s">
        <v>939</v>
      </c>
      <c r="V120" s="8" t="s">
        <v>939</v>
      </c>
      <c r="W120" s="8" t="s">
        <v>939</v>
      </c>
      <c r="X120" s="28" t="s">
        <v>939</v>
      </c>
      <c r="Y120" s="28" t="s">
        <v>939</v>
      </c>
      <c r="Z120" s="28" t="s">
        <v>939</v>
      </c>
      <c r="AA120" s="28" t="s">
        <v>939</v>
      </c>
      <c r="AB120" s="28" t="s">
        <v>939</v>
      </c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" thickBot="1" x14ac:dyDescent="0.35">
      <c r="A121" t="s">
        <v>301</v>
      </c>
      <c r="C121" s="46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8" t="s">
        <v>939</v>
      </c>
      <c r="P121" s="8" t="s">
        <v>939</v>
      </c>
      <c r="Q121" s="8" t="s">
        <v>939</v>
      </c>
      <c r="R121" s="8" t="s">
        <v>939</v>
      </c>
      <c r="S121" s="28" t="s">
        <v>939</v>
      </c>
      <c r="T121" s="28" t="s">
        <v>939</v>
      </c>
      <c r="U121" s="8" t="s">
        <v>939</v>
      </c>
      <c r="V121" s="8" t="s">
        <v>939</v>
      </c>
      <c r="W121" s="8" t="s">
        <v>939</v>
      </c>
      <c r="X121" s="28" t="s">
        <v>939</v>
      </c>
      <c r="Y121" s="28" t="s">
        <v>939</v>
      </c>
      <c r="Z121" s="28" t="s">
        <v>939</v>
      </c>
      <c r="AA121" s="28" t="s">
        <v>939</v>
      </c>
      <c r="AB121" s="28" t="s">
        <v>939</v>
      </c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" thickBot="1" x14ac:dyDescent="0.35">
      <c r="A122" t="s">
        <v>333</v>
      </c>
      <c r="C122" s="46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22</v>
      </c>
      <c r="M122" s="17">
        <f t="shared" si="9"/>
        <v>6</v>
      </c>
      <c r="N122" s="18">
        <f t="shared" si="10"/>
        <v>0.7857142857142857</v>
      </c>
      <c r="O122" s="28"/>
      <c r="P122" s="8" t="s">
        <v>939</v>
      </c>
      <c r="Q122" s="8" t="s">
        <v>939</v>
      </c>
      <c r="R122" s="8"/>
      <c r="S122" s="28"/>
      <c r="T122" s="28"/>
      <c r="U122" s="8" t="s">
        <v>939</v>
      </c>
      <c r="V122" s="8"/>
      <c r="W122" s="8"/>
      <c r="X122" s="28" t="s">
        <v>939</v>
      </c>
      <c r="Y122" s="28"/>
      <c r="Z122" s="28"/>
      <c r="AA122" s="28"/>
      <c r="AB122" s="28" t="s">
        <v>939</v>
      </c>
      <c r="AC122" s="28"/>
      <c r="AD122" s="28" t="s">
        <v>939</v>
      </c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" thickBot="1" x14ac:dyDescent="0.35">
      <c r="A123" t="s">
        <v>333</v>
      </c>
      <c r="C123" s="46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22</v>
      </c>
      <c r="M123" s="17">
        <f t="shared" si="9"/>
        <v>6</v>
      </c>
      <c r="N123" s="18">
        <f t="shared" si="10"/>
        <v>0.7857142857142857</v>
      </c>
      <c r="O123" s="28"/>
      <c r="P123" s="8" t="s">
        <v>939</v>
      </c>
      <c r="Q123" s="8" t="s">
        <v>939</v>
      </c>
      <c r="R123" s="8"/>
      <c r="S123" s="28"/>
      <c r="T123" s="28"/>
      <c r="U123" s="8" t="s">
        <v>939</v>
      </c>
      <c r="V123" s="8"/>
      <c r="W123" s="8"/>
      <c r="X123" s="28" t="s">
        <v>939</v>
      </c>
      <c r="Y123" s="28"/>
      <c r="Z123" s="28"/>
      <c r="AA123" s="28"/>
      <c r="AB123" s="28" t="s">
        <v>939</v>
      </c>
      <c r="AC123" s="28"/>
      <c r="AD123" s="28" t="s">
        <v>939</v>
      </c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" thickBot="1" x14ac:dyDescent="0.35">
      <c r="A124" t="s">
        <v>338</v>
      </c>
      <c r="C124" s="46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" thickBot="1" x14ac:dyDescent="0.35">
      <c r="A125" t="s">
        <v>342</v>
      </c>
      <c r="C125" s="46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" thickBot="1" x14ac:dyDescent="0.35">
      <c r="A126" t="s">
        <v>342</v>
      </c>
      <c r="C126" s="46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" thickBot="1" x14ac:dyDescent="0.35">
      <c r="A127" t="s">
        <v>342</v>
      </c>
      <c r="C127" s="46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" thickBot="1" x14ac:dyDescent="0.35">
      <c r="A128" t="s">
        <v>342</v>
      </c>
      <c r="C128" s="46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" thickBot="1" x14ac:dyDescent="0.35">
      <c r="A129" t="s">
        <v>342</v>
      </c>
      <c r="C129" s="46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19</v>
      </c>
      <c r="M129" s="17">
        <f t="shared" si="9"/>
        <v>9</v>
      </c>
      <c r="N129" s="18">
        <f t="shared" si="10"/>
        <v>0.6785714285714286</v>
      </c>
      <c r="O129" s="28"/>
      <c r="P129" s="8"/>
      <c r="Q129" s="8"/>
      <c r="R129" s="8"/>
      <c r="S129" s="28" t="s">
        <v>939</v>
      </c>
      <c r="T129" s="28"/>
      <c r="U129" s="8"/>
      <c r="V129" s="8"/>
      <c r="W129" s="8"/>
      <c r="X129" s="28"/>
      <c r="Y129" s="28" t="s">
        <v>939</v>
      </c>
      <c r="Z129" s="28" t="s">
        <v>939</v>
      </c>
      <c r="AA129" s="28" t="s">
        <v>939</v>
      </c>
      <c r="AB129" s="28" t="s">
        <v>939</v>
      </c>
      <c r="AC129" s="28" t="s">
        <v>939</v>
      </c>
      <c r="AD129" s="28" t="s">
        <v>939</v>
      </c>
      <c r="AE129" s="28" t="s">
        <v>939</v>
      </c>
      <c r="AF129" s="28" t="s">
        <v>939</v>
      </c>
      <c r="AG129" s="28"/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" thickBot="1" x14ac:dyDescent="0.35">
      <c r="A130" t="s">
        <v>342</v>
      </c>
      <c r="C130" s="46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20</v>
      </c>
      <c r="M130" s="17">
        <f t="shared" si="9"/>
        <v>8</v>
      </c>
      <c r="N130" s="18">
        <f t="shared" si="10"/>
        <v>0.7142857142857143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 t="s">
        <v>939</v>
      </c>
      <c r="Z130" s="28" t="s">
        <v>939</v>
      </c>
      <c r="AA130" s="28" t="s">
        <v>939</v>
      </c>
      <c r="AB130" s="28" t="s">
        <v>939</v>
      </c>
      <c r="AC130" s="28" t="s">
        <v>939</v>
      </c>
      <c r="AD130" s="28" t="s">
        <v>939</v>
      </c>
      <c r="AE130" s="28" t="s">
        <v>939</v>
      </c>
      <c r="AF130" s="28" t="s">
        <v>939</v>
      </c>
      <c r="AG130" s="28"/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" thickBot="1" x14ac:dyDescent="0.35">
      <c r="A131" t="s">
        <v>358</v>
      </c>
      <c r="C131" s="46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" thickBot="1" x14ac:dyDescent="0.35">
      <c r="A132" t="s">
        <v>261</v>
      </c>
      <c r="C132" s="46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" thickBot="1" x14ac:dyDescent="0.35">
      <c r="A133" t="s">
        <v>342</v>
      </c>
      <c r="C133" s="46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10</v>
      </c>
      <c r="M133" s="17">
        <f t="shared" ref="M133:M196" si="12">COUNTIF(O133:AP133,"APAGADO")</f>
        <v>18</v>
      </c>
      <c r="N133" s="18">
        <f t="shared" ref="N133:N196" si="13">(L133)/(M133+L133)</f>
        <v>0.35714285714285715</v>
      </c>
      <c r="O133" s="28" t="s">
        <v>939</v>
      </c>
      <c r="P133" s="8" t="s">
        <v>939</v>
      </c>
      <c r="Q133" s="8" t="s">
        <v>939</v>
      </c>
      <c r="R133" s="8" t="s">
        <v>939</v>
      </c>
      <c r="S133" s="28" t="s">
        <v>939</v>
      </c>
      <c r="T133" s="28" t="s">
        <v>939</v>
      </c>
      <c r="U133" s="8" t="s">
        <v>939</v>
      </c>
      <c r="V133" s="8" t="s">
        <v>939</v>
      </c>
      <c r="W133" s="8" t="s">
        <v>939</v>
      </c>
      <c r="X133" s="28" t="s">
        <v>939</v>
      </c>
      <c r="Y133" s="28" t="s">
        <v>939</v>
      </c>
      <c r="Z133" s="28" t="s">
        <v>939</v>
      </c>
      <c r="AA133" s="28" t="s">
        <v>939</v>
      </c>
      <c r="AB133" s="28" t="s">
        <v>939</v>
      </c>
      <c r="AC133" s="28" t="s">
        <v>939</v>
      </c>
      <c r="AD133" s="28" t="s">
        <v>939</v>
      </c>
      <c r="AE133" s="28" t="s">
        <v>939</v>
      </c>
      <c r="AF133" s="28" t="s">
        <v>939</v>
      </c>
      <c r="AG133" s="28"/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" thickBot="1" x14ac:dyDescent="0.35">
      <c r="A134" t="s">
        <v>342</v>
      </c>
      <c r="C134" s="46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8"/>
      <c r="P134" s="8"/>
      <c r="Q134" s="8"/>
      <c r="R134" s="8"/>
      <c r="S134" s="28" t="s">
        <v>939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" thickBot="1" x14ac:dyDescent="0.35">
      <c r="A135" t="s">
        <v>342</v>
      </c>
      <c r="C135" s="46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" thickBot="1" x14ac:dyDescent="0.35">
      <c r="A136" t="s">
        <v>342</v>
      </c>
      <c r="C136" s="46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8" t="s">
        <v>939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" thickBot="1" x14ac:dyDescent="0.35">
      <c r="A137" t="s">
        <v>342</v>
      </c>
      <c r="C137" s="46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8" t="s">
        <v>939</v>
      </c>
      <c r="P137" s="8" t="s">
        <v>939</v>
      </c>
      <c r="Q137" s="8" t="s">
        <v>939</v>
      </c>
      <c r="R137" s="8" t="s">
        <v>939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" thickBot="1" x14ac:dyDescent="0.35">
      <c r="A138" t="s">
        <v>342</v>
      </c>
      <c r="C138" s="46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20</v>
      </c>
      <c r="M138" s="17">
        <f t="shared" si="12"/>
        <v>8</v>
      </c>
      <c r="N138" s="18">
        <f t="shared" si="13"/>
        <v>0.7142857142857143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 t="s">
        <v>939</v>
      </c>
      <c r="Z138" s="28" t="s">
        <v>939</v>
      </c>
      <c r="AA138" s="28" t="s">
        <v>939</v>
      </c>
      <c r="AB138" s="28" t="s">
        <v>939</v>
      </c>
      <c r="AC138" s="28" t="s">
        <v>939</v>
      </c>
      <c r="AD138" s="28" t="s">
        <v>939</v>
      </c>
      <c r="AE138" s="28" t="s">
        <v>939</v>
      </c>
      <c r="AF138" s="28" t="s">
        <v>939</v>
      </c>
      <c r="AG138" s="28"/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" thickBot="1" x14ac:dyDescent="0.35">
      <c r="A139" t="s">
        <v>342</v>
      </c>
      <c r="C139" s="46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20</v>
      </c>
      <c r="M139" s="17">
        <f t="shared" si="12"/>
        <v>8</v>
      </c>
      <c r="N139" s="18">
        <f t="shared" si="13"/>
        <v>0.7142857142857143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 t="s">
        <v>939</v>
      </c>
      <c r="Z139" s="28" t="s">
        <v>939</v>
      </c>
      <c r="AA139" s="28" t="s">
        <v>939</v>
      </c>
      <c r="AB139" s="28" t="s">
        <v>939</v>
      </c>
      <c r="AC139" s="28" t="s">
        <v>939</v>
      </c>
      <c r="AD139" s="28" t="s">
        <v>939</v>
      </c>
      <c r="AE139" s="28" t="s">
        <v>939</v>
      </c>
      <c r="AF139" s="28" t="s">
        <v>939</v>
      </c>
      <c r="AG139" s="28"/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" thickBot="1" x14ac:dyDescent="0.35">
      <c r="A140" t="s">
        <v>342</v>
      </c>
      <c r="C140" s="46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20</v>
      </c>
      <c r="M140" s="17">
        <f t="shared" si="12"/>
        <v>8</v>
      </c>
      <c r="N140" s="18">
        <f t="shared" si="13"/>
        <v>0.7142857142857143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 t="s">
        <v>939</v>
      </c>
      <c r="Z140" s="28" t="s">
        <v>939</v>
      </c>
      <c r="AA140" s="28" t="s">
        <v>939</v>
      </c>
      <c r="AB140" s="28" t="s">
        <v>939</v>
      </c>
      <c r="AC140" s="28" t="s">
        <v>939</v>
      </c>
      <c r="AD140" s="28" t="s">
        <v>939</v>
      </c>
      <c r="AE140" s="28" t="s">
        <v>939</v>
      </c>
      <c r="AF140" s="28" t="s">
        <v>939</v>
      </c>
      <c r="AG140" s="28"/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" thickBot="1" x14ac:dyDescent="0.35">
      <c r="A141" t="s">
        <v>342</v>
      </c>
      <c r="C141" s="46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8"/>
      <c r="P141" s="8"/>
      <c r="Q141" s="8"/>
      <c r="R141" s="8"/>
      <c r="S141" s="28" t="s">
        <v>939</v>
      </c>
      <c r="T141" s="28"/>
      <c r="U141" s="8"/>
      <c r="V141" s="8"/>
      <c r="W141" s="8"/>
      <c r="X141" s="28"/>
      <c r="Y141" s="28" t="s">
        <v>939</v>
      </c>
      <c r="Z141" s="28" t="s">
        <v>939</v>
      </c>
      <c r="AA141" s="28" t="s">
        <v>939</v>
      </c>
      <c r="AB141" s="28" t="s">
        <v>939</v>
      </c>
      <c r="AC141" s="28" t="s">
        <v>939</v>
      </c>
      <c r="AD141" s="28" t="s">
        <v>939</v>
      </c>
      <c r="AE141" s="28" t="s">
        <v>939</v>
      </c>
      <c r="AF141" s="28" t="s">
        <v>939</v>
      </c>
      <c r="AG141" s="28"/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" thickBot="1" x14ac:dyDescent="0.35">
      <c r="A142" t="s">
        <v>167</v>
      </c>
      <c r="C142" s="46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27</v>
      </c>
      <c r="M142" s="17">
        <f t="shared" si="12"/>
        <v>1</v>
      </c>
      <c r="N142" s="18">
        <f t="shared" si="13"/>
        <v>0.9642857142857143</v>
      </c>
      <c r="O142" s="28"/>
      <c r="P142" s="8"/>
      <c r="Q142" s="8"/>
      <c r="R142" s="8"/>
      <c r="S142" s="28"/>
      <c r="T142" s="28"/>
      <c r="U142" s="8"/>
      <c r="V142" s="8"/>
      <c r="W142" s="8" t="s">
        <v>939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" thickBot="1" x14ac:dyDescent="0.35">
      <c r="A143" t="s">
        <v>167</v>
      </c>
      <c r="C143" s="46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939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" thickBot="1" x14ac:dyDescent="0.35">
      <c r="A144" t="s">
        <v>167</v>
      </c>
      <c r="B144" s="60">
        <v>44629</v>
      </c>
      <c r="C144" s="62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8"/>
      <c r="P144" s="8"/>
      <c r="Q144" s="8"/>
      <c r="R144" s="8"/>
      <c r="S144" s="28"/>
      <c r="T144" s="28"/>
      <c r="U144" s="8"/>
      <c r="V144" s="8" t="s">
        <v>939</v>
      </c>
      <c r="W144" s="8" t="s">
        <v>939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" thickBot="1" x14ac:dyDescent="0.35">
      <c r="A145" t="s">
        <v>261</v>
      </c>
      <c r="C145" s="46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" thickBot="1" x14ac:dyDescent="0.35">
      <c r="C146" s="46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8"/>
      <c r="P146" s="8"/>
      <c r="Q146" s="8"/>
      <c r="R146" s="8" t="s">
        <v>939</v>
      </c>
      <c r="S146" s="28" t="s">
        <v>939</v>
      </c>
      <c r="T146" s="28" t="s">
        <v>939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" thickBot="1" x14ac:dyDescent="0.35">
      <c r="A147" t="s">
        <v>399</v>
      </c>
      <c r="C147" s="46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" thickBot="1" x14ac:dyDescent="0.35">
      <c r="A148" t="s">
        <v>399</v>
      </c>
      <c r="C148" s="46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" thickBot="1" x14ac:dyDescent="0.35">
      <c r="A149" t="s">
        <v>403</v>
      </c>
      <c r="C149" s="46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8" t="s">
        <v>939</v>
      </c>
      <c r="P149" s="8" t="s">
        <v>939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" thickBot="1" x14ac:dyDescent="0.35">
      <c r="A150" t="s">
        <v>403</v>
      </c>
      <c r="C150" s="46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8" t="s">
        <v>939</v>
      </c>
      <c r="P150" s="8" t="s">
        <v>939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" thickBot="1" x14ac:dyDescent="0.35">
      <c r="A151" t="s">
        <v>403</v>
      </c>
      <c r="C151" s="46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8" t="s">
        <v>939</v>
      </c>
      <c r="P151" s="8" t="s">
        <v>939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" thickBot="1" x14ac:dyDescent="0.35">
      <c r="C152" s="46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" thickBot="1" x14ac:dyDescent="0.35">
      <c r="A153" t="s">
        <v>412</v>
      </c>
      <c r="C153" s="46" t="s">
        <v>413</v>
      </c>
      <c r="D153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17</v>
      </c>
      <c r="M153" s="17">
        <f t="shared" si="12"/>
        <v>11</v>
      </c>
      <c r="N153" s="18">
        <f t="shared" si="13"/>
        <v>0.6071428571428571</v>
      </c>
      <c r="O153" s="28"/>
      <c r="P153" s="8"/>
      <c r="Q153" s="8"/>
      <c r="R153" s="8"/>
      <c r="S153" s="28"/>
      <c r="T153" s="28"/>
      <c r="U153" s="8"/>
      <c r="V153" s="8" t="s">
        <v>939</v>
      </c>
      <c r="W153" s="8" t="s">
        <v>939</v>
      </c>
      <c r="X153" s="28" t="s">
        <v>939</v>
      </c>
      <c r="Y153" s="28" t="s">
        <v>939</v>
      </c>
      <c r="Z153" s="28" t="s">
        <v>939</v>
      </c>
      <c r="AA153" s="28" t="s">
        <v>939</v>
      </c>
      <c r="AB153" s="28" t="s">
        <v>939</v>
      </c>
      <c r="AC153" s="28" t="s">
        <v>939</v>
      </c>
      <c r="AD153" s="28" t="s">
        <v>939</v>
      </c>
      <c r="AE153" s="28" t="s">
        <v>939</v>
      </c>
      <c r="AF153" s="28" t="s">
        <v>939</v>
      </c>
      <c r="AG153" s="28"/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" thickBot="1" x14ac:dyDescent="0.35">
      <c r="A154" t="s">
        <v>415</v>
      </c>
      <c r="C154" s="46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" thickBot="1" x14ac:dyDescent="0.35">
      <c r="A155" t="s">
        <v>415</v>
      </c>
      <c r="C155" s="46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27</v>
      </c>
      <c r="M155" s="17">
        <f t="shared" si="12"/>
        <v>1</v>
      </c>
      <c r="N155" s="18">
        <f t="shared" si="13"/>
        <v>0.9642857142857143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 t="s">
        <v>939</v>
      </c>
      <c r="AF155" s="28"/>
      <c r="AG155" s="28"/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" thickBot="1" x14ac:dyDescent="0.35">
      <c r="A156" t="s">
        <v>415</v>
      </c>
      <c r="C156" s="46" t="s">
        <v>421</v>
      </c>
      <c r="D15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11</v>
      </c>
      <c r="M156" s="17">
        <f t="shared" si="12"/>
        <v>17</v>
      </c>
      <c r="N156" s="18">
        <f t="shared" si="13"/>
        <v>0.39285714285714285</v>
      </c>
      <c r="O156" s="28"/>
      <c r="P156" s="8" t="s">
        <v>939</v>
      </c>
      <c r="Q156" s="8" t="s">
        <v>939</v>
      </c>
      <c r="R156" s="8" t="s">
        <v>939</v>
      </c>
      <c r="S156" s="28" t="s">
        <v>939</v>
      </c>
      <c r="T156" s="28" t="s">
        <v>939</v>
      </c>
      <c r="U156" s="8" t="s">
        <v>939</v>
      </c>
      <c r="V156" s="8" t="s">
        <v>939</v>
      </c>
      <c r="W156" s="8" t="s">
        <v>939</v>
      </c>
      <c r="X156" s="28" t="s">
        <v>939</v>
      </c>
      <c r="Y156" s="28" t="s">
        <v>939</v>
      </c>
      <c r="Z156" s="28" t="s">
        <v>939</v>
      </c>
      <c r="AA156" s="28" t="s">
        <v>939</v>
      </c>
      <c r="AB156" s="28" t="s">
        <v>939</v>
      </c>
      <c r="AC156" s="28" t="s">
        <v>939</v>
      </c>
      <c r="AD156" s="28" t="s">
        <v>939</v>
      </c>
      <c r="AE156" s="28" t="s">
        <v>939</v>
      </c>
      <c r="AF156" s="28" t="s">
        <v>939</v>
      </c>
      <c r="AG156" s="28"/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" thickBot="1" x14ac:dyDescent="0.35">
      <c r="A157" t="s">
        <v>412</v>
      </c>
      <c r="C157" s="46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" thickBot="1" x14ac:dyDescent="0.35">
      <c r="A158" t="s">
        <v>415</v>
      </c>
      <c r="C158" s="46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" thickBot="1" x14ac:dyDescent="0.35">
      <c r="A159" t="s">
        <v>415</v>
      </c>
      <c r="C159" s="46" t="s">
        <v>428</v>
      </c>
      <c r="D159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12</v>
      </c>
      <c r="M159" s="17">
        <f t="shared" si="12"/>
        <v>16</v>
      </c>
      <c r="N159" s="18">
        <f t="shared" si="13"/>
        <v>0.42857142857142855</v>
      </c>
      <c r="O159" s="28" t="s">
        <v>939</v>
      </c>
      <c r="P159" s="8" t="s">
        <v>939</v>
      </c>
      <c r="Q159" s="8" t="s">
        <v>939</v>
      </c>
      <c r="R159" s="8" t="s">
        <v>939</v>
      </c>
      <c r="S159" s="28" t="s">
        <v>939</v>
      </c>
      <c r="T159" s="28" t="s">
        <v>939</v>
      </c>
      <c r="U159" s="8" t="s">
        <v>939</v>
      </c>
      <c r="V159" s="8"/>
      <c r="W159" s="8" t="s">
        <v>939</v>
      </c>
      <c r="X159" s="28" t="s">
        <v>939</v>
      </c>
      <c r="Y159" s="28" t="s">
        <v>939</v>
      </c>
      <c r="Z159" s="28" t="s">
        <v>939</v>
      </c>
      <c r="AA159" s="28" t="s">
        <v>939</v>
      </c>
      <c r="AB159" s="28" t="s">
        <v>939</v>
      </c>
      <c r="AC159" s="28"/>
      <c r="AD159" s="28" t="s">
        <v>939</v>
      </c>
      <c r="AE159" s="28" t="s">
        <v>939</v>
      </c>
      <c r="AF159" s="28" t="s">
        <v>939</v>
      </c>
      <c r="AG159" s="28"/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" thickBot="1" x14ac:dyDescent="0.35">
      <c r="A160" t="s">
        <v>415</v>
      </c>
      <c r="C160" s="46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15</v>
      </c>
      <c r="M160" s="17">
        <f t="shared" si="12"/>
        <v>13</v>
      </c>
      <c r="N160" s="18">
        <f t="shared" si="13"/>
        <v>0.5357142857142857</v>
      </c>
      <c r="O160" s="28"/>
      <c r="P160" s="8" t="s">
        <v>939</v>
      </c>
      <c r="Q160" s="8" t="s">
        <v>939</v>
      </c>
      <c r="R160" s="8" t="s">
        <v>939</v>
      </c>
      <c r="S160" s="28" t="s">
        <v>939</v>
      </c>
      <c r="T160" s="28" t="s">
        <v>939</v>
      </c>
      <c r="U160" s="8" t="s">
        <v>939</v>
      </c>
      <c r="V160" s="8" t="s">
        <v>939</v>
      </c>
      <c r="W160" s="8" t="s">
        <v>939</v>
      </c>
      <c r="X160" s="28" t="s">
        <v>939</v>
      </c>
      <c r="Y160" s="28" t="s">
        <v>939</v>
      </c>
      <c r="Z160" s="28" t="s">
        <v>939</v>
      </c>
      <c r="AA160" s="28"/>
      <c r="AB160" s="28" t="s">
        <v>939</v>
      </c>
      <c r="AC160" s="28" t="s">
        <v>939</v>
      </c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" thickBot="1" x14ac:dyDescent="0.35">
      <c r="A161" t="s">
        <v>415</v>
      </c>
      <c r="C161" s="46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 t="s">
        <v>939</v>
      </c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" thickBot="1" x14ac:dyDescent="0.35">
      <c r="A162" t="s">
        <v>415</v>
      </c>
      <c r="C162" s="46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" thickBot="1" x14ac:dyDescent="0.35">
      <c r="A163" t="s">
        <v>415</v>
      </c>
      <c r="C163" s="46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8"/>
      <c r="P163" s="8" t="s">
        <v>939</v>
      </c>
      <c r="Q163" s="8" t="s">
        <v>939</v>
      </c>
      <c r="R163" s="8" t="s">
        <v>939</v>
      </c>
      <c r="S163" s="28" t="s">
        <v>939</v>
      </c>
      <c r="T163" s="28" t="s">
        <v>939</v>
      </c>
      <c r="U163" s="8" t="s">
        <v>939</v>
      </c>
      <c r="V163" s="8" t="s">
        <v>939</v>
      </c>
      <c r="W163" s="8" t="s">
        <v>939</v>
      </c>
      <c r="X163" s="28" t="s">
        <v>939</v>
      </c>
      <c r="Y163" s="28" t="s">
        <v>939</v>
      </c>
      <c r="Z163" s="28" t="s">
        <v>939</v>
      </c>
      <c r="AA163" s="28" t="s">
        <v>939</v>
      </c>
      <c r="AB163" s="28" t="s">
        <v>939</v>
      </c>
      <c r="AC163" s="28" t="s">
        <v>939</v>
      </c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" thickBot="1" x14ac:dyDescent="0.35">
      <c r="A164" t="s">
        <v>415</v>
      </c>
      <c r="C164" s="46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8"/>
      <c r="P164" s="8" t="s">
        <v>939</v>
      </c>
      <c r="Q164" s="8" t="s">
        <v>939</v>
      </c>
      <c r="R164" s="8" t="s">
        <v>939</v>
      </c>
      <c r="S164" s="28" t="s">
        <v>939</v>
      </c>
      <c r="T164" s="28" t="s">
        <v>939</v>
      </c>
      <c r="U164" s="8" t="s">
        <v>939</v>
      </c>
      <c r="V164" s="8" t="s">
        <v>939</v>
      </c>
      <c r="W164" s="8" t="s">
        <v>939</v>
      </c>
      <c r="X164" s="28" t="s">
        <v>939</v>
      </c>
      <c r="Y164" s="28" t="s">
        <v>939</v>
      </c>
      <c r="Z164" s="28" t="s">
        <v>939</v>
      </c>
      <c r="AA164" s="28" t="s">
        <v>939</v>
      </c>
      <c r="AB164" s="28" t="s">
        <v>939</v>
      </c>
      <c r="AC164" s="28" t="s">
        <v>939</v>
      </c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" thickBot="1" x14ac:dyDescent="0.35">
      <c r="A165" t="s">
        <v>415</v>
      </c>
      <c r="C165" s="46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" thickBot="1" x14ac:dyDescent="0.35">
      <c r="A166" t="s">
        <v>358</v>
      </c>
      <c r="C166" s="46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8"/>
      <c r="P166" s="8"/>
      <c r="Q166" s="8"/>
      <c r="R166" s="8"/>
      <c r="S166" s="28" t="s">
        <v>939</v>
      </c>
      <c r="T166" s="28" t="s">
        <v>939</v>
      </c>
      <c r="U166" s="8" t="s">
        <v>939</v>
      </c>
      <c r="V166" s="8" t="s">
        <v>939</v>
      </c>
      <c r="W166" s="8" t="s">
        <v>939</v>
      </c>
      <c r="X166" s="28" t="s">
        <v>939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" thickBot="1" x14ac:dyDescent="0.35">
      <c r="A167" t="s">
        <v>445</v>
      </c>
      <c r="C167" s="46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" thickBot="1" x14ac:dyDescent="0.35">
      <c r="A168" t="s">
        <v>445</v>
      </c>
      <c r="C168" s="46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" thickBot="1" x14ac:dyDescent="0.35">
      <c r="A169" t="s">
        <v>450</v>
      </c>
      <c r="C169" s="46" t="s">
        <v>451</v>
      </c>
      <c r="D169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22</v>
      </c>
      <c r="M169" s="17">
        <f t="shared" si="12"/>
        <v>6</v>
      </c>
      <c r="N169" s="18">
        <f t="shared" si="13"/>
        <v>0.7857142857142857</v>
      </c>
      <c r="O169" s="28"/>
      <c r="P169" s="8" t="s">
        <v>939</v>
      </c>
      <c r="Q169" s="8" t="s">
        <v>939</v>
      </c>
      <c r="R169" s="8" t="s">
        <v>939</v>
      </c>
      <c r="S169" s="28" t="s">
        <v>939</v>
      </c>
      <c r="T169" s="28" t="s">
        <v>939</v>
      </c>
      <c r="U169" s="8" t="s">
        <v>939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" thickBot="1" x14ac:dyDescent="0.35">
      <c r="A170" t="s">
        <v>415</v>
      </c>
      <c r="C170" s="46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" thickBot="1" x14ac:dyDescent="0.35">
      <c r="A171" t="s">
        <v>456</v>
      </c>
      <c r="C171" s="46" t="s">
        <v>457</v>
      </c>
      <c r="D171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14</v>
      </c>
      <c r="M171" s="17">
        <f t="shared" si="12"/>
        <v>14</v>
      </c>
      <c r="N171" s="18">
        <f t="shared" si="13"/>
        <v>0.5</v>
      </c>
      <c r="O171" s="28" t="s">
        <v>939</v>
      </c>
      <c r="P171" s="8" t="s">
        <v>939</v>
      </c>
      <c r="Q171" s="8" t="s">
        <v>939</v>
      </c>
      <c r="R171" s="8" t="s">
        <v>939</v>
      </c>
      <c r="S171" s="28" t="s">
        <v>939</v>
      </c>
      <c r="T171" s="28" t="s">
        <v>939</v>
      </c>
      <c r="U171" s="8" t="s">
        <v>939</v>
      </c>
      <c r="V171" s="8" t="s">
        <v>939</v>
      </c>
      <c r="W171" s="8"/>
      <c r="X171" s="28"/>
      <c r="Y171" s="28"/>
      <c r="Z171" s="28" t="s">
        <v>939</v>
      </c>
      <c r="AA171" s="28" t="s">
        <v>939</v>
      </c>
      <c r="AB171" s="28" t="s">
        <v>939</v>
      </c>
      <c r="AC171" s="28" t="s">
        <v>939</v>
      </c>
      <c r="AD171" s="28" t="s">
        <v>939</v>
      </c>
      <c r="AE171" s="28" t="s">
        <v>939</v>
      </c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" thickBot="1" x14ac:dyDescent="0.35">
      <c r="A172" t="s">
        <v>450</v>
      </c>
      <c r="C172" s="46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" thickBot="1" x14ac:dyDescent="0.35">
      <c r="C173" s="46" t="s">
        <v>463</v>
      </c>
      <c r="D173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" thickBot="1" x14ac:dyDescent="0.35">
      <c r="A174" t="s">
        <v>456</v>
      </c>
      <c r="C174" s="46" t="s">
        <v>466</v>
      </c>
      <c r="D174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18</v>
      </c>
      <c r="M174" s="17">
        <f t="shared" si="12"/>
        <v>10</v>
      </c>
      <c r="N174" s="18">
        <f t="shared" si="13"/>
        <v>0.6428571428571429</v>
      </c>
      <c r="O174" s="28" t="s">
        <v>939</v>
      </c>
      <c r="P174" s="8" t="s">
        <v>939</v>
      </c>
      <c r="Q174" s="8" t="s">
        <v>939</v>
      </c>
      <c r="R174" s="8" t="s">
        <v>939</v>
      </c>
      <c r="S174" s="28"/>
      <c r="T174" s="28" t="s">
        <v>939</v>
      </c>
      <c r="U174" s="8" t="s">
        <v>939</v>
      </c>
      <c r="V174" s="8" t="s">
        <v>939</v>
      </c>
      <c r="W174" s="8" t="s">
        <v>939</v>
      </c>
      <c r="X174" s="28" t="s">
        <v>939</v>
      </c>
      <c r="Y174" s="28"/>
      <c r="Z174" s="28"/>
      <c r="AA174" s="28"/>
      <c r="AB174" s="28"/>
      <c r="AC174" s="28"/>
      <c r="AD174" s="28" t="s">
        <v>939</v>
      </c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" thickBot="1" x14ac:dyDescent="0.35">
      <c r="A175" t="s">
        <v>469</v>
      </c>
      <c r="C175" s="46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" thickBot="1" x14ac:dyDescent="0.35">
      <c r="A176" t="s">
        <v>469</v>
      </c>
      <c r="C176" s="46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" thickBot="1" x14ac:dyDescent="0.35">
      <c r="A177" t="s">
        <v>469</v>
      </c>
      <c r="C177" s="46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" thickBot="1" x14ac:dyDescent="0.35">
      <c r="A178" t="s">
        <v>469</v>
      </c>
      <c r="C178" s="46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" thickBot="1" x14ac:dyDescent="0.35">
      <c r="A179" t="s">
        <v>480</v>
      </c>
      <c r="C179" s="46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" thickBot="1" x14ac:dyDescent="0.35">
      <c r="A180" t="s">
        <v>480</v>
      </c>
      <c r="C180" s="46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25</v>
      </c>
      <c r="M180" s="17">
        <f t="shared" si="12"/>
        <v>3</v>
      </c>
      <c r="N180" s="18">
        <f t="shared" si="13"/>
        <v>0.8928571428571429</v>
      </c>
      <c r="O180" s="28" t="s">
        <v>939</v>
      </c>
      <c r="P180" s="8"/>
      <c r="Q180" s="8"/>
      <c r="R180" s="8" t="s">
        <v>939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 t="s">
        <v>939</v>
      </c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" thickBot="1" x14ac:dyDescent="0.35">
      <c r="C181" s="46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" thickBot="1" x14ac:dyDescent="0.35">
      <c r="A182" t="s">
        <v>480</v>
      </c>
      <c r="C182" s="46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8"/>
      <c r="P182" s="8"/>
      <c r="Q182" s="8"/>
      <c r="R182" s="8"/>
      <c r="S182" s="28"/>
      <c r="T182" s="28"/>
      <c r="U182" s="8"/>
      <c r="V182" s="8"/>
      <c r="W182" s="8" t="s">
        <v>939</v>
      </c>
      <c r="X182" s="28" t="s">
        <v>939</v>
      </c>
      <c r="Y182" s="28" t="s">
        <v>939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" thickBot="1" x14ac:dyDescent="0.35">
      <c r="A183" t="s">
        <v>480</v>
      </c>
      <c r="C183" s="46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" thickBot="1" x14ac:dyDescent="0.35">
      <c r="A184" t="s">
        <v>495</v>
      </c>
      <c r="C184" s="46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" thickBot="1" x14ac:dyDescent="0.35">
      <c r="A185" t="s">
        <v>80</v>
      </c>
      <c r="C185" s="46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" thickBot="1" x14ac:dyDescent="0.35">
      <c r="A186" t="s">
        <v>480</v>
      </c>
      <c r="C186" s="46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" thickBot="1" x14ac:dyDescent="0.35">
      <c r="C187" s="46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" thickBot="1" x14ac:dyDescent="0.35">
      <c r="C188" s="46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" thickBot="1" x14ac:dyDescent="0.35">
      <c r="A189" t="s">
        <v>508</v>
      </c>
      <c r="C189" s="46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" thickBot="1" x14ac:dyDescent="0.35">
      <c r="A190" t="s">
        <v>508</v>
      </c>
      <c r="C190" s="46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" thickBot="1" x14ac:dyDescent="0.35">
      <c r="A191" t="s">
        <v>508</v>
      </c>
      <c r="C191" s="46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10</v>
      </c>
      <c r="M191" s="17">
        <f t="shared" si="12"/>
        <v>18</v>
      </c>
      <c r="N191" s="18">
        <f t="shared" si="13"/>
        <v>0.35714285714285715</v>
      </c>
      <c r="O191" s="28" t="s">
        <v>939</v>
      </c>
      <c r="P191" s="8" t="s">
        <v>939</v>
      </c>
      <c r="Q191" s="8" t="s">
        <v>939</v>
      </c>
      <c r="R191" s="8" t="s">
        <v>939</v>
      </c>
      <c r="S191" s="28" t="s">
        <v>939</v>
      </c>
      <c r="T191" s="28" t="s">
        <v>939</v>
      </c>
      <c r="U191" s="8" t="s">
        <v>939</v>
      </c>
      <c r="V191" s="8" t="s">
        <v>939</v>
      </c>
      <c r="W191" s="8" t="s">
        <v>939</v>
      </c>
      <c r="X191" s="28" t="s">
        <v>939</v>
      </c>
      <c r="Y191" s="28" t="s">
        <v>939</v>
      </c>
      <c r="Z191" s="28" t="s">
        <v>939</v>
      </c>
      <c r="AA191" s="28" t="s">
        <v>939</v>
      </c>
      <c r="AB191" s="28" t="s">
        <v>939</v>
      </c>
      <c r="AC191" s="28" t="s">
        <v>939</v>
      </c>
      <c r="AD191" s="28" t="s">
        <v>939</v>
      </c>
      <c r="AE191" s="28" t="s">
        <v>939</v>
      </c>
      <c r="AF191" s="28" t="s">
        <v>939</v>
      </c>
      <c r="AG191" s="28"/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" thickBot="1" x14ac:dyDescent="0.35">
      <c r="A192" t="s">
        <v>508</v>
      </c>
      <c r="C192" s="46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10</v>
      </c>
      <c r="M192" s="17">
        <f t="shared" si="12"/>
        <v>18</v>
      </c>
      <c r="N192" s="18">
        <f t="shared" si="13"/>
        <v>0.35714285714285715</v>
      </c>
      <c r="O192" s="28" t="s">
        <v>939</v>
      </c>
      <c r="P192" s="8" t="s">
        <v>939</v>
      </c>
      <c r="Q192" s="8" t="s">
        <v>939</v>
      </c>
      <c r="R192" s="8" t="s">
        <v>939</v>
      </c>
      <c r="S192" s="28" t="s">
        <v>939</v>
      </c>
      <c r="T192" s="28" t="s">
        <v>939</v>
      </c>
      <c r="U192" s="8" t="s">
        <v>939</v>
      </c>
      <c r="V192" s="8" t="s">
        <v>939</v>
      </c>
      <c r="W192" s="8" t="s">
        <v>939</v>
      </c>
      <c r="X192" s="28" t="s">
        <v>939</v>
      </c>
      <c r="Y192" s="28" t="s">
        <v>939</v>
      </c>
      <c r="Z192" s="28" t="s">
        <v>939</v>
      </c>
      <c r="AA192" s="28" t="s">
        <v>939</v>
      </c>
      <c r="AB192" s="28" t="s">
        <v>939</v>
      </c>
      <c r="AC192" s="28" t="s">
        <v>939</v>
      </c>
      <c r="AD192" s="28" t="s">
        <v>939</v>
      </c>
      <c r="AE192" s="28" t="s">
        <v>939</v>
      </c>
      <c r="AF192" s="28" t="s">
        <v>939</v>
      </c>
      <c r="AG192" s="28"/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" thickBot="1" x14ac:dyDescent="0.35">
      <c r="A193" t="s">
        <v>412</v>
      </c>
      <c r="C193" s="46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11</v>
      </c>
      <c r="M193" s="17">
        <f t="shared" si="12"/>
        <v>17</v>
      </c>
      <c r="N193" s="18">
        <f t="shared" si="13"/>
        <v>0.39285714285714285</v>
      </c>
      <c r="O193" s="28" t="s">
        <v>939</v>
      </c>
      <c r="P193" s="8" t="s">
        <v>939</v>
      </c>
      <c r="Q193" s="8" t="s">
        <v>939</v>
      </c>
      <c r="R193" s="8" t="s">
        <v>939</v>
      </c>
      <c r="S193" s="28" t="s">
        <v>939</v>
      </c>
      <c r="T193" s="28" t="s">
        <v>939</v>
      </c>
      <c r="U193" s="8" t="s">
        <v>939</v>
      </c>
      <c r="V193" s="8" t="s">
        <v>939</v>
      </c>
      <c r="W193" s="8" t="s">
        <v>939</v>
      </c>
      <c r="X193" s="28" t="s">
        <v>939</v>
      </c>
      <c r="Y193" s="28" t="s">
        <v>939</v>
      </c>
      <c r="Z193" s="28" t="s">
        <v>939</v>
      </c>
      <c r="AA193" s="28" t="s">
        <v>939</v>
      </c>
      <c r="AB193" s="28" t="s">
        <v>939</v>
      </c>
      <c r="AC193" s="28" t="s">
        <v>939</v>
      </c>
      <c r="AD193" s="28" t="s">
        <v>939</v>
      </c>
      <c r="AE193" s="28"/>
      <c r="AF193" s="28" t="s">
        <v>939</v>
      </c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" thickBot="1" x14ac:dyDescent="0.35">
      <c r="A194" t="s">
        <v>412</v>
      </c>
      <c r="C194" s="46" t="s">
        <v>519</v>
      </c>
      <c r="D194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12</v>
      </c>
      <c r="M194" s="17">
        <f t="shared" si="12"/>
        <v>16</v>
      </c>
      <c r="N194" s="18">
        <f t="shared" si="13"/>
        <v>0.42857142857142855</v>
      </c>
      <c r="O194" s="28" t="s">
        <v>939</v>
      </c>
      <c r="P194" s="8" t="s">
        <v>939</v>
      </c>
      <c r="Q194" s="8" t="s">
        <v>939</v>
      </c>
      <c r="R194" s="8" t="s">
        <v>939</v>
      </c>
      <c r="S194" s="28" t="s">
        <v>939</v>
      </c>
      <c r="T194" s="28" t="s">
        <v>939</v>
      </c>
      <c r="U194" s="8" t="s">
        <v>939</v>
      </c>
      <c r="V194" s="8" t="s">
        <v>939</v>
      </c>
      <c r="W194" s="8" t="s">
        <v>939</v>
      </c>
      <c r="X194" s="28" t="s">
        <v>939</v>
      </c>
      <c r="Y194" s="28" t="s">
        <v>939</v>
      </c>
      <c r="Z194" s="28"/>
      <c r="AA194" s="28" t="s">
        <v>939</v>
      </c>
      <c r="AB194" s="28" t="s">
        <v>939</v>
      </c>
      <c r="AC194" s="28" t="s">
        <v>939</v>
      </c>
      <c r="AD194" s="28" t="s">
        <v>939</v>
      </c>
      <c r="AE194" s="28"/>
      <c r="AF194" s="28" t="s">
        <v>939</v>
      </c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" thickBot="1" x14ac:dyDescent="0.35">
      <c r="A195" t="s">
        <v>62</v>
      </c>
      <c r="C195" s="46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8"/>
      <c r="P195" s="8" t="s">
        <v>939</v>
      </c>
      <c r="Q195" s="8" t="s">
        <v>939</v>
      </c>
      <c r="R195" s="8" t="s">
        <v>939</v>
      </c>
      <c r="S195" s="28" t="s">
        <v>939</v>
      </c>
      <c r="T195" s="28" t="s">
        <v>939</v>
      </c>
      <c r="U195" s="8" t="s">
        <v>939</v>
      </c>
      <c r="V195" s="8" t="s">
        <v>939</v>
      </c>
      <c r="W195" s="8" t="s">
        <v>939</v>
      </c>
      <c r="X195" s="28" t="s">
        <v>939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" thickBot="1" x14ac:dyDescent="0.35">
      <c r="A196" t="s">
        <v>62</v>
      </c>
      <c r="C196" s="46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8"/>
      <c r="P196" s="8" t="s">
        <v>939</v>
      </c>
      <c r="Q196" s="8" t="s">
        <v>939</v>
      </c>
      <c r="R196" s="8" t="s">
        <v>939</v>
      </c>
      <c r="S196" s="28" t="s">
        <v>939</v>
      </c>
      <c r="T196" s="28" t="s">
        <v>939</v>
      </c>
      <c r="U196" s="8" t="s">
        <v>939</v>
      </c>
      <c r="V196" s="8" t="s">
        <v>939</v>
      </c>
      <c r="W196" s="8" t="s">
        <v>939</v>
      </c>
      <c r="X196" s="28" t="s">
        <v>939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" thickBot="1" x14ac:dyDescent="0.35">
      <c r="A197" t="s">
        <v>289</v>
      </c>
      <c r="C197" s="46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8" t="s">
        <v>939</v>
      </c>
      <c r="P197" s="8" t="s">
        <v>939</v>
      </c>
      <c r="Q197" s="8" t="s">
        <v>939</v>
      </c>
      <c r="R197" s="8" t="s">
        <v>939</v>
      </c>
      <c r="S197" s="28" t="s">
        <v>939</v>
      </c>
      <c r="T197" s="28" t="s">
        <v>939</v>
      </c>
      <c r="U197" s="8"/>
      <c r="V197" s="8"/>
      <c r="W197" s="8"/>
      <c r="X197" s="28" t="s">
        <v>939</v>
      </c>
      <c r="Y197" s="28"/>
      <c r="Z197" s="28"/>
      <c r="AA197" s="28" t="s">
        <v>939</v>
      </c>
      <c r="AB197" s="28" t="s">
        <v>939</v>
      </c>
      <c r="AC197" s="28"/>
      <c r="AD197" s="28" t="s">
        <v>939</v>
      </c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" thickBot="1" x14ac:dyDescent="0.35">
      <c r="A198" t="s">
        <v>289</v>
      </c>
      <c r="C198" s="46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22</v>
      </c>
      <c r="M198" s="17">
        <f t="shared" si="15"/>
        <v>6</v>
      </c>
      <c r="N198" s="18">
        <f t="shared" si="16"/>
        <v>0.7857142857142857</v>
      </c>
      <c r="O198" s="28"/>
      <c r="P198" s="8" t="s">
        <v>939</v>
      </c>
      <c r="Q198" s="8" t="s">
        <v>939</v>
      </c>
      <c r="R198" s="8"/>
      <c r="S198" s="28"/>
      <c r="T198" s="28"/>
      <c r="U198" s="8"/>
      <c r="V198" s="8"/>
      <c r="W198" s="8"/>
      <c r="X198" s="28" t="s">
        <v>939</v>
      </c>
      <c r="Y198" s="28"/>
      <c r="Z198" s="28"/>
      <c r="AA198" s="28" t="s">
        <v>939</v>
      </c>
      <c r="AB198" s="28" t="s">
        <v>939</v>
      </c>
      <c r="AC198" s="28"/>
      <c r="AD198" s="28" t="s">
        <v>939</v>
      </c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" thickBot="1" x14ac:dyDescent="0.35">
      <c r="A199" t="s">
        <v>333</v>
      </c>
      <c r="C199" s="46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8"/>
      <c r="P199" s="8"/>
      <c r="Q199" s="8"/>
      <c r="R199" s="8"/>
      <c r="S199" s="28"/>
      <c r="T199" s="28"/>
      <c r="U199" s="8" t="s">
        <v>939</v>
      </c>
      <c r="V199" s="8" t="s">
        <v>939</v>
      </c>
      <c r="W199" s="8" t="s">
        <v>939</v>
      </c>
      <c r="X199" s="28"/>
      <c r="Y199" s="28" t="s">
        <v>939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" thickBot="1" x14ac:dyDescent="0.35">
      <c r="A200" t="s">
        <v>333</v>
      </c>
      <c r="C200" s="46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8"/>
      <c r="P200" s="8"/>
      <c r="Q200" s="8"/>
      <c r="R200" s="8"/>
      <c r="S200" s="28"/>
      <c r="T200" s="28"/>
      <c r="U200" s="8" t="s">
        <v>939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" thickBot="1" x14ac:dyDescent="0.35">
      <c r="A201" t="s">
        <v>358</v>
      </c>
      <c r="C201" s="46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" thickBot="1" x14ac:dyDescent="0.35">
      <c r="A202" t="s">
        <v>358</v>
      </c>
      <c r="C202" s="46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" thickBot="1" x14ac:dyDescent="0.35">
      <c r="A203" t="s">
        <v>445</v>
      </c>
      <c r="C203" s="46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" thickBot="1" x14ac:dyDescent="0.35">
      <c r="A204" t="s">
        <v>538</v>
      </c>
      <c r="C204" s="46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8" t="s">
        <v>939</v>
      </c>
      <c r="P204" s="8"/>
      <c r="Q204" s="8"/>
      <c r="R204" s="8"/>
      <c r="S204" s="28"/>
      <c r="T204" s="28" t="s">
        <v>939</v>
      </c>
      <c r="U204" s="8" t="s">
        <v>939</v>
      </c>
      <c r="V204" s="8" t="s">
        <v>939</v>
      </c>
      <c r="W204" s="8" t="s">
        <v>939</v>
      </c>
      <c r="X204" s="28" t="s">
        <v>939</v>
      </c>
      <c r="Y204" s="28" t="s">
        <v>939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" thickBot="1" x14ac:dyDescent="0.35">
      <c r="A205" t="s">
        <v>538</v>
      </c>
      <c r="C205" s="46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8"/>
      <c r="P205" s="8"/>
      <c r="Q205" s="8"/>
      <c r="R205" s="8"/>
      <c r="S205" s="28"/>
      <c r="T205" s="28" t="s">
        <v>939</v>
      </c>
      <c r="U205" s="8" t="s">
        <v>939</v>
      </c>
      <c r="V205" s="8" t="s">
        <v>939</v>
      </c>
      <c r="W205" s="8" t="s">
        <v>939</v>
      </c>
      <c r="X205" s="28" t="s">
        <v>939</v>
      </c>
      <c r="Y205" s="28" t="s">
        <v>939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" thickBot="1" x14ac:dyDescent="0.35">
      <c r="A206" t="s">
        <v>542</v>
      </c>
      <c r="C206" s="46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10</v>
      </c>
      <c r="M206" s="17">
        <f t="shared" si="15"/>
        <v>18</v>
      </c>
      <c r="N206" s="18">
        <f t="shared" si="16"/>
        <v>0.35714285714285715</v>
      </c>
      <c r="O206" s="28" t="s">
        <v>939</v>
      </c>
      <c r="P206" s="8" t="s">
        <v>939</v>
      </c>
      <c r="Q206" s="8" t="s">
        <v>939</v>
      </c>
      <c r="R206" s="8" t="s">
        <v>939</v>
      </c>
      <c r="S206" s="28" t="s">
        <v>939</v>
      </c>
      <c r="T206" s="28" t="s">
        <v>939</v>
      </c>
      <c r="U206" s="8" t="s">
        <v>939</v>
      </c>
      <c r="V206" s="8" t="s">
        <v>939</v>
      </c>
      <c r="W206" s="8" t="s">
        <v>939</v>
      </c>
      <c r="X206" s="28" t="s">
        <v>939</v>
      </c>
      <c r="Y206" s="28" t="s">
        <v>939</v>
      </c>
      <c r="Z206" s="28" t="s">
        <v>939</v>
      </c>
      <c r="AA206" s="28" t="s">
        <v>939</v>
      </c>
      <c r="AB206" s="28" t="s">
        <v>939</v>
      </c>
      <c r="AC206" s="28" t="s">
        <v>939</v>
      </c>
      <c r="AD206" s="28" t="s">
        <v>939</v>
      </c>
      <c r="AE206" s="28" t="s">
        <v>939</v>
      </c>
      <c r="AF206" s="28" t="s">
        <v>939</v>
      </c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" thickBot="1" x14ac:dyDescent="0.35">
      <c r="A207" t="s">
        <v>310</v>
      </c>
      <c r="C207" s="46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8"/>
      <c r="P207" s="8" t="s">
        <v>939</v>
      </c>
      <c r="Q207" s="8" t="s">
        <v>939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" thickBot="1" x14ac:dyDescent="0.35">
      <c r="A208" t="s">
        <v>310</v>
      </c>
      <c r="C208" s="46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8"/>
      <c r="P208" s="8" t="s">
        <v>939</v>
      </c>
      <c r="Q208" s="8" t="s">
        <v>939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" thickBot="1" x14ac:dyDescent="0.35">
      <c r="A209" t="s">
        <v>549</v>
      </c>
      <c r="C209" s="46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" thickBot="1" x14ac:dyDescent="0.35">
      <c r="A210" t="s">
        <v>549</v>
      </c>
      <c r="C210" s="46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" thickBot="1" x14ac:dyDescent="0.35">
      <c r="A211" t="s">
        <v>538</v>
      </c>
      <c r="C211" s="46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27</v>
      </c>
      <c r="M211" s="17">
        <f t="shared" si="15"/>
        <v>1</v>
      </c>
      <c r="N211" s="18">
        <f t="shared" si="16"/>
        <v>0.9642857142857143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 t="s">
        <v>939</v>
      </c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" thickBot="1" x14ac:dyDescent="0.35">
      <c r="A212" t="s">
        <v>538</v>
      </c>
      <c r="C212" s="46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27</v>
      </c>
      <c r="M212" s="17">
        <f t="shared" si="15"/>
        <v>1</v>
      </c>
      <c r="N212" s="18">
        <f t="shared" si="16"/>
        <v>0.9642857142857143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 t="s">
        <v>939</v>
      </c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" thickBot="1" x14ac:dyDescent="0.35">
      <c r="A213" t="s">
        <v>445</v>
      </c>
      <c r="C213" s="46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" thickBot="1" x14ac:dyDescent="0.35">
      <c r="A214" t="s">
        <v>557</v>
      </c>
      <c r="C214" s="46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" thickBot="1" x14ac:dyDescent="0.35">
      <c r="A215" t="s">
        <v>557</v>
      </c>
      <c r="C215" s="46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" thickBot="1" x14ac:dyDescent="0.35">
      <c r="A216" t="s">
        <v>557</v>
      </c>
      <c r="C216" s="46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" thickBot="1" x14ac:dyDescent="0.35">
      <c r="A217" t="s">
        <v>557</v>
      </c>
      <c r="C217" s="46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" thickBot="1" x14ac:dyDescent="0.35">
      <c r="A218" t="s">
        <v>557</v>
      </c>
      <c r="C218" s="46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" thickBot="1" x14ac:dyDescent="0.35">
      <c r="A219" t="s">
        <v>557</v>
      </c>
      <c r="C219" s="46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" thickBot="1" x14ac:dyDescent="0.35">
      <c r="A220" t="s">
        <v>571</v>
      </c>
      <c r="C220" s="46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" thickBot="1" x14ac:dyDescent="0.35">
      <c r="A221" t="s">
        <v>571</v>
      </c>
      <c r="C221" s="46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" thickBot="1" x14ac:dyDescent="0.35">
      <c r="A222" t="s">
        <v>571</v>
      </c>
      <c r="C222" s="46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" thickBot="1" x14ac:dyDescent="0.35">
      <c r="A223" t="s">
        <v>571</v>
      </c>
      <c r="C223" s="46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" thickBot="1" x14ac:dyDescent="0.35">
      <c r="A224" t="s">
        <v>571</v>
      </c>
      <c r="B224" s="60">
        <v>44629</v>
      </c>
      <c r="C224" s="62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17</v>
      </c>
      <c r="M224" s="17">
        <f t="shared" si="15"/>
        <v>11</v>
      </c>
      <c r="N224" s="18">
        <f t="shared" si="16"/>
        <v>0.6071428571428571</v>
      </c>
      <c r="O224" s="28" t="s">
        <v>939</v>
      </c>
      <c r="P224" s="8" t="s">
        <v>939</v>
      </c>
      <c r="Q224" s="8" t="s">
        <v>939</v>
      </c>
      <c r="R224" s="8" t="s">
        <v>939</v>
      </c>
      <c r="S224" s="28" t="s">
        <v>939</v>
      </c>
      <c r="T224" s="28" t="s">
        <v>939</v>
      </c>
      <c r="U224" s="8" t="s">
        <v>939</v>
      </c>
      <c r="V224" s="8" t="s">
        <v>939</v>
      </c>
      <c r="W224" s="8" t="s">
        <v>939</v>
      </c>
      <c r="X224" s="28" t="s">
        <v>939</v>
      </c>
      <c r="Y224" s="28" t="s">
        <v>939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" thickBot="1" x14ac:dyDescent="0.35">
      <c r="A225" t="s">
        <v>412</v>
      </c>
      <c r="C225" s="46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 t="s">
        <v>939</v>
      </c>
      <c r="AA225" s="28" t="s">
        <v>939</v>
      </c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" thickBot="1" x14ac:dyDescent="0.35">
      <c r="A226" t="s">
        <v>586</v>
      </c>
      <c r="C226" s="46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" thickBot="1" x14ac:dyDescent="0.35">
      <c r="A227" t="s">
        <v>586</v>
      </c>
      <c r="C227" s="46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" thickBot="1" x14ac:dyDescent="0.35">
      <c r="A228" t="s">
        <v>593</v>
      </c>
      <c r="C228" s="46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" thickBot="1" x14ac:dyDescent="0.35">
      <c r="A229" t="s">
        <v>456</v>
      </c>
      <c r="C229" s="46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" thickBot="1" x14ac:dyDescent="0.35">
      <c r="A230" t="s">
        <v>456</v>
      </c>
      <c r="C230" s="46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8" t="s">
        <v>939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" thickBot="1" x14ac:dyDescent="0.35">
      <c r="A231" t="s">
        <v>456</v>
      </c>
      <c r="C231" s="46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" thickBot="1" x14ac:dyDescent="0.35">
      <c r="A232" t="s">
        <v>456</v>
      </c>
      <c r="C232" s="46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" thickBot="1" x14ac:dyDescent="0.35">
      <c r="A233" t="s">
        <v>586</v>
      </c>
      <c r="C233" s="46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8"/>
      <c r="P233" s="8"/>
      <c r="Q233" s="8" t="s">
        <v>939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" thickBot="1" x14ac:dyDescent="0.35">
      <c r="C234" s="46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" thickBot="1" x14ac:dyDescent="0.35">
      <c r="A235" t="s">
        <v>609</v>
      </c>
      <c r="C235" s="46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23</v>
      </c>
      <c r="M235" s="17">
        <f t="shared" si="15"/>
        <v>5</v>
      </c>
      <c r="N235" s="18">
        <f t="shared" si="16"/>
        <v>0.8214285714285714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 t="s">
        <v>939</v>
      </c>
      <c r="AA235" s="28" t="s">
        <v>939</v>
      </c>
      <c r="AB235" s="28" t="s">
        <v>939</v>
      </c>
      <c r="AC235" s="28" t="s">
        <v>939</v>
      </c>
      <c r="AD235" s="28" t="s">
        <v>939</v>
      </c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" thickBot="1" x14ac:dyDescent="0.35">
      <c r="A236" t="s">
        <v>609</v>
      </c>
      <c r="C236" s="46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23</v>
      </c>
      <c r="M236" s="17">
        <f t="shared" si="15"/>
        <v>5</v>
      </c>
      <c r="N236" s="18">
        <f t="shared" si="16"/>
        <v>0.8214285714285714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 t="s">
        <v>939</v>
      </c>
      <c r="AA236" s="28" t="s">
        <v>939</v>
      </c>
      <c r="AB236" s="28" t="s">
        <v>939</v>
      </c>
      <c r="AC236" s="28" t="s">
        <v>939</v>
      </c>
      <c r="AD236" s="28" t="s">
        <v>939</v>
      </c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" thickBot="1" x14ac:dyDescent="0.35">
      <c r="A237" t="s">
        <v>609</v>
      </c>
      <c r="C237" s="46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23</v>
      </c>
      <c r="M237" s="17">
        <f t="shared" si="15"/>
        <v>5</v>
      </c>
      <c r="N237" s="18">
        <f t="shared" si="16"/>
        <v>0.8214285714285714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 t="s">
        <v>939</v>
      </c>
      <c r="AA237" s="28" t="s">
        <v>939</v>
      </c>
      <c r="AB237" s="28" t="s">
        <v>939</v>
      </c>
      <c r="AC237" s="28" t="s">
        <v>939</v>
      </c>
      <c r="AD237" s="28" t="s">
        <v>939</v>
      </c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" thickBot="1" x14ac:dyDescent="0.35">
      <c r="A238" t="s">
        <v>609</v>
      </c>
      <c r="C238" s="46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8" t="s">
        <v>939</v>
      </c>
      <c r="P238" s="8" t="s">
        <v>939</v>
      </c>
      <c r="Q238" s="8" t="s">
        <v>939</v>
      </c>
      <c r="R238" s="8" t="s">
        <v>939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" thickBot="1" x14ac:dyDescent="0.35">
      <c r="A239" t="s">
        <v>619</v>
      </c>
      <c r="C239" s="46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19</v>
      </c>
      <c r="M239" s="17">
        <f t="shared" si="15"/>
        <v>9</v>
      </c>
      <c r="N239" s="18">
        <f t="shared" si="16"/>
        <v>0.6785714285714286</v>
      </c>
      <c r="O239" s="28" t="s">
        <v>939</v>
      </c>
      <c r="P239" s="8" t="s">
        <v>939</v>
      </c>
      <c r="Q239" s="8" t="s">
        <v>939</v>
      </c>
      <c r="R239" s="8" t="s">
        <v>939</v>
      </c>
      <c r="S239" s="28" t="s">
        <v>939</v>
      </c>
      <c r="T239" s="28" t="s">
        <v>939</v>
      </c>
      <c r="U239" s="8" t="s">
        <v>939</v>
      </c>
      <c r="V239" s="8" t="s">
        <v>939</v>
      </c>
      <c r="W239" s="8" t="s">
        <v>939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" thickBot="1" x14ac:dyDescent="0.35">
      <c r="A240" t="s">
        <v>619</v>
      </c>
      <c r="C240" s="46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19</v>
      </c>
      <c r="M240" s="17">
        <f t="shared" si="15"/>
        <v>9</v>
      </c>
      <c r="N240" s="18">
        <f t="shared" si="16"/>
        <v>0.6785714285714286</v>
      </c>
      <c r="O240" s="28" t="s">
        <v>939</v>
      </c>
      <c r="P240" s="8" t="s">
        <v>939</v>
      </c>
      <c r="Q240" s="8" t="s">
        <v>939</v>
      </c>
      <c r="R240" s="8" t="s">
        <v>939</v>
      </c>
      <c r="S240" s="28" t="s">
        <v>939</v>
      </c>
      <c r="T240" s="28" t="s">
        <v>939</v>
      </c>
      <c r="U240" s="8" t="s">
        <v>939</v>
      </c>
      <c r="V240" s="8" t="s">
        <v>939</v>
      </c>
      <c r="W240" s="8" t="s">
        <v>939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" thickBot="1" x14ac:dyDescent="0.35">
      <c r="A241" t="s">
        <v>609</v>
      </c>
      <c r="C241" s="46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23</v>
      </c>
      <c r="M241" s="17">
        <f t="shared" si="15"/>
        <v>5</v>
      </c>
      <c r="N241" s="18">
        <f t="shared" si="16"/>
        <v>0.8214285714285714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 t="s">
        <v>939</v>
      </c>
      <c r="AA241" s="28" t="s">
        <v>939</v>
      </c>
      <c r="AB241" s="28" t="s">
        <v>939</v>
      </c>
      <c r="AC241" s="28" t="s">
        <v>939</v>
      </c>
      <c r="AD241" s="28" t="s">
        <v>939</v>
      </c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" thickBot="1" x14ac:dyDescent="0.35">
      <c r="A242" t="s">
        <v>609</v>
      </c>
      <c r="C242" s="46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23</v>
      </c>
      <c r="M242" s="17">
        <f t="shared" si="15"/>
        <v>5</v>
      </c>
      <c r="N242" s="18">
        <f t="shared" si="16"/>
        <v>0.8214285714285714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 t="s">
        <v>939</v>
      </c>
      <c r="AA242" s="28" t="s">
        <v>939</v>
      </c>
      <c r="AB242" s="28" t="s">
        <v>939</v>
      </c>
      <c r="AC242" s="28" t="s">
        <v>939</v>
      </c>
      <c r="AD242" s="28" t="s">
        <v>939</v>
      </c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" thickBot="1" x14ac:dyDescent="0.35">
      <c r="A243" t="s">
        <v>609</v>
      </c>
      <c r="C243" s="46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23</v>
      </c>
      <c r="M243" s="17">
        <f t="shared" si="15"/>
        <v>5</v>
      </c>
      <c r="N243" s="18">
        <f t="shared" si="16"/>
        <v>0.8214285714285714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 t="s">
        <v>939</v>
      </c>
      <c r="AA243" s="28" t="s">
        <v>939</v>
      </c>
      <c r="AB243" s="28" t="s">
        <v>939</v>
      </c>
      <c r="AC243" s="28" t="s">
        <v>939</v>
      </c>
      <c r="AD243" s="28" t="s">
        <v>939</v>
      </c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" thickBot="1" x14ac:dyDescent="0.35">
      <c r="A244" t="s">
        <v>609</v>
      </c>
      <c r="C244" s="46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23</v>
      </c>
      <c r="M244" s="17">
        <f t="shared" si="15"/>
        <v>5</v>
      </c>
      <c r="N244" s="18">
        <f t="shared" si="16"/>
        <v>0.8214285714285714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 t="s">
        <v>939</v>
      </c>
      <c r="AA244" s="28" t="s">
        <v>939</v>
      </c>
      <c r="AB244" s="28" t="s">
        <v>939</v>
      </c>
      <c r="AC244" s="28" t="s">
        <v>939</v>
      </c>
      <c r="AD244" s="28" t="s">
        <v>939</v>
      </c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" thickBot="1" x14ac:dyDescent="0.35">
      <c r="A245" t="s">
        <v>619</v>
      </c>
      <c r="C245" s="46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 t="s">
        <v>939</v>
      </c>
      <c r="AF245" s="28" t="s">
        <v>939</v>
      </c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</row>
    <row r="246" spans="1:45" ht="15" thickBot="1" x14ac:dyDescent="0.35">
      <c r="A246" t="s">
        <v>609</v>
      </c>
      <c r="C246" s="46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 t="s">
        <v>939</v>
      </c>
      <c r="AC246" s="28" t="s">
        <v>939</v>
      </c>
      <c r="AD246" s="28" t="s">
        <v>939</v>
      </c>
      <c r="AE246" s="28"/>
      <c r="AF246" s="28" t="s">
        <v>939</v>
      </c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</row>
    <row r="247" spans="1:45" ht="15" thickBot="1" x14ac:dyDescent="0.35">
      <c r="A247" t="s">
        <v>310</v>
      </c>
      <c r="C247" s="46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" thickBot="1" x14ac:dyDescent="0.35">
      <c r="A248" t="s">
        <v>310</v>
      </c>
      <c r="C248" s="46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8"/>
      <c r="P248" s="8"/>
      <c r="Q248" s="8"/>
      <c r="R248" s="8"/>
      <c r="S248" s="28"/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" thickBot="1" x14ac:dyDescent="0.35">
      <c r="A249" t="s">
        <v>310</v>
      </c>
      <c r="C249" s="46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8"/>
      <c r="P249" s="8"/>
      <c r="Q249" s="8"/>
      <c r="R249" s="8"/>
      <c r="S249" s="28"/>
      <c r="T249" s="28"/>
      <c r="U249" s="8"/>
      <c r="V249" s="8"/>
      <c r="W249" s="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8"/>
      <c r="AJ249" s="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" thickBot="1" x14ac:dyDescent="0.35">
      <c r="A250" t="s">
        <v>310</v>
      </c>
      <c r="C250" s="46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8"/>
      <c r="P250" s="8"/>
      <c r="Q250" s="8"/>
      <c r="R250" s="8"/>
      <c r="S250" s="28" t="s">
        <v>939</v>
      </c>
      <c r="T250" s="28"/>
      <c r="U250" s="8"/>
      <c r="V250" s="8"/>
      <c r="W250" s="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8"/>
      <c r="AJ250" s="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" thickBot="1" x14ac:dyDescent="0.35">
      <c r="A251" t="s">
        <v>310</v>
      </c>
      <c r="B251" s="63">
        <v>44634</v>
      </c>
      <c r="C251" s="64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10</v>
      </c>
      <c r="M251" s="17">
        <f t="shared" si="15"/>
        <v>18</v>
      </c>
      <c r="N251" s="18">
        <f t="shared" si="16"/>
        <v>0.35714285714285715</v>
      </c>
      <c r="O251" s="28" t="s">
        <v>939</v>
      </c>
      <c r="P251" s="8" t="s">
        <v>939</v>
      </c>
      <c r="Q251" s="8" t="s">
        <v>939</v>
      </c>
      <c r="R251" s="8" t="s">
        <v>939</v>
      </c>
      <c r="S251" s="28" t="s">
        <v>939</v>
      </c>
      <c r="T251" s="28" t="s">
        <v>939</v>
      </c>
      <c r="U251" s="8" t="s">
        <v>939</v>
      </c>
      <c r="V251" s="8" t="s">
        <v>939</v>
      </c>
      <c r="W251" s="8" t="s">
        <v>939</v>
      </c>
      <c r="X251" s="28" t="s">
        <v>939</v>
      </c>
      <c r="Y251" s="28" t="s">
        <v>939</v>
      </c>
      <c r="Z251" s="28" t="s">
        <v>939</v>
      </c>
      <c r="AA251" s="28" t="s">
        <v>939</v>
      </c>
      <c r="AB251" s="28" t="s">
        <v>939</v>
      </c>
      <c r="AC251" s="28" t="s">
        <v>939</v>
      </c>
      <c r="AD251" s="28" t="s">
        <v>939</v>
      </c>
      <c r="AE251" s="28" t="s">
        <v>939</v>
      </c>
      <c r="AF251" s="28" t="s">
        <v>939</v>
      </c>
      <c r="AG251" s="28"/>
      <c r="AH251" s="28"/>
      <c r="AI251" s="25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" thickBot="1" x14ac:dyDescent="0.35">
      <c r="A252" t="s">
        <v>310</v>
      </c>
      <c r="B252" s="63">
        <v>44634</v>
      </c>
      <c r="C252" s="64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10</v>
      </c>
      <c r="M252" s="17">
        <f t="shared" si="15"/>
        <v>18</v>
      </c>
      <c r="N252" s="18">
        <f t="shared" si="16"/>
        <v>0.35714285714285715</v>
      </c>
      <c r="O252" s="28" t="s">
        <v>939</v>
      </c>
      <c r="P252" s="8" t="s">
        <v>939</v>
      </c>
      <c r="Q252" s="8" t="s">
        <v>939</v>
      </c>
      <c r="R252" s="8" t="s">
        <v>939</v>
      </c>
      <c r="S252" s="28" t="s">
        <v>939</v>
      </c>
      <c r="T252" s="28" t="s">
        <v>939</v>
      </c>
      <c r="U252" s="8" t="s">
        <v>939</v>
      </c>
      <c r="V252" s="8" t="s">
        <v>939</v>
      </c>
      <c r="W252" s="8" t="s">
        <v>939</v>
      </c>
      <c r="X252" s="28" t="s">
        <v>939</v>
      </c>
      <c r="Y252" s="28" t="s">
        <v>939</v>
      </c>
      <c r="Z252" s="28" t="s">
        <v>939</v>
      </c>
      <c r="AA252" s="28" t="s">
        <v>939</v>
      </c>
      <c r="AB252" s="28" t="s">
        <v>939</v>
      </c>
      <c r="AC252" s="28" t="s">
        <v>939</v>
      </c>
      <c r="AD252" s="28" t="s">
        <v>939</v>
      </c>
      <c r="AE252" s="28" t="s">
        <v>939</v>
      </c>
      <c r="AF252" s="28" t="s">
        <v>939</v>
      </c>
      <c r="AG252" s="28"/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" thickBot="1" x14ac:dyDescent="0.35">
      <c r="A253" t="s">
        <v>310</v>
      </c>
      <c r="B253" s="63">
        <v>44634</v>
      </c>
      <c r="C253" s="64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10</v>
      </c>
      <c r="M253" s="17">
        <f t="shared" si="15"/>
        <v>18</v>
      </c>
      <c r="N253" s="18">
        <f t="shared" si="16"/>
        <v>0.35714285714285715</v>
      </c>
      <c r="O253" s="28" t="s">
        <v>939</v>
      </c>
      <c r="P253" s="8" t="s">
        <v>939</v>
      </c>
      <c r="Q253" s="8" t="s">
        <v>939</v>
      </c>
      <c r="R253" s="8" t="s">
        <v>939</v>
      </c>
      <c r="S253" s="28" t="s">
        <v>939</v>
      </c>
      <c r="T253" s="28" t="s">
        <v>939</v>
      </c>
      <c r="U253" s="8" t="s">
        <v>939</v>
      </c>
      <c r="V253" s="8" t="s">
        <v>939</v>
      </c>
      <c r="W253" s="8" t="s">
        <v>939</v>
      </c>
      <c r="X253" s="28" t="s">
        <v>939</v>
      </c>
      <c r="Y253" s="28" t="s">
        <v>939</v>
      </c>
      <c r="Z253" s="28" t="s">
        <v>939</v>
      </c>
      <c r="AA253" s="28" t="s">
        <v>939</v>
      </c>
      <c r="AB253" s="28" t="s">
        <v>939</v>
      </c>
      <c r="AC253" s="28" t="s">
        <v>939</v>
      </c>
      <c r="AD253" s="28" t="s">
        <v>939</v>
      </c>
      <c r="AE253" s="28" t="s">
        <v>939</v>
      </c>
      <c r="AF253" s="28" t="s">
        <v>939</v>
      </c>
      <c r="AG253" s="28"/>
      <c r="AH253" s="28"/>
      <c r="AI253" s="8"/>
      <c r="AJ253" s="2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" thickBot="1" x14ac:dyDescent="0.35">
      <c r="A254" t="s">
        <v>310</v>
      </c>
      <c r="B254" s="63">
        <v>44634</v>
      </c>
      <c r="C254" s="64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10</v>
      </c>
      <c r="M254" s="17">
        <f t="shared" si="15"/>
        <v>18</v>
      </c>
      <c r="N254" s="18">
        <f t="shared" si="16"/>
        <v>0.35714285714285715</v>
      </c>
      <c r="O254" s="28" t="s">
        <v>939</v>
      </c>
      <c r="P254" s="8" t="s">
        <v>939</v>
      </c>
      <c r="Q254" s="8" t="s">
        <v>939</v>
      </c>
      <c r="R254" s="8" t="s">
        <v>939</v>
      </c>
      <c r="S254" s="28" t="s">
        <v>939</v>
      </c>
      <c r="T254" s="28" t="s">
        <v>939</v>
      </c>
      <c r="U254" s="8" t="s">
        <v>939</v>
      </c>
      <c r="V254" s="8" t="s">
        <v>939</v>
      </c>
      <c r="W254" s="8" t="s">
        <v>939</v>
      </c>
      <c r="X254" s="28" t="s">
        <v>939</v>
      </c>
      <c r="Y254" s="28" t="s">
        <v>939</v>
      </c>
      <c r="Z254" s="28" t="s">
        <v>939</v>
      </c>
      <c r="AA254" s="28" t="s">
        <v>939</v>
      </c>
      <c r="AB254" s="28" t="s">
        <v>939</v>
      </c>
      <c r="AC254" s="28" t="s">
        <v>939</v>
      </c>
      <c r="AD254" s="28" t="s">
        <v>939</v>
      </c>
      <c r="AE254" s="28" t="s">
        <v>939</v>
      </c>
      <c r="AF254" s="28" t="s">
        <v>939</v>
      </c>
      <c r="AG254" s="28"/>
      <c r="AH254" s="28"/>
      <c r="AI254" s="8"/>
      <c r="AJ254" s="2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" thickBot="1" x14ac:dyDescent="0.35">
      <c r="A255" t="s">
        <v>647</v>
      </c>
      <c r="C255" s="46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" thickBot="1" x14ac:dyDescent="0.35">
      <c r="C256" s="46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" thickBot="1" x14ac:dyDescent="0.35">
      <c r="A257" t="s">
        <v>654</v>
      </c>
      <c r="C257" s="46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" thickBot="1" x14ac:dyDescent="0.35">
      <c r="A258" t="s">
        <v>654</v>
      </c>
      <c r="C258" s="46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" thickBot="1" x14ac:dyDescent="0.35">
      <c r="A259" t="s">
        <v>654</v>
      </c>
      <c r="C259" s="46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8"/>
      <c r="P259" s="8"/>
      <c r="Q259" s="8"/>
      <c r="R259" s="8"/>
      <c r="S259" s="28"/>
      <c r="T259" s="28"/>
      <c r="U259" s="8"/>
      <c r="V259" s="8"/>
      <c r="W259" s="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" thickBot="1" x14ac:dyDescent="0.35">
      <c r="A260" t="s">
        <v>654</v>
      </c>
      <c r="C260" s="46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" thickBot="1" x14ac:dyDescent="0.35">
      <c r="A261" t="s">
        <v>654</v>
      </c>
      <c r="B261" s="60">
        <v>44629</v>
      </c>
      <c r="C261" s="62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8" t="s">
        <v>939</v>
      </c>
      <c r="P261" s="8" t="s">
        <v>939</v>
      </c>
      <c r="Q261" s="8" t="s">
        <v>939</v>
      </c>
      <c r="R261" s="8" t="s">
        <v>939</v>
      </c>
      <c r="S261" s="28" t="s">
        <v>939</v>
      </c>
      <c r="T261" s="28" t="s">
        <v>939</v>
      </c>
      <c r="U261" s="8" t="s">
        <v>939</v>
      </c>
      <c r="V261" s="8" t="s">
        <v>939</v>
      </c>
      <c r="W261" s="8" t="s">
        <v>939</v>
      </c>
      <c r="X261" s="28" t="s">
        <v>939</v>
      </c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2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" thickBot="1" x14ac:dyDescent="0.35">
      <c r="A262" t="s">
        <v>654</v>
      </c>
      <c r="C262" s="46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25</v>
      </c>
      <c r="M262" s="17">
        <f t="shared" si="15"/>
        <v>3</v>
      </c>
      <c r="N262" s="18">
        <f t="shared" si="16"/>
        <v>0.8928571428571429</v>
      </c>
      <c r="O262" s="28"/>
      <c r="P262" s="8"/>
      <c r="Q262" s="8"/>
      <c r="R262" s="8"/>
      <c r="S262" s="28"/>
      <c r="T262" s="28"/>
      <c r="U262" s="8"/>
      <c r="V262" s="8"/>
      <c r="W262" s="8"/>
      <c r="X262" s="28"/>
      <c r="Y262" s="28"/>
      <c r="Z262" s="28"/>
      <c r="AA262" s="28"/>
      <c r="AB262" s="28"/>
      <c r="AC262" s="28"/>
      <c r="AD262" s="28" t="s">
        <v>939</v>
      </c>
      <c r="AE262" s="28" t="s">
        <v>939</v>
      </c>
      <c r="AF262" s="28" t="s">
        <v>939</v>
      </c>
      <c r="AG262" s="28"/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" thickBot="1" x14ac:dyDescent="0.35">
      <c r="A263" t="s">
        <v>258</v>
      </c>
      <c r="C263" s="46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26</v>
      </c>
      <c r="M263" s="17">
        <f t="shared" ref="M263:M326" si="18">COUNTIF(O263:AP263,"APAGADO")</f>
        <v>2</v>
      </c>
      <c r="N263" s="18">
        <f t="shared" ref="N263:N326" si="19">(L263)/(M263+L263)</f>
        <v>0.9285714285714286</v>
      </c>
      <c r="O263" s="28"/>
      <c r="P263" s="8"/>
      <c r="Q263" s="8"/>
      <c r="R263" s="8"/>
      <c r="S263" s="28"/>
      <c r="T263" s="28"/>
      <c r="U263" s="8"/>
      <c r="V263" s="8"/>
      <c r="W263" s="8" t="s">
        <v>939</v>
      </c>
      <c r="X263" s="28"/>
      <c r="Y263" s="28"/>
      <c r="Z263" s="28"/>
      <c r="AA263" s="28"/>
      <c r="AB263" s="28"/>
      <c r="AC263" s="28"/>
      <c r="AD263" s="28"/>
      <c r="AE263" s="28"/>
      <c r="AF263" s="28" t="s">
        <v>939</v>
      </c>
      <c r="AG263" s="28"/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" thickBot="1" x14ac:dyDescent="0.35">
      <c r="A264" t="s">
        <v>258</v>
      </c>
      <c r="C264" s="46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26</v>
      </c>
      <c r="M264" s="17">
        <f t="shared" si="18"/>
        <v>2</v>
      </c>
      <c r="N264" s="18">
        <f t="shared" si="19"/>
        <v>0.9285714285714286</v>
      </c>
      <c r="O264" s="28"/>
      <c r="P264" s="8"/>
      <c r="Q264" s="8"/>
      <c r="R264" s="8"/>
      <c r="S264" s="28"/>
      <c r="T264" s="28"/>
      <c r="U264" s="8"/>
      <c r="V264" s="8"/>
      <c r="W264" s="8" t="s">
        <v>939</v>
      </c>
      <c r="X264" s="28"/>
      <c r="Y264" s="28"/>
      <c r="Z264" s="28"/>
      <c r="AA264" s="28"/>
      <c r="AB264" s="28"/>
      <c r="AC264" s="28"/>
      <c r="AD264" s="28"/>
      <c r="AE264" s="28"/>
      <c r="AF264" s="28" t="s">
        <v>939</v>
      </c>
      <c r="AG264" s="28"/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" thickBot="1" x14ac:dyDescent="0.35">
      <c r="A265" t="s">
        <v>258</v>
      </c>
      <c r="C265" s="46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19</v>
      </c>
      <c r="M265" s="17">
        <f t="shared" si="18"/>
        <v>9</v>
      </c>
      <c r="N265" s="18">
        <f t="shared" si="19"/>
        <v>0.6785714285714286</v>
      </c>
      <c r="O265" s="28"/>
      <c r="P265" s="8" t="s">
        <v>939</v>
      </c>
      <c r="Q265" s="8" t="s">
        <v>939</v>
      </c>
      <c r="R265" s="8" t="s">
        <v>939</v>
      </c>
      <c r="S265" s="28" t="s">
        <v>939</v>
      </c>
      <c r="T265" s="28" t="s">
        <v>939</v>
      </c>
      <c r="U265" s="8" t="s">
        <v>939</v>
      </c>
      <c r="V265" s="8" t="s">
        <v>939</v>
      </c>
      <c r="W265" s="8" t="s">
        <v>939</v>
      </c>
      <c r="X265" s="28"/>
      <c r="Y265" s="28"/>
      <c r="Z265" s="28"/>
      <c r="AA265" s="28"/>
      <c r="AB265" s="28"/>
      <c r="AC265" s="28"/>
      <c r="AD265" s="28"/>
      <c r="AE265" s="28"/>
      <c r="AF265" s="28" t="s">
        <v>939</v>
      </c>
      <c r="AG265" s="28"/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" thickBot="1" x14ac:dyDescent="0.35">
      <c r="A266" t="s">
        <v>258</v>
      </c>
      <c r="C266" s="46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19</v>
      </c>
      <c r="M266" s="17">
        <f t="shared" si="18"/>
        <v>9</v>
      </c>
      <c r="N266" s="18">
        <f t="shared" si="19"/>
        <v>0.6785714285714286</v>
      </c>
      <c r="O266" s="28"/>
      <c r="P266" s="8" t="s">
        <v>939</v>
      </c>
      <c r="Q266" s="8" t="s">
        <v>939</v>
      </c>
      <c r="R266" s="8" t="s">
        <v>939</v>
      </c>
      <c r="S266" s="28" t="s">
        <v>939</v>
      </c>
      <c r="T266" s="28" t="s">
        <v>939</v>
      </c>
      <c r="U266" s="8" t="s">
        <v>939</v>
      </c>
      <c r="V266" s="8" t="s">
        <v>939</v>
      </c>
      <c r="W266" s="8" t="s">
        <v>939</v>
      </c>
      <c r="X266" s="28"/>
      <c r="Y266" s="28"/>
      <c r="Z266" s="28"/>
      <c r="AA266" s="28"/>
      <c r="AB266" s="28"/>
      <c r="AC266" s="28"/>
      <c r="AD266" s="28"/>
      <c r="AE266" s="28"/>
      <c r="AF266" s="28" t="s">
        <v>939</v>
      </c>
      <c r="AG266" s="28"/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" thickBot="1" x14ac:dyDescent="0.35">
      <c r="A267" t="s">
        <v>677</v>
      </c>
      <c r="C267" s="46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" thickBot="1" x14ac:dyDescent="0.35">
      <c r="A268" t="s">
        <v>677</v>
      </c>
      <c r="C268" s="46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" thickBot="1" x14ac:dyDescent="0.35">
      <c r="A269" t="s">
        <v>677</v>
      </c>
      <c r="C269" s="46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" thickBot="1" x14ac:dyDescent="0.35">
      <c r="A270" t="s">
        <v>677</v>
      </c>
      <c r="C270" s="46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" thickBot="1" x14ac:dyDescent="0.35">
      <c r="A271" t="s">
        <v>677</v>
      </c>
      <c r="C271" s="46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8"/>
      <c r="P271" s="8"/>
      <c r="Q271" s="8"/>
      <c r="R271" s="8"/>
      <c r="S271" s="28"/>
      <c r="T271" s="28"/>
      <c r="U271" s="8"/>
      <c r="V271" s="8"/>
      <c r="W271" s="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8"/>
      <c r="AJ271" s="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" thickBot="1" x14ac:dyDescent="0.35">
      <c r="A272" t="s">
        <v>677</v>
      </c>
      <c r="B272" s="60">
        <v>44629</v>
      </c>
      <c r="C272" s="62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8"/>
      <c r="P272" s="8"/>
      <c r="Q272" s="8"/>
      <c r="R272" s="8"/>
      <c r="S272" s="28"/>
      <c r="T272" s="28"/>
      <c r="U272" s="8"/>
      <c r="V272" s="8"/>
      <c r="W272" s="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8"/>
      <c r="AJ272" s="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" thickBot="1" x14ac:dyDescent="0.35">
      <c r="A273" t="s">
        <v>677</v>
      </c>
      <c r="B273" s="63">
        <v>44634</v>
      </c>
      <c r="C273" s="64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8" t="s">
        <v>939</v>
      </c>
      <c r="P273" s="8" t="s">
        <v>939</v>
      </c>
      <c r="Q273" s="8" t="s">
        <v>939</v>
      </c>
      <c r="R273" s="8" t="s">
        <v>939</v>
      </c>
      <c r="S273" s="28" t="s">
        <v>939</v>
      </c>
      <c r="T273" s="28" t="s">
        <v>939</v>
      </c>
      <c r="U273" s="8"/>
      <c r="V273" s="8" t="s">
        <v>939</v>
      </c>
      <c r="W273" s="8" t="s">
        <v>939</v>
      </c>
      <c r="X273" s="28" t="s">
        <v>939</v>
      </c>
      <c r="Y273" s="28" t="s">
        <v>939</v>
      </c>
      <c r="Z273" s="28" t="s">
        <v>939</v>
      </c>
      <c r="AA273" s="28" t="s">
        <v>939</v>
      </c>
      <c r="AB273" s="28" t="s">
        <v>939</v>
      </c>
      <c r="AC273" s="28"/>
      <c r="AD273" s="28"/>
      <c r="AE273" s="28"/>
      <c r="AF273" s="28"/>
      <c r="AG273" s="28"/>
      <c r="AH273" s="28"/>
      <c r="AI273" s="8"/>
      <c r="AJ273" s="2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" thickBot="1" x14ac:dyDescent="0.35">
      <c r="A274" t="s">
        <v>677</v>
      </c>
      <c r="B274" s="63">
        <v>44634</v>
      </c>
      <c r="C274" s="64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8" t="s">
        <v>939</v>
      </c>
      <c r="P274" s="8" t="s">
        <v>939</v>
      </c>
      <c r="Q274" s="8" t="s">
        <v>939</v>
      </c>
      <c r="R274" s="8" t="s">
        <v>939</v>
      </c>
      <c r="S274" s="28" t="s">
        <v>939</v>
      </c>
      <c r="T274" s="28" t="s">
        <v>939</v>
      </c>
      <c r="U274" s="8"/>
      <c r="V274" s="8" t="s">
        <v>939</v>
      </c>
      <c r="W274" s="8" t="s">
        <v>939</v>
      </c>
      <c r="X274" s="28" t="s">
        <v>939</v>
      </c>
      <c r="Y274" s="28" t="s">
        <v>939</v>
      </c>
      <c r="Z274" s="28"/>
      <c r="AA274" s="28" t="s">
        <v>939</v>
      </c>
      <c r="AB274" s="28" t="s">
        <v>939</v>
      </c>
      <c r="AC274" s="28"/>
      <c r="AD274" s="28"/>
      <c r="AE274" s="28"/>
      <c r="AF274" s="28"/>
      <c r="AG274" s="28"/>
      <c r="AH274" s="28"/>
      <c r="AI274" s="8"/>
      <c r="AJ274" s="2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" thickBot="1" x14ac:dyDescent="0.35">
      <c r="A275" t="s">
        <v>677</v>
      </c>
      <c r="C275" s="46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" thickBot="1" x14ac:dyDescent="0.35">
      <c r="A276" t="s">
        <v>538</v>
      </c>
      <c r="C276" s="46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8"/>
      <c r="P276" s="8"/>
      <c r="Q276" s="8"/>
      <c r="R276" s="8"/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" thickBot="1" x14ac:dyDescent="0.35">
      <c r="A277" t="s">
        <v>677</v>
      </c>
      <c r="C277" s="46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8"/>
      <c r="P277" s="8"/>
      <c r="Q277" s="8"/>
      <c r="R277" s="8"/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" thickBot="1" x14ac:dyDescent="0.35">
      <c r="A278" t="s">
        <v>677</v>
      </c>
      <c r="C278" s="46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25</v>
      </c>
      <c r="M278" s="17">
        <f t="shared" si="18"/>
        <v>3</v>
      </c>
      <c r="N278" s="18">
        <f t="shared" si="19"/>
        <v>0.8928571428571429</v>
      </c>
      <c r="O278" s="28"/>
      <c r="P278" s="8" t="s">
        <v>939</v>
      </c>
      <c r="Q278" s="8" t="s">
        <v>939</v>
      </c>
      <c r="R278" s="8" t="s">
        <v>939</v>
      </c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" thickBot="1" x14ac:dyDescent="0.35">
      <c r="A279" t="s">
        <v>677</v>
      </c>
      <c r="C279" s="46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24</v>
      </c>
      <c r="M279" s="17">
        <f t="shared" si="18"/>
        <v>4</v>
      </c>
      <c r="N279" s="18">
        <f t="shared" si="19"/>
        <v>0.8571428571428571</v>
      </c>
      <c r="O279" s="28" t="s">
        <v>939</v>
      </c>
      <c r="P279" s="8" t="s">
        <v>939</v>
      </c>
      <c r="Q279" s="8" t="s">
        <v>939</v>
      </c>
      <c r="R279" s="8" t="s">
        <v>939</v>
      </c>
      <c r="S279" s="28"/>
      <c r="T279" s="28"/>
      <c r="U279" s="8"/>
      <c r="V279" s="8"/>
      <c r="W279" s="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8"/>
      <c r="AJ279" s="2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" thickBot="1" x14ac:dyDescent="0.35">
      <c r="A280" t="s">
        <v>677</v>
      </c>
      <c r="C280" s="46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8"/>
      <c r="P280" s="8"/>
      <c r="Q280" s="8"/>
      <c r="R280" s="8"/>
      <c r="S280" s="28"/>
      <c r="T280" s="28"/>
      <c r="U280" s="8"/>
      <c r="V280" s="8"/>
      <c r="W280" s="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8"/>
      <c r="AJ280" s="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" thickBot="1" x14ac:dyDescent="0.35">
      <c r="A281" t="s">
        <v>538</v>
      </c>
      <c r="B281" s="63">
        <v>44634</v>
      </c>
      <c r="C281" s="64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17</v>
      </c>
      <c r="M281" s="17">
        <f t="shared" si="18"/>
        <v>11</v>
      </c>
      <c r="N281" s="18">
        <f t="shared" si="19"/>
        <v>0.6071428571428571</v>
      </c>
      <c r="O281" s="28"/>
      <c r="P281" s="8"/>
      <c r="Q281" s="8"/>
      <c r="R281" s="8"/>
      <c r="S281" s="28"/>
      <c r="T281" s="28"/>
      <c r="U281" s="8"/>
      <c r="V281" s="8" t="s">
        <v>939</v>
      </c>
      <c r="W281" s="8" t="s">
        <v>939</v>
      </c>
      <c r="X281" s="28" t="s">
        <v>939</v>
      </c>
      <c r="Y281" s="28" t="s">
        <v>939</v>
      </c>
      <c r="Z281" s="28" t="s">
        <v>939</v>
      </c>
      <c r="AA281" s="28" t="s">
        <v>939</v>
      </c>
      <c r="AB281" s="28" t="s">
        <v>939</v>
      </c>
      <c r="AC281" s="28" t="s">
        <v>939</v>
      </c>
      <c r="AD281" s="28" t="s">
        <v>939</v>
      </c>
      <c r="AE281" s="28" t="s">
        <v>939</v>
      </c>
      <c r="AF281" s="28" t="s">
        <v>939</v>
      </c>
      <c r="AG281" s="28"/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" thickBot="1" x14ac:dyDescent="0.35">
      <c r="A282" t="s">
        <v>538</v>
      </c>
      <c r="B282" s="63">
        <v>44634</v>
      </c>
      <c r="C282" s="64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12</v>
      </c>
      <c r="M282" s="17">
        <f t="shared" si="18"/>
        <v>16</v>
      </c>
      <c r="N282" s="18">
        <f t="shared" si="19"/>
        <v>0.42857142857142855</v>
      </c>
      <c r="O282" s="28" t="s">
        <v>939</v>
      </c>
      <c r="P282" s="8" t="s">
        <v>939</v>
      </c>
      <c r="Q282" s="8" t="s">
        <v>939</v>
      </c>
      <c r="R282" s="8" t="s">
        <v>939</v>
      </c>
      <c r="S282" s="28"/>
      <c r="T282" s="28"/>
      <c r="U282" s="8" t="s">
        <v>939</v>
      </c>
      <c r="V282" s="8" t="s">
        <v>939</v>
      </c>
      <c r="W282" s="8" t="s">
        <v>939</v>
      </c>
      <c r="X282" s="28" t="s">
        <v>939</v>
      </c>
      <c r="Y282" s="28" t="s">
        <v>939</v>
      </c>
      <c r="Z282" s="28" t="s">
        <v>939</v>
      </c>
      <c r="AA282" s="28" t="s">
        <v>939</v>
      </c>
      <c r="AB282" s="28" t="s">
        <v>939</v>
      </c>
      <c r="AC282" s="28" t="s">
        <v>939</v>
      </c>
      <c r="AD282" s="28" t="s">
        <v>939</v>
      </c>
      <c r="AE282" s="28" t="s">
        <v>939</v>
      </c>
      <c r="AF282" s="28" t="s">
        <v>939</v>
      </c>
      <c r="AG282" s="28"/>
      <c r="AH282" s="28"/>
      <c r="AI282" s="8"/>
      <c r="AJ282" s="2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" thickBot="1" x14ac:dyDescent="0.35">
      <c r="A283" t="s">
        <v>677</v>
      </c>
      <c r="C283" s="46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" thickBot="1" x14ac:dyDescent="0.35">
      <c r="A284" t="s">
        <v>677</v>
      </c>
      <c r="C284" s="46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27</v>
      </c>
      <c r="M284" s="17">
        <f t="shared" si="18"/>
        <v>1</v>
      </c>
      <c r="N284" s="18">
        <f t="shared" si="19"/>
        <v>0.9642857142857143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 t="s">
        <v>939</v>
      </c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" thickBot="1" x14ac:dyDescent="0.35">
      <c r="A285" t="s">
        <v>677</v>
      </c>
      <c r="C285" s="46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27</v>
      </c>
      <c r="M285" s="17">
        <f t="shared" si="18"/>
        <v>1</v>
      </c>
      <c r="N285" s="18">
        <f t="shared" si="19"/>
        <v>0.9642857142857143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 t="s">
        <v>939</v>
      </c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" thickBot="1" x14ac:dyDescent="0.35">
      <c r="A286" t="s">
        <v>549</v>
      </c>
      <c r="C286" s="46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5" thickBot="1" x14ac:dyDescent="0.35">
      <c r="A287" t="s">
        <v>549</v>
      </c>
      <c r="C287" s="46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" thickBot="1" x14ac:dyDescent="0.35">
      <c r="A288" t="s">
        <v>724</v>
      </c>
      <c r="C288" s="46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 t="s">
        <v>939</v>
      </c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6.95" customHeight="1" thickBot="1" x14ac:dyDescent="0.35">
      <c r="A289" t="s">
        <v>724</v>
      </c>
      <c r="C289" s="46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" thickBot="1" x14ac:dyDescent="0.35">
      <c r="A290" t="s">
        <v>730</v>
      </c>
      <c r="C290" s="46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" thickBot="1" x14ac:dyDescent="0.35">
      <c r="A291" t="s">
        <v>724</v>
      </c>
      <c r="C291" s="46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" thickBot="1" x14ac:dyDescent="0.35">
      <c r="A292" t="s">
        <v>724</v>
      </c>
      <c r="C292" s="46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" thickBot="1" x14ac:dyDescent="0.35">
      <c r="A293" t="s">
        <v>724</v>
      </c>
      <c r="C293" s="46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" thickBot="1" x14ac:dyDescent="0.35">
      <c r="A294" t="s">
        <v>724</v>
      </c>
      <c r="C294" s="46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" thickBot="1" x14ac:dyDescent="0.35">
      <c r="A295" t="s">
        <v>724</v>
      </c>
      <c r="C295" s="46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8"/>
      <c r="P295" s="8"/>
      <c r="Q295" s="8"/>
      <c r="R295" s="8"/>
      <c r="S295" s="28"/>
      <c r="T295" s="28"/>
      <c r="U295" s="8"/>
      <c r="V295" s="8"/>
      <c r="W295" s="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" thickBot="1" x14ac:dyDescent="0.35">
      <c r="A296" t="s">
        <v>412</v>
      </c>
      <c r="C296" s="46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 t="s">
        <v>939</v>
      </c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" thickBot="1" x14ac:dyDescent="0.35">
      <c r="A297" t="s">
        <v>358</v>
      </c>
      <c r="C297" s="46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8"/>
      <c r="P297" s="8"/>
      <c r="Q297" s="8"/>
      <c r="R297" s="8"/>
      <c r="S297" s="28"/>
      <c r="T297" s="28" t="s">
        <v>939</v>
      </c>
      <c r="U297" s="8"/>
      <c r="V297" s="8" t="s">
        <v>939</v>
      </c>
      <c r="W297" s="8" t="s">
        <v>939</v>
      </c>
      <c r="X297" s="28" t="s">
        <v>939</v>
      </c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" thickBot="1" x14ac:dyDescent="0.35">
      <c r="A298" t="s">
        <v>358</v>
      </c>
      <c r="C298" s="46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" thickBot="1" x14ac:dyDescent="0.35">
      <c r="A299" t="s">
        <v>358</v>
      </c>
      <c r="C299" s="46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" thickBot="1" x14ac:dyDescent="0.35">
      <c r="A300" t="s">
        <v>358</v>
      </c>
      <c r="C300" s="46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" thickBot="1" x14ac:dyDescent="0.35">
      <c r="A301" t="s">
        <v>358</v>
      </c>
      <c r="C301" s="46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" thickBot="1" x14ac:dyDescent="0.35">
      <c r="A302" t="s">
        <v>358</v>
      </c>
      <c r="C302" s="46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" thickBot="1" x14ac:dyDescent="0.35">
      <c r="A303" t="s">
        <v>358</v>
      </c>
      <c r="C303" s="46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" thickBot="1" x14ac:dyDescent="0.35">
      <c r="A304" t="s">
        <v>358</v>
      </c>
      <c r="B304" s="63">
        <v>44634</v>
      </c>
      <c r="C304" s="64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20</v>
      </c>
      <c r="M304" s="17">
        <f t="shared" si="18"/>
        <v>8</v>
      </c>
      <c r="N304" s="18">
        <f t="shared" si="19"/>
        <v>0.7142857142857143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 t="s">
        <v>939</v>
      </c>
      <c r="Z304" s="28" t="s">
        <v>939</v>
      </c>
      <c r="AA304" s="28" t="s">
        <v>939</v>
      </c>
      <c r="AB304" s="28" t="s">
        <v>939</v>
      </c>
      <c r="AC304" s="28" t="s">
        <v>939</v>
      </c>
      <c r="AD304" s="28" t="s">
        <v>939</v>
      </c>
      <c r="AE304" s="28" t="s">
        <v>939</v>
      </c>
      <c r="AF304" s="28" t="s">
        <v>939</v>
      </c>
      <c r="AG304" s="28"/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" thickBot="1" x14ac:dyDescent="0.35">
      <c r="A305" t="s">
        <v>358</v>
      </c>
      <c r="B305" s="63">
        <v>44634</v>
      </c>
      <c r="C305" s="64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20</v>
      </c>
      <c r="M305" s="17">
        <f t="shared" si="18"/>
        <v>8</v>
      </c>
      <c r="N305" s="18">
        <f t="shared" si="19"/>
        <v>0.7142857142857143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 t="s">
        <v>939</v>
      </c>
      <c r="Z305" s="28" t="s">
        <v>939</v>
      </c>
      <c r="AA305" s="28" t="s">
        <v>939</v>
      </c>
      <c r="AB305" s="28" t="s">
        <v>939</v>
      </c>
      <c r="AC305" s="28" t="s">
        <v>939</v>
      </c>
      <c r="AD305" s="28" t="s">
        <v>939</v>
      </c>
      <c r="AE305" s="28" t="s">
        <v>939</v>
      </c>
      <c r="AF305" s="28" t="s">
        <v>939</v>
      </c>
      <c r="AG305" s="28"/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" thickBot="1" x14ac:dyDescent="0.35">
      <c r="A306" t="s">
        <v>358</v>
      </c>
      <c r="B306" s="63">
        <v>44634</v>
      </c>
      <c r="C306" s="64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20</v>
      </c>
      <c r="M306" s="17">
        <f t="shared" si="18"/>
        <v>8</v>
      </c>
      <c r="N306" s="18">
        <f t="shared" si="19"/>
        <v>0.7142857142857143</v>
      </c>
      <c r="O306" s="28"/>
      <c r="P306" s="8"/>
      <c r="Q306" s="8"/>
      <c r="R306" s="8"/>
      <c r="S306" s="28"/>
      <c r="T306" s="28"/>
      <c r="U306" s="8"/>
      <c r="V306" s="8"/>
      <c r="W306" s="8"/>
      <c r="X306" s="28"/>
      <c r="Y306" s="28" t="s">
        <v>939</v>
      </c>
      <c r="Z306" s="28" t="s">
        <v>939</v>
      </c>
      <c r="AA306" s="28" t="s">
        <v>939</v>
      </c>
      <c r="AB306" s="28" t="s">
        <v>939</v>
      </c>
      <c r="AC306" s="28" t="s">
        <v>939</v>
      </c>
      <c r="AD306" s="28" t="s">
        <v>939</v>
      </c>
      <c r="AE306" s="28" t="s">
        <v>939</v>
      </c>
      <c r="AF306" s="28" t="s">
        <v>939</v>
      </c>
      <c r="AG306" s="28"/>
      <c r="AH306" s="28"/>
      <c r="AI306" s="8"/>
      <c r="AJ306" s="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" thickBot="1" x14ac:dyDescent="0.35">
      <c r="A307" t="s">
        <v>358</v>
      </c>
      <c r="B307" s="63">
        <v>44634</v>
      </c>
      <c r="C307" s="64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20</v>
      </c>
      <c r="M307" s="17">
        <f t="shared" si="18"/>
        <v>8</v>
      </c>
      <c r="N307" s="18">
        <f t="shared" si="19"/>
        <v>0.7142857142857143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 t="s">
        <v>939</v>
      </c>
      <c r="Z307" s="28" t="s">
        <v>939</v>
      </c>
      <c r="AA307" s="28" t="s">
        <v>939</v>
      </c>
      <c r="AB307" s="28" t="s">
        <v>939</v>
      </c>
      <c r="AC307" s="28" t="s">
        <v>939</v>
      </c>
      <c r="AD307" s="28" t="s">
        <v>939</v>
      </c>
      <c r="AE307" s="28" t="s">
        <v>939</v>
      </c>
      <c r="AF307" s="28" t="s">
        <v>939</v>
      </c>
      <c r="AG307" s="28"/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" thickBot="1" x14ac:dyDescent="0.35">
      <c r="C308" s="46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8" t="s">
        <v>939</v>
      </c>
      <c r="P308" s="8" t="s">
        <v>939</v>
      </c>
      <c r="Q308" s="8"/>
      <c r="R308" s="8"/>
      <c r="S308" s="28" t="s">
        <v>939</v>
      </c>
      <c r="T308" s="28"/>
      <c r="U308" s="8"/>
      <c r="V308" s="8"/>
      <c r="W308" s="8"/>
      <c r="X308" s="28"/>
      <c r="Y308" s="28"/>
      <c r="Z308" s="28"/>
      <c r="AA308" s="28" t="s">
        <v>939</v>
      </c>
      <c r="AB308" s="28"/>
      <c r="AC308" s="28"/>
      <c r="AD308" s="28"/>
      <c r="AE308" s="28"/>
      <c r="AF308" s="28"/>
      <c r="AG308" s="28"/>
      <c r="AH308" s="28"/>
      <c r="AI308" s="8"/>
      <c r="AJ308" s="2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" thickBot="1" x14ac:dyDescent="0.35">
      <c r="A309" t="s">
        <v>772</v>
      </c>
      <c r="C309" s="46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" thickBot="1" x14ac:dyDescent="0.35">
      <c r="C310" s="46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" thickBot="1" x14ac:dyDescent="0.35">
      <c r="A311" t="s">
        <v>779</v>
      </c>
      <c r="C311" s="46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25</v>
      </c>
      <c r="M311" s="17">
        <f t="shared" si="18"/>
        <v>3</v>
      </c>
      <c r="N311" s="18">
        <f t="shared" si="19"/>
        <v>0.8928571428571429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/>
      <c r="AB311" s="28"/>
      <c r="AC311" s="28"/>
      <c r="AD311" s="28" t="s">
        <v>939</v>
      </c>
      <c r="AE311" s="28" t="s">
        <v>939</v>
      </c>
      <c r="AF311" s="28" t="s">
        <v>939</v>
      </c>
      <c r="AG311" s="28"/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" thickBot="1" x14ac:dyDescent="0.35">
      <c r="A312" t="s">
        <v>779</v>
      </c>
      <c r="C312" s="46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26</v>
      </c>
      <c r="M312" s="17">
        <f t="shared" si="18"/>
        <v>2</v>
      </c>
      <c r="N312" s="18">
        <f t="shared" si="19"/>
        <v>0.9285714285714286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 t="s">
        <v>939</v>
      </c>
      <c r="AF312" s="28" t="s">
        <v>939</v>
      </c>
      <c r="AG312" s="28"/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" thickBot="1" x14ac:dyDescent="0.35">
      <c r="A313" t="s">
        <v>772</v>
      </c>
      <c r="C313" s="46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25</v>
      </c>
      <c r="M313" s="17">
        <f t="shared" si="18"/>
        <v>3</v>
      </c>
      <c r="N313" s="18">
        <f t="shared" si="19"/>
        <v>0.8928571428571429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 t="s">
        <v>939</v>
      </c>
      <c r="AB313" s="28"/>
      <c r="AC313" s="28"/>
      <c r="AD313" s="28"/>
      <c r="AE313" s="28" t="s">
        <v>939</v>
      </c>
      <c r="AF313" s="28" t="s">
        <v>939</v>
      </c>
      <c r="AG313" s="28"/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" thickBot="1" x14ac:dyDescent="0.35">
      <c r="A314" t="s">
        <v>772</v>
      </c>
      <c r="C314" s="46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" thickBot="1" x14ac:dyDescent="0.35">
      <c r="A315" t="s">
        <v>779</v>
      </c>
      <c r="C315" s="46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 t="s">
        <v>939</v>
      </c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" thickBot="1" x14ac:dyDescent="0.35">
      <c r="A316" t="s">
        <v>779</v>
      </c>
      <c r="C316" s="46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" thickBot="1" x14ac:dyDescent="0.35">
      <c r="A317" t="s">
        <v>772</v>
      </c>
      <c r="C317" s="46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" thickBot="1" x14ac:dyDescent="0.35">
      <c r="A318" t="s">
        <v>772</v>
      </c>
      <c r="C318" s="46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" thickBot="1" x14ac:dyDescent="0.35">
      <c r="A319" t="s">
        <v>772</v>
      </c>
      <c r="C319" s="46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8"/>
      <c r="P319" s="8"/>
      <c r="Q319" s="8"/>
      <c r="R319" s="8"/>
      <c r="S319" s="28"/>
      <c r="T319" s="28"/>
      <c r="U319" s="8"/>
      <c r="V319" s="8"/>
      <c r="W319" s="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" thickBot="1" x14ac:dyDescent="0.35">
      <c r="A320" t="s">
        <v>772</v>
      </c>
      <c r="C320" s="46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8"/>
      <c r="P320" s="8"/>
      <c r="Q320" s="8"/>
      <c r="R320" s="8"/>
      <c r="S320" s="28"/>
      <c r="T320" s="28"/>
      <c r="U320" s="8"/>
      <c r="V320" s="8"/>
      <c r="W320" s="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" thickBot="1" x14ac:dyDescent="0.35">
      <c r="A321" t="s">
        <v>772</v>
      </c>
      <c r="C321" s="46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15</v>
      </c>
      <c r="M321" s="17">
        <f t="shared" si="18"/>
        <v>13</v>
      </c>
      <c r="N321" s="18">
        <f t="shared" si="19"/>
        <v>0.5357142857142857</v>
      </c>
      <c r="O321" s="28" t="s">
        <v>939</v>
      </c>
      <c r="P321" s="8" t="s">
        <v>939</v>
      </c>
      <c r="Q321" s="8" t="s">
        <v>939</v>
      </c>
      <c r="R321" s="8" t="s">
        <v>939</v>
      </c>
      <c r="S321" s="28" t="s">
        <v>939</v>
      </c>
      <c r="T321" s="28" t="s">
        <v>939</v>
      </c>
      <c r="U321" s="8" t="s">
        <v>939</v>
      </c>
      <c r="V321" s="8" t="s">
        <v>939</v>
      </c>
      <c r="W321" s="8" t="s">
        <v>939</v>
      </c>
      <c r="X321" s="28" t="s">
        <v>939</v>
      </c>
      <c r="Y321" s="28"/>
      <c r="Z321" s="28"/>
      <c r="AA321" s="28"/>
      <c r="AB321" s="28"/>
      <c r="AC321" s="28"/>
      <c r="AD321" s="28" t="s">
        <v>939</v>
      </c>
      <c r="AE321" s="28" t="s">
        <v>939</v>
      </c>
      <c r="AF321" s="28" t="s">
        <v>939</v>
      </c>
      <c r="AG321" s="28"/>
      <c r="AH321" s="28"/>
      <c r="AI321" s="8"/>
      <c r="AJ321" s="2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" thickBot="1" x14ac:dyDescent="0.35">
      <c r="A322" t="s">
        <v>772</v>
      </c>
      <c r="C322" s="46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16</v>
      </c>
      <c r="M322" s="17">
        <f t="shared" si="18"/>
        <v>12</v>
      </c>
      <c r="N322" s="18">
        <f t="shared" si="19"/>
        <v>0.5714285714285714</v>
      </c>
      <c r="O322" s="28" t="s">
        <v>939</v>
      </c>
      <c r="P322" s="8" t="s">
        <v>939</v>
      </c>
      <c r="Q322" s="8" t="s">
        <v>939</v>
      </c>
      <c r="R322" s="8" t="s">
        <v>939</v>
      </c>
      <c r="S322" s="28" t="s">
        <v>939</v>
      </c>
      <c r="T322" s="28" t="s">
        <v>939</v>
      </c>
      <c r="U322" s="8" t="s">
        <v>939</v>
      </c>
      <c r="V322" s="8" t="s">
        <v>939</v>
      </c>
      <c r="W322" s="8" t="s">
        <v>939</v>
      </c>
      <c r="X322" s="28" t="s">
        <v>939</v>
      </c>
      <c r="Y322" s="28"/>
      <c r="Z322" s="28"/>
      <c r="AA322" s="28"/>
      <c r="AB322" s="28"/>
      <c r="AC322" s="28" t="s">
        <v>939</v>
      </c>
      <c r="AD322" s="28" t="s">
        <v>939</v>
      </c>
      <c r="AE322" s="28"/>
      <c r="AF322" s="28"/>
      <c r="AG322" s="28"/>
      <c r="AH322" s="28"/>
      <c r="AI322" s="8"/>
      <c r="AJ322" s="2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" thickBot="1" x14ac:dyDescent="0.35">
      <c r="A323" t="s">
        <v>779</v>
      </c>
      <c r="C323" s="46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" thickBot="1" x14ac:dyDescent="0.35">
      <c r="A324" t="s">
        <v>779</v>
      </c>
      <c r="C324" s="46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25</v>
      </c>
      <c r="M324" s="17">
        <f t="shared" si="18"/>
        <v>3</v>
      </c>
      <c r="N324" s="18">
        <f t="shared" si="19"/>
        <v>0.8928571428571429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 t="s">
        <v>939</v>
      </c>
      <c r="AE324" s="28" t="s">
        <v>939</v>
      </c>
      <c r="AF324" s="28" t="s">
        <v>939</v>
      </c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" thickBot="1" x14ac:dyDescent="0.35">
      <c r="A325" t="s">
        <v>772</v>
      </c>
      <c r="C325" s="46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" thickBot="1" x14ac:dyDescent="0.35">
      <c r="A326" t="s">
        <v>779</v>
      </c>
      <c r="C326" s="46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" thickBot="1" x14ac:dyDescent="0.35">
      <c r="C327" s="46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" thickBot="1" x14ac:dyDescent="0.35">
      <c r="A328" t="s">
        <v>772</v>
      </c>
      <c r="C328" s="46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8"/>
      <c r="P328" s="8"/>
      <c r="Q328" s="8"/>
      <c r="R328" s="8"/>
      <c r="S328" s="28"/>
      <c r="T328" s="28"/>
      <c r="U328" s="8"/>
      <c r="V328" s="8"/>
      <c r="W328" s="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" thickBot="1" x14ac:dyDescent="0.35">
      <c r="A329" t="s">
        <v>772</v>
      </c>
      <c r="C329" s="46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8"/>
      <c r="P329" s="8"/>
      <c r="Q329" s="8"/>
      <c r="R329" s="8"/>
      <c r="S329" s="28"/>
      <c r="T329" s="28"/>
      <c r="U329" s="8"/>
      <c r="V329" s="8"/>
      <c r="W329" s="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" thickBot="1" x14ac:dyDescent="0.35">
      <c r="A330" t="s">
        <v>772</v>
      </c>
      <c r="C330" s="46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16</v>
      </c>
      <c r="M330" s="17">
        <f t="shared" si="21"/>
        <v>12</v>
      </c>
      <c r="N330" s="18">
        <f t="shared" si="22"/>
        <v>0.5714285714285714</v>
      </c>
      <c r="O330" s="28"/>
      <c r="P330" s="8" t="s">
        <v>939</v>
      </c>
      <c r="Q330" s="8" t="s">
        <v>939</v>
      </c>
      <c r="R330" s="8" t="s">
        <v>939</v>
      </c>
      <c r="S330" s="28" t="s">
        <v>939</v>
      </c>
      <c r="T330" s="28" t="s">
        <v>939</v>
      </c>
      <c r="U330" s="8" t="s">
        <v>939</v>
      </c>
      <c r="V330" s="8" t="s">
        <v>939</v>
      </c>
      <c r="W330" s="8" t="s">
        <v>939</v>
      </c>
      <c r="X330" s="28" t="s">
        <v>939</v>
      </c>
      <c r="Y330" s="28"/>
      <c r="Z330" s="28"/>
      <c r="AA330" s="28"/>
      <c r="AB330" s="28" t="s">
        <v>939</v>
      </c>
      <c r="AC330" s="28" t="s">
        <v>939</v>
      </c>
      <c r="AD330" s="28" t="s">
        <v>939</v>
      </c>
      <c r="AE330" s="28"/>
      <c r="AF330" s="28"/>
      <c r="AG330" s="28"/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" thickBot="1" x14ac:dyDescent="0.35">
      <c r="A331" t="s">
        <v>772</v>
      </c>
      <c r="C331" s="46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16</v>
      </c>
      <c r="M331" s="17">
        <f t="shared" si="21"/>
        <v>12</v>
      </c>
      <c r="N331" s="18">
        <f t="shared" si="22"/>
        <v>0.5714285714285714</v>
      </c>
      <c r="O331" s="28"/>
      <c r="P331" s="8" t="s">
        <v>939</v>
      </c>
      <c r="Q331" s="8" t="s">
        <v>939</v>
      </c>
      <c r="R331" s="8" t="s">
        <v>939</v>
      </c>
      <c r="S331" s="28" t="s">
        <v>939</v>
      </c>
      <c r="T331" s="28" t="s">
        <v>939</v>
      </c>
      <c r="U331" s="8" t="s">
        <v>939</v>
      </c>
      <c r="V331" s="8" t="s">
        <v>939</v>
      </c>
      <c r="W331" s="8" t="s">
        <v>939</v>
      </c>
      <c r="X331" s="28" t="s">
        <v>939</v>
      </c>
      <c r="Y331" s="28"/>
      <c r="Z331" s="28"/>
      <c r="AA331" s="28"/>
      <c r="AB331" s="28" t="s">
        <v>939</v>
      </c>
      <c r="AC331" s="28" t="s">
        <v>939</v>
      </c>
      <c r="AD331" s="28" t="s">
        <v>939</v>
      </c>
      <c r="AE331" s="28"/>
      <c r="AF331" s="28"/>
      <c r="AG331" s="28"/>
      <c r="AH331" s="28"/>
      <c r="AI331" s="8"/>
      <c r="AJ331" s="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" thickBot="1" x14ac:dyDescent="0.35">
      <c r="A332" t="s">
        <v>619</v>
      </c>
      <c r="C332" s="46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" thickBot="1" x14ac:dyDescent="0.35">
      <c r="A333" t="s">
        <v>619</v>
      </c>
      <c r="C333" s="46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8" t="s">
        <v>939</v>
      </c>
      <c r="P333" s="8" t="s">
        <v>939</v>
      </c>
      <c r="Q333" s="8" t="s">
        <v>939</v>
      </c>
      <c r="R333" s="8" t="s">
        <v>939</v>
      </c>
      <c r="S333" s="28" t="s">
        <v>939</v>
      </c>
      <c r="T333" s="28" t="s">
        <v>939</v>
      </c>
      <c r="U333" s="8" t="s">
        <v>939</v>
      </c>
      <c r="V333" s="8" t="s">
        <v>939</v>
      </c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2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" thickBot="1" x14ac:dyDescent="0.35">
      <c r="A334" t="s">
        <v>456</v>
      </c>
      <c r="C334" s="46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" thickBot="1" x14ac:dyDescent="0.35">
      <c r="A335" t="s">
        <v>619</v>
      </c>
      <c r="C335" s="46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" thickBot="1" x14ac:dyDescent="0.35">
      <c r="A336" t="s">
        <v>619</v>
      </c>
      <c r="C336" s="46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" thickBot="1" x14ac:dyDescent="0.35">
      <c r="A337" t="s">
        <v>619</v>
      </c>
      <c r="C337" s="46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" thickBot="1" x14ac:dyDescent="0.35">
      <c r="A338" t="s">
        <v>619</v>
      </c>
      <c r="C338" s="46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" thickBot="1" x14ac:dyDescent="0.35">
      <c r="A339" t="s">
        <v>619</v>
      </c>
      <c r="C339" s="46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 t="s">
        <v>939</v>
      </c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" thickBot="1" x14ac:dyDescent="0.35">
      <c r="A340" t="s">
        <v>730</v>
      </c>
      <c r="C340" s="46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" thickBot="1" x14ac:dyDescent="0.35">
      <c r="A341" t="s">
        <v>730</v>
      </c>
      <c r="C341" s="46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" thickBot="1" x14ac:dyDescent="0.35">
      <c r="A342" t="s">
        <v>730</v>
      </c>
      <c r="C342" s="46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" thickBot="1" x14ac:dyDescent="0.35">
      <c r="A343" t="s">
        <v>730</v>
      </c>
      <c r="C343" s="46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" thickBot="1" x14ac:dyDescent="0.35">
      <c r="A344" t="s">
        <v>724</v>
      </c>
      <c r="C344" s="46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" thickBot="1" x14ac:dyDescent="0.35">
      <c r="A345" t="s">
        <v>853</v>
      </c>
      <c r="C345" s="46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8"/>
      <c r="P345" s="8"/>
      <c r="Q345" s="8"/>
      <c r="R345" s="8"/>
      <c r="S345" s="28"/>
      <c r="T345" s="28"/>
      <c r="U345" s="8"/>
      <c r="V345" s="8"/>
      <c r="W345" s="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" thickBot="1" x14ac:dyDescent="0.35">
      <c r="A346" t="s">
        <v>853</v>
      </c>
      <c r="C346" s="46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8"/>
      <c r="P346" s="8"/>
      <c r="Q346" s="8"/>
      <c r="R346" s="8"/>
      <c r="S346" s="28"/>
      <c r="T346" s="28"/>
      <c r="U346" s="8"/>
      <c r="V346" s="8"/>
      <c r="W346" s="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" thickBot="1" x14ac:dyDescent="0.35">
      <c r="A347" t="s">
        <v>853</v>
      </c>
      <c r="B347" s="60">
        <v>44629</v>
      </c>
      <c r="C347" s="62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8" t="s">
        <v>939</v>
      </c>
      <c r="P347" s="8" t="s">
        <v>939</v>
      </c>
      <c r="Q347" s="8" t="s">
        <v>939</v>
      </c>
      <c r="R347" s="8" t="s">
        <v>939</v>
      </c>
      <c r="S347" s="28" t="s">
        <v>939</v>
      </c>
      <c r="T347" s="28" t="s">
        <v>939</v>
      </c>
      <c r="U347" s="8" t="s">
        <v>939</v>
      </c>
      <c r="V347" s="8" t="s">
        <v>939</v>
      </c>
      <c r="W347" s="8" t="s">
        <v>939</v>
      </c>
      <c r="X347" s="28" t="s">
        <v>939</v>
      </c>
      <c r="Y347" s="28" t="s">
        <v>939</v>
      </c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" thickBot="1" x14ac:dyDescent="0.35">
      <c r="A348" t="s">
        <v>853</v>
      </c>
      <c r="B348" s="60">
        <v>44629</v>
      </c>
      <c r="C348" s="62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8" t="s">
        <v>939</v>
      </c>
      <c r="P348" s="8" t="s">
        <v>939</v>
      </c>
      <c r="Q348" s="8" t="s">
        <v>939</v>
      </c>
      <c r="R348" s="8" t="s">
        <v>939</v>
      </c>
      <c r="S348" s="28" t="s">
        <v>939</v>
      </c>
      <c r="T348" s="28" t="s">
        <v>939</v>
      </c>
      <c r="U348" s="8" t="s">
        <v>939</v>
      </c>
      <c r="V348" s="8" t="s">
        <v>939</v>
      </c>
      <c r="W348" s="8" t="s">
        <v>939</v>
      </c>
      <c r="X348" s="28" t="s">
        <v>939</v>
      </c>
      <c r="Y348" s="28" t="s">
        <v>939</v>
      </c>
      <c r="Z348" s="28"/>
      <c r="AA348" s="28"/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" thickBot="1" x14ac:dyDescent="0.35">
      <c r="A349" t="s">
        <v>861</v>
      </c>
      <c r="B349" s="60">
        <v>44629</v>
      </c>
      <c r="C349" s="62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12</v>
      </c>
      <c r="M349" s="17">
        <f t="shared" si="21"/>
        <v>16</v>
      </c>
      <c r="N349" s="18">
        <f t="shared" si="22"/>
        <v>0.42857142857142855</v>
      </c>
      <c r="O349" s="28" t="s">
        <v>939</v>
      </c>
      <c r="P349" s="8" t="s">
        <v>939</v>
      </c>
      <c r="Q349" s="8" t="s">
        <v>939</v>
      </c>
      <c r="R349" s="8" t="s">
        <v>939</v>
      </c>
      <c r="S349" s="28" t="s">
        <v>939</v>
      </c>
      <c r="T349" s="28" t="s">
        <v>939</v>
      </c>
      <c r="U349" s="8" t="s">
        <v>939</v>
      </c>
      <c r="V349" s="8" t="s">
        <v>939</v>
      </c>
      <c r="W349" s="8" t="s">
        <v>939</v>
      </c>
      <c r="X349" s="28" t="s">
        <v>939</v>
      </c>
      <c r="Y349" s="28" t="s">
        <v>939</v>
      </c>
      <c r="Z349" s="28"/>
      <c r="AA349" s="28"/>
      <c r="AB349" s="28" t="s">
        <v>939</v>
      </c>
      <c r="AC349" s="28" t="s">
        <v>939</v>
      </c>
      <c r="AD349" s="28" t="s">
        <v>939</v>
      </c>
      <c r="AE349" s="28" t="s">
        <v>939</v>
      </c>
      <c r="AF349" s="28" t="s">
        <v>939</v>
      </c>
      <c r="AG349" s="28"/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" thickBot="1" x14ac:dyDescent="0.35">
      <c r="A350" t="s">
        <v>861</v>
      </c>
      <c r="C350" s="46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16</v>
      </c>
      <c r="M350" s="17">
        <f t="shared" si="21"/>
        <v>12</v>
      </c>
      <c r="N350" s="18">
        <f t="shared" si="22"/>
        <v>0.5714285714285714</v>
      </c>
      <c r="O350" s="28" t="s">
        <v>939</v>
      </c>
      <c r="P350" s="8" t="s">
        <v>939</v>
      </c>
      <c r="Q350" s="8" t="s">
        <v>939</v>
      </c>
      <c r="R350" s="8" t="s">
        <v>939</v>
      </c>
      <c r="S350" s="28"/>
      <c r="T350" s="28" t="s">
        <v>939</v>
      </c>
      <c r="U350" s="8" t="s">
        <v>939</v>
      </c>
      <c r="V350" s="8" t="s">
        <v>939</v>
      </c>
      <c r="W350" s="8"/>
      <c r="X350" s="28"/>
      <c r="Y350" s="28"/>
      <c r="Z350" s="28" t="s">
        <v>939</v>
      </c>
      <c r="AA350" s="28" t="s">
        <v>939</v>
      </c>
      <c r="AB350" s="28"/>
      <c r="AC350" s="28"/>
      <c r="AD350" s="28" t="s">
        <v>939</v>
      </c>
      <c r="AE350" s="28" t="s">
        <v>939</v>
      </c>
      <c r="AF350" s="28" t="s">
        <v>939</v>
      </c>
      <c r="AG350" s="28"/>
      <c r="AH350" s="28"/>
      <c r="AI350" s="8"/>
      <c r="AJ350" s="2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" thickBot="1" x14ac:dyDescent="0.35">
      <c r="A351" t="s">
        <v>861</v>
      </c>
      <c r="B351" s="60">
        <v>44629</v>
      </c>
      <c r="C351" s="62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8" t="s">
        <v>939</v>
      </c>
      <c r="P351" s="8" t="s">
        <v>939</v>
      </c>
      <c r="Q351" s="8" t="s">
        <v>939</v>
      </c>
      <c r="R351" s="8" t="s">
        <v>939</v>
      </c>
      <c r="S351" s="28" t="s">
        <v>939</v>
      </c>
      <c r="T351" s="28" t="s">
        <v>939</v>
      </c>
      <c r="U351" s="8" t="s">
        <v>939</v>
      </c>
      <c r="V351" s="8" t="s">
        <v>939</v>
      </c>
      <c r="W351" s="8" t="s">
        <v>939</v>
      </c>
      <c r="X351" s="28" t="s">
        <v>939</v>
      </c>
      <c r="Y351" s="28" t="s">
        <v>939</v>
      </c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2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" thickBot="1" x14ac:dyDescent="0.35">
      <c r="A352" t="s">
        <v>861</v>
      </c>
      <c r="C352" s="46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" thickBot="1" x14ac:dyDescent="0.35">
      <c r="A353" t="s">
        <v>861</v>
      </c>
      <c r="C353" s="46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8"/>
      <c r="P353" s="8"/>
      <c r="Q353" s="8"/>
      <c r="R353" s="8"/>
      <c r="S353" s="28"/>
      <c r="T353" s="28"/>
      <c r="U353" s="8"/>
      <c r="V353" s="8"/>
      <c r="W353" s="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" thickBot="1" x14ac:dyDescent="0.35">
      <c r="A354" t="s">
        <v>271</v>
      </c>
      <c r="C354" s="46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" thickBot="1" x14ac:dyDescent="0.35">
      <c r="C355" s="46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8"/>
      <c r="P355" s="8"/>
      <c r="Q355" s="8"/>
      <c r="R355" s="8"/>
      <c r="S355" s="28" t="s">
        <v>939</v>
      </c>
      <c r="T355" s="28" t="s">
        <v>939</v>
      </c>
      <c r="U355" s="8"/>
      <c r="V355" s="8"/>
      <c r="W355" s="8"/>
      <c r="X355" s="28"/>
      <c r="Y355" s="28"/>
      <c r="Z355" s="28" t="s">
        <v>939</v>
      </c>
      <c r="AA355" s="28" t="s">
        <v>939</v>
      </c>
      <c r="AB355" s="28"/>
      <c r="AC355" s="28"/>
      <c r="AD355" s="28"/>
      <c r="AE355" s="28"/>
      <c r="AF355" s="28"/>
      <c r="AG355" s="28"/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" thickBot="1" x14ac:dyDescent="0.35">
      <c r="A356" t="s">
        <v>271</v>
      </c>
      <c r="C356" s="46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" thickBot="1" x14ac:dyDescent="0.35">
      <c r="A357" t="s">
        <v>271</v>
      </c>
      <c r="C357" s="46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" thickBot="1" x14ac:dyDescent="0.35">
      <c r="A358" t="s">
        <v>271</v>
      </c>
      <c r="C358" s="46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" thickBot="1" x14ac:dyDescent="0.35">
      <c r="A359" t="s">
        <v>884</v>
      </c>
      <c r="C359" s="46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" thickBot="1" x14ac:dyDescent="0.35">
      <c r="A360" t="s">
        <v>884</v>
      </c>
      <c r="C360" s="46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" thickBot="1" x14ac:dyDescent="0.35">
      <c r="A361" t="s">
        <v>884</v>
      </c>
      <c r="C361" s="46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" thickBot="1" x14ac:dyDescent="0.35">
      <c r="A362" t="s">
        <v>884</v>
      </c>
      <c r="C362" s="46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8"/>
      <c r="P362" s="8"/>
      <c r="Q362" s="8"/>
      <c r="R362" s="8"/>
      <c r="S362" s="28"/>
      <c r="T362" s="28"/>
      <c r="U362" s="8"/>
      <c r="V362" s="8"/>
      <c r="W362" s="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" thickBot="1" x14ac:dyDescent="0.35">
      <c r="A363" t="s">
        <v>892</v>
      </c>
      <c r="C363" s="46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" thickBot="1" x14ac:dyDescent="0.35">
      <c r="A364" t="s">
        <v>895</v>
      </c>
      <c r="C364" s="46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8"/>
      <c r="P364" s="8"/>
      <c r="Q364" s="8"/>
      <c r="R364" s="8"/>
      <c r="S364" s="28"/>
      <c r="T364" s="28"/>
      <c r="U364" s="8" t="s">
        <v>939</v>
      </c>
      <c r="V364" s="8" t="s">
        <v>939</v>
      </c>
      <c r="W364" s="8" t="s">
        <v>939</v>
      </c>
      <c r="X364" s="28" t="s">
        <v>939</v>
      </c>
      <c r="Y364" s="28" t="s">
        <v>939</v>
      </c>
      <c r="Z364" s="28"/>
      <c r="AA364" s="28" t="s">
        <v>939</v>
      </c>
      <c r="AB364" s="28" t="s">
        <v>939</v>
      </c>
      <c r="AC364" s="28" t="s">
        <v>939</v>
      </c>
      <c r="AD364" s="28" t="s">
        <v>939</v>
      </c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" thickBot="1" x14ac:dyDescent="0.35">
      <c r="A365" t="s">
        <v>895</v>
      </c>
      <c r="C365" s="46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" thickBot="1" x14ac:dyDescent="0.35">
      <c r="A366" t="s">
        <v>895</v>
      </c>
      <c r="C366" s="46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" thickBot="1" x14ac:dyDescent="0.35">
      <c r="C367" s="46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8"/>
      <c r="P367" s="8"/>
      <c r="Q367" s="8"/>
      <c r="R367" s="8"/>
      <c r="S367" s="28"/>
      <c r="T367" s="28"/>
      <c r="U367" s="8"/>
      <c r="V367" s="8"/>
      <c r="W367" s="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" thickBot="1" x14ac:dyDescent="0.35">
      <c r="A368" t="s">
        <v>905</v>
      </c>
      <c r="C368" s="46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8"/>
      <c r="AJ368" s="8"/>
      <c r="AK368" s="8"/>
      <c r="AL368" s="8"/>
      <c r="AM368" s="8"/>
      <c r="AN368" s="28"/>
      <c r="AO368" s="8"/>
      <c r="AP368" s="8"/>
      <c r="AQ368" s="28"/>
      <c r="AR368" s="28"/>
      <c r="AS368" s="28"/>
    </row>
    <row r="369" spans="1:45" ht="15" thickBot="1" x14ac:dyDescent="0.35">
      <c r="A369" t="s">
        <v>480</v>
      </c>
      <c r="B369" s="60">
        <v>44629</v>
      </c>
      <c r="C369" s="62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17</v>
      </c>
      <c r="M369" s="17">
        <f t="shared" si="21"/>
        <v>11</v>
      </c>
      <c r="N369" s="18">
        <f t="shared" si="22"/>
        <v>0.6071428571428571</v>
      </c>
      <c r="O369" s="28" t="s">
        <v>939</v>
      </c>
      <c r="P369" s="8" t="s">
        <v>939</v>
      </c>
      <c r="Q369" s="8" t="s">
        <v>939</v>
      </c>
      <c r="R369" s="8" t="s">
        <v>939</v>
      </c>
      <c r="S369" s="28" t="s">
        <v>939</v>
      </c>
      <c r="T369" s="28" t="s">
        <v>939</v>
      </c>
      <c r="U369" s="8" t="s">
        <v>939</v>
      </c>
      <c r="V369" s="8" t="s">
        <v>939</v>
      </c>
      <c r="W369" s="8" t="s">
        <v>939</v>
      </c>
      <c r="X369" s="28" t="s">
        <v>939</v>
      </c>
      <c r="Y369" s="28" t="s">
        <v>939</v>
      </c>
      <c r="Z369" s="28"/>
      <c r="AA369" s="28"/>
      <c r="AB369" s="28"/>
      <c r="AC369" s="28"/>
      <c r="AD369" s="28"/>
      <c r="AE369" s="28"/>
      <c r="AF369" s="28"/>
      <c r="AG369" s="28"/>
      <c r="AH369" s="28"/>
      <c r="AI369" s="8"/>
      <c r="AJ369" s="28"/>
      <c r="AK369" s="8"/>
      <c r="AL369" s="8"/>
      <c r="AM369" s="8"/>
      <c r="AN369" s="28"/>
      <c r="AO369" s="8"/>
      <c r="AP369" s="8"/>
      <c r="AQ369" s="28"/>
      <c r="AR369" s="28"/>
      <c r="AS369" s="28"/>
    </row>
    <row r="370" spans="1:45" ht="15" thickBot="1" x14ac:dyDescent="0.35">
      <c r="C370" s="46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8"/>
      <c r="P370" s="8"/>
      <c r="Q370" s="8"/>
      <c r="R370" s="8"/>
      <c r="S370" s="28"/>
      <c r="T370" s="28"/>
      <c r="U370" s="8"/>
      <c r="V370" s="8"/>
      <c r="W370" s="8"/>
      <c r="X370" s="28"/>
      <c r="Y370" s="28"/>
      <c r="Z370" s="28"/>
      <c r="AA370" s="28"/>
      <c r="AB370" s="28"/>
      <c r="AC370" s="28"/>
      <c r="AD370" s="28" t="s">
        <v>939</v>
      </c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ht="15" thickBot="1" x14ac:dyDescent="0.35">
      <c r="A371" t="s">
        <v>1318</v>
      </c>
      <c r="C371" s="46" t="s">
        <v>1314</v>
      </c>
      <c r="D371" t="s">
        <v>1316</v>
      </c>
      <c r="E371" s="46" t="s">
        <v>113</v>
      </c>
      <c r="F371" s="46" t="s">
        <v>36</v>
      </c>
      <c r="G371" s="9"/>
      <c r="H371" s="9" t="s">
        <v>1321</v>
      </c>
      <c r="I371" s="9"/>
      <c r="J371" s="9"/>
      <c r="K371" s="29" t="s">
        <v>1319</v>
      </c>
      <c r="L371" s="17">
        <f t="shared" ref="L371:L372" si="23">COUNTIF(O371:AP371,"")</f>
        <v>28</v>
      </c>
      <c r="M371" s="17">
        <f t="shared" ref="M371:M372" si="24">COUNTIF(O371:AP371,"APAGADO")</f>
        <v>0</v>
      </c>
      <c r="N371" s="18">
        <f t="shared" ref="N371:N372" si="25">(L371)/(M371+L371)</f>
        <v>1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</row>
    <row r="372" spans="1:45" ht="15" thickBot="1" x14ac:dyDescent="0.35">
      <c r="A372" t="s">
        <v>1318</v>
      </c>
      <c r="C372" s="46" t="s">
        <v>1315</v>
      </c>
      <c r="D372" t="s">
        <v>1317</v>
      </c>
      <c r="E372" s="46" t="s">
        <v>113</v>
      </c>
      <c r="F372" s="46" t="s">
        <v>36</v>
      </c>
      <c r="G372" s="9" t="s">
        <v>1321</v>
      </c>
      <c r="H372" s="9"/>
      <c r="I372" s="9"/>
      <c r="J372" s="9"/>
      <c r="K372" s="29" t="s">
        <v>1320</v>
      </c>
      <c r="L372" s="17">
        <f t="shared" si="23"/>
        <v>28</v>
      </c>
      <c r="M372" s="17">
        <f t="shared" si="24"/>
        <v>0</v>
      </c>
      <c r="N372" s="18">
        <f t="shared" si="25"/>
        <v>1</v>
      </c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</row>
    <row r="373" spans="1:45" x14ac:dyDescent="0.3">
      <c r="E373" s="9"/>
      <c r="F373" s="9"/>
      <c r="G373" s="9"/>
      <c r="H373" s="9"/>
      <c r="I373" s="9"/>
      <c r="J373" s="9"/>
      <c r="K373" s="29"/>
      <c r="N373" s="21"/>
      <c r="O373" s="29"/>
      <c r="P373" s="9"/>
      <c r="Q373" s="9"/>
      <c r="R373" s="9"/>
      <c r="S373" s="9"/>
      <c r="T373" s="9"/>
      <c r="U373" s="9"/>
      <c r="V373" s="9"/>
      <c r="W373" s="9"/>
      <c r="X373" s="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3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3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3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3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3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3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3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3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3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3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3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3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3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3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3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3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3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3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3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3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3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3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3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3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3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3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3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3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3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3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3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3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3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3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3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3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3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3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3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3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3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3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3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3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3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3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3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3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3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3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3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3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3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3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3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3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3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3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3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3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3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3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3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3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3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3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3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3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3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3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3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3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3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3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3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3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3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3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3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3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3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3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3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3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3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3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3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3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3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3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3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3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3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3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3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3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3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3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3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3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3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3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3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3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3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3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3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3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3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3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3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3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3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3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3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3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3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3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3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3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3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3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3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3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3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3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3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3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3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3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3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3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3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3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3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3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3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3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3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3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3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3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3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3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3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3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3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3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3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3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3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3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3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3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3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3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3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3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3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3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3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3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3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3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3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3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3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3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3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3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3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3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3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3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3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3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3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3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3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3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3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3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3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3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3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3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3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3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3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3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3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3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3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3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3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3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3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3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3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3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3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3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3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3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3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3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3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3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3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3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3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3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3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3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3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3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3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3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3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3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3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3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3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3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3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3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3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3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3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3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3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3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3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3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3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3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3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3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3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3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3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3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3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3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3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3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3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3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3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3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3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3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3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3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3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3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3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3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3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3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3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3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3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3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3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3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3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3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3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3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3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3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3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3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3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3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3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3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3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3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3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3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3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3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3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3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3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3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3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3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3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3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3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3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3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3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3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9"/>
      <c r="AJ670" s="9"/>
      <c r="AK670" s="9"/>
      <c r="AL670" s="9"/>
      <c r="AM670" s="9"/>
      <c r="AN670" s="9"/>
      <c r="AO670" s="9"/>
      <c r="AP670" s="9"/>
      <c r="AQ670" s="29"/>
      <c r="AR670" s="29"/>
      <c r="AS670" s="29"/>
    </row>
    <row r="671" spans="5:45" x14ac:dyDescent="0.3">
      <c r="E671" s="9"/>
      <c r="F671" s="9"/>
      <c r="G671" s="9"/>
      <c r="H671" s="9"/>
      <c r="I671" s="9"/>
      <c r="J671" s="9"/>
      <c r="K671" s="29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9"/>
      <c r="AJ671" s="9"/>
      <c r="AK671" s="9"/>
      <c r="AL671" s="9"/>
      <c r="AM671" s="9"/>
      <c r="AN671" s="9"/>
      <c r="AO671" s="9"/>
      <c r="AP671" s="9"/>
      <c r="AQ671" s="29"/>
      <c r="AR671" s="29"/>
      <c r="AS671" s="29"/>
    </row>
    <row r="672" spans="5:45" x14ac:dyDescent="0.3">
      <c r="E672" s="9"/>
      <c r="F672" s="9"/>
      <c r="G672" s="9"/>
      <c r="H672" s="9"/>
      <c r="I672" s="9"/>
      <c r="J672" s="9"/>
      <c r="K672" s="29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9"/>
      <c r="N673" s="21"/>
    </row>
    <row r="674" spans="5:14" x14ac:dyDescent="0.3">
      <c r="E674" s="9"/>
      <c r="F674" s="9"/>
      <c r="G674" s="9"/>
      <c r="H674" s="9"/>
      <c r="I674" s="9"/>
      <c r="J674" s="9"/>
      <c r="K674" s="29"/>
      <c r="N674" s="21"/>
    </row>
    <row r="675" spans="5:14" x14ac:dyDescent="0.3">
      <c r="E675" s="9"/>
      <c r="F675" s="9"/>
      <c r="G675" s="9"/>
      <c r="H675" s="9"/>
      <c r="I675" s="9"/>
      <c r="J675" s="9"/>
      <c r="K675" s="29"/>
      <c r="N675" s="21"/>
    </row>
    <row r="676" spans="5:14" x14ac:dyDescent="0.3">
      <c r="N676" s="21"/>
    </row>
  </sheetData>
  <conditionalFormatting sqref="N4:N244 N247:N372 P236:U244 P247:U281 AG241:AH244 AG247:AH250 O95:O244 O247:O369 AI95:AS244 AI247:AS369 V96:X244 V247:X372 N245:X246 AF245:AS246 AF247:AF372 AF96:AF244 Y96:AE372">
    <cfRule type="cellIs" dxfId="805" priority="1805" operator="lessThan">
      <formula>0.8</formula>
    </cfRule>
    <cfRule type="cellIs" dxfId="804" priority="1806" operator="greaterThan">
      <formula>0.8</formula>
    </cfRule>
  </conditionalFormatting>
  <conditionalFormatting sqref="E1:K3 E284:K334 E236:K236 E5:K32 E36:K91 E94:K230 E337:K364 E369:K372 E243:K281 E391:K1048576">
    <cfRule type="containsText" dxfId="803" priority="1804" operator="containsText" text="Radio">
      <formula>NOT(ISERROR(SEARCH("Radio",E1)))</formula>
    </cfRule>
  </conditionalFormatting>
  <conditionalFormatting sqref="P236:U244 P247:U281 AG241:AH244 AG247:AH250 O95:O244 O247:O372 AI95:AS244 AI247:AS372 AI391:AS1048576 V96:X244 V247:X372 O245:X246 AF245:AS246 AF247:AF372 AF96:AF244 Y96:AE372 V391:AF1048576">
    <cfRule type="notContainsText" dxfId="802" priority="1800" operator="notContains" text="Caida">
      <formula>ISERROR(SEARCH("Caida",O95))</formula>
    </cfRule>
    <cfRule type="containsText" dxfId="801" priority="1801" operator="containsText" text="Caida">
      <formula>NOT(ISERROR(SEARCH("Caida",O95)))</formula>
    </cfRule>
  </conditionalFormatting>
  <conditionalFormatting sqref="E282:K282">
    <cfRule type="containsText" dxfId="800" priority="1773" operator="containsText" text="Radio">
      <formula>NOT(ISERROR(SEARCH("Radio",E282)))</formula>
    </cfRule>
  </conditionalFormatting>
  <conditionalFormatting sqref="E283:K283">
    <cfRule type="containsText" dxfId="799" priority="1748" operator="containsText" text="Radio">
      <formula>NOT(ISERROR(SEARCH("Radio",E283)))</formula>
    </cfRule>
  </conditionalFormatting>
  <conditionalFormatting sqref="E4:K4">
    <cfRule type="containsText" dxfId="798" priority="1723" operator="containsText" text="Radio">
      <formula>NOT(ISERROR(SEARCH("Radio",E4)))</formula>
    </cfRule>
  </conditionalFormatting>
  <conditionalFormatting sqref="E231:K231">
    <cfRule type="containsText" dxfId="797" priority="1722" operator="containsText" text="Radio">
      <formula>NOT(ISERROR(SEARCH("Radio",E231)))</formula>
    </cfRule>
  </conditionalFormatting>
  <conditionalFormatting sqref="E232:K232">
    <cfRule type="containsText" dxfId="796" priority="1697" operator="containsText" text="Radio">
      <formula>NOT(ISERROR(SEARCH("Radio",E232)))</formula>
    </cfRule>
  </conditionalFormatting>
  <conditionalFormatting sqref="E233:K233">
    <cfRule type="containsText" dxfId="795" priority="1672" operator="containsText" text="Radio">
      <formula>NOT(ISERROR(SEARCH("Radio",E233)))</formula>
    </cfRule>
  </conditionalFormatting>
  <conditionalFormatting sqref="E234:K234">
    <cfRule type="containsText" dxfId="794" priority="1647" operator="containsText" text="Radio">
      <formula>NOT(ISERROR(SEARCH("Radio",E234)))</formula>
    </cfRule>
  </conditionalFormatting>
  <conditionalFormatting sqref="E235:K235">
    <cfRule type="containsText" dxfId="793" priority="1622" operator="containsText" text="Radio">
      <formula>NOT(ISERROR(SEARCH("Radio",E235)))</formula>
    </cfRule>
  </conditionalFormatting>
  <conditionalFormatting sqref="E335:K335">
    <cfRule type="containsText" dxfId="792" priority="1573" operator="containsText" text="Radio">
      <formula>NOT(ISERROR(SEARCH("Radio",E335)))</formula>
    </cfRule>
  </conditionalFormatting>
  <conditionalFormatting sqref="E336:K336">
    <cfRule type="containsText" dxfId="791" priority="1548" operator="containsText" text="Radio">
      <formula>NOT(ISERROR(SEARCH("Radio",E336)))</formula>
    </cfRule>
  </conditionalFormatting>
  <conditionalFormatting sqref="E237:K237">
    <cfRule type="containsText" dxfId="790" priority="1523" operator="containsText" text="Radio">
      <formula>NOT(ISERROR(SEARCH("Radio",E237)))</formula>
    </cfRule>
  </conditionalFormatting>
  <conditionalFormatting sqref="E238:K238">
    <cfRule type="containsText" dxfId="789" priority="1498" operator="containsText" text="Radio">
      <formula>NOT(ISERROR(SEARCH("Radio",E238)))</formula>
    </cfRule>
  </conditionalFormatting>
  <conditionalFormatting sqref="E33:K35">
    <cfRule type="containsText" dxfId="788" priority="1473" operator="containsText" text="Radio">
      <formula>NOT(ISERROR(SEARCH("Radio",E33)))</formula>
    </cfRule>
  </conditionalFormatting>
  <conditionalFormatting sqref="E239:K239">
    <cfRule type="containsText" dxfId="787" priority="1448" operator="containsText" text="Radio">
      <formula>NOT(ISERROR(SEARCH("Radio",E239)))</formula>
    </cfRule>
  </conditionalFormatting>
  <conditionalFormatting sqref="E240:K240">
    <cfRule type="containsText" dxfId="786" priority="1423" operator="containsText" text="Radio">
      <formula>NOT(ISERROR(SEARCH("Radio",E240)))</formula>
    </cfRule>
  </conditionalFormatting>
  <conditionalFormatting sqref="E241:K241">
    <cfRule type="containsText" dxfId="785" priority="1398" operator="containsText" text="Radio">
      <formula>NOT(ISERROR(SEARCH("Radio",E241)))</formula>
    </cfRule>
  </conditionalFormatting>
  <conditionalFormatting sqref="E242:K242">
    <cfRule type="containsText" dxfId="784" priority="1373" operator="containsText" text="Radio">
      <formula>NOT(ISERROR(SEARCH("Radio",E242)))</formula>
    </cfRule>
  </conditionalFormatting>
  <conditionalFormatting sqref="P6:P92 P96:P230">
    <cfRule type="cellIs" dxfId="783" priority="1298" operator="lessThan">
      <formula>0.8</formula>
    </cfRule>
    <cfRule type="cellIs" dxfId="782" priority="1299" operator="greaterThan">
      <formula>0.8</formula>
    </cfRule>
  </conditionalFormatting>
  <conditionalFormatting sqref="P6:P92 P96:P230">
    <cfRule type="notContainsText" dxfId="781" priority="1296" operator="notContains" text="Caida">
      <formula>ISERROR(SEARCH("Caida",P6))</formula>
    </cfRule>
    <cfRule type="containsText" dxfId="780" priority="1297" operator="containsText" text="Caida">
      <formula>NOT(ISERROR(SEARCH("Caida",P6)))</formula>
    </cfRule>
  </conditionalFormatting>
  <conditionalFormatting sqref="P337:P366 P284:P334">
    <cfRule type="cellIs" dxfId="779" priority="1294" operator="lessThan">
      <formula>0.8</formula>
    </cfRule>
    <cfRule type="cellIs" dxfId="778" priority="1295" operator="greaterThan">
      <formula>0.8</formula>
    </cfRule>
  </conditionalFormatting>
  <conditionalFormatting sqref="P337:P366 P284:P334 P391:P1048576">
    <cfRule type="notContainsText" dxfId="777" priority="1292" operator="notContains" text="Caida">
      <formula>ISERROR(SEARCH("Caida",P284))</formula>
    </cfRule>
    <cfRule type="containsText" dxfId="776" priority="1293" operator="containsText" text="Caida">
      <formula>NOT(ISERROR(SEARCH("Caida",P284)))</formula>
    </cfRule>
  </conditionalFormatting>
  <conditionalFormatting sqref="O391:O1048576">
    <cfRule type="notContainsText" dxfId="775" priority="1341" operator="notContains" text="Caida">
      <formula>ISERROR(SEARCH("Caida",O391))</formula>
    </cfRule>
    <cfRule type="containsText" dxfId="774" priority="1342" operator="containsText" text="Caida">
      <formula>NOT(ISERROR(SEARCH("Caida",O391)))</formula>
    </cfRule>
  </conditionalFormatting>
  <conditionalFormatting sqref="P336">
    <cfRule type="cellIs" dxfId="773" priority="1253" operator="lessThan">
      <formula>0.8</formula>
    </cfRule>
    <cfRule type="cellIs" dxfId="772" priority="1254" operator="greaterThan">
      <formula>0.8</formula>
    </cfRule>
  </conditionalFormatting>
  <conditionalFormatting sqref="P336">
    <cfRule type="notContainsText" dxfId="771" priority="1251" operator="notContains" text="Caida">
      <formula>ISERROR(SEARCH("Caida",P336))</formula>
    </cfRule>
    <cfRule type="containsText" dxfId="770" priority="1252" operator="containsText" text="Caida">
      <formula>NOT(ISERROR(SEARCH("Caida",P336)))</formula>
    </cfRule>
  </conditionalFormatting>
  <conditionalFormatting sqref="P22">
    <cfRule type="containsText" dxfId="769" priority="1291" operator="containsText" text="Instaladas en Funcionamiento Caida">
      <formula>NOT(ISERROR(SEARCH("Instaladas en Funcionamiento Caida",P22)))</formula>
    </cfRule>
  </conditionalFormatting>
  <conditionalFormatting sqref="P282">
    <cfRule type="cellIs" dxfId="768" priority="1289" operator="lessThan">
      <formula>0.8</formula>
    </cfRule>
    <cfRule type="cellIs" dxfId="767" priority="1290" operator="greaterThan">
      <formula>0.8</formula>
    </cfRule>
  </conditionalFormatting>
  <conditionalFormatting sqref="P282">
    <cfRule type="notContainsText" dxfId="766" priority="1287" operator="notContains" text="Caida">
      <formula>ISERROR(SEARCH("Caida",P282))</formula>
    </cfRule>
    <cfRule type="containsText" dxfId="765" priority="1288" operator="containsText" text="Caida">
      <formula>NOT(ISERROR(SEARCH("Caida",P282)))</formula>
    </cfRule>
  </conditionalFormatting>
  <conditionalFormatting sqref="P283">
    <cfRule type="cellIs" dxfId="764" priority="1285" operator="lessThan">
      <formula>0.8</formula>
    </cfRule>
    <cfRule type="cellIs" dxfId="763" priority="1286" operator="greaterThan">
      <formula>0.8</formula>
    </cfRule>
  </conditionalFormatting>
  <conditionalFormatting sqref="P283">
    <cfRule type="notContainsText" dxfId="762" priority="1283" operator="notContains" text="Caida">
      <formula>ISERROR(SEARCH("Caida",P283))</formula>
    </cfRule>
    <cfRule type="containsText" dxfId="761" priority="1284" operator="containsText" text="Caida">
      <formula>NOT(ISERROR(SEARCH("Caida",P283)))</formula>
    </cfRule>
  </conditionalFormatting>
  <conditionalFormatting sqref="P5">
    <cfRule type="cellIs" dxfId="760" priority="1281" operator="lessThan">
      <formula>0.8</formula>
    </cfRule>
    <cfRule type="cellIs" dxfId="759" priority="1282" operator="greaterThan">
      <formula>0.8</formula>
    </cfRule>
  </conditionalFormatting>
  <conditionalFormatting sqref="P5">
    <cfRule type="notContainsText" dxfId="758" priority="1279" operator="notContains" text="Caida">
      <formula>ISERROR(SEARCH("Caida",P5))</formula>
    </cfRule>
    <cfRule type="containsText" dxfId="757" priority="1280" operator="containsText" text="Caida">
      <formula>NOT(ISERROR(SEARCH("Caida",P5)))</formula>
    </cfRule>
  </conditionalFormatting>
  <conditionalFormatting sqref="P231">
    <cfRule type="cellIs" dxfId="756" priority="1277" operator="lessThan">
      <formula>0.8</formula>
    </cfRule>
    <cfRule type="cellIs" dxfId="755" priority="1278" operator="greaterThan">
      <formula>0.8</formula>
    </cfRule>
  </conditionalFormatting>
  <conditionalFormatting sqref="P231">
    <cfRule type="notContainsText" dxfId="754" priority="1275" operator="notContains" text="Caida">
      <formula>ISERROR(SEARCH("Caida",P231))</formula>
    </cfRule>
    <cfRule type="containsText" dxfId="753" priority="1276" operator="containsText" text="Caida">
      <formula>NOT(ISERROR(SEARCH("Caida",P231)))</formula>
    </cfRule>
  </conditionalFormatting>
  <conditionalFormatting sqref="P232">
    <cfRule type="cellIs" dxfId="752" priority="1273" operator="lessThan">
      <formula>0.8</formula>
    </cfRule>
    <cfRule type="cellIs" dxfId="751" priority="1274" operator="greaterThan">
      <formula>0.8</formula>
    </cfRule>
  </conditionalFormatting>
  <conditionalFormatting sqref="P232">
    <cfRule type="notContainsText" dxfId="750" priority="1271" operator="notContains" text="Caida">
      <formula>ISERROR(SEARCH("Caida",P232))</formula>
    </cfRule>
    <cfRule type="containsText" dxfId="749" priority="1272" operator="containsText" text="Caida">
      <formula>NOT(ISERROR(SEARCH("Caida",P232)))</formula>
    </cfRule>
  </conditionalFormatting>
  <conditionalFormatting sqref="P233">
    <cfRule type="cellIs" dxfId="748" priority="1269" operator="lessThan">
      <formula>0.8</formula>
    </cfRule>
    <cfRule type="cellIs" dxfId="747" priority="1270" operator="greaterThan">
      <formula>0.8</formula>
    </cfRule>
  </conditionalFormatting>
  <conditionalFormatting sqref="P233">
    <cfRule type="notContainsText" dxfId="746" priority="1267" operator="notContains" text="Caida">
      <formula>ISERROR(SEARCH("Caida",P233))</formula>
    </cfRule>
    <cfRule type="containsText" dxfId="745" priority="1268" operator="containsText" text="Caida">
      <formula>NOT(ISERROR(SEARCH("Caida",P233)))</formula>
    </cfRule>
  </conditionalFormatting>
  <conditionalFormatting sqref="P234">
    <cfRule type="cellIs" dxfId="744" priority="1265" operator="lessThan">
      <formula>0.8</formula>
    </cfRule>
    <cfRule type="cellIs" dxfId="743" priority="1266" operator="greaterThan">
      <formula>0.8</formula>
    </cfRule>
  </conditionalFormatting>
  <conditionalFormatting sqref="P234">
    <cfRule type="notContainsText" dxfId="742" priority="1263" operator="notContains" text="Caida">
      <formula>ISERROR(SEARCH("Caida",P234))</formula>
    </cfRule>
    <cfRule type="containsText" dxfId="741" priority="1264" operator="containsText" text="Caida">
      <formula>NOT(ISERROR(SEARCH("Caida",P234)))</formula>
    </cfRule>
  </conditionalFormatting>
  <conditionalFormatting sqref="P235">
    <cfRule type="cellIs" dxfId="740" priority="1261" operator="lessThan">
      <formula>0.8</formula>
    </cfRule>
    <cfRule type="cellIs" dxfId="739" priority="1262" operator="greaterThan">
      <formula>0.8</formula>
    </cfRule>
  </conditionalFormatting>
  <conditionalFormatting sqref="P235">
    <cfRule type="notContainsText" dxfId="738" priority="1259" operator="notContains" text="Caida">
      <formula>ISERROR(SEARCH("Caida",P235))</formula>
    </cfRule>
    <cfRule type="containsText" dxfId="737" priority="1260" operator="containsText" text="Caida">
      <formula>NOT(ISERROR(SEARCH("Caida",P235)))</formula>
    </cfRule>
  </conditionalFormatting>
  <conditionalFormatting sqref="P335">
    <cfRule type="cellIs" dxfId="736" priority="1257" operator="lessThan">
      <formula>0.8</formula>
    </cfRule>
    <cfRule type="cellIs" dxfId="735" priority="1258" operator="greaterThan">
      <formula>0.8</formula>
    </cfRule>
  </conditionalFormatting>
  <conditionalFormatting sqref="P335">
    <cfRule type="notContainsText" dxfId="734" priority="1255" operator="notContains" text="Caida">
      <formula>ISERROR(SEARCH("Caida",P335))</formula>
    </cfRule>
    <cfRule type="containsText" dxfId="733" priority="1256" operator="containsText" text="Caida">
      <formula>NOT(ISERROR(SEARCH("Caida",P335)))</formula>
    </cfRule>
  </conditionalFormatting>
  <conditionalFormatting sqref="Q6:Q92 Q96:Q230">
    <cfRule type="cellIs" dxfId="732" priority="1249" operator="lessThan">
      <formula>0.8</formula>
    </cfRule>
    <cfRule type="cellIs" dxfId="731" priority="1250" operator="greaterThan">
      <formula>0.8</formula>
    </cfRule>
  </conditionalFormatting>
  <conditionalFormatting sqref="Q6:Q92 Q96:Q230">
    <cfRule type="notContainsText" dxfId="730" priority="1247" operator="notContains" text="Caida">
      <formula>ISERROR(SEARCH("Caida",Q6))</formula>
    </cfRule>
    <cfRule type="containsText" dxfId="729" priority="1248" operator="containsText" text="Caida">
      <formula>NOT(ISERROR(SEARCH("Caida",Q6)))</formula>
    </cfRule>
  </conditionalFormatting>
  <conditionalFormatting sqref="Q336">
    <cfRule type="cellIs" dxfId="728" priority="1204" operator="lessThan">
      <formula>0.8</formula>
    </cfRule>
    <cfRule type="cellIs" dxfId="727" priority="1205" operator="greaterThan">
      <formula>0.8</formula>
    </cfRule>
  </conditionalFormatting>
  <conditionalFormatting sqref="Q336">
    <cfRule type="notContainsText" dxfId="726" priority="1202" operator="notContains" text="Caida">
      <formula>ISERROR(SEARCH("Caida",Q336))</formula>
    </cfRule>
    <cfRule type="containsText" dxfId="725" priority="1203" operator="containsText" text="Caida">
      <formula>NOT(ISERROR(SEARCH("Caida",Q336)))</formula>
    </cfRule>
  </conditionalFormatting>
  <conditionalFormatting sqref="Q337:Q366 Q284:Q334">
    <cfRule type="cellIs" dxfId="724" priority="1245" operator="lessThan">
      <formula>0.8</formula>
    </cfRule>
    <cfRule type="cellIs" dxfId="723" priority="1246" operator="greaterThan">
      <formula>0.8</formula>
    </cfRule>
  </conditionalFormatting>
  <conditionalFormatting sqref="Q337:Q366 Q284:Q334 Q391:Q1048576">
    <cfRule type="notContainsText" dxfId="722" priority="1243" operator="notContains" text="Caida">
      <formula>ISERROR(SEARCH("Caida",Q284))</formula>
    </cfRule>
    <cfRule type="containsText" dxfId="721" priority="1244" operator="containsText" text="Caida">
      <formula>NOT(ISERROR(SEARCH("Caida",Q284)))</formula>
    </cfRule>
  </conditionalFormatting>
  <conditionalFormatting sqref="Q22">
    <cfRule type="containsText" dxfId="720" priority="1242" operator="containsText" text="Instaladas en Funcionamiento Caida">
      <formula>NOT(ISERROR(SEARCH("Instaladas en Funcionamiento Caida",Q22)))</formula>
    </cfRule>
  </conditionalFormatting>
  <conditionalFormatting sqref="Q282">
    <cfRule type="cellIs" dxfId="719" priority="1240" operator="lessThan">
      <formula>0.8</formula>
    </cfRule>
    <cfRule type="cellIs" dxfId="718" priority="1241" operator="greaterThan">
      <formula>0.8</formula>
    </cfRule>
  </conditionalFormatting>
  <conditionalFormatting sqref="Q282">
    <cfRule type="notContainsText" dxfId="717" priority="1238" operator="notContains" text="Caida">
      <formula>ISERROR(SEARCH("Caida",Q282))</formula>
    </cfRule>
    <cfRule type="containsText" dxfId="716" priority="1239" operator="containsText" text="Caida">
      <formula>NOT(ISERROR(SEARCH("Caida",Q282)))</formula>
    </cfRule>
  </conditionalFormatting>
  <conditionalFormatting sqref="Q283">
    <cfRule type="cellIs" dxfId="715" priority="1236" operator="lessThan">
      <formula>0.8</formula>
    </cfRule>
    <cfRule type="cellIs" dxfId="714" priority="1237" operator="greaterThan">
      <formula>0.8</formula>
    </cfRule>
  </conditionalFormatting>
  <conditionalFormatting sqref="Q283">
    <cfRule type="notContainsText" dxfId="713" priority="1234" operator="notContains" text="Caida">
      <formula>ISERROR(SEARCH("Caida",Q283))</formula>
    </cfRule>
    <cfRule type="containsText" dxfId="712" priority="1235" operator="containsText" text="Caida">
      <formula>NOT(ISERROR(SEARCH("Caida",Q283)))</formula>
    </cfRule>
  </conditionalFormatting>
  <conditionalFormatting sqref="Q5">
    <cfRule type="cellIs" dxfId="711" priority="1232" operator="lessThan">
      <formula>0.8</formula>
    </cfRule>
    <cfRule type="cellIs" dxfId="710" priority="1233" operator="greaterThan">
      <formula>0.8</formula>
    </cfRule>
  </conditionalFormatting>
  <conditionalFormatting sqref="Q5">
    <cfRule type="notContainsText" dxfId="709" priority="1230" operator="notContains" text="Caida">
      <formula>ISERROR(SEARCH("Caida",Q5))</formula>
    </cfRule>
    <cfRule type="containsText" dxfId="708" priority="1231" operator="containsText" text="Caida">
      <formula>NOT(ISERROR(SEARCH("Caida",Q5)))</formula>
    </cfRule>
  </conditionalFormatting>
  <conditionalFormatting sqref="Q231">
    <cfRule type="cellIs" dxfId="707" priority="1228" operator="lessThan">
      <formula>0.8</formula>
    </cfRule>
    <cfRule type="cellIs" dxfId="706" priority="1229" operator="greaterThan">
      <formula>0.8</formula>
    </cfRule>
  </conditionalFormatting>
  <conditionalFormatting sqref="Q231">
    <cfRule type="notContainsText" dxfId="705" priority="1226" operator="notContains" text="Caida">
      <formula>ISERROR(SEARCH("Caida",Q231))</formula>
    </cfRule>
    <cfRule type="containsText" dxfId="704" priority="1227" operator="containsText" text="Caida">
      <formula>NOT(ISERROR(SEARCH("Caida",Q231)))</formula>
    </cfRule>
  </conditionalFormatting>
  <conditionalFormatting sqref="Q232">
    <cfRule type="cellIs" dxfId="703" priority="1224" operator="lessThan">
      <formula>0.8</formula>
    </cfRule>
    <cfRule type="cellIs" dxfId="702" priority="1225" operator="greaterThan">
      <formula>0.8</formula>
    </cfRule>
  </conditionalFormatting>
  <conditionalFormatting sqref="Q232">
    <cfRule type="notContainsText" dxfId="701" priority="1222" operator="notContains" text="Caida">
      <formula>ISERROR(SEARCH("Caida",Q232))</formula>
    </cfRule>
    <cfRule type="containsText" dxfId="700" priority="1223" operator="containsText" text="Caida">
      <formula>NOT(ISERROR(SEARCH("Caida",Q232)))</formula>
    </cfRule>
  </conditionalFormatting>
  <conditionalFormatting sqref="Q233">
    <cfRule type="cellIs" dxfId="699" priority="1220" operator="lessThan">
      <formula>0.8</formula>
    </cfRule>
    <cfRule type="cellIs" dxfId="698" priority="1221" operator="greaterThan">
      <formula>0.8</formula>
    </cfRule>
  </conditionalFormatting>
  <conditionalFormatting sqref="Q233">
    <cfRule type="notContainsText" dxfId="697" priority="1218" operator="notContains" text="Caida">
      <formula>ISERROR(SEARCH("Caida",Q233))</formula>
    </cfRule>
    <cfRule type="containsText" dxfId="696" priority="1219" operator="containsText" text="Caida">
      <formula>NOT(ISERROR(SEARCH("Caida",Q233)))</formula>
    </cfRule>
  </conditionalFormatting>
  <conditionalFormatting sqref="Q234">
    <cfRule type="cellIs" dxfId="695" priority="1216" operator="lessThan">
      <formula>0.8</formula>
    </cfRule>
    <cfRule type="cellIs" dxfId="694" priority="1217" operator="greaterThan">
      <formula>0.8</formula>
    </cfRule>
  </conditionalFormatting>
  <conditionalFormatting sqref="Q234">
    <cfRule type="notContainsText" dxfId="693" priority="1214" operator="notContains" text="Caida">
      <formula>ISERROR(SEARCH("Caida",Q234))</formula>
    </cfRule>
    <cfRule type="containsText" dxfId="692" priority="1215" operator="containsText" text="Caida">
      <formula>NOT(ISERROR(SEARCH("Caida",Q234)))</formula>
    </cfRule>
  </conditionalFormatting>
  <conditionalFormatting sqref="Q235">
    <cfRule type="cellIs" dxfId="691" priority="1212" operator="lessThan">
      <formula>0.8</formula>
    </cfRule>
    <cfRule type="cellIs" dxfId="690" priority="1213" operator="greaterThan">
      <formula>0.8</formula>
    </cfRule>
  </conditionalFormatting>
  <conditionalFormatting sqref="Q235">
    <cfRule type="notContainsText" dxfId="689" priority="1210" operator="notContains" text="Caida">
      <formula>ISERROR(SEARCH("Caida",Q235))</formula>
    </cfRule>
    <cfRule type="containsText" dxfId="688" priority="1211" operator="containsText" text="Caida">
      <formula>NOT(ISERROR(SEARCH("Caida",Q235)))</formula>
    </cfRule>
  </conditionalFormatting>
  <conditionalFormatting sqref="Q335">
    <cfRule type="cellIs" dxfId="687" priority="1208" operator="lessThan">
      <formula>0.8</formula>
    </cfRule>
    <cfRule type="cellIs" dxfId="686" priority="1209" operator="greaterThan">
      <formula>0.8</formula>
    </cfRule>
  </conditionalFormatting>
  <conditionalFormatting sqref="Q335">
    <cfRule type="notContainsText" dxfId="685" priority="1206" operator="notContains" text="Caida">
      <formula>ISERROR(SEARCH("Caida",Q335))</formula>
    </cfRule>
    <cfRule type="containsText" dxfId="684" priority="1207" operator="containsText" text="Caida">
      <formula>NOT(ISERROR(SEARCH("Caida",Q335)))</formula>
    </cfRule>
  </conditionalFormatting>
  <conditionalFormatting sqref="R6:R92 R96:R230">
    <cfRule type="cellIs" dxfId="683" priority="1200" operator="lessThan">
      <formula>0.8</formula>
    </cfRule>
    <cfRule type="cellIs" dxfId="682" priority="1201" operator="greaterThan">
      <formula>0.8</formula>
    </cfRule>
  </conditionalFormatting>
  <conditionalFormatting sqref="R6:R92 R96:R230">
    <cfRule type="notContainsText" dxfId="681" priority="1198" operator="notContains" text="Caida">
      <formula>ISERROR(SEARCH("Caida",R6))</formula>
    </cfRule>
    <cfRule type="containsText" dxfId="680" priority="1199" operator="containsText" text="Caida">
      <formula>NOT(ISERROR(SEARCH("Caida",R6)))</formula>
    </cfRule>
  </conditionalFormatting>
  <conditionalFormatting sqref="R336:T336">
    <cfRule type="cellIs" dxfId="679" priority="1155" operator="lessThan">
      <formula>0.8</formula>
    </cfRule>
    <cfRule type="cellIs" dxfId="678" priority="1156" operator="greaterThan">
      <formula>0.8</formula>
    </cfRule>
  </conditionalFormatting>
  <conditionalFormatting sqref="R336:T336">
    <cfRule type="notContainsText" dxfId="677" priority="1153" operator="notContains" text="Caida">
      <formula>ISERROR(SEARCH("Caida",R336))</formula>
    </cfRule>
    <cfRule type="containsText" dxfId="676" priority="1154" operator="containsText" text="Caida">
      <formula>NOT(ISERROR(SEARCH("Caida",R336)))</formula>
    </cfRule>
  </conditionalFormatting>
  <conditionalFormatting sqref="R337:R366 R284:R334">
    <cfRule type="cellIs" dxfId="675" priority="1196" operator="lessThan">
      <formula>0.8</formula>
    </cfRule>
    <cfRule type="cellIs" dxfId="674" priority="1197" operator="greaterThan">
      <formula>0.8</formula>
    </cfRule>
  </conditionalFormatting>
  <conditionalFormatting sqref="R337:R366 R284:R334 R391:R1048576">
    <cfRule type="notContainsText" dxfId="673" priority="1194" operator="notContains" text="Caida">
      <formula>ISERROR(SEARCH("Caida",R284))</formula>
    </cfRule>
    <cfRule type="containsText" dxfId="672" priority="1195" operator="containsText" text="Caida">
      <formula>NOT(ISERROR(SEARCH("Caida",R284)))</formula>
    </cfRule>
  </conditionalFormatting>
  <conditionalFormatting sqref="R22:T22">
    <cfRule type="containsText" dxfId="671" priority="1193" operator="containsText" text="Instaladas en Funcionamiento Caida">
      <formula>NOT(ISERROR(SEARCH("Instaladas en Funcionamiento Caida",R22)))</formula>
    </cfRule>
  </conditionalFormatting>
  <conditionalFormatting sqref="R282:T282">
    <cfRule type="cellIs" dxfId="670" priority="1191" operator="lessThan">
      <formula>0.8</formula>
    </cfRule>
    <cfRule type="cellIs" dxfId="669" priority="1192" operator="greaterThan">
      <formula>0.8</formula>
    </cfRule>
  </conditionalFormatting>
  <conditionalFormatting sqref="R282:T282">
    <cfRule type="notContainsText" dxfId="668" priority="1189" operator="notContains" text="Caida">
      <formula>ISERROR(SEARCH("Caida",R282))</formula>
    </cfRule>
    <cfRule type="containsText" dxfId="667" priority="1190" operator="containsText" text="Caida">
      <formula>NOT(ISERROR(SEARCH("Caida",R282)))</formula>
    </cfRule>
  </conditionalFormatting>
  <conditionalFormatting sqref="R283:T283">
    <cfRule type="cellIs" dxfId="666" priority="1187" operator="lessThan">
      <formula>0.8</formula>
    </cfRule>
    <cfRule type="cellIs" dxfId="665" priority="1188" operator="greaterThan">
      <formula>0.8</formula>
    </cfRule>
  </conditionalFormatting>
  <conditionalFormatting sqref="R283:T283">
    <cfRule type="notContainsText" dxfId="664" priority="1185" operator="notContains" text="Caida">
      <formula>ISERROR(SEARCH("Caida",R283))</formula>
    </cfRule>
    <cfRule type="containsText" dxfId="663" priority="1186" operator="containsText" text="Caida">
      <formula>NOT(ISERROR(SEARCH("Caida",R283)))</formula>
    </cfRule>
  </conditionalFormatting>
  <conditionalFormatting sqref="R5:T5">
    <cfRule type="cellIs" dxfId="662" priority="1183" operator="lessThan">
      <formula>0.8</formula>
    </cfRule>
    <cfRule type="cellIs" dxfId="661" priority="1184" operator="greaterThan">
      <formula>0.8</formula>
    </cfRule>
  </conditionalFormatting>
  <conditionalFormatting sqref="R5:T5">
    <cfRule type="notContainsText" dxfId="660" priority="1181" operator="notContains" text="Caida">
      <formula>ISERROR(SEARCH("Caida",R5))</formula>
    </cfRule>
    <cfRule type="containsText" dxfId="659" priority="1182" operator="containsText" text="Caida">
      <formula>NOT(ISERROR(SEARCH("Caida",R5)))</formula>
    </cfRule>
  </conditionalFormatting>
  <conditionalFormatting sqref="R231:T231">
    <cfRule type="cellIs" dxfId="658" priority="1179" operator="lessThan">
      <formula>0.8</formula>
    </cfRule>
    <cfRule type="cellIs" dxfId="657" priority="1180" operator="greaterThan">
      <formula>0.8</formula>
    </cfRule>
  </conditionalFormatting>
  <conditionalFormatting sqref="R231:T231">
    <cfRule type="notContainsText" dxfId="656" priority="1177" operator="notContains" text="Caida">
      <formula>ISERROR(SEARCH("Caida",R231))</formula>
    </cfRule>
    <cfRule type="containsText" dxfId="655" priority="1178" operator="containsText" text="Caida">
      <formula>NOT(ISERROR(SEARCH("Caida",R231)))</formula>
    </cfRule>
  </conditionalFormatting>
  <conditionalFormatting sqref="R232:T232">
    <cfRule type="cellIs" dxfId="654" priority="1175" operator="lessThan">
      <formula>0.8</formula>
    </cfRule>
    <cfRule type="cellIs" dxfId="653" priority="1176" operator="greaterThan">
      <formula>0.8</formula>
    </cfRule>
  </conditionalFormatting>
  <conditionalFormatting sqref="R232:T232">
    <cfRule type="notContainsText" dxfId="652" priority="1173" operator="notContains" text="Caida">
      <formula>ISERROR(SEARCH("Caida",R232))</formula>
    </cfRule>
    <cfRule type="containsText" dxfId="651" priority="1174" operator="containsText" text="Caida">
      <formula>NOT(ISERROR(SEARCH("Caida",R232)))</formula>
    </cfRule>
  </conditionalFormatting>
  <conditionalFormatting sqref="R233:T233">
    <cfRule type="cellIs" dxfId="650" priority="1171" operator="lessThan">
      <formula>0.8</formula>
    </cfRule>
    <cfRule type="cellIs" dxfId="649" priority="1172" operator="greaterThan">
      <formula>0.8</formula>
    </cfRule>
  </conditionalFormatting>
  <conditionalFormatting sqref="R233:T233">
    <cfRule type="notContainsText" dxfId="648" priority="1169" operator="notContains" text="Caida">
      <formula>ISERROR(SEARCH("Caida",R233))</formula>
    </cfRule>
    <cfRule type="containsText" dxfId="647" priority="1170" operator="containsText" text="Caida">
      <formula>NOT(ISERROR(SEARCH("Caida",R233)))</formula>
    </cfRule>
  </conditionalFormatting>
  <conditionalFormatting sqref="R234:T234">
    <cfRule type="cellIs" dxfId="646" priority="1167" operator="lessThan">
      <formula>0.8</formula>
    </cfRule>
    <cfRule type="cellIs" dxfId="645" priority="1168" operator="greaterThan">
      <formula>0.8</formula>
    </cfRule>
  </conditionalFormatting>
  <conditionalFormatting sqref="R234:T234">
    <cfRule type="notContainsText" dxfId="644" priority="1165" operator="notContains" text="Caida">
      <formula>ISERROR(SEARCH("Caida",R234))</formula>
    </cfRule>
    <cfRule type="containsText" dxfId="643" priority="1166" operator="containsText" text="Caida">
      <formula>NOT(ISERROR(SEARCH("Caida",R234)))</formula>
    </cfRule>
  </conditionalFormatting>
  <conditionalFormatting sqref="R235:T235">
    <cfRule type="cellIs" dxfId="642" priority="1163" operator="lessThan">
      <formula>0.8</formula>
    </cfRule>
    <cfRule type="cellIs" dxfId="641" priority="1164" operator="greaterThan">
      <formula>0.8</formula>
    </cfRule>
  </conditionalFormatting>
  <conditionalFormatting sqref="R235:T235">
    <cfRule type="notContainsText" dxfId="640" priority="1161" operator="notContains" text="Caida">
      <formula>ISERROR(SEARCH("Caida",R235))</formula>
    </cfRule>
    <cfRule type="containsText" dxfId="639" priority="1162" operator="containsText" text="Caida">
      <formula>NOT(ISERROR(SEARCH("Caida",R235)))</formula>
    </cfRule>
  </conditionalFormatting>
  <conditionalFormatting sqref="R335:T335">
    <cfRule type="cellIs" dxfId="638" priority="1159" operator="lessThan">
      <formula>0.8</formula>
    </cfRule>
    <cfRule type="cellIs" dxfId="637" priority="1160" operator="greaterThan">
      <formula>0.8</formula>
    </cfRule>
  </conditionalFormatting>
  <conditionalFormatting sqref="R335:T335">
    <cfRule type="notContainsText" dxfId="636" priority="1157" operator="notContains" text="Caida">
      <formula>ISERROR(SEARCH("Caida",R335))</formula>
    </cfRule>
    <cfRule type="containsText" dxfId="635" priority="1158" operator="containsText" text="Caida">
      <formula>NOT(ISERROR(SEARCH("Caida",R335)))</formula>
    </cfRule>
  </conditionalFormatting>
  <conditionalFormatting sqref="S391:S1048576">
    <cfRule type="notContainsText" dxfId="634" priority="1145" operator="notContains" text="Caida">
      <formula>ISERROR(SEARCH("Caida",S391))</formula>
    </cfRule>
    <cfRule type="containsText" dxfId="633" priority="1146" operator="containsText" text="Caida">
      <formula>NOT(ISERROR(SEARCH("Caida",S391)))</formula>
    </cfRule>
  </conditionalFormatting>
  <conditionalFormatting sqref="T391:T1048576">
    <cfRule type="notContainsText" dxfId="632" priority="1096" operator="notContains" text="Caida">
      <formula>ISERROR(SEARCH("Caida",T391))</formula>
    </cfRule>
    <cfRule type="containsText" dxfId="631" priority="1097" operator="containsText" text="Caida">
      <formula>NOT(ISERROR(SEARCH("Caida",T391)))</formula>
    </cfRule>
  </conditionalFormatting>
  <conditionalFormatting sqref="E92:K93">
    <cfRule type="containsText" dxfId="630" priority="1052" operator="containsText" text="Radio">
      <formula>NOT(ISERROR(SEARCH("Radio",E92)))</formula>
    </cfRule>
  </conditionalFormatting>
  <conditionalFormatting sqref="P93:P95">
    <cfRule type="cellIs" dxfId="629" priority="1022" operator="lessThan">
      <formula>0.8</formula>
    </cfRule>
    <cfRule type="cellIs" dxfId="628" priority="1023" operator="greaterThan">
      <formula>0.8</formula>
    </cfRule>
  </conditionalFormatting>
  <conditionalFormatting sqref="P93:P95">
    <cfRule type="notContainsText" dxfId="627" priority="1020" operator="notContains" text="Caida">
      <formula>ISERROR(SEARCH("Caida",P93))</formula>
    </cfRule>
    <cfRule type="containsText" dxfId="626" priority="1021" operator="containsText" text="Caida">
      <formula>NOT(ISERROR(SEARCH("Caida",P93)))</formula>
    </cfRule>
  </conditionalFormatting>
  <conditionalFormatting sqref="Q93:Q95">
    <cfRule type="cellIs" dxfId="625" priority="1018" operator="lessThan">
      <formula>0.8</formula>
    </cfRule>
    <cfRule type="cellIs" dxfId="624" priority="1019" operator="greaterThan">
      <formula>0.8</formula>
    </cfRule>
  </conditionalFormatting>
  <conditionalFormatting sqref="Q93:Q95">
    <cfRule type="notContainsText" dxfId="623" priority="1016" operator="notContains" text="Caida">
      <formula>ISERROR(SEARCH("Caida",Q93))</formula>
    </cfRule>
    <cfRule type="containsText" dxfId="622" priority="1017" operator="containsText" text="Caida">
      <formula>NOT(ISERROR(SEARCH("Caida",Q93)))</formula>
    </cfRule>
  </conditionalFormatting>
  <conditionalFormatting sqref="R93:R95">
    <cfRule type="cellIs" dxfId="621" priority="1014" operator="lessThan">
      <formula>0.8</formula>
    </cfRule>
    <cfRule type="cellIs" dxfId="620" priority="1015" operator="greaterThan">
      <formula>0.8</formula>
    </cfRule>
  </conditionalFormatting>
  <conditionalFormatting sqref="R93:R95">
    <cfRule type="notContainsText" dxfId="619" priority="1012" operator="notContains" text="Caida">
      <formula>ISERROR(SEARCH("Caida",R93))</formula>
    </cfRule>
    <cfRule type="containsText" dxfId="618" priority="1013" operator="containsText" text="Caida">
      <formula>NOT(ISERROR(SEARCH("Caida",R93)))</formula>
    </cfRule>
  </conditionalFormatting>
  <conditionalFormatting sqref="E365:K365">
    <cfRule type="containsText" dxfId="617" priority="1001" operator="containsText" text="Radio">
      <formula>NOT(ISERROR(SEARCH("Radio",E365)))</formula>
    </cfRule>
  </conditionalFormatting>
  <conditionalFormatting sqref="P367">
    <cfRule type="cellIs" dxfId="616" priority="983" operator="lessThan">
      <formula>0.8</formula>
    </cfRule>
    <cfRule type="cellIs" dxfId="615" priority="984" operator="greaterThan">
      <formula>0.8</formula>
    </cfRule>
  </conditionalFormatting>
  <conditionalFormatting sqref="P367">
    <cfRule type="notContainsText" dxfId="614" priority="981" operator="notContains" text="Caida">
      <formula>ISERROR(SEARCH("Caida",P367))</formula>
    </cfRule>
    <cfRule type="containsText" dxfId="613" priority="982" operator="containsText" text="Caida">
      <formula>NOT(ISERROR(SEARCH("Caida",P367)))</formula>
    </cfRule>
  </conditionalFormatting>
  <conditionalFormatting sqref="Q367">
    <cfRule type="cellIs" dxfId="612" priority="979" operator="lessThan">
      <formula>0.8</formula>
    </cfRule>
    <cfRule type="cellIs" dxfId="611" priority="980" operator="greaterThan">
      <formula>0.8</formula>
    </cfRule>
  </conditionalFormatting>
  <conditionalFormatting sqref="Q367">
    <cfRule type="notContainsText" dxfId="610" priority="977" operator="notContains" text="Caida">
      <formula>ISERROR(SEARCH("Caida",Q367))</formula>
    </cfRule>
    <cfRule type="containsText" dxfId="609" priority="978" operator="containsText" text="Caida">
      <formula>NOT(ISERROR(SEARCH("Caida",Q367)))</formula>
    </cfRule>
  </conditionalFormatting>
  <conditionalFormatting sqref="R367:T367">
    <cfRule type="cellIs" dxfId="608" priority="975" operator="lessThan">
      <formula>0.8</formula>
    </cfRule>
    <cfRule type="cellIs" dxfId="607" priority="976" operator="greaterThan">
      <formula>0.8</formula>
    </cfRule>
  </conditionalFormatting>
  <conditionalFormatting sqref="R367:T367">
    <cfRule type="notContainsText" dxfId="606" priority="973" operator="notContains" text="Caida">
      <formula>ISERROR(SEARCH("Caida",R367))</formula>
    </cfRule>
    <cfRule type="containsText" dxfId="605" priority="974" operator="containsText" text="Caida">
      <formula>NOT(ISERROR(SEARCH("Caida",R367)))</formula>
    </cfRule>
  </conditionalFormatting>
  <conditionalFormatting sqref="E366:K366">
    <cfRule type="containsText" dxfId="604" priority="962" operator="containsText" text="Radio">
      <formula>NOT(ISERROR(SEARCH("Radio",E366)))</formula>
    </cfRule>
  </conditionalFormatting>
  <conditionalFormatting sqref="P368">
    <cfRule type="cellIs" dxfId="603" priority="944" operator="lessThan">
      <formula>0.8</formula>
    </cfRule>
    <cfRule type="cellIs" dxfId="602" priority="945" operator="greaterThan">
      <formula>0.8</formula>
    </cfRule>
  </conditionalFormatting>
  <conditionalFormatting sqref="P368">
    <cfRule type="notContainsText" dxfId="601" priority="942" operator="notContains" text="Caida">
      <formula>ISERROR(SEARCH("Caida",P368))</formula>
    </cfRule>
    <cfRule type="containsText" dxfId="600" priority="943" operator="containsText" text="Caida">
      <formula>NOT(ISERROR(SEARCH("Caida",P368)))</formula>
    </cfRule>
  </conditionalFormatting>
  <conditionalFormatting sqref="Q368">
    <cfRule type="cellIs" dxfId="599" priority="940" operator="lessThan">
      <formula>0.8</formula>
    </cfRule>
    <cfRule type="cellIs" dxfId="598" priority="941" operator="greaterThan">
      <formula>0.8</formula>
    </cfRule>
  </conditionalFormatting>
  <conditionalFormatting sqref="Q368">
    <cfRule type="notContainsText" dxfId="597" priority="938" operator="notContains" text="Caida">
      <formula>ISERROR(SEARCH("Caida",Q368))</formula>
    </cfRule>
    <cfRule type="containsText" dxfId="596" priority="939" operator="containsText" text="Caida">
      <formula>NOT(ISERROR(SEARCH("Caida",Q368)))</formula>
    </cfRule>
  </conditionalFormatting>
  <conditionalFormatting sqref="R368:T368">
    <cfRule type="cellIs" dxfId="595" priority="936" operator="lessThan">
      <formula>0.8</formula>
    </cfRule>
    <cfRule type="cellIs" dxfId="594" priority="937" operator="greaterThan">
      <formula>0.8</formula>
    </cfRule>
  </conditionalFormatting>
  <conditionalFormatting sqref="R368:T368">
    <cfRule type="notContainsText" dxfId="593" priority="934" operator="notContains" text="Caida">
      <formula>ISERROR(SEARCH("Caida",R368))</formula>
    </cfRule>
    <cfRule type="containsText" dxfId="592" priority="935" operator="containsText" text="Caida">
      <formula>NOT(ISERROR(SEARCH("Caida",R368)))</formula>
    </cfRule>
  </conditionalFormatting>
  <conditionalFormatting sqref="E367:K367">
    <cfRule type="containsText" dxfId="591" priority="923" operator="containsText" text="Radio">
      <formula>NOT(ISERROR(SEARCH("Radio",E367)))</formula>
    </cfRule>
  </conditionalFormatting>
  <conditionalFormatting sqref="P369">
    <cfRule type="cellIs" dxfId="590" priority="905" operator="lessThan">
      <formula>0.8</formula>
    </cfRule>
    <cfRule type="cellIs" dxfId="589" priority="906" operator="greaterThan">
      <formula>0.8</formula>
    </cfRule>
  </conditionalFormatting>
  <conditionalFormatting sqref="P369">
    <cfRule type="notContainsText" dxfId="588" priority="903" operator="notContains" text="Caida">
      <formula>ISERROR(SEARCH("Caida",P369))</formula>
    </cfRule>
    <cfRule type="containsText" dxfId="587" priority="904" operator="containsText" text="Caida">
      <formula>NOT(ISERROR(SEARCH("Caida",P369)))</formula>
    </cfRule>
  </conditionalFormatting>
  <conditionalFormatting sqref="Q369">
    <cfRule type="cellIs" dxfId="586" priority="901" operator="lessThan">
      <formula>0.8</formula>
    </cfRule>
    <cfRule type="cellIs" dxfId="585" priority="902" operator="greaterThan">
      <formula>0.8</formula>
    </cfRule>
  </conditionalFormatting>
  <conditionalFormatting sqref="Q369">
    <cfRule type="notContainsText" dxfId="584" priority="899" operator="notContains" text="Caida">
      <formula>ISERROR(SEARCH("Caida",Q369))</formula>
    </cfRule>
    <cfRule type="containsText" dxfId="583" priority="900" operator="containsText" text="Caida">
      <formula>NOT(ISERROR(SEARCH("Caida",Q369)))</formula>
    </cfRule>
  </conditionalFormatting>
  <conditionalFormatting sqref="R369:T369">
    <cfRule type="cellIs" dxfId="582" priority="897" operator="lessThan">
      <formula>0.8</formula>
    </cfRule>
    <cfRule type="cellIs" dxfId="581" priority="898" operator="greaterThan">
      <formula>0.8</formula>
    </cfRule>
  </conditionalFormatting>
  <conditionalFormatting sqref="R369:T369">
    <cfRule type="notContainsText" dxfId="580" priority="895" operator="notContains" text="Caida">
      <formula>ISERROR(SEARCH("Caida",R369))</formula>
    </cfRule>
    <cfRule type="containsText" dxfId="579" priority="896" operator="containsText" text="Caida">
      <formula>NOT(ISERROR(SEARCH("Caida",R369)))</formula>
    </cfRule>
  </conditionalFormatting>
  <conditionalFormatting sqref="E368:K368">
    <cfRule type="containsText" dxfId="578" priority="884" operator="containsText" text="Radio">
      <formula>NOT(ISERROR(SEARCH("Radio",E368)))</formula>
    </cfRule>
  </conditionalFormatting>
  <conditionalFormatting sqref="U231">
    <cfRule type="cellIs" dxfId="577" priority="825" operator="lessThan">
      <formula>0.8</formula>
    </cfRule>
    <cfRule type="cellIs" dxfId="576" priority="826" operator="greaterThan">
      <formula>0.8</formula>
    </cfRule>
  </conditionalFormatting>
  <conditionalFormatting sqref="U231">
    <cfRule type="notContainsText" dxfId="575" priority="823" operator="notContains" text="Caida">
      <formula>ISERROR(SEARCH("Caida",U231))</formula>
    </cfRule>
    <cfRule type="containsText" dxfId="574" priority="824" operator="containsText" text="Caida">
      <formula>NOT(ISERROR(SEARCH("Caida",U231)))</formula>
    </cfRule>
  </conditionalFormatting>
  <conditionalFormatting sqref="U232">
    <cfRule type="cellIs" dxfId="573" priority="821" operator="lessThan">
      <formula>0.8</formula>
    </cfRule>
    <cfRule type="cellIs" dxfId="572" priority="822" operator="greaterThan">
      <formula>0.8</formula>
    </cfRule>
  </conditionalFormatting>
  <conditionalFormatting sqref="U232">
    <cfRule type="notContainsText" dxfId="571" priority="819" operator="notContains" text="Caida">
      <formula>ISERROR(SEARCH("Caida",U232))</formula>
    </cfRule>
    <cfRule type="containsText" dxfId="570" priority="820" operator="containsText" text="Caida">
      <formula>NOT(ISERROR(SEARCH("Caida",U232)))</formula>
    </cfRule>
  </conditionalFormatting>
  <conditionalFormatting sqref="P370:P372">
    <cfRule type="cellIs" dxfId="569" priority="866" operator="lessThan">
      <formula>0.8</formula>
    </cfRule>
    <cfRule type="cellIs" dxfId="568" priority="867" operator="greaterThan">
      <formula>0.8</formula>
    </cfRule>
  </conditionalFormatting>
  <conditionalFormatting sqref="P370:P372">
    <cfRule type="notContainsText" dxfId="567" priority="864" operator="notContains" text="Caida">
      <formula>ISERROR(SEARCH("Caida",P370))</formula>
    </cfRule>
    <cfRule type="containsText" dxfId="566" priority="865" operator="containsText" text="Caida">
      <formula>NOT(ISERROR(SEARCH("Caida",P370)))</formula>
    </cfRule>
  </conditionalFormatting>
  <conditionalFormatting sqref="Q370:Q372">
    <cfRule type="cellIs" dxfId="565" priority="862" operator="lessThan">
      <formula>0.8</formula>
    </cfRule>
    <cfRule type="cellIs" dxfId="564" priority="863" operator="greaterThan">
      <formula>0.8</formula>
    </cfRule>
  </conditionalFormatting>
  <conditionalFormatting sqref="Q370:Q372">
    <cfRule type="notContainsText" dxfId="563" priority="860" operator="notContains" text="Caida">
      <formula>ISERROR(SEARCH("Caida",Q370))</formula>
    </cfRule>
    <cfRule type="containsText" dxfId="562" priority="861" operator="containsText" text="Caida">
      <formula>NOT(ISERROR(SEARCH("Caida",Q370)))</formula>
    </cfRule>
  </conditionalFormatting>
  <conditionalFormatting sqref="R370:T370">
    <cfRule type="cellIs" dxfId="561" priority="858" operator="lessThan">
      <formula>0.8</formula>
    </cfRule>
    <cfRule type="cellIs" dxfId="560" priority="859" operator="greaterThan">
      <formula>0.8</formula>
    </cfRule>
  </conditionalFormatting>
  <conditionalFormatting sqref="R370:T370">
    <cfRule type="notContainsText" dxfId="559" priority="856" operator="notContains" text="Caida">
      <formula>ISERROR(SEARCH("Caida",R370))</formula>
    </cfRule>
    <cfRule type="containsText" dxfId="558" priority="857" operator="containsText" text="Caida">
      <formula>NOT(ISERROR(SEARCH("Caida",R370)))</formula>
    </cfRule>
  </conditionalFormatting>
  <conditionalFormatting sqref="U368">
    <cfRule type="cellIs" dxfId="557" priority="789" operator="lessThan">
      <formula>0.8</formula>
    </cfRule>
    <cfRule type="cellIs" dxfId="556" priority="790" operator="greaterThan">
      <formula>0.8</formula>
    </cfRule>
  </conditionalFormatting>
  <conditionalFormatting sqref="U368">
    <cfRule type="notContainsText" dxfId="555" priority="787" operator="notContains" text="Caida">
      <formula>ISERROR(SEARCH("Caida",U368))</formula>
    </cfRule>
    <cfRule type="containsText" dxfId="554" priority="788" operator="containsText" text="Caida">
      <formula>NOT(ISERROR(SEARCH("Caida",U368)))</formula>
    </cfRule>
  </conditionalFormatting>
  <conditionalFormatting sqref="U369">
    <cfRule type="cellIs" dxfId="553" priority="785" operator="lessThan">
      <formula>0.8</formula>
    </cfRule>
    <cfRule type="cellIs" dxfId="552" priority="786" operator="greaterThan">
      <formula>0.8</formula>
    </cfRule>
  </conditionalFormatting>
  <conditionalFormatting sqref="U369">
    <cfRule type="notContainsText" dxfId="551" priority="783" operator="notContains" text="Caida">
      <formula>ISERROR(SEARCH("Caida",U369))</formula>
    </cfRule>
    <cfRule type="containsText" dxfId="550" priority="784" operator="containsText" text="Caida">
      <formula>NOT(ISERROR(SEARCH("Caida",U369)))</formula>
    </cfRule>
  </conditionalFormatting>
  <conditionalFormatting sqref="U370:U372">
    <cfRule type="cellIs" dxfId="549" priority="781" operator="lessThan">
      <formula>0.8</formula>
    </cfRule>
    <cfRule type="cellIs" dxfId="548" priority="782" operator="greaterThan">
      <formula>0.8</formula>
    </cfRule>
  </conditionalFormatting>
  <conditionalFormatting sqref="U370:U372">
    <cfRule type="notContainsText" dxfId="547" priority="779" operator="notContains" text="Caida">
      <formula>ISERROR(SEARCH("Caida",U370))</formula>
    </cfRule>
    <cfRule type="containsText" dxfId="546" priority="780" operator="containsText" text="Caida">
      <formula>NOT(ISERROR(SEARCH("Caida",U370)))</formula>
    </cfRule>
  </conditionalFormatting>
  <conditionalFormatting sqref="U6:U92 U96:U230">
    <cfRule type="cellIs" dxfId="545" priority="846" operator="lessThan">
      <formula>0.8</formula>
    </cfRule>
    <cfRule type="cellIs" dxfId="544" priority="847" operator="greaterThan">
      <formula>0.8</formula>
    </cfRule>
  </conditionalFormatting>
  <conditionalFormatting sqref="U6:U92 U96:U230">
    <cfRule type="notContainsText" dxfId="543" priority="844" operator="notContains" text="Caida">
      <formula>ISERROR(SEARCH("Caida",U6))</formula>
    </cfRule>
    <cfRule type="containsText" dxfId="542" priority="845" operator="containsText" text="Caida">
      <formula>NOT(ISERROR(SEARCH("Caida",U6)))</formula>
    </cfRule>
  </conditionalFormatting>
  <conditionalFormatting sqref="U336">
    <cfRule type="cellIs" dxfId="541" priority="801" operator="lessThan">
      <formula>0.8</formula>
    </cfRule>
    <cfRule type="cellIs" dxfId="540" priority="802" operator="greaterThan">
      <formula>0.8</formula>
    </cfRule>
  </conditionalFormatting>
  <conditionalFormatting sqref="U336">
    <cfRule type="notContainsText" dxfId="539" priority="799" operator="notContains" text="Caida">
      <formula>ISERROR(SEARCH("Caida",U336))</formula>
    </cfRule>
    <cfRule type="containsText" dxfId="538" priority="800" operator="containsText" text="Caida">
      <formula>NOT(ISERROR(SEARCH("Caida",U336)))</formula>
    </cfRule>
  </conditionalFormatting>
  <conditionalFormatting sqref="U337:U366 U284:U334">
    <cfRule type="cellIs" dxfId="537" priority="842" operator="lessThan">
      <formula>0.8</formula>
    </cfRule>
    <cfRule type="cellIs" dxfId="536" priority="843" operator="greaterThan">
      <formula>0.8</formula>
    </cfRule>
  </conditionalFormatting>
  <conditionalFormatting sqref="U337:U366 U284:U334 U391:U1048576">
    <cfRule type="notContainsText" dxfId="535" priority="840" operator="notContains" text="Caida">
      <formula>ISERROR(SEARCH("Caida",U284))</formula>
    </cfRule>
    <cfRule type="containsText" dxfId="534" priority="841" operator="containsText" text="Caida">
      <formula>NOT(ISERROR(SEARCH("Caida",U284)))</formula>
    </cfRule>
  </conditionalFormatting>
  <conditionalFormatting sqref="U22">
    <cfRule type="containsText" dxfId="533" priority="839" operator="containsText" text="Instaladas en Funcionamiento Caida">
      <formula>NOT(ISERROR(SEARCH("Instaladas en Funcionamiento Caida",U22)))</formula>
    </cfRule>
  </conditionalFormatting>
  <conditionalFormatting sqref="U282">
    <cfRule type="cellIs" dxfId="532" priority="837" operator="lessThan">
      <formula>0.8</formula>
    </cfRule>
    <cfRule type="cellIs" dxfId="531" priority="838" operator="greaterThan">
      <formula>0.8</formula>
    </cfRule>
  </conditionalFormatting>
  <conditionalFormatting sqref="U282">
    <cfRule type="notContainsText" dxfId="530" priority="835" operator="notContains" text="Caida">
      <formula>ISERROR(SEARCH("Caida",U282))</formula>
    </cfRule>
    <cfRule type="containsText" dxfId="529" priority="836" operator="containsText" text="Caida">
      <formula>NOT(ISERROR(SEARCH("Caida",U282)))</formula>
    </cfRule>
  </conditionalFormatting>
  <conditionalFormatting sqref="U283">
    <cfRule type="cellIs" dxfId="528" priority="833" operator="lessThan">
      <formula>0.8</formula>
    </cfRule>
    <cfRule type="cellIs" dxfId="527" priority="834" operator="greaterThan">
      <formula>0.8</formula>
    </cfRule>
  </conditionalFormatting>
  <conditionalFormatting sqref="U283">
    <cfRule type="notContainsText" dxfId="526" priority="831" operator="notContains" text="Caida">
      <formula>ISERROR(SEARCH("Caida",U283))</formula>
    </cfRule>
    <cfRule type="containsText" dxfId="525" priority="832" operator="containsText" text="Caida">
      <formula>NOT(ISERROR(SEARCH("Caida",U283)))</formula>
    </cfRule>
  </conditionalFormatting>
  <conditionalFormatting sqref="U5">
    <cfRule type="cellIs" dxfId="524" priority="829" operator="lessThan">
      <formula>0.8</formula>
    </cfRule>
    <cfRule type="cellIs" dxfId="523" priority="830" operator="greaterThan">
      <formula>0.8</formula>
    </cfRule>
  </conditionalFormatting>
  <conditionalFormatting sqref="U5">
    <cfRule type="notContainsText" dxfId="522" priority="827" operator="notContains" text="Caida">
      <formula>ISERROR(SEARCH("Caida",U5))</formula>
    </cfRule>
    <cfRule type="containsText" dxfId="521" priority="828" operator="containsText" text="Caida">
      <formula>NOT(ISERROR(SEARCH("Caida",U5)))</formula>
    </cfRule>
  </conditionalFormatting>
  <conditionalFormatting sqref="U233">
    <cfRule type="cellIs" dxfId="520" priority="817" operator="lessThan">
      <formula>0.8</formula>
    </cfRule>
    <cfRule type="cellIs" dxfId="519" priority="818" operator="greaterThan">
      <formula>0.8</formula>
    </cfRule>
  </conditionalFormatting>
  <conditionalFormatting sqref="U233">
    <cfRule type="notContainsText" dxfId="518" priority="815" operator="notContains" text="Caida">
      <formula>ISERROR(SEARCH("Caida",U233))</formula>
    </cfRule>
    <cfRule type="containsText" dxfId="517" priority="816" operator="containsText" text="Caida">
      <formula>NOT(ISERROR(SEARCH("Caida",U233)))</formula>
    </cfRule>
  </conditionalFormatting>
  <conditionalFormatting sqref="U234">
    <cfRule type="cellIs" dxfId="516" priority="813" operator="lessThan">
      <formula>0.8</formula>
    </cfRule>
    <cfRule type="cellIs" dxfId="515" priority="814" operator="greaterThan">
      <formula>0.8</formula>
    </cfRule>
  </conditionalFormatting>
  <conditionalFormatting sqref="U234">
    <cfRule type="notContainsText" dxfId="514" priority="811" operator="notContains" text="Caida">
      <formula>ISERROR(SEARCH("Caida",U234))</formula>
    </cfRule>
    <cfRule type="containsText" dxfId="513" priority="812" operator="containsText" text="Caida">
      <formula>NOT(ISERROR(SEARCH("Caida",U234)))</formula>
    </cfRule>
  </conditionalFormatting>
  <conditionalFormatting sqref="U235">
    <cfRule type="cellIs" dxfId="512" priority="809" operator="lessThan">
      <formula>0.8</formula>
    </cfRule>
    <cfRule type="cellIs" dxfId="511" priority="810" operator="greaterThan">
      <formula>0.8</formula>
    </cfRule>
  </conditionalFormatting>
  <conditionalFormatting sqref="U235">
    <cfRule type="notContainsText" dxfId="510" priority="807" operator="notContains" text="Caida">
      <formula>ISERROR(SEARCH("Caida",U235))</formula>
    </cfRule>
    <cfRule type="containsText" dxfId="509" priority="808" operator="containsText" text="Caida">
      <formula>NOT(ISERROR(SEARCH("Caida",U235)))</formula>
    </cfRule>
  </conditionalFormatting>
  <conditionalFormatting sqref="U335">
    <cfRule type="cellIs" dxfId="508" priority="805" operator="lessThan">
      <formula>0.8</formula>
    </cfRule>
    <cfRule type="cellIs" dxfId="507" priority="806" operator="greaterThan">
      <formula>0.8</formula>
    </cfRule>
  </conditionalFormatting>
  <conditionalFormatting sqref="U335">
    <cfRule type="notContainsText" dxfId="506" priority="803" operator="notContains" text="Caida">
      <formula>ISERROR(SEARCH("Caida",U335))</formula>
    </cfRule>
    <cfRule type="containsText" dxfId="505" priority="804" operator="containsText" text="Caida">
      <formula>NOT(ISERROR(SEARCH("Caida",U335)))</formula>
    </cfRule>
  </conditionalFormatting>
  <conditionalFormatting sqref="U93:U95">
    <cfRule type="cellIs" dxfId="504" priority="797" operator="lessThan">
      <formula>0.8</formula>
    </cfRule>
    <cfRule type="cellIs" dxfId="503" priority="798" operator="greaterThan">
      <formula>0.8</formula>
    </cfRule>
  </conditionalFormatting>
  <conditionalFormatting sqref="U93:U95">
    <cfRule type="notContainsText" dxfId="502" priority="795" operator="notContains" text="Caida">
      <formula>ISERROR(SEARCH("Caida",U93))</formula>
    </cfRule>
    <cfRule type="containsText" dxfId="501" priority="796" operator="containsText" text="Caida">
      <formula>NOT(ISERROR(SEARCH("Caida",U93)))</formula>
    </cfRule>
  </conditionalFormatting>
  <conditionalFormatting sqref="U367">
    <cfRule type="cellIs" dxfId="500" priority="793" operator="lessThan">
      <formula>0.8</formula>
    </cfRule>
    <cfRule type="cellIs" dxfId="499" priority="794" operator="greaterThan">
      <formula>0.8</formula>
    </cfRule>
  </conditionalFormatting>
  <conditionalFormatting sqref="U367">
    <cfRule type="notContainsText" dxfId="498" priority="791" operator="notContains" text="Caida">
      <formula>ISERROR(SEARCH("Caida",U367))</formula>
    </cfRule>
    <cfRule type="containsText" dxfId="497" priority="792" operator="containsText" text="Caida">
      <formula>NOT(ISERROR(SEARCH("Caida",U367)))</formula>
    </cfRule>
  </conditionalFormatting>
  <conditionalFormatting sqref="V6:X92">
    <cfRule type="cellIs" dxfId="496" priority="777" operator="lessThan">
      <formula>0.8</formula>
    </cfRule>
    <cfRule type="cellIs" dxfId="495" priority="778" operator="greaterThan">
      <formula>0.8</formula>
    </cfRule>
  </conditionalFormatting>
  <conditionalFormatting sqref="V6:X92">
    <cfRule type="notContainsText" dxfId="494" priority="775" operator="notContains" text="Caida">
      <formula>ISERROR(SEARCH("Caida",V6))</formula>
    </cfRule>
    <cfRule type="containsText" dxfId="493" priority="776" operator="containsText" text="Caida">
      <formula>NOT(ISERROR(SEARCH("Caida",V6)))</formula>
    </cfRule>
  </conditionalFormatting>
  <conditionalFormatting sqref="V22:AH22">
    <cfRule type="containsText" dxfId="492" priority="774" operator="containsText" text="Instaladas en Funcionamiento Caida">
      <formula>NOT(ISERROR(SEARCH("Instaladas en Funcionamiento Caida",V22)))</formula>
    </cfRule>
  </conditionalFormatting>
  <conditionalFormatting sqref="V5:AH5">
    <cfRule type="cellIs" dxfId="491" priority="772" operator="lessThan">
      <formula>0.8</formula>
    </cfRule>
    <cfRule type="cellIs" dxfId="490" priority="773" operator="greaterThan">
      <formula>0.8</formula>
    </cfRule>
  </conditionalFormatting>
  <conditionalFormatting sqref="V5:AH5">
    <cfRule type="notContainsText" dxfId="489" priority="770" operator="notContains" text="Caida">
      <formula>ISERROR(SEARCH("Caida",V5))</formula>
    </cfRule>
    <cfRule type="containsText" dxfId="488" priority="771" operator="containsText" text="Caida">
      <formula>NOT(ISERROR(SEARCH("Caida",V5)))</formula>
    </cfRule>
  </conditionalFormatting>
  <conditionalFormatting sqref="V93:X95">
    <cfRule type="cellIs" dxfId="487" priority="768" operator="lessThan">
      <formula>0.8</formula>
    </cfRule>
    <cfRule type="cellIs" dxfId="486" priority="769" operator="greaterThan">
      <formula>0.8</formula>
    </cfRule>
  </conditionalFormatting>
  <conditionalFormatting sqref="V93:X95">
    <cfRule type="notContainsText" dxfId="485" priority="766" operator="notContains" text="Caida">
      <formula>ISERROR(SEARCH("Caida",V93))</formula>
    </cfRule>
    <cfRule type="containsText" dxfId="484" priority="767" operator="containsText" text="Caida">
      <formula>NOT(ISERROR(SEARCH("Caida",V93)))</formula>
    </cfRule>
  </conditionalFormatting>
  <conditionalFormatting sqref="E1:E372 E391:E1048576">
    <cfRule type="containsText" dxfId="483" priority="626" operator="containsText" text="fija">
      <formula>NOT(ISERROR(SEARCH("fija",E1)))</formula>
    </cfRule>
    <cfRule type="containsText" dxfId="482" priority="627" operator="containsText" text="domo">
      <formula>NOT(ISERROR(SEARCH("domo",E1)))</formula>
    </cfRule>
  </conditionalFormatting>
  <conditionalFormatting sqref="AI6:AI92">
    <cfRule type="cellIs" dxfId="481" priority="620" operator="lessThan">
      <formula>0.8</formula>
    </cfRule>
    <cfRule type="cellIs" dxfId="480" priority="621" operator="greaterThan">
      <formula>0.8</formula>
    </cfRule>
  </conditionalFormatting>
  <conditionalFormatting sqref="AI6:AI92">
    <cfRule type="notContainsText" dxfId="479" priority="618" operator="notContains" text="Caida">
      <formula>ISERROR(SEARCH("Caida",AI6))</formula>
    </cfRule>
    <cfRule type="containsText" dxfId="478" priority="619" operator="containsText" text="Caida">
      <formula>NOT(ISERROR(SEARCH("Caida",AI6)))</formula>
    </cfRule>
  </conditionalFormatting>
  <conditionalFormatting sqref="AI22">
    <cfRule type="containsText" dxfId="477" priority="617" operator="containsText" text="Instaladas en Funcionamiento Caida">
      <formula>NOT(ISERROR(SEARCH("Instaladas en Funcionamiento Caida",AI22)))</formula>
    </cfRule>
  </conditionalFormatting>
  <conditionalFormatting sqref="AI5">
    <cfRule type="cellIs" dxfId="476" priority="615" operator="lessThan">
      <formula>0.8</formula>
    </cfRule>
    <cfRule type="cellIs" dxfId="475" priority="616" operator="greaterThan">
      <formula>0.8</formula>
    </cfRule>
  </conditionalFormatting>
  <conditionalFormatting sqref="AI5">
    <cfRule type="notContainsText" dxfId="474" priority="613" operator="notContains" text="Caida">
      <formula>ISERROR(SEARCH("Caida",AI5))</formula>
    </cfRule>
    <cfRule type="containsText" dxfId="473" priority="614" operator="containsText" text="Caida">
      <formula>NOT(ISERROR(SEARCH("Caida",AI5)))</formula>
    </cfRule>
  </conditionalFormatting>
  <conditionalFormatting sqref="AI93:AI94">
    <cfRule type="cellIs" dxfId="472" priority="611" operator="lessThan">
      <formula>0.8</formula>
    </cfRule>
    <cfRule type="cellIs" dxfId="471" priority="612" operator="greaterThan">
      <formula>0.8</formula>
    </cfRule>
  </conditionalFormatting>
  <conditionalFormatting sqref="AI93:AI94">
    <cfRule type="notContainsText" dxfId="470" priority="609" operator="notContains" text="Caida">
      <formula>ISERROR(SEARCH("Caida",AI93))</formula>
    </cfRule>
    <cfRule type="containsText" dxfId="469" priority="610" operator="containsText" text="Caida">
      <formula>NOT(ISERROR(SEARCH("Caida",AI93)))</formula>
    </cfRule>
  </conditionalFormatting>
  <conditionalFormatting sqref="AI1 AI5:AI372 AI391:AI1048576">
    <cfRule type="cellIs" dxfId="468" priority="588" operator="equal">
      <formula>"APAGADO"</formula>
    </cfRule>
    <cfRule type="cellIs" dxfId="467" priority="608" operator="equal">
      <formula>"APAGADO"</formula>
    </cfRule>
  </conditionalFormatting>
  <conditionalFormatting sqref="AJ6:AP92">
    <cfRule type="cellIs" dxfId="466" priority="602" operator="lessThan">
      <formula>0.8</formula>
    </cfRule>
    <cfRule type="cellIs" dxfId="465" priority="603" operator="greaterThan">
      <formula>0.8</formula>
    </cfRule>
  </conditionalFormatting>
  <conditionalFormatting sqref="AJ6:AP92">
    <cfRule type="notContainsText" dxfId="464" priority="600" operator="notContains" text="Caida">
      <formula>ISERROR(SEARCH("Caida",AJ6))</formula>
    </cfRule>
    <cfRule type="containsText" dxfId="463" priority="601" operator="containsText" text="Caida">
      <formula>NOT(ISERROR(SEARCH("Caida",AJ6)))</formula>
    </cfRule>
  </conditionalFormatting>
  <conditionalFormatting sqref="AJ22:AS22">
    <cfRule type="containsText" dxfId="462" priority="599" operator="containsText" text="Instaladas en Funcionamiento Caida">
      <formula>NOT(ISERROR(SEARCH("Instaladas en Funcionamiento Caida",AJ22)))</formula>
    </cfRule>
  </conditionalFormatting>
  <conditionalFormatting sqref="AJ5:AS5">
    <cfRule type="cellIs" dxfId="461" priority="597" operator="lessThan">
      <formula>0.8</formula>
    </cfRule>
    <cfRule type="cellIs" dxfId="460" priority="598" operator="greaterThan">
      <formula>0.8</formula>
    </cfRule>
  </conditionalFormatting>
  <conditionalFormatting sqref="AJ5:AS5">
    <cfRule type="notContainsText" dxfId="459" priority="595" operator="notContains" text="Caida">
      <formula>ISERROR(SEARCH("Caida",AJ5))</formula>
    </cfRule>
    <cfRule type="containsText" dxfId="458" priority="596" operator="containsText" text="Caida">
      <formula>NOT(ISERROR(SEARCH("Caida",AJ5)))</formula>
    </cfRule>
  </conditionalFormatting>
  <conditionalFormatting sqref="AJ93:AP94">
    <cfRule type="cellIs" dxfId="457" priority="593" operator="lessThan">
      <formula>0.8</formula>
    </cfRule>
    <cfRule type="cellIs" dxfId="456" priority="594" operator="greaterThan">
      <formula>0.8</formula>
    </cfRule>
  </conditionalFormatting>
  <conditionalFormatting sqref="AJ93:AP94">
    <cfRule type="notContainsText" dxfId="455" priority="591" operator="notContains" text="Caida">
      <formula>ISERROR(SEARCH("Caida",AJ93))</formula>
    </cfRule>
    <cfRule type="containsText" dxfId="454" priority="592" operator="containsText" text="Caida">
      <formula>NOT(ISERROR(SEARCH("Caida",AJ93)))</formula>
    </cfRule>
  </conditionalFormatting>
  <conditionalFormatting sqref="AJ1:AS1 AJ247:AS372 O247:O372 AJ391:AS1048576 O5:AS369">
    <cfRule type="cellIs" dxfId="453" priority="590" operator="equal">
      <formula>"APAGADO"</formula>
    </cfRule>
  </conditionalFormatting>
  <conditionalFormatting sqref="AI251">
    <cfRule type="cellIs" dxfId="452" priority="589" operator="equal">
      <formula>"APAGADO"</formula>
    </cfRule>
  </conditionalFormatting>
  <conditionalFormatting sqref="S6:S92 S96:S230">
    <cfRule type="cellIs" dxfId="451" priority="574" operator="lessThan">
      <formula>0.8</formula>
    </cfRule>
    <cfRule type="cellIs" dxfId="450" priority="575" operator="greaterThan">
      <formula>0.8</formula>
    </cfRule>
  </conditionalFormatting>
  <conditionalFormatting sqref="S6:S92 S96:S230">
    <cfRule type="notContainsText" dxfId="449" priority="572" operator="notContains" text="Caida">
      <formula>ISERROR(SEARCH("Caida",S6))</formula>
    </cfRule>
    <cfRule type="containsText" dxfId="448" priority="573" operator="containsText" text="Caida">
      <formula>NOT(ISERROR(SEARCH("Caida",S6)))</formula>
    </cfRule>
  </conditionalFormatting>
  <conditionalFormatting sqref="S337:S366 S284:S334">
    <cfRule type="cellIs" dxfId="447" priority="570" operator="lessThan">
      <formula>0.8</formula>
    </cfRule>
    <cfRule type="cellIs" dxfId="446" priority="571" operator="greaterThan">
      <formula>0.8</formula>
    </cfRule>
  </conditionalFormatting>
  <conditionalFormatting sqref="S337:S366 S284:S334">
    <cfRule type="notContainsText" dxfId="445" priority="568" operator="notContains" text="Caida">
      <formula>ISERROR(SEARCH("Caida",S284))</formula>
    </cfRule>
    <cfRule type="containsText" dxfId="444" priority="569" operator="containsText" text="Caida">
      <formula>NOT(ISERROR(SEARCH("Caida",S284)))</formula>
    </cfRule>
  </conditionalFormatting>
  <conditionalFormatting sqref="S93:S95">
    <cfRule type="cellIs" dxfId="443" priority="566" operator="lessThan">
      <formula>0.8</formula>
    </cfRule>
    <cfRule type="cellIs" dxfId="442" priority="567" operator="greaterThan">
      <formula>0.8</formula>
    </cfRule>
  </conditionalFormatting>
  <conditionalFormatting sqref="S93:S95">
    <cfRule type="notContainsText" dxfId="441" priority="564" operator="notContains" text="Caida">
      <formula>ISERROR(SEARCH("Caida",S93))</formula>
    </cfRule>
    <cfRule type="containsText" dxfId="440" priority="565" operator="containsText" text="Caida">
      <formula>NOT(ISERROR(SEARCH("Caida",S93)))</formula>
    </cfRule>
  </conditionalFormatting>
  <conditionalFormatting sqref="T6:T92 T96:T230">
    <cfRule type="cellIs" dxfId="439" priority="562" operator="lessThan">
      <formula>0.8</formula>
    </cfRule>
    <cfRule type="cellIs" dxfId="438" priority="563" operator="greaterThan">
      <formula>0.8</formula>
    </cfRule>
  </conditionalFormatting>
  <conditionalFormatting sqref="T6:T92 T96:T230">
    <cfRule type="notContainsText" dxfId="437" priority="560" operator="notContains" text="Caida">
      <formula>ISERROR(SEARCH("Caida",T6))</formula>
    </cfRule>
    <cfRule type="containsText" dxfId="436" priority="561" operator="containsText" text="Caida">
      <formula>NOT(ISERROR(SEARCH("Caida",T6)))</formula>
    </cfRule>
  </conditionalFormatting>
  <conditionalFormatting sqref="T337:T366 T284:T334">
    <cfRule type="cellIs" dxfId="435" priority="558" operator="lessThan">
      <formula>0.8</formula>
    </cfRule>
    <cfRule type="cellIs" dxfId="434" priority="559" operator="greaterThan">
      <formula>0.8</formula>
    </cfRule>
  </conditionalFormatting>
  <conditionalFormatting sqref="T337:T366 T284:T334">
    <cfRule type="notContainsText" dxfId="433" priority="556" operator="notContains" text="Caida">
      <formula>ISERROR(SEARCH("Caida",T284))</formula>
    </cfRule>
    <cfRule type="containsText" dxfId="432" priority="557" operator="containsText" text="Caida">
      <formula>NOT(ISERROR(SEARCH("Caida",T284)))</formula>
    </cfRule>
  </conditionalFormatting>
  <conditionalFormatting sqref="T93:T95">
    <cfRule type="cellIs" dxfId="431" priority="554" operator="lessThan">
      <formula>0.8</formula>
    </cfRule>
    <cfRule type="cellIs" dxfId="430" priority="555" operator="greaterThan">
      <formula>0.8</formula>
    </cfRule>
  </conditionalFormatting>
  <conditionalFormatting sqref="T93:T95">
    <cfRule type="notContainsText" dxfId="429" priority="552" operator="notContains" text="Caida">
      <formula>ISERROR(SEARCH("Caida",T93))</formula>
    </cfRule>
    <cfRule type="containsText" dxfId="428" priority="553" operator="containsText" text="Caida">
      <formula>NOT(ISERROR(SEARCH("Caida",T93)))</formula>
    </cfRule>
  </conditionalFormatting>
  <conditionalFormatting sqref="AG391:AH1048576">
    <cfRule type="notContainsText" dxfId="427" priority="494" operator="notContains" text="Caida">
      <formula>ISERROR(SEARCH("Caida",AG391))</formula>
    </cfRule>
    <cfRule type="containsText" dxfId="426" priority="495" operator="containsText" text="Caida">
      <formula>NOT(ISERROR(SEARCH("Caida",AG391)))</formula>
    </cfRule>
  </conditionalFormatting>
  <conditionalFormatting sqref="AG96:AH105 AG110:AH114 AG117:AH119 AG124:AH132 AG134:AH136 AG138:AH148 AG152:AH158 AG160:AH168 AG170:AH170 AG172:AH172 AG174:AH192 AG195:AH196 AG231:AH237 AG255:AH260 AG262:AH272 AG275:AH292 AG294:AH320 AG323:AH332 AG334:AH346 AG352:AH368 AG370:AH370 AG199:AH203 AG207:AH229 AG205:AH205">
    <cfRule type="cellIs" dxfId="425" priority="492" operator="lessThan">
      <formula>0.8</formula>
    </cfRule>
    <cfRule type="cellIs" dxfId="424" priority="493" operator="greaterThan">
      <formula>0.8</formula>
    </cfRule>
  </conditionalFormatting>
  <conditionalFormatting sqref="AG96:AH105 AG110:AH114 AG117:AH119 AG124:AH132 AG134:AH136 AG138:AH148 AG152:AH158 AG160:AH168 AG170:AH170 AG172:AH172 AG174:AH192 AG195:AH196 AG231:AH237 AG255:AH260 AG262:AH272 AG275:AH292 AG294:AH320 AG323:AH332 AG334:AH346 AG352:AH368 AG370:AH370 AG199:AH203 AG207:AH229 AG205:AH205">
    <cfRule type="notContainsText" dxfId="423" priority="490" operator="notContains" text="Caida">
      <formula>ISERROR(SEARCH("Caida",AG96))</formula>
    </cfRule>
    <cfRule type="containsText" dxfId="422" priority="491" operator="containsText" text="Caida">
      <formula>NOT(ISERROR(SEARCH("Caida",AG96)))</formula>
    </cfRule>
  </conditionalFormatting>
  <conditionalFormatting sqref="AG6:AH92">
    <cfRule type="cellIs" dxfId="421" priority="488" operator="lessThan">
      <formula>0.8</formula>
    </cfRule>
    <cfRule type="cellIs" dxfId="420" priority="489" operator="greaterThan">
      <formula>0.8</formula>
    </cfRule>
  </conditionalFormatting>
  <conditionalFormatting sqref="AG6:AH92">
    <cfRule type="notContainsText" dxfId="419" priority="486" operator="notContains" text="Caida">
      <formula>ISERROR(SEARCH("Caida",AG6))</formula>
    </cfRule>
    <cfRule type="containsText" dxfId="418" priority="487" operator="containsText" text="Caida">
      <formula>NOT(ISERROR(SEARCH("Caida",AG6)))</formula>
    </cfRule>
  </conditionalFormatting>
  <conditionalFormatting sqref="AG93:AH95">
    <cfRule type="cellIs" dxfId="417" priority="484" operator="lessThan">
      <formula>0.8</formula>
    </cfRule>
    <cfRule type="cellIs" dxfId="416" priority="485" operator="greaterThan">
      <formula>0.8</formula>
    </cfRule>
  </conditionalFormatting>
  <conditionalFormatting sqref="AG93:AH95">
    <cfRule type="notContainsText" dxfId="415" priority="482" operator="notContains" text="Caida">
      <formula>ISERROR(SEARCH("Caida",AG93))</formula>
    </cfRule>
    <cfRule type="containsText" dxfId="414" priority="483" operator="containsText" text="Caida">
      <formula>NOT(ISERROR(SEARCH("Caida",AG93)))</formula>
    </cfRule>
  </conditionalFormatting>
  <conditionalFormatting sqref="F1:F372 F391:F1048576">
    <cfRule type="cellIs" dxfId="413" priority="481" operator="equal">
      <formula>"PTP A FO"</formula>
    </cfRule>
  </conditionalFormatting>
  <conditionalFormatting sqref="AG106:AH106">
    <cfRule type="cellIs" dxfId="412" priority="479" operator="lessThan">
      <formula>0.8</formula>
    </cfRule>
    <cfRule type="cellIs" dxfId="411" priority="480" operator="greaterThan">
      <formula>0.8</formula>
    </cfRule>
  </conditionalFormatting>
  <conditionalFormatting sqref="AG106:AH106">
    <cfRule type="notContainsText" dxfId="410" priority="477" operator="notContains" text="Caida">
      <formula>ISERROR(SEARCH("Caida",AG106))</formula>
    </cfRule>
    <cfRule type="containsText" dxfId="409" priority="478" operator="containsText" text="Caida">
      <formula>NOT(ISERROR(SEARCH("Caida",AG106)))</formula>
    </cfRule>
  </conditionalFormatting>
  <conditionalFormatting sqref="AG107:AH107">
    <cfRule type="cellIs" dxfId="408" priority="475" operator="lessThan">
      <formula>0.8</formula>
    </cfRule>
    <cfRule type="cellIs" dxfId="407" priority="476" operator="greaterThan">
      <formula>0.8</formula>
    </cfRule>
  </conditionalFormatting>
  <conditionalFormatting sqref="AG107:AH107">
    <cfRule type="notContainsText" dxfId="406" priority="473" operator="notContains" text="Caida">
      <formula>ISERROR(SEARCH("Caida",AG107))</formula>
    </cfRule>
    <cfRule type="containsText" dxfId="405" priority="474" operator="containsText" text="Caida">
      <formula>NOT(ISERROR(SEARCH("Caida",AG107)))</formula>
    </cfRule>
  </conditionalFormatting>
  <conditionalFormatting sqref="AG108:AH108">
    <cfRule type="cellIs" dxfId="404" priority="471" operator="lessThan">
      <formula>0.8</formula>
    </cfRule>
    <cfRule type="cellIs" dxfId="403" priority="472" operator="greaterThan">
      <formula>0.8</formula>
    </cfRule>
  </conditionalFormatting>
  <conditionalFormatting sqref="AG108:AH108">
    <cfRule type="notContainsText" dxfId="402" priority="469" operator="notContains" text="Caida">
      <formula>ISERROR(SEARCH("Caida",AG108))</formula>
    </cfRule>
    <cfRule type="containsText" dxfId="401" priority="470" operator="containsText" text="Caida">
      <formula>NOT(ISERROR(SEARCH("Caida",AG108)))</formula>
    </cfRule>
  </conditionalFormatting>
  <conditionalFormatting sqref="AG109:AH109">
    <cfRule type="cellIs" dxfId="400" priority="467" operator="lessThan">
      <formula>0.8</formula>
    </cfRule>
    <cfRule type="cellIs" dxfId="399" priority="468" operator="greaterThan">
      <formula>0.8</formula>
    </cfRule>
  </conditionalFormatting>
  <conditionalFormatting sqref="AG109:AH109">
    <cfRule type="notContainsText" dxfId="398" priority="465" operator="notContains" text="Caida">
      <formula>ISERROR(SEARCH("Caida",AG109))</formula>
    </cfRule>
    <cfRule type="containsText" dxfId="397" priority="466" operator="containsText" text="Caida">
      <formula>NOT(ISERROR(SEARCH("Caida",AG109)))</formula>
    </cfRule>
  </conditionalFormatting>
  <conditionalFormatting sqref="AG115:AH115">
    <cfRule type="cellIs" dxfId="396" priority="463" operator="lessThan">
      <formula>0.8</formula>
    </cfRule>
    <cfRule type="cellIs" dxfId="395" priority="464" operator="greaterThan">
      <formula>0.8</formula>
    </cfRule>
  </conditionalFormatting>
  <conditionalFormatting sqref="AG115:AH115">
    <cfRule type="notContainsText" dxfId="394" priority="461" operator="notContains" text="Caida">
      <formula>ISERROR(SEARCH("Caida",AG115))</formula>
    </cfRule>
    <cfRule type="containsText" dxfId="393" priority="462" operator="containsText" text="Caida">
      <formula>NOT(ISERROR(SEARCH("Caida",AG115)))</formula>
    </cfRule>
  </conditionalFormatting>
  <conditionalFormatting sqref="AG116:AH116">
    <cfRule type="cellIs" dxfId="392" priority="459" operator="lessThan">
      <formula>0.8</formula>
    </cfRule>
    <cfRule type="cellIs" dxfId="391" priority="460" operator="greaterThan">
      <formula>0.8</formula>
    </cfRule>
  </conditionalFormatting>
  <conditionalFormatting sqref="AG116:AH116">
    <cfRule type="notContainsText" dxfId="390" priority="457" operator="notContains" text="Caida">
      <formula>ISERROR(SEARCH("Caida",AG116))</formula>
    </cfRule>
    <cfRule type="containsText" dxfId="389" priority="458" operator="containsText" text="Caida">
      <formula>NOT(ISERROR(SEARCH("Caida",AG116)))</formula>
    </cfRule>
  </conditionalFormatting>
  <conditionalFormatting sqref="AG120:AH120">
    <cfRule type="cellIs" dxfId="388" priority="455" operator="lessThan">
      <formula>0.8</formula>
    </cfRule>
    <cfRule type="cellIs" dxfId="387" priority="456" operator="greaterThan">
      <formula>0.8</formula>
    </cfRule>
  </conditionalFormatting>
  <conditionalFormatting sqref="AG120:AH120">
    <cfRule type="notContainsText" dxfId="386" priority="453" operator="notContains" text="Caida">
      <formula>ISERROR(SEARCH("Caida",AG120))</formula>
    </cfRule>
    <cfRule type="containsText" dxfId="385" priority="454" operator="containsText" text="Caida">
      <formula>NOT(ISERROR(SEARCH("Caida",AG120)))</formula>
    </cfRule>
  </conditionalFormatting>
  <conditionalFormatting sqref="AG121:AH121">
    <cfRule type="cellIs" dxfId="384" priority="451" operator="lessThan">
      <formula>0.8</formula>
    </cfRule>
    <cfRule type="cellIs" dxfId="383" priority="452" operator="greaterThan">
      <formula>0.8</formula>
    </cfRule>
  </conditionalFormatting>
  <conditionalFormatting sqref="AG121:AH121">
    <cfRule type="notContainsText" dxfId="382" priority="449" operator="notContains" text="Caida">
      <formula>ISERROR(SEARCH("Caida",AG121))</formula>
    </cfRule>
    <cfRule type="containsText" dxfId="381" priority="450" operator="containsText" text="Caida">
      <formula>NOT(ISERROR(SEARCH("Caida",AG121)))</formula>
    </cfRule>
  </conditionalFormatting>
  <conditionalFormatting sqref="AG122:AH122">
    <cfRule type="cellIs" dxfId="380" priority="447" operator="lessThan">
      <formula>0.8</formula>
    </cfRule>
    <cfRule type="cellIs" dxfId="379" priority="448" operator="greaterThan">
      <formula>0.8</formula>
    </cfRule>
  </conditionalFormatting>
  <conditionalFormatting sqref="AG122:AH122">
    <cfRule type="notContainsText" dxfId="378" priority="445" operator="notContains" text="Caida">
      <formula>ISERROR(SEARCH("Caida",AG122))</formula>
    </cfRule>
    <cfRule type="containsText" dxfId="377" priority="446" operator="containsText" text="Caida">
      <formula>NOT(ISERROR(SEARCH("Caida",AG122)))</formula>
    </cfRule>
  </conditionalFormatting>
  <conditionalFormatting sqref="AG123:AH123">
    <cfRule type="cellIs" dxfId="376" priority="443" operator="lessThan">
      <formula>0.8</formula>
    </cfRule>
    <cfRule type="cellIs" dxfId="375" priority="444" operator="greaterThan">
      <formula>0.8</formula>
    </cfRule>
  </conditionalFormatting>
  <conditionalFormatting sqref="AG123:AH123">
    <cfRule type="notContainsText" dxfId="374" priority="441" operator="notContains" text="Caida">
      <formula>ISERROR(SEARCH("Caida",AG123))</formula>
    </cfRule>
    <cfRule type="containsText" dxfId="373" priority="442" operator="containsText" text="Caida">
      <formula>NOT(ISERROR(SEARCH("Caida",AG123)))</formula>
    </cfRule>
  </conditionalFormatting>
  <conditionalFormatting sqref="AG133:AH133">
    <cfRule type="cellIs" dxfId="372" priority="439" operator="lessThan">
      <formula>0.8</formula>
    </cfRule>
    <cfRule type="cellIs" dxfId="371" priority="440" operator="greaterThan">
      <formula>0.8</formula>
    </cfRule>
  </conditionalFormatting>
  <conditionalFormatting sqref="AG133:AH133">
    <cfRule type="notContainsText" dxfId="370" priority="437" operator="notContains" text="Caida">
      <formula>ISERROR(SEARCH("Caida",AG133))</formula>
    </cfRule>
    <cfRule type="containsText" dxfId="369" priority="438" operator="containsText" text="Caida">
      <formula>NOT(ISERROR(SEARCH("Caida",AG133)))</formula>
    </cfRule>
  </conditionalFormatting>
  <conditionalFormatting sqref="AG137:AH137">
    <cfRule type="cellIs" dxfId="368" priority="435" operator="lessThan">
      <formula>0.8</formula>
    </cfRule>
    <cfRule type="cellIs" dxfId="367" priority="436" operator="greaterThan">
      <formula>0.8</formula>
    </cfRule>
  </conditionalFormatting>
  <conditionalFormatting sqref="AG137:AH137">
    <cfRule type="notContainsText" dxfId="366" priority="433" operator="notContains" text="Caida">
      <formula>ISERROR(SEARCH("Caida",AG137))</formula>
    </cfRule>
    <cfRule type="containsText" dxfId="365" priority="434" operator="containsText" text="Caida">
      <formula>NOT(ISERROR(SEARCH("Caida",AG137)))</formula>
    </cfRule>
  </conditionalFormatting>
  <conditionalFormatting sqref="AG149:AH149">
    <cfRule type="cellIs" dxfId="364" priority="431" operator="lessThan">
      <formula>0.8</formula>
    </cfRule>
    <cfRule type="cellIs" dxfId="363" priority="432" operator="greaterThan">
      <formula>0.8</formula>
    </cfRule>
  </conditionalFormatting>
  <conditionalFormatting sqref="AG149:AH149">
    <cfRule type="notContainsText" dxfId="362" priority="429" operator="notContains" text="Caida">
      <formula>ISERROR(SEARCH("Caida",AG149))</formula>
    </cfRule>
    <cfRule type="containsText" dxfId="361" priority="430" operator="containsText" text="Caida">
      <formula>NOT(ISERROR(SEARCH("Caida",AG149)))</formula>
    </cfRule>
  </conditionalFormatting>
  <conditionalFormatting sqref="AG150:AH150">
    <cfRule type="cellIs" dxfId="360" priority="427" operator="lessThan">
      <formula>0.8</formula>
    </cfRule>
    <cfRule type="cellIs" dxfId="359" priority="428" operator="greaterThan">
      <formula>0.8</formula>
    </cfRule>
  </conditionalFormatting>
  <conditionalFormatting sqref="AG150:AH150">
    <cfRule type="notContainsText" dxfId="358" priority="425" operator="notContains" text="Caida">
      <formula>ISERROR(SEARCH("Caida",AG150))</formula>
    </cfRule>
    <cfRule type="containsText" dxfId="357" priority="426" operator="containsText" text="Caida">
      <formula>NOT(ISERROR(SEARCH("Caida",AG150)))</formula>
    </cfRule>
  </conditionalFormatting>
  <conditionalFormatting sqref="AG151:AH151">
    <cfRule type="cellIs" dxfId="356" priority="423" operator="lessThan">
      <formula>0.8</formula>
    </cfRule>
    <cfRule type="cellIs" dxfId="355" priority="424" operator="greaterThan">
      <formula>0.8</formula>
    </cfRule>
  </conditionalFormatting>
  <conditionalFormatting sqref="AG151:AH151">
    <cfRule type="notContainsText" dxfId="354" priority="421" operator="notContains" text="Caida">
      <formula>ISERROR(SEARCH("Caida",AG151))</formula>
    </cfRule>
    <cfRule type="containsText" dxfId="353" priority="422" operator="containsText" text="Caida">
      <formula>NOT(ISERROR(SEARCH("Caida",AG151)))</formula>
    </cfRule>
  </conditionalFormatting>
  <conditionalFormatting sqref="AG159:AH159">
    <cfRule type="cellIs" dxfId="352" priority="419" operator="lessThan">
      <formula>0.8</formula>
    </cfRule>
    <cfRule type="cellIs" dxfId="351" priority="420" operator="greaterThan">
      <formula>0.8</formula>
    </cfRule>
  </conditionalFormatting>
  <conditionalFormatting sqref="AG159:AH159">
    <cfRule type="notContainsText" dxfId="350" priority="417" operator="notContains" text="Caida">
      <formula>ISERROR(SEARCH("Caida",AG159))</formula>
    </cfRule>
    <cfRule type="containsText" dxfId="349" priority="418" operator="containsText" text="Caida">
      <formula>NOT(ISERROR(SEARCH("Caida",AG159)))</formula>
    </cfRule>
  </conditionalFormatting>
  <conditionalFormatting sqref="AG169:AH169">
    <cfRule type="cellIs" dxfId="348" priority="415" operator="lessThan">
      <formula>0.8</formula>
    </cfRule>
    <cfRule type="cellIs" dxfId="347" priority="416" operator="greaterThan">
      <formula>0.8</formula>
    </cfRule>
  </conditionalFormatting>
  <conditionalFormatting sqref="AG169:AH169">
    <cfRule type="notContainsText" dxfId="346" priority="413" operator="notContains" text="Caida">
      <formula>ISERROR(SEARCH("Caida",AG169))</formula>
    </cfRule>
    <cfRule type="containsText" dxfId="345" priority="414" operator="containsText" text="Caida">
      <formula>NOT(ISERROR(SEARCH("Caida",AG169)))</formula>
    </cfRule>
  </conditionalFormatting>
  <conditionalFormatting sqref="AG171:AH171">
    <cfRule type="cellIs" dxfId="344" priority="411" operator="lessThan">
      <formula>0.8</formula>
    </cfRule>
    <cfRule type="cellIs" dxfId="343" priority="412" operator="greaterThan">
      <formula>0.8</formula>
    </cfRule>
  </conditionalFormatting>
  <conditionalFormatting sqref="AG171:AH171">
    <cfRule type="notContainsText" dxfId="342" priority="409" operator="notContains" text="Caida">
      <formula>ISERROR(SEARCH("Caida",AG171))</formula>
    </cfRule>
    <cfRule type="containsText" dxfId="341" priority="410" operator="containsText" text="Caida">
      <formula>NOT(ISERROR(SEARCH("Caida",AG171)))</formula>
    </cfRule>
  </conditionalFormatting>
  <conditionalFormatting sqref="AG173:AH173">
    <cfRule type="cellIs" dxfId="340" priority="407" operator="lessThan">
      <formula>0.8</formula>
    </cfRule>
    <cfRule type="cellIs" dxfId="339" priority="408" operator="greaterThan">
      <formula>0.8</formula>
    </cfRule>
  </conditionalFormatting>
  <conditionalFormatting sqref="AG173:AH173">
    <cfRule type="notContainsText" dxfId="338" priority="405" operator="notContains" text="Caida">
      <formula>ISERROR(SEARCH("Caida",AG173))</formula>
    </cfRule>
    <cfRule type="containsText" dxfId="337" priority="406" operator="containsText" text="Caida">
      <formula>NOT(ISERROR(SEARCH("Caida",AG173)))</formula>
    </cfRule>
  </conditionalFormatting>
  <conditionalFormatting sqref="AG193:AH193">
    <cfRule type="cellIs" dxfId="336" priority="403" operator="lessThan">
      <formula>0.8</formula>
    </cfRule>
    <cfRule type="cellIs" dxfId="335" priority="404" operator="greaterThan">
      <formula>0.8</formula>
    </cfRule>
  </conditionalFormatting>
  <conditionalFormatting sqref="AG193:AH193">
    <cfRule type="notContainsText" dxfId="334" priority="401" operator="notContains" text="Caida">
      <formula>ISERROR(SEARCH("Caida",AG193))</formula>
    </cfRule>
    <cfRule type="containsText" dxfId="333" priority="402" operator="containsText" text="Caida">
      <formula>NOT(ISERROR(SEARCH("Caida",AG193)))</formula>
    </cfRule>
  </conditionalFormatting>
  <conditionalFormatting sqref="AG194:AH194">
    <cfRule type="cellIs" dxfId="332" priority="399" operator="lessThan">
      <formula>0.8</formula>
    </cfRule>
    <cfRule type="cellIs" dxfId="331" priority="400" operator="greaterThan">
      <formula>0.8</formula>
    </cfRule>
  </conditionalFormatting>
  <conditionalFormatting sqref="AG194:AH194">
    <cfRule type="notContainsText" dxfId="330" priority="397" operator="notContains" text="Caida">
      <formula>ISERROR(SEARCH("Caida",AG194))</formula>
    </cfRule>
    <cfRule type="containsText" dxfId="329" priority="398" operator="containsText" text="Caida">
      <formula>NOT(ISERROR(SEARCH("Caida",AG194)))</formula>
    </cfRule>
  </conditionalFormatting>
  <conditionalFormatting sqref="AG230:AH230">
    <cfRule type="cellIs" dxfId="328" priority="395" operator="lessThan">
      <formula>0.8</formula>
    </cfRule>
    <cfRule type="cellIs" dxfId="327" priority="396" operator="greaterThan">
      <formula>0.8</formula>
    </cfRule>
  </conditionalFormatting>
  <conditionalFormatting sqref="AG230:AH230">
    <cfRule type="notContainsText" dxfId="326" priority="393" operator="notContains" text="Caida">
      <formula>ISERROR(SEARCH("Caida",AG230))</formula>
    </cfRule>
    <cfRule type="containsText" dxfId="325" priority="394" operator="containsText" text="Caida">
      <formula>NOT(ISERROR(SEARCH("Caida",AG230)))</formula>
    </cfRule>
  </conditionalFormatting>
  <conditionalFormatting sqref="AG238:AH238">
    <cfRule type="cellIs" dxfId="324" priority="391" operator="lessThan">
      <formula>0.8</formula>
    </cfRule>
    <cfRule type="cellIs" dxfId="323" priority="392" operator="greaterThan">
      <formula>0.8</formula>
    </cfRule>
  </conditionalFormatting>
  <conditionalFormatting sqref="AG238:AH238">
    <cfRule type="notContainsText" dxfId="322" priority="389" operator="notContains" text="Caida">
      <formula>ISERROR(SEARCH("Caida",AG238))</formula>
    </cfRule>
    <cfRule type="containsText" dxfId="321" priority="390" operator="containsText" text="Caida">
      <formula>NOT(ISERROR(SEARCH("Caida",AG238)))</formula>
    </cfRule>
  </conditionalFormatting>
  <conditionalFormatting sqref="AG239:AH239">
    <cfRule type="cellIs" dxfId="320" priority="387" operator="lessThan">
      <formula>0.8</formula>
    </cfRule>
    <cfRule type="cellIs" dxfId="319" priority="388" operator="greaterThan">
      <formula>0.8</formula>
    </cfRule>
  </conditionalFormatting>
  <conditionalFormatting sqref="AG239:AH239">
    <cfRule type="notContainsText" dxfId="318" priority="385" operator="notContains" text="Caida">
      <formula>ISERROR(SEARCH("Caida",AG239))</formula>
    </cfRule>
    <cfRule type="containsText" dxfId="317" priority="386" operator="containsText" text="Caida">
      <formula>NOT(ISERROR(SEARCH("Caida",AG239)))</formula>
    </cfRule>
  </conditionalFormatting>
  <conditionalFormatting sqref="AG240:AH240">
    <cfRule type="cellIs" dxfId="316" priority="383" operator="lessThan">
      <formula>0.8</formula>
    </cfRule>
    <cfRule type="cellIs" dxfId="315" priority="384" operator="greaterThan">
      <formula>0.8</formula>
    </cfRule>
  </conditionalFormatting>
  <conditionalFormatting sqref="AG240:AH240">
    <cfRule type="notContainsText" dxfId="314" priority="381" operator="notContains" text="Caida">
      <formula>ISERROR(SEARCH("Caida",AG240))</formula>
    </cfRule>
    <cfRule type="containsText" dxfId="313" priority="382" operator="containsText" text="Caida">
      <formula>NOT(ISERROR(SEARCH("Caida",AG240)))</formula>
    </cfRule>
  </conditionalFormatting>
  <conditionalFormatting sqref="AG251:AH251">
    <cfRule type="cellIs" dxfId="312" priority="379" operator="lessThan">
      <formula>0.8</formula>
    </cfRule>
    <cfRule type="cellIs" dxfId="311" priority="380" operator="greaterThan">
      <formula>0.8</formula>
    </cfRule>
  </conditionalFormatting>
  <conditionalFormatting sqref="AG251:AH251">
    <cfRule type="notContainsText" dxfId="310" priority="377" operator="notContains" text="Caida">
      <formula>ISERROR(SEARCH("Caida",AG251))</formula>
    </cfRule>
    <cfRule type="containsText" dxfId="309" priority="378" operator="containsText" text="Caida">
      <formula>NOT(ISERROR(SEARCH("Caida",AG251)))</formula>
    </cfRule>
  </conditionalFormatting>
  <conditionalFormatting sqref="AG252:AH252">
    <cfRule type="cellIs" dxfId="308" priority="375" operator="lessThan">
      <formula>0.8</formula>
    </cfRule>
    <cfRule type="cellIs" dxfId="307" priority="376" operator="greaterThan">
      <formula>0.8</formula>
    </cfRule>
  </conditionalFormatting>
  <conditionalFormatting sqref="AG252:AH252">
    <cfRule type="notContainsText" dxfId="306" priority="373" operator="notContains" text="Caida">
      <formula>ISERROR(SEARCH("Caida",AG252))</formula>
    </cfRule>
    <cfRule type="containsText" dxfId="305" priority="374" operator="containsText" text="Caida">
      <formula>NOT(ISERROR(SEARCH("Caida",AG252)))</formula>
    </cfRule>
  </conditionalFormatting>
  <conditionalFormatting sqref="AG253:AH253">
    <cfRule type="cellIs" dxfId="304" priority="371" operator="lessThan">
      <formula>0.8</formula>
    </cfRule>
    <cfRule type="cellIs" dxfId="303" priority="372" operator="greaterThan">
      <formula>0.8</formula>
    </cfRule>
  </conditionalFormatting>
  <conditionalFormatting sqref="AG253:AH253">
    <cfRule type="notContainsText" dxfId="302" priority="369" operator="notContains" text="Caida">
      <formula>ISERROR(SEARCH("Caida",AG253))</formula>
    </cfRule>
    <cfRule type="containsText" dxfId="301" priority="370" operator="containsText" text="Caida">
      <formula>NOT(ISERROR(SEARCH("Caida",AG253)))</formula>
    </cfRule>
  </conditionalFormatting>
  <conditionalFormatting sqref="AG254:AH254">
    <cfRule type="cellIs" dxfId="300" priority="367" operator="lessThan">
      <formula>0.8</formula>
    </cfRule>
    <cfRule type="cellIs" dxfId="299" priority="368" operator="greaterThan">
      <formula>0.8</formula>
    </cfRule>
  </conditionalFormatting>
  <conditionalFormatting sqref="AG254:AH254">
    <cfRule type="notContainsText" dxfId="298" priority="365" operator="notContains" text="Caida">
      <formula>ISERROR(SEARCH("Caida",AG254))</formula>
    </cfRule>
    <cfRule type="containsText" dxfId="297" priority="366" operator="containsText" text="Caida">
      <formula>NOT(ISERROR(SEARCH("Caida",AG254)))</formula>
    </cfRule>
  </conditionalFormatting>
  <conditionalFormatting sqref="AG261:AH261">
    <cfRule type="cellIs" dxfId="296" priority="363" operator="lessThan">
      <formula>0.8</formula>
    </cfRule>
    <cfRule type="cellIs" dxfId="295" priority="364" operator="greaterThan">
      <formula>0.8</formula>
    </cfRule>
  </conditionalFormatting>
  <conditionalFormatting sqref="AG261:AH261">
    <cfRule type="notContainsText" dxfId="294" priority="361" operator="notContains" text="Caida">
      <formula>ISERROR(SEARCH("Caida",AG261))</formula>
    </cfRule>
    <cfRule type="containsText" dxfId="293" priority="362" operator="containsText" text="Caida">
      <formula>NOT(ISERROR(SEARCH("Caida",AG261)))</formula>
    </cfRule>
  </conditionalFormatting>
  <conditionalFormatting sqref="AG273:AH273">
    <cfRule type="cellIs" dxfId="292" priority="359" operator="lessThan">
      <formula>0.8</formula>
    </cfRule>
    <cfRule type="cellIs" dxfId="291" priority="360" operator="greaterThan">
      <formula>0.8</formula>
    </cfRule>
  </conditionalFormatting>
  <conditionalFormatting sqref="AG273:AH273">
    <cfRule type="notContainsText" dxfId="290" priority="357" operator="notContains" text="Caida">
      <formula>ISERROR(SEARCH("Caida",AG273))</formula>
    </cfRule>
    <cfRule type="containsText" dxfId="289" priority="358" operator="containsText" text="Caida">
      <formula>NOT(ISERROR(SEARCH("Caida",AG273)))</formula>
    </cfRule>
  </conditionalFormatting>
  <conditionalFormatting sqref="AG274:AH274">
    <cfRule type="cellIs" dxfId="288" priority="355" operator="lessThan">
      <formula>0.8</formula>
    </cfRule>
    <cfRule type="cellIs" dxfId="287" priority="356" operator="greaterThan">
      <formula>0.8</formula>
    </cfRule>
  </conditionalFormatting>
  <conditionalFormatting sqref="AG274:AH274">
    <cfRule type="notContainsText" dxfId="286" priority="353" operator="notContains" text="Caida">
      <formula>ISERROR(SEARCH("Caida",AG274))</formula>
    </cfRule>
    <cfRule type="containsText" dxfId="285" priority="354" operator="containsText" text="Caida">
      <formula>NOT(ISERROR(SEARCH("Caida",AG274)))</formula>
    </cfRule>
  </conditionalFormatting>
  <conditionalFormatting sqref="AG293:AH293">
    <cfRule type="cellIs" dxfId="284" priority="351" operator="lessThan">
      <formula>0.8</formula>
    </cfRule>
    <cfRule type="cellIs" dxfId="283" priority="352" operator="greaterThan">
      <formula>0.8</formula>
    </cfRule>
  </conditionalFormatting>
  <conditionalFormatting sqref="AG293:AH293">
    <cfRule type="notContainsText" dxfId="282" priority="349" operator="notContains" text="Caida">
      <formula>ISERROR(SEARCH("Caida",AG293))</formula>
    </cfRule>
    <cfRule type="containsText" dxfId="281" priority="350" operator="containsText" text="Caida">
      <formula>NOT(ISERROR(SEARCH("Caida",AG293)))</formula>
    </cfRule>
  </conditionalFormatting>
  <conditionalFormatting sqref="AG321:AH321">
    <cfRule type="cellIs" dxfId="280" priority="347" operator="lessThan">
      <formula>0.8</formula>
    </cfRule>
    <cfRule type="cellIs" dxfId="279" priority="348" operator="greaterThan">
      <formula>0.8</formula>
    </cfRule>
  </conditionalFormatting>
  <conditionalFormatting sqref="AG321:AH321">
    <cfRule type="notContainsText" dxfId="278" priority="345" operator="notContains" text="Caida">
      <formula>ISERROR(SEARCH("Caida",AG321))</formula>
    </cfRule>
    <cfRule type="containsText" dxfId="277" priority="346" operator="containsText" text="Caida">
      <formula>NOT(ISERROR(SEARCH("Caida",AG321)))</formula>
    </cfRule>
  </conditionalFormatting>
  <conditionalFormatting sqref="AG322:AH322">
    <cfRule type="cellIs" dxfId="276" priority="343" operator="lessThan">
      <formula>0.8</formula>
    </cfRule>
    <cfRule type="cellIs" dxfId="275" priority="344" operator="greaterThan">
      <formula>0.8</formula>
    </cfRule>
  </conditionalFormatting>
  <conditionalFormatting sqref="AG322:AH322">
    <cfRule type="notContainsText" dxfId="274" priority="341" operator="notContains" text="Caida">
      <formula>ISERROR(SEARCH("Caida",AG322))</formula>
    </cfRule>
    <cfRule type="containsText" dxfId="273" priority="342" operator="containsText" text="Caida">
      <formula>NOT(ISERROR(SEARCH("Caida",AG322)))</formula>
    </cfRule>
  </conditionalFormatting>
  <conditionalFormatting sqref="AG333:AH333">
    <cfRule type="cellIs" dxfId="272" priority="339" operator="lessThan">
      <formula>0.8</formula>
    </cfRule>
    <cfRule type="cellIs" dxfId="271" priority="340" operator="greaterThan">
      <formula>0.8</formula>
    </cfRule>
  </conditionalFormatting>
  <conditionalFormatting sqref="AG333:AH333">
    <cfRule type="notContainsText" dxfId="270" priority="337" operator="notContains" text="Caida">
      <formula>ISERROR(SEARCH("Caida",AG333))</formula>
    </cfRule>
    <cfRule type="containsText" dxfId="269" priority="338" operator="containsText" text="Caida">
      <formula>NOT(ISERROR(SEARCH("Caida",AG333)))</formula>
    </cfRule>
  </conditionalFormatting>
  <conditionalFormatting sqref="AG347:AH347">
    <cfRule type="cellIs" dxfId="268" priority="335" operator="lessThan">
      <formula>0.8</formula>
    </cfRule>
    <cfRule type="cellIs" dxfId="267" priority="336" operator="greaterThan">
      <formula>0.8</formula>
    </cfRule>
  </conditionalFormatting>
  <conditionalFormatting sqref="AG347:AH347">
    <cfRule type="notContainsText" dxfId="266" priority="333" operator="notContains" text="Caida">
      <formula>ISERROR(SEARCH("Caida",AG347))</formula>
    </cfRule>
    <cfRule type="containsText" dxfId="265" priority="334" operator="containsText" text="Caida">
      <formula>NOT(ISERROR(SEARCH("Caida",AG347)))</formula>
    </cfRule>
  </conditionalFormatting>
  <conditionalFormatting sqref="AG348:AH348">
    <cfRule type="cellIs" dxfId="264" priority="331" operator="lessThan">
      <formula>0.8</formula>
    </cfRule>
    <cfRule type="cellIs" dxfId="263" priority="332" operator="greaterThan">
      <formula>0.8</formula>
    </cfRule>
  </conditionalFormatting>
  <conditionalFormatting sqref="AG348:AH348">
    <cfRule type="notContainsText" dxfId="262" priority="329" operator="notContains" text="Caida">
      <formula>ISERROR(SEARCH("Caida",AG348))</formula>
    </cfRule>
    <cfRule type="containsText" dxfId="261" priority="330" operator="containsText" text="Caida">
      <formula>NOT(ISERROR(SEARCH("Caida",AG348)))</formula>
    </cfRule>
  </conditionalFormatting>
  <conditionalFormatting sqref="AG349:AH349">
    <cfRule type="cellIs" dxfId="260" priority="327" operator="lessThan">
      <formula>0.8</formula>
    </cfRule>
    <cfRule type="cellIs" dxfId="259" priority="328" operator="greaterThan">
      <formula>0.8</formula>
    </cfRule>
  </conditionalFormatting>
  <conditionalFormatting sqref="AG349:AH349">
    <cfRule type="notContainsText" dxfId="258" priority="325" operator="notContains" text="Caida">
      <formula>ISERROR(SEARCH("Caida",AG349))</formula>
    </cfRule>
    <cfRule type="containsText" dxfId="257" priority="326" operator="containsText" text="Caida">
      <formula>NOT(ISERROR(SEARCH("Caida",AG349)))</formula>
    </cfRule>
  </conditionalFormatting>
  <conditionalFormatting sqref="AG350:AH350">
    <cfRule type="cellIs" dxfId="256" priority="323" operator="lessThan">
      <formula>0.8</formula>
    </cfRule>
    <cfRule type="cellIs" dxfId="255" priority="324" operator="greaterThan">
      <formula>0.8</formula>
    </cfRule>
  </conditionalFormatting>
  <conditionalFormatting sqref="AG350:AH350">
    <cfRule type="notContainsText" dxfId="254" priority="321" operator="notContains" text="Caida">
      <formula>ISERROR(SEARCH("Caida",AG350))</formula>
    </cfRule>
    <cfRule type="containsText" dxfId="253" priority="322" operator="containsText" text="Caida">
      <formula>NOT(ISERROR(SEARCH("Caida",AG350)))</formula>
    </cfRule>
  </conditionalFormatting>
  <conditionalFormatting sqref="AG351:AH351">
    <cfRule type="cellIs" dxfId="252" priority="319" operator="lessThan">
      <formula>0.8</formula>
    </cfRule>
    <cfRule type="cellIs" dxfId="251" priority="320" operator="greaterThan">
      <formula>0.8</formula>
    </cfRule>
  </conditionalFormatting>
  <conditionalFormatting sqref="AG351:AH351">
    <cfRule type="notContainsText" dxfId="250" priority="317" operator="notContains" text="Caida">
      <formula>ISERROR(SEARCH("Caida",AG351))</formula>
    </cfRule>
    <cfRule type="containsText" dxfId="249" priority="318" operator="containsText" text="Caida">
      <formula>NOT(ISERROR(SEARCH("Caida",AG351)))</formula>
    </cfRule>
  </conditionalFormatting>
  <conditionalFormatting sqref="AG369:AH369">
    <cfRule type="cellIs" dxfId="248" priority="315" operator="lessThan">
      <formula>0.8</formula>
    </cfRule>
    <cfRule type="cellIs" dxfId="247" priority="316" operator="greaterThan">
      <formula>0.8</formula>
    </cfRule>
  </conditionalFormatting>
  <conditionalFormatting sqref="AG369:AH369">
    <cfRule type="notContainsText" dxfId="246" priority="313" operator="notContains" text="Caida">
      <formula>ISERROR(SEARCH("Caida",AG369))</formula>
    </cfRule>
    <cfRule type="containsText" dxfId="245" priority="314" operator="containsText" text="Caida">
      <formula>NOT(ISERROR(SEARCH("Caida",AG369)))</formula>
    </cfRule>
  </conditionalFormatting>
  <conditionalFormatting sqref="AG197:AH197">
    <cfRule type="cellIs" dxfId="244" priority="311" operator="lessThan">
      <formula>0.8</formula>
    </cfRule>
    <cfRule type="cellIs" dxfId="243" priority="312" operator="greaterThan">
      <formula>0.8</formula>
    </cfRule>
  </conditionalFormatting>
  <conditionalFormatting sqref="AG197:AH197">
    <cfRule type="notContainsText" dxfId="242" priority="309" operator="notContains" text="Caida">
      <formula>ISERROR(SEARCH("Caida",AG197))</formula>
    </cfRule>
    <cfRule type="containsText" dxfId="241" priority="310" operator="containsText" text="Caida">
      <formula>NOT(ISERROR(SEARCH("Caida",AG197)))</formula>
    </cfRule>
  </conditionalFormatting>
  <conditionalFormatting sqref="AG198:AH198">
    <cfRule type="cellIs" dxfId="240" priority="307" operator="lessThan">
      <formula>0.8</formula>
    </cfRule>
    <cfRule type="cellIs" dxfId="239" priority="308" operator="greaterThan">
      <formula>0.8</formula>
    </cfRule>
  </conditionalFormatting>
  <conditionalFormatting sqref="AG198:AH198">
    <cfRule type="notContainsText" dxfId="238" priority="305" operator="notContains" text="Caida">
      <formula>ISERROR(SEARCH("Caida",AG198))</formula>
    </cfRule>
    <cfRule type="containsText" dxfId="237" priority="306" operator="containsText" text="Caida">
      <formula>NOT(ISERROR(SEARCH("Caida",AG198)))</formula>
    </cfRule>
  </conditionalFormatting>
  <conditionalFormatting sqref="AG206:AH206">
    <cfRule type="cellIs" dxfId="236" priority="303" operator="lessThan">
      <formula>0.8</formula>
    </cfRule>
    <cfRule type="cellIs" dxfId="235" priority="304" operator="greaterThan">
      <formula>0.8</formula>
    </cfRule>
  </conditionalFormatting>
  <conditionalFormatting sqref="AG206:AH206">
    <cfRule type="notContainsText" dxfId="234" priority="301" operator="notContains" text="Caida">
      <formula>ISERROR(SEARCH("Caida",AG206))</formula>
    </cfRule>
    <cfRule type="containsText" dxfId="233" priority="302" operator="containsText" text="Caida">
      <formula>NOT(ISERROR(SEARCH("Caida",AG206)))</formula>
    </cfRule>
  </conditionalFormatting>
  <conditionalFormatting sqref="AG204:AH204">
    <cfRule type="cellIs" dxfId="232" priority="299" operator="lessThan">
      <formula>0.8</formula>
    </cfRule>
    <cfRule type="cellIs" dxfId="231" priority="300" operator="greaterThan">
      <formula>0.8</formula>
    </cfRule>
  </conditionalFormatting>
  <conditionalFormatting sqref="AG204:AH204">
    <cfRule type="notContainsText" dxfId="230" priority="297" operator="notContains" text="Caida">
      <formula>ISERROR(SEARCH("Caida",AG204))</formula>
    </cfRule>
    <cfRule type="containsText" dxfId="229" priority="298" operator="containsText" text="Caida">
      <formula>NOT(ISERROR(SEARCH("Caida",AG204)))</formula>
    </cfRule>
  </conditionalFormatting>
  <conditionalFormatting sqref="AJ115">
    <cfRule type="cellIs" dxfId="228" priority="295" operator="lessThan">
      <formula>0.8</formula>
    </cfRule>
    <cfRule type="cellIs" dxfId="227" priority="296" operator="greaterThan">
      <formula>0.8</formula>
    </cfRule>
  </conditionalFormatting>
  <conditionalFormatting sqref="AJ115">
    <cfRule type="notContainsText" dxfId="226" priority="293" operator="notContains" text="Caida">
      <formula>ISERROR(SEARCH("Caida",AJ115))</formula>
    </cfRule>
    <cfRule type="containsText" dxfId="225" priority="294" operator="containsText" text="Caida">
      <formula>NOT(ISERROR(SEARCH("Caida",AJ115)))</formula>
    </cfRule>
  </conditionalFormatting>
  <conditionalFormatting sqref="AJ116">
    <cfRule type="cellIs" dxfId="224" priority="291" operator="lessThan">
      <formula>0.8</formula>
    </cfRule>
    <cfRule type="cellIs" dxfId="223" priority="292" operator="greaterThan">
      <formula>0.8</formula>
    </cfRule>
  </conditionalFormatting>
  <conditionalFormatting sqref="AJ116">
    <cfRule type="notContainsText" dxfId="222" priority="289" operator="notContains" text="Caida">
      <formula>ISERROR(SEARCH("Caida",AJ116))</formula>
    </cfRule>
    <cfRule type="containsText" dxfId="221" priority="290" operator="containsText" text="Caida">
      <formula>NOT(ISERROR(SEARCH("Caida",AJ116)))</formula>
    </cfRule>
  </conditionalFormatting>
  <conditionalFormatting sqref="AJ120">
    <cfRule type="cellIs" dxfId="220" priority="287" operator="lessThan">
      <formula>0.8</formula>
    </cfRule>
    <cfRule type="cellIs" dxfId="219" priority="288" operator="greaterThan">
      <formula>0.8</formula>
    </cfRule>
  </conditionalFormatting>
  <conditionalFormatting sqref="AJ120">
    <cfRule type="notContainsText" dxfId="218" priority="285" operator="notContains" text="Caida">
      <formula>ISERROR(SEARCH("Caida",AJ120))</formula>
    </cfRule>
    <cfRule type="containsText" dxfId="217" priority="286" operator="containsText" text="Caida">
      <formula>NOT(ISERROR(SEARCH("Caida",AJ120)))</formula>
    </cfRule>
  </conditionalFormatting>
  <conditionalFormatting sqref="AJ121">
    <cfRule type="cellIs" dxfId="216" priority="283" operator="lessThan">
      <formula>0.8</formula>
    </cfRule>
    <cfRule type="cellIs" dxfId="215" priority="284" operator="greaterThan">
      <formula>0.8</formula>
    </cfRule>
  </conditionalFormatting>
  <conditionalFormatting sqref="AJ121">
    <cfRule type="notContainsText" dxfId="214" priority="281" operator="notContains" text="Caida">
      <formula>ISERROR(SEARCH("Caida",AJ121))</formula>
    </cfRule>
    <cfRule type="containsText" dxfId="213" priority="282" operator="containsText" text="Caida">
      <formula>NOT(ISERROR(SEARCH("Caida",AJ121)))</formula>
    </cfRule>
  </conditionalFormatting>
  <conditionalFormatting sqref="AJ133">
    <cfRule type="cellIs" dxfId="212" priority="279" operator="lessThan">
      <formula>0.8</formula>
    </cfRule>
    <cfRule type="cellIs" dxfId="211" priority="280" operator="greaterThan">
      <formula>0.8</formula>
    </cfRule>
  </conditionalFormatting>
  <conditionalFormatting sqref="AJ133">
    <cfRule type="notContainsText" dxfId="210" priority="277" operator="notContains" text="Caida">
      <formula>ISERROR(SEARCH("Caida",AJ133))</formula>
    </cfRule>
    <cfRule type="containsText" dxfId="209" priority="278" operator="containsText" text="Caida">
      <formula>NOT(ISERROR(SEARCH("Caida",AJ133)))</formula>
    </cfRule>
  </conditionalFormatting>
  <conditionalFormatting sqref="AJ137">
    <cfRule type="cellIs" dxfId="208" priority="275" operator="lessThan">
      <formula>0.8</formula>
    </cfRule>
    <cfRule type="cellIs" dxfId="207" priority="276" operator="greaterThan">
      <formula>0.8</formula>
    </cfRule>
  </conditionalFormatting>
  <conditionalFormatting sqref="AJ137">
    <cfRule type="notContainsText" dxfId="206" priority="273" operator="notContains" text="Caida">
      <formula>ISERROR(SEARCH("Caida",AJ137))</formula>
    </cfRule>
    <cfRule type="containsText" dxfId="205" priority="274" operator="containsText" text="Caida">
      <formula>NOT(ISERROR(SEARCH("Caida",AJ137)))</formula>
    </cfRule>
  </conditionalFormatting>
  <conditionalFormatting sqref="AJ149">
    <cfRule type="cellIs" dxfId="204" priority="271" operator="lessThan">
      <formula>0.8</formula>
    </cfRule>
    <cfRule type="cellIs" dxfId="203" priority="272" operator="greaterThan">
      <formula>0.8</formula>
    </cfRule>
  </conditionalFormatting>
  <conditionalFormatting sqref="AJ149">
    <cfRule type="notContainsText" dxfId="202" priority="269" operator="notContains" text="Caida">
      <formula>ISERROR(SEARCH("Caida",AJ149))</formula>
    </cfRule>
    <cfRule type="containsText" dxfId="201" priority="270" operator="containsText" text="Caida">
      <formula>NOT(ISERROR(SEARCH("Caida",AJ149)))</formula>
    </cfRule>
  </conditionalFormatting>
  <conditionalFormatting sqref="AJ150">
    <cfRule type="cellIs" dxfId="200" priority="267" operator="lessThan">
      <formula>0.8</formula>
    </cfRule>
    <cfRule type="cellIs" dxfId="199" priority="268" operator="greaterThan">
      <formula>0.8</formula>
    </cfRule>
  </conditionalFormatting>
  <conditionalFormatting sqref="AJ150">
    <cfRule type="notContainsText" dxfId="198" priority="265" operator="notContains" text="Caida">
      <formula>ISERROR(SEARCH("Caida",AJ150))</formula>
    </cfRule>
    <cfRule type="containsText" dxfId="197" priority="266" operator="containsText" text="Caida">
      <formula>NOT(ISERROR(SEARCH("Caida",AJ150)))</formula>
    </cfRule>
  </conditionalFormatting>
  <conditionalFormatting sqref="AJ151">
    <cfRule type="cellIs" dxfId="196" priority="263" operator="lessThan">
      <formula>0.8</formula>
    </cfRule>
    <cfRule type="cellIs" dxfId="195" priority="264" operator="greaterThan">
      <formula>0.8</formula>
    </cfRule>
  </conditionalFormatting>
  <conditionalFormatting sqref="AJ151">
    <cfRule type="notContainsText" dxfId="194" priority="261" operator="notContains" text="Caida">
      <formula>ISERROR(SEARCH("Caida",AJ151))</formula>
    </cfRule>
    <cfRule type="containsText" dxfId="193" priority="262" operator="containsText" text="Caida">
      <formula>NOT(ISERROR(SEARCH("Caida",AJ151)))</formula>
    </cfRule>
  </conditionalFormatting>
  <conditionalFormatting sqref="AJ159">
    <cfRule type="cellIs" dxfId="192" priority="259" operator="lessThan">
      <formula>0.8</formula>
    </cfRule>
    <cfRule type="cellIs" dxfId="191" priority="260" operator="greaterThan">
      <formula>0.8</formula>
    </cfRule>
  </conditionalFormatting>
  <conditionalFormatting sqref="AJ159">
    <cfRule type="notContainsText" dxfId="190" priority="257" operator="notContains" text="Caida">
      <formula>ISERROR(SEARCH("Caida",AJ159))</formula>
    </cfRule>
    <cfRule type="containsText" dxfId="189" priority="258" operator="containsText" text="Caida">
      <formula>NOT(ISERROR(SEARCH("Caida",AJ159)))</formula>
    </cfRule>
  </conditionalFormatting>
  <conditionalFormatting sqref="AJ169">
    <cfRule type="cellIs" dxfId="188" priority="255" operator="lessThan">
      <formula>0.8</formula>
    </cfRule>
    <cfRule type="cellIs" dxfId="187" priority="256" operator="greaterThan">
      <formula>0.8</formula>
    </cfRule>
  </conditionalFormatting>
  <conditionalFormatting sqref="AJ169">
    <cfRule type="notContainsText" dxfId="186" priority="253" operator="notContains" text="Caida">
      <formula>ISERROR(SEARCH("Caida",AJ169))</formula>
    </cfRule>
    <cfRule type="containsText" dxfId="185" priority="254" operator="containsText" text="Caida">
      <formula>NOT(ISERROR(SEARCH("Caida",AJ169)))</formula>
    </cfRule>
  </conditionalFormatting>
  <conditionalFormatting sqref="AJ171">
    <cfRule type="cellIs" dxfId="184" priority="251" operator="lessThan">
      <formula>0.8</formula>
    </cfRule>
    <cfRule type="cellIs" dxfId="183" priority="252" operator="greaterThan">
      <formula>0.8</formula>
    </cfRule>
  </conditionalFormatting>
  <conditionalFormatting sqref="AJ171">
    <cfRule type="notContainsText" dxfId="182" priority="249" operator="notContains" text="Caida">
      <formula>ISERROR(SEARCH("Caida",AJ171))</formula>
    </cfRule>
    <cfRule type="containsText" dxfId="181" priority="250" operator="containsText" text="Caida">
      <formula>NOT(ISERROR(SEARCH("Caida",AJ171)))</formula>
    </cfRule>
  </conditionalFormatting>
  <conditionalFormatting sqref="AJ173">
    <cfRule type="cellIs" dxfId="180" priority="247" operator="lessThan">
      <formula>0.8</formula>
    </cfRule>
    <cfRule type="cellIs" dxfId="179" priority="248" operator="greaterThan">
      <formula>0.8</formula>
    </cfRule>
  </conditionalFormatting>
  <conditionalFormatting sqref="AJ173">
    <cfRule type="notContainsText" dxfId="178" priority="245" operator="notContains" text="Caida">
      <formula>ISERROR(SEARCH("Caida",AJ173))</formula>
    </cfRule>
    <cfRule type="containsText" dxfId="177" priority="246" operator="containsText" text="Caida">
      <formula>NOT(ISERROR(SEARCH("Caida",AJ173)))</formula>
    </cfRule>
  </conditionalFormatting>
  <conditionalFormatting sqref="AJ174">
    <cfRule type="cellIs" dxfId="176" priority="243" operator="lessThan">
      <formula>0.8</formula>
    </cfRule>
    <cfRule type="cellIs" dxfId="175" priority="244" operator="greaterThan">
      <formula>0.8</formula>
    </cfRule>
  </conditionalFormatting>
  <conditionalFormatting sqref="AJ174">
    <cfRule type="notContainsText" dxfId="174" priority="241" operator="notContains" text="Caida">
      <formula>ISERROR(SEARCH("Caida",AJ174))</formula>
    </cfRule>
    <cfRule type="containsText" dxfId="173" priority="242" operator="containsText" text="Caida">
      <formula>NOT(ISERROR(SEARCH("Caida",AJ174)))</formula>
    </cfRule>
  </conditionalFormatting>
  <conditionalFormatting sqref="AJ191">
    <cfRule type="cellIs" dxfId="172" priority="239" operator="lessThan">
      <formula>0.8</formula>
    </cfRule>
    <cfRule type="cellIs" dxfId="171" priority="240" operator="greaterThan">
      <formula>0.8</formula>
    </cfRule>
  </conditionalFormatting>
  <conditionalFormatting sqref="AJ191">
    <cfRule type="notContainsText" dxfId="170" priority="237" operator="notContains" text="Caida">
      <formula>ISERROR(SEARCH("Caida",AJ191))</formula>
    </cfRule>
    <cfRule type="containsText" dxfId="169" priority="238" operator="containsText" text="Caida">
      <formula>NOT(ISERROR(SEARCH("Caida",AJ191)))</formula>
    </cfRule>
  </conditionalFormatting>
  <conditionalFormatting sqref="AJ192">
    <cfRule type="cellIs" dxfId="168" priority="235" operator="lessThan">
      <formula>0.8</formula>
    </cfRule>
    <cfRule type="cellIs" dxfId="167" priority="236" operator="greaterThan">
      <formula>0.8</formula>
    </cfRule>
  </conditionalFormatting>
  <conditionalFormatting sqref="AJ192">
    <cfRule type="notContainsText" dxfId="166" priority="233" operator="notContains" text="Caida">
      <formula>ISERROR(SEARCH("Caida",AJ192))</formula>
    </cfRule>
    <cfRule type="containsText" dxfId="165" priority="234" operator="containsText" text="Caida">
      <formula>NOT(ISERROR(SEARCH("Caida",AJ192)))</formula>
    </cfRule>
  </conditionalFormatting>
  <conditionalFormatting sqref="AJ193">
    <cfRule type="cellIs" dxfId="164" priority="231" operator="lessThan">
      <formula>0.8</formula>
    </cfRule>
    <cfRule type="cellIs" dxfId="163" priority="232" operator="greaterThan">
      <formula>0.8</formula>
    </cfRule>
  </conditionalFormatting>
  <conditionalFormatting sqref="AJ193">
    <cfRule type="notContainsText" dxfId="162" priority="229" operator="notContains" text="Caida">
      <formula>ISERROR(SEARCH("Caida",AJ193))</formula>
    </cfRule>
    <cfRule type="containsText" dxfId="161" priority="230" operator="containsText" text="Caida">
      <formula>NOT(ISERROR(SEARCH("Caida",AJ193)))</formula>
    </cfRule>
  </conditionalFormatting>
  <conditionalFormatting sqref="AJ194">
    <cfRule type="cellIs" dxfId="160" priority="227" operator="lessThan">
      <formula>0.8</formula>
    </cfRule>
    <cfRule type="cellIs" dxfId="159" priority="228" operator="greaterThan">
      <formula>0.8</formula>
    </cfRule>
  </conditionalFormatting>
  <conditionalFormatting sqref="AJ194">
    <cfRule type="notContainsText" dxfId="158" priority="225" operator="notContains" text="Caida">
      <formula>ISERROR(SEARCH("Caida",AJ194))</formula>
    </cfRule>
    <cfRule type="containsText" dxfId="157" priority="226" operator="containsText" text="Caida">
      <formula>NOT(ISERROR(SEARCH("Caida",AJ194)))</formula>
    </cfRule>
  </conditionalFormatting>
  <conditionalFormatting sqref="AJ224">
    <cfRule type="cellIs" dxfId="156" priority="223" operator="lessThan">
      <formula>0.8</formula>
    </cfRule>
    <cfRule type="cellIs" dxfId="155" priority="224" operator="greaterThan">
      <formula>0.8</formula>
    </cfRule>
  </conditionalFormatting>
  <conditionalFormatting sqref="AJ224">
    <cfRule type="notContainsText" dxfId="154" priority="221" operator="notContains" text="Caida">
      <formula>ISERROR(SEARCH("Caida",AJ224))</formula>
    </cfRule>
    <cfRule type="containsText" dxfId="153" priority="222" operator="containsText" text="Caida">
      <formula>NOT(ISERROR(SEARCH("Caida",AJ224)))</formula>
    </cfRule>
  </conditionalFormatting>
  <conditionalFormatting sqref="AJ230">
    <cfRule type="cellIs" dxfId="152" priority="219" operator="lessThan">
      <formula>0.8</formula>
    </cfRule>
    <cfRule type="cellIs" dxfId="151" priority="220" operator="greaterThan">
      <formula>0.8</formula>
    </cfRule>
  </conditionalFormatting>
  <conditionalFormatting sqref="AJ230">
    <cfRule type="notContainsText" dxfId="150" priority="217" operator="notContains" text="Caida">
      <formula>ISERROR(SEARCH("Caida",AJ230))</formula>
    </cfRule>
    <cfRule type="containsText" dxfId="149" priority="218" operator="containsText" text="Caida">
      <formula>NOT(ISERROR(SEARCH("Caida",AJ230)))</formula>
    </cfRule>
  </conditionalFormatting>
  <conditionalFormatting sqref="AJ238">
    <cfRule type="cellIs" dxfId="148" priority="215" operator="lessThan">
      <formula>0.8</formula>
    </cfRule>
    <cfRule type="cellIs" dxfId="147" priority="216" operator="greaterThan">
      <formula>0.8</formula>
    </cfRule>
  </conditionalFormatting>
  <conditionalFormatting sqref="AJ238">
    <cfRule type="notContainsText" dxfId="146" priority="213" operator="notContains" text="Caida">
      <formula>ISERROR(SEARCH("Caida",AJ238))</formula>
    </cfRule>
    <cfRule type="containsText" dxfId="145" priority="214" operator="containsText" text="Caida">
      <formula>NOT(ISERROR(SEARCH("Caida",AJ238)))</formula>
    </cfRule>
  </conditionalFormatting>
  <conditionalFormatting sqref="AJ239">
    <cfRule type="cellIs" dxfId="144" priority="211" operator="lessThan">
      <formula>0.8</formula>
    </cfRule>
    <cfRule type="cellIs" dxfId="143" priority="212" operator="greaterThan">
      <formula>0.8</formula>
    </cfRule>
  </conditionalFormatting>
  <conditionalFormatting sqref="AJ239">
    <cfRule type="notContainsText" dxfId="142" priority="209" operator="notContains" text="Caida">
      <formula>ISERROR(SEARCH("Caida",AJ239))</formula>
    </cfRule>
    <cfRule type="containsText" dxfId="141" priority="210" operator="containsText" text="Caida">
      <formula>NOT(ISERROR(SEARCH("Caida",AJ239)))</formula>
    </cfRule>
  </conditionalFormatting>
  <conditionalFormatting sqref="AJ240">
    <cfRule type="cellIs" dxfId="140" priority="207" operator="lessThan">
      <formula>0.8</formula>
    </cfRule>
    <cfRule type="cellIs" dxfId="139" priority="208" operator="greaterThan">
      <formula>0.8</formula>
    </cfRule>
  </conditionalFormatting>
  <conditionalFormatting sqref="AJ240">
    <cfRule type="notContainsText" dxfId="138" priority="205" operator="notContains" text="Caida">
      <formula>ISERROR(SEARCH("Caida",AJ240))</formula>
    </cfRule>
    <cfRule type="containsText" dxfId="137" priority="206" operator="containsText" text="Caida">
      <formula>NOT(ISERROR(SEARCH("Caida",AJ240)))</formula>
    </cfRule>
  </conditionalFormatting>
  <conditionalFormatting sqref="AJ251">
    <cfRule type="cellIs" dxfId="136" priority="203" operator="lessThan">
      <formula>0.8</formula>
    </cfRule>
    <cfRule type="cellIs" dxfId="135" priority="204" operator="greaterThan">
      <formula>0.8</formula>
    </cfRule>
  </conditionalFormatting>
  <conditionalFormatting sqref="AJ251">
    <cfRule type="notContainsText" dxfId="134" priority="201" operator="notContains" text="Caida">
      <formula>ISERROR(SEARCH("Caida",AJ251))</formula>
    </cfRule>
    <cfRule type="containsText" dxfId="133" priority="202" operator="containsText" text="Caida">
      <formula>NOT(ISERROR(SEARCH("Caida",AJ251)))</formula>
    </cfRule>
  </conditionalFormatting>
  <conditionalFormatting sqref="AJ252">
    <cfRule type="cellIs" dxfId="132" priority="199" operator="lessThan">
      <formula>0.8</formula>
    </cfRule>
    <cfRule type="cellIs" dxfId="131" priority="200" operator="greaterThan">
      <formula>0.8</formula>
    </cfRule>
  </conditionalFormatting>
  <conditionalFormatting sqref="AJ252">
    <cfRule type="notContainsText" dxfId="130" priority="197" operator="notContains" text="Caida">
      <formula>ISERROR(SEARCH("Caida",AJ252))</formula>
    </cfRule>
    <cfRule type="containsText" dxfId="129" priority="198" operator="containsText" text="Caida">
      <formula>NOT(ISERROR(SEARCH("Caida",AJ252)))</formula>
    </cfRule>
  </conditionalFormatting>
  <conditionalFormatting sqref="AJ253">
    <cfRule type="cellIs" dxfId="128" priority="195" operator="lessThan">
      <formula>0.8</formula>
    </cfRule>
    <cfRule type="cellIs" dxfId="127" priority="196" operator="greaterThan">
      <formula>0.8</formula>
    </cfRule>
  </conditionalFormatting>
  <conditionalFormatting sqref="AJ253">
    <cfRule type="notContainsText" dxfId="126" priority="193" operator="notContains" text="Caida">
      <formula>ISERROR(SEARCH("Caida",AJ253))</formula>
    </cfRule>
    <cfRule type="containsText" dxfId="125" priority="194" operator="containsText" text="Caida">
      <formula>NOT(ISERROR(SEARCH("Caida",AJ253)))</formula>
    </cfRule>
  </conditionalFormatting>
  <conditionalFormatting sqref="AJ254">
    <cfRule type="cellIs" dxfId="124" priority="191" operator="lessThan">
      <formula>0.8</formula>
    </cfRule>
    <cfRule type="cellIs" dxfId="123" priority="192" operator="greaterThan">
      <formula>0.8</formula>
    </cfRule>
  </conditionalFormatting>
  <conditionalFormatting sqref="AJ254">
    <cfRule type="notContainsText" dxfId="122" priority="189" operator="notContains" text="Caida">
      <formula>ISERROR(SEARCH("Caida",AJ254))</formula>
    </cfRule>
    <cfRule type="containsText" dxfId="121" priority="190" operator="containsText" text="Caida">
      <formula>NOT(ISERROR(SEARCH("Caida",AJ254)))</formula>
    </cfRule>
  </conditionalFormatting>
  <conditionalFormatting sqref="AJ261">
    <cfRule type="cellIs" dxfId="120" priority="187" operator="lessThan">
      <formula>0.8</formula>
    </cfRule>
    <cfRule type="cellIs" dxfId="119" priority="188" operator="greaterThan">
      <formula>0.8</formula>
    </cfRule>
  </conditionalFormatting>
  <conditionalFormatting sqref="AJ261">
    <cfRule type="notContainsText" dxfId="118" priority="185" operator="notContains" text="Caida">
      <formula>ISERROR(SEARCH("Caida",AJ261))</formula>
    </cfRule>
    <cfRule type="containsText" dxfId="117" priority="186" operator="containsText" text="Caida">
      <formula>NOT(ISERROR(SEARCH("Caida",AJ261)))</formula>
    </cfRule>
  </conditionalFormatting>
  <conditionalFormatting sqref="AJ273">
    <cfRule type="cellIs" dxfId="116" priority="183" operator="lessThan">
      <formula>0.8</formula>
    </cfRule>
    <cfRule type="cellIs" dxfId="115" priority="184" operator="greaterThan">
      <formula>0.8</formula>
    </cfRule>
  </conditionalFormatting>
  <conditionalFormatting sqref="AJ273">
    <cfRule type="notContainsText" dxfId="114" priority="181" operator="notContains" text="Caida">
      <formula>ISERROR(SEARCH("Caida",AJ273))</formula>
    </cfRule>
    <cfRule type="containsText" dxfId="113" priority="182" operator="containsText" text="Caida">
      <formula>NOT(ISERROR(SEARCH("Caida",AJ273)))</formula>
    </cfRule>
  </conditionalFormatting>
  <conditionalFormatting sqref="AJ274">
    <cfRule type="cellIs" dxfId="112" priority="179" operator="lessThan">
      <formula>0.8</formula>
    </cfRule>
    <cfRule type="cellIs" dxfId="111" priority="180" operator="greaterThan">
      <formula>0.8</formula>
    </cfRule>
  </conditionalFormatting>
  <conditionalFormatting sqref="AJ274">
    <cfRule type="notContainsText" dxfId="110" priority="177" operator="notContains" text="Caida">
      <formula>ISERROR(SEARCH("Caida",AJ274))</formula>
    </cfRule>
    <cfRule type="containsText" dxfId="109" priority="178" operator="containsText" text="Caida">
      <formula>NOT(ISERROR(SEARCH("Caida",AJ274)))</formula>
    </cfRule>
  </conditionalFormatting>
  <conditionalFormatting sqref="AJ282">
    <cfRule type="cellIs" dxfId="108" priority="175" operator="lessThan">
      <formula>0.8</formula>
    </cfRule>
    <cfRule type="cellIs" dxfId="107" priority="176" operator="greaterThan">
      <formula>0.8</formula>
    </cfRule>
  </conditionalFormatting>
  <conditionalFormatting sqref="AJ282">
    <cfRule type="notContainsText" dxfId="106" priority="173" operator="notContains" text="Caida">
      <formula>ISERROR(SEARCH("Caida",AJ282))</formula>
    </cfRule>
    <cfRule type="containsText" dxfId="105" priority="174" operator="containsText" text="Caida">
      <formula>NOT(ISERROR(SEARCH("Caida",AJ282)))</formula>
    </cfRule>
  </conditionalFormatting>
  <conditionalFormatting sqref="AJ321">
    <cfRule type="cellIs" dxfId="104" priority="171" operator="lessThan">
      <formula>0.8</formula>
    </cfRule>
    <cfRule type="cellIs" dxfId="103" priority="172" operator="greaterThan">
      <formula>0.8</formula>
    </cfRule>
  </conditionalFormatting>
  <conditionalFormatting sqref="AJ321">
    <cfRule type="notContainsText" dxfId="102" priority="169" operator="notContains" text="Caida">
      <formula>ISERROR(SEARCH("Caida",AJ321))</formula>
    </cfRule>
    <cfRule type="containsText" dxfId="101" priority="170" operator="containsText" text="Caida">
      <formula>NOT(ISERROR(SEARCH("Caida",AJ321)))</formula>
    </cfRule>
  </conditionalFormatting>
  <conditionalFormatting sqref="AJ322">
    <cfRule type="cellIs" dxfId="100" priority="167" operator="lessThan">
      <formula>0.8</formula>
    </cfRule>
    <cfRule type="cellIs" dxfId="99" priority="168" operator="greaterThan">
      <formula>0.8</formula>
    </cfRule>
  </conditionalFormatting>
  <conditionalFormatting sqref="AJ322">
    <cfRule type="notContainsText" dxfId="98" priority="165" operator="notContains" text="Caida">
      <formula>ISERROR(SEARCH("Caida",AJ322))</formula>
    </cfRule>
    <cfRule type="containsText" dxfId="97" priority="166" operator="containsText" text="Caida">
      <formula>NOT(ISERROR(SEARCH("Caida",AJ322)))</formula>
    </cfRule>
  </conditionalFormatting>
  <conditionalFormatting sqref="AJ308">
    <cfRule type="cellIs" dxfId="96" priority="163" operator="lessThan">
      <formula>0.8</formula>
    </cfRule>
    <cfRule type="cellIs" dxfId="95" priority="164" operator="greaterThan">
      <formula>0.8</formula>
    </cfRule>
  </conditionalFormatting>
  <conditionalFormatting sqref="AJ308">
    <cfRule type="notContainsText" dxfId="94" priority="161" operator="notContains" text="Caida">
      <formula>ISERROR(SEARCH("Caida",AJ308))</formula>
    </cfRule>
    <cfRule type="containsText" dxfId="93" priority="162" operator="containsText" text="Caida">
      <formula>NOT(ISERROR(SEARCH("Caida",AJ308)))</formula>
    </cfRule>
  </conditionalFormatting>
  <conditionalFormatting sqref="AJ333">
    <cfRule type="cellIs" dxfId="92" priority="159" operator="lessThan">
      <formula>0.8</formula>
    </cfRule>
    <cfRule type="cellIs" dxfId="91" priority="160" operator="greaterThan">
      <formula>0.8</formula>
    </cfRule>
  </conditionalFormatting>
  <conditionalFormatting sqref="AJ333">
    <cfRule type="notContainsText" dxfId="90" priority="157" operator="notContains" text="Caida">
      <formula>ISERROR(SEARCH("Caida",AJ333))</formula>
    </cfRule>
    <cfRule type="containsText" dxfId="89" priority="158" operator="containsText" text="Caida">
      <formula>NOT(ISERROR(SEARCH("Caida",AJ333)))</formula>
    </cfRule>
  </conditionalFormatting>
  <conditionalFormatting sqref="AJ347">
    <cfRule type="cellIs" dxfId="88" priority="155" operator="lessThan">
      <formula>0.8</formula>
    </cfRule>
    <cfRule type="cellIs" dxfId="87" priority="156" operator="greaterThan">
      <formula>0.8</formula>
    </cfRule>
  </conditionalFormatting>
  <conditionalFormatting sqref="AJ347">
    <cfRule type="notContainsText" dxfId="86" priority="153" operator="notContains" text="Caida">
      <formula>ISERROR(SEARCH("Caida",AJ347))</formula>
    </cfRule>
    <cfRule type="containsText" dxfId="85" priority="154" operator="containsText" text="Caida">
      <formula>NOT(ISERROR(SEARCH("Caida",AJ347)))</formula>
    </cfRule>
  </conditionalFormatting>
  <conditionalFormatting sqref="AJ348">
    <cfRule type="cellIs" dxfId="84" priority="151" operator="lessThan">
      <formula>0.8</formula>
    </cfRule>
    <cfRule type="cellIs" dxfId="83" priority="152" operator="greaterThan">
      <formula>0.8</formula>
    </cfRule>
  </conditionalFormatting>
  <conditionalFormatting sqref="AJ348">
    <cfRule type="notContainsText" dxfId="82" priority="149" operator="notContains" text="Caida">
      <formula>ISERROR(SEARCH("Caida",AJ348))</formula>
    </cfRule>
    <cfRule type="containsText" dxfId="81" priority="150" operator="containsText" text="Caida">
      <formula>NOT(ISERROR(SEARCH("Caida",AJ348)))</formula>
    </cfRule>
  </conditionalFormatting>
  <conditionalFormatting sqref="AJ349">
    <cfRule type="cellIs" dxfId="80" priority="147" operator="lessThan">
      <formula>0.8</formula>
    </cfRule>
    <cfRule type="cellIs" dxfId="79" priority="148" operator="greaterThan">
      <formula>0.8</formula>
    </cfRule>
  </conditionalFormatting>
  <conditionalFormatting sqref="AJ349">
    <cfRule type="notContainsText" dxfId="78" priority="145" operator="notContains" text="Caida">
      <formula>ISERROR(SEARCH("Caida",AJ349))</formula>
    </cfRule>
    <cfRule type="containsText" dxfId="77" priority="146" operator="containsText" text="Caida">
      <formula>NOT(ISERROR(SEARCH("Caida",AJ349)))</formula>
    </cfRule>
  </conditionalFormatting>
  <conditionalFormatting sqref="AJ350">
    <cfRule type="cellIs" dxfId="76" priority="143" operator="lessThan">
      <formula>0.8</formula>
    </cfRule>
    <cfRule type="cellIs" dxfId="75" priority="144" operator="greaterThan">
      <formula>0.8</formula>
    </cfRule>
  </conditionalFormatting>
  <conditionalFormatting sqref="AJ350">
    <cfRule type="notContainsText" dxfId="74" priority="141" operator="notContains" text="Caida">
      <formula>ISERROR(SEARCH("Caida",AJ350))</formula>
    </cfRule>
    <cfRule type="containsText" dxfId="73" priority="142" operator="containsText" text="Caida">
      <formula>NOT(ISERROR(SEARCH("Caida",AJ350)))</formula>
    </cfRule>
  </conditionalFormatting>
  <conditionalFormatting sqref="AJ351">
    <cfRule type="cellIs" dxfId="72" priority="139" operator="lessThan">
      <formula>0.8</formula>
    </cfRule>
    <cfRule type="cellIs" dxfId="71" priority="140" operator="greaterThan">
      <formula>0.8</formula>
    </cfRule>
  </conditionalFormatting>
  <conditionalFormatting sqref="AJ351">
    <cfRule type="notContainsText" dxfId="70" priority="137" operator="notContains" text="Caida">
      <formula>ISERROR(SEARCH("Caida",AJ351))</formula>
    </cfRule>
    <cfRule type="containsText" dxfId="69" priority="138" operator="containsText" text="Caida">
      <formula>NOT(ISERROR(SEARCH("Caida",AJ351)))</formula>
    </cfRule>
  </conditionalFormatting>
  <conditionalFormatting sqref="AJ369">
    <cfRule type="cellIs" dxfId="68" priority="135" operator="lessThan">
      <formula>0.8</formula>
    </cfRule>
    <cfRule type="cellIs" dxfId="67" priority="136" operator="greaterThan">
      <formula>0.8</formula>
    </cfRule>
  </conditionalFormatting>
  <conditionalFormatting sqref="AJ369">
    <cfRule type="notContainsText" dxfId="66" priority="133" operator="notContains" text="Caida">
      <formula>ISERROR(SEARCH("Caida",AJ369))</formula>
    </cfRule>
    <cfRule type="containsText" dxfId="65" priority="134" operator="containsText" text="Caida">
      <formula>NOT(ISERROR(SEARCH("Caida",AJ369)))</formula>
    </cfRule>
  </conditionalFormatting>
  <conditionalFormatting sqref="AJ204">
    <cfRule type="cellIs" dxfId="64" priority="131" operator="lessThan">
      <formula>0.8</formula>
    </cfRule>
    <cfRule type="cellIs" dxfId="63" priority="132" operator="greaterThan">
      <formula>0.8</formula>
    </cfRule>
  </conditionalFormatting>
  <conditionalFormatting sqref="AJ204">
    <cfRule type="notContainsText" dxfId="62" priority="129" operator="notContains" text="Caida">
      <formula>ISERROR(SEARCH("Caida",AJ204))</formula>
    </cfRule>
    <cfRule type="containsText" dxfId="61" priority="130" operator="containsText" text="Caida">
      <formula>NOT(ISERROR(SEARCH("Caida",AJ204)))</formula>
    </cfRule>
  </conditionalFormatting>
  <conditionalFormatting sqref="AJ197">
    <cfRule type="cellIs" dxfId="60" priority="127" operator="lessThan">
      <formula>0.8</formula>
    </cfRule>
    <cfRule type="cellIs" dxfId="59" priority="128" operator="greaterThan">
      <formula>0.8</formula>
    </cfRule>
  </conditionalFormatting>
  <conditionalFormatting sqref="AJ197">
    <cfRule type="notContainsText" dxfId="58" priority="125" operator="notContains" text="Caida">
      <formula>ISERROR(SEARCH("Caida",AJ197))</formula>
    </cfRule>
    <cfRule type="containsText" dxfId="57" priority="126" operator="containsText" text="Caida">
      <formula>NOT(ISERROR(SEARCH("Caida",AJ197)))</formula>
    </cfRule>
  </conditionalFormatting>
  <conditionalFormatting sqref="AJ206">
    <cfRule type="cellIs" dxfId="56" priority="123" operator="lessThan">
      <formula>0.8</formula>
    </cfRule>
    <cfRule type="cellIs" dxfId="55" priority="124" operator="greaterThan">
      <formula>0.8</formula>
    </cfRule>
  </conditionalFormatting>
  <conditionalFormatting sqref="AJ206">
    <cfRule type="notContainsText" dxfId="54" priority="121" operator="notContains" text="Caida">
      <formula>ISERROR(SEARCH("Caida",AJ206))</formula>
    </cfRule>
    <cfRule type="containsText" dxfId="53" priority="122" operator="containsText" text="Caida">
      <formula>NOT(ISERROR(SEARCH("Caida",AJ206)))</formula>
    </cfRule>
  </conditionalFormatting>
  <conditionalFormatting sqref="AJ5">
    <cfRule type="cellIs" dxfId="52" priority="119" operator="lessThan">
      <formula>0.8</formula>
    </cfRule>
    <cfRule type="cellIs" dxfId="51" priority="120" operator="greaterThan">
      <formula>0.8</formula>
    </cfRule>
  </conditionalFormatting>
  <conditionalFormatting sqref="AJ5">
    <cfRule type="notContainsText" dxfId="50" priority="117" operator="notContains" text="Caida">
      <formula>ISERROR(SEARCH("Caida",AJ5))</formula>
    </cfRule>
    <cfRule type="containsText" dxfId="49" priority="118" operator="containsText" text="Caida">
      <formula>NOT(ISERROR(SEARCH("Caida",AJ5)))</formula>
    </cfRule>
  </conditionalFormatting>
  <conditionalFormatting sqref="AJ279">
    <cfRule type="cellIs" dxfId="48" priority="115" operator="lessThan">
      <formula>0.8</formula>
    </cfRule>
    <cfRule type="cellIs" dxfId="47" priority="116" operator="greaterThan">
      <formula>0.8</formula>
    </cfRule>
  </conditionalFormatting>
  <conditionalFormatting sqref="AJ279">
    <cfRule type="notContainsText" dxfId="46" priority="113" operator="notContains" text="Caida">
      <formula>ISERROR(SEARCH("Caida",AJ279))</formula>
    </cfRule>
    <cfRule type="containsText" dxfId="45" priority="114" operator="containsText" text="Caida">
      <formula>NOT(ISERROR(SEARCH("Caida",AJ279)))</formula>
    </cfRule>
  </conditionalFormatting>
  <conditionalFormatting sqref="R371:T372">
    <cfRule type="cellIs" dxfId="44" priority="110" operator="lessThan">
      <formula>0.8</formula>
    </cfRule>
    <cfRule type="cellIs" dxfId="43" priority="111" operator="greaterThan">
      <formula>0.8</formula>
    </cfRule>
  </conditionalFormatting>
  <conditionalFormatting sqref="R371:T372">
    <cfRule type="notContainsText" dxfId="42" priority="108" operator="notContains" text="Caida">
      <formula>ISERROR(SEARCH("Caida",R371))</formula>
    </cfRule>
    <cfRule type="containsText" dxfId="41" priority="109" operator="containsText" text="Caida">
      <formula>NOT(ISERROR(SEARCH("Caida",R371)))</formula>
    </cfRule>
  </conditionalFormatting>
  <conditionalFormatting sqref="AG371:AH372">
    <cfRule type="cellIs" dxfId="40" priority="106" operator="lessThan">
      <formula>0.8</formula>
    </cfRule>
    <cfRule type="cellIs" dxfId="39" priority="107" operator="greaterThan">
      <formula>0.8</formula>
    </cfRule>
  </conditionalFormatting>
  <conditionalFormatting sqref="AG371:AH372">
    <cfRule type="notContainsText" dxfId="38" priority="104" operator="notContains" text="Caida">
      <formula>ISERROR(SEARCH("Caida",AG371))</formula>
    </cfRule>
    <cfRule type="containsText" dxfId="37" priority="105" operator="containsText" text="Caida">
      <formula>NOT(ISERROR(SEARCH("Caida",AG371)))</formula>
    </cfRule>
  </conditionalFormatting>
  <conditionalFormatting sqref="O6:O92">
    <cfRule type="cellIs" dxfId="36" priority="98" operator="lessThan">
      <formula>0.8</formula>
    </cfRule>
    <cfRule type="cellIs" dxfId="35" priority="99" operator="greaterThan">
      <formula>0.8</formula>
    </cfRule>
  </conditionalFormatting>
  <conditionalFormatting sqref="O6:O92">
    <cfRule type="notContainsText" dxfId="34" priority="96" operator="notContains" text="Caida">
      <formula>ISERROR(SEARCH("Caida",O6))</formula>
    </cfRule>
    <cfRule type="containsText" dxfId="33" priority="97" operator="containsText" text="Caida">
      <formula>NOT(ISERROR(SEARCH("Caida",O6)))</formula>
    </cfRule>
  </conditionalFormatting>
  <conditionalFormatting sqref="O22">
    <cfRule type="containsText" dxfId="32" priority="95" operator="containsText" text="Instaladas en Funcionamiento Caida">
      <formula>NOT(ISERROR(SEARCH("Instaladas en Funcionamiento Caida",O22)))</formula>
    </cfRule>
  </conditionalFormatting>
  <conditionalFormatting sqref="O5">
    <cfRule type="cellIs" dxfId="31" priority="93" operator="lessThan">
      <formula>0.8</formula>
    </cfRule>
    <cfRule type="cellIs" dxfId="30" priority="94" operator="greaterThan">
      <formula>0.8</formula>
    </cfRule>
  </conditionalFormatting>
  <conditionalFormatting sqref="O5">
    <cfRule type="notContainsText" dxfId="29" priority="91" operator="notContains" text="Caida">
      <formula>ISERROR(SEARCH("Caida",O5))</formula>
    </cfRule>
    <cfRule type="containsText" dxfId="28" priority="92" operator="containsText" text="Caida">
      <formula>NOT(ISERROR(SEARCH("Caida",O5)))</formula>
    </cfRule>
  </conditionalFormatting>
  <conditionalFormatting sqref="O93:O94">
    <cfRule type="cellIs" dxfId="27" priority="89" operator="lessThan">
      <formula>0.8</formula>
    </cfRule>
    <cfRule type="cellIs" dxfId="26" priority="90" operator="greaterThan">
      <formula>0.8</formula>
    </cfRule>
  </conditionalFormatting>
  <conditionalFormatting sqref="O93:O94">
    <cfRule type="notContainsText" dxfId="25" priority="87" operator="notContains" text="Caida">
      <formula>ISERROR(SEARCH("Caida",O93))</formula>
    </cfRule>
    <cfRule type="containsText" dxfId="24" priority="88" operator="containsText" text="Caida">
      <formula>NOT(ISERROR(SEARCH("Caida",O93)))</formula>
    </cfRule>
  </conditionalFormatting>
  <conditionalFormatting sqref="AQ6:AS92">
    <cfRule type="cellIs" dxfId="23" priority="80" operator="lessThan">
      <formula>0.8</formula>
    </cfRule>
    <cfRule type="cellIs" dxfId="22" priority="81" operator="greaterThan">
      <formula>0.8</formula>
    </cfRule>
  </conditionalFormatting>
  <conditionalFormatting sqref="AQ6:AS92">
    <cfRule type="notContainsText" dxfId="21" priority="78" operator="notContains" text="Caida">
      <formula>ISERROR(SEARCH("Caida",AQ6))</formula>
    </cfRule>
    <cfRule type="containsText" dxfId="20" priority="79" operator="containsText" text="Caida">
      <formula>NOT(ISERROR(SEARCH("Caida",AQ6)))</formula>
    </cfRule>
  </conditionalFormatting>
  <conditionalFormatting sqref="AQ93:AS94">
    <cfRule type="cellIs" dxfId="19" priority="76" operator="lessThan">
      <formula>0.8</formula>
    </cfRule>
    <cfRule type="cellIs" dxfId="18" priority="77" operator="greaterThan">
      <formula>0.8</formula>
    </cfRule>
  </conditionalFormatting>
  <conditionalFormatting sqref="AQ93:AS94">
    <cfRule type="notContainsText" dxfId="17" priority="74" operator="notContains" text="Caida">
      <formula>ISERROR(SEARCH("Caida",AQ93))</formula>
    </cfRule>
    <cfRule type="containsText" dxfId="16" priority="75" operator="containsText" text="Caida">
      <formula>NOT(ISERROR(SEARCH("Caida",AQ93)))</formula>
    </cfRule>
  </conditionalFormatting>
  <conditionalFormatting sqref="Y6:AF92">
    <cfRule type="cellIs" dxfId="15" priority="15" operator="lessThan">
      <formula>0.8</formula>
    </cfRule>
    <cfRule type="cellIs" dxfId="14" priority="16" operator="greaterThan">
      <formula>0.8</formula>
    </cfRule>
  </conditionalFormatting>
  <conditionalFormatting sqref="Y6:AF92">
    <cfRule type="notContainsText" dxfId="13" priority="13" operator="notContains" text="Caida">
      <formula>ISERROR(SEARCH("Caida",Y6))</formula>
    </cfRule>
    <cfRule type="containsText" dxfId="12" priority="14" operator="containsText" text="Caida">
      <formula>NOT(ISERROR(SEARCH("Caida",Y6)))</formula>
    </cfRule>
  </conditionalFormatting>
  <conditionalFormatting sqref="Y93:AF95">
    <cfRule type="cellIs" dxfId="11" priority="11" operator="lessThan">
      <formula>0.8</formula>
    </cfRule>
    <cfRule type="cellIs" dxfId="10" priority="12" operator="greaterThan">
      <formula>0.8</formula>
    </cfRule>
  </conditionalFormatting>
  <conditionalFormatting sqref="Y93:AF95">
    <cfRule type="notContainsText" dxfId="9" priority="9" operator="notContains" text="Caida">
      <formula>ISERROR(SEARCH("Caida",Y93))</formula>
    </cfRule>
    <cfRule type="containsText" dxfId="8" priority="10" operator="containsText" text="Caida">
      <formula>NOT(ISERROR(SEARCH("Caida",Y93)))</formula>
    </cfRule>
  </conditionalFormatting>
  <conditionalFormatting sqref="AF1:AF1048576">
    <cfRule type="cellIs" dxfId="7" priority="8" operator="equal">
      <formula>"apagado"</formula>
    </cfRule>
  </conditionalFormatting>
  <conditionalFormatting sqref="AE1:AE1048576">
    <cfRule type="cellIs" dxfId="6" priority="7" operator="equal">
      <formula>"apagado"</formula>
    </cfRule>
  </conditionalFormatting>
  <conditionalFormatting sqref="AD1:AD1048576">
    <cfRule type="cellIs" dxfId="5" priority="6" operator="equal">
      <formula>"apagado"</formula>
    </cfRule>
  </conditionalFormatting>
  <conditionalFormatting sqref="AC1:AC1048576">
    <cfRule type="cellIs" dxfId="4" priority="5" operator="equal">
      <formula>"apagado"</formula>
    </cfRule>
  </conditionalFormatting>
  <conditionalFormatting sqref="AB1:AB1048576">
    <cfRule type="cellIs" dxfId="3" priority="4" operator="equal">
      <formula>"apagado"</formula>
    </cfRule>
  </conditionalFormatting>
  <conditionalFormatting sqref="AA1:AA1048576">
    <cfRule type="cellIs" dxfId="2" priority="3" operator="equal">
      <formula>"apagado"</formula>
    </cfRule>
  </conditionalFormatting>
  <conditionalFormatting sqref="Z1:Z1048576">
    <cfRule type="cellIs" dxfId="1" priority="2" operator="equal">
      <formula>"apagado"</formula>
    </cfRule>
  </conditionalFormatting>
  <conditionalFormatting sqref="Y1:Y1048576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8" bestFit="1" customWidth="1"/>
    <col min="2" max="2" width="81.109375" style="48" bestFit="1" customWidth="1"/>
    <col min="3" max="16384" width="11.5546875" style="48"/>
  </cols>
  <sheetData>
    <row r="1" spans="1:1" x14ac:dyDescent="0.3">
      <c r="A1" s="48" t="s">
        <v>1312</v>
      </c>
    </row>
    <row r="2" spans="1:1" ht="15" thickBot="1" x14ac:dyDescent="0.35"/>
    <row r="3" spans="1:1" ht="19.2" thickTop="1" thickBot="1" x14ac:dyDescent="0.35">
      <c r="A3" s="49">
        <v>44621</v>
      </c>
    </row>
    <row r="4" spans="1:1" ht="19.2" thickTop="1" thickBot="1" x14ac:dyDescent="0.35">
      <c r="A4" s="49">
        <v>44622</v>
      </c>
    </row>
    <row r="5" spans="1:1" ht="19.2" thickTop="1" thickBot="1" x14ac:dyDescent="0.35">
      <c r="A5" s="49">
        <v>44623</v>
      </c>
    </row>
    <row r="6" spans="1:1" ht="19.2" thickTop="1" thickBot="1" x14ac:dyDescent="0.35">
      <c r="A6" s="49">
        <v>44624</v>
      </c>
    </row>
    <row r="7" spans="1:1" ht="19.2" thickTop="1" thickBot="1" x14ac:dyDescent="0.35">
      <c r="A7" s="49">
        <v>44625</v>
      </c>
    </row>
    <row r="8" spans="1:1" ht="19.2" thickTop="1" thickBot="1" x14ac:dyDescent="0.35">
      <c r="A8" s="49">
        <v>44626</v>
      </c>
    </row>
    <row r="9" spans="1:1" ht="19.2" thickTop="1" thickBot="1" x14ac:dyDescent="0.35">
      <c r="A9" s="49">
        <v>44627</v>
      </c>
    </row>
    <row r="10" spans="1:1" ht="19.2" thickTop="1" thickBot="1" x14ac:dyDescent="0.35">
      <c r="A10" s="49">
        <v>44628</v>
      </c>
    </row>
    <row r="11" spans="1:1" ht="19.2" thickTop="1" thickBot="1" x14ac:dyDescent="0.35">
      <c r="A11" s="49">
        <v>44629</v>
      </c>
    </row>
    <row r="12" spans="1:1" ht="19.2" thickTop="1" thickBot="1" x14ac:dyDescent="0.35">
      <c r="A12" s="49">
        <v>44630</v>
      </c>
    </row>
    <row r="13" spans="1:1" ht="19.2" thickTop="1" thickBot="1" x14ac:dyDescent="0.35">
      <c r="A13" s="49">
        <v>44631</v>
      </c>
    </row>
    <row r="14" spans="1:1" ht="19.2" thickTop="1" thickBot="1" x14ac:dyDescent="0.35">
      <c r="A14" s="49">
        <v>44632</v>
      </c>
    </row>
    <row r="15" spans="1:1" ht="19.2" thickTop="1" thickBot="1" x14ac:dyDescent="0.35">
      <c r="A15" s="49">
        <v>44633</v>
      </c>
    </row>
    <row r="16" spans="1:1" ht="19.2" thickTop="1" thickBot="1" x14ac:dyDescent="0.35">
      <c r="A16" s="49">
        <v>44634</v>
      </c>
    </row>
    <row r="17" spans="1:2" ht="19.2" thickTop="1" thickBot="1" x14ac:dyDescent="0.35">
      <c r="A17" s="49">
        <v>44635</v>
      </c>
    </row>
    <row r="18" spans="1:2" ht="19.2" thickTop="1" thickBot="1" x14ac:dyDescent="0.35">
      <c r="A18" s="49">
        <v>44636</v>
      </c>
    </row>
    <row r="19" spans="1:2" ht="19.2" thickTop="1" thickBot="1" x14ac:dyDescent="0.35">
      <c r="A19" s="49">
        <v>44637</v>
      </c>
    </row>
    <row r="20" spans="1:2" ht="19.2" thickTop="1" thickBot="1" x14ac:dyDescent="0.35">
      <c r="A20" s="49">
        <v>44638</v>
      </c>
    </row>
    <row r="21" spans="1:2" ht="19.2" thickTop="1" thickBot="1" x14ac:dyDescent="0.35">
      <c r="A21" s="49">
        <v>44639</v>
      </c>
    </row>
    <row r="22" spans="1:2" ht="19.2" thickTop="1" thickBot="1" x14ac:dyDescent="0.35">
      <c r="A22" s="49">
        <v>44640</v>
      </c>
    </row>
    <row r="23" spans="1:2" ht="19.2" thickTop="1" thickBot="1" x14ac:dyDescent="0.35">
      <c r="A23" s="49">
        <v>44641</v>
      </c>
      <c r="B23" s="50"/>
    </row>
    <row r="24" spans="1:2" ht="19.2" thickTop="1" thickBot="1" x14ac:dyDescent="0.35">
      <c r="A24" s="49">
        <v>44642</v>
      </c>
      <c r="B24" s="51"/>
    </row>
    <row r="25" spans="1:2" ht="19.2" thickTop="1" thickBot="1" x14ac:dyDescent="0.35">
      <c r="A25" s="49">
        <v>44643</v>
      </c>
    </row>
    <row r="26" spans="1:2" ht="19.2" thickTop="1" thickBot="1" x14ac:dyDescent="0.35">
      <c r="A26" s="49">
        <v>44644</v>
      </c>
    </row>
    <row r="27" spans="1:2" ht="19.2" thickTop="1" thickBot="1" x14ac:dyDescent="0.35">
      <c r="A27" s="49">
        <v>44645</v>
      </c>
    </row>
    <row r="28" spans="1:2" ht="19.2" thickTop="1" thickBot="1" x14ac:dyDescent="0.35">
      <c r="A28" s="49">
        <v>44646</v>
      </c>
    </row>
    <row r="29" spans="1:2" ht="19.2" thickTop="1" thickBot="1" x14ac:dyDescent="0.35">
      <c r="A29" s="49">
        <v>44647</v>
      </c>
    </row>
    <row r="30" spans="1:2" ht="19.2" thickTop="1" thickBot="1" x14ac:dyDescent="0.35">
      <c r="A30" s="49">
        <v>44648</v>
      </c>
    </row>
    <row r="31" spans="1:2" ht="19.2" thickTop="1" thickBot="1" x14ac:dyDescent="0.35">
      <c r="A31" s="49">
        <v>44649</v>
      </c>
    </row>
    <row r="32" spans="1:2" ht="19.2" thickTop="1" thickBot="1" x14ac:dyDescent="0.35">
      <c r="A32" s="49">
        <v>44650</v>
      </c>
    </row>
    <row r="33" spans="1:1" ht="19.2" thickTop="1" thickBot="1" x14ac:dyDescent="0.35">
      <c r="A33" s="49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</row>
    <row r="369" spans="1:33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</row>
    <row r="370" spans="1:33" x14ac:dyDescent="0.3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3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3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3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7" t="s">
        <v>934</v>
      </c>
      <c r="F1" s="27">
        <f t="shared" ref="F1:AC1" si="0">COUNTIF(F3:F366, "APAGADO")</f>
        <v>61</v>
      </c>
      <c r="G1" s="27">
        <f t="shared" si="0"/>
        <v>79</v>
      </c>
      <c r="H1" s="27">
        <f t="shared" si="0"/>
        <v>76</v>
      </c>
      <c r="I1" s="27">
        <f t="shared" si="0"/>
        <v>69</v>
      </c>
      <c r="J1" s="27">
        <f t="shared" si="0"/>
        <v>69</v>
      </c>
      <c r="K1" s="27">
        <f t="shared" si="0"/>
        <v>68</v>
      </c>
      <c r="L1" s="27">
        <f t="shared" si="0"/>
        <v>70</v>
      </c>
      <c r="M1" s="27">
        <f t="shared" si="0"/>
        <v>66</v>
      </c>
      <c r="N1" s="27">
        <f t="shared" si="0"/>
        <v>78</v>
      </c>
      <c r="O1" s="27">
        <f t="shared" si="0"/>
        <v>68</v>
      </c>
      <c r="P1" s="27">
        <f t="shared" si="0"/>
        <v>58</v>
      </c>
      <c r="Q1" s="27">
        <f t="shared" si="0"/>
        <v>48</v>
      </c>
      <c r="R1" s="27">
        <f t="shared" si="0"/>
        <v>53</v>
      </c>
      <c r="S1" s="27">
        <f t="shared" si="0"/>
        <v>58</v>
      </c>
      <c r="T1" s="27">
        <f t="shared" si="0"/>
        <v>48</v>
      </c>
      <c r="U1" s="27">
        <f t="shared" si="0"/>
        <v>64</v>
      </c>
      <c r="V1" s="27">
        <f t="shared" si="0"/>
        <v>43</v>
      </c>
      <c r="W1" s="27">
        <f>COUNTIF(W3:W447, "APAGADO")</f>
        <v>52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812" priority="1" operator="equal">
      <formula>0</formula>
    </cfRule>
    <cfRule type="cellIs" dxfId="81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Q205" activePane="bottomRight" state="frozen"/>
      <selection pane="topRight" activeCell="F1" sqref="F1"/>
      <selection pane="bottomLeft" activeCell="A8" sqref="A8"/>
      <selection pane="bottomRight" activeCell="C372" sqref="C372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4" t="s">
        <v>1323</v>
      </c>
      <c r="D1" s="55">
        <f>COUNTIFS(E4:E369,"=Fibra Optica")</f>
        <v>237</v>
      </c>
    </row>
    <row r="2" spans="1:36" ht="21" x14ac:dyDescent="0.4">
      <c r="E2" s="27" t="s">
        <v>934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42</v>
      </c>
      <c r="Q2" s="27">
        <f>COUNTIFS(Q4:Q367, "=APAGADO",E4:E367,"=Fibra Optica")</f>
        <v>35</v>
      </c>
      <c r="R2" s="27">
        <f>COUNTIFS(R4:R367, "=APAGADO",E4:E367,"=Fibra Optica")</f>
        <v>37</v>
      </c>
      <c r="S2" s="27">
        <f>COUNTIFS(S4:S367, "=APAGADO",E4:E367,"=Fibra Optica")</f>
        <v>46</v>
      </c>
      <c r="T2" s="27">
        <f>COUNTIFS(T4:T367, "=APAGADO",E4:E367,"=Fibra Optica")</f>
        <v>35</v>
      </c>
      <c r="U2" s="27">
        <f>COUNTIFS(U4:U367, "=APAGADO",E4:E367,"=Fibra Optica")</f>
        <v>49</v>
      </c>
      <c r="V2" s="27">
        <f>COUNTIFS(V4:V367, "=APAGADO",E4:E367,"=Fibra Optica")</f>
        <v>28</v>
      </c>
      <c r="W2" s="27">
        <f>COUNTIFS(W4:W367, "=APAGADO",E4:E367,"=Fibra Optica")</f>
        <v>37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2">
      <filters>
        <filter val="APAGADO"/>
      </filters>
    </filterColumn>
  </autoFilter>
  <conditionalFormatting sqref="F9:AG360">
    <cfRule type="containsText" dxfId="81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6" t="s">
        <v>1324</v>
      </c>
      <c r="D1" s="56">
        <f>COUNTIFS(E4:E367,"=PTP A FO")</f>
        <v>38</v>
      </c>
    </row>
    <row r="2" spans="1:36" ht="21" x14ac:dyDescent="0.4">
      <c r="E2" s="27" t="s">
        <v>934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11</v>
      </c>
      <c r="Q2" s="27">
        <f>COUNTIFS(Q4:Q367, "=APAGADO",E4:E367,"=PTP A FO")</f>
        <v>8</v>
      </c>
      <c r="R2" s="27">
        <f>COUNTIFS(R4:R367, "=APAGADO",E4:E367,"=PTP A FO")</f>
        <v>10</v>
      </c>
      <c r="S2" s="27">
        <f>COUNTIFS(S4:S367, "=APAGADO",E4:E367,"=PTP A FO")</f>
        <v>8</v>
      </c>
      <c r="T2" s="27">
        <f>COUNTIFS(T4:T367, "=APAGADO",E4:E367,"=PTP A FO")</f>
        <v>9</v>
      </c>
      <c r="U2" s="27">
        <f>COUNTIFS(U4:U367, "=APAGADO",E4:E367,"=PTP A FO")</f>
        <v>11</v>
      </c>
      <c r="V2" s="27">
        <f>COUNTIFS(V4:V367, "=APAGADO",E4:E367,"=PTP A FO")</f>
        <v>12</v>
      </c>
      <c r="W2" s="27">
        <f>COUNTIFS(W4:W367, "=APAGADO",E4:E367,"=PTP A FO")</f>
        <v>12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2">
      <filters>
        <filter val="APAGADO"/>
      </filters>
    </filterColumn>
  </autoFilter>
  <conditionalFormatting sqref="AE3:AE1048576">
    <cfRule type="containsText" dxfId="809" priority="2" operator="containsText" text="APAGADO">
      <formula>NOT(ISERROR(SEARCH("APAGADO",AE3)))</formula>
    </cfRule>
  </conditionalFormatting>
  <conditionalFormatting sqref="F4:AG370">
    <cfRule type="containsText" dxfId="80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6" t="s">
        <v>1325</v>
      </c>
      <c r="D1" s="56">
        <f>COUNTIFS(E4:E367,"=radio")</f>
        <v>88</v>
      </c>
    </row>
    <row r="2" spans="1:36" ht="21" x14ac:dyDescent="0.4">
      <c r="E2" s="27" t="s">
        <v>934</v>
      </c>
      <c r="F2" s="27">
        <f>COUNTIFS(F4:F367, "=APAGADO",E4:E367,"=radio")</f>
        <v>7</v>
      </c>
      <c r="G2" s="27">
        <f>COUNTIFS(G4:G367, "=APAGADO",E4:E367,"=radio")</f>
        <v>6</v>
      </c>
      <c r="H2" s="27">
        <f>COUNTIFS(H4:H367, "=APAGADO",E4:E367,"=radio")</f>
        <v>7</v>
      </c>
      <c r="I2" s="27">
        <f>COUNTIFS(I4:I367, "=APAGADO",E4:E367,"=radio")</f>
        <v>8</v>
      </c>
      <c r="J2" s="27">
        <f>COUNTIFS(J4:J367, "=APAGADO",E4:E367,"=radio")</f>
        <v>8</v>
      </c>
      <c r="K2" s="27">
        <f>COUNTIFS(K4:K367, "=APAGADO",E4:E367,"=radio")</f>
        <v>6</v>
      </c>
      <c r="L2" s="27">
        <f>COUNTIFS(L4:L367, "=APAGADO",E4:E367,"=radio")</f>
        <v>8</v>
      </c>
      <c r="M2" s="27">
        <f>COUNTIFS(M4:M367, "=APAGADO",E4:E367,"=radio")</f>
        <v>8</v>
      </c>
      <c r="N2" s="27">
        <f>COUNTIFS(N4:N367, "=APAGADO",E4:E367,"=radio")</f>
        <v>9</v>
      </c>
      <c r="O2" s="27">
        <f>COUNTIFS(O4:O367, "=APAGADO",E4:E367,"=radio")</f>
        <v>7</v>
      </c>
      <c r="P2" s="27">
        <f>COUNTIFS(P4:P367, "=APAGADO",E4:E367,"=radio")</f>
        <v>5</v>
      </c>
      <c r="Q2" s="27">
        <f>COUNTIFS(Q4:Q367, "=APAGADO",E4:E367,"=radio")</f>
        <v>4</v>
      </c>
      <c r="R2" s="27">
        <f>COUNTIFS(R4:R367, "=APAGADO",E4:E367,"=radio")</f>
        <v>5</v>
      </c>
      <c r="S2" s="27">
        <f>COUNTIFS(S4:S367, "=APAGADO",E4:E367,"=radio")</f>
        <v>4</v>
      </c>
      <c r="T2" s="27">
        <f>COUNTIFS(T4:T367, "=APAGADO",E4:E367,"=radio")</f>
        <v>4</v>
      </c>
      <c r="U2" s="27">
        <f>COUNTIFS(U4:U367, "=APAGADO",E4:E367,"=radio")</f>
        <v>4</v>
      </c>
      <c r="V2" s="27">
        <f>COUNTIFS(V4:V367, "=APAGADO",E4:E367,"=radio")</f>
        <v>3</v>
      </c>
      <c r="W2" s="27">
        <f>COUNTIFS(W4:W367, "=APAGADO",E4:E367,"=radio")</f>
        <v>3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2">
      <filters>
        <filter val="APAGADO"/>
      </filters>
    </filterColumn>
  </autoFilter>
  <conditionalFormatting sqref="AE3:AE1048576">
    <cfRule type="containsText" dxfId="807" priority="2" operator="containsText" text="APAGADO">
      <formula>NOT(ISERROR(SEARCH("APAGADO",AE3)))</formula>
    </cfRule>
  </conditionalFormatting>
  <conditionalFormatting sqref="F4:AG370">
    <cfRule type="containsText" dxfId="80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abSelected="1" workbookViewId="0">
      <selection activeCell="K32" sqref="K3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13" workbookViewId="0">
      <selection activeCell="D20" sqref="D20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6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3">
      <c r="A3" s="26">
        <f>'APAGADOS RADIO'!G3</f>
        <v>44622</v>
      </c>
      <c r="B3">
        <f>'APAGADOS RADIO'!G2+D3</f>
        <v>10</v>
      </c>
      <c r="C3" s="31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3">
      <c r="A4" s="26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3">
      <c r="A5" s="26">
        <f>'APAGADOS RADIO'!I3</f>
        <v>44624</v>
      </c>
      <c r="B5">
        <f>'APAGADOS RADIO'!I2+D5</f>
        <v>9</v>
      </c>
      <c r="C5" s="31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3">
      <c r="A6" s="26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3">
      <c r="A7" s="26">
        <f>'APAGADOS RADIO'!K3</f>
        <v>44626</v>
      </c>
      <c r="B7">
        <f>'APAGADOS RADIO'!K2+D7</f>
        <v>7</v>
      </c>
      <c r="C7" s="31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3">
      <c r="A8" s="26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3">
      <c r="A9" s="26">
        <f>'APAGADOS RADIO'!M3</f>
        <v>44628</v>
      </c>
      <c r="B9">
        <f>'APAGADOS RADIO'!M2+D9</f>
        <v>10</v>
      </c>
      <c r="C9" s="31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3">
      <c r="A10" s="26">
        <f>'APAGADOS RADIO'!N3</f>
        <v>44629</v>
      </c>
      <c r="B10">
        <f>'APAGADOS RADIO'!N2+D10</f>
        <v>15</v>
      </c>
      <c r="C10" s="31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3">
      <c r="A11" s="26">
        <f>'APAGADOS RADIO'!O3</f>
        <v>44630</v>
      </c>
      <c r="B11">
        <f>'APAGADOS RADIO'!O2+D11</f>
        <v>9</v>
      </c>
      <c r="C11" s="31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3">
      <c r="A12" s="26">
        <f>'APAGADOS RADIO'!P3</f>
        <v>44631</v>
      </c>
      <c r="B12">
        <f>'APAGADOS RADIO'!P2+D12</f>
        <v>16</v>
      </c>
      <c r="C12" s="31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3">
      <c r="A13" s="26">
        <f>'APAGADOS RADIO'!Q3</f>
        <v>44632</v>
      </c>
      <c r="B13">
        <f>'APAGADOS RADIO'!Q2+D13</f>
        <v>12</v>
      </c>
      <c r="C13" s="31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3">
      <c r="A14" s="26">
        <f>'APAGADOS RADIO'!R3</f>
        <v>44633</v>
      </c>
      <c r="B14">
        <f>'APAGADOS RADIO'!R2+D14</f>
        <v>15</v>
      </c>
      <c r="C14" s="31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3">
      <c r="A15" s="26">
        <f>'APAGADOS RADIO'!S3</f>
        <v>44634</v>
      </c>
      <c r="B15">
        <f>'APAGADOS RADIO'!S2+D15</f>
        <v>12</v>
      </c>
      <c r="C15" s="31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3">
      <c r="A16" s="26">
        <f>'APAGADOS RADIO'!T3</f>
        <v>44635</v>
      </c>
      <c r="B16">
        <f>'APAGADOS RADIO'!T2+D16</f>
        <v>13</v>
      </c>
      <c r="C16" s="31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3">
      <c r="A17" s="26">
        <f>'APAGADOS RADIO'!U3</f>
        <v>44636</v>
      </c>
      <c r="B17">
        <f>'APAGADOS RADIO'!U2+D17</f>
        <v>15</v>
      </c>
      <c r="C17" s="31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3">
      <c r="A18" s="26">
        <f>'APAGADOS RADIO'!V3</f>
        <v>44637</v>
      </c>
      <c r="B18">
        <f>'APAGADOS RADIO'!V2+D18</f>
        <v>15</v>
      </c>
      <c r="C18" s="31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3">
      <c r="A19" s="26">
        <f>'APAGADOS RADIO'!W3</f>
        <v>44638</v>
      </c>
      <c r="B19">
        <f>'APAGADOS RADIO'!W2+D19</f>
        <v>15</v>
      </c>
      <c r="C19" s="31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3">
      <c r="A20" s="26">
        <f>'APAGADOS RADIO'!X3</f>
        <v>44639</v>
      </c>
      <c r="C20" s="31"/>
      <c r="F20">
        <f>'RESUMEN TOTAL'!C1</f>
        <v>368</v>
      </c>
    </row>
    <row r="21" spans="1:6" x14ac:dyDescent="0.3">
      <c r="A21" s="26">
        <f>'APAGADOS RADIO'!Y3</f>
        <v>44640</v>
      </c>
      <c r="F21">
        <f>'RESUMEN TOTAL'!C1</f>
        <v>368</v>
      </c>
    </row>
    <row r="22" spans="1:6" x14ac:dyDescent="0.3">
      <c r="A22" s="26">
        <f>'APAGADOS RADIO'!Z3</f>
        <v>44641</v>
      </c>
      <c r="B22" s="31"/>
      <c r="C22" s="31"/>
      <c r="F22">
        <f>'RESUMEN TOTAL'!C1</f>
        <v>368</v>
      </c>
    </row>
    <row r="23" spans="1:6" x14ac:dyDescent="0.3">
      <c r="A23" s="26">
        <f>'APAGADOS RADIO'!AA3</f>
        <v>44642</v>
      </c>
      <c r="B23" s="31"/>
      <c r="C23" s="31"/>
      <c r="F23">
        <f>'RESUMEN TOTAL'!C1</f>
        <v>368</v>
      </c>
    </row>
    <row r="24" spans="1:6" x14ac:dyDescent="0.3">
      <c r="A24" s="26">
        <f>'APAGADOS RADIO'!AB3</f>
        <v>44643</v>
      </c>
      <c r="B24" s="31"/>
      <c r="C24" s="31"/>
      <c r="F24">
        <f>'RESUMEN TOTAL'!C1</f>
        <v>368</v>
      </c>
    </row>
    <row r="25" spans="1:6" x14ac:dyDescent="0.3">
      <c r="A25" s="26">
        <f>'APAGADOS RADIO'!AC3</f>
        <v>44644</v>
      </c>
      <c r="B25" s="31"/>
      <c r="C25" s="31"/>
      <c r="F25">
        <f>'RESUMEN TOTAL'!C1</f>
        <v>368</v>
      </c>
    </row>
    <row r="26" spans="1:6" x14ac:dyDescent="0.3">
      <c r="A26" s="26">
        <f>'APAGADOS RADIO'!AD3</f>
        <v>44645</v>
      </c>
      <c r="B26" s="31"/>
      <c r="C26" s="31"/>
      <c r="F26">
        <f>'RESUMEN TOTAL'!C1</f>
        <v>368</v>
      </c>
    </row>
    <row r="27" spans="1:6" x14ac:dyDescent="0.3">
      <c r="A27" s="26">
        <f>'APAGADOS RADIO'!AE3</f>
        <v>44646</v>
      </c>
      <c r="F27">
        <f>'RESUMEN TOTAL'!C1</f>
        <v>368</v>
      </c>
    </row>
    <row r="28" spans="1:6" x14ac:dyDescent="0.3">
      <c r="A28" s="26">
        <f>'APAGADOS RADIO'!AF3</f>
        <v>44647</v>
      </c>
      <c r="F28">
        <f>'RESUMEN TOTAL'!C1</f>
        <v>368</v>
      </c>
    </row>
    <row r="29" spans="1:6" x14ac:dyDescent="0.3">
      <c r="A29" s="26">
        <f>'APAGADOS RADIO'!AG3</f>
        <v>44648</v>
      </c>
      <c r="F29">
        <f>'RESUMEN TOTAL'!C1</f>
        <v>368</v>
      </c>
    </row>
    <row r="30" spans="1:6" x14ac:dyDescent="0.3">
      <c r="A30" s="26">
        <f>'APAGADOS RADIO'!AH3</f>
        <v>44649</v>
      </c>
      <c r="F30">
        <f>'RESUMEN TOTAL'!C1</f>
        <v>368</v>
      </c>
    </row>
    <row r="31" spans="1:6" x14ac:dyDescent="0.3">
      <c r="A31" s="26">
        <f>'APAGADOS RADIO'!AI3</f>
        <v>44650</v>
      </c>
      <c r="F31">
        <f>'RESUMEN TOTAL'!C1</f>
        <v>368</v>
      </c>
    </row>
    <row r="32" spans="1:6" x14ac:dyDescent="0.3">
      <c r="A32" s="26">
        <f>'APAGADOS RADIO'!AJ3</f>
        <v>44651</v>
      </c>
      <c r="F32">
        <f>'RESUMEN TOTAL'!C1</f>
        <v>368</v>
      </c>
    </row>
    <row r="34" spans="1:30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3"/>
    <row r="36" spans="1:30" s="31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2022-03-18T14:29:12Z</dcterms:modified>
</cp:coreProperties>
</file>