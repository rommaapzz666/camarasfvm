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E07D6D86-B091-4ADE-8C79-FBAEAAB913E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24" i="24" l="1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<sst xmlns="http://schemas.openxmlformats.org/spreadsheetml/2006/main" count="3588" uniqueCount="1366">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</sst>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Z186" activePane="bottomRight" state="frozen"/>
      <selection pane="topRight" activeCell="M1" sqref="M1"/>
      <selection pane="bottomLeft" activeCell="A5" sqref="A5"/>
      <selection pane="bottomRight" activeCell="Z194" sqref="Z194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18</v>
      </c>
      <c r="M7" s="17">
        <f t="shared" si="6"/>
        <v>12</v>
      </c>
      <c r="N7" s="18">
        <f t="shared" si="7"/>
        <v>0.6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28</v>
      </c>
      <c r="M13" s="17">
        <f t="shared" si="6"/>
        <v>2</v>
      </c>
      <c r="N13" s="18">
        <f t="shared" si="7"/>
        <v>0.93333333333333335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20</v>
      </c>
      <c r="M22" s="17">
        <f t="shared" si="6"/>
        <v>10</v>
      </c>
      <c r="N22" s="18">
        <f t="shared" si="7"/>
        <v>0.66666666666666663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20</v>
      </c>
      <c r="M30" s="17">
        <f t="shared" si="6"/>
        <v>10</v>
      </c>
      <c r="N30" s="18">
        <f t="shared" si="7"/>
        <v>0.66666666666666663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21</v>
      </c>
      <c r="M56" s="17">
        <f t="shared" si="6"/>
        <v>9</v>
      </c>
      <c r="N56" s="18">
        <f t="shared" si="7"/>
        <v>0.7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26</v>
      </c>
      <c r="M70" s="17">
        <f t="shared" si="9"/>
        <v>4</v>
      </c>
      <c r="N70" s="18">
        <f t="shared" si="10"/>
        <v>0.8666666666666667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19</v>
      </c>
      <c r="M80" s="17">
        <f t="shared" si="9"/>
        <v>11</v>
      </c>
      <c r="N80" s="18">
        <f t="shared" si="10"/>
        <v>0.6333333333333333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19</v>
      </c>
      <c r="M83" s="17">
        <f t="shared" si="9"/>
        <v>11</v>
      </c>
      <c r="N83" s="18">
        <f t="shared" si="10"/>
        <v>0.6333333333333333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24</v>
      </c>
      <c r="M89" s="17">
        <f t="shared" si="9"/>
        <v>6</v>
      </c>
      <c r="N89" s="18">
        <f t="shared" si="10"/>
        <v>0.8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22</v>
      </c>
      <c r="M90" s="17">
        <f t="shared" si="9"/>
        <v>8</v>
      </c>
      <c r="N90" s="18">
        <f t="shared" si="10"/>
        <v>0.73333333333333328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21</v>
      </c>
      <c r="M94" s="17">
        <f t="shared" si="9"/>
        <v>9</v>
      </c>
      <c r="N94" s="18">
        <f t="shared" si="10"/>
        <v>0.7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22</v>
      </c>
      <c r="M99" s="17">
        <f t="shared" si="9"/>
        <v>8</v>
      </c>
      <c r="N99" s="18">
        <f t="shared" si="10"/>
        <v>0.73333333333333328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18</v>
      </c>
      <c r="M115" s="17">
        <f t="shared" si="9"/>
        <v>12</v>
      </c>
      <c r="N115" s="18">
        <f t="shared" si="10"/>
        <v>0.6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18</v>
      </c>
      <c r="M120" s="17">
        <f t="shared" si="9"/>
        <v>12</v>
      </c>
      <c r="N120" s="18">
        <f t="shared" si="10"/>
        <v>0.6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18</v>
      </c>
      <c r="M121" s="17">
        <f t="shared" si="9"/>
        <v>12</v>
      </c>
      <c r="N121" s="18">
        <f t="shared" si="10"/>
        <v>0.6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19</v>
      </c>
      <c r="M133" s="17">
        <f t="shared" ref="M133:M196" si="12">COUNTIF(O133:AP133,"APAGADO")</f>
        <v>11</v>
      </c>
      <c r="N133" s="18">
        <f t="shared" ref="N133:N196" si="13">(L133)/(M133+L133)</f>
        <v>0.6333333333333333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20</v>
      </c>
      <c r="M142" s="17">
        <f t="shared" si="12"/>
        <v>10</v>
      </c>
      <c r="N142" s="18">
        <f t="shared" si="13"/>
        <v>0.66666666666666663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20</v>
      </c>
      <c r="M143" s="17">
        <f t="shared" si="12"/>
        <v>10</v>
      </c>
      <c r="N143" s="18">
        <f t="shared" si="13"/>
        <v>0.66666666666666663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20</v>
      </c>
      <c r="M144" s="17">
        <f t="shared" si="12"/>
        <v>10</v>
      </c>
      <c r="N144" s="18">
        <f t="shared" si="13"/>
        <v>0.66666666666666663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18</v>
      </c>
      <c r="M166" s="17">
        <f t="shared" si="12"/>
        <v>12</v>
      </c>
      <c r="N166" s="18">
        <f t="shared" si="13"/>
        <v>0.6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24</v>
      </c>
      <c r="M168" s="17">
        <f t="shared" si="12"/>
        <v>6</v>
      </c>
      <c r="N168" s="18">
        <f t="shared" si="13"/>
        <v>0.8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18</v>
      </c>
      <c r="M177" s="17">
        <f t="shared" si="12"/>
        <v>12</v>
      </c>
      <c r="N177" s="18">
        <f t="shared" si="13"/>
        <v>0.6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18</v>
      </c>
      <c r="M185" s="17">
        <f t="shared" si="12"/>
        <v>12</v>
      </c>
      <c r="N185" s="18">
        <f t="shared" si="13"/>
        <v>0.6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27</v>
      </c>
      <c r="M191" s="17">
        <f t="shared" si="12"/>
        <v>3</v>
      </c>
      <c r="N191" s="18">
        <f t="shared" si="13"/>
        <v>0.9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27</v>
      </c>
      <c r="M192" s="17">
        <f t="shared" si="12"/>
        <v>3</v>
      </c>
      <c r="N192" s="18">
        <f t="shared" si="13"/>
        <v>0.9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20</v>
      </c>
      <c r="M194" s="17">
        <f t="shared" si="12"/>
        <v>10</v>
      </c>
      <c r="N194" s="18">
        <f t="shared" si="13"/>
        <v>0.66666666666666663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24</v>
      </c>
      <c r="M203" s="17">
        <f t="shared" si="15"/>
        <v>6</v>
      </c>
      <c r="N203" s="18">
        <f t="shared" si="16"/>
        <v>0.8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18</v>
      </c>
      <c r="M206" s="17">
        <f t="shared" si="15"/>
        <v>12</v>
      </c>
      <c r="N206" s="18">
        <f t="shared" si="16"/>
        <v>0.6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18</v>
      </c>
      <c r="M207" s="17">
        <f t="shared" si="15"/>
        <v>12</v>
      </c>
      <c r="N207" s="18">
        <f t="shared" si="16"/>
        <v>0.6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19</v>
      </c>
      <c r="M209" s="17">
        <f t="shared" si="15"/>
        <v>11</v>
      </c>
      <c r="N209" s="18">
        <f t="shared" si="16"/>
        <v>0.6333333333333333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19</v>
      </c>
      <c r="M210" s="17">
        <f t="shared" si="15"/>
        <v>11</v>
      </c>
      <c r="N210" s="18">
        <f t="shared" si="16"/>
        <v>0.6333333333333333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18</v>
      </c>
      <c r="M211" s="17">
        <f t="shared" si="15"/>
        <v>12</v>
      </c>
      <c r="N211" s="18">
        <f t="shared" si="16"/>
        <v>0.6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18</v>
      </c>
      <c r="M212" s="17">
        <f t="shared" si="15"/>
        <v>12</v>
      </c>
      <c r="N212" s="18">
        <f t="shared" si="16"/>
        <v>0.6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22</v>
      </c>
      <c r="M213" s="17">
        <f t="shared" si="15"/>
        <v>8</v>
      </c>
      <c r="N213" s="18">
        <f t="shared" si="16"/>
        <v>0.73333333333333328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22</v>
      </c>
      <c r="M230" s="17">
        <f t="shared" si="15"/>
        <v>8</v>
      </c>
      <c r="N230" s="18">
        <f t="shared" si="16"/>
        <v>0.73333333333333328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18</v>
      </c>
      <c r="M231" s="17">
        <f t="shared" si="15"/>
        <v>12</v>
      </c>
      <c r="N231" s="18">
        <f t="shared" si="16"/>
        <v>0.6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18</v>
      </c>
      <c r="M232" s="17">
        <f t="shared" si="15"/>
        <v>12</v>
      </c>
      <c r="N232" s="18">
        <f t="shared" si="16"/>
        <v>0.6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21</v>
      </c>
      <c r="M263" s="17">
        <f t="shared" ref="M263:M326" si="19">COUNTIF(O263:AP263,"APAGADO")</f>
        <v>9</v>
      </c>
      <c r="N263" s="18">
        <f t="shared" ref="N263:N326" si="20">(L263)/(M263+L263)</f>
        <v>0.7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21</v>
      </c>
      <c r="M264" s="17">
        <f t="shared" si="19"/>
        <v>9</v>
      </c>
      <c r="N264" s="18">
        <f t="shared" si="20"/>
        <v>0.7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21</v>
      </c>
      <c r="M265" s="17">
        <f t="shared" si="19"/>
        <v>9</v>
      </c>
      <c r="N265" s="18">
        <f t="shared" si="20"/>
        <v>0.7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21</v>
      </c>
      <c r="M266" s="17">
        <f t="shared" si="19"/>
        <v>9</v>
      </c>
      <c r="N266" s="18">
        <f t="shared" si="20"/>
        <v>0.7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29</v>
      </c>
      <c r="M299" s="17">
        <f t="shared" si="19"/>
        <v>1</v>
      </c>
      <c r="N299" s="18">
        <f t="shared" si="20"/>
        <v>0.96666666666666667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25</v>
      </c>
      <c r="M300" s="17">
        <f t="shared" si="19"/>
        <v>5</v>
      </c>
      <c r="N300" s="18">
        <f t="shared" si="20"/>
        <v>0.83333333333333337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28</v>
      </c>
      <c r="M301" s="17">
        <f t="shared" si="19"/>
        <v>2</v>
      </c>
      <c r="N301" s="18">
        <f t="shared" si="20"/>
        <v>0.93333333333333335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28</v>
      </c>
      <c r="M302" s="17">
        <f t="shared" si="19"/>
        <v>2</v>
      </c>
      <c r="N302" s="18">
        <f t="shared" si="20"/>
        <v>0.93333333333333335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24</v>
      </c>
      <c r="M322" s="17">
        <f t="shared" si="19"/>
        <v>6</v>
      </c>
      <c r="N322" s="18">
        <f t="shared" si="20"/>
        <v>0.8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25</v>
      </c>
      <c r="M330" s="17">
        <f t="shared" si="22"/>
        <v>5</v>
      </c>
      <c r="N330" s="18">
        <f t="shared" si="23"/>
        <v>0.83333333333333337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25</v>
      </c>
      <c r="M331" s="17">
        <f t="shared" si="22"/>
        <v>5</v>
      </c>
      <c r="N331" s="18">
        <f t="shared" si="23"/>
        <v>0.83333333333333337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28</v>
      </c>
      <c r="M335" s="17">
        <f t="shared" si="22"/>
        <v>2</v>
      </c>
      <c r="N335" s="18">
        <f t="shared" si="23"/>
        <v>0.93333333333333335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28</v>
      </c>
      <c r="M336" s="17">
        <f t="shared" si="22"/>
        <v>2</v>
      </c>
      <c r="N336" s="18">
        <f t="shared" si="23"/>
        <v>0.93333333333333335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18</v>
      </c>
      <c r="M352" s="17">
        <f t="shared" si="22"/>
        <v>12</v>
      </c>
      <c r="N352" s="18">
        <f t="shared" si="23"/>
        <v>0.6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18</v>
      </c>
      <c r="M359" s="17">
        <f t="shared" si="22"/>
        <v>12</v>
      </c>
      <c r="N359" s="18">
        <f t="shared" si="23"/>
        <v>0.6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18</v>
      </c>
      <c r="M360" s="17">
        <f t="shared" si="22"/>
        <v>12</v>
      </c>
      <c r="N360" s="18">
        <f t="shared" si="23"/>
        <v>0.6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18</v>
      </c>
      <c r="M361" s="17">
        <f t="shared" si="22"/>
        <v>12</v>
      </c>
      <c r="N361" s="18">
        <f t="shared" si="23"/>
        <v>0.6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18</v>
      </c>
      <c r="M362" s="17">
        <f t="shared" si="22"/>
        <v>12</v>
      </c>
      <c r="N362" s="18">
        <f t="shared" si="23"/>
        <v>0.6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23</v>
      </c>
      <c r="M363" s="17">
        <f t="shared" si="22"/>
        <v>7</v>
      </c>
      <c r="N363" s="18">
        <f t="shared" si="23"/>
        <v>0.76666666666666672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/>
      <c r="C12" s="54"/>
      <c r="D12" s="54"/>
      <c r="E12" s="54"/>
    </row>
    <row r="13" spans="1:7" x14ac:dyDescent="0.25">
      <c r="A13" s="25">
        <f>'APAGADOS RADIO'!Q3</f>
        <v>44724</v>
      </c>
      <c r="B13" s="54"/>
      <c r="C13" s="54"/>
      <c r="D13" s="54"/>
      <c r="E13" s="54"/>
    </row>
    <row r="14" spans="1:7" x14ac:dyDescent="0.25">
      <c r="A14" s="25">
        <f>'APAGADOS RADIO'!R3</f>
        <v>44725</v>
      </c>
      <c r="B14" s="54"/>
      <c r="C14" s="54"/>
      <c r="D14" s="54"/>
      <c r="E14" s="54"/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2022-06-13T11:33:10Z</dcterms:modified>
</cp:coreProperties>
</file>