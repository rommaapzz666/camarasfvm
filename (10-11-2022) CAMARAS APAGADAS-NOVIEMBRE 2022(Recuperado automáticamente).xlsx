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8_{370E2F11-09AF-4E6D-9BCB-F428A3BF49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" i="25" l="1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1" i="14" l="1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U2" i="2"/>
  <c r="Q2" i="2"/>
  <c r="Q1" i="2" s="1"/>
  <c r="AK2" i="2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5" i="24" l="1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P2" i="21" l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S2" i="21"/>
  <c r="T2" i="21"/>
  <c r="Z2" i="21"/>
  <c r="R2" i="21"/>
  <c r="Y2" i="21"/>
  <c r="Q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Q2" i="10"/>
  <c r="D1" i="10"/>
  <c r="V2" i="10"/>
  <c r="Q1" i="9"/>
  <c r="R2" i="10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S2" i="10"/>
  <c r="T2" i="10"/>
  <c r="M1" i="9"/>
  <c r="N1" i="9"/>
  <c r="AE1" i="9"/>
  <c r="J1" i="9"/>
  <c r="T1" i="9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X2" i="21"/>
  <c r="X385" i="21"/>
  <c r="X1" i="9"/>
  <c r="X384" i="9"/>
  <c r="AC1" i="2"/>
  <c r="AC3" i="2"/>
  <c r="AC2" i="2"/>
  <c r="X6" i="25"/>
  <c r="X5" i="25"/>
  <c r="J386" i="2"/>
  <c r="H386" i="2"/>
  <c r="I386" i="2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<sst xmlns="http://schemas.openxmlformats.org/spreadsheetml/2006/main" count="3533" uniqueCount="1294">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</sst>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R11" activePane="bottomRight" state="frozen"/>
      <selection pane="topRight" activeCell="M1" sqref="M1"/>
      <selection pane="bottomLeft" activeCell="A5" sqref="A5"/>
      <selection pane="bottomRight" activeCell="T3" sqref="T3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21</v>
      </c>
      <c r="I16" s="42">
        <f t="shared" si="3"/>
        <v>9</v>
      </c>
      <c r="J16" s="43">
        <f t="shared" si="4"/>
        <v>0.7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ref="H17:H22" si="6">COUNTIF(K17:AN17,"")</f>
        <v>29</v>
      </c>
      <c r="I17" s="42">
        <f t="shared" ref="I17:I22" si="7">COUNTIF(K17:AL17,"APAGADO")</f>
        <v>1</v>
      </c>
      <c r="J17" s="43">
        <f t="shared" ref="J17:J22" si="8">(H17)/(I17+H17)</f>
        <v>0.96666666666666667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6"/>
        <v>29</v>
      </c>
      <c r="I18" s="42">
        <f t="shared" si="7"/>
        <v>1</v>
      </c>
      <c r="J18" s="43">
        <f t="shared" si="8"/>
        <v>0.96666666666666667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6"/>
        <v>30</v>
      </c>
      <c r="I19" s="42">
        <f t="shared" si="7"/>
        <v>0</v>
      </c>
      <c r="J19" s="43">
        <f t="shared" si="8"/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20</v>
      </c>
      <c r="I34" s="42">
        <f>COUNTIF(K34:AL34,"APAGADO")</f>
        <v>10</v>
      </c>
      <c r="J34" s="43">
        <f>(H34)/(I34+H34)</f>
        <v>0.66666666666666663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23</v>
      </c>
      <c r="I38" s="42">
        <f t="shared" si="3"/>
        <v>7</v>
      </c>
      <c r="J38" s="43">
        <f t="shared" si="4"/>
        <v>0.76666666666666672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20</v>
      </c>
      <c r="I40" s="42">
        <f t="shared" si="3"/>
        <v>10</v>
      </c>
      <c r="J40" s="43">
        <f t="shared" si="4"/>
        <v>0.66666666666666663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29</v>
      </c>
      <c r="I43" s="42">
        <f t="shared" si="3"/>
        <v>1</v>
      </c>
      <c r="J43" s="43">
        <f t="shared" si="4"/>
        <v>0.96666666666666667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29</v>
      </c>
      <c r="I47" s="42">
        <f t="shared" si="3"/>
        <v>1</v>
      </c>
      <c r="J47" s="43">
        <f t="shared" si="4"/>
        <v>0.96666666666666667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20</v>
      </c>
      <c r="I48" s="42">
        <f t="shared" si="3"/>
        <v>10</v>
      </c>
      <c r="J48" s="43">
        <f t="shared" si="4"/>
        <v>0.66666666666666663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20</v>
      </c>
      <c r="I49" s="42">
        <f t="shared" si="3"/>
        <v>10</v>
      </c>
      <c r="J49" s="43">
        <f t="shared" si="4"/>
        <v>0.66666666666666663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20</v>
      </c>
      <c r="I51" s="42">
        <f t="shared" si="3"/>
        <v>10</v>
      </c>
      <c r="J51" s="43">
        <f t="shared" si="4"/>
        <v>0.66666666666666663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29</v>
      </c>
      <c r="I52" s="42">
        <f t="shared" si="3"/>
        <v>1</v>
      </c>
      <c r="J52" s="43">
        <f t="shared" si="4"/>
        <v>0.96666666666666667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20</v>
      </c>
      <c r="I54" s="42">
        <f t="shared" si="3"/>
        <v>10</v>
      </c>
      <c r="J54" s="43">
        <f t="shared" si="4"/>
        <v>0.66666666666666663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20</v>
      </c>
      <c r="I56" s="42">
        <f t="shared" si="3"/>
        <v>10</v>
      </c>
      <c r="J56" s="43">
        <f t="shared" si="4"/>
        <v>0.66666666666666663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22</v>
      </c>
      <c r="I69" s="42">
        <f t="shared" si="3"/>
        <v>8</v>
      </c>
      <c r="J69" s="43">
        <f t="shared" si="4"/>
        <v>0.73333333333333328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29</v>
      </c>
      <c r="I72" s="42">
        <f>COUNTIF(K72:AL72,"APAGADO")</f>
        <v>1</v>
      </c>
      <c r="J72" s="43">
        <f>(H72)/(I72+H72)</f>
        <v>0.96666666666666667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21</v>
      </c>
      <c r="I75" s="42">
        <f t="shared" si="3"/>
        <v>9</v>
      </c>
      <c r="J75" s="43">
        <f t="shared" si="4"/>
        <v>0.7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29</v>
      </c>
      <c r="I86" s="42">
        <f t="shared" si="10"/>
        <v>1</v>
      </c>
      <c r="J86" s="43">
        <f t="shared" si="11"/>
        <v>0.96666666666666667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27</v>
      </c>
      <c r="I87" s="42">
        <f>COUNTIF(K87:AL87,"APAGADO")</f>
        <v>3</v>
      </c>
      <c r="J87" s="43">
        <f>(H87)/(I87+H87)</f>
        <v>0.9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27</v>
      </c>
      <c r="I88" s="42">
        <f t="shared" si="10"/>
        <v>3</v>
      </c>
      <c r="J88" s="43">
        <f t="shared" si="11"/>
        <v>0.9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29</v>
      </c>
      <c r="I89" s="42">
        <f t="shared" si="10"/>
        <v>1</v>
      </c>
      <c r="J89" s="43">
        <f t="shared" si="11"/>
        <v>0.96666666666666667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21</v>
      </c>
      <c r="I94" s="42">
        <f>COUNTIF(K94:AL94,"APAGADO")</f>
        <v>9</v>
      </c>
      <c r="J94" s="43">
        <f>(H94)/(I94+H94)</f>
        <v>0.7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29</v>
      </c>
      <c r="I95" s="42">
        <f t="shared" si="10"/>
        <v>1</v>
      </c>
      <c r="J95" s="43">
        <f t="shared" si="11"/>
        <v>0.96666666666666667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20</v>
      </c>
      <c r="I98" s="42">
        <f>COUNTIF(K98:AL98,"APAGADO")</f>
        <v>10</v>
      </c>
      <c r="J98" s="43">
        <f>(H98)/(I98+H98)</f>
        <v>0.66666666666666663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20</v>
      </c>
      <c r="I101" s="42">
        <f t="shared" si="10"/>
        <v>10</v>
      </c>
      <c r="J101" s="43">
        <f t="shared" si="11"/>
        <v>0.66666666666666663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20</v>
      </c>
      <c r="I102" s="42">
        <f t="shared" si="10"/>
        <v>10</v>
      </c>
      <c r="J102" s="43">
        <f t="shared" si="11"/>
        <v>0.66666666666666663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29</v>
      </c>
      <c r="I114" s="42">
        <f t="shared" si="10"/>
        <v>1</v>
      </c>
      <c r="J114" s="43">
        <f t="shared" si="11"/>
        <v>0.96666666666666667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29</v>
      </c>
      <c r="I115" s="42">
        <f t="shared" si="10"/>
        <v>1</v>
      </c>
      <c r="J115" s="43">
        <f t="shared" si="11"/>
        <v>0.96666666666666667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28</v>
      </c>
      <c r="I122" s="42">
        <f t="shared" si="10"/>
        <v>2</v>
      </c>
      <c r="J122" s="43">
        <f t="shared" si="11"/>
        <v>0.93333333333333335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29</v>
      </c>
      <c r="I124" s="42">
        <f t="shared" si="10"/>
        <v>1</v>
      </c>
      <c r="J124" s="43">
        <f t="shared" si="11"/>
        <v>0.96666666666666667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29</v>
      </c>
      <c r="I129" s="42">
        <f>COUNTIF(K129:AL129,"APAGADO")</f>
        <v>1</v>
      </c>
      <c r="J129" s="43">
        <f>(H129)/(I129+H129)</f>
        <v>0.96666666666666667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29</v>
      </c>
      <c r="I158" s="42">
        <f t="shared" si="12"/>
        <v>1</v>
      </c>
      <c r="J158" s="43">
        <f t="shared" si="13"/>
        <v>0.96666666666666667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29</v>
      </c>
      <c r="I159" s="42">
        <f t="shared" si="12"/>
        <v>1</v>
      </c>
      <c r="J159" s="43">
        <f t="shared" si="13"/>
        <v>0.96666666666666667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29</v>
      </c>
      <c r="I160" s="42">
        <f t="shared" si="12"/>
        <v>1</v>
      </c>
      <c r="J160" s="43">
        <f t="shared" si="13"/>
        <v>0.96666666666666667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20</v>
      </c>
      <c r="I165" s="42">
        <f t="shared" si="12"/>
        <v>10</v>
      </c>
      <c r="J165" s="43">
        <f t="shared" si="13"/>
        <v>0.66666666666666663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20</v>
      </c>
      <c r="I166" s="42">
        <f t="shared" si="12"/>
        <v>10</v>
      </c>
      <c r="J166" s="43">
        <f t="shared" si="13"/>
        <v>0.66666666666666663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20</v>
      </c>
      <c r="I175" s="42">
        <f t="shared" si="12"/>
        <v>10</v>
      </c>
      <c r="J175" s="43">
        <f t="shared" si="13"/>
        <v>0.66666666666666663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20</v>
      </c>
      <c r="I177" s="42">
        <f t="shared" si="12"/>
        <v>10</v>
      </c>
      <c r="J177" s="43">
        <f t="shared" si="13"/>
        <v>0.66666666666666663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20</v>
      </c>
      <c r="I182" s="42">
        <f t="shared" si="12"/>
        <v>10</v>
      </c>
      <c r="J182" s="43">
        <f t="shared" si="13"/>
        <v>0.66666666666666663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27</v>
      </c>
      <c r="I184" s="42">
        <f t="shared" si="12"/>
        <v>3</v>
      </c>
      <c r="J184" s="43">
        <f t="shared" si="13"/>
        <v>0.9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20</v>
      </c>
      <c r="I185" s="42">
        <f t="shared" si="12"/>
        <v>10</v>
      </c>
      <c r="J185" s="43">
        <f t="shared" si="13"/>
        <v>0.66666666666666663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20</v>
      </c>
      <c r="I187" s="42">
        <f t="shared" si="12"/>
        <v>10</v>
      </c>
      <c r="J187" s="43">
        <f t="shared" si="13"/>
        <v>0.66666666666666663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29</v>
      </c>
      <c r="I193" s="42">
        <f t="shared" si="12"/>
        <v>1</v>
      </c>
      <c r="J193" s="43">
        <f t="shared" si="13"/>
        <v>0.96666666666666667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29</v>
      </c>
      <c r="I194" s="42">
        <f t="shared" si="12"/>
        <v>1</v>
      </c>
      <c r="J194" s="43">
        <f t="shared" si="13"/>
        <v>0.96666666666666667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29</v>
      </c>
      <c r="I197" s="42">
        <f t="shared" si="12"/>
        <v>1</v>
      </c>
      <c r="J197" s="43">
        <f t="shared" si="13"/>
        <v>0.96666666666666667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20</v>
      </c>
      <c r="I198" s="42">
        <f>COUNTIF(K198:AL198,"APAGADO")</f>
        <v>10</v>
      </c>
      <c r="J198" s="43">
        <f>(H198)/(I198+H198)</f>
        <v>0.66666666666666663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29</v>
      </c>
      <c r="I201" s="42">
        <f t="shared" si="12"/>
        <v>1</v>
      </c>
      <c r="J201" s="43">
        <f t="shared" si="13"/>
        <v>0.96666666666666667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29</v>
      </c>
      <c r="I202" s="42">
        <f t="shared" si="12"/>
        <v>1</v>
      </c>
      <c r="J202" s="43">
        <f t="shared" si="13"/>
        <v>0.96666666666666667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29</v>
      </c>
      <c r="I204" s="42">
        <f t="shared" si="12"/>
        <v>1</v>
      </c>
      <c r="J204" s="43">
        <f t="shared" si="13"/>
        <v>0.96666666666666667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29</v>
      </c>
      <c r="I205" s="42">
        <f t="shared" si="12"/>
        <v>1</v>
      </c>
      <c r="J205" s="43">
        <f t="shared" si="13"/>
        <v>0.96666666666666667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29</v>
      </c>
      <c r="I206" s="42">
        <f t="shared" si="12"/>
        <v>1</v>
      </c>
      <c r="J206" s="43">
        <f t="shared" si="13"/>
        <v>0.96666666666666667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29</v>
      </c>
      <c r="I211" s="42">
        <f>COUNTIF(K211:AL211,"APAGADO")</f>
        <v>1</v>
      </c>
      <c r="J211" s="43">
        <f>(H211)/(I211+H211)</f>
        <v>0.96666666666666667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21</v>
      </c>
      <c r="I229" s="42">
        <f t="shared" si="12"/>
        <v>9</v>
      </c>
      <c r="J229" s="43">
        <f t="shared" si="13"/>
        <v>0.7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29</v>
      </c>
      <c r="I232" s="42">
        <f t="shared" si="12"/>
        <v>1</v>
      </c>
      <c r="J232" s="43">
        <f t="shared" si="13"/>
        <v>0.96666666666666667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20</v>
      </c>
      <c r="I236" s="42">
        <f t="shared" si="19"/>
        <v>10</v>
      </c>
      <c r="J236" s="43">
        <f t="shared" si="20"/>
        <v>0.66666666666666663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29</v>
      </c>
      <c r="I255" s="42">
        <f>COUNTIF(K255:AL255,"APAGADO")</f>
        <v>1</v>
      </c>
      <c r="J255" s="43">
        <f>(H255)/(I255+H255)</f>
        <v>0.96666666666666667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20</v>
      </c>
      <c r="I256" s="42">
        <f t="shared" si="19"/>
        <v>10</v>
      </c>
      <c r="J256" s="43">
        <f t="shared" si="20"/>
        <v>0.66666666666666663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29</v>
      </c>
      <c r="I275" s="42">
        <f t="shared" si="19"/>
        <v>1</v>
      </c>
      <c r="J275" s="43">
        <f t="shared" si="20"/>
        <v>0.96666666666666667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29</v>
      </c>
      <c r="I278" s="42">
        <f t="shared" si="19"/>
        <v>1</v>
      </c>
      <c r="J278" s="43">
        <f t="shared" si="20"/>
        <v>0.96666666666666667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29</v>
      </c>
      <c r="I296" s="42">
        <f>COUNTIF(K296:AL296,"APAGADO")</f>
        <v>1</v>
      </c>
      <c r="J296" s="43">
        <f>(H296)/(I296+H296)</f>
        <v>0.96666666666666667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29</v>
      </c>
      <c r="I297" s="42">
        <f t="shared" si="19"/>
        <v>1</v>
      </c>
      <c r="J297" s="43">
        <f t="shared" si="20"/>
        <v>0.96666666666666667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29</v>
      </c>
      <c r="I298" s="42">
        <f t="shared" si="19"/>
        <v>1</v>
      </c>
      <c r="J298" s="43">
        <f t="shared" si="20"/>
        <v>0.96666666666666667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29</v>
      </c>
      <c r="I302" s="42">
        <f t="shared" si="22"/>
        <v>1</v>
      </c>
      <c r="J302" s="43">
        <f t="shared" si="23"/>
        <v>0.96666666666666667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29</v>
      </c>
      <c r="I307" s="42">
        <f t="shared" si="22"/>
        <v>1</v>
      </c>
      <c r="J307" s="43">
        <f t="shared" si="23"/>
        <v>0.96666666666666667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24</v>
      </c>
      <c r="I315" s="42">
        <f t="shared" si="22"/>
        <v>6</v>
      </c>
      <c r="J315" s="43">
        <f t="shared" si="23"/>
        <v>0.8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25</v>
      </c>
      <c r="I316" s="42">
        <f t="shared" si="22"/>
        <v>5</v>
      </c>
      <c r="J316" s="43">
        <f t="shared" si="23"/>
        <v>0.83333333333333337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29</v>
      </c>
      <c r="I322" s="42">
        <f t="shared" si="22"/>
        <v>1</v>
      </c>
      <c r="J322" s="43">
        <f t="shared" si="23"/>
        <v>0.96666666666666667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28</v>
      </c>
      <c r="I325" s="42">
        <f t="shared" si="22"/>
        <v>2</v>
      </c>
      <c r="J325" s="43">
        <f t="shared" si="23"/>
        <v>0.93333333333333335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29</v>
      </c>
      <c r="I328" s="42">
        <f t="shared" si="22"/>
        <v>1</v>
      </c>
      <c r="J328" s="43">
        <f t="shared" si="23"/>
        <v>0.96666666666666667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29</v>
      </c>
      <c r="I331" s="42">
        <f t="shared" si="22"/>
        <v>1</v>
      </c>
      <c r="J331" s="43">
        <f t="shared" si="23"/>
        <v>0.96666666666666667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29</v>
      </c>
      <c r="I332" s="42">
        <f t="shared" si="22"/>
        <v>1</v>
      </c>
      <c r="J332" s="43">
        <f t="shared" si="23"/>
        <v>0.96666666666666667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29</v>
      </c>
      <c r="I333" s="42">
        <f t="shared" si="22"/>
        <v>1</v>
      </c>
      <c r="J333" s="43">
        <f t="shared" si="23"/>
        <v>0.96666666666666667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29</v>
      </c>
      <c r="I345" s="42">
        <f t="shared" si="22"/>
        <v>1</v>
      </c>
      <c r="J345" s="43">
        <f t="shared" si="23"/>
        <v>0.96666666666666667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29</v>
      </c>
      <c r="I355" s="42">
        <f t="shared" si="22"/>
        <v>1</v>
      </c>
      <c r="J355" s="43">
        <f t="shared" si="23"/>
        <v>0.96666666666666667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21</v>
      </c>
      <c r="I360" s="42">
        <f t="shared" si="22"/>
        <v>9</v>
      </c>
      <c r="J360" s="43">
        <f t="shared" si="23"/>
        <v>0.7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>COUNTIF(K367:AN367,"")</f>
        <v>29</v>
      </c>
      <c r="I367" s="42">
        <f>COUNTIF(K367:AL367,"APAGADO")</f>
        <v>1</v>
      </c>
      <c r="J367" s="43">
        <f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29</v>
      </c>
      <c r="I369" s="42">
        <f t="shared" si="22"/>
        <v>1</v>
      </c>
      <c r="J369" s="43">
        <f t="shared" si="23"/>
        <v>0.96666666666666667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27</v>
      </c>
      <c r="I372" s="42">
        <f t="shared" si="22"/>
        <v>3</v>
      </c>
      <c r="J372" s="43">
        <f t="shared" si="23"/>
        <v>0.9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29</v>
      </c>
      <c r="I373" s="42">
        <f t="shared" si="22"/>
        <v>1</v>
      </c>
      <c r="J373" s="43">
        <f t="shared" si="23"/>
        <v>0.96666666666666667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26</v>
      </c>
      <c r="I374" s="42">
        <f t="shared" si="22"/>
        <v>4</v>
      </c>
      <c r="J374" s="43">
        <f t="shared" si="23"/>
        <v>0.8666666666666667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5">COUNTIF(K375:AL375,"APAGADO")</f>
        <v>0</v>
      </c>
      <c r="J375" s="43">
        <f t="shared" ref="J375:J433" si="26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5"/>
        <v>0</v>
      </c>
      <c r="J376" s="43">
        <f t="shared" si="26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29</v>
      </c>
      <c r="I378" s="42">
        <f t="shared" si="25"/>
        <v>1</v>
      </c>
      <c r="J378" s="43">
        <f t="shared" si="26"/>
        <v>0.96666666666666667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20</v>
      </c>
      <c r="I379" s="42">
        <f t="shared" si="25"/>
        <v>10</v>
      </c>
      <c r="J379" s="43">
        <f t="shared" si="26"/>
        <v>0.66666666666666663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5"/>
        <v>0</v>
      </c>
      <c r="J380" s="43">
        <f t="shared" si="26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29</v>
      </c>
      <c r="I382" s="42">
        <f>COUNTIF(K382:AL382,"APAGADO")</f>
        <v>1</v>
      </c>
      <c r="J382" s="43">
        <f>(H382)/(I382+H382)</f>
        <v>0.96666666666666667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5"/>
        <v>0</v>
      </c>
      <c r="J385" s="43">
        <f t="shared" si="26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5"/>
        <v>0</v>
      </c>
      <c r="J386" s="43">
        <f t="shared" ca="1" si="26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25</v>
      </c>
      <c r="I387" s="42">
        <f>COUNTIF(K387:AL387,"APAGADO")</f>
        <v>5</v>
      </c>
      <c r="J387" s="43">
        <f>(H387)/(I387+H387)</f>
        <v>0.83333333333333337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5"/>
        <v>2</v>
      </c>
      <c r="J390" s="43">
        <f t="shared" si="26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5"/>
        <v>2</v>
      </c>
      <c r="J391" s="43">
        <f t="shared" si="26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5"/>
        <v>0</v>
      </c>
      <c r="J392" s="43">
        <f t="shared" si="26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5"/>
        <v>0</v>
      </c>
      <c r="J393" s="43">
        <f t="shared" si="26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29</v>
      </c>
      <c r="I394" s="42">
        <f t="shared" si="25"/>
        <v>1</v>
      </c>
      <c r="J394" s="43">
        <f t="shared" si="26"/>
        <v>0.96666666666666667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29</v>
      </c>
      <c r="I395" s="42">
        <f t="shared" si="25"/>
        <v>1</v>
      </c>
      <c r="J395" s="43">
        <f t="shared" si="26"/>
        <v>0.96666666666666667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5"/>
        <v>0</v>
      </c>
      <c r="J396" s="43">
        <f t="shared" si="26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5"/>
        <v>0</v>
      </c>
      <c r="J397" s="43">
        <f t="shared" si="26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29</v>
      </c>
      <c r="I398" s="42">
        <f t="shared" si="25"/>
        <v>1</v>
      </c>
      <c r="J398" s="43">
        <f t="shared" si="26"/>
        <v>0.96666666666666667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29</v>
      </c>
      <c r="I399" s="42">
        <f t="shared" si="25"/>
        <v>1</v>
      </c>
      <c r="J399" s="43">
        <f t="shared" si="26"/>
        <v>0.96666666666666667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5"/>
        <v>0</v>
      </c>
      <c r="J401" s="43">
        <f t="shared" si="26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5"/>
        <v>0</v>
      </c>
      <c r="J402" s="43">
        <f t="shared" si="26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5"/>
        <v>0</v>
      </c>
      <c r="J403" s="43">
        <f t="shared" si="26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5"/>
        <v>0</v>
      </c>
      <c r="J404" s="43">
        <f t="shared" si="26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5"/>
        <v>0</v>
      </c>
      <c r="J405" s="43">
        <f t="shared" si="26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5"/>
        <v>0</v>
      </c>
      <c r="J406" s="43">
        <f t="shared" si="26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5"/>
        <v>5</v>
      </c>
      <c r="J407" s="43">
        <f t="shared" si="26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5"/>
        <v>5</v>
      </c>
      <c r="J408" s="43">
        <f t="shared" si="26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25</v>
      </c>
      <c r="I409" s="42">
        <f t="shared" si="25"/>
        <v>5</v>
      </c>
      <c r="J409" s="43">
        <f t="shared" si="26"/>
        <v>0.83333333333333337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25</v>
      </c>
      <c r="I410" s="42">
        <f t="shared" si="25"/>
        <v>5</v>
      </c>
      <c r="J410" s="43">
        <f t="shared" si="26"/>
        <v>0.83333333333333337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5"/>
        <v>0</v>
      </c>
      <c r="J411" s="43">
        <f t="shared" si="26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27</v>
      </c>
      <c r="I412" s="42">
        <f t="shared" si="25"/>
        <v>3</v>
      </c>
      <c r="J412" s="43">
        <f t="shared" si="26"/>
        <v>0.9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5"/>
        <v>0</v>
      </c>
      <c r="J413" s="43">
        <f t="shared" si="26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5"/>
        <v>0</v>
      </c>
      <c r="J414" s="43">
        <f t="shared" si="26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5"/>
        <v>0</v>
      </c>
      <c r="J415" s="43">
        <f t="shared" si="26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5"/>
        <v>0</v>
      </c>
      <c r="J416" s="43">
        <f t="shared" si="26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5"/>
        <v>0</v>
      </c>
      <c r="J417" s="43">
        <f t="shared" si="26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5"/>
        <v>0</v>
      </c>
      <c r="J418" s="43">
        <f t="shared" si="26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5"/>
        <v>0</v>
      </c>
      <c r="J419" s="43">
        <f t="shared" si="26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27">COUNTIF(K420:AN420,"")</f>
        <v>20</v>
      </c>
      <c r="I420" s="42">
        <f t="shared" si="25"/>
        <v>10</v>
      </c>
      <c r="J420" s="43">
        <f t="shared" si="26"/>
        <v>0.66666666666666663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27"/>
        <v>30</v>
      </c>
      <c r="I422" s="42">
        <f t="shared" si="25"/>
        <v>0</v>
      </c>
      <c r="J422" s="43">
        <f t="shared" si="26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27"/>
        <v>30</v>
      </c>
      <c r="I423" s="42">
        <f t="shared" si="25"/>
        <v>0</v>
      </c>
      <c r="J423" s="43">
        <f t="shared" si="26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27"/>
        <v>30</v>
      </c>
      <c r="I424" s="42">
        <f t="shared" si="25"/>
        <v>0</v>
      </c>
      <c r="J424" s="43">
        <f t="shared" si="26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27"/>
        <v>30</v>
      </c>
      <c r="I425" s="42">
        <f t="shared" si="25"/>
        <v>0</v>
      </c>
      <c r="J425" s="43">
        <f t="shared" si="26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27"/>
        <v>30</v>
      </c>
      <c r="I427" s="42">
        <f t="shared" si="25"/>
        <v>0</v>
      </c>
      <c r="J427" s="43">
        <f t="shared" si="26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27"/>
        <v>30</v>
      </c>
      <c r="I428" s="42">
        <f t="shared" si="25"/>
        <v>0</v>
      </c>
      <c r="J428" s="43">
        <f t="shared" si="26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27"/>
        <v>29</v>
      </c>
      <c r="I429" s="42">
        <f t="shared" si="25"/>
        <v>1</v>
      </c>
      <c r="J429" s="43">
        <f t="shared" si="26"/>
        <v>0.96666666666666667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27"/>
        <v>29</v>
      </c>
      <c r="I430" s="42">
        <f t="shared" si="25"/>
        <v>1</v>
      </c>
      <c r="J430" s="43">
        <f t="shared" si="26"/>
        <v>0.96666666666666667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27"/>
        <v>29</v>
      </c>
      <c r="I431" s="42">
        <f t="shared" si="25"/>
        <v>1</v>
      </c>
      <c r="J431" s="43">
        <f t="shared" si="26"/>
        <v>0.96666666666666667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27"/>
        <v>29</v>
      </c>
      <c r="I432" s="42">
        <f t="shared" si="25"/>
        <v>1</v>
      </c>
      <c r="J432" s="43">
        <f t="shared" si="26"/>
        <v>0.96666666666666667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27"/>
        <v>30</v>
      </c>
      <c r="I433" s="42">
        <f t="shared" si="25"/>
        <v>0</v>
      </c>
      <c r="J433" s="43">
        <f t="shared" si="26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>COUNTIF(AH3:AH400, "APAGADO")</f>
        <v>0</v>
      </c>
      <c r="AI1" s="19">
        <f>COUNTIF(AI3:AI400, "APAGADO")</f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2" sqref="A22:E26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" thickTop="1" x14ac:dyDescent="0.3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" thickTop="1" x14ac:dyDescent="0.3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" thickTop="1" x14ac:dyDescent="0.3">
      <c r="A22" s="75" t="s">
        <v>999</v>
      </c>
      <c r="B22" s="76">
        <v>430</v>
      </c>
      <c r="C22" s="77"/>
      <c r="D22" s="78"/>
      <c r="E22" s="136">
        <v>44875</v>
      </c>
    </row>
    <row r="23" spans="1:14" ht="15" thickBot="1" x14ac:dyDescent="0.35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" thickTop="1" x14ac:dyDescent="0.3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3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" thickBot="1" x14ac:dyDescent="0.35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" thickTop="1" x14ac:dyDescent="0.3">
      <c r="A27" s="75" t="s">
        <v>999</v>
      </c>
      <c r="B27" s="76"/>
      <c r="C27" s="77"/>
      <c r="D27" s="78"/>
      <c r="E27" s="136"/>
      <c r="G27" s="107"/>
      <c r="H27" s="100"/>
      <c r="I27" s="100"/>
      <c r="J27" s="100"/>
      <c r="K27" s="101"/>
      <c r="L27" s="108"/>
      <c r="M27" s="142"/>
    </row>
    <row r="28" spans="1:14" x14ac:dyDescent="0.3">
      <c r="A28" s="79" t="s">
        <v>6</v>
      </c>
      <c r="B28" s="80"/>
      <c r="C28" s="81"/>
      <c r="D28" s="82"/>
      <c r="E28" s="137"/>
      <c r="G28" s="107"/>
      <c r="H28" s="100"/>
      <c r="I28" s="100"/>
      <c r="J28" s="100"/>
      <c r="K28" s="101"/>
      <c r="L28" s="108"/>
      <c r="M28" s="142"/>
    </row>
    <row r="29" spans="1:14" ht="15" thickBot="1" x14ac:dyDescent="0.35">
      <c r="A29" s="79" t="s">
        <v>1001</v>
      </c>
      <c r="B29" s="80"/>
      <c r="C29" s="81"/>
      <c r="D29" s="82"/>
      <c r="E29" s="137"/>
      <c r="G29" s="109"/>
      <c r="H29" s="110"/>
      <c r="I29" s="110"/>
      <c r="J29" s="110"/>
      <c r="K29" s="110"/>
      <c r="L29" s="111"/>
      <c r="M29" s="143"/>
    </row>
    <row r="30" spans="1:14" ht="15.6" thickTop="1" thickBot="1" x14ac:dyDescent="0.35">
      <c r="A30" s="79" t="s">
        <v>1000</v>
      </c>
      <c r="B30" s="80"/>
      <c r="C30" s="81"/>
      <c r="D30" s="82"/>
      <c r="E30" s="137"/>
    </row>
    <row r="31" spans="1:14" ht="15.6" thickTop="1" thickBot="1" x14ac:dyDescent="0.35">
      <c r="A31" s="91" t="s">
        <v>16</v>
      </c>
      <c r="B31" s="92"/>
      <c r="C31" s="93"/>
      <c r="D31" s="94"/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" thickTop="1" x14ac:dyDescent="0.3">
      <c r="A32" s="75" t="s">
        <v>999</v>
      </c>
      <c r="B32" s="76"/>
      <c r="C32" s="77"/>
      <c r="D32" s="78"/>
      <c r="E32" s="136"/>
      <c r="G32" s="116"/>
      <c r="H32" s="99"/>
      <c r="I32" s="100"/>
      <c r="J32" s="100"/>
      <c r="K32" s="100"/>
      <c r="L32" s="101"/>
      <c r="M32" s="117"/>
      <c r="N32" s="140"/>
    </row>
    <row r="33" spans="1:14" ht="15" thickBot="1" x14ac:dyDescent="0.35">
      <c r="A33" s="79" t="s">
        <v>6</v>
      </c>
      <c r="B33" s="80"/>
      <c r="C33" s="81"/>
      <c r="D33" s="82"/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" thickTop="1" x14ac:dyDescent="0.3">
      <c r="A34" s="79" t="s">
        <v>1001</v>
      </c>
      <c r="B34" s="80"/>
      <c r="C34" s="81"/>
      <c r="D34" s="82"/>
      <c r="E34" s="137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37"/>
      <c r="G35" s="122"/>
      <c r="K35" s="123"/>
    </row>
    <row r="36" spans="1:14" ht="15" thickBot="1" x14ac:dyDescent="0.35">
      <c r="A36" s="91" t="s">
        <v>16</v>
      </c>
      <c r="B36" s="92"/>
      <c r="C36" s="93"/>
      <c r="D36" s="94"/>
      <c r="E36" s="138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36"/>
      <c r="G37" s="122"/>
      <c r="K37" s="123"/>
    </row>
    <row r="38" spans="1:14" x14ac:dyDescent="0.3">
      <c r="A38" s="79" t="s">
        <v>6</v>
      </c>
      <c r="B38" s="80"/>
      <c r="C38" s="81"/>
      <c r="D38" s="82"/>
      <c r="E38" s="137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37"/>
    </row>
    <row r="40" spans="1:14" ht="15" thickTop="1" x14ac:dyDescent="0.3">
      <c r="A40" s="79" t="s">
        <v>1000</v>
      </c>
      <c r="B40" s="80"/>
      <c r="C40" s="81"/>
      <c r="D40" s="82"/>
      <c r="E40" s="137"/>
      <c r="G40" s="103"/>
      <c r="H40" s="104"/>
      <c r="I40" s="104"/>
      <c r="J40" s="104"/>
      <c r="K40" s="105"/>
      <c r="L40" s="106"/>
      <c r="M40" s="141"/>
    </row>
    <row r="41" spans="1:14" ht="15" thickBot="1" x14ac:dyDescent="0.35">
      <c r="A41" s="91" t="s">
        <v>16</v>
      </c>
      <c r="B41" s="92"/>
      <c r="C41" s="93"/>
      <c r="D41" s="94"/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3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3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3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" thickBot="1" x14ac:dyDescent="0.35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5.6" thickTop="1" thickBot="1" x14ac:dyDescent="0.35">
      <c r="A46" s="91" t="s">
        <v>16</v>
      </c>
      <c r="B46" s="92"/>
      <c r="C46" s="93"/>
      <c r="D46" s="94"/>
      <c r="E46" s="138"/>
    </row>
    <row r="47" spans="1:14" ht="15" thickTop="1" x14ac:dyDescent="0.3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3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37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38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3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37"/>
    </row>
    <row r="55" spans="1:11" x14ac:dyDescent="0.3">
      <c r="A55" s="79" t="s">
        <v>1000</v>
      </c>
      <c r="B55" s="80"/>
      <c r="C55" s="81"/>
      <c r="D55" s="82"/>
      <c r="E55" s="137"/>
    </row>
    <row r="56" spans="1:11" ht="15" thickBot="1" x14ac:dyDescent="0.35">
      <c r="A56" s="91" t="s">
        <v>16</v>
      </c>
      <c r="B56" s="92"/>
      <c r="C56" s="93"/>
      <c r="D56" s="94"/>
      <c r="E56" s="138"/>
    </row>
    <row r="57" spans="1:11" ht="15" thickTop="1" x14ac:dyDescent="0.3">
      <c r="A57" s="75" t="s">
        <v>999</v>
      </c>
      <c r="B57" s="76"/>
      <c r="C57" s="77"/>
      <c r="D57" s="78"/>
      <c r="E57" s="136"/>
    </row>
    <row r="58" spans="1:11" x14ac:dyDescent="0.3">
      <c r="A58" s="79" t="s">
        <v>6</v>
      </c>
      <c r="B58" s="80"/>
      <c r="C58" s="81"/>
      <c r="D58" s="82"/>
      <c r="E58" s="137"/>
    </row>
    <row r="59" spans="1:11" x14ac:dyDescent="0.3">
      <c r="A59" s="79" t="s">
        <v>1001</v>
      </c>
      <c r="B59" s="80"/>
      <c r="C59" s="81"/>
      <c r="D59" s="82"/>
      <c r="E59" s="137"/>
    </row>
    <row r="60" spans="1:11" x14ac:dyDescent="0.3">
      <c r="A60" s="79" t="s">
        <v>1000</v>
      </c>
      <c r="B60" s="80"/>
      <c r="C60" s="81"/>
      <c r="D60" s="82"/>
      <c r="E60" s="137"/>
    </row>
    <row r="61" spans="1:11" ht="15" thickBot="1" x14ac:dyDescent="0.35">
      <c r="A61" s="91" t="s">
        <v>16</v>
      </c>
      <c r="B61" s="92"/>
      <c r="C61" s="93"/>
      <c r="D61" s="94"/>
      <c r="E61" s="138"/>
    </row>
    <row r="62" spans="1:11" ht="15" thickTop="1" x14ac:dyDescent="0.3">
      <c r="A62" s="75" t="s">
        <v>999</v>
      </c>
      <c r="B62" s="76"/>
      <c r="C62" s="77"/>
      <c r="D62" s="78"/>
      <c r="E62" s="136"/>
    </row>
    <row r="63" spans="1:11" x14ac:dyDescent="0.3">
      <c r="A63" s="79" t="s">
        <v>6</v>
      </c>
      <c r="B63" s="80"/>
      <c r="C63" s="81"/>
      <c r="D63" s="82"/>
      <c r="E63" s="137"/>
    </row>
    <row r="64" spans="1:11" x14ac:dyDescent="0.3">
      <c r="A64" s="79" t="s">
        <v>1001</v>
      </c>
      <c r="B64" s="80"/>
      <c r="C64" s="81"/>
      <c r="D64" s="82"/>
      <c r="E64" s="137"/>
    </row>
    <row r="65" spans="1:5" x14ac:dyDescent="0.3">
      <c r="A65" s="79" t="s">
        <v>1000</v>
      </c>
      <c r="B65" s="80"/>
      <c r="C65" s="81"/>
      <c r="D65" s="82"/>
      <c r="E65" s="137"/>
    </row>
    <row r="66" spans="1:5" ht="15" thickBot="1" x14ac:dyDescent="0.35">
      <c r="A66" s="91" t="s">
        <v>16</v>
      </c>
      <c r="B66" s="92"/>
      <c r="C66" s="93"/>
      <c r="D66" s="94"/>
      <c r="E66" s="138"/>
    </row>
    <row r="67" spans="1:5" ht="15" thickTop="1" x14ac:dyDescent="0.3">
      <c r="A67" s="75" t="s">
        <v>999</v>
      </c>
      <c r="B67" s="76"/>
      <c r="C67" s="77"/>
      <c r="D67" s="78"/>
      <c r="E67" s="136"/>
    </row>
    <row r="68" spans="1:5" x14ac:dyDescent="0.3">
      <c r="A68" s="79" t="s">
        <v>6</v>
      </c>
      <c r="B68" s="80"/>
      <c r="C68" s="81"/>
      <c r="D68" s="82"/>
      <c r="E68" s="137"/>
    </row>
    <row r="69" spans="1:5" x14ac:dyDescent="0.3">
      <c r="A69" s="79" t="s">
        <v>1001</v>
      </c>
      <c r="B69" s="80"/>
      <c r="C69" s="81"/>
      <c r="D69" s="82"/>
      <c r="E69" s="137"/>
    </row>
    <row r="70" spans="1:5" x14ac:dyDescent="0.3">
      <c r="A70" s="79" t="s">
        <v>1000</v>
      </c>
      <c r="B70" s="80"/>
      <c r="C70" s="81"/>
      <c r="D70" s="82"/>
      <c r="E70" s="137"/>
    </row>
    <row r="71" spans="1:5" ht="15" thickBot="1" x14ac:dyDescent="0.35">
      <c r="A71" s="91" t="s">
        <v>16</v>
      </c>
      <c r="B71" s="92"/>
      <c r="C71" s="93"/>
      <c r="D71" s="94"/>
      <c r="E71" s="138"/>
    </row>
    <row r="72" spans="1:5" ht="15" thickTop="1" x14ac:dyDescent="0.3">
      <c r="A72" s="75" t="s">
        <v>999</v>
      </c>
      <c r="B72" s="76"/>
      <c r="C72" s="77"/>
      <c r="D72" s="78"/>
      <c r="E72" s="136"/>
    </row>
    <row r="73" spans="1:5" x14ac:dyDescent="0.3">
      <c r="A73" s="79" t="s">
        <v>6</v>
      </c>
      <c r="B73" s="80"/>
      <c r="C73" s="81"/>
      <c r="D73" s="82"/>
      <c r="E73" s="137"/>
    </row>
    <row r="74" spans="1:5" x14ac:dyDescent="0.3">
      <c r="A74" s="79" t="s">
        <v>1001</v>
      </c>
      <c r="B74" s="80"/>
      <c r="C74" s="81"/>
      <c r="D74" s="82"/>
      <c r="E74" s="137"/>
    </row>
    <row r="75" spans="1:5" x14ac:dyDescent="0.3">
      <c r="A75" s="79" t="s">
        <v>1000</v>
      </c>
      <c r="B75" s="80"/>
      <c r="C75" s="81"/>
      <c r="D75" s="82"/>
      <c r="E75" s="137"/>
    </row>
    <row r="76" spans="1:5" ht="15" thickBot="1" x14ac:dyDescent="0.35">
      <c r="A76" s="91" t="s">
        <v>16</v>
      </c>
      <c r="B76" s="92"/>
      <c r="C76" s="93"/>
      <c r="D76" s="94"/>
      <c r="E76" s="138"/>
    </row>
    <row r="77" spans="1:5" ht="15" thickTop="1" x14ac:dyDescent="0.3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2" sqref="F12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:E11" si="0">B2+C2</f>
        <v>41</v>
      </c>
      <c r="F2">
        <f>'RESUMEN TOTAL'!B1</f>
        <v>430</v>
      </c>
      <c r="G2" s="44">
        <f t="shared" ref="G2:G11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si="0"/>
        <v>32</v>
      </c>
      <c r="F3" s="40">
        <f>'RESUMEN TOTAL'!B1</f>
        <v>430</v>
      </c>
      <c r="G3" s="44">
        <f t="shared" si="1"/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0"/>
        <v>36</v>
      </c>
      <c r="F4" s="40">
        <f>'RESUMEN TOTAL'!B1</f>
        <v>430</v>
      </c>
      <c r="G4" s="44">
        <f t="shared" si="1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si="0"/>
        <v>38</v>
      </c>
      <c r="F5" s="40">
        <f>'RESUMEN TOTAL'!B1</f>
        <v>430</v>
      </c>
      <c r="G5" s="44">
        <f t="shared" si="1"/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si="0"/>
        <v>38</v>
      </c>
      <c r="F6" s="40">
        <f>'RESUMEN TOTAL'!B1</f>
        <v>430</v>
      </c>
      <c r="G6" s="44">
        <f t="shared" si="1"/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0"/>
        <v>39</v>
      </c>
      <c r="F7" s="40">
        <f>'RESUMEN TOTAL'!B1</f>
        <v>430</v>
      </c>
      <c r="G7" s="44">
        <f t="shared" si="1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0"/>
        <v>37</v>
      </c>
      <c r="F8" s="40">
        <f>'RESUMEN TOTAL'!B1</f>
        <v>430</v>
      </c>
      <c r="G8" s="44">
        <f t="shared" si="1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0"/>
        <v>36</v>
      </c>
      <c r="F9" s="40">
        <f>'RESUMEN TOTAL'!B1</f>
        <v>430</v>
      </c>
      <c r="G9" s="44">
        <f t="shared" si="1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0"/>
        <v>36</v>
      </c>
      <c r="F10" s="40">
        <f>'RESUMEN TOTAL'!B1</f>
        <v>430</v>
      </c>
      <c r="G10" s="44">
        <f t="shared" si="1"/>
        <v>8.3720930232558138E-2</v>
      </c>
    </row>
    <row r="11" spans="1:7" x14ac:dyDescent="0.3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si="0"/>
        <v>98</v>
      </c>
      <c r="F11" s="40">
        <f>'RESUMEN TOTAL'!B1</f>
        <v>430</v>
      </c>
      <c r="G11" s="44">
        <f t="shared" si="1"/>
        <v>0.22790697674418606</v>
      </c>
    </row>
    <row r="12" spans="1:7" x14ac:dyDescent="0.3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44869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24</v>
      </c>
    </row>
    <row r="5" spans="2:4" ht="15" thickBot="1" x14ac:dyDescent="0.35">
      <c r="B5" s="58"/>
      <c r="C5" s="59"/>
      <c r="D5" s="71">
        <v>0.10666666666666667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14</v>
      </c>
    </row>
    <row r="7" spans="2:4" ht="15" thickBot="1" x14ac:dyDescent="0.35">
      <c r="B7" s="58"/>
      <c r="C7" s="59"/>
      <c r="D7" s="52">
        <v>6.8292682926829273E-2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4" workbookViewId="0">
      <selection activeCell="M6" sqref="M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>K3/BONOMOcam</f>
        <v>0.1111111111111111</v>
      </c>
      <c r="L4" s="70">
        <f t="shared" si="0"/>
        <v>9.7777777777777783E-2</v>
      </c>
      <c r="M4" s="70">
        <f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</v>
      </c>
      <c r="Q4" s="71">
        <f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1">F5/COSEIDIcam</f>
        <v>5.8536585365853662E-2</v>
      </c>
      <c r="G6" s="70">
        <f t="shared" si="1"/>
        <v>4.878048780487805E-2</v>
      </c>
      <c r="H6" s="70">
        <f t="shared" si="1"/>
        <v>4.3902439024390241E-2</v>
      </c>
      <c r="I6" s="70">
        <f t="shared" si="1"/>
        <v>6.8292682926829273E-2</v>
      </c>
      <c r="J6" s="70">
        <f t="shared" si="1"/>
        <v>5.8536585365853662E-2</v>
      </c>
      <c r="K6" s="70">
        <f>K5/COSEIDIcam</f>
        <v>6.8292682926829273E-2</v>
      </c>
      <c r="L6" s="70">
        <f t="shared" si="1"/>
        <v>7.3170731707317069E-2</v>
      </c>
      <c r="M6" s="70">
        <f>M5/COSEIDIcam</f>
        <v>6.8292682926829273E-2</v>
      </c>
      <c r="N6" s="70">
        <f t="shared" si="1"/>
        <v>6.8292682926829273E-2</v>
      </c>
      <c r="O6" s="70">
        <f t="shared" si="1"/>
        <v>0.18536585365853658</v>
      </c>
      <c r="P6" s="70">
        <f t="shared" si="1"/>
        <v>0</v>
      </c>
      <c r="Q6" s="70">
        <f>Q5/COSEIDIcam</f>
        <v>0</v>
      </c>
      <c r="R6" s="70">
        <f t="shared" si="1"/>
        <v>0</v>
      </c>
      <c r="S6" s="70">
        <f t="shared" si="1"/>
        <v>0</v>
      </c>
      <c r="T6" s="70">
        <f t="shared" si="1"/>
        <v>0</v>
      </c>
      <c r="U6" s="70">
        <f t="shared" si="1"/>
        <v>0</v>
      </c>
      <c r="V6" s="70">
        <f>V5/COSEIDIcam</f>
        <v>0</v>
      </c>
      <c r="W6" s="70">
        <f t="shared" si="1"/>
        <v>0</v>
      </c>
      <c r="X6" s="70">
        <f t="shared" ca="1" si="1"/>
        <v>0</v>
      </c>
      <c r="Y6" s="70">
        <f t="shared" si="1"/>
        <v>0</v>
      </c>
      <c r="Z6" s="70">
        <f t="shared" si="1"/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52">
        <f t="shared" si="1"/>
        <v>0</v>
      </c>
      <c r="AG6" s="52">
        <f t="shared" si="1"/>
        <v>0</v>
      </c>
      <c r="AH6" s="52">
        <f t="shared" si="1"/>
        <v>0</v>
      </c>
      <c r="AI6" s="52">
        <f t="shared" si="1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2022-11-11T13:01:03Z</dcterms:modified>
</cp:coreProperties>
</file>